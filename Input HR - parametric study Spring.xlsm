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697B625A-BE1A-41A9-94B6-B6F0E02D9BB0}" xr6:coauthVersionLast="47" xr6:coauthVersionMax="47" xr10:uidLastSave="{00000000-0000-0000-0000-000000000000}"/>
  <bookViews>
    <workbookView xWindow="-120" yWindow="-120" windowWidth="29040" windowHeight="15720" tabRatio="353" activeTab="1" xr2:uid="{00000000-000D-0000-FFFF-FFFF00000000}"/>
  </bookViews>
  <sheets>
    <sheet name="General_parameters" sheetId="2" r:id="rId1"/>
    <sheet name="Input_data" sheetId="1" r:id="rId2"/>
    <sheet name="Sheet1" sheetId="4" r:id="rId3"/>
  </sheets>
  <functionGroups builtInGroupCount="19"/>
  <calcPr calcId="191029" refMode="R1C1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12" i="4" l="1"/>
  <c r="AM12" i="4"/>
  <c r="AL12" i="4"/>
  <c r="AK12" i="4"/>
  <c r="Y12" i="4"/>
  <c r="Z12" i="4"/>
  <c r="AA12" i="4"/>
  <c r="AD12" i="4"/>
  <c r="AC12" i="4"/>
  <c r="AB12" i="4"/>
  <c r="AO11" i="4"/>
  <c r="AM11" i="4"/>
  <c r="AL11" i="4"/>
  <c r="AK11" i="4"/>
  <c r="Y11" i="4"/>
  <c r="Z11" i="4"/>
  <c r="AA11" i="4"/>
  <c r="AD11" i="4"/>
  <c r="AC11" i="4"/>
  <c r="AB11" i="4"/>
  <c r="AO10" i="4"/>
  <c r="AM10" i="4"/>
  <c r="AL10" i="4"/>
  <c r="AK10" i="4"/>
  <c r="Y10" i="4"/>
  <c r="Z10" i="4"/>
  <c r="AA10" i="4"/>
  <c r="AD10" i="4"/>
  <c r="AC10" i="4"/>
  <c r="AB10" i="4"/>
  <c r="AO9" i="4"/>
  <c r="AM9" i="4"/>
  <c r="AL9" i="4"/>
  <c r="AK9" i="4"/>
  <c r="Y9" i="4"/>
  <c r="Z9" i="4"/>
  <c r="AA9" i="4"/>
  <c r="AD9" i="4"/>
  <c r="AC9" i="4"/>
  <c r="AB9" i="4"/>
  <c r="AO8" i="4"/>
  <c r="AM8" i="4"/>
  <c r="AL8" i="4"/>
  <c r="AK8" i="4"/>
  <c r="Y8" i="4"/>
  <c r="Z8" i="4"/>
  <c r="AA8" i="4"/>
  <c r="AD8" i="4"/>
  <c r="AC8" i="4"/>
  <c r="AB8" i="4"/>
  <c r="AO7" i="4"/>
  <c r="AM7" i="4"/>
  <c r="AL7" i="4"/>
  <c r="AK7" i="4"/>
  <c r="Y7" i="4"/>
  <c r="Z7" i="4"/>
  <c r="AA7" i="4"/>
  <c r="AD7" i="4"/>
  <c r="AC7" i="4"/>
  <c r="AB7" i="4"/>
  <c r="AO6" i="4"/>
  <c r="AM6" i="4"/>
  <c r="AL6" i="4"/>
  <c r="AK6" i="4"/>
  <c r="Y6" i="4"/>
  <c r="Z6" i="4"/>
  <c r="AA6" i="4"/>
  <c r="AD6" i="4"/>
  <c r="AC6" i="4"/>
  <c r="AB6" i="4"/>
  <c r="AO5" i="4"/>
  <c r="AM5" i="4"/>
  <c r="AL5" i="4"/>
  <c r="AK5" i="4"/>
  <c r="Y5" i="4"/>
  <c r="Z5" i="4"/>
  <c r="AA5" i="4"/>
  <c r="AD5" i="4"/>
  <c r="AC5" i="4"/>
  <c r="AB5" i="4"/>
  <c r="AO4" i="4"/>
  <c r="AM4" i="4"/>
  <c r="AL4" i="4"/>
  <c r="AK4" i="4"/>
  <c r="Y4" i="4"/>
  <c r="Z4" i="4"/>
  <c r="AA4" i="4"/>
  <c r="AD4" i="4"/>
  <c r="AC4" i="4"/>
  <c r="AB4" i="4"/>
  <c r="AO3" i="4"/>
  <c r="AM3" i="4"/>
  <c r="AL3" i="4"/>
  <c r="AK3" i="4"/>
  <c r="Y3" i="4"/>
  <c r="Z3" i="4"/>
  <c r="AA3" i="4"/>
  <c r="AD3" i="4"/>
  <c r="AC3" i="4"/>
  <c r="AB3" i="4"/>
  <c r="AO2" i="4"/>
  <c r="AM2" i="4"/>
  <c r="AL2" i="4"/>
  <c r="AK2" i="4"/>
  <c r="Y2" i="4"/>
  <c r="Z2" i="4"/>
  <c r="AA2" i="4"/>
  <c r="AD2" i="4"/>
  <c r="AC2" i="4"/>
  <c r="AB2" i="4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4" i="1"/>
  <c r="AB15" i="1"/>
  <c r="AB16" i="1"/>
  <c r="AB17" i="1"/>
  <c r="AB18" i="1"/>
  <c r="AB19" i="1"/>
  <c r="AB20" i="1"/>
  <c r="AB21" i="1"/>
  <c r="AB22" i="1"/>
  <c r="AB23" i="1"/>
  <c r="AB24" i="1"/>
  <c r="Y15" i="1"/>
  <c r="Z15" i="1"/>
  <c r="AC15" i="1"/>
  <c r="AA15" i="1"/>
  <c r="AD15" i="1"/>
  <c r="Y16" i="1"/>
  <c r="Z16" i="1"/>
  <c r="AC16" i="1"/>
  <c r="AA16" i="1"/>
  <c r="AD16" i="1"/>
  <c r="Y17" i="1"/>
  <c r="Z17" i="1"/>
  <c r="AC17" i="1"/>
  <c r="AA17" i="1"/>
  <c r="AD17" i="1"/>
  <c r="Y18" i="1"/>
  <c r="Z18" i="1"/>
  <c r="AC18" i="1"/>
  <c r="AA18" i="1"/>
  <c r="AD18" i="1"/>
  <c r="Y19" i="1"/>
  <c r="Z19" i="1"/>
  <c r="AC19" i="1"/>
  <c r="AA19" i="1"/>
  <c r="AD19" i="1"/>
  <c r="Y20" i="1"/>
  <c r="Z20" i="1"/>
  <c r="AC20" i="1"/>
  <c r="AA20" i="1"/>
  <c r="AD20" i="1"/>
  <c r="Y21" i="1"/>
  <c r="Z21" i="1"/>
  <c r="AC21" i="1"/>
  <c r="AA21" i="1"/>
  <c r="AD21" i="1"/>
  <c r="Y22" i="1"/>
  <c r="Z22" i="1"/>
  <c r="AC22" i="1"/>
  <c r="AA22" i="1"/>
  <c r="AD22" i="1"/>
  <c r="Y23" i="1"/>
  <c r="Z23" i="1"/>
  <c r="AC23" i="1"/>
  <c r="AA23" i="1"/>
  <c r="AD23" i="1"/>
  <c r="Y24" i="1"/>
  <c r="Z24" i="1"/>
  <c r="AC24" i="1"/>
  <c r="AA24" i="1"/>
  <c r="AD24" i="1"/>
  <c r="AM15" i="1"/>
  <c r="AM16" i="1"/>
  <c r="AM17" i="1"/>
  <c r="AM18" i="1"/>
  <c r="AM19" i="1"/>
  <c r="AM20" i="1"/>
  <c r="AM21" i="1"/>
  <c r="AM22" i="1"/>
  <c r="AM23" i="1"/>
  <c r="AM24" i="1"/>
  <c r="AL15" i="1"/>
  <c r="AL16" i="1"/>
  <c r="AL17" i="1"/>
  <c r="AL18" i="1"/>
  <c r="AL19" i="1"/>
  <c r="AL20" i="1"/>
  <c r="AL21" i="1"/>
  <c r="AL22" i="1"/>
  <c r="AL23" i="1"/>
  <c r="AL24" i="1"/>
  <c r="AK15" i="1"/>
  <c r="AK16" i="1"/>
  <c r="AK17" i="1"/>
  <c r="AK18" i="1"/>
  <c r="AK19" i="1"/>
  <c r="AK20" i="1"/>
  <c r="AK21" i="1"/>
  <c r="AK22" i="1"/>
  <c r="AK23" i="1"/>
  <c r="AK24" i="1"/>
  <c r="AL5" i="1"/>
  <c r="AL6" i="1"/>
  <c r="AL7" i="1"/>
  <c r="AL8" i="1"/>
  <c r="AL9" i="1"/>
  <c r="AL10" i="1"/>
  <c r="AL11" i="1"/>
  <c r="AL12" i="1"/>
  <c r="AL13" i="1"/>
  <c r="AL14" i="1"/>
  <c r="AL4" i="1"/>
  <c r="Y5" i="1"/>
  <c r="Z5" i="1"/>
  <c r="AA5" i="1"/>
  <c r="AB5" i="1"/>
  <c r="AC5" i="1"/>
  <c r="AD5" i="1"/>
  <c r="AK5" i="1"/>
  <c r="AM5" i="1"/>
  <c r="Y6" i="1"/>
  <c r="Z6" i="1"/>
  <c r="AA6" i="1"/>
  <c r="AB6" i="1"/>
  <c r="AC6" i="1"/>
  <c r="AD6" i="1"/>
  <c r="AK6" i="1"/>
  <c r="AM6" i="1"/>
  <c r="Y7" i="1"/>
  <c r="Z7" i="1"/>
  <c r="AA7" i="1"/>
  <c r="AB7" i="1"/>
  <c r="AC7" i="1"/>
  <c r="AD7" i="1"/>
  <c r="AK7" i="1"/>
  <c r="AM7" i="1"/>
  <c r="Y8" i="1"/>
  <c r="Z8" i="1"/>
  <c r="AA8" i="1"/>
  <c r="AB8" i="1"/>
  <c r="AC8" i="1"/>
  <c r="AD8" i="1"/>
  <c r="AK8" i="1"/>
  <c r="AM8" i="1"/>
  <c r="Y9" i="1"/>
  <c r="Z9" i="1"/>
  <c r="AA9" i="1"/>
  <c r="AB9" i="1"/>
  <c r="AC9" i="1"/>
  <c r="AD9" i="1"/>
  <c r="AK9" i="1"/>
  <c r="AM9" i="1"/>
  <c r="Y10" i="1"/>
  <c r="Z10" i="1"/>
  <c r="AA10" i="1"/>
  <c r="AB10" i="1"/>
  <c r="AC10" i="1"/>
  <c r="AD10" i="1"/>
  <c r="AK10" i="1"/>
  <c r="AM10" i="1"/>
  <c r="Y11" i="1"/>
  <c r="Z11" i="1"/>
  <c r="AA11" i="1"/>
  <c r="AB11" i="1"/>
  <c r="AC11" i="1"/>
  <c r="AD11" i="1"/>
  <c r="AK11" i="1"/>
  <c r="AM11" i="1"/>
  <c r="Y12" i="1"/>
  <c r="Z12" i="1"/>
  <c r="AA12" i="1"/>
  <c r="AB12" i="1"/>
  <c r="AC12" i="1"/>
  <c r="AD12" i="1"/>
  <c r="AK12" i="1"/>
  <c r="AM12" i="1"/>
  <c r="Y13" i="1"/>
  <c r="Z13" i="1"/>
  <c r="AA13" i="1"/>
  <c r="AB13" i="1"/>
  <c r="AC13" i="1"/>
  <c r="AD13" i="1"/>
  <c r="AK13" i="1"/>
  <c r="AM13" i="1"/>
  <c r="Y14" i="1"/>
  <c r="Z14" i="1"/>
  <c r="AA14" i="1"/>
  <c r="AB14" i="1"/>
  <c r="AC14" i="1"/>
  <c r="AD14" i="1"/>
  <c r="AK14" i="1"/>
  <c r="AM14" i="1"/>
  <c r="AB4" i="1"/>
  <c r="AM4" i="1"/>
  <c r="AK4" i="1"/>
  <c r="Y4" i="1"/>
  <c r="Z4" i="1"/>
  <c r="AC4" i="1"/>
  <c r="AA4" i="1"/>
  <c r="AD4" i="1"/>
</calcChain>
</file>

<file path=xl/sharedStrings.xml><?xml version="1.0" encoding="utf-8"?>
<sst xmlns="http://schemas.openxmlformats.org/spreadsheetml/2006/main" count="253" uniqueCount="103">
  <si>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</si>
  <si>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</si>
  <si>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</si>
  <si>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</si>
  <si>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</si>
  <si>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</si>
  <si>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</si>
  <si>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</si>
  <si>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</si>
  <si>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</si>
  <si>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</si>
  <si>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</si>
  <si>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</si>
  <si>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</si>
  <si>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</si>
  <si>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</si>
  <si>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</si>
  <si>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</si>
  <si>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</si>
  <si>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</si>
  <si>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</si>
  <si>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</si>
  <si>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</si>
  <si>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</si>
  <si>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</si>
  <si>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</si>
  <si>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</si>
  <si>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</si>
  <si>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</si>
  <si>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</si>
  <si>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</si>
  <si>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</si>
  <si>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</si>
  <si>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</si>
  <si>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</si>
  <si>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</si>
  <si>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</si>
  <si>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</si>
  <si>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</si>
  <si>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</si>
  <si>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</si>
  <si>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</si>
  <si>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</si>
  <si>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</si>
  <si>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</si>
  <si>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</si>
  <si>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</si>
  <si>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</si>
  <si>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</si>
  <si>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</si>
  <si>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</si>
  <si>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</si>
  <si>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</si>
  <si>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</si>
  <si>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</si>
  <si>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</si>
  <si>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</si>
  <si>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</si>
  <si>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</si>
  <si>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</si>
  <si>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</si>
  <si>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</si>
  <si>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</si>
  <si>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</si>
  <si>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</si>
  <si>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</si>
  <si>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</si>
  <si>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</si>
  <si>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</si>
  <si>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</si>
  <si>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</si>
  <si>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</si>
  <si>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</si>
  <si>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</si>
  <si>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</si>
  <si>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</si>
  <si>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</si>
  <si>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</si>
  <si>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</si>
  <si>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</si>
  <si>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</si>
  <si>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</si>
  <si>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</si>
  <si>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</si>
  <si>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</si>
  <si>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</si>
  <si>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</si>
  <si>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</si>
  <si>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Ultimate strength (Eurocode)</t>
  </si>
  <si>
    <t>Wg (Lcr/1000)</t>
  </si>
  <si>
    <t>w0(b/200)</t>
  </si>
  <si>
    <t>ecc</t>
  </si>
  <si>
    <t>S_2</t>
  </si>
  <si>
    <t>IPE_spring</t>
  </si>
  <si>
    <t>k</t>
  </si>
  <si>
    <t>(KNm/rad)</t>
  </si>
  <si>
    <t>IPE_600</t>
  </si>
  <si>
    <t>IPE_500</t>
  </si>
  <si>
    <t>KL</t>
  </si>
  <si>
    <t>Rho</t>
  </si>
  <si>
    <t>Ix (Major axis)</t>
  </si>
  <si>
    <t>Wo (Lcro/1000)</t>
  </si>
  <si>
    <t>k_ref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</si>
</sst>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/>
    <xf numFmtId="0" fontId="2" fillId="0" borderId="7" xfId="0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2" borderId="5" xfId="0" applyFont="1" applyFill="1" applyBorder="1"/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7" borderId="1" xfId="0" applyFont="1" applyFill="1" applyBorder="1"/>
    <xf numFmtId="2" fontId="2" fillId="7" borderId="1" xfId="0" applyNumberFormat="1" applyFont="1" applyFill="1" applyBorder="1" applyAlignment="1">
      <alignment horizontal="center"/>
    </xf>
    <xf numFmtId="2" fontId="2" fillId="7" borderId="1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 wrapText="1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  <xf numFmtId="2" fontId="2" fillId="2" borderId="1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0" fillId="2" borderId="0" xfId="0" applyFill="1"/>
    <xf numFmtId="2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/>
    </xf>
    <xf numFmtId="11" fontId="2" fillId="0" borderId="0" xfId="0" applyNumberFormat="1" applyFont="1" applyAlignment="1">
      <alignment horizontal="center" vertical="center"/>
    </xf>
    <xf numFmtId="11" fontId="2" fillId="2" borderId="0" xfId="0" applyNumberFormat="1" applyFont="1" applyFill="1" applyAlignment="1">
      <alignment horizontal="center" vertical="center"/>
    </xf>
    <xf numFmtId="11" fontId="2" fillId="0" borderId="22" xfId="0" applyNumberFormat="1" applyFont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164" fontId="2" fillId="8" borderId="0" xfId="0" applyNumberFormat="1" applyFont="1" applyFill="1" applyAlignment="1">
      <alignment horizontal="center" vertical="center"/>
    </xf>
    <xf numFmtId="2" fontId="2" fillId="8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9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1</xdr:row>
      <xdr:rowOff>1019176</xdr:rowOff>
    </xdr:from>
    <xdr:to>
      <xdr:col>47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45</xdr:col>
      <xdr:colOff>285750</xdr:colOff>
      <xdr:row>5</xdr:row>
      <xdr:rowOff>133349</xdr:rowOff>
    </xdr:from>
    <xdr:to>
      <xdr:col>47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45</xdr:col>
      <xdr:colOff>304800</xdr:colOff>
      <xdr:row>9</xdr:row>
      <xdr:rowOff>104775</xdr:rowOff>
    </xdr:from>
    <xdr:to>
      <xdr:col>47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45</xdr:col>
      <xdr:colOff>222250</xdr:colOff>
      <xdr:row>1</xdr:row>
      <xdr:rowOff>243417</xdr:rowOff>
    </xdr:from>
    <xdr:to>
      <xdr:col>47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657225</xdr:colOff>
          <xdr:row>1</xdr:row>
          <xdr:rowOff>371475</xdr:rowOff>
        </xdr:from>
        <xdr:to>
          <xdr:col>50</xdr:col>
          <xdr:colOff>244475</xdr:colOff>
          <xdr:row>1</xdr:row>
          <xdr:rowOff>895350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workbookViewId="0">
      <selection activeCell="B3" sqref="B3"/>
    </sheetView>
  </sheetViews>
  <sheetFormatPr defaultColWidth="9.140625" defaultRowHeight="15" x14ac:dyDescent="0.25"/>
  <cols>
    <col min="1" max="1" width="35.7109375" customWidth="1"/>
    <col min="2" max="2" width="29.85546875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20" t="s">
        <v>36</v>
      </c>
      <c r="B1" s="121"/>
      <c r="C1" s="122"/>
    </row>
    <row r="2" spans="1:16" x14ac:dyDescent="0.2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25">
      <c r="A3" s="9" t="s">
        <v>29</v>
      </c>
      <c r="B3" s="5" t="s">
        <v>93</v>
      </c>
      <c r="C3" s="8"/>
      <c r="E3" s="5" t="s">
        <v>77</v>
      </c>
    </row>
    <row r="4" spans="1:16" x14ac:dyDescent="0.25">
      <c r="A4" s="9" t="s">
        <v>34</v>
      </c>
      <c r="B4" s="5" t="s">
        <v>92</v>
      </c>
      <c r="C4" s="8"/>
    </row>
    <row r="5" spans="1:16" x14ac:dyDescent="0.25">
      <c r="A5" s="9"/>
      <c r="B5" s="6"/>
      <c r="C5" s="8"/>
    </row>
    <row r="6" spans="1:16" ht="18.75" x14ac:dyDescent="0.3">
      <c r="A6" s="123" t="s">
        <v>37</v>
      </c>
      <c r="B6" s="124"/>
      <c r="C6" s="125"/>
    </row>
    <row r="7" spans="1:16" x14ac:dyDescent="0.25">
      <c r="A7" s="7"/>
      <c r="B7" s="6"/>
      <c r="C7" s="8"/>
      <c r="J7" t="s">
        <v>83</v>
      </c>
      <c r="L7" t="s">
        <v>84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1E-3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25">
      <c r="A12" s="9" t="s">
        <v>42</v>
      </c>
      <c r="B12" s="3">
        <v>75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23" t="s">
        <v>38</v>
      </c>
      <c r="B14" s="124"/>
      <c r="C14" s="125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13</v>
      </c>
      <c r="C16" s="8"/>
      <c r="E16">
        <v>25</v>
      </c>
    </row>
    <row r="17" spans="1:7" x14ac:dyDescent="0.25">
      <c r="A17" s="9" t="s">
        <v>40</v>
      </c>
      <c r="B17" s="3">
        <v>13</v>
      </c>
      <c r="C17" s="8"/>
      <c r="E17">
        <v>25</v>
      </c>
    </row>
    <row r="18" spans="1:7" x14ac:dyDescent="0.25">
      <c r="A18" s="7"/>
      <c r="B18" s="6"/>
      <c r="C18" s="8"/>
    </row>
    <row r="19" spans="1:7" x14ac:dyDescent="0.25">
      <c r="A19" s="7"/>
      <c r="B19" s="6"/>
      <c r="C19" s="8"/>
    </row>
    <row r="20" spans="1:7" x14ac:dyDescent="0.25">
      <c r="A20" s="7"/>
      <c r="B20" s="6"/>
      <c r="C20" s="8"/>
    </row>
    <row r="21" spans="1:7" x14ac:dyDescent="0.25">
      <c r="A21" s="7"/>
      <c r="B21" s="6"/>
      <c r="C21" s="8"/>
    </row>
    <row r="22" spans="1:7" ht="15.75" thickBot="1" x14ac:dyDescent="0.3">
      <c r="A22" s="10"/>
      <c r="B22" s="11"/>
      <c r="C22" s="12"/>
      <c r="G22" s="5"/>
    </row>
    <row r="23" spans="1:7" x14ac:dyDescent="0.25">
      <c r="A23" s="6"/>
      <c r="B23" s="6"/>
      <c r="C23" s="6"/>
    </row>
    <row r="24" spans="1:7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I362"/>
  <sheetViews>
    <sheetView tabSelected="1" topLeftCell="T1" zoomScale="80" zoomScaleNormal="80" workbookViewId="0">
      <pane ySplit="2" topLeftCell="A3" activePane="bottomLeft" state="frozen"/>
      <selection pane="bottomLeft" activeCell="AG5" sqref="AG5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17" bestFit="1" customWidth="1"/>
    <col min="39" max="39" width="8.7109375" bestFit="1" customWidth="1"/>
    <col min="40" max="40" width="8.7109375" customWidth="1"/>
    <col min="41" max="41" width="20.28515625" bestFit="1" customWidth="1"/>
    <col min="42" max="42" width="15.85546875" customWidth="1"/>
    <col min="43" max="43" width="9.5703125" customWidth="1"/>
    <col min="44" max="44" width="20.28515625" bestFit="1" customWidth="1"/>
    <col min="45" max="45" width="29.5703125" customWidth="1"/>
    <col min="57" max="57" width="18" bestFit="1" customWidth="1"/>
    <col min="58" max="58" width="45.42578125" bestFit="1" customWidth="1"/>
    <col min="59" max="59" width="11.42578125" style="2"/>
    <col min="60" max="60" width="16.140625" bestFit="1" customWidth="1"/>
  </cols>
  <sheetData>
    <row r="1" spans="1:61" ht="45.6" customHeight="1" x14ac:dyDescent="0.35">
      <c r="A1" s="17"/>
      <c r="B1" s="18"/>
      <c r="C1" s="111" t="s">
        <v>26</v>
      </c>
      <c r="D1" s="112"/>
      <c r="E1" s="112"/>
      <c r="F1" s="112"/>
      <c r="G1" s="112"/>
      <c r="H1" s="112"/>
      <c r="I1" s="112"/>
      <c r="J1" s="112"/>
      <c r="K1" s="113"/>
      <c r="L1" s="110" t="s">
        <v>25</v>
      </c>
      <c r="M1" s="110"/>
      <c r="N1" s="110"/>
      <c r="O1" s="110"/>
      <c r="P1" s="110"/>
      <c r="Q1" s="110"/>
      <c r="R1" s="110"/>
      <c r="S1" s="110"/>
      <c r="T1" s="36" t="s">
        <v>27</v>
      </c>
      <c r="U1" s="111" t="s">
        <v>17</v>
      </c>
      <c r="V1" s="112"/>
      <c r="W1" s="112"/>
      <c r="X1" s="112"/>
      <c r="Y1" s="112"/>
      <c r="Z1" s="112"/>
      <c r="AA1" s="112"/>
      <c r="AB1" s="112"/>
      <c r="AC1" s="112"/>
      <c r="AD1" s="113"/>
      <c r="AE1" s="114" t="s">
        <v>43</v>
      </c>
      <c r="AF1" s="115"/>
      <c r="AG1" s="116"/>
      <c r="AH1" s="117" t="s">
        <v>88</v>
      </c>
      <c r="AI1" s="118"/>
      <c r="AJ1" s="119"/>
      <c r="AK1" s="55"/>
      <c r="AL1" s="55"/>
      <c r="AM1" s="55"/>
      <c r="AN1" s="55"/>
      <c r="AO1" s="55"/>
      <c r="AP1" s="55"/>
      <c r="AQ1" s="55"/>
      <c r="AR1" s="55"/>
      <c r="AS1" s="55"/>
      <c r="AU1" t="s">
        <v>102</v>
      </c>
      <c r="AV1">
        <v>1483873968.6400001</v>
      </c>
    </row>
    <row r="2" spans="1:61" ht="119.2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89</v>
      </c>
      <c r="AL2" s="56" t="s">
        <v>101</v>
      </c>
      <c r="AM2" s="56" t="s">
        <v>90</v>
      </c>
      <c r="AN2" s="56" t="s">
        <v>91</v>
      </c>
      <c r="AO2" s="56" t="s">
        <v>94</v>
      </c>
      <c r="AP2" s="56" t="s">
        <v>98</v>
      </c>
      <c r="AQ2" s="56" t="s">
        <v>99</v>
      </c>
      <c r="AR2" s="56" t="s">
        <v>100</v>
      </c>
      <c r="AS2" s="56"/>
      <c r="BB2" t="s">
        <v>54</v>
      </c>
    </row>
    <row r="3" spans="1:61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O3" s="109" t="s">
        <v>95</v>
      </c>
      <c r="AP3" s="109"/>
      <c r="BB3" s="14" t="s">
        <v>48</v>
      </c>
      <c r="BC3" s="14">
        <v>1</v>
      </c>
      <c r="BD3" s="14"/>
      <c r="BE3" s="14"/>
      <c r="BG3" s="14"/>
    </row>
    <row r="4" spans="1:61" s="2" customFormat="1" ht="21" x14ac:dyDescent="0.35">
      <c r="A4" s="96">
        <v>1</v>
      </c>
      <c r="B4" s="103" t="s">
        <v>96</v>
      </c>
      <c r="C4" s="96">
        <v>220</v>
      </c>
      <c r="D4" s="96">
        <v>220</v>
      </c>
      <c r="E4" s="96">
        <v>600</v>
      </c>
      <c r="F4" s="96">
        <v>19</v>
      </c>
      <c r="G4" s="96">
        <v>19</v>
      </c>
      <c r="H4" s="96">
        <v>12</v>
      </c>
      <c r="I4" s="96">
        <v>24</v>
      </c>
      <c r="J4" s="96">
        <v>24</v>
      </c>
      <c r="K4" s="96">
        <v>25000</v>
      </c>
      <c r="L4" s="96">
        <v>0</v>
      </c>
      <c r="M4" s="96">
        <v>1</v>
      </c>
      <c r="N4" s="96">
        <v>2</v>
      </c>
      <c r="O4" s="96">
        <v>3</v>
      </c>
      <c r="P4" s="96">
        <v>200</v>
      </c>
      <c r="Q4" s="96">
        <v>0</v>
      </c>
      <c r="R4" s="96">
        <v>0</v>
      </c>
      <c r="S4" s="96">
        <v>0</v>
      </c>
      <c r="T4" s="96">
        <v>3</v>
      </c>
      <c r="U4" s="96" t="s">
        <v>48</v>
      </c>
      <c r="V4" s="96">
        <v>1</v>
      </c>
      <c r="W4" s="96">
        <v>1</v>
      </c>
      <c r="X4" s="96">
        <v>0</v>
      </c>
      <c r="Y4" s="96">
        <f>W4</f>
        <v>1</v>
      </c>
      <c r="Z4" s="96">
        <f>IF(X4=90,0,(1-Y4)/(TAN(X4/180*PI())+1))</f>
        <v>0</v>
      </c>
      <c r="AA4" s="96">
        <f>IF(X4=90,1-W4,Z4*TAN(X4/180*PI()))</f>
        <v>0</v>
      </c>
      <c r="AB4" s="104">
        <f>AH4/3.5</f>
        <v>923.1000918113939</v>
      </c>
      <c r="AC4" s="104">
        <f>Z4*AI4/3.5</f>
        <v>0</v>
      </c>
      <c r="AD4" s="104">
        <f>AA4*AJ4/3.5</f>
        <v>0</v>
      </c>
      <c r="AE4" s="96">
        <v>20</v>
      </c>
      <c r="AF4" s="96">
        <v>235</v>
      </c>
      <c r="AG4" s="96">
        <v>210000</v>
      </c>
      <c r="AH4" s="104">
        <v>3230.8503213398785</v>
      </c>
      <c r="AI4" s="104">
        <v>0</v>
      </c>
      <c r="AJ4" s="105">
        <v>0</v>
      </c>
      <c r="AK4" s="106">
        <f>K4/1000</f>
        <v>25</v>
      </c>
      <c r="AL4" s="106">
        <f>(K4/(6*1000))</f>
        <v>4.166666666666667</v>
      </c>
      <c r="AM4" s="101">
        <f>C4/200</f>
        <v>1.1000000000000001</v>
      </c>
      <c r="AN4" s="102"/>
      <c r="AO4" s="60">
        <f>AQ4*AG4*AR4/(K4*1000000)</f>
        <v>0</v>
      </c>
      <c r="AP4" s="60">
        <v>24999.999999999975</v>
      </c>
      <c r="AQ4" s="57">
        <v>0</v>
      </c>
      <c r="AR4" s="133">
        <v>883258314.66666663</v>
      </c>
      <c r="AS4" s="136"/>
      <c r="AX4" s="15"/>
      <c r="AY4" s="15"/>
      <c r="AZ4" s="16"/>
      <c r="BB4" s="2" t="s">
        <v>49</v>
      </c>
      <c r="BC4" s="2">
        <v>2</v>
      </c>
      <c r="BE4" s="52" t="s">
        <v>66</v>
      </c>
      <c r="BF4" s="52" t="s">
        <v>65</v>
      </c>
      <c r="BG4" s="53">
        <v>2016</v>
      </c>
      <c r="BH4" s="52" t="s">
        <v>69</v>
      </c>
      <c r="BI4" s="53">
        <v>53</v>
      </c>
    </row>
    <row r="5" spans="1:61" ht="21" x14ac:dyDescent="0.35">
      <c r="A5" s="28">
        <v>2</v>
      </c>
      <c r="B5" s="67" t="s">
        <v>96</v>
      </c>
      <c r="C5" s="28">
        <v>220</v>
      </c>
      <c r="D5" s="19">
        <v>220</v>
      </c>
      <c r="E5" s="28">
        <v>600</v>
      </c>
      <c r="F5" s="28">
        <v>19</v>
      </c>
      <c r="G5" s="19">
        <v>19</v>
      </c>
      <c r="H5" s="28">
        <v>12</v>
      </c>
      <c r="I5" s="19">
        <v>24</v>
      </c>
      <c r="J5" s="19">
        <v>24</v>
      </c>
      <c r="K5" s="19">
        <v>25000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>W5</f>
        <v>1</v>
      </c>
      <c r="Z5" s="19">
        <f>IF(X5=90,0,(1-Y5)/(TAN(X5/180*PI())+1))</f>
        <v>0</v>
      </c>
      <c r="AA5" s="19">
        <f>IF(X5=90,1-W5,Z5*TAN(X5/180*PI()))</f>
        <v>0</v>
      </c>
      <c r="AB5" s="29">
        <f>AH5/3.5</f>
        <v>923.1000918113939</v>
      </c>
      <c r="AC5" s="29">
        <f>Z5*AI5/3.5</f>
        <v>0</v>
      </c>
      <c r="AD5" s="29">
        <f>AA5*AJ5/3.5</f>
        <v>0</v>
      </c>
      <c r="AE5" s="28">
        <v>20</v>
      </c>
      <c r="AF5" s="28">
        <v>235</v>
      </c>
      <c r="AG5" s="28">
        <v>210000</v>
      </c>
      <c r="AH5" s="29">
        <v>3230.8503213398785</v>
      </c>
      <c r="AI5" s="29">
        <v>0</v>
      </c>
      <c r="AJ5" s="30">
        <v>0</v>
      </c>
      <c r="AK5" s="57">
        <f>K5/1000</f>
        <v>25</v>
      </c>
      <c r="AL5" s="57">
        <f>(K5/(6*1000))</f>
        <v>4.166666666666667</v>
      </c>
      <c r="AM5" s="57">
        <f>C5/200</f>
        <v>1.1000000000000001</v>
      </c>
      <c r="AN5" s="60"/>
      <c r="AO5" s="60">
        <f>AQ5*AG5*AR5/(K5*1000000)</f>
        <v>1483.8739686399999</v>
      </c>
      <c r="AP5" s="57">
        <v>24062.524423345534</v>
      </c>
      <c r="AQ5" s="57">
        <v>0.2</v>
      </c>
      <c r="AR5" s="133">
        <v>883258314.66666663</v>
      </c>
      <c r="AS5" s="136"/>
      <c r="AV5" s="13" t="s">
        <v>41</v>
      </c>
      <c r="AW5">
        <v>6</v>
      </c>
      <c r="AX5" s="15"/>
      <c r="AY5" s="15"/>
      <c r="AZ5" s="16"/>
      <c r="BB5" s="2" t="s">
        <v>47</v>
      </c>
      <c r="BC5" s="2">
        <v>3</v>
      </c>
      <c r="BD5" s="2"/>
      <c r="BE5" t="s">
        <v>66</v>
      </c>
      <c r="BF5" t="s">
        <v>65</v>
      </c>
      <c r="BG5" s="2">
        <v>2016</v>
      </c>
    </row>
    <row r="6" spans="1:61" ht="21" x14ac:dyDescent="0.35">
      <c r="A6" s="28">
        <v>3</v>
      </c>
      <c r="B6" s="67" t="s">
        <v>96</v>
      </c>
      <c r="C6" s="28">
        <v>220</v>
      </c>
      <c r="D6" s="19">
        <v>220</v>
      </c>
      <c r="E6" s="28">
        <v>600</v>
      </c>
      <c r="F6" s="28">
        <v>19</v>
      </c>
      <c r="G6" s="19">
        <v>19</v>
      </c>
      <c r="H6" s="28">
        <v>12</v>
      </c>
      <c r="I6" s="19">
        <v>24</v>
      </c>
      <c r="J6" s="19">
        <v>24</v>
      </c>
      <c r="K6" s="19">
        <v>25000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">
        <v>48</v>
      </c>
      <c r="V6" s="19">
        <v>1</v>
      </c>
      <c r="W6" s="28">
        <v>1</v>
      </c>
      <c r="X6" s="28">
        <v>0</v>
      </c>
      <c r="Y6" s="19">
        <f>W6</f>
        <v>1</v>
      </c>
      <c r="Z6" s="19">
        <f>IF(X6=90,0,(1-Y6)/(TAN(X6/180*PI())+1))</f>
        <v>0</v>
      </c>
      <c r="AA6" s="19">
        <f>IF(X6=90,1-W6,Z6*TAN(X6/180*PI()))</f>
        <v>0</v>
      </c>
      <c r="AB6" s="29">
        <f>AH6/3.5</f>
        <v>923.1000918113939</v>
      </c>
      <c r="AC6" s="29">
        <f>Z6*AI6/3.5</f>
        <v>0</v>
      </c>
      <c r="AD6" s="29">
        <f>AA6*AJ6/3.5</f>
        <v>0</v>
      </c>
      <c r="AE6" s="28">
        <v>20</v>
      </c>
      <c r="AF6" s="28">
        <v>235</v>
      </c>
      <c r="AG6" s="28">
        <v>210000</v>
      </c>
      <c r="AH6" s="29">
        <v>3230.8503213398785</v>
      </c>
      <c r="AI6" s="29">
        <v>0</v>
      </c>
      <c r="AJ6" s="30">
        <v>0</v>
      </c>
      <c r="AK6" s="57">
        <f>K6/1000</f>
        <v>25</v>
      </c>
      <c r="AL6" s="57">
        <f>(K6/(6*1000))</f>
        <v>4.166666666666667</v>
      </c>
      <c r="AM6" s="57">
        <f>C6/200</f>
        <v>1.1000000000000001</v>
      </c>
      <c r="AN6" s="60"/>
      <c r="AO6" s="60">
        <f>AQ6*AG6*AR6/(K6*1000000)</f>
        <v>2967.7479372799999</v>
      </c>
      <c r="AP6" s="57">
        <v>23254.758518806259</v>
      </c>
      <c r="AQ6" s="57">
        <v>0.4</v>
      </c>
      <c r="AR6" s="133">
        <v>883258314.66666663</v>
      </c>
      <c r="AS6" s="136"/>
      <c r="AX6" s="15"/>
      <c r="AY6" s="15"/>
      <c r="AZ6" s="16"/>
      <c r="BB6" s="2" t="s">
        <v>60</v>
      </c>
      <c r="BC6" s="2">
        <v>4</v>
      </c>
      <c r="BD6" s="2"/>
      <c r="BE6" t="s">
        <v>66</v>
      </c>
      <c r="BF6" t="s">
        <v>65</v>
      </c>
      <c r="BG6" s="2">
        <v>2016</v>
      </c>
    </row>
    <row r="7" spans="1:61" ht="21" x14ac:dyDescent="0.35">
      <c r="A7" s="28">
        <v>4</v>
      </c>
      <c r="B7" s="67" t="s">
        <v>96</v>
      </c>
      <c r="C7" s="28">
        <v>220</v>
      </c>
      <c r="D7" s="19">
        <v>220</v>
      </c>
      <c r="E7" s="28">
        <v>600</v>
      </c>
      <c r="F7" s="28">
        <v>19</v>
      </c>
      <c r="G7" s="19">
        <v>19</v>
      </c>
      <c r="H7" s="28">
        <v>12</v>
      </c>
      <c r="I7" s="19">
        <v>24</v>
      </c>
      <c r="J7" s="19">
        <v>24</v>
      </c>
      <c r="K7" s="19">
        <v>25000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>W7</f>
        <v>1</v>
      </c>
      <c r="Z7" s="19">
        <f>IF(X7=90,0,(1-Y7)/(TAN(X7/180*PI())+1))</f>
        <v>0</v>
      </c>
      <c r="AA7" s="19">
        <f>IF(X7=90,1-W7,Z7*TAN(X7/180*PI()))</f>
        <v>0</v>
      </c>
      <c r="AB7" s="29">
        <f>AH7/3.5</f>
        <v>923.1000918113939</v>
      </c>
      <c r="AC7" s="29">
        <f>Z7*AI7/3.5</f>
        <v>0</v>
      </c>
      <c r="AD7" s="29">
        <f>AA7*AJ7/3.5</f>
        <v>0</v>
      </c>
      <c r="AE7" s="28">
        <v>20</v>
      </c>
      <c r="AF7" s="28">
        <v>235</v>
      </c>
      <c r="AG7" s="28">
        <v>210000</v>
      </c>
      <c r="AH7" s="29">
        <v>3230.8503213398785</v>
      </c>
      <c r="AI7" s="29">
        <v>0</v>
      </c>
      <c r="AJ7" s="30">
        <v>0</v>
      </c>
      <c r="AK7" s="57">
        <f>K7/1000</f>
        <v>25</v>
      </c>
      <c r="AL7" s="57">
        <f>(K7/(6*1000))</f>
        <v>4.166666666666667</v>
      </c>
      <c r="AM7" s="57">
        <f>C7/200</f>
        <v>1.1000000000000001</v>
      </c>
      <c r="AN7" s="60"/>
      <c r="AO7" s="60">
        <f>AQ7*AG7*AR7/(K7*1000000)</f>
        <v>4451.6219059200002</v>
      </c>
      <c r="AP7" s="57">
        <v>22550.804781630846</v>
      </c>
      <c r="AQ7" s="57">
        <v>0.6</v>
      </c>
      <c r="AR7" s="133">
        <v>883258314.66666663</v>
      </c>
      <c r="AS7" s="136"/>
      <c r="AX7" s="60"/>
      <c r="AY7" s="15"/>
      <c r="AZ7" s="16"/>
      <c r="BB7" s="2" t="s">
        <v>61</v>
      </c>
      <c r="BC7" s="2">
        <v>5</v>
      </c>
      <c r="BD7" s="2"/>
      <c r="BE7" t="s">
        <v>66</v>
      </c>
      <c r="BF7" t="s">
        <v>65</v>
      </c>
      <c r="BG7" s="2">
        <v>2016</v>
      </c>
    </row>
    <row r="8" spans="1:61" ht="20.25" customHeight="1" x14ac:dyDescent="0.35">
      <c r="A8" s="28">
        <v>5</v>
      </c>
      <c r="B8" s="67" t="s">
        <v>96</v>
      </c>
      <c r="C8" s="28">
        <v>220</v>
      </c>
      <c r="D8" s="19">
        <v>220</v>
      </c>
      <c r="E8" s="28">
        <v>600</v>
      </c>
      <c r="F8" s="28">
        <v>19</v>
      </c>
      <c r="G8" s="19">
        <v>19</v>
      </c>
      <c r="H8" s="28">
        <v>12</v>
      </c>
      <c r="I8" s="19">
        <v>24</v>
      </c>
      <c r="J8" s="19">
        <v>24</v>
      </c>
      <c r="K8" s="19">
        <v>25000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">
        <v>48</v>
      </c>
      <c r="V8" s="19">
        <v>1</v>
      </c>
      <c r="W8" s="28">
        <v>1</v>
      </c>
      <c r="X8" s="28">
        <v>0</v>
      </c>
      <c r="Y8" s="19">
        <f>W8</f>
        <v>1</v>
      </c>
      <c r="Z8" s="19">
        <f>IF(X8=90,0,(1-Y8)/(TAN(X8/180*PI())+1))</f>
        <v>0</v>
      </c>
      <c r="AA8" s="19">
        <f>IF(X8=90,1-W8,Z8*TAN(X8/180*PI()))</f>
        <v>0</v>
      </c>
      <c r="AB8" s="29">
        <f>AH8/3.5</f>
        <v>923.1000918113939</v>
      </c>
      <c r="AC8" s="29">
        <f>Z8*AI8/3.5</f>
        <v>0</v>
      </c>
      <c r="AD8" s="29">
        <f>AA8*AJ8/3.5</f>
        <v>0</v>
      </c>
      <c r="AE8" s="28">
        <v>20</v>
      </c>
      <c r="AF8" s="28">
        <v>235</v>
      </c>
      <c r="AG8" s="28">
        <v>210000</v>
      </c>
      <c r="AH8" s="29">
        <v>3230.8503213398785</v>
      </c>
      <c r="AI8" s="29">
        <v>0</v>
      </c>
      <c r="AJ8" s="30">
        <v>0</v>
      </c>
      <c r="AK8" s="57">
        <f>K8/1000</f>
        <v>25</v>
      </c>
      <c r="AL8" s="57">
        <f>(K8/(6*1000))</f>
        <v>4.166666666666667</v>
      </c>
      <c r="AM8" s="57">
        <f>C8/200</f>
        <v>1.1000000000000001</v>
      </c>
      <c r="AN8" s="60"/>
      <c r="AO8" s="60">
        <f>AQ8*AG8*AR8/(K8*1000000)</f>
        <v>5935.4958745599997</v>
      </c>
      <c r="AP8" s="57">
        <v>21931.400192060424</v>
      </c>
      <c r="AQ8" s="57">
        <v>0.8</v>
      </c>
      <c r="AR8" s="133">
        <v>883258314.66666663</v>
      </c>
      <c r="AS8" s="136"/>
      <c r="AX8" s="57"/>
      <c r="AY8" s="15"/>
      <c r="AZ8" s="16"/>
      <c r="BB8" s="2" t="s">
        <v>62</v>
      </c>
      <c r="BC8" s="2">
        <v>6</v>
      </c>
      <c r="BD8" s="2"/>
      <c r="BE8" t="s">
        <v>66</v>
      </c>
      <c r="BF8" t="s">
        <v>65</v>
      </c>
      <c r="BG8" s="2">
        <v>2016</v>
      </c>
    </row>
    <row r="9" spans="1:61" ht="21" x14ac:dyDescent="0.35">
      <c r="A9" s="28">
        <v>6</v>
      </c>
      <c r="B9" s="67" t="s">
        <v>96</v>
      </c>
      <c r="C9" s="28">
        <v>220</v>
      </c>
      <c r="D9" s="19">
        <v>220</v>
      </c>
      <c r="E9" s="28">
        <v>600</v>
      </c>
      <c r="F9" s="28">
        <v>19</v>
      </c>
      <c r="G9" s="19">
        <v>19</v>
      </c>
      <c r="H9" s="28">
        <v>12</v>
      </c>
      <c r="I9" s="19">
        <v>24</v>
      </c>
      <c r="J9" s="19">
        <v>24</v>
      </c>
      <c r="K9" s="19">
        <v>25000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">
        <v>48</v>
      </c>
      <c r="V9" s="19">
        <v>1</v>
      </c>
      <c r="W9" s="28">
        <v>1</v>
      </c>
      <c r="X9" s="28">
        <v>0</v>
      </c>
      <c r="Y9" s="19">
        <f>W9</f>
        <v>1</v>
      </c>
      <c r="Z9" s="19">
        <f>IF(X9=90,0,(1-Y9)/(TAN(X9/180*PI())+1))</f>
        <v>0</v>
      </c>
      <c r="AA9" s="19">
        <f>IF(X9=90,1-W9,Z9*TAN(X9/180*PI()))</f>
        <v>0</v>
      </c>
      <c r="AB9" s="29">
        <f>AH9/3.5</f>
        <v>923.1000918113939</v>
      </c>
      <c r="AC9" s="29">
        <f>Z9*AI9/3.5</f>
        <v>0</v>
      </c>
      <c r="AD9" s="29">
        <f>AA9*AJ9/3.5</f>
        <v>0</v>
      </c>
      <c r="AE9" s="28">
        <v>20</v>
      </c>
      <c r="AF9" s="28">
        <v>235</v>
      </c>
      <c r="AG9" s="28">
        <v>210000</v>
      </c>
      <c r="AH9" s="29">
        <v>3230.8503213398785</v>
      </c>
      <c r="AI9" s="29">
        <v>0</v>
      </c>
      <c r="AJ9" s="30">
        <v>0</v>
      </c>
      <c r="AK9" s="57">
        <f>K9/1000</f>
        <v>25</v>
      </c>
      <c r="AL9" s="57">
        <f>(K9/(6*1000))</f>
        <v>4.166666666666667</v>
      </c>
      <c r="AM9" s="57">
        <f>C9/200</f>
        <v>1.1000000000000001</v>
      </c>
      <c r="AN9" s="60"/>
      <c r="AO9" s="60">
        <f>AQ9*AG9*AR9/(K9*1000000)</f>
        <v>7419.3698432000001</v>
      </c>
      <c r="AP9" s="57">
        <v>21381.883900549339</v>
      </c>
      <c r="AQ9" s="57">
        <v>1</v>
      </c>
      <c r="AR9" s="133">
        <v>883258314.66666663</v>
      </c>
      <c r="AS9" s="136"/>
      <c r="AX9" s="57"/>
      <c r="AY9" s="15"/>
      <c r="AZ9" s="16"/>
      <c r="BB9" s="2" t="s">
        <v>63</v>
      </c>
      <c r="BC9" s="2">
        <v>7</v>
      </c>
      <c r="BD9" s="2"/>
      <c r="BE9" t="s">
        <v>66</v>
      </c>
      <c r="BF9" t="s">
        <v>65</v>
      </c>
      <c r="BG9" s="2">
        <v>2016</v>
      </c>
    </row>
    <row r="10" spans="1:61" ht="21" x14ac:dyDescent="0.35">
      <c r="A10" s="28">
        <v>7</v>
      </c>
      <c r="B10" s="67" t="s">
        <v>96</v>
      </c>
      <c r="C10" s="28">
        <v>220</v>
      </c>
      <c r="D10" s="19">
        <v>220</v>
      </c>
      <c r="E10" s="28">
        <v>600</v>
      </c>
      <c r="F10" s="28">
        <v>19</v>
      </c>
      <c r="G10" s="19">
        <v>19</v>
      </c>
      <c r="H10" s="28">
        <v>12</v>
      </c>
      <c r="I10" s="19">
        <v>24</v>
      </c>
      <c r="J10" s="19">
        <v>24</v>
      </c>
      <c r="K10" s="19">
        <v>25000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>W10</f>
        <v>1</v>
      </c>
      <c r="Z10" s="19">
        <f>IF(X10=90,0,(1-Y10)/(TAN(X10/180*PI())+1))</f>
        <v>0</v>
      </c>
      <c r="AA10" s="19">
        <f>IF(X10=90,1-W10,Z10*TAN(X10/180*PI()))</f>
        <v>0</v>
      </c>
      <c r="AB10" s="29">
        <f>AH10/3.5</f>
        <v>923.1000918113939</v>
      </c>
      <c r="AC10" s="29">
        <f>Z10*AI10/3.5</f>
        <v>0</v>
      </c>
      <c r="AD10" s="29">
        <f>AA10*AJ10/3.5</f>
        <v>0</v>
      </c>
      <c r="AE10" s="28">
        <v>20</v>
      </c>
      <c r="AF10" s="28">
        <v>235</v>
      </c>
      <c r="AG10" s="28">
        <v>210000</v>
      </c>
      <c r="AH10" s="29">
        <v>3230.8503213398785</v>
      </c>
      <c r="AI10" s="29">
        <v>0</v>
      </c>
      <c r="AJ10" s="30">
        <v>0</v>
      </c>
      <c r="AK10" s="57">
        <f>K10/1000</f>
        <v>25</v>
      </c>
      <c r="AL10" s="57">
        <f>(K10/(6*1000))</f>
        <v>4.166666666666667</v>
      </c>
      <c r="AM10" s="57">
        <f>C10/200</f>
        <v>1.1000000000000001</v>
      </c>
      <c r="AN10" s="60"/>
      <c r="AO10" s="60">
        <f>AQ10*AG10*AR10/(K10*1000000)</f>
        <v>8903.2438118400005</v>
      </c>
      <c r="AP10" s="57">
        <v>20890.876940646838</v>
      </c>
      <c r="AQ10" s="57">
        <v>1.2</v>
      </c>
      <c r="AR10" s="133">
        <v>883258314.66666663</v>
      </c>
      <c r="AS10" s="136"/>
      <c r="AX10" s="57"/>
      <c r="AY10" s="15"/>
      <c r="AZ10" s="16"/>
      <c r="BE10" s="52" t="s">
        <v>73</v>
      </c>
      <c r="BF10" s="52" t="s">
        <v>72</v>
      </c>
      <c r="BG10" s="53">
        <v>2024</v>
      </c>
      <c r="BH10" s="52" t="s">
        <v>71</v>
      </c>
      <c r="BI10" s="52">
        <v>49</v>
      </c>
    </row>
    <row r="11" spans="1:61" ht="21" x14ac:dyDescent="0.35">
      <c r="A11" s="28">
        <v>8</v>
      </c>
      <c r="B11" s="67" t="s">
        <v>96</v>
      </c>
      <c r="C11" s="28">
        <v>220</v>
      </c>
      <c r="D11" s="19">
        <v>220</v>
      </c>
      <c r="E11" s="28">
        <v>600</v>
      </c>
      <c r="F11" s="28">
        <v>19</v>
      </c>
      <c r="G11" s="19">
        <v>19</v>
      </c>
      <c r="H11" s="28">
        <v>12</v>
      </c>
      <c r="I11" s="19">
        <v>24</v>
      </c>
      <c r="J11" s="19">
        <v>24</v>
      </c>
      <c r="K11" s="19">
        <v>25000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>W11</f>
        <v>1</v>
      </c>
      <c r="Z11" s="19">
        <f>IF(X11=90,0,(1-Y11)/(TAN(X11/180*PI())+1))</f>
        <v>0</v>
      </c>
      <c r="AA11" s="19">
        <f>IF(X11=90,1-W11,Z11*TAN(X11/180*PI()))</f>
        <v>0</v>
      </c>
      <c r="AB11" s="29">
        <f>AH11/3.5</f>
        <v>923.1000918113939</v>
      </c>
      <c r="AC11" s="29">
        <f>Z11*AI11/3.5</f>
        <v>0</v>
      </c>
      <c r="AD11" s="29">
        <f>AA11*AJ11/3.5</f>
        <v>0</v>
      </c>
      <c r="AE11" s="28">
        <v>20</v>
      </c>
      <c r="AF11" s="28">
        <v>235</v>
      </c>
      <c r="AG11" s="28">
        <v>210000</v>
      </c>
      <c r="AH11" s="29">
        <v>3230.8503213398785</v>
      </c>
      <c r="AI11" s="29">
        <v>0</v>
      </c>
      <c r="AJ11" s="30">
        <v>0</v>
      </c>
      <c r="AK11" s="57">
        <f>K11/1000</f>
        <v>25</v>
      </c>
      <c r="AL11" s="57">
        <f>(K11/(6*1000))</f>
        <v>4.166666666666667</v>
      </c>
      <c r="AM11" s="57">
        <f>C11/200</f>
        <v>1.1000000000000001</v>
      </c>
      <c r="AN11" s="60"/>
      <c r="AO11" s="60">
        <f>AQ11*AG11*AR11/(K11*1000000)</f>
        <v>10387.117780480001</v>
      </c>
      <c r="AP11" s="57">
        <v>20449.396879691663</v>
      </c>
      <c r="AQ11" s="57">
        <v>1.4</v>
      </c>
      <c r="AR11" s="133">
        <v>883258314.66666663</v>
      </c>
      <c r="AS11" s="136"/>
      <c r="AX11" s="57"/>
      <c r="AY11" s="15"/>
      <c r="AZ11" s="16"/>
      <c r="BE11" t="s">
        <v>73</v>
      </c>
      <c r="BF11" t="s">
        <v>72</v>
      </c>
      <c r="BG11" s="2">
        <v>2024</v>
      </c>
    </row>
    <row r="12" spans="1:61" ht="21" x14ac:dyDescent="0.35">
      <c r="A12" s="28">
        <v>9</v>
      </c>
      <c r="B12" s="67" t="s">
        <v>96</v>
      </c>
      <c r="C12" s="28">
        <v>220</v>
      </c>
      <c r="D12" s="19">
        <v>220</v>
      </c>
      <c r="E12" s="28">
        <v>600</v>
      </c>
      <c r="F12" s="28">
        <v>19</v>
      </c>
      <c r="G12" s="19">
        <v>19</v>
      </c>
      <c r="H12" s="28">
        <v>12</v>
      </c>
      <c r="I12" s="19">
        <v>24</v>
      </c>
      <c r="J12" s="19">
        <v>24</v>
      </c>
      <c r="K12" s="19">
        <v>25000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>W12</f>
        <v>1</v>
      </c>
      <c r="Z12" s="19">
        <f>IF(X12=90,0,(1-Y12)/(TAN(X12/180*PI())+1))</f>
        <v>0</v>
      </c>
      <c r="AA12" s="19">
        <f>IF(X12=90,1-W12,Z12*TAN(X12/180*PI()))</f>
        <v>0</v>
      </c>
      <c r="AB12" s="29">
        <f>AH12/3.5</f>
        <v>923.1000918113939</v>
      </c>
      <c r="AC12" s="29">
        <f>Z12*AI12/3.5</f>
        <v>0</v>
      </c>
      <c r="AD12" s="29">
        <f>AA12*AJ12/3.5</f>
        <v>0</v>
      </c>
      <c r="AE12" s="28">
        <v>20</v>
      </c>
      <c r="AF12" s="28">
        <v>235</v>
      </c>
      <c r="AG12" s="28">
        <v>210000</v>
      </c>
      <c r="AH12" s="29">
        <v>3230.8503213398785</v>
      </c>
      <c r="AI12" s="29">
        <v>0</v>
      </c>
      <c r="AJ12" s="30">
        <v>0</v>
      </c>
      <c r="AK12" s="57">
        <f>K12/1000</f>
        <v>25</v>
      </c>
      <c r="AL12" s="57">
        <f>(K12/(6*1000))</f>
        <v>4.166666666666667</v>
      </c>
      <c r="AM12" s="57">
        <f>C12/200</f>
        <v>1.1000000000000001</v>
      </c>
      <c r="AN12" s="60"/>
      <c r="AO12" s="60">
        <f>AQ12*AG12*AR12/(K12*1000000)</f>
        <v>11870.991749119999</v>
      </c>
      <c r="AP12" s="57">
        <v>20050.24769254577</v>
      </c>
      <c r="AQ12" s="57">
        <v>1.6</v>
      </c>
      <c r="AR12" s="133">
        <v>883258314.66666663</v>
      </c>
      <c r="AS12" s="136"/>
      <c r="AX12" s="57"/>
      <c r="AY12" s="15"/>
      <c r="AZ12" s="16"/>
      <c r="BE12" t="s">
        <v>73</v>
      </c>
      <c r="BF12" t="s">
        <v>72</v>
      </c>
      <c r="BG12" s="2">
        <v>2024</v>
      </c>
    </row>
    <row r="13" spans="1:61" ht="21" x14ac:dyDescent="0.35">
      <c r="A13" s="28">
        <v>10</v>
      </c>
      <c r="B13" s="67" t="s">
        <v>96</v>
      </c>
      <c r="C13" s="28">
        <v>220</v>
      </c>
      <c r="D13" s="19">
        <v>220</v>
      </c>
      <c r="E13" s="28">
        <v>600</v>
      </c>
      <c r="F13" s="28">
        <v>19</v>
      </c>
      <c r="G13" s="19">
        <v>19</v>
      </c>
      <c r="H13" s="28">
        <v>12</v>
      </c>
      <c r="I13" s="19">
        <v>24</v>
      </c>
      <c r="J13" s="19">
        <v>24</v>
      </c>
      <c r="K13" s="19">
        <v>25000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>W13</f>
        <v>1</v>
      </c>
      <c r="Z13" s="19">
        <f>IF(X13=90,0,(1-Y13)/(TAN(X13/180*PI())+1))</f>
        <v>0</v>
      </c>
      <c r="AA13" s="19">
        <f>IF(X13=90,1-W13,Z13*TAN(X13/180*PI()))</f>
        <v>0</v>
      </c>
      <c r="AB13" s="29">
        <f>AH13/3.5</f>
        <v>923.1000918113939</v>
      </c>
      <c r="AC13" s="29">
        <f>Z13*AI13/3.5</f>
        <v>0</v>
      </c>
      <c r="AD13" s="29">
        <f>AA13*AJ13/3.5</f>
        <v>0</v>
      </c>
      <c r="AE13" s="28">
        <v>20</v>
      </c>
      <c r="AF13" s="28">
        <v>235</v>
      </c>
      <c r="AG13" s="28">
        <v>210000</v>
      </c>
      <c r="AH13" s="29">
        <v>3230.8503213398785</v>
      </c>
      <c r="AI13" s="29">
        <v>0</v>
      </c>
      <c r="AJ13" s="30">
        <v>0</v>
      </c>
      <c r="AK13" s="57">
        <f>K13/1000</f>
        <v>25</v>
      </c>
      <c r="AL13" s="57">
        <f>(K13/(6*1000))</f>
        <v>4.166666666666667</v>
      </c>
      <c r="AM13" s="57">
        <f>C13/200</f>
        <v>1.1000000000000001</v>
      </c>
      <c r="AN13" s="60"/>
      <c r="AO13" s="60">
        <f>AQ13*AG13*AR13/(K13*1000000)</f>
        <v>13354.86571776</v>
      </c>
      <c r="AP13" s="57">
        <v>19687.589185528301</v>
      </c>
      <c r="AQ13" s="57">
        <v>1.8</v>
      </c>
      <c r="AR13" s="133">
        <v>883258314.66666663</v>
      </c>
      <c r="AS13" s="136"/>
      <c r="AX13" s="57"/>
      <c r="AY13" s="15"/>
      <c r="AZ13" s="16"/>
      <c r="BE13" t="s">
        <v>73</v>
      </c>
      <c r="BF13" t="s">
        <v>72</v>
      </c>
      <c r="BG13" s="2">
        <v>2024</v>
      </c>
    </row>
    <row r="14" spans="1:61" ht="21" x14ac:dyDescent="0.35">
      <c r="A14" s="28">
        <v>11</v>
      </c>
      <c r="B14" s="67" t="s">
        <v>96</v>
      </c>
      <c r="C14" s="28">
        <v>220</v>
      </c>
      <c r="D14" s="19">
        <v>220</v>
      </c>
      <c r="E14" s="28">
        <v>600</v>
      </c>
      <c r="F14" s="28">
        <v>19</v>
      </c>
      <c r="G14" s="19">
        <v>19</v>
      </c>
      <c r="H14" s="28">
        <v>12</v>
      </c>
      <c r="I14" s="19">
        <v>24</v>
      </c>
      <c r="J14" s="19">
        <v>24</v>
      </c>
      <c r="K14" s="19">
        <v>25000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>W14</f>
        <v>1</v>
      </c>
      <c r="Z14" s="19">
        <f>IF(X14=90,0,(1-Y14)/(TAN(X14/180*PI())+1))</f>
        <v>0</v>
      </c>
      <c r="AA14" s="19">
        <f>IF(X14=90,1-W14,Z14*TAN(X14/180*PI()))</f>
        <v>0</v>
      </c>
      <c r="AB14" s="29">
        <f>AH14/3.5</f>
        <v>923.1000918113939</v>
      </c>
      <c r="AC14" s="29">
        <f>Z14*AI14/3.5</f>
        <v>0</v>
      </c>
      <c r="AD14" s="29">
        <f>AA14*AJ14/3.5</f>
        <v>0</v>
      </c>
      <c r="AE14" s="28">
        <v>20</v>
      </c>
      <c r="AF14" s="28">
        <v>235</v>
      </c>
      <c r="AG14" s="28">
        <v>210000</v>
      </c>
      <c r="AH14" s="29">
        <v>3230.8503213398785</v>
      </c>
      <c r="AI14" s="29">
        <v>0</v>
      </c>
      <c r="AJ14" s="30">
        <v>0</v>
      </c>
      <c r="AK14" s="57">
        <f>K14/1000</f>
        <v>25</v>
      </c>
      <c r="AL14" s="57">
        <f>(K14/(6*1000))</f>
        <v>4.166666666666667</v>
      </c>
      <c r="AM14" s="57">
        <f>C14/200</f>
        <v>1.1000000000000001</v>
      </c>
      <c r="AN14" s="60"/>
      <c r="AO14" s="60">
        <f>AQ14*AG14*AR14/(K14*1000000)</f>
        <v>14838.7396864</v>
      </c>
      <c r="AP14" s="57">
        <v>19356.62671620187</v>
      </c>
      <c r="AQ14" s="57">
        <v>2</v>
      </c>
      <c r="AR14" s="133">
        <v>883258314.66666663</v>
      </c>
      <c r="AS14" s="136"/>
      <c r="AX14" s="57"/>
      <c r="AY14" s="15"/>
      <c r="AZ14" s="16"/>
      <c r="BE14" t="s">
        <v>73</v>
      </c>
      <c r="BF14" t="s">
        <v>72</v>
      </c>
      <c r="BG14" s="2">
        <v>2024</v>
      </c>
    </row>
    <row r="15" spans="1:61" ht="21" x14ac:dyDescent="0.35">
      <c r="A15" s="28">
        <v>12</v>
      </c>
      <c r="B15" s="67" t="s">
        <v>96</v>
      </c>
      <c r="C15" s="28">
        <v>220</v>
      </c>
      <c r="D15" s="19">
        <v>220</v>
      </c>
      <c r="E15" s="28">
        <v>600</v>
      </c>
      <c r="F15" s="28">
        <v>19</v>
      </c>
      <c r="G15" s="19">
        <v>19</v>
      </c>
      <c r="H15" s="28">
        <v>12</v>
      </c>
      <c r="I15" s="19">
        <v>24</v>
      </c>
      <c r="J15" s="19">
        <v>24</v>
      </c>
      <c r="K15" s="19">
        <v>25000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ref="Y15:Y24" si="0">W15</f>
        <v>1</v>
      </c>
      <c r="Z15" s="19">
        <f t="shared" ref="Z15:Z24" si="1">IF(X15=90,0,(1-Y15)/(TAN(X15/180*PI())+1))</f>
        <v>0</v>
      </c>
      <c r="AA15" s="19">
        <f t="shared" ref="AA15:AA24" si="2">IF(X15=90,1-W15,Z15*TAN(X15/180*PI()))</f>
        <v>0</v>
      </c>
      <c r="AB15" s="29">
        <f>AH15/3.5</f>
        <v>923.1000918113939</v>
      </c>
      <c r="AC15" s="29">
        <f t="shared" ref="AC15:AC24" si="3">Z15*AI15/3.5</f>
        <v>0</v>
      </c>
      <c r="AD15" s="29">
        <f t="shared" ref="AD15:AD24" si="4">AA15*AJ15/3.5</f>
        <v>0</v>
      </c>
      <c r="AE15" s="28">
        <v>20</v>
      </c>
      <c r="AF15" s="28">
        <v>235</v>
      </c>
      <c r="AG15" s="28">
        <v>210000</v>
      </c>
      <c r="AH15" s="29">
        <v>3230.8503213398785</v>
      </c>
      <c r="AI15" s="29">
        <v>0</v>
      </c>
      <c r="AJ15" s="30">
        <v>0</v>
      </c>
      <c r="AK15" s="57">
        <f>K15/1000</f>
        <v>25</v>
      </c>
      <c r="AL15" s="57">
        <f>(K15/(6*1000))</f>
        <v>4.166666666666667</v>
      </c>
      <c r="AM15" s="57">
        <f>C15/200</f>
        <v>1.1000000000000001</v>
      </c>
      <c r="AN15" s="60"/>
      <c r="AO15" s="60">
        <f>AQ15*AG15*AR15/(K15*1000000)</f>
        <v>16322.613655040002</v>
      </c>
      <c r="AP15" s="57">
        <v>19053.38342268148</v>
      </c>
      <c r="AQ15" s="57">
        <v>2.2000000000000002</v>
      </c>
      <c r="AR15" s="133">
        <v>883258314.66666663</v>
      </c>
      <c r="AS15" s="136"/>
      <c r="AX15" s="57"/>
      <c r="AY15" s="15"/>
      <c r="AZ15" s="16"/>
    </row>
    <row r="16" spans="1:61" ht="21" x14ac:dyDescent="0.35">
      <c r="A16" s="28">
        <v>13</v>
      </c>
      <c r="B16" s="67" t="s">
        <v>96</v>
      </c>
      <c r="C16" s="28">
        <v>220</v>
      </c>
      <c r="D16" s="19">
        <v>220</v>
      </c>
      <c r="E16" s="28">
        <v>600</v>
      </c>
      <c r="F16" s="28">
        <v>19</v>
      </c>
      <c r="G16" s="19">
        <v>19</v>
      </c>
      <c r="H16" s="28">
        <v>12</v>
      </c>
      <c r="I16" s="19">
        <v>24</v>
      </c>
      <c r="J16" s="19">
        <v>24</v>
      </c>
      <c r="K16" s="19">
        <v>25000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0"/>
        <v>1</v>
      </c>
      <c r="Z16" s="19">
        <f t="shared" si="1"/>
        <v>0</v>
      </c>
      <c r="AA16" s="19">
        <f t="shared" si="2"/>
        <v>0</v>
      </c>
      <c r="AB16" s="29">
        <f>AH16/3.5</f>
        <v>923.1000918113939</v>
      </c>
      <c r="AC16" s="29">
        <f t="shared" si="3"/>
        <v>0</v>
      </c>
      <c r="AD16" s="29">
        <f t="shared" si="4"/>
        <v>0</v>
      </c>
      <c r="AE16" s="28">
        <v>20</v>
      </c>
      <c r="AF16" s="28">
        <v>235</v>
      </c>
      <c r="AG16" s="28">
        <v>210000</v>
      </c>
      <c r="AH16" s="29">
        <v>3230.8503213398785</v>
      </c>
      <c r="AI16" s="29">
        <v>0</v>
      </c>
      <c r="AJ16" s="30">
        <v>0</v>
      </c>
      <c r="AK16" s="57">
        <f>K16/1000</f>
        <v>25</v>
      </c>
      <c r="AL16" s="57">
        <f>(K16/(6*1000))</f>
        <v>4.166666666666667</v>
      </c>
      <c r="AM16" s="57">
        <f>C16/200</f>
        <v>1.1000000000000001</v>
      </c>
      <c r="AN16" s="60"/>
      <c r="AO16" s="60">
        <f>AQ16*AG16*AR16/(K16*1000000)</f>
        <v>17806.487623680001</v>
      </c>
      <c r="AP16" s="57">
        <v>18774.530236700732</v>
      </c>
      <c r="AQ16" s="57">
        <v>2.4</v>
      </c>
      <c r="AR16" s="133">
        <v>883258314.66666663</v>
      </c>
      <c r="AS16" s="136"/>
      <c r="AX16" s="57"/>
      <c r="AY16" s="15"/>
      <c r="AZ16" s="16"/>
    </row>
    <row r="17" spans="1:61" ht="21" x14ac:dyDescent="0.35">
      <c r="A17" s="28">
        <v>14</v>
      </c>
      <c r="B17" s="67" t="s">
        <v>96</v>
      </c>
      <c r="C17" s="28">
        <v>220</v>
      </c>
      <c r="D17" s="19">
        <v>220</v>
      </c>
      <c r="E17" s="28">
        <v>600</v>
      </c>
      <c r="F17" s="28">
        <v>19</v>
      </c>
      <c r="G17" s="19">
        <v>19</v>
      </c>
      <c r="H17" s="28">
        <v>12</v>
      </c>
      <c r="I17" s="19">
        <v>24</v>
      </c>
      <c r="J17" s="19">
        <v>24</v>
      </c>
      <c r="K17" s="19">
        <v>25000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0"/>
        <v>1</v>
      </c>
      <c r="Z17" s="19">
        <f t="shared" si="1"/>
        <v>0</v>
      </c>
      <c r="AA17" s="19">
        <f t="shared" si="2"/>
        <v>0</v>
      </c>
      <c r="AB17" s="29">
        <f>AH17/3.5</f>
        <v>923.1000918113939</v>
      </c>
      <c r="AC17" s="29">
        <f t="shared" si="3"/>
        <v>0</v>
      </c>
      <c r="AD17" s="29">
        <f t="shared" si="4"/>
        <v>0</v>
      </c>
      <c r="AE17" s="28">
        <v>20</v>
      </c>
      <c r="AF17" s="28">
        <v>235</v>
      </c>
      <c r="AG17" s="28">
        <v>210000</v>
      </c>
      <c r="AH17" s="29">
        <v>3230.8503213398785</v>
      </c>
      <c r="AI17" s="29">
        <v>0</v>
      </c>
      <c r="AJ17" s="30">
        <v>0</v>
      </c>
      <c r="AK17" s="57">
        <f>K17/1000</f>
        <v>25</v>
      </c>
      <c r="AL17" s="57">
        <f>(K17/(6*1000))</f>
        <v>4.166666666666667</v>
      </c>
      <c r="AM17" s="57">
        <f>C17/200</f>
        <v>1.1000000000000001</v>
      </c>
      <c r="AN17" s="60"/>
      <c r="AO17" s="60">
        <f>AQ17*AG17*AR17/(K17*1000000)</f>
        <v>19290.361592320001</v>
      </c>
      <c r="AP17" s="57">
        <v>18517.257125321823</v>
      </c>
      <c r="AQ17" s="57">
        <v>2.6</v>
      </c>
      <c r="AR17" s="133">
        <v>883258314.66666663</v>
      </c>
      <c r="AS17" s="136"/>
      <c r="AX17" s="57"/>
      <c r="AY17" s="15"/>
      <c r="AZ17" s="16"/>
    </row>
    <row r="18" spans="1:61" ht="21" x14ac:dyDescent="0.35">
      <c r="A18" s="28">
        <v>15</v>
      </c>
      <c r="B18" s="67" t="s">
        <v>96</v>
      </c>
      <c r="C18" s="28">
        <v>220</v>
      </c>
      <c r="D18" s="19">
        <v>220</v>
      </c>
      <c r="E18" s="28">
        <v>600</v>
      </c>
      <c r="F18" s="28">
        <v>19</v>
      </c>
      <c r="G18" s="19">
        <v>19</v>
      </c>
      <c r="H18" s="28">
        <v>12</v>
      </c>
      <c r="I18" s="19">
        <v>24</v>
      </c>
      <c r="J18" s="19">
        <v>24</v>
      </c>
      <c r="K18" s="19">
        <v>25000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0"/>
        <v>1</v>
      </c>
      <c r="Z18" s="19">
        <f t="shared" si="1"/>
        <v>0</v>
      </c>
      <c r="AA18" s="19">
        <f t="shared" si="2"/>
        <v>0</v>
      </c>
      <c r="AB18" s="29">
        <f>AH18/3.5</f>
        <v>923.1000918113939</v>
      </c>
      <c r="AC18" s="29">
        <f t="shared" si="3"/>
        <v>0</v>
      </c>
      <c r="AD18" s="29">
        <f t="shared" si="4"/>
        <v>0</v>
      </c>
      <c r="AE18" s="28">
        <v>20</v>
      </c>
      <c r="AF18" s="28">
        <v>235</v>
      </c>
      <c r="AG18" s="28">
        <v>210000</v>
      </c>
      <c r="AH18" s="29">
        <v>3230.8503213398785</v>
      </c>
      <c r="AI18" s="29">
        <v>0</v>
      </c>
      <c r="AJ18" s="30">
        <v>0</v>
      </c>
      <c r="AK18" s="57">
        <f>K18/1000</f>
        <v>25</v>
      </c>
      <c r="AL18" s="57">
        <f>(K18/(6*1000))</f>
        <v>4.166666666666667</v>
      </c>
      <c r="AM18" s="57">
        <f>C18/200</f>
        <v>1.1000000000000001</v>
      </c>
      <c r="AN18" s="60"/>
      <c r="AO18" s="60">
        <f>AQ18*AG18*AR18/(K18*1000000)</f>
        <v>20774.235560960002</v>
      </c>
      <c r="AP18" s="57">
        <v>18279.174246549072</v>
      </c>
      <c r="AQ18" s="57">
        <v>2.8</v>
      </c>
      <c r="AR18" s="133">
        <v>883258314.66666663</v>
      </c>
      <c r="AS18" s="136"/>
      <c r="AX18" s="57"/>
      <c r="AY18" s="15"/>
      <c r="AZ18" s="16"/>
    </row>
    <row r="19" spans="1:61" ht="21" x14ac:dyDescent="0.35">
      <c r="A19" s="28">
        <v>16</v>
      </c>
      <c r="B19" s="67" t="s">
        <v>96</v>
      </c>
      <c r="C19" s="28">
        <v>220</v>
      </c>
      <c r="D19" s="19">
        <v>220</v>
      </c>
      <c r="E19" s="28">
        <v>600</v>
      </c>
      <c r="F19" s="28">
        <v>19</v>
      </c>
      <c r="G19" s="19">
        <v>19</v>
      </c>
      <c r="H19" s="28">
        <v>12</v>
      </c>
      <c r="I19" s="19">
        <v>24</v>
      </c>
      <c r="J19" s="19">
        <v>24</v>
      </c>
      <c r="K19" s="19">
        <v>25000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0"/>
        <v>1</v>
      </c>
      <c r="Z19" s="19">
        <f t="shared" si="1"/>
        <v>0</v>
      </c>
      <c r="AA19" s="19">
        <f t="shared" si="2"/>
        <v>0</v>
      </c>
      <c r="AB19" s="29">
        <f>AH19/3.5</f>
        <v>923.1000918113939</v>
      </c>
      <c r="AC19" s="29">
        <f t="shared" si="3"/>
        <v>0</v>
      </c>
      <c r="AD19" s="29">
        <f t="shared" si="4"/>
        <v>0</v>
      </c>
      <c r="AE19" s="28">
        <v>20</v>
      </c>
      <c r="AF19" s="28">
        <v>235</v>
      </c>
      <c r="AG19" s="28">
        <v>210000</v>
      </c>
      <c r="AH19" s="29">
        <v>3230.8503213398785</v>
      </c>
      <c r="AI19" s="29">
        <v>0</v>
      </c>
      <c r="AJ19" s="30">
        <v>0</v>
      </c>
      <c r="AK19" s="57">
        <f>K19/1000</f>
        <v>25</v>
      </c>
      <c r="AL19" s="57">
        <f>(K19/(6*1000))</f>
        <v>4.166666666666667</v>
      </c>
      <c r="AM19" s="57">
        <f>C19/200</f>
        <v>1.1000000000000001</v>
      </c>
      <c r="AN19" s="60"/>
      <c r="AO19" s="60">
        <f>AQ19*AG19*AR19/(K19*1000000)</f>
        <v>22258.109529599998</v>
      </c>
      <c r="AP19" s="57">
        <v>18058.23514103199</v>
      </c>
      <c r="AQ19" s="57">
        <v>3</v>
      </c>
      <c r="AR19" s="133">
        <v>883258314.66666663</v>
      </c>
      <c r="AS19" s="136"/>
      <c r="AX19" s="57"/>
      <c r="AY19" s="15"/>
      <c r="AZ19" s="16"/>
    </row>
    <row r="20" spans="1:61" ht="21" x14ac:dyDescent="0.35">
      <c r="A20" s="28">
        <v>17</v>
      </c>
      <c r="B20" s="67" t="s">
        <v>96</v>
      </c>
      <c r="C20" s="28">
        <v>220</v>
      </c>
      <c r="D20" s="19">
        <v>220</v>
      </c>
      <c r="E20" s="28">
        <v>600</v>
      </c>
      <c r="F20" s="28">
        <v>19</v>
      </c>
      <c r="G20" s="19">
        <v>19</v>
      </c>
      <c r="H20" s="28">
        <v>12</v>
      </c>
      <c r="I20" s="19">
        <v>24</v>
      </c>
      <c r="J20" s="19">
        <v>24</v>
      </c>
      <c r="K20" s="19">
        <v>25000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0"/>
        <v>1</v>
      </c>
      <c r="Z20" s="19">
        <f t="shared" si="1"/>
        <v>0</v>
      </c>
      <c r="AA20" s="19">
        <f t="shared" si="2"/>
        <v>0</v>
      </c>
      <c r="AB20" s="29">
        <f>AH20/3.5</f>
        <v>923.1000918113939</v>
      </c>
      <c r="AC20" s="29">
        <f t="shared" si="3"/>
        <v>0</v>
      </c>
      <c r="AD20" s="29">
        <f t="shared" si="4"/>
        <v>0</v>
      </c>
      <c r="AE20" s="28">
        <v>20</v>
      </c>
      <c r="AF20" s="28">
        <v>235</v>
      </c>
      <c r="AG20" s="28">
        <v>210000</v>
      </c>
      <c r="AH20" s="29">
        <v>3230.8503213398785</v>
      </c>
      <c r="AI20" s="29">
        <v>0</v>
      </c>
      <c r="AJ20" s="30">
        <v>0</v>
      </c>
      <c r="AK20" s="57">
        <f>K20/1000</f>
        <v>25</v>
      </c>
      <c r="AL20" s="57">
        <f>(K20/(6*1000))</f>
        <v>4.166666666666667</v>
      </c>
      <c r="AM20" s="57">
        <f>C20/200</f>
        <v>1.1000000000000001</v>
      </c>
      <c r="AN20" s="60"/>
      <c r="AO20" s="60">
        <f>AQ20*AG20*AR20/(K20*1000000)</f>
        <v>23741.983498239999</v>
      </c>
      <c r="AP20" s="57">
        <v>17852.676382092526</v>
      </c>
      <c r="AQ20" s="57">
        <v>3.2</v>
      </c>
      <c r="AR20" s="133">
        <v>883258314.66666663</v>
      </c>
      <c r="AS20" s="136"/>
      <c r="AX20" s="57"/>
      <c r="AY20" s="15"/>
      <c r="AZ20" s="16"/>
    </row>
    <row r="21" spans="1:61" ht="21" x14ac:dyDescent="0.35">
      <c r="A21" s="28">
        <v>18</v>
      </c>
      <c r="B21" s="67" t="s">
        <v>96</v>
      </c>
      <c r="C21" s="28">
        <v>220</v>
      </c>
      <c r="D21" s="19">
        <v>220</v>
      </c>
      <c r="E21" s="28">
        <v>600</v>
      </c>
      <c r="F21" s="28">
        <v>19</v>
      </c>
      <c r="G21" s="19">
        <v>19</v>
      </c>
      <c r="H21" s="28">
        <v>12</v>
      </c>
      <c r="I21" s="19">
        <v>24</v>
      </c>
      <c r="J21" s="19">
        <v>24</v>
      </c>
      <c r="K21" s="19">
        <v>25000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0"/>
        <v>1</v>
      </c>
      <c r="Z21" s="19">
        <f t="shared" si="1"/>
        <v>0</v>
      </c>
      <c r="AA21" s="19">
        <f t="shared" si="2"/>
        <v>0</v>
      </c>
      <c r="AB21" s="29">
        <f>AH21/3.5</f>
        <v>923.1000918113939</v>
      </c>
      <c r="AC21" s="29">
        <f t="shared" si="3"/>
        <v>0</v>
      </c>
      <c r="AD21" s="29">
        <f t="shared" si="4"/>
        <v>0</v>
      </c>
      <c r="AE21" s="28">
        <v>20</v>
      </c>
      <c r="AF21" s="28">
        <v>235</v>
      </c>
      <c r="AG21" s="28">
        <v>210000</v>
      </c>
      <c r="AH21" s="29">
        <v>3230.8503213398785</v>
      </c>
      <c r="AI21" s="29">
        <v>0</v>
      </c>
      <c r="AJ21" s="30">
        <v>0</v>
      </c>
      <c r="AK21" s="57">
        <f>K21/1000</f>
        <v>25</v>
      </c>
      <c r="AL21" s="57">
        <f>(K21/(6*1000))</f>
        <v>4.166666666666667</v>
      </c>
      <c r="AM21" s="57">
        <f>C21/200</f>
        <v>1.1000000000000001</v>
      </c>
      <c r="AN21" s="60"/>
      <c r="AO21" s="60">
        <f>AQ21*AG21*AR21/(K21*1000000)</f>
        <v>25225.857466879999</v>
      </c>
      <c r="AP21" s="57">
        <v>17660.969673970591</v>
      </c>
      <c r="AQ21" s="57">
        <v>3.4</v>
      </c>
      <c r="AR21" s="133">
        <v>883258314.66666663</v>
      </c>
      <c r="AS21" s="136"/>
      <c r="AX21" s="57"/>
      <c r="AY21" s="15"/>
      <c r="AZ21" s="16"/>
    </row>
    <row r="22" spans="1:61" ht="21" x14ac:dyDescent="0.35">
      <c r="A22" s="28">
        <v>19</v>
      </c>
      <c r="B22" s="67" t="s">
        <v>96</v>
      </c>
      <c r="C22" s="28">
        <v>220</v>
      </c>
      <c r="D22" s="19">
        <v>220</v>
      </c>
      <c r="E22" s="28">
        <v>600</v>
      </c>
      <c r="F22" s="28">
        <v>19</v>
      </c>
      <c r="G22" s="19">
        <v>19</v>
      </c>
      <c r="H22" s="28">
        <v>12</v>
      </c>
      <c r="I22" s="19">
        <v>24</v>
      </c>
      <c r="J22" s="19">
        <v>24</v>
      </c>
      <c r="K22" s="19">
        <v>25000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0"/>
        <v>1</v>
      </c>
      <c r="Z22" s="19">
        <f t="shared" si="1"/>
        <v>0</v>
      </c>
      <c r="AA22" s="19">
        <f t="shared" si="2"/>
        <v>0</v>
      </c>
      <c r="AB22" s="29">
        <f>AH22/3.5</f>
        <v>923.1000918113939</v>
      </c>
      <c r="AC22" s="29">
        <f t="shared" si="3"/>
        <v>0</v>
      </c>
      <c r="AD22" s="29">
        <f t="shared" si="4"/>
        <v>0</v>
      </c>
      <c r="AE22" s="28">
        <v>20</v>
      </c>
      <c r="AF22" s="28">
        <v>235</v>
      </c>
      <c r="AG22" s="28">
        <v>210000</v>
      </c>
      <c r="AH22" s="29">
        <v>3230.8503213398785</v>
      </c>
      <c r="AI22" s="29">
        <v>0</v>
      </c>
      <c r="AJ22" s="30">
        <v>0</v>
      </c>
      <c r="AK22" s="57">
        <f>K22/1000</f>
        <v>25</v>
      </c>
      <c r="AL22" s="57">
        <f>(K22/(6*1000))</f>
        <v>4.166666666666667</v>
      </c>
      <c r="AM22" s="57">
        <f>C22/200</f>
        <v>1.1000000000000001</v>
      </c>
      <c r="AN22" s="60"/>
      <c r="AO22" s="60">
        <f>AQ22*AG22*AR22/(K22*1000000)</f>
        <v>26709.73143552</v>
      </c>
      <c r="AP22" s="57">
        <v>17481.78347464055</v>
      </c>
      <c r="AQ22" s="57">
        <v>3.6</v>
      </c>
      <c r="AR22" s="133">
        <v>883258314.66666663</v>
      </c>
      <c r="AS22" s="136"/>
      <c r="AX22" s="57"/>
      <c r="AY22" s="15"/>
      <c r="AZ22" s="16"/>
    </row>
    <row r="23" spans="1:61" ht="21" x14ac:dyDescent="0.35">
      <c r="A23" s="28">
        <v>20</v>
      </c>
      <c r="B23" s="67" t="s">
        <v>96</v>
      </c>
      <c r="C23" s="28">
        <v>220</v>
      </c>
      <c r="D23" s="19">
        <v>220</v>
      </c>
      <c r="E23" s="28">
        <v>600</v>
      </c>
      <c r="F23" s="28">
        <v>19</v>
      </c>
      <c r="G23" s="19">
        <v>19</v>
      </c>
      <c r="H23" s="28">
        <v>12</v>
      </c>
      <c r="I23" s="19">
        <v>24</v>
      </c>
      <c r="J23" s="19">
        <v>24</v>
      </c>
      <c r="K23" s="19">
        <v>25000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0"/>
        <v>1</v>
      </c>
      <c r="Z23" s="19">
        <f t="shared" si="1"/>
        <v>0</v>
      </c>
      <c r="AA23" s="19">
        <f t="shared" si="2"/>
        <v>0</v>
      </c>
      <c r="AB23" s="29">
        <f>AH23/3.5</f>
        <v>923.1000918113939</v>
      </c>
      <c r="AC23" s="29">
        <f t="shared" si="3"/>
        <v>0</v>
      </c>
      <c r="AD23" s="29">
        <f t="shared" si="4"/>
        <v>0</v>
      </c>
      <c r="AE23" s="28">
        <v>20</v>
      </c>
      <c r="AF23" s="28">
        <v>235</v>
      </c>
      <c r="AG23" s="28">
        <v>210000</v>
      </c>
      <c r="AH23" s="29">
        <v>3230.8503213398785</v>
      </c>
      <c r="AI23" s="29">
        <v>0</v>
      </c>
      <c r="AJ23" s="30">
        <v>0</v>
      </c>
      <c r="AK23" s="57">
        <f>K23/1000</f>
        <v>25</v>
      </c>
      <c r="AL23" s="57">
        <f>(K23/(6*1000))</f>
        <v>4.166666666666667</v>
      </c>
      <c r="AM23" s="57">
        <f>C23/200</f>
        <v>1.1000000000000001</v>
      </c>
      <c r="AN23" s="60"/>
      <c r="AO23" s="60">
        <f>AQ23*AG23*AR23/(K23*1000000)</f>
        <v>28193.60540416</v>
      </c>
      <c r="AP23" s="57">
        <v>17313.951984107356</v>
      </c>
      <c r="AQ23" s="57">
        <v>3.8</v>
      </c>
      <c r="AR23" s="133">
        <v>883258314.66666663</v>
      </c>
      <c r="AS23" s="136"/>
      <c r="AX23" s="57"/>
      <c r="AY23" s="15"/>
      <c r="AZ23" s="16"/>
    </row>
    <row r="24" spans="1:61" ht="21" x14ac:dyDescent="0.35">
      <c r="A24" s="28">
        <v>21</v>
      </c>
      <c r="B24" s="67" t="s">
        <v>96</v>
      </c>
      <c r="C24" s="28">
        <v>220</v>
      </c>
      <c r="D24" s="19">
        <v>220</v>
      </c>
      <c r="E24" s="28">
        <v>600</v>
      </c>
      <c r="F24" s="28">
        <v>19</v>
      </c>
      <c r="G24" s="19">
        <v>19</v>
      </c>
      <c r="H24" s="28">
        <v>12</v>
      </c>
      <c r="I24" s="19">
        <v>24</v>
      </c>
      <c r="J24" s="19">
        <v>24</v>
      </c>
      <c r="K24" s="19">
        <v>25000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0"/>
        <v>1</v>
      </c>
      <c r="Z24" s="19">
        <f t="shared" si="1"/>
        <v>0</v>
      </c>
      <c r="AA24" s="19">
        <f t="shared" si="2"/>
        <v>0</v>
      </c>
      <c r="AB24" s="29">
        <f>AH24/3.5</f>
        <v>923.1000918113939</v>
      </c>
      <c r="AC24" s="29">
        <f t="shared" si="3"/>
        <v>0</v>
      </c>
      <c r="AD24" s="29">
        <f t="shared" si="4"/>
        <v>0</v>
      </c>
      <c r="AE24" s="28">
        <v>20</v>
      </c>
      <c r="AF24" s="28">
        <v>235</v>
      </c>
      <c r="AG24" s="28">
        <v>210000</v>
      </c>
      <c r="AH24" s="29">
        <v>3230.8503213398785</v>
      </c>
      <c r="AI24" s="29">
        <v>0</v>
      </c>
      <c r="AJ24" s="30">
        <v>0</v>
      </c>
      <c r="AK24" s="57">
        <f>K24/1000</f>
        <v>25</v>
      </c>
      <c r="AL24" s="57">
        <f>(K24/(6*1000))</f>
        <v>4.166666666666667</v>
      </c>
      <c r="AM24" s="57">
        <f>C24/200</f>
        <v>1.1000000000000001</v>
      </c>
      <c r="AN24" s="60"/>
      <c r="AO24" s="60">
        <f>AQ24*AG24*AR24/(K24*1000000)</f>
        <v>29677.4793728</v>
      </c>
      <c r="AP24" s="57">
        <v>17156.449884728976</v>
      </c>
      <c r="AQ24" s="57">
        <v>4</v>
      </c>
      <c r="AR24" s="133">
        <v>883258314.66666663</v>
      </c>
      <c r="AS24" s="136"/>
      <c r="AX24" s="57"/>
      <c r="AY24" s="15"/>
      <c r="AZ24" s="16"/>
    </row>
    <row r="25" spans="1:61" s="129" customFormat="1" ht="21" x14ac:dyDescent="0.35">
      <c r="A25" s="28"/>
      <c r="B25" s="6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108"/>
      <c r="AC25" s="108"/>
      <c r="AD25" s="108"/>
      <c r="AE25" s="28"/>
      <c r="AF25" s="28"/>
      <c r="AG25" s="28"/>
      <c r="AH25" s="108"/>
      <c r="AI25" s="108"/>
      <c r="AJ25" s="126"/>
      <c r="AK25" s="127"/>
      <c r="AL25" s="127"/>
      <c r="AM25" s="127"/>
      <c r="AN25" s="128"/>
      <c r="AO25" s="138"/>
      <c r="AP25" s="128"/>
      <c r="AQ25" s="138"/>
      <c r="AR25" s="134"/>
      <c r="AS25" s="137"/>
      <c r="AX25" s="139"/>
      <c r="AY25" s="130"/>
      <c r="AZ25" s="131"/>
      <c r="BE25" s="129" t="s">
        <v>73</v>
      </c>
      <c r="BF25" s="129" t="s">
        <v>72</v>
      </c>
      <c r="BG25" s="132">
        <v>2024</v>
      </c>
    </row>
    <row r="26" spans="1:61" ht="21" x14ac:dyDescent="0.35">
      <c r="A26" s="28"/>
      <c r="B26" s="67"/>
      <c r="C26" s="28"/>
      <c r="D26" s="19"/>
      <c r="E26" s="28"/>
      <c r="F26" s="28"/>
      <c r="G26" s="19"/>
      <c r="H26" s="28"/>
      <c r="I26" s="19"/>
      <c r="J26" s="19"/>
      <c r="K26" s="19"/>
      <c r="L26" s="19"/>
      <c r="M26" s="19"/>
      <c r="N26" s="19"/>
      <c r="O26" s="19"/>
      <c r="P26" s="28"/>
      <c r="Q26" s="19"/>
      <c r="R26" s="19"/>
      <c r="S26" s="19"/>
      <c r="T26" s="36"/>
      <c r="U26" s="43"/>
      <c r="V26" s="19"/>
      <c r="W26" s="28"/>
      <c r="X26" s="28"/>
      <c r="Y26" s="19"/>
      <c r="Z26" s="19"/>
      <c r="AA26" s="19"/>
      <c r="AB26" s="29"/>
      <c r="AC26" s="29"/>
      <c r="AD26" s="29"/>
      <c r="AE26" s="28"/>
      <c r="AF26" s="28"/>
      <c r="AG26" s="28"/>
      <c r="AH26" s="29"/>
      <c r="AI26" s="29"/>
      <c r="AJ26" s="30"/>
      <c r="AK26" s="57"/>
      <c r="AL26" s="57"/>
      <c r="AM26" s="57"/>
      <c r="AN26" s="60"/>
      <c r="AO26" s="60"/>
      <c r="AP26" s="57"/>
      <c r="AQ26" s="57"/>
      <c r="AR26" s="133"/>
      <c r="AS26" s="136"/>
      <c r="AX26" s="57"/>
      <c r="AY26" s="15"/>
      <c r="AZ26" s="16"/>
      <c r="BE26" t="s">
        <v>73</v>
      </c>
      <c r="BF26" t="s">
        <v>72</v>
      </c>
      <c r="BG26" s="2">
        <v>2024</v>
      </c>
    </row>
    <row r="27" spans="1:61" ht="21" x14ac:dyDescent="0.35">
      <c r="A27" s="28"/>
      <c r="B27" s="67"/>
      <c r="C27" s="28"/>
      <c r="D27" s="19"/>
      <c r="E27" s="28"/>
      <c r="F27" s="28"/>
      <c r="G27" s="19"/>
      <c r="H27" s="28"/>
      <c r="I27" s="19"/>
      <c r="J27" s="19"/>
      <c r="K27" s="19"/>
      <c r="L27" s="19"/>
      <c r="M27" s="19"/>
      <c r="N27" s="19"/>
      <c r="O27" s="19"/>
      <c r="P27" s="28"/>
      <c r="Q27" s="19"/>
      <c r="R27" s="19"/>
      <c r="S27" s="19"/>
      <c r="T27" s="36"/>
      <c r="U27" s="43"/>
      <c r="V27" s="19"/>
      <c r="W27" s="28"/>
      <c r="X27" s="28"/>
      <c r="Y27" s="19"/>
      <c r="Z27" s="19"/>
      <c r="AA27" s="19"/>
      <c r="AB27" s="29"/>
      <c r="AC27" s="29"/>
      <c r="AD27" s="29"/>
      <c r="AE27" s="28"/>
      <c r="AF27" s="28"/>
      <c r="AG27" s="28"/>
      <c r="AH27" s="29"/>
      <c r="AI27" s="29"/>
      <c r="AJ27" s="30"/>
      <c r="AK27" s="57"/>
      <c r="AL27" s="57"/>
      <c r="AM27" s="57"/>
      <c r="AN27" s="60"/>
      <c r="AO27" s="60"/>
      <c r="AP27" s="57"/>
      <c r="AQ27" s="57"/>
      <c r="AR27" s="133"/>
      <c r="AS27" s="136"/>
      <c r="AX27" s="57"/>
      <c r="AY27" s="15"/>
      <c r="AZ27" s="16"/>
      <c r="BE27" t="s">
        <v>73</v>
      </c>
      <c r="BF27" t="s">
        <v>72</v>
      </c>
      <c r="BG27" s="2">
        <v>2024</v>
      </c>
    </row>
    <row r="28" spans="1:61" ht="21" x14ac:dyDescent="0.35">
      <c r="A28" s="28"/>
      <c r="B28" s="67"/>
      <c r="C28" s="28"/>
      <c r="D28" s="19"/>
      <c r="E28" s="28"/>
      <c r="F28" s="28"/>
      <c r="G28" s="19"/>
      <c r="H28" s="28"/>
      <c r="I28" s="19"/>
      <c r="J28" s="19"/>
      <c r="K28" s="19"/>
      <c r="L28" s="19"/>
      <c r="M28" s="19"/>
      <c r="N28" s="19"/>
      <c r="O28" s="19"/>
      <c r="P28" s="28"/>
      <c r="Q28" s="19"/>
      <c r="R28" s="19"/>
      <c r="S28" s="19"/>
      <c r="T28" s="36"/>
      <c r="U28" s="43"/>
      <c r="V28" s="19"/>
      <c r="W28" s="28"/>
      <c r="X28" s="28"/>
      <c r="Y28" s="19"/>
      <c r="Z28" s="19"/>
      <c r="AA28" s="19"/>
      <c r="AB28" s="29"/>
      <c r="AC28" s="29"/>
      <c r="AD28" s="29"/>
      <c r="AE28" s="28"/>
      <c r="AF28" s="28"/>
      <c r="AG28" s="28"/>
      <c r="AH28" s="29"/>
      <c r="AI28" s="29"/>
      <c r="AJ28" s="30"/>
      <c r="AK28" s="57"/>
      <c r="AL28" s="57"/>
      <c r="AM28" s="57"/>
      <c r="AN28" s="60"/>
      <c r="AO28" s="60"/>
      <c r="AP28" s="57"/>
      <c r="AQ28" s="57"/>
      <c r="AR28" s="133"/>
      <c r="AS28" s="136"/>
      <c r="AX28" s="15"/>
      <c r="AY28" s="15"/>
      <c r="AZ28" s="16"/>
      <c r="BE28" s="52" t="s">
        <v>68</v>
      </c>
      <c r="BF28" s="52" t="s">
        <v>67</v>
      </c>
      <c r="BG28" s="53">
        <v>2020</v>
      </c>
      <c r="BH28" s="54" t="s">
        <v>70</v>
      </c>
      <c r="BI28" s="52">
        <v>60</v>
      </c>
    </row>
    <row r="29" spans="1:61" ht="21" x14ac:dyDescent="0.35">
      <c r="A29" s="28"/>
      <c r="B29" s="67"/>
      <c r="C29" s="28"/>
      <c r="D29" s="19"/>
      <c r="E29" s="28"/>
      <c r="F29" s="28"/>
      <c r="G29" s="19"/>
      <c r="H29" s="28"/>
      <c r="I29" s="19"/>
      <c r="J29" s="19"/>
      <c r="K29" s="19"/>
      <c r="L29" s="19"/>
      <c r="M29" s="19"/>
      <c r="N29" s="19"/>
      <c r="O29" s="19"/>
      <c r="P29" s="28"/>
      <c r="Q29" s="19"/>
      <c r="R29" s="19"/>
      <c r="S29" s="19"/>
      <c r="T29" s="36"/>
      <c r="U29" s="43"/>
      <c r="V29" s="19"/>
      <c r="W29" s="28"/>
      <c r="X29" s="28"/>
      <c r="Y29" s="19"/>
      <c r="Z29" s="19"/>
      <c r="AA29" s="19"/>
      <c r="AB29" s="29"/>
      <c r="AC29" s="29"/>
      <c r="AD29" s="29"/>
      <c r="AE29" s="28"/>
      <c r="AF29" s="28"/>
      <c r="AG29" s="28"/>
      <c r="AH29" s="29"/>
      <c r="AI29" s="29"/>
      <c r="AJ29" s="30"/>
      <c r="AK29" s="57"/>
      <c r="AL29" s="57"/>
      <c r="AM29" s="57"/>
      <c r="AN29" s="60"/>
      <c r="AO29" s="60"/>
      <c r="AP29" s="57"/>
      <c r="AQ29" s="57"/>
      <c r="AR29" s="133"/>
      <c r="AS29" s="136"/>
      <c r="AX29" s="15"/>
      <c r="AY29" s="15"/>
      <c r="AZ29" s="16"/>
      <c r="BE29" t="s">
        <v>68</v>
      </c>
      <c r="BF29" t="s">
        <v>67</v>
      </c>
      <c r="BG29" s="2">
        <v>2020</v>
      </c>
    </row>
    <row r="30" spans="1:61" ht="21" x14ac:dyDescent="0.35">
      <c r="A30" s="28"/>
      <c r="B30" s="67"/>
      <c r="C30" s="28"/>
      <c r="D30" s="19"/>
      <c r="E30" s="28"/>
      <c r="F30" s="28"/>
      <c r="G30" s="19"/>
      <c r="H30" s="28"/>
      <c r="I30" s="19"/>
      <c r="J30" s="19"/>
      <c r="K30" s="19"/>
      <c r="L30" s="19"/>
      <c r="M30" s="19"/>
      <c r="N30" s="19"/>
      <c r="O30" s="19"/>
      <c r="P30" s="28"/>
      <c r="Q30" s="19"/>
      <c r="R30" s="19"/>
      <c r="S30" s="19"/>
      <c r="T30" s="36"/>
      <c r="U30" s="43"/>
      <c r="V30" s="19"/>
      <c r="W30" s="28"/>
      <c r="X30" s="28"/>
      <c r="Y30" s="19"/>
      <c r="Z30" s="19"/>
      <c r="AA30" s="19"/>
      <c r="AB30" s="29"/>
      <c r="AC30" s="29"/>
      <c r="AD30" s="29"/>
      <c r="AE30" s="28"/>
      <c r="AF30" s="28"/>
      <c r="AG30" s="28"/>
      <c r="AH30" s="29"/>
      <c r="AI30" s="29"/>
      <c r="AJ30" s="30"/>
      <c r="AK30" s="57"/>
      <c r="AL30" s="57"/>
      <c r="AM30" s="57"/>
      <c r="AN30" s="60"/>
      <c r="AO30" s="60"/>
      <c r="AP30" s="57"/>
      <c r="AQ30" s="57"/>
      <c r="AR30" s="133"/>
      <c r="AS30" s="136"/>
      <c r="AX30" s="15"/>
      <c r="AY30" s="15"/>
      <c r="AZ30" s="16"/>
      <c r="BE30" t="s">
        <v>68</v>
      </c>
      <c r="BF30" t="s">
        <v>67</v>
      </c>
      <c r="BG30" s="2">
        <v>2020</v>
      </c>
    </row>
    <row r="31" spans="1:61" ht="21" x14ac:dyDescent="0.35">
      <c r="A31" s="28"/>
      <c r="B31" s="67"/>
      <c r="C31" s="28"/>
      <c r="D31" s="19"/>
      <c r="E31" s="28"/>
      <c r="F31" s="28"/>
      <c r="G31" s="19"/>
      <c r="H31" s="28"/>
      <c r="I31" s="19"/>
      <c r="J31" s="19"/>
      <c r="K31" s="19"/>
      <c r="L31" s="19"/>
      <c r="M31" s="19"/>
      <c r="N31" s="19"/>
      <c r="O31" s="19"/>
      <c r="P31" s="28"/>
      <c r="Q31" s="19"/>
      <c r="R31" s="19"/>
      <c r="S31" s="19"/>
      <c r="T31" s="36"/>
      <c r="U31" s="43"/>
      <c r="V31" s="19"/>
      <c r="W31" s="28"/>
      <c r="X31" s="28"/>
      <c r="Y31" s="19"/>
      <c r="Z31" s="19"/>
      <c r="AA31" s="19"/>
      <c r="AB31" s="29"/>
      <c r="AC31" s="29"/>
      <c r="AD31" s="29"/>
      <c r="AE31" s="28"/>
      <c r="AF31" s="28"/>
      <c r="AG31" s="28"/>
      <c r="AH31" s="29"/>
      <c r="AI31" s="29"/>
      <c r="AJ31" s="30"/>
      <c r="AK31" s="57"/>
      <c r="AL31" s="57"/>
      <c r="AM31" s="57"/>
      <c r="AN31" s="60"/>
      <c r="AO31" s="60"/>
      <c r="AP31" s="57"/>
      <c r="AQ31" s="57"/>
      <c r="AR31" s="133"/>
      <c r="AS31" s="136"/>
      <c r="AX31" s="15"/>
      <c r="AY31" s="15"/>
      <c r="AZ31" s="16"/>
      <c r="BE31" t="s">
        <v>68</v>
      </c>
      <c r="BF31" t="s">
        <v>67</v>
      </c>
      <c r="BG31" s="2">
        <v>2020</v>
      </c>
    </row>
    <row r="32" spans="1:61" ht="21" x14ac:dyDescent="0.35">
      <c r="A32" s="28"/>
      <c r="B32" s="67"/>
      <c r="C32" s="28"/>
      <c r="D32" s="19"/>
      <c r="E32" s="28"/>
      <c r="F32" s="28"/>
      <c r="G32" s="19"/>
      <c r="H32" s="28"/>
      <c r="I32" s="19"/>
      <c r="J32" s="19"/>
      <c r="K32" s="19"/>
      <c r="L32" s="19"/>
      <c r="M32" s="19"/>
      <c r="N32" s="19"/>
      <c r="O32" s="19"/>
      <c r="P32" s="28"/>
      <c r="Q32" s="19"/>
      <c r="R32" s="19"/>
      <c r="S32" s="19"/>
      <c r="T32" s="36"/>
      <c r="U32" s="43"/>
      <c r="V32" s="19"/>
      <c r="W32" s="28"/>
      <c r="X32" s="28"/>
      <c r="Y32" s="19"/>
      <c r="Z32" s="19"/>
      <c r="AA32" s="19"/>
      <c r="AB32" s="29"/>
      <c r="AC32" s="29"/>
      <c r="AD32" s="29"/>
      <c r="AE32" s="28"/>
      <c r="AF32" s="28"/>
      <c r="AG32" s="28"/>
      <c r="AH32" s="29"/>
      <c r="AI32" s="29"/>
      <c r="AJ32" s="30"/>
      <c r="AK32" s="57"/>
      <c r="AL32" s="57"/>
      <c r="AM32" s="57"/>
      <c r="AN32" s="60"/>
      <c r="AO32" s="60"/>
      <c r="AP32" s="57"/>
      <c r="AQ32" s="57"/>
      <c r="AR32" s="133"/>
      <c r="AS32" s="133"/>
      <c r="AX32" s="15"/>
      <c r="AY32" s="15"/>
      <c r="AZ32" s="16"/>
      <c r="BE32" t="s">
        <v>68</v>
      </c>
      <c r="BF32" t="s">
        <v>67</v>
      </c>
      <c r="BG32" s="2">
        <v>2020</v>
      </c>
    </row>
    <row r="33" spans="1:61" ht="21" x14ac:dyDescent="0.35">
      <c r="A33" s="28"/>
      <c r="B33" s="67"/>
      <c r="C33" s="28"/>
      <c r="D33" s="19"/>
      <c r="E33" s="28"/>
      <c r="F33" s="28"/>
      <c r="G33" s="19"/>
      <c r="H33" s="28"/>
      <c r="I33" s="19"/>
      <c r="J33" s="19"/>
      <c r="K33" s="19"/>
      <c r="L33" s="19"/>
      <c r="M33" s="19"/>
      <c r="N33" s="19"/>
      <c r="O33" s="19"/>
      <c r="P33" s="28"/>
      <c r="Q33" s="19"/>
      <c r="R33" s="19"/>
      <c r="S33" s="19"/>
      <c r="T33" s="36"/>
      <c r="U33" s="43"/>
      <c r="V33" s="19"/>
      <c r="W33" s="28"/>
      <c r="X33" s="28"/>
      <c r="Y33" s="19"/>
      <c r="Z33" s="19"/>
      <c r="AA33" s="19"/>
      <c r="AB33" s="29"/>
      <c r="AC33" s="29"/>
      <c r="AD33" s="29"/>
      <c r="AE33" s="28"/>
      <c r="AF33" s="28"/>
      <c r="AG33" s="28"/>
      <c r="AH33" s="29"/>
      <c r="AI33" s="29"/>
      <c r="AJ33" s="30"/>
      <c r="AK33" s="57"/>
      <c r="AL33" s="57"/>
      <c r="AM33" s="57"/>
      <c r="AN33" s="60"/>
      <c r="AO33" s="60"/>
      <c r="AP33" s="57"/>
      <c r="AQ33" s="57"/>
      <c r="AR33" s="133"/>
      <c r="AS33" s="133"/>
      <c r="AX33" s="15"/>
      <c r="AY33" s="15"/>
      <c r="AZ33" s="16"/>
      <c r="BE33" t="s">
        <v>68</v>
      </c>
      <c r="BF33" t="s">
        <v>67</v>
      </c>
      <c r="BG33" s="2">
        <v>2020</v>
      </c>
    </row>
    <row r="34" spans="1:61" ht="21" x14ac:dyDescent="0.35">
      <c r="A34" s="28"/>
      <c r="B34" s="67"/>
      <c r="C34" s="28"/>
      <c r="D34" s="19"/>
      <c r="E34" s="28"/>
      <c r="F34" s="28"/>
      <c r="G34" s="19"/>
      <c r="H34" s="28"/>
      <c r="I34" s="19"/>
      <c r="J34" s="19"/>
      <c r="K34" s="19"/>
      <c r="L34" s="19"/>
      <c r="M34" s="19"/>
      <c r="N34" s="19"/>
      <c r="O34" s="19"/>
      <c r="P34" s="28"/>
      <c r="Q34" s="19"/>
      <c r="R34" s="19"/>
      <c r="S34" s="19"/>
      <c r="T34" s="36"/>
      <c r="U34" s="43"/>
      <c r="V34" s="19"/>
      <c r="W34" s="28"/>
      <c r="X34" s="28"/>
      <c r="Y34" s="19"/>
      <c r="Z34" s="19"/>
      <c r="AA34" s="19"/>
      <c r="AB34" s="29"/>
      <c r="AC34" s="29"/>
      <c r="AD34" s="29"/>
      <c r="AE34" s="28"/>
      <c r="AF34" s="28"/>
      <c r="AG34" s="28"/>
      <c r="AH34" s="29"/>
      <c r="AI34" s="29"/>
      <c r="AJ34" s="30"/>
      <c r="AK34" s="57"/>
      <c r="AL34" s="57"/>
      <c r="AM34" s="57"/>
      <c r="AN34" s="60"/>
      <c r="AO34" s="60"/>
      <c r="AP34" s="57"/>
      <c r="AQ34" s="57"/>
      <c r="AR34" s="133"/>
      <c r="AS34" s="133"/>
      <c r="AX34" s="15"/>
      <c r="AY34" s="15"/>
      <c r="AZ34" s="16"/>
      <c r="BE34" t="s">
        <v>68</v>
      </c>
      <c r="BF34" t="s">
        <v>67</v>
      </c>
      <c r="BG34" s="2">
        <v>2020</v>
      </c>
    </row>
    <row r="35" spans="1:61" ht="21" x14ac:dyDescent="0.35">
      <c r="A35" s="28"/>
      <c r="B35" s="67"/>
      <c r="C35" s="28"/>
      <c r="D35" s="19"/>
      <c r="E35" s="28"/>
      <c r="F35" s="28"/>
      <c r="G35" s="19"/>
      <c r="H35" s="28"/>
      <c r="I35" s="19"/>
      <c r="J35" s="19"/>
      <c r="K35" s="19"/>
      <c r="L35" s="19"/>
      <c r="M35" s="19"/>
      <c r="N35" s="19"/>
      <c r="O35" s="19"/>
      <c r="P35" s="28"/>
      <c r="Q35" s="19"/>
      <c r="R35" s="19"/>
      <c r="S35" s="19"/>
      <c r="T35" s="36"/>
      <c r="U35" s="43"/>
      <c r="V35" s="19"/>
      <c r="W35" s="28"/>
      <c r="X35" s="28"/>
      <c r="Y35" s="19"/>
      <c r="Z35" s="19"/>
      <c r="AA35" s="19"/>
      <c r="AB35" s="29"/>
      <c r="AC35" s="29"/>
      <c r="AD35" s="29"/>
      <c r="AE35" s="28"/>
      <c r="AF35" s="28"/>
      <c r="AG35" s="28"/>
      <c r="AH35" s="29"/>
      <c r="AI35" s="29"/>
      <c r="AJ35" s="30"/>
      <c r="AK35" s="57"/>
      <c r="AL35" s="57"/>
      <c r="AM35" s="57"/>
      <c r="AN35" s="60"/>
      <c r="AO35" s="60"/>
      <c r="AP35" s="57"/>
      <c r="AQ35" s="57"/>
      <c r="AR35" s="133"/>
      <c r="AS35" s="133"/>
      <c r="AX35" s="15"/>
      <c r="AY35" s="15"/>
      <c r="AZ35" s="16"/>
      <c r="BE35" t="s">
        <v>68</v>
      </c>
      <c r="BF35" t="s">
        <v>67</v>
      </c>
      <c r="BG35" s="2">
        <v>2020</v>
      </c>
    </row>
    <row r="36" spans="1:61" ht="21" x14ac:dyDescent="0.35">
      <c r="A36" s="28"/>
      <c r="B36" s="67"/>
      <c r="C36" s="28"/>
      <c r="D36" s="19"/>
      <c r="E36" s="28"/>
      <c r="F36" s="28"/>
      <c r="G36" s="19"/>
      <c r="H36" s="28"/>
      <c r="I36" s="19"/>
      <c r="J36" s="19"/>
      <c r="K36" s="19"/>
      <c r="L36" s="19"/>
      <c r="M36" s="19"/>
      <c r="N36" s="19"/>
      <c r="O36" s="19"/>
      <c r="P36" s="28"/>
      <c r="Q36" s="19"/>
      <c r="R36" s="19"/>
      <c r="S36" s="19"/>
      <c r="T36" s="36"/>
      <c r="U36" s="43"/>
      <c r="V36" s="19"/>
      <c r="W36" s="28"/>
      <c r="X36" s="28"/>
      <c r="Y36" s="19"/>
      <c r="Z36" s="19"/>
      <c r="AA36" s="19"/>
      <c r="AB36" s="29"/>
      <c r="AC36" s="29"/>
      <c r="AD36" s="29"/>
      <c r="AE36" s="28"/>
      <c r="AF36" s="28"/>
      <c r="AG36" s="28"/>
      <c r="AH36" s="29"/>
      <c r="AI36" s="29"/>
      <c r="AJ36" s="30"/>
      <c r="AK36" s="57"/>
      <c r="AL36" s="57"/>
      <c r="AM36" s="57"/>
      <c r="AN36" s="60"/>
      <c r="AO36" s="57"/>
      <c r="AP36" s="57"/>
      <c r="AQ36" s="57"/>
      <c r="AR36" s="133"/>
      <c r="AS36" s="133"/>
      <c r="AX36" s="15"/>
      <c r="AY36" s="15"/>
      <c r="AZ36" s="16"/>
      <c r="BE36" t="s">
        <v>68</v>
      </c>
      <c r="BF36" t="s">
        <v>67</v>
      </c>
      <c r="BG36" s="2">
        <v>2020</v>
      </c>
    </row>
    <row r="37" spans="1:61" ht="21" x14ac:dyDescent="0.35">
      <c r="A37" s="28"/>
      <c r="B37" s="67"/>
      <c r="C37" s="28"/>
      <c r="D37" s="19"/>
      <c r="E37" s="28"/>
      <c r="F37" s="28"/>
      <c r="G37" s="19"/>
      <c r="H37" s="28"/>
      <c r="I37" s="19"/>
      <c r="J37" s="19"/>
      <c r="K37" s="19"/>
      <c r="L37" s="19"/>
      <c r="M37" s="19"/>
      <c r="N37" s="19"/>
      <c r="O37" s="19"/>
      <c r="P37" s="28"/>
      <c r="Q37" s="19"/>
      <c r="R37" s="19"/>
      <c r="S37" s="19"/>
      <c r="T37" s="36"/>
      <c r="U37" s="43"/>
      <c r="V37" s="19"/>
      <c r="W37" s="28"/>
      <c r="X37" s="28"/>
      <c r="Y37" s="19"/>
      <c r="Z37" s="19"/>
      <c r="AA37" s="19"/>
      <c r="AB37" s="29"/>
      <c r="AC37" s="29"/>
      <c r="AD37" s="29"/>
      <c r="AE37" s="28"/>
      <c r="AF37" s="28"/>
      <c r="AG37" s="28"/>
      <c r="AH37" s="29"/>
      <c r="AI37" s="29"/>
      <c r="AJ37" s="30"/>
      <c r="AK37" s="57"/>
      <c r="AL37" s="57"/>
      <c r="AM37" s="57"/>
      <c r="AN37" s="60"/>
      <c r="AO37" s="57"/>
      <c r="AP37" s="57"/>
      <c r="AQ37" s="57"/>
      <c r="AR37" s="133"/>
      <c r="AS37" s="133"/>
      <c r="AX37" s="15"/>
      <c r="AY37" s="15"/>
      <c r="AZ37" s="16"/>
      <c r="BE37" t="s">
        <v>68</v>
      </c>
      <c r="BF37" t="s">
        <v>67</v>
      </c>
      <c r="BG37" s="2">
        <v>2020</v>
      </c>
    </row>
    <row r="38" spans="1:61" ht="21" x14ac:dyDescent="0.35">
      <c r="A38" s="28"/>
      <c r="B38" s="67"/>
      <c r="C38" s="28"/>
      <c r="D38" s="19"/>
      <c r="E38" s="28"/>
      <c r="F38" s="28"/>
      <c r="G38" s="19"/>
      <c r="H38" s="28"/>
      <c r="I38" s="19"/>
      <c r="J38" s="19"/>
      <c r="K38" s="19"/>
      <c r="L38" s="19"/>
      <c r="M38" s="19"/>
      <c r="N38" s="19"/>
      <c r="O38" s="19"/>
      <c r="P38" s="28"/>
      <c r="Q38" s="19"/>
      <c r="R38" s="19"/>
      <c r="S38" s="19"/>
      <c r="T38" s="36"/>
      <c r="U38" s="43"/>
      <c r="V38" s="19"/>
      <c r="W38" s="28"/>
      <c r="X38" s="28"/>
      <c r="Y38" s="19"/>
      <c r="Z38" s="19"/>
      <c r="AA38" s="19"/>
      <c r="AB38" s="29"/>
      <c r="AC38" s="29"/>
      <c r="AD38" s="29"/>
      <c r="AE38" s="28"/>
      <c r="AF38" s="28"/>
      <c r="AG38" s="28"/>
      <c r="AH38" s="29"/>
      <c r="AI38" s="29"/>
      <c r="AJ38" s="30"/>
      <c r="AK38" s="57"/>
      <c r="AL38" s="57"/>
      <c r="AM38" s="57"/>
      <c r="AN38" s="60"/>
      <c r="AO38" s="57"/>
      <c r="AP38" s="57"/>
      <c r="AQ38" s="57"/>
      <c r="AR38" s="133"/>
      <c r="AS38" s="133"/>
      <c r="AX38" s="15"/>
      <c r="AY38" s="15"/>
      <c r="AZ38" s="16"/>
      <c r="BE38" t="s">
        <v>68</v>
      </c>
      <c r="BF38" t="s">
        <v>67</v>
      </c>
      <c r="BG38" s="2">
        <v>2020</v>
      </c>
    </row>
    <row r="39" spans="1:61" ht="21" x14ac:dyDescent="0.35">
      <c r="A39" s="28"/>
      <c r="B39" s="67"/>
      <c r="C39" s="28"/>
      <c r="D39" s="19"/>
      <c r="E39" s="28"/>
      <c r="F39" s="28"/>
      <c r="G39" s="19"/>
      <c r="H39" s="28"/>
      <c r="I39" s="19"/>
      <c r="J39" s="19"/>
      <c r="K39" s="19"/>
      <c r="L39" s="19"/>
      <c r="M39" s="19"/>
      <c r="N39" s="19"/>
      <c r="O39" s="19"/>
      <c r="P39" s="28"/>
      <c r="Q39" s="19"/>
      <c r="R39" s="19"/>
      <c r="S39" s="19"/>
      <c r="T39" s="36"/>
      <c r="U39" s="43"/>
      <c r="V39" s="19"/>
      <c r="W39" s="28"/>
      <c r="X39" s="28"/>
      <c r="Y39" s="19"/>
      <c r="Z39" s="19"/>
      <c r="AA39" s="19"/>
      <c r="AB39" s="29"/>
      <c r="AC39" s="29"/>
      <c r="AD39" s="29"/>
      <c r="AE39" s="28"/>
      <c r="AF39" s="28"/>
      <c r="AG39" s="28"/>
      <c r="AH39" s="29"/>
      <c r="AI39" s="29"/>
      <c r="AJ39" s="30"/>
      <c r="AK39" s="57"/>
      <c r="AL39" s="57"/>
      <c r="AM39" s="57"/>
      <c r="AN39" s="60"/>
      <c r="AO39" s="57"/>
      <c r="AP39" s="57"/>
      <c r="AQ39" s="57"/>
      <c r="AR39" s="133"/>
      <c r="AS39" s="133"/>
      <c r="AX39" s="15"/>
      <c r="AY39" s="15"/>
      <c r="AZ39" s="16"/>
      <c r="BE39" t="s">
        <v>68</v>
      </c>
      <c r="BF39" t="s">
        <v>67</v>
      </c>
      <c r="BG39" s="2">
        <v>2020</v>
      </c>
    </row>
    <row r="40" spans="1:61" ht="21" x14ac:dyDescent="0.35">
      <c r="A40" s="28"/>
      <c r="B40" s="67"/>
      <c r="C40" s="28"/>
      <c r="D40" s="19"/>
      <c r="E40" s="28"/>
      <c r="F40" s="28"/>
      <c r="G40" s="19"/>
      <c r="H40" s="28"/>
      <c r="I40" s="19"/>
      <c r="J40" s="19"/>
      <c r="K40" s="19"/>
      <c r="L40" s="19"/>
      <c r="M40" s="19"/>
      <c r="N40" s="19"/>
      <c r="O40" s="19"/>
      <c r="P40" s="28"/>
      <c r="Q40" s="19"/>
      <c r="R40" s="19"/>
      <c r="S40" s="19"/>
      <c r="T40" s="36"/>
      <c r="U40" s="43"/>
      <c r="V40" s="19"/>
      <c r="W40" s="28"/>
      <c r="X40" s="28"/>
      <c r="Y40" s="19"/>
      <c r="Z40" s="19"/>
      <c r="AA40" s="19"/>
      <c r="AB40" s="29"/>
      <c r="AC40" s="29"/>
      <c r="AD40" s="29"/>
      <c r="AE40" s="28"/>
      <c r="AF40" s="28"/>
      <c r="AG40" s="28"/>
      <c r="AH40" s="29"/>
      <c r="AI40" s="29"/>
      <c r="AJ40" s="30"/>
      <c r="AK40" s="57"/>
      <c r="AL40" s="57"/>
      <c r="AM40" s="57"/>
      <c r="AN40" s="60"/>
      <c r="AO40" s="57"/>
      <c r="AP40" s="57"/>
      <c r="AQ40" s="57"/>
      <c r="AR40" s="133"/>
      <c r="AS40" s="133"/>
      <c r="AX40" s="15"/>
      <c r="AY40" s="15"/>
      <c r="AZ40" s="16"/>
      <c r="BE40" t="s">
        <v>68</v>
      </c>
      <c r="BF40" t="s">
        <v>67</v>
      </c>
      <c r="BG40" s="2">
        <v>2020</v>
      </c>
    </row>
    <row r="41" spans="1:61" ht="21" x14ac:dyDescent="0.35">
      <c r="A41" s="28"/>
      <c r="B41" s="67"/>
      <c r="C41" s="28"/>
      <c r="D41" s="19"/>
      <c r="E41" s="28"/>
      <c r="F41" s="28"/>
      <c r="G41" s="19"/>
      <c r="H41" s="28"/>
      <c r="I41" s="19"/>
      <c r="J41" s="19"/>
      <c r="K41" s="19"/>
      <c r="L41" s="19"/>
      <c r="M41" s="19"/>
      <c r="N41" s="19"/>
      <c r="O41" s="19"/>
      <c r="P41" s="28"/>
      <c r="Q41" s="19"/>
      <c r="R41" s="19"/>
      <c r="S41" s="19"/>
      <c r="T41" s="36"/>
      <c r="U41" s="43"/>
      <c r="V41" s="19"/>
      <c r="W41" s="28"/>
      <c r="X41" s="28"/>
      <c r="Y41" s="19"/>
      <c r="Z41" s="19"/>
      <c r="AA41" s="19"/>
      <c r="AB41" s="29"/>
      <c r="AC41" s="29"/>
      <c r="AD41" s="29"/>
      <c r="AE41" s="28"/>
      <c r="AF41" s="28"/>
      <c r="AG41" s="28"/>
      <c r="AH41" s="29"/>
      <c r="AI41" s="29"/>
      <c r="AJ41" s="30"/>
      <c r="AK41" s="57"/>
      <c r="AL41" s="57"/>
      <c r="AM41" s="57"/>
      <c r="AN41" s="60"/>
      <c r="AO41" s="57"/>
      <c r="AP41" s="57"/>
      <c r="AQ41" s="57"/>
      <c r="AR41" s="133"/>
      <c r="AS41" s="133"/>
      <c r="AX41" s="15"/>
      <c r="AY41" s="15"/>
      <c r="AZ41" s="16"/>
      <c r="BE41" t="s">
        <v>68</v>
      </c>
      <c r="BF41" t="s">
        <v>67</v>
      </c>
      <c r="BG41" s="2">
        <v>2020</v>
      </c>
    </row>
    <row r="42" spans="1:61" ht="21" x14ac:dyDescent="0.35">
      <c r="A42" s="28"/>
      <c r="B42" s="67"/>
      <c r="C42" s="28"/>
      <c r="D42" s="19"/>
      <c r="E42" s="28"/>
      <c r="F42" s="28"/>
      <c r="G42" s="19"/>
      <c r="H42" s="28"/>
      <c r="I42" s="19"/>
      <c r="J42" s="19"/>
      <c r="K42" s="19"/>
      <c r="L42" s="19"/>
      <c r="M42" s="19"/>
      <c r="N42" s="19"/>
      <c r="O42" s="19"/>
      <c r="P42" s="28"/>
      <c r="Q42" s="19"/>
      <c r="R42" s="19"/>
      <c r="S42" s="19"/>
      <c r="T42" s="36"/>
      <c r="U42" s="43"/>
      <c r="V42" s="19"/>
      <c r="W42" s="28"/>
      <c r="X42" s="28"/>
      <c r="Y42" s="19"/>
      <c r="Z42" s="19"/>
      <c r="AA42" s="19"/>
      <c r="AB42" s="29"/>
      <c r="AC42" s="29"/>
      <c r="AD42" s="29"/>
      <c r="AE42" s="28"/>
      <c r="AF42" s="28"/>
      <c r="AG42" s="28"/>
      <c r="AH42" s="29"/>
      <c r="AI42" s="29"/>
      <c r="AJ42" s="30"/>
      <c r="AK42" s="57"/>
      <c r="AL42" s="57"/>
      <c r="AM42" s="57"/>
      <c r="AN42" s="60"/>
      <c r="AO42" s="57"/>
      <c r="AP42" s="57"/>
      <c r="AQ42" s="57"/>
      <c r="AR42" s="133"/>
      <c r="AS42" s="133"/>
      <c r="AX42" s="15"/>
      <c r="AY42" s="15"/>
      <c r="AZ42" s="16"/>
      <c r="BE42" t="s">
        <v>68</v>
      </c>
      <c r="BF42" t="s">
        <v>67</v>
      </c>
      <c r="BG42" s="2">
        <v>2020</v>
      </c>
    </row>
    <row r="43" spans="1:61" ht="21" x14ac:dyDescent="0.35">
      <c r="A43" s="28"/>
      <c r="B43" s="67"/>
      <c r="C43" s="28"/>
      <c r="D43" s="19"/>
      <c r="E43" s="28"/>
      <c r="F43" s="28"/>
      <c r="G43" s="19"/>
      <c r="H43" s="28"/>
      <c r="I43" s="19"/>
      <c r="J43" s="19"/>
      <c r="K43" s="19"/>
      <c r="L43" s="19"/>
      <c r="M43" s="19"/>
      <c r="N43" s="19"/>
      <c r="O43" s="19"/>
      <c r="P43" s="28"/>
      <c r="Q43" s="19"/>
      <c r="R43" s="19"/>
      <c r="S43" s="19"/>
      <c r="T43" s="36"/>
      <c r="U43" s="43"/>
      <c r="V43" s="19"/>
      <c r="W43" s="28"/>
      <c r="X43" s="28"/>
      <c r="Y43" s="19"/>
      <c r="Z43" s="19"/>
      <c r="AA43" s="19"/>
      <c r="AB43" s="29"/>
      <c r="AC43" s="29"/>
      <c r="AD43" s="29"/>
      <c r="AE43" s="28"/>
      <c r="AF43" s="28"/>
      <c r="AG43" s="28"/>
      <c r="AH43" s="29"/>
      <c r="AI43" s="29"/>
      <c r="AJ43" s="30"/>
      <c r="AK43" s="57"/>
      <c r="AL43" s="57"/>
      <c r="AM43" s="57"/>
      <c r="AN43" s="60"/>
      <c r="AO43" s="57"/>
      <c r="AP43" s="57"/>
      <c r="AQ43" s="57"/>
      <c r="AR43" s="133"/>
      <c r="AS43" s="133"/>
      <c r="AX43" s="15"/>
      <c r="AY43" s="15"/>
      <c r="AZ43" s="16"/>
      <c r="BE43" s="52" t="s">
        <v>75</v>
      </c>
      <c r="BF43" s="52" t="s">
        <v>74</v>
      </c>
      <c r="BG43" s="53">
        <v>2007</v>
      </c>
      <c r="BH43" s="52" t="s">
        <v>76</v>
      </c>
      <c r="BI43" s="52">
        <v>62</v>
      </c>
    </row>
    <row r="44" spans="1:61" ht="21" x14ac:dyDescent="0.35">
      <c r="A44" s="28"/>
      <c r="B44" s="67"/>
      <c r="C44" s="28"/>
      <c r="D44" s="19"/>
      <c r="E44" s="28"/>
      <c r="F44" s="28"/>
      <c r="G44" s="19"/>
      <c r="H44" s="28"/>
      <c r="I44" s="19"/>
      <c r="J44" s="19"/>
      <c r="K44" s="19"/>
      <c r="L44" s="19"/>
      <c r="M44" s="19"/>
      <c r="N44" s="19"/>
      <c r="O44" s="19"/>
      <c r="P44" s="28"/>
      <c r="Q44" s="19"/>
      <c r="R44" s="19"/>
      <c r="S44" s="19"/>
      <c r="T44" s="36"/>
      <c r="U44" s="43"/>
      <c r="V44" s="19"/>
      <c r="W44" s="28"/>
      <c r="X44" s="28"/>
      <c r="Y44" s="19"/>
      <c r="Z44" s="19"/>
      <c r="AA44" s="19"/>
      <c r="AB44" s="29"/>
      <c r="AC44" s="29"/>
      <c r="AD44" s="29"/>
      <c r="AE44" s="28"/>
      <c r="AF44" s="28"/>
      <c r="AG44" s="28"/>
      <c r="AH44" s="29"/>
      <c r="AI44" s="29"/>
      <c r="AJ44" s="30"/>
      <c r="AK44" s="57"/>
      <c r="AL44" s="57"/>
      <c r="AM44" s="57"/>
      <c r="AN44" s="60"/>
      <c r="AO44" s="57"/>
      <c r="AP44" s="57"/>
      <c r="AQ44" s="57"/>
      <c r="AR44" s="133"/>
      <c r="AS44" s="133"/>
      <c r="AX44" s="15"/>
      <c r="AY44" s="15"/>
      <c r="AZ44" s="16"/>
      <c r="BE44" t="s">
        <v>75</v>
      </c>
      <c r="BF44" t="s">
        <v>74</v>
      </c>
      <c r="BG44" s="2">
        <v>2007</v>
      </c>
    </row>
    <row r="45" spans="1:61" ht="21" x14ac:dyDescent="0.35">
      <c r="A45" s="28"/>
      <c r="B45" s="67"/>
      <c r="C45" s="28"/>
      <c r="D45" s="19"/>
      <c r="E45" s="28"/>
      <c r="F45" s="28"/>
      <c r="G45" s="19"/>
      <c r="H45" s="28"/>
      <c r="I45" s="19"/>
      <c r="J45" s="19"/>
      <c r="K45" s="19"/>
      <c r="L45" s="19"/>
      <c r="M45" s="19"/>
      <c r="N45" s="19"/>
      <c r="O45" s="19"/>
      <c r="P45" s="28"/>
      <c r="Q45" s="19"/>
      <c r="R45" s="19"/>
      <c r="S45" s="19"/>
      <c r="T45" s="36"/>
      <c r="U45" s="43"/>
      <c r="V45" s="19"/>
      <c r="W45" s="28"/>
      <c r="X45" s="28"/>
      <c r="Y45" s="19"/>
      <c r="Z45" s="19"/>
      <c r="AA45" s="19"/>
      <c r="AB45" s="29"/>
      <c r="AC45" s="29"/>
      <c r="AD45" s="29"/>
      <c r="AE45" s="28"/>
      <c r="AF45" s="28"/>
      <c r="AG45" s="28"/>
      <c r="AH45" s="29"/>
      <c r="AI45" s="29"/>
      <c r="AJ45" s="30"/>
      <c r="AK45" s="57"/>
      <c r="AL45" s="57"/>
      <c r="AM45" s="57"/>
      <c r="AN45" s="60"/>
      <c r="AO45" s="57"/>
      <c r="AP45" s="57"/>
      <c r="AQ45" s="57"/>
      <c r="AR45" s="133"/>
      <c r="AS45" s="133"/>
      <c r="AX45" s="15"/>
      <c r="AY45" s="15"/>
      <c r="AZ45" s="16"/>
      <c r="BE45" t="s">
        <v>75</v>
      </c>
      <c r="BF45" t="s">
        <v>74</v>
      </c>
      <c r="BG45" s="2">
        <v>2007</v>
      </c>
    </row>
    <row r="46" spans="1:61" ht="21" x14ac:dyDescent="0.35">
      <c r="A46" s="28"/>
      <c r="B46" s="67"/>
      <c r="C46" s="28"/>
      <c r="D46" s="19"/>
      <c r="E46" s="28"/>
      <c r="F46" s="28"/>
      <c r="G46" s="19"/>
      <c r="H46" s="28"/>
      <c r="I46" s="19"/>
      <c r="J46" s="19"/>
      <c r="K46" s="19"/>
      <c r="L46" s="19"/>
      <c r="M46" s="19"/>
      <c r="N46" s="19"/>
      <c r="O46" s="19"/>
      <c r="P46" s="28"/>
      <c r="Q46" s="19"/>
      <c r="R46" s="19"/>
      <c r="S46" s="19"/>
      <c r="T46" s="36"/>
      <c r="U46" s="43"/>
      <c r="V46" s="19"/>
      <c r="W46" s="28"/>
      <c r="X46" s="28"/>
      <c r="Y46" s="19"/>
      <c r="Z46" s="19"/>
      <c r="AA46" s="19"/>
      <c r="AB46" s="29"/>
      <c r="AC46" s="29"/>
      <c r="AD46" s="29"/>
      <c r="AE46" s="28"/>
      <c r="AF46" s="28"/>
      <c r="AG46" s="28"/>
      <c r="AH46" s="29"/>
      <c r="AI46" s="29"/>
      <c r="AJ46" s="30"/>
      <c r="AK46" s="57"/>
      <c r="AL46" s="57"/>
      <c r="AM46" s="57"/>
      <c r="AN46" s="60"/>
      <c r="AO46" s="57"/>
      <c r="AP46" s="57"/>
      <c r="AQ46" s="57"/>
      <c r="AR46" s="133"/>
      <c r="AS46" s="133"/>
      <c r="AX46" s="15"/>
      <c r="AY46" s="15"/>
      <c r="AZ46" s="16"/>
      <c r="BE46" s="52" t="s">
        <v>79</v>
      </c>
      <c r="BF46" s="52" t="s">
        <v>80</v>
      </c>
      <c r="BG46" s="53">
        <v>2026</v>
      </c>
      <c r="BH46" s="52"/>
      <c r="BI46" s="52">
        <v>63</v>
      </c>
    </row>
    <row r="47" spans="1:61" ht="21" x14ac:dyDescent="0.35">
      <c r="A47" s="28"/>
      <c r="B47" s="67"/>
      <c r="C47" s="28"/>
      <c r="D47" s="19"/>
      <c r="E47" s="28"/>
      <c r="F47" s="28"/>
      <c r="G47" s="19"/>
      <c r="H47" s="28"/>
      <c r="I47" s="19"/>
      <c r="J47" s="19"/>
      <c r="K47" s="19"/>
      <c r="L47" s="19"/>
      <c r="M47" s="19"/>
      <c r="N47" s="19"/>
      <c r="O47" s="19"/>
      <c r="P47" s="28"/>
      <c r="Q47" s="19"/>
      <c r="R47" s="19"/>
      <c r="S47" s="19"/>
      <c r="T47" s="36"/>
      <c r="U47" s="43"/>
      <c r="V47" s="19"/>
      <c r="W47" s="28"/>
      <c r="X47" s="28"/>
      <c r="Y47" s="19"/>
      <c r="Z47" s="19"/>
      <c r="AA47" s="19"/>
      <c r="AB47" s="29"/>
      <c r="AC47" s="29"/>
      <c r="AD47" s="29"/>
      <c r="AE47" s="28"/>
      <c r="AF47" s="28"/>
      <c r="AG47" s="28"/>
      <c r="AH47" s="29"/>
      <c r="AI47" s="29"/>
      <c r="AJ47" s="30"/>
      <c r="AK47" s="57"/>
      <c r="AL47" s="57"/>
      <c r="AM47" s="57"/>
      <c r="AN47" s="60"/>
      <c r="AO47" s="57"/>
      <c r="AP47" s="57"/>
      <c r="AQ47" s="57"/>
      <c r="AR47" s="133"/>
      <c r="AS47" s="133"/>
      <c r="AX47" s="15"/>
      <c r="AY47" s="15"/>
      <c r="AZ47" s="16"/>
      <c r="BE47" t="s">
        <v>79</v>
      </c>
      <c r="BF47" t="s">
        <v>80</v>
      </c>
      <c r="BG47" s="2">
        <v>2026</v>
      </c>
    </row>
    <row r="48" spans="1:61" ht="21" x14ac:dyDescent="0.35">
      <c r="A48" s="28"/>
      <c r="B48" s="67"/>
      <c r="C48" s="28"/>
      <c r="D48" s="19"/>
      <c r="E48" s="28"/>
      <c r="F48" s="28"/>
      <c r="G48" s="19"/>
      <c r="H48" s="28"/>
      <c r="I48" s="19"/>
      <c r="J48" s="19"/>
      <c r="K48" s="19"/>
      <c r="L48" s="19"/>
      <c r="M48" s="19"/>
      <c r="N48" s="19"/>
      <c r="O48" s="19"/>
      <c r="P48" s="28"/>
      <c r="Q48" s="19"/>
      <c r="R48" s="19"/>
      <c r="S48" s="19"/>
      <c r="T48" s="36"/>
      <c r="U48" s="43"/>
      <c r="V48" s="19"/>
      <c r="W48" s="28"/>
      <c r="X48" s="28"/>
      <c r="Y48" s="19"/>
      <c r="Z48" s="19"/>
      <c r="AA48" s="19"/>
      <c r="AB48" s="29"/>
      <c r="AC48" s="29"/>
      <c r="AD48" s="29"/>
      <c r="AE48" s="28"/>
      <c r="AF48" s="28"/>
      <c r="AG48" s="28"/>
      <c r="AH48" s="29"/>
      <c r="AI48" s="29"/>
      <c r="AJ48" s="30"/>
      <c r="AK48" s="57"/>
      <c r="AL48" s="57"/>
      <c r="AM48" s="57"/>
      <c r="AN48" s="60"/>
      <c r="AO48" s="57"/>
      <c r="AP48" s="57"/>
      <c r="AQ48" s="57"/>
      <c r="AR48" s="133"/>
      <c r="AS48" s="133"/>
      <c r="AX48" s="15"/>
      <c r="AY48" s="15"/>
      <c r="AZ48" s="16"/>
      <c r="BE48" t="s">
        <v>79</v>
      </c>
      <c r="BF48" t="s">
        <v>80</v>
      </c>
      <c r="BG48" s="2">
        <v>2026</v>
      </c>
    </row>
    <row r="49" spans="1:61" ht="21" x14ac:dyDescent="0.35">
      <c r="A49" s="28"/>
      <c r="B49" s="67"/>
      <c r="C49" s="28"/>
      <c r="D49" s="19"/>
      <c r="E49" s="28"/>
      <c r="F49" s="28"/>
      <c r="G49" s="19"/>
      <c r="H49" s="28"/>
      <c r="I49" s="19"/>
      <c r="J49" s="19"/>
      <c r="K49" s="19"/>
      <c r="L49" s="19"/>
      <c r="M49" s="19"/>
      <c r="N49" s="19"/>
      <c r="O49" s="19"/>
      <c r="P49" s="28"/>
      <c r="Q49" s="19"/>
      <c r="R49" s="19"/>
      <c r="S49" s="19"/>
      <c r="T49" s="36"/>
      <c r="U49" s="43"/>
      <c r="V49" s="19"/>
      <c r="W49" s="28"/>
      <c r="X49" s="28"/>
      <c r="Y49" s="19"/>
      <c r="Z49" s="19"/>
      <c r="AA49" s="19"/>
      <c r="AB49" s="29"/>
      <c r="AC49" s="29"/>
      <c r="AD49" s="29"/>
      <c r="AE49" s="28"/>
      <c r="AF49" s="28"/>
      <c r="AG49" s="28"/>
      <c r="AH49" s="29"/>
      <c r="AI49" s="29"/>
      <c r="AJ49" s="30"/>
      <c r="AK49" s="57"/>
      <c r="AL49" s="57"/>
      <c r="AM49" s="57"/>
      <c r="AN49" s="60"/>
      <c r="AO49" s="57"/>
      <c r="AP49" s="57"/>
      <c r="AQ49" s="57"/>
      <c r="AR49" s="133"/>
      <c r="AS49" s="133"/>
      <c r="AX49" s="15"/>
      <c r="AY49" s="15"/>
      <c r="AZ49" s="16"/>
      <c r="BE49" t="s">
        <v>79</v>
      </c>
      <c r="BF49" t="s">
        <v>80</v>
      </c>
      <c r="BG49" s="2">
        <v>2026</v>
      </c>
    </row>
    <row r="50" spans="1:61" ht="21" x14ac:dyDescent="0.35">
      <c r="A50" s="28"/>
      <c r="B50" s="67"/>
      <c r="C50" s="28"/>
      <c r="D50" s="19"/>
      <c r="E50" s="28"/>
      <c r="F50" s="28"/>
      <c r="G50" s="19"/>
      <c r="H50" s="28"/>
      <c r="I50" s="19"/>
      <c r="J50" s="19"/>
      <c r="K50" s="19"/>
      <c r="L50" s="19"/>
      <c r="M50" s="19"/>
      <c r="N50" s="19"/>
      <c r="O50" s="19"/>
      <c r="P50" s="28"/>
      <c r="Q50" s="19"/>
      <c r="R50" s="19"/>
      <c r="S50" s="19"/>
      <c r="T50" s="36"/>
      <c r="U50" s="43"/>
      <c r="V50" s="19"/>
      <c r="W50" s="28"/>
      <c r="X50" s="28"/>
      <c r="Y50" s="19"/>
      <c r="Z50" s="19"/>
      <c r="AA50" s="19"/>
      <c r="AB50" s="29"/>
      <c r="AC50" s="29"/>
      <c r="AD50" s="29"/>
      <c r="AE50" s="28"/>
      <c r="AF50" s="28"/>
      <c r="AG50" s="28"/>
      <c r="AH50" s="29"/>
      <c r="AI50" s="29"/>
      <c r="AJ50" s="30"/>
      <c r="AK50" s="57"/>
      <c r="AL50" s="57"/>
      <c r="AM50" s="57"/>
      <c r="AN50" s="60"/>
      <c r="AO50" s="57"/>
      <c r="AP50" s="57"/>
      <c r="AQ50" s="57"/>
      <c r="AR50" s="133"/>
      <c r="AS50" s="133"/>
      <c r="AX50" s="15"/>
      <c r="AY50" s="15"/>
      <c r="AZ50" s="16"/>
      <c r="BE50" t="s">
        <v>79</v>
      </c>
      <c r="BF50" t="s">
        <v>80</v>
      </c>
      <c r="BG50" s="2">
        <v>2026</v>
      </c>
    </row>
    <row r="51" spans="1:61" s="62" customFormat="1" ht="21" x14ac:dyDescent="0.35">
      <c r="A51" s="28"/>
      <c r="B51" s="67"/>
      <c r="C51" s="28"/>
      <c r="D51" s="19"/>
      <c r="E51" s="28"/>
      <c r="F51" s="28"/>
      <c r="G51" s="19"/>
      <c r="H51" s="28"/>
      <c r="I51" s="19"/>
      <c r="J51" s="19"/>
      <c r="K51" s="19"/>
      <c r="L51" s="19"/>
      <c r="M51" s="19"/>
      <c r="N51" s="19"/>
      <c r="O51" s="19"/>
      <c r="P51" s="28"/>
      <c r="Q51" s="19"/>
      <c r="R51" s="19"/>
      <c r="S51" s="19"/>
      <c r="T51" s="36"/>
      <c r="U51" s="43"/>
      <c r="V51" s="19"/>
      <c r="W51" s="28"/>
      <c r="X51" s="28"/>
      <c r="Y51" s="19"/>
      <c r="Z51" s="19"/>
      <c r="AA51" s="19"/>
      <c r="AB51" s="29"/>
      <c r="AC51" s="29"/>
      <c r="AD51" s="29"/>
      <c r="AE51" s="28"/>
      <c r="AF51" s="28"/>
      <c r="AG51" s="28"/>
      <c r="AH51" s="29"/>
      <c r="AI51" s="29"/>
      <c r="AJ51" s="30"/>
      <c r="AK51" s="57"/>
      <c r="AL51" s="57"/>
      <c r="AM51" s="57"/>
      <c r="AN51" s="60"/>
      <c r="AO51" s="57"/>
      <c r="AP51" s="57"/>
      <c r="AQ51" s="57"/>
      <c r="AR51" s="133"/>
      <c r="AS51" s="133"/>
      <c r="AT51"/>
      <c r="AU51"/>
      <c r="AV51"/>
      <c r="AW51"/>
      <c r="AX51" s="15"/>
      <c r="AY51" s="15"/>
      <c r="AZ51" s="16"/>
      <c r="BA51"/>
      <c r="BB51"/>
      <c r="BC51"/>
      <c r="BD51"/>
      <c r="BE51" t="s">
        <v>79</v>
      </c>
      <c r="BF51" t="s">
        <v>80</v>
      </c>
      <c r="BG51" s="2">
        <v>2026</v>
      </c>
      <c r="BH51"/>
      <c r="BI51"/>
    </row>
    <row r="52" spans="1:61" ht="21" x14ac:dyDescent="0.35">
      <c r="A52" s="28"/>
      <c r="B52" s="67"/>
      <c r="C52" s="28"/>
      <c r="D52" s="19"/>
      <c r="E52" s="28"/>
      <c r="F52" s="28"/>
      <c r="G52" s="19"/>
      <c r="H52" s="28"/>
      <c r="I52" s="19"/>
      <c r="J52" s="19"/>
      <c r="K52" s="19"/>
      <c r="L52" s="19"/>
      <c r="M52" s="19"/>
      <c r="N52" s="19"/>
      <c r="O52" s="19"/>
      <c r="P52" s="28"/>
      <c r="Q52" s="19"/>
      <c r="R52" s="19"/>
      <c r="S52" s="19"/>
      <c r="T52" s="36"/>
      <c r="U52" s="43"/>
      <c r="V52" s="19"/>
      <c r="W52" s="28"/>
      <c r="X52" s="28"/>
      <c r="Y52" s="19"/>
      <c r="Z52" s="19"/>
      <c r="AA52" s="19"/>
      <c r="AB52" s="29"/>
      <c r="AC52" s="29"/>
      <c r="AD52" s="29"/>
      <c r="AE52" s="28"/>
      <c r="AF52" s="28"/>
      <c r="AG52" s="28"/>
      <c r="AH52" s="29"/>
      <c r="AI52" s="29"/>
      <c r="AJ52" s="30"/>
      <c r="AK52" s="57"/>
      <c r="AL52" s="57"/>
      <c r="AM52" s="57"/>
      <c r="AN52" s="60"/>
      <c r="AO52" s="57"/>
      <c r="AP52" s="57"/>
      <c r="AQ52" s="57"/>
      <c r="AR52" s="133"/>
      <c r="AS52" s="133"/>
      <c r="AX52" s="15"/>
      <c r="AY52" s="15"/>
      <c r="AZ52" s="16"/>
    </row>
    <row r="53" spans="1:61" ht="21" x14ac:dyDescent="0.35">
      <c r="A53" s="28"/>
      <c r="B53" s="67"/>
      <c r="C53" s="28"/>
      <c r="D53" s="19"/>
      <c r="E53" s="28"/>
      <c r="F53" s="28"/>
      <c r="G53" s="19"/>
      <c r="H53" s="28"/>
      <c r="I53" s="19"/>
      <c r="J53" s="19"/>
      <c r="K53" s="19"/>
      <c r="L53" s="19"/>
      <c r="M53" s="19"/>
      <c r="N53" s="19"/>
      <c r="O53" s="19"/>
      <c r="P53" s="28"/>
      <c r="Q53" s="19"/>
      <c r="R53" s="19"/>
      <c r="S53" s="19"/>
      <c r="T53" s="36"/>
      <c r="U53" s="43"/>
      <c r="V53" s="19"/>
      <c r="W53" s="28"/>
      <c r="X53" s="28"/>
      <c r="Y53" s="19"/>
      <c r="Z53" s="19"/>
      <c r="AA53" s="19"/>
      <c r="AB53" s="29"/>
      <c r="AC53" s="29"/>
      <c r="AD53" s="29"/>
      <c r="AE53" s="28"/>
      <c r="AF53" s="28"/>
      <c r="AG53" s="28"/>
      <c r="AH53" s="29"/>
      <c r="AI53" s="29"/>
      <c r="AJ53" s="30"/>
      <c r="AK53" s="57"/>
      <c r="AL53" s="57"/>
      <c r="AM53" s="57"/>
      <c r="AN53" s="60"/>
      <c r="AO53" s="57"/>
      <c r="AP53" s="57"/>
      <c r="AQ53" s="57"/>
      <c r="AR53" s="133"/>
      <c r="AS53" s="133"/>
      <c r="AX53" s="15"/>
      <c r="AY53" s="15"/>
      <c r="AZ53" s="16"/>
    </row>
    <row r="54" spans="1:61" ht="21" x14ac:dyDescent="0.35">
      <c r="A54" s="28"/>
      <c r="B54" s="67"/>
      <c r="C54" s="28"/>
      <c r="D54" s="19"/>
      <c r="E54" s="28"/>
      <c r="F54" s="28"/>
      <c r="G54" s="19"/>
      <c r="H54" s="28"/>
      <c r="I54" s="19"/>
      <c r="J54" s="19"/>
      <c r="K54" s="19"/>
      <c r="L54" s="19"/>
      <c r="M54" s="19"/>
      <c r="N54" s="19"/>
      <c r="O54" s="19"/>
      <c r="P54" s="28"/>
      <c r="Q54" s="19"/>
      <c r="R54" s="19"/>
      <c r="S54" s="19"/>
      <c r="T54" s="36"/>
      <c r="U54" s="43"/>
      <c r="V54" s="19"/>
      <c r="W54" s="28"/>
      <c r="X54" s="28"/>
      <c r="Y54" s="19"/>
      <c r="Z54" s="19"/>
      <c r="AA54" s="19"/>
      <c r="AB54" s="29"/>
      <c r="AC54" s="29"/>
      <c r="AD54" s="29"/>
      <c r="AE54" s="28"/>
      <c r="AF54" s="28"/>
      <c r="AG54" s="28"/>
      <c r="AH54" s="29"/>
      <c r="AI54" s="29"/>
      <c r="AJ54" s="30"/>
      <c r="AK54" s="57"/>
      <c r="AL54" s="57"/>
      <c r="AM54" s="57"/>
      <c r="AN54" s="60"/>
      <c r="AO54" s="57"/>
      <c r="AP54" s="57"/>
      <c r="AQ54" s="57"/>
      <c r="AR54" s="133"/>
      <c r="AS54" s="133"/>
      <c r="AX54" s="15"/>
      <c r="AY54" s="15"/>
      <c r="AZ54" s="16"/>
    </row>
    <row r="55" spans="1:61" ht="21" x14ac:dyDescent="0.35">
      <c r="A55" s="28"/>
      <c r="B55" s="67"/>
      <c r="C55" s="28"/>
      <c r="D55" s="19"/>
      <c r="E55" s="28"/>
      <c r="F55" s="28"/>
      <c r="G55" s="19"/>
      <c r="H55" s="28"/>
      <c r="I55" s="19"/>
      <c r="J55" s="19"/>
      <c r="K55" s="19"/>
      <c r="L55" s="19"/>
      <c r="M55" s="19"/>
      <c r="N55" s="19"/>
      <c r="O55" s="19"/>
      <c r="P55" s="28"/>
      <c r="Q55" s="19"/>
      <c r="R55" s="19"/>
      <c r="S55" s="19"/>
      <c r="T55" s="36"/>
      <c r="U55" s="43"/>
      <c r="V55" s="19"/>
      <c r="W55" s="28"/>
      <c r="X55" s="28"/>
      <c r="Y55" s="19"/>
      <c r="Z55" s="19"/>
      <c r="AA55" s="19"/>
      <c r="AB55" s="29"/>
      <c r="AC55" s="29"/>
      <c r="AD55" s="29"/>
      <c r="AE55" s="28"/>
      <c r="AF55" s="28"/>
      <c r="AG55" s="28"/>
      <c r="AH55" s="29"/>
      <c r="AI55" s="29"/>
      <c r="AJ55" s="30"/>
      <c r="AK55" s="57"/>
      <c r="AL55" s="57"/>
      <c r="AM55" s="57"/>
      <c r="AN55" s="60"/>
      <c r="AO55" s="57"/>
      <c r="AP55" s="57"/>
      <c r="AQ55" s="57"/>
      <c r="AR55" s="133"/>
      <c r="AS55" s="133"/>
      <c r="AX55" s="15"/>
      <c r="AY55" s="15"/>
      <c r="AZ55" s="16"/>
    </row>
    <row r="56" spans="1:61" ht="21" x14ac:dyDescent="0.35">
      <c r="A56" s="28"/>
      <c r="B56" s="67"/>
      <c r="C56" s="28"/>
      <c r="D56" s="19"/>
      <c r="E56" s="28"/>
      <c r="F56" s="28"/>
      <c r="G56" s="19"/>
      <c r="H56" s="28"/>
      <c r="I56" s="19"/>
      <c r="J56" s="19"/>
      <c r="K56" s="19"/>
      <c r="L56" s="19"/>
      <c r="M56" s="19"/>
      <c r="N56" s="19"/>
      <c r="O56" s="19"/>
      <c r="P56" s="28"/>
      <c r="Q56" s="19"/>
      <c r="R56" s="19"/>
      <c r="S56" s="19"/>
      <c r="T56" s="36"/>
      <c r="U56" s="43"/>
      <c r="V56" s="19"/>
      <c r="W56" s="28"/>
      <c r="X56" s="28"/>
      <c r="Y56" s="19"/>
      <c r="Z56" s="19"/>
      <c r="AA56" s="19"/>
      <c r="AB56" s="29"/>
      <c r="AC56" s="29"/>
      <c r="AD56" s="29"/>
      <c r="AE56" s="28"/>
      <c r="AF56" s="28"/>
      <c r="AG56" s="28"/>
      <c r="AH56" s="29"/>
      <c r="AI56" s="29"/>
      <c r="AJ56" s="30"/>
      <c r="AK56" s="57"/>
      <c r="AL56" s="57"/>
      <c r="AM56" s="57"/>
      <c r="AN56" s="60"/>
      <c r="AO56" s="57"/>
      <c r="AP56" s="57"/>
      <c r="AQ56" s="57"/>
      <c r="AR56" s="133"/>
      <c r="AS56" s="133"/>
      <c r="AX56" s="15"/>
      <c r="AY56" s="15"/>
      <c r="AZ56" s="16"/>
    </row>
    <row r="57" spans="1:61" ht="21" x14ac:dyDescent="0.35">
      <c r="A57" s="28"/>
      <c r="B57" s="67"/>
      <c r="C57" s="28"/>
      <c r="D57" s="19"/>
      <c r="E57" s="28"/>
      <c r="F57" s="28"/>
      <c r="G57" s="19"/>
      <c r="H57" s="28"/>
      <c r="I57" s="19"/>
      <c r="J57" s="19"/>
      <c r="K57" s="19"/>
      <c r="L57" s="19"/>
      <c r="M57" s="19"/>
      <c r="N57" s="19"/>
      <c r="O57" s="19"/>
      <c r="P57" s="28"/>
      <c r="Q57" s="19"/>
      <c r="R57" s="19"/>
      <c r="S57" s="19"/>
      <c r="T57" s="36"/>
      <c r="U57" s="43"/>
      <c r="V57" s="19"/>
      <c r="W57" s="28"/>
      <c r="X57" s="28"/>
      <c r="Y57" s="19"/>
      <c r="Z57" s="19"/>
      <c r="AA57" s="19"/>
      <c r="AB57" s="29"/>
      <c r="AC57" s="29"/>
      <c r="AD57" s="29"/>
      <c r="AE57" s="28"/>
      <c r="AF57" s="28"/>
      <c r="AG57" s="28"/>
      <c r="AH57" s="29"/>
      <c r="AI57" s="29"/>
      <c r="AJ57" s="30"/>
      <c r="AK57" s="57"/>
      <c r="AL57" s="57"/>
      <c r="AM57" s="57"/>
      <c r="AN57" s="60"/>
      <c r="AO57" s="57"/>
      <c r="AP57" s="57"/>
      <c r="AQ57" s="57"/>
      <c r="AR57" s="133"/>
      <c r="AS57" s="133"/>
      <c r="AX57" s="15"/>
      <c r="AY57" s="15"/>
      <c r="AZ57" s="16"/>
    </row>
    <row r="58" spans="1:61" ht="21" x14ac:dyDescent="0.35">
      <c r="A58" s="28"/>
      <c r="B58" s="67"/>
      <c r="C58" s="28"/>
      <c r="D58" s="19"/>
      <c r="E58" s="28"/>
      <c r="F58" s="28"/>
      <c r="G58" s="19"/>
      <c r="H58" s="28"/>
      <c r="I58" s="19"/>
      <c r="J58" s="19"/>
      <c r="K58" s="61"/>
      <c r="L58" s="19"/>
      <c r="M58" s="19"/>
      <c r="N58" s="19"/>
      <c r="O58" s="19"/>
      <c r="P58" s="28"/>
      <c r="Q58" s="19"/>
      <c r="R58" s="19"/>
      <c r="S58" s="19"/>
      <c r="T58" s="36"/>
      <c r="U58" s="43"/>
      <c r="V58" s="19"/>
      <c r="W58" s="28"/>
      <c r="X58" s="28"/>
      <c r="Y58" s="19"/>
      <c r="Z58" s="19"/>
      <c r="AA58" s="19"/>
      <c r="AB58" s="29"/>
      <c r="AC58" s="29"/>
      <c r="AD58" s="29"/>
      <c r="AE58" s="28"/>
      <c r="AF58" s="28"/>
      <c r="AG58" s="28"/>
      <c r="AH58" s="29"/>
      <c r="AI58" s="29"/>
      <c r="AJ58" s="30"/>
      <c r="AK58" s="57"/>
      <c r="AL58" s="57"/>
      <c r="AM58" s="57"/>
      <c r="AN58" s="60"/>
      <c r="AO58" s="57"/>
      <c r="AP58" s="57"/>
      <c r="AQ58" s="57"/>
      <c r="AR58" s="133"/>
      <c r="AS58" s="133"/>
      <c r="AX58" s="15"/>
      <c r="AY58" s="15"/>
      <c r="AZ58" s="16"/>
    </row>
    <row r="59" spans="1:61" ht="21" x14ac:dyDescent="0.35">
      <c r="A59" s="28"/>
      <c r="B59" s="67"/>
      <c r="C59" s="28"/>
      <c r="D59" s="19"/>
      <c r="E59" s="28"/>
      <c r="F59" s="28"/>
      <c r="G59" s="19"/>
      <c r="H59" s="28"/>
      <c r="I59" s="19"/>
      <c r="J59" s="19"/>
      <c r="K59" s="19"/>
      <c r="L59" s="19"/>
      <c r="M59" s="19"/>
      <c r="N59" s="19"/>
      <c r="O59" s="19"/>
      <c r="P59" s="28"/>
      <c r="Q59" s="19"/>
      <c r="R59" s="19"/>
      <c r="S59" s="19"/>
      <c r="T59" s="36"/>
      <c r="U59" s="43"/>
      <c r="V59" s="19"/>
      <c r="W59" s="28"/>
      <c r="X59" s="28"/>
      <c r="Y59" s="19"/>
      <c r="Z59" s="19"/>
      <c r="AA59" s="19"/>
      <c r="AB59" s="29"/>
      <c r="AC59" s="29"/>
      <c r="AD59" s="29"/>
      <c r="AE59" s="28"/>
      <c r="AF59" s="28"/>
      <c r="AG59" s="28"/>
      <c r="AH59" s="29"/>
      <c r="AI59" s="29"/>
      <c r="AJ59" s="30"/>
      <c r="AK59" s="57"/>
      <c r="AL59" s="57"/>
      <c r="AM59" s="57"/>
      <c r="AN59" s="60"/>
      <c r="AO59" s="57"/>
      <c r="AP59" s="57"/>
      <c r="AQ59" s="57"/>
      <c r="AR59" s="133"/>
      <c r="AS59" s="133"/>
      <c r="AX59" s="15"/>
      <c r="AY59" s="15"/>
      <c r="AZ59" s="16"/>
    </row>
    <row r="60" spans="1:61" ht="21" x14ac:dyDescent="0.35">
      <c r="A60" s="81"/>
      <c r="B60" s="82"/>
      <c r="C60" s="81"/>
      <c r="D60" s="83"/>
      <c r="E60" s="81"/>
      <c r="F60" s="81"/>
      <c r="G60" s="83"/>
      <c r="H60" s="81"/>
      <c r="I60" s="83"/>
      <c r="J60" s="83"/>
      <c r="K60" s="83"/>
      <c r="L60" s="83"/>
      <c r="M60" s="83"/>
      <c r="N60" s="83"/>
      <c r="O60" s="83"/>
      <c r="P60" s="81"/>
      <c r="Q60" s="83"/>
      <c r="R60" s="83"/>
      <c r="S60" s="83"/>
      <c r="T60" s="84"/>
      <c r="U60" s="85"/>
      <c r="V60" s="83"/>
      <c r="W60" s="81"/>
      <c r="X60" s="81"/>
      <c r="Y60" s="83"/>
      <c r="Z60" s="83"/>
      <c r="AA60" s="83"/>
      <c r="AB60" s="86"/>
      <c r="AC60" s="86"/>
      <c r="AD60" s="86"/>
      <c r="AE60" s="81"/>
      <c r="AF60" s="81"/>
      <c r="AG60" s="81"/>
      <c r="AH60" s="86"/>
      <c r="AI60" s="86"/>
      <c r="AJ60" s="87"/>
      <c r="AK60" s="57"/>
      <c r="AL60" s="57"/>
      <c r="AM60" s="57"/>
      <c r="AN60" s="60"/>
      <c r="AO60" s="57"/>
      <c r="AP60" s="57"/>
      <c r="AQ60" s="57"/>
      <c r="AR60" s="133"/>
      <c r="AS60" s="133"/>
      <c r="AX60" s="15"/>
      <c r="AY60" s="15"/>
      <c r="AZ60" s="16"/>
    </row>
    <row r="61" spans="1:61" s="92" customFormat="1" ht="21.75" thickBot="1" x14ac:dyDescent="0.4">
      <c r="A61" s="31"/>
      <c r="B61" s="68"/>
      <c r="C61" s="31"/>
      <c r="D61" s="32"/>
      <c r="E61" s="31"/>
      <c r="F61" s="31"/>
      <c r="G61" s="32"/>
      <c r="H61" s="31"/>
      <c r="I61" s="32"/>
      <c r="J61" s="32"/>
      <c r="K61" s="32"/>
      <c r="L61" s="32"/>
      <c r="M61" s="32"/>
      <c r="N61" s="32"/>
      <c r="O61" s="32"/>
      <c r="P61" s="31"/>
      <c r="Q61" s="32"/>
      <c r="R61" s="32"/>
      <c r="S61" s="32"/>
      <c r="T61" s="39"/>
      <c r="U61" s="50"/>
      <c r="V61" s="32"/>
      <c r="W61" s="31"/>
      <c r="X61" s="31"/>
      <c r="Y61" s="32"/>
      <c r="Z61" s="32"/>
      <c r="AA61" s="32"/>
      <c r="AB61" s="33"/>
      <c r="AC61" s="33"/>
      <c r="AD61" s="33"/>
      <c r="AE61" s="31"/>
      <c r="AF61" s="31"/>
      <c r="AG61" s="31"/>
      <c r="AH61" s="33"/>
      <c r="AI61" s="33"/>
      <c r="AJ61" s="51"/>
      <c r="AK61" s="91"/>
      <c r="AL61" s="91"/>
      <c r="AM61" s="91"/>
      <c r="AN61" s="60"/>
      <c r="AO61" s="91"/>
      <c r="AP61" s="91"/>
      <c r="AQ61" s="91"/>
      <c r="AR61" s="135"/>
      <c r="AS61" s="135"/>
      <c r="AX61" s="93"/>
      <c r="AY61" s="93"/>
      <c r="AZ61" s="94"/>
      <c r="BG61" s="95"/>
    </row>
    <row r="62" spans="1:61" ht="21" x14ac:dyDescent="0.35">
      <c r="A62" s="46"/>
      <c r="B62" s="88"/>
      <c r="C62" s="46"/>
      <c r="D62" s="47"/>
      <c r="E62" s="46"/>
      <c r="F62" s="46"/>
      <c r="G62" s="47"/>
      <c r="H62" s="46"/>
      <c r="I62" s="47"/>
      <c r="J62" s="47"/>
      <c r="K62" s="47"/>
      <c r="L62" s="47"/>
      <c r="M62" s="47"/>
      <c r="N62" s="47"/>
      <c r="O62" s="47"/>
      <c r="P62" s="46"/>
      <c r="Q62" s="47"/>
      <c r="R62" s="47"/>
      <c r="S62" s="47"/>
      <c r="T62" s="48"/>
      <c r="U62" s="89"/>
      <c r="V62" s="47"/>
      <c r="W62" s="46"/>
      <c r="X62" s="46"/>
      <c r="Y62" s="47"/>
      <c r="Z62" s="47"/>
      <c r="AA62" s="47"/>
      <c r="AB62" s="49"/>
      <c r="AC62" s="49"/>
      <c r="AD62" s="49"/>
      <c r="AE62" s="46"/>
      <c r="AF62" s="46"/>
      <c r="AG62" s="46"/>
      <c r="AH62" s="49"/>
      <c r="AI62" s="49"/>
      <c r="AJ62" s="90"/>
      <c r="AK62" s="57"/>
      <c r="AL62" s="57"/>
      <c r="AM62" s="57"/>
      <c r="AN62" s="60"/>
      <c r="AO62" s="57"/>
      <c r="AP62" s="57"/>
      <c r="AQ62" s="57"/>
      <c r="AR62" s="133"/>
      <c r="AS62" s="133"/>
      <c r="AX62" s="15"/>
      <c r="AY62" s="15"/>
      <c r="AZ62" s="16"/>
    </row>
    <row r="63" spans="1:61" ht="21" x14ac:dyDescent="0.35">
      <c r="A63" s="28"/>
      <c r="B63" s="67"/>
      <c r="C63" s="28"/>
      <c r="D63" s="19"/>
      <c r="E63" s="28"/>
      <c r="F63" s="28"/>
      <c r="G63" s="47"/>
      <c r="H63" s="28"/>
      <c r="I63" s="19"/>
      <c r="J63" s="19"/>
      <c r="K63" s="61"/>
      <c r="L63" s="19"/>
      <c r="M63" s="19"/>
      <c r="N63" s="19"/>
      <c r="O63" s="19"/>
      <c r="P63" s="28"/>
      <c r="Q63" s="19"/>
      <c r="R63" s="19"/>
      <c r="S63" s="19"/>
      <c r="T63" s="36"/>
      <c r="U63" s="43"/>
      <c r="V63" s="19"/>
      <c r="W63" s="28"/>
      <c r="X63" s="28"/>
      <c r="Y63" s="19"/>
      <c r="Z63" s="19"/>
      <c r="AA63" s="19"/>
      <c r="AB63" s="29"/>
      <c r="AC63" s="29"/>
      <c r="AD63" s="29"/>
      <c r="AE63" s="28"/>
      <c r="AF63" s="28"/>
      <c r="AG63" s="28"/>
      <c r="AH63" s="29"/>
      <c r="AI63" s="29"/>
      <c r="AJ63" s="30"/>
      <c r="AK63" s="57"/>
      <c r="AL63" s="57"/>
      <c r="AM63" s="57"/>
      <c r="AN63" s="60"/>
      <c r="AO63" s="57"/>
      <c r="AP63" s="57"/>
      <c r="AQ63" s="57"/>
      <c r="AR63" s="133"/>
      <c r="AS63" s="133"/>
      <c r="AX63" s="15"/>
      <c r="AY63" s="15"/>
      <c r="AZ63" s="16"/>
    </row>
    <row r="64" spans="1:61" ht="21" x14ac:dyDescent="0.35">
      <c r="A64" s="28"/>
      <c r="B64" s="67"/>
      <c r="C64" s="28"/>
      <c r="D64" s="19"/>
      <c r="E64" s="28"/>
      <c r="F64" s="28"/>
      <c r="G64" s="47"/>
      <c r="H64" s="28"/>
      <c r="I64" s="19"/>
      <c r="J64" s="19"/>
      <c r="K64" s="61"/>
      <c r="L64" s="19"/>
      <c r="M64" s="19"/>
      <c r="N64" s="19"/>
      <c r="O64" s="19"/>
      <c r="P64" s="28"/>
      <c r="Q64" s="19"/>
      <c r="R64" s="19"/>
      <c r="S64" s="19"/>
      <c r="T64" s="36"/>
      <c r="U64" s="43"/>
      <c r="V64" s="19"/>
      <c r="W64" s="28"/>
      <c r="X64" s="28"/>
      <c r="Y64" s="19"/>
      <c r="Z64" s="19"/>
      <c r="AA64" s="19"/>
      <c r="AB64" s="29"/>
      <c r="AC64" s="29"/>
      <c r="AD64" s="29"/>
      <c r="AE64" s="28"/>
      <c r="AF64" s="28"/>
      <c r="AG64" s="28"/>
      <c r="AH64" s="29"/>
      <c r="AI64" s="29"/>
      <c r="AJ64" s="30"/>
      <c r="AK64" s="57"/>
      <c r="AL64" s="57"/>
      <c r="AM64" s="57"/>
      <c r="AN64" s="60"/>
      <c r="AO64" s="57"/>
      <c r="AP64" s="57"/>
      <c r="AQ64" s="57"/>
      <c r="AR64" s="133"/>
      <c r="AS64" s="133"/>
      <c r="AX64" s="15"/>
      <c r="AY64" s="15"/>
      <c r="AZ64" s="16"/>
    </row>
    <row r="65" spans="1:52" ht="21" x14ac:dyDescent="0.35">
      <c r="A65" s="28"/>
      <c r="B65" s="67"/>
      <c r="C65" s="28"/>
      <c r="D65" s="19"/>
      <c r="E65" s="28"/>
      <c r="F65" s="28"/>
      <c r="G65" s="47"/>
      <c r="H65" s="28"/>
      <c r="I65" s="19"/>
      <c r="J65" s="19"/>
      <c r="K65" s="19"/>
      <c r="L65" s="19"/>
      <c r="M65" s="19"/>
      <c r="N65" s="19"/>
      <c r="O65" s="19"/>
      <c r="P65" s="28"/>
      <c r="Q65" s="19"/>
      <c r="R65" s="19"/>
      <c r="S65" s="19"/>
      <c r="T65" s="36"/>
      <c r="U65" s="43"/>
      <c r="V65" s="19"/>
      <c r="W65" s="28"/>
      <c r="X65" s="28"/>
      <c r="Y65" s="19"/>
      <c r="Z65" s="19"/>
      <c r="AA65" s="19"/>
      <c r="AB65" s="29"/>
      <c r="AC65" s="29"/>
      <c r="AD65" s="29"/>
      <c r="AE65" s="28"/>
      <c r="AF65" s="28"/>
      <c r="AG65" s="28"/>
      <c r="AH65" s="29"/>
      <c r="AI65" s="29"/>
      <c r="AJ65" s="30"/>
      <c r="AK65" s="57"/>
      <c r="AL65" s="57"/>
      <c r="AM65" s="57"/>
      <c r="AN65" s="60"/>
      <c r="AO65" s="57"/>
      <c r="AP65" s="57"/>
      <c r="AQ65" s="57"/>
      <c r="AR65" s="133"/>
      <c r="AS65" s="133"/>
      <c r="AX65" s="15"/>
      <c r="AY65" s="15"/>
      <c r="AZ65" s="16"/>
    </row>
    <row r="66" spans="1:52" ht="21" x14ac:dyDescent="0.35">
      <c r="A66" s="28"/>
      <c r="B66" s="67"/>
      <c r="C66" s="28"/>
      <c r="D66" s="19"/>
      <c r="E66" s="28"/>
      <c r="F66" s="28"/>
      <c r="G66" s="47"/>
      <c r="H66" s="28"/>
      <c r="I66" s="19"/>
      <c r="J66" s="19"/>
      <c r="K66" s="61"/>
      <c r="L66" s="19"/>
      <c r="M66" s="19"/>
      <c r="N66" s="19"/>
      <c r="O66" s="19"/>
      <c r="P66" s="28"/>
      <c r="Q66" s="19"/>
      <c r="R66" s="19"/>
      <c r="S66" s="19"/>
      <c r="T66" s="36"/>
      <c r="U66" s="43"/>
      <c r="V66" s="19"/>
      <c r="W66" s="28"/>
      <c r="X66" s="28"/>
      <c r="Y66" s="19"/>
      <c r="Z66" s="19"/>
      <c r="AA66" s="19"/>
      <c r="AB66" s="29"/>
      <c r="AC66" s="29"/>
      <c r="AD66" s="29"/>
      <c r="AE66" s="28"/>
      <c r="AF66" s="28"/>
      <c r="AG66" s="28"/>
      <c r="AH66" s="29"/>
      <c r="AI66" s="29"/>
      <c r="AJ66" s="30"/>
      <c r="AK66" s="57"/>
      <c r="AL66" s="57"/>
      <c r="AM66" s="57"/>
      <c r="AN66" s="60"/>
      <c r="AO66" s="57"/>
      <c r="AP66" s="57"/>
      <c r="AQ66" s="57"/>
      <c r="AR66" s="133"/>
      <c r="AS66" s="133"/>
      <c r="AX66" s="15"/>
      <c r="AY66" s="15"/>
      <c r="AZ66" s="16"/>
    </row>
    <row r="67" spans="1:52" ht="21" x14ac:dyDescent="0.35">
      <c r="A67" s="28"/>
      <c r="B67" s="67"/>
      <c r="C67" s="28"/>
      <c r="D67" s="19"/>
      <c r="E67" s="28"/>
      <c r="F67" s="28"/>
      <c r="G67" s="47"/>
      <c r="H67" s="28"/>
      <c r="I67" s="19"/>
      <c r="J67" s="19"/>
      <c r="K67" s="61"/>
      <c r="L67" s="19"/>
      <c r="M67" s="19"/>
      <c r="N67" s="19"/>
      <c r="O67" s="19"/>
      <c r="P67" s="28"/>
      <c r="Q67" s="19"/>
      <c r="R67" s="19"/>
      <c r="S67" s="19"/>
      <c r="T67" s="36"/>
      <c r="U67" s="43"/>
      <c r="V67" s="19"/>
      <c r="W67" s="28"/>
      <c r="X67" s="28"/>
      <c r="Y67" s="19"/>
      <c r="Z67" s="19"/>
      <c r="AA67" s="19"/>
      <c r="AB67" s="29"/>
      <c r="AC67" s="29"/>
      <c r="AD67" s="29"/>
      <c r="AE67" s="28"/>
      <c r="AF67" s="28"/>
      <c r="AG67" s="28"/>
      <c r="AH67" s="29"/>
      <c r="AI67" s="29"/>
      <c r="AJ67" s="30"/>
      <c r="AK67" s="57"/>
      <c r="AL67" s="57"/>
      <c r="AM67" s="57"/>
      <c r="AN67" s="60"/>
      <c r="AO67" s="57"/>
      <c r="AP67" s="57"/>
      <c r="AQ67" s="57"/>
      <c r="AR67" s="133"/>
      <c r="AS67" s="133"/>
      <c r="AX67" s="15"/>
      <c r="AY67" s="15"/>
      <c r="AZ67" s="16"/>
    </row>
    <row r="68" spans="1:52" ht="21" x14ac:dyDescent="0.35">
      <c r="A68" s="28"/>
      <c r="B68" s="67"/>
      <c r="C68" s="28"/>
      <c r="D68" s="19"/>
      <c r="E68" s="28"/>
      <c r="F68" s="28"/>
      <c r="G68" s="47"/>
      <c r="H68" s="28"/>
      <c r="I68" s="19"/>
      <c r="J68" s="19"/>
      <c r="K68" s="19"/>
      <c r="L68" s="19"/>
      <c r="M68" s="19"/>
      <c r="N68" s="19"/>
      <c r="O68" s="19"/>
      <c r="P68" s="28"/>
      <c r="Q68" s="19"/>
      <c r="R68" s="19"/>
      <c r="S68" s="19"/>
      <c r="T68" s="36"/>
      <c r="U68" s="43"/>
      <c r="V68" s="19"/>
      <c r="W68" s="28"/>
      <c r="X68" s="28"/>
      <c r="Y68" s="19"/>
      <c r="Z68" s="19"/>
      <c r="AA68" s="19"/>
      <c r="AB68" s="29"/>
      <c r="AC68" s="29"/>
      <c r="AD68" s="29"/>
      <c r="AE68" s="28"/>
      <c r="AF68" s="28"/>
      <c r="AG68" s="28"/>
      <c r="AH68" s="29"/>
      <c r="AI68" s="29"/>
      <c r="AJ68" s="30"/>
      <c r="AK68" s="57"/>
      <c r="AL68" s="57"/>
      <c r="AM68" s="57"/>
      <c r="AN68" s="60"/>
      <c r="AO68" s="57"/>
      <c r="AP68" s="57"/>
      <c r="AQ68" s="57"/>
      <c r="AR68" s="133"/>
      <c r="AS68" s="133"/>
      <c r="AX68" s="15"/>
      <c r="AY68" s="15"/>
      <c r="AZ68" s="16"/>
    </row>
    <row r="69" spans="1:52" ht="21" x14ac:dyDescent="0.35">
      <c r="A69" s="28"/>
      <c r="B69" s="67"/>
      <c r="C69" s="28"/>
      <c r="D69" s="19"/>
      <c r="E69" s="28"/>
      <c r="F69" s="28"/>
      <c r="G69" s="47"/>
      <c r="H69" s="28"/>
      <c r="I69" s="19"/>
      <c r="J69" s="19"/>
      <c r="K69" s="19"/>
      <c r="L69" s="19"/>
      <c r="M69" s="19"/>
      <c r="N69" s="19"/>
      <c r="O69" s="19"/>
      <c r="P69" s="28"/>
      <c r="Q69" s="19"/>
      <c r="R69" s="19"/>
      <c r="S69" s="19"/>
      <c r="T69" s="36"/>
      <c r="U69" s="43"/>
      <c r="V69" s="19"/>
      <c r="W69" s="28"/>
      <c r="X69" s="28"/>
      <c r="Y69" s="19"/>
      <c r="Z69" s="19"/>
      <c r="AA69" s="19"/>
      <c r="AB69" s="29"/>
      <c r="AC69" s="29"/>
      <c r="AD69" s="29"/>
      <c r="AE69" s="28"/>
      <c r="AF69" s="28"/>
      <c r="AG69" s="28"/>
      <c r="AH69" s="29"/>
      <c r="AI69" s="29"/>
      <c r="AJ69" s="30"/>
      <c r="AK69" s="57"/>
      <c r="AL69" s="57"/>
      <c r="AM69" s="57"/>
      <c r="AN69" s="60"/>
      <c r="AO69" s="57"/>
      <c r="AP69" s="57"/>
      <c r="AQ69" s="57"/>
      <c r="AR69" s="133"/>
      <c r="AS69" s="133"/>
      <c r="AX69" s="15"/>
      <c r="AY69" s="15"/>
      <c r="AZ69" s="16"/>
    </row>
    <row r="70" spans="1:52" ht="21" x14ac:dyDescent="0.35">
      <c r="A70" s="28"/>
      <c r="B70" s="67"/>
      <c r="C70" s="28"/>
      <c r="D70" s="19"/>
      <c r="E70" s="28"/>
      <c r="F70" s="28"/>
      <c r="G70" s="47"/>
      <c r="H70" s="28"/>
      <c r="I70" s="19"/>
      <c r="J70" s="19"/>
      <c r="K70" s="19"/>
      <c r="L70" s="19"/>
      <c r="M70" s="19"/>
      <c r="N70" s="19"/>
      <c r="O70" s="19"/>
      <c r="P70" s="28"/>
      <c r="Q70" s="19"/>
      <c r="R70" s="19"/>
      <c r="S70" s="19"/>
      <c r="T70" s="36"/>
      <c r="U70" s="43"/>
      <c r="V70" s="19"/>
      <c r="W70" s="28"/>
      <c r="X70" s="28"/>
      <c r="Y70" s="19"/>
      <c r="Z70" s="19"/>
      <c r="AA70" s="19"/>
      <c r="AB70" s="29"/>
      <c r="AC70" s="29"/>
      <c r="AD70" s="29"/>
      <c r="AE70" s="28"/>
      <c r="AF70" s="28"/>
      <c r="AG70" s="28"/>
      <c r="AH70" s="29"/>
      <c r="AI70" s="29"/>
      <c r="AJ70" s="30"/>
      <c r="AK70" s="57"/>
      <c r="AL70" s="57"/>
      <c r="AM70" s="57"/>
      <c r="AN70" s="60"/>
      <c r="AO70" s="57"/>
      <c r="AP70" s="57"/>
      <c r="AQ70" s="57"/>
      <c r="AR70" s="133"/>
      <c r="AS70" s="133"/>
      <c r="AX70" s="15"/>
      <c r="AY70" s="15"/>
      <c r="AZ70" s="16"/>
    </row>
    <row r="71" spans="1:52" ht="21" x14ac:dyDescent="0.35">
      <c r="A71" s="28"/>
      <c r="B71" s="67"/>
      <c r="C71" s="28"/>
      <c r="D71" s="19"/>
      <c r="E71" s="28"/>
      <c r="F71" s="28"/>
      <c r="G71" s="47"/>
      <c r="H71" s="28"/>
      <c r="I71" s="19"/>
      <c r="J71" s="19"/>
      <c r="K71" s="19"/>
      <c r="L71" s="19"/>
      <c r="M71" s="19"/>
      <c r="N71" s="19"/>
      <c r="O71" s="19"/>
      <c r="P71" s="28"/>
      <c r="Q71" s="19"/>
      <c r="R71" s="19"/>
      <c r="S71" s="19"/>
      <c r="T71" s="36"/>
      <c r="U71" s="43"/>
      <c r="V71" s="19"/>
      <c r="W71" s="28"/>
      <c r="X71" s="28"/>
      <c r="Y71" s="19"/>
      <c r="Z71" s="19"/>
      <c r="AA71" s="19"/>
      <c r="AB71" s="29"/>
      <c r="AC71" s="29"/>
      <c r="AD71" s="29"/>
      <c r="AE71" s="28"/>
      <c r="AF71" s="28"/>
      <c r="AG71" s="28"/>
      <c r="AH71" s="29"/>
      <c r="AI71" s="29"/>
      <c r="AJ71" s="30"/>
      <c r="AK71" s="57"/>
      <c r="AL71" s="57"/>
      <c r="AM71" s="57"/>
      <c r="AN71" s="60"/>
      <c r="AO71" s="57"/>
      <c r="AP71" s="57"/>
      <c r="AQ71" s="57"/>
      <c r="AR71" s="133"/>
      <c r="AS71" s="133"/>
      <c r="AX71" s="15"/>
      <c r="AY71" s="15"/>
      <c r="AZ71" s="16"/>
    </row>
    <row r="72" spans="1:52" ht="21" x14ac:dyDescent="0.35">
      <c r="A72" s="28"/>
      <c r="B72" s="67"/>
      <c r="C72" s="28"/>
      <c r="D72" s="19"/>
      <c r="E72" s="28"/>
      <c r="F72" s="28"/>
      <c r="G72" s="47"/>
      <c r="H72" s="28"/>
      <c r="I72" s="19"/>
      <c r="J72" s="19"/>
      <c r="K72" s="19"/>
      <c r="L72" s="19"/>
      <c r="M72" s="19"/>
      <c r="N72" s="19"/>
      <c r="O72" s="19"/>
      <c r="P72" s="28"/>
      <c r="Q72" s="19"/>
      <c r="R72" s="19"/>
      <c r="S72" s="19"/>
      <c r="T72" s="36"/>
      <c r="U72" s="43"/>
      <c r="V72" s="19"/>
      <c r="W72" s="28"/>
      <c r="X72" s="28"/>
      <c r="Y72" s="19"/>
      <c r="Z72" s="19"/>
      <c r="AA72" s="19"/>
      <c r="AB72" s="29"/>
      <c r="AC72" s="29"/>
      <c r="AD72" s="29"/>
      <c r="AE72" s="28"/>
      <c r="AF72" s="28"/>
      <c r="AG72" s="28"/>
      <c r="AH72" s="29"/>
      <c r="AI72" s="29"/>
      <c r="AJ72" s="30"/>
      <c r="AK72" s="57"/>
      <c r="AL72" s="57"/>
      <c r="AM72" s="57"/>
      <c r="AN72" s="60"/>
      <c r="AO72" s="57"/>
      <c r="AP72" s="57"/>
      <c r="AQ72" s="57"/>
      <c r="AR72" s="133"/>
      <c r="AS72" s="133"/>
      <c r="AX72" s="15"/>
      <c r="AY72" s="15"/>
      <c r="AZ72" s="16"/>
    </row>
    <row r="73" spans="1:52" ht="21" x14ac:dyDescent="0.35">
      <c r="A73" s="28"/>
      <c r="B73" s="67"/>
      <c r="C73" s="28"/>
      <c r="D73" s="19"/>
      <c r="E73" s="28"/>
      <c r="F73" s="28"/>
      <c r="G73" s="47"/>
      <c r="H73" s="28"/>
      <c r="I73" s="19"/>
      <c r="J73" s="19"/>
      <c r="K73" s="19"/>
      <c r="L73" s="19"/>
      <c r="M73" s="19"/>
      <c r="N73" s="19"/>
      <c r="O73" s="19"/>
      <c r="P73" s="28"/>
      <c r="Q73" s="19"/>
      <c r="R73" s="19"/>
      <c r="S73" s="19"/>
      <c r="T73" s="36"/>
      <c r="U73" s="43"/>
      <c r="V73" s="19"/>
      <c r="W73" s="28"/>
      <c r="X73" s="28"/>
      <c r="Y73" s="19"/>
      <c r="Z73" s="19"/>
      <c r="AA73" s="19"/>
      <c r="AB73" s="29"/>
      <c r="AC73" s="29"/>
      <c r="AD73" s="29"/>
      <c r="AE73" s="28"/>
      <c r="AF73" s="28"/>
      <c r="AG73" s="28"/>
      <c r="AH73" s="29"/>
      <c r="AI73" s="29"/>
      <c r="AJ73" s="30"/>
      <c r="AK73" s="57"/>
      <c r="AL73" s="57"/>
      <c r="AM73" s="57"/>
      <c r="AN73" s="60"/>
      <c r="AO73" s="57"/>
      <c r="AP73" s="57"/>
      <c r="AQ73" s="57"/>
      <c r="AR73" s="133"/>
      <c r="AS73" s="133"/>
      <c r="AX73" s="15"/>
      <c r="AY73" s="15"/>
      <c r="AZ73" s="16"/>
    </row>
    <row r="74" spans="1:52" ht="21" x14ac:dyDescent="0.35">
      <c r="A74" s="28"/>
      <c r="B74" s="67"/>
      <c r="C74" s="28"/>
      <c r="D74" s="19"/>
      <c r="E74" s="28"/>
      <c r="F74" s="28"/>
      <c r="G74" s="47"/>
      <c r="H74" s="28"/>
      <c r="I74" s="19"/>
      <c r="J74" s="19"/>
      <c r="K74" s="61"/>
      <c r="L74" s="19"/>
      <c r="M74" s="19"/>
      <c r="N74" s="19"/>
      <c r="O74" s="19"/>
      <c r="P74" s="28"/>
      <c r="Q74" s="19"/>
      <c r="R74" s="19"/>
      <c r="S74" s="19"/>
      <c r="T74" s="36"/>
      <c r="U74" s="43"/>
      <c r="V74" s="19"/>
      <c r="W74" s="28"/>
      <c r="X74" s="28"/>
      <c r="Y74" s="19"/>
      <c r="Z74" s="19"/>
      <c r="AA74" s="19"/>
      <c r="AB74" s="29"/>
      <c r="AC74" s="29"/>
      <c r="AD74" s="29"/>
      <c r="AE74" s="28"/>
      <c r="AF74" s="28"/>
      <c r="AG74" s="28"/>
      <c r="AH74" s="29"/>
      <c r="AI74" s="29"/>
      <c r="AJ74" s="30"/>
      <c r="AK74" s="57"/>
      <c r="AL74" s="57"/>
      <c r="AM74" s="57"/>
      <c r="AN74" s="60"/>
      <c r="AO74" s="57"/>
      <c r="AP74" s="57"/>
      <c r="AQ74" s="57"/>
      <c r="AR74" s="133"/>
      <c r="AS74" s="133"/>
      <c r="AX74" s="15"/>
      <c r="AY74" s="15"/>
      <c r="AZ74" s="16"/>
    </row>
    <row r="75" spans="1:52" ht="21" x14ac:dyDescent="0.35">
      <c r="A75" s="28"/>
      <c r="B75" s="67"/>
      <c r="C75" s="28"/>
      <c r="D75" s="19"/>
      <c r="E75" s="28"/>
      <c r="F75" s="28"/>
      <c r="G75" s="47"/>
      <c r="H75" s="28"/>
      <c r="I75" s="19"/>
      <c r="J75" s="19"/>
      <c r="K75" s="19"/>
      <c r="L75" s="19"/>
      <c r="M75" s="19"/>
      <c r="N75" s="19"/>
      <c r="O75" s="19"/>
      <c r="P75" s="28"/>
      <c r="Q75" s="19"/>
      <c r="R75" s="19"/>
      <c r="S75" s="19"/>
      <c r="T75" s="36"/>
      <c r="U75" s="43"/>
      <c r="V75" s="19"/>
      <c r="W75" s="28"/>
      <c r="X75" s="28"/>
      <c r="Y75" s="19"/>
      <c r="Z75" s="19"/>
      <c r="AA75" s="19"/>
      <c r="AB75" s="29"/>
      <c r="AC75" s="29"/>
      <c r="AD75" s="29"/>
      <c r="AE75" s="28"/>
      <c r="AF75" s="28"/>
      <c r="AG75" s="28"/>
      <c r="AH75" s="29"/>
      <c r="AI75" s="29"/>
      <c r="AJ75" s="30"/>
      <c r="AK75" s="57"/>
      <c r="AL75" s="57"/>
      <c r="AM75" s="57"/>
      <c r="AN75" s="60"/>
      <c r="AO75" s="57"/>
      <c r="AP75" s="57"/>
      <c r="AQ75" s="57"/>
      <c r="AR75" s="133"/>
      <c r="AS75" s="133"/>
      <c r="AX75" s="15"/>
      <c r="AY75" s="15"/>
      <c r="AZ75" s="16"/>
    </row>
    <row r="76" spans="1:52" ht="21" x14ac:dyDescent="0.35">
      <c r="A76" s="28"/>
      <c r="B76" s="67"/>
      <c r="C76" s="28"/>
      <c r="D76" s="19"/>
      <c r="E76" s="28"/>
      <c r="F76" s="28"/>
      <c r="G76" s="47"/>
      <c r="H76" s="28"/>
      <c r="I76" s="19"/>
      <c r="J76" s="19"/>
      <c r="K76" s="19"/>
      <c r="L76" s="19"/>
      <c r="M76" s="19"/>
      <c r="N76" s="19"/>
      <c r="O76" s="19"/>
      <c r="P76" s="28"/>
      <c r="Q76" s="19"/>
      <c r="R76" s="19"/>
      <c r="S76" s="19"/>
      <c r="T76" s="36"/>
      <c r="U76" s="43"/>
      <c r="V76" s="19"/>
      <c r="W76" s="28"/>
      <c r="X76" s="28"/>
      <c r="Y76" s="19"/>
      <c r="Z76" s="19"/>
      <c r="AA76" s="19"/>
      <c r="AB76" s="29"/>
      <c r="AC76" s="29"/>
      <c r="AD76" s="29"/>
      <c r="AE76" s="28"/>
      <c r="AF76" s="28"/>
      <c r="AG76" s="28"/>
      <c r="AH76" s="29"/>
      <c r="AI76" s="29"/>
      <c r="AJ76" s="30"/>
      <c r="AK76" s="57"/>
      <c r="AL76" s="57"/>
      <c r="AM76" s="57"/>
      <c r="AN76" s="60"/>
      <c r="AO76" s="57"/>
      <c r="AP76" s="57"/>
      <c r="AQ76" s="57"/>
      <c r="AR76" s="133"/>
      <c r="AS76" s="133"/>
      <c r="AX76" s="15"/>
      <c r="AY76" s="15"/>
      <c r="AZ76" s="16"/>
    </row>
    <row r="77" spans="1:52" ht="21" x14ac:dyDescent="0.35">
      <c r="A77" s="28"/>
      <c r="B77" s="67"/>
      <c r="C77" s="28"/>
      <c r="D77" s="19"/>
      <c r="E77" s="28"/>
      <c r="F77" s="28"/>
      <c r="G77" s="47"/>
      <c r="H77" s="28"/>
      <c r="I77" s="19"/>
      <c r="J77" s="19"/>
      <c r="K77" s="61"/>
      <c r="L77" s="19"/>
      <c r="M77" s="19"/>
      <c r="N77" s="19"/>
      <c r="O77" s="19"/>
      <c r="P77" s="28"/>
      <c r="Q77" s="19"/>
      <c r="R77" s="19"/>
      <c r="S77" s="19"/>
      <c r="T77" s="36"/>
      <c r="U77" s="43"/>
      <c r="V77" s="19"/>
      <c r="W77" s="28"/>
      <c r="X77" s="28"/>
      <c r="Y77" s="19"/>
      <c r="Z77" s="19"/>
      <c r="AA77" s="19"/>
      <c r="AB77" s="29"/>
      <c r="AC77" s="29"/>
      <c r="AD77" s="29"/>
      <c r="AE77" s="28"/>
      <c r="AF77" s="28"/>
      <c r="AG77" s="28"/>
      <c r="AH77" s="29"/>
      <c r="AI77" s="29"/>
      <c r="AJ77" s="30"/>
      <c r="AK77" s="57"/>
      <c r="AL77" s="57"/>
      <c r="AM77" s="57"/>
      <c r="AN77" s="60"/>
      <c r="AO77" s="57"/>
      <c r="AP77" s="57"/>
      <c r="AQ77" s="57"/>
      <c r="AR77" s="133"/>
      <c r="AS77" s="133"/>
      <c r="AX77" s="15"/>
      <c r="AY77" s="15"/>
      <c r="AZ77" s="16"/>
    </row>
    <row r="78" spans="1:52" ht="21" x14ac:dyDescent="0.35">
      <c r="A78" s="28"/>
      <c r="B78" s="67"/>
      <c r="C78" s="28"/>
      <c r="D78" s="19"/>
      <c r="E78" s="28"/>
      <c r="F78" s="28"/>
      <c r="G78" s="47"/>
      <c r="H78" s="28"/>
      <c r="I78" s="19"/>
      <c r="J78" s="19"/>
      <c r="K78" s="61"/>
      <c r="L78" s="19"/>
      <c r="M78" s="19"/>
      <c r="N78" s="19"/>
      <c r="O78" s="19"/>
      <c r="P78" s="28"/>
      <c r="Q78" s="19"/>
      <c r="R78" s="19"/>
      <c r="S78" s="19"/>
      <c r="T78" s="36"/>
      <c r="U78" s="43"/>
      <c r="V78" s="19"/>
      <c r="W78" s="28"/>
      <c r="X78" s="28"/>
      <c r="Y78" s="19"/>
      <c r="Z78" s="19"/>
      <c r="AA78" s="19"/>
      <c r="AB78" s="29"/>
      <c r="AC78" s="29"/>
      <c r="AD78" s="29"/>
      <c r="AE78" s="28"/>
      <c r="AF78" s="28"/>
      <c r="AG78" s="28"/>
      <c r="AH78" s="29"/>
      <c r="AI78" s="29"/>
      <c r="AJ78" s="30"/>
      <c r="AK78" s="57"/>
      <c r="AL78" s="57"/>
      <c r="AM78" s="57"/>
      <c r="AN78" s="60"/>
      <c r="AO78" s="57"/>
      <c r="AP78" s="57"/>
      <c r="AQ78" s="57"/>
      <c r="AR78" s="133"/>
      <c r="AS78" s="133"/>
    </row>
    <row r="79" spans="1:52" ht="21" x14ac:dyDescent="0.35">
      <c r="A79" s="28"/>
      <c r="B79" s="67"/>
      <c r="C79" s="28"/>
      <c r="D79" s="19"/>
      <c r="E79" s="28"/>
      <c r="F79" s="28"/>
      <c r="G79" s="47"/>
      <c r="H79" s="28"/>
      <c r="I79" s="19"/>
      <c r="J79" s="19"/>
      <c r="K79" s="61"/>
      <c r="L79" s="19"/>
      <c r="M79" s="19"/>
      <c r="N79" s="19"/>
      <c r="O79" s="19"/>
      <c r="P79" s="28"/>
      <c r="Q79" s="19"/>
      <c r="R79" s="19"/>
      <c r="S79" s="19"/>
      <c r="T79" s="36"/>
      <c r="U79" s="43"/>
      <c r="V79" s="19"/>
      <c r="W79" s="28"/>
      <c r="X79" s="28"/>
      <c r="Y79" s="19"/>
      <c r="Z79" s="19"/>
      <c r="AA79" s="19"/>
      <c r="AB79" s="29"/>
      <c r="AC79" s="29"/>
      <c r="AD79" s="29"/>
      <c r="AE79" s="28"/>
      <c r="AF79" s="28"/>
      <c r="AG79" s="28"/>
      <c r="AH79" s="29"/>
      <c r="AI79" s="29"/>
      <c r="AJ79" s="30"/>
      <c r="AK79" s="57"/>
      <c r="AL79" s="57"/>
      <c r="AM79" s="57"/>
      <c r="AN79" s="60"/>
      <c r="AO79" s="57"/>
      <c r="AP79" s="57"/>
      <c r="AQ79" s="57"/>
      <c r="AR79" s="133"/>
      <c r="AS79" s="133"/>
    </row>
    <row r="80" spans="1:52" ht="21" x14ac:dyDescent="0.35">
      <c r="A80" s="28"/>
      <c r="B80" s="67"/>
      <c r="C80" s="28"/>
      <c r="D80" s="19"/>
      <c r="E80" s="28"/>
      <c r="F80" s="28"/>
      <c r="G80" s="47"/>
      <c r="H80" s="28"/>
      <c r="I80" s="19"/>
      <c r="J80" s="19"/>
      <c r="K80" s="61"/>
      <c r="L80" s="19"/>
      <c r="M80" s="19"/>
      <c r="N80" s="19"/>
      <c r="O80" s="19"/>
      <c r="P80" s="28"/>
      <c r="Q80" s="19"/>
      <c r="R80" s="19"/>
      <c r="S80" s="19"/>
      <c r="T80" s="36"/>
      <c r="U80" s="43"/>
      <c r="V80" s="19"/>
      <c r="W80" s="28"/>
      <c r="X80" s="28"/>
      <c r="Y80" s="19"/>
      <c r="Z80" s="19"/>
      <c r="AA80" s="19"/>
      <c r="AB80" s="29"/>
      <c r="AC80" s="29"/>
      <c r="AD80" s="29"/>
      <c r="AE80" s="28"/>
      <c r="AF80" s="28"/>
      <c r="AG80" s="28"/>
      <c r="AH80" s="29"/>
      <c r="AI80" s="29"/>
      <c r="AJ80" s="30"/>
      <c r="AK80" s="57"/>
      <c r="AL80" s="57"/>
      <c r="AM80" s="57"/>
      <c r="AN80" s="60"/>
      <c r="AO80" s="57"/>
      <c r="AP80" s="57"/>
      <c r="AQ80" s="57"/>
      <c r="AR80" s="133"/>
      <c r="AS80" s="133"/>
    </row>
    <row r="81" spans="1:45" ht="21" x14ac:dyDescent="0.35">
      <c r="A81" s="28"/>
      <c r="B81" s="67"/>
      <c r="C81" s="28"/>
      <c r="D81" s="19"/>
      <c r="E81" s="28"/>
      <c r="F81" s="28"/>
      <c r="G81" s="47"/>
      <c r="H81" s="28"/>
      <c r="I81" s="19"/>
      <c r="J81" s="19"/>
      <c r="K81" s="61"/>
      <c r="L81" s="19"/>
      <c r="M81" s="19"/>
      <c r="N81" s="19"/>
      <c r="O81" s="19"/>
      <c r="P81" s="28"/>
      <c r="Q81" s="19"/>
      <c r="R81" s="19"/>
      <c r="S81" s="19"/>
      <c r="T81" s="36"/>
      <c r="U81" s="43"/>
      <c r="V81" s="19"/>
      <c r="W81" s="28"/>
      <c r="X81" s="28"/>
      <c r="Y81" s="19"/>
      <c r="Z81" s="19"/>
      <c r="AA81" s="19"/>
      <c r="AB81" s="29"/>
      <c r="AC81" s="29"/>
      <c r="AD81" s="29"/>
      <c r="AE81" s="28"/>
      <c r="AF81" s="28"/>
      <c r="AG81" s="28"/>
      <c r="AH81" s="29"/>
      <c r="AI81" s="29"/>
      <c r="AJ81" s="30"/>
      <c r="AK81" s="57"/>
      <c r="AL81" s="57"/>
      <c r="AM81" s="57"/>
      <c r="AN81" s="60"/>
      <c r="AO81" s="57"/>
      <c r="AP81" s="57"/>
      <c r="AQ81" s="57"/>
      <c r="AR81" s="133"/>
      <c r="AS81" s="133"/>
    </row>
    <row r="82" spans="1:45" ht="21" x14ac:dyDescent="0.35">
      <c r="A82" s="28"/>
      <c r="B82" s="67"/>
      <c r="C82" s="28"/>
      <c r="D82" s="19"/>
      <c r="E82" s="28"/>
      <c r="F82" s="28"/>
      <c r="G82" s="47"/>
      <c r="H82" s="28"/>
      <c r="I82" s="19"/>
      <c r="J82" s="19"/>
      <c r="K82" s="19"/>
      <c r="L82" s="19"/>
      <c r="M82" s="19"/>
      <c r="N82" s="19"/>
      <c r="O82" s="19"/>
      <c r="P82" s="28"/>
      <c r="Q82" s="19"/>
      <c r="R82" s="19"/>
      <c r="S82" s="19"/>
      <c r="T82" s="36"/>
      <c r="U82" s="43"/>
      <c r="V82" s="19"/>
      <c r="W82" s="28"/>
      <c r="X82" s="28"/>
      <c r="Y82" s="19"/>
      <c r="Z82" s="19"/>
      <c r="AA82" s="19"/>
      <c r="AB82" s="29"/>
      <c r="AC82" s="29"/>
      <c r="AD82" s="29"/>
      <c r="AE82" s="28"/>
      <c r="AF82" s="28"/>
      <c r="AG82" s="28"/>
      <c r="AH82" s="29"/>
      <c r="AI82" s="29"/>
      <c r="AJ82" s="30"/>
      <c r="AK82" s="57"/>
      <c r="AL82" s="57"/>
      <c r="AM82" s="57"/>
      <c r="AN82" s="60"/>
      <c r="AO82" s="57"/>
      <c r="AP82" s="57"/>
      <c r="AQ82" s="57"/>
      <c r="AR82" s="133"/>
      <c r="AS82" s="133"/>
    </row>
    <row r="83" spans="1:45" ht="21" x14ac:dyDescent="0.35">
      <c r="A83" s="28"/>
      <c r="B83" s="67"/>
      <c r="C83" s="28"/>
      <c r="D83" s="19"/>
      <c r="E83" s="28"/>
      <c r="F83" s="28"/>
      <c r="G83" s="47"/>
      <c r="H83" s="28"/>
      <c r="I83" s="19"/>
      <c r="J83" s="19"/>
      <c r="K83" s="61"/>
      <c r="L83" s="19"/>
      <c r="M83" s="19"/>
      <c r="N83" s="19"/>
      <c r="O83" s="19"/>
      <c r="P83" s="28"/>
      <c r="Q83" s="19"/>
      <c r="R83" s="19"/>
      <c r="S83" s="19"/>
      <c r="T83" s="36"/>
      <c r="U83" s="43"/>
      <c r="V83" s="19"/>
      <c r="W83" s="28"/>
      <c r="X83" s="28"/>
      <c r="Y83" s="19"/>
      <c r="Z83" s="19"/>
      <c r="AA83" s="19"/>
      <c r="AB83" s="29"/>
      <c r="AC83" s="29"/>
      <c r="AD83" s="29"/>
      <c r="AE83" s="28"/>
      <c r="AF83" s="28"/>
      <c r="AG83" s="28"/>
      <c r="AH83" s="29"/>
      <c r="AI83" s="29"/>
      <c r="AJ83" s="30"/>
      <c r="AK83" s="57"/>
      <c r="AL83" s="57"/>
      <c r="AM83" s="57"/>
      <c r="AN83" s="60"/>
      <c r="AO83" s="57"/>
      <c r="AP83" s="57"/>
      <c r="AQ83" s="57"/>
      <c r="AR83" s="133"/>
      <c r="AS83" s="133"/>
    </row>
    <row r="84" spans="1:45" ht="21" x14ac:dyDescent="0.35">
      <c r="A84" s="28"/>
      <c r="B84" s="67"/>
      <c r="C84" s="28"/>
      <c r="D84" s="19"/>
      <c r="E84" s="28"/>
      <c r="F84" s="28"/>
      <c r="G84" s="47"/>
      <c r="H84" s="28"/>
      <c r="I84" s="19"/>
      <c r="J84" s="19"/>
      <c r="K84" s="19"/>
      <c r="L84" s="19"/>
      <c r="M84" s="19"/>
      <c r="N84" s="19"/>
      <c r="O84" s="19"/>
      <c r="P84" s="28"/>
      <c r="Q84" s="19"/>
      <c r="R84" s="19"/>
      <c r="S84" s="19"/>
      <c r="T84" s="36"/>
      <c r="U84" s="43"/>
      <c r="V84" s="19"/>
      <c r="W84" s="28"/>
      <c r="X84" s="28"/>
      <c r="Y84" s="19"/>
      <c r="Z84" s="19"/>
      <c r="AA84" s="19"/>
      <c r="AB84" s="29"/>
      <c r="AC84" s="29"/>
      <c r="AD84" s="29"/>
      <c r="AE84" s="28"/>
      <c r="AF84" s="28"/>
      <c r="AG84" s="28"/>
      <c r="AH84" s="29"/>
      <c r="AI84" s="29"/>
      <c r="AJ84" s="30"/>
      <c r="AK84" s="57"/>
      <c r="AL84" s="57"/>
      <c r="AM84" s="57"/>
      <c r="AN84" s="60"/>
      <c r="AO84" s="57"/>
      <c r="AP84" s="57"/>
      <c r="AQ84" s="57"/>
      <c r="AR84" s="133"/>
      <c r="AS84" s="133"/>
    </row>
    <row r="85" spans="1:45" ht="21" x14ac:dyDescent="0.35">
      <c r="A85" s="28"/>
      <c r="B85" s="67"/>
      <c r="C85" s="28"/>
      <c r="D85" s="19"/>
      <c r="E85" s="28"/>
      <c r="F85" s="28"/>
      <c r="G85" s="47"/>
      <c r="H85" s="28"/>
      <c r="I85" s="19"/>
      <c r="J85" s="19"/>
      <c r="K85" s="61"/>
      <c r="L85" s="19"/>
      <c r="M85" s="19"/>
      <c r="N85" s="19"/>
      <c r="O85" s="19"/>
      <c r="P85" s="28"/>
      <c r="Q85" s="19"/>
      <c r="R85" s="19"/>
      <c r="S85" s="19"/>
      <c r="T85" s="36"/>
      <c r="U85" s="43"/>
      <c r="V85" s="19"/>
      <c r="W85" s="28"/>
      <c r="X85" s="28"/>
      <c r="Y85" s="19"/>
      <c r="Z85" s="19"/>
      <c r="AA85" s="19"/>
      <c r="AB85" s="29"/>
      <c r="AC85" s="29"/>
      <c r="AD85" s="29"/>
      <c r="AE85" s="28"/>
      <c r="AF85" s="28"/>
      <c r="AG85" s="28"/>
      <c r="AH85" s="29"/>
      <c r="AI85" s="29"/>
      <c r="AJ85" s="30"/>
      <c r="AK85" s="57"/>
      <c r="AL85" s="57"/>
      <c r="AM85" s="57"/>
      <c r="AN85" s="60"/>
      <c r="AO85" s="57"/>
      <c r="AP85" s="57"/>
      <c r="AQ85" s="57"/>
      <c r="AR85" s="133"/>
      <c r="AS85" s="133"/>
    </row>
    <row r="86" spans="1:45" ht="21" x14ac:dyDescent="0.35">
      <c r="A86" s="28"/>
      <c r="B86" s="67"/>
      <c r="C86" s="28"/>
      <c r="D86" s="19"/>
      <c r="E86" s="28"/>
      <c r="F86" s="28"/>
      <c r="G86" s="47"/>
      <c r="H86" s="28"/>
      <c r="I86" s="19"/>
      <c r="J86" s="19"/>
      <c r="K86" s="19"/>
      <c r="L86" s="19"/>
      <c r="M86" s="19"/>
      <c r="N86" s="19"/>
      <c r="O86" s="19"/>
      <c r="P86" s="28"/>
      <c r="Q86" s="19"/>
      <c r="R86" s="19"/>
      <c r="S86" s="19"/>
      <c r="T86" s="36"/>
      <c r="U86" s="43"/>
      <c r="V86" s="19"/>
      <c r="W86" s="28"/>
      <c r="X86" s="28"/>
      <c r="Y86" s="19"/>
      <c r="Z86" s="19"/>
      <c r="AA86" s="19"/>
      <c r="AB86" s="29"/>
      <c r="AC86" s="29"/>
      <c r="AD86" s="29"/>
      <c r="AE86" s="28"/>
      <c r="AF86" s="28"/>
      <c r="AG86" s="28"/>
      <c r="AH86" s="29"/>
      <c r="AI86" s="29"/>
      <c r="AJ86" s="30"/>
      <c r="AK86" s="57"/>
      <c r="AL86" s="57"/>
      <c r="AM86" s="57"/>
      <c r="AN86" s="60"/>
      <c r="AO86" s="57"/>
      <c r="AP86" s="57"/>
      <c r="AQ86" s="57"/>
      <c r="AR86" s="133"/>
      <c r="AS86" s="133"/>
    </row>
    <row r="87" spans="1:45" ht="21" x14ac:dyDescent="0.35">
      <c r="A87" s="28"/>
      <c r="B87" s="67"/>
      <c r="C87" s="28"/>
      <c r="D87" s="19"/>
      <c r="E87" s="28"/>
      <c r="F87" s="28"/>
      <c r="G87" s="47"/>
      <c r="H87" s="28"/>
      <c r="I87" s="19"/>
      <c r="J87" s="19"/>
      <c r="K87" s="19"/>
      <c r="L87" s="19"/>
      <c r="M87" s="19"/>
      <c r="N87" s="19"/>
      <c r="O87" s="19"/>
      <c r="P87" s="28"/>
      <c r="Q87" s="19"/>
      <c r="R87" s="19"/>
      <c r="S87" s="19"/>
      <c r="T87" s="36"/>
      <c r="U87" s="43"/>
      <c r="V87" s="19"/>
      <c r="W87" s="28"/>
      <c r="X87" s="28"/>
      <c r="Y87" s="19"/>
      <c r="Z87" s="19"/>
      <c r="AA87" s="19"/>
      <c r="AB87" s="29"/>
      <c r="AC87" s="29"/>
      <c r="AD87" s="29"/>
      <c r="AE87" s="28"/>
      <c r="AF87" s="28"/>
      <c r="AG87" s="28"/>
      <c r="AH87" s="29"/>
      <c r="AI87" s="29"/>
      <c r="AJ87" s="30"/>
      <c r="AK87" s="57"/>
      <c r="AL87" s="57"/>
      <c r="AM87" s="57"/>
      <c r="AN87" s="60"/>
      <c r="AO87" s="57"/>
      <c r="AP87" s="57"/>
      <c r="AQ87" s="57"/>
      <c r="AR87" s="133"/>
      <c r="AS87" s="133"/>
    </row>
    <row r="88" spans="1:45" ht="21" x14ac:dyDescent="0.35">
      <c r="A88" s="28"/>
      <c r="B88" s="67"/>
      <c r="C88" s="28"/>
      <c r="D88" s="19"/>
      <c r="E88" s="28"/>
      <c r="F88" s="28"/>
      <c r="G88" s="47"/>
      <c r="H88" s="28"/>
      <c r="I88" s="19"/>
      <c r="J88" s="19"/>
      <c r="K88" s="19"/>
      <c r="L88" s="19"/>
      <c r="M88" s="19"/>
      <c r="N88" s="19"/>
      <c r="O88" s="19"/>
      <c r="P88" s="28"/>
      <c r="Q88" s="19"/>
      <c r="R88" s="19"/>
      <c r="S88" s="19"/>
      <c r="T88" s="36"/>
      <c r="U88" s="43"/>
      <c r="V88" s="19"/>
      <c r="W88" s="28"/>
      <c r="X88" s="28"/>
      <c r="Y88" s="19"/>
      <c r="Z88" s="19"/>
      <c r="AA88" s="19"/>
      <c r="AB88" s="29"/>
      <c r="AC88" s="29"/>
      <c r="AD88" s="29"/>
      <c r="AE88" s="28"/>
      <c r="AF88" s="28"/>
      <c r="AG88" s="28"/>
      <c r="AH88" s="29"/>
      <c r="AI88" s="29"/>
      <c r="AJ88" s="30"/>
      <c r="AK88" s="57"/>
      <c r="AL88" s="57"/>
      <c r="AM88" s="57"/>
      <c r="AN88" s="60"/>
      <c r="AO88" s="57"/>
      <c r="AP88" s="57"/>
      <c r="AQ88" s="57"/>
      <c r="AR88" s="133"/>
      <c r="AS88" s="133"/>
    </row>
    <row r="89" spans="1:45" ht="21" x14ac:dyDescent="0.35">
      <c r="A89" s="28"/>
      <c r="B89" s="67"/>
      <c r="C89" s="28"/>
      <c r="D89" s="19"/>
      <c r="E89" s="28"/>
      <c r="F89" s="28"/>
      <c r="G89" s="47"/>
      <c r="H89" s="28"/>
      <c r="I89" s="19"/>
      <c r="J89" s="19"/>
      <c r="K89" s="19"/>
      <c r="L89" s="19"/>
      <c r="M89" s="19"/>
      <c r="N89" s="19"/>
      <c r="O89" s="19"/>
      <c r="P89" s="28"/>
      <c r="Q89" s="19"/>
      <c r="R89" s="19"/>
      <c r="S89" s="19"/>
      <c r="T89" s="36"/>
      <c r="U89" s="43"/>
      <c r="V89" s="19"/>
      <c r="W89" s="28"/>
      <c r="X89" s="28"/>
      <c r="Y89" s="19"/>
      <c r="Z89" s="19"/>
      <c r="AA89" s="19"/>
      <c r="AB89" s="29"/>
      <c r="AC89" s="29"/>
      <c r="AD89" s="29"/>
      <c r="AE89" s="28"/>
      <c r="AF89" s="28"/>
      <c r="AG89" s="28"/>
      <c r="AH89" s="29"/>
      <c r="AI89" s="29"/>
      <c r="AJ89" s="30"/>
      <c r="AK89" s="57"/>
      <c r="AL89" s="57"/>
      <c r="AM89" s="57"/>
      <c r="AN89" s="60"/>
      <c r="AO89" s="57"/>
      <c r="AP89" s="57"/>
      <c r="AQ89" s="57"/>
      <c r="AR89" s="133"/>
      <c r="AS89" s="133"/>
    </row>
    <row r="90" spans="1:45" ht="21" x14ac:dyDescent="0.35">
      <c r="A90" s="28"/>
      <c r="B90" s="67"/>
      <c r="C90" s="28"/>
      <c r="D90" s="19"/>
      <c r="E90" s="28"/>
      <c r="F90" s="28"/>
      <c r="G90" s="47"/>
      <c r="H90" s="28"/>
      <c r="I90" s="19"/>
      <c r="J90" s="19"/>
      <c r="K90" s="19"/>
      <c r="L90" s="19"/>
      <c r="M90" s="19"/>
      <c r="N90" s="19"/>
      <c r="O90" s="19"/>
      <c r="P90" s="28"/>
      <c r="Q90" s="19"/>
      <c r="R90" s="19"/>
      <c r="S90" s="19"/>
      <c r="T90" s="36"/>
      <c r="U90" s="43"/>
      <c r="V90" s="19"/>
      <c r="W90" s="28"/>
      <c r="X90" s="28"/>
      <c r="Y90" s="19"/>
      <c r="Z90" s="19"/>
      <c r="AA90" s="19"/>
      <c r="AB90" s="29"/>
      <c r="AC90" s="29"/>
      <c r="AD90" s="29"/>
      <c r="AE90" s="28"/>
      <c r="AF90" s="28"/>
      <c r="AG90" s="28"/>
      <c r="AH90" s="29"/>
      <c r="AI90" s="29"/>
      <c r="AJ90" s="30"/>
      <c r="AK90" s="57"/>
      <c r="AL90" s="57"/>
      <c r="AM90" s="57"/>
      <c r="AN90" s="60"/>
      <c r="AO90" s="57"/>
      <c r="AP90" s="57"/>
      <c r="AQ90" s="57"/>
      <c r="AR90" s="133"/>
      <c r="AS90" s="133"/>
    </row>
    <row r="91" spans="1:45" ht="21" x14ac:dyDescent="0.35">
      <c r="A91" s="28"/>
      <c r="B91" s="67"/>
      <c r="C91" s="28"/>
      <c r="D91" s="19"/>
      <c r="E91" s="28"/>
      <c r="F91" s="28"/>
      <c r="G91" s="47"/>
      <c r="H91" s="28"/>
      <c r="I91" s="19"/>
      <c r="J91" s="19"/>
      <c r="K91" s="19"/>
      <c r="L91" s="19"/>
      <c r="M91" s="19"/>
      <c r="N91" s="19"/>
      <c r="O91" s="19"/>
      <c r="P91" s="28"/>
      <c r="Q91" s="19"/>
      <c r="R91" s="19"/>
      <c r="S91" s="19"/>
      <c r="T91" s="36"/>
      <c r="U91" s="43"/>
      <c r="V91" s="19"/>
      <c r="W91" s="28"/>
      <c r="X91" s="28"/>
      <c r="Y91" s="19"/>
      <c r="Z91" s="19"/>
      <c r="AA91" s="19"/>
      <c r="AB91" s="29"/>
      <c r="AC91" s="29"/>
      <c r="AD91" s="29"/>
      <c r="AE91" s="28"/>
      <c r="AF91" s="28"/>
      <c r="AG91" s="28"/>
      <c r="AH91" s="29"/>
      <c r="AI91" s="29"/>
      <c r="AJ91" s="30"/>
      <c r="AK91" s="57"/>
      <c r="AL91" s="57"/>
      <c r="AM91" s="57"/>
      <c r="AN91" s="60"/>
      <c r="AO91" s="57"/>
      <c r="AP91" s="57"/>
      <c r="AQ91" s="57"/>
      <c r="AR91" s="133"/>
      <c r="AS91" s="133"/>
    </row>
    <row r="92" spans="1:45" ht="21" x14ac:dyDescent="0.35">
      <c r="A92" s="28"/>
      <c r="B92" s="67"/>
      <c r="C92" s="28"/>
      <c r="D92" s="19"/>
      <c r="E92" s="28"/>
      <c r="F92" s="28"/>
      <c r="G92" s="47"/>
      <c r="H92" s="28"/>
      <c r="I92" s="19"/>
      <c r="J92" s="19"/>
      <c r="K92" s="19"/>
      <c r="L92" s="19"/>
      <c r="M92" s="19"/>
      <c r="N92" s="19"/>
      <c r="O92" s="19"/>
      <c r="P92" s="28"/>
      <c r="Q92" s="19"/>
      <c r="R92" s="19"/>
      <c r="S92" s="19"/>
      <c r="T92" s="36"/>
      <c r="U92" s="43"/>
      <c r="V92" s="19"/>
      <c r="W92" s="28"/>
      <c r="X92" s="28"/>
      <c r="Y92" s="19"/>
      <c r="Z92" s="19"/>
      <c r="AA92" s="19"/>
      <c r="AB92" s="29"/>
      <c r="AC92" s="29"/>
      <c r="AD92" s="29"/>
      <c r="AE92" s="28"/>
      <c r="AF92" s="28"/>
      <c r="AG92" s="28"/>
      <c r="AH92" s="29"/>
      <c r="AI92" s="29"/>
      <c r="AJ92" s="30"/>
      <c r="AK92" s="57"/>
      <c r="AL92" s="57"/>
      <c r="AM92" s="57"/>
      <c r="AN92" s="60"/>
      <c r="AO92" s="57"/>
      <c r="AP92" s="57"/>
      <c r="AQ92" s="57"/>
      <c r="AR92" s="133"/>
      <c r="AS92" s="133"/>
    </row>
    <row r="93" spans="1:45" ht="21" x14ac:dyDescent="0.35">
      <c r="A93" s="28"/>
      <c r="B93" s="67"/>
      <c r="C93" s="28"/>
      <c r="D93" s="19"/>
      <c r="E93" s="28"/>
      <c r="F93" s="28"/>
      <c r="G93" s="47"/>
      <c r="H93" s="28"/>
      <c r="I93" s="19"/>
      <c r="J93" s="19"/>
      <c r="K93" s="19"/>
      <c r="L93" s="19"/>
      <c r="M93" s="19"/>
      <c r="N93" s="19"/>
      <c r="O93" s="19"/>
      <c r="P93" s="28"/>
      <c r="Q93" s="19"/>
      <c r="R93" s="19"/>
      <c r="S93" s="19"/>
      <c r="T93" s="36"/>
      <c r="U93" s="43"/>
      <c r="V93" s="19"/>
      <c r="W93" s="28"/>
      <c r="X93" s="28"/>
      <c r="Y93" s="19"/>
      <c r="Z93" s="19"/>
      <c r="AA93" s="19"/>
      <c r="AB93" s="29"/>
      <c r="AC93" s="29"/>
      <c r="AD93" s="29"/>
      <c r="AE93" s="28"/>
      <c r="AF93" s="28"/>
      <c r="AG93" s="28"/>
      <c r="AH93" s="29"/>
      <c r="AI93" s="29"/>
      <c r="AJ93" s="30"/>
      <c r="AK93" s="57"/>
      <c r="AL93" s="57"/>
      <c r="AM93" s="57"/>
      <c r="AN93" s="60"/>
      <c r="AO93" s="57"/>
      <c r="AP93" s="57"/>
      <c r="AQ93" s="57"/>
      <c r="AR93" s="133"/>
      <c r="AS93" s="133"/>
    </row>
    <row r="94" spans="1:45" ht="21" x14ac:dyDescent="0.35">
      <c r="A94" s="28"/>
      <c r="B94" s="67"/>
      <c r="C94" s="28"/>
      <c r="D94" s="19"/>
      <c r="E94" s="28"/>
      <c r="F94" s="28"/>
      <c r="G94" s="47"/>
      <c r="H94" s="28"/>
      <c r="I94" s="19"/>
      <c r="J94" s="19"/>
      <c r="K94" s="19"/>
      <c r="L94" s="19"/>
      <c r="M94" s="19"/>
      <c r="N94" s="19"/>
      <c r="O94" s="19"/>
      <c r="P94" s="28"/>
      <c r="Q94" s="19"/>
      <c r="R94" s="19"/>
      <c r="S94" s="19"/>
      <c r="T94" s="36"/>
      <c r="U94" s="43"/>
      <c r="V94" s="19"/>
      <c r="W94" s="28"/>
      <c r="X94" s="28"/>
      <c r="Y94" s="19"/>
      <c r="Z94" s="19"/>
      <c r="AA94" s="19"/>
      <c r="AB94" s="29"/>
      <c r="AC94" s="29"/>
      <c r="AD94" s="29"/>
      <c r="AE94" s="28"/>
      <c r="AF94" s="28"/>
      <c r="AG94" s="28"/>
      <c r="AH94" s="29"/>
      <c r="AI94" s="29"/>
      <c r="AJ94" s="30"/>
      <c r="AK94" s="57"/>
      <c r="AL94" s="57"/>
      <c r="AM94" s="57"/>
      <c r="AN94" s="60"/>
      <c r="AO94" s="57"/>
      <c r="AP94" s="57"/>
      <c r="AQ94" s="57"/>
      <c r="AR94" s="133"/>
      <c r="AS94" s="133"/>
    </row>
    <row r="95" spans="1:45" ht="21" x14ac:dyDescent="0.35">
      <c r="A95" s="28"/>
      <c r="B95" s="67"/>
      <c r="C95" s="28"/>
      <c r="D95" s="19"/>
      <c r="E95" s="28"/>
      <c r="F95" s="28"/>
      <c r="G95" s="47"/>
      <c r="H95" s="28"/>
      <c r="I95" s="19"/>
      <c r="J95" s="19"/>
      <c r="K95" s="19"/>
      <c r="L95" s="19"/>
      <c r="M95" s="19"/>
      <c r="N95" s="19"/>
      <c r="O95" s="19"/>
      <c r="P95" s="28"/>
      <c r="Q95" s="19"/>
      <c r="R95" s="19"/>
      <c r="S95" s="19"/>
      <c r="T95" s="36"/>
      <c r="U95" s="43"/>
      <c r="V95" s="19"/>
      <c r="W95" s="28"/>
      <c r="X95" s="28"/>
      <c r="Y95" s="19"/>
      <c r="Z95" s="19"/>
      <c r="AA95" s="19"/>
      <c r="AB95" s="29"/>
      <c r="AC95" s="29"/>
      <c r="AD95" s="29"/>
      <c r="AE95" s="28"/>
      <c r="AF95" s="28"/>
      <c r="AG95" s="28"/>
      <c r="AH95" s="29"/>
      <c r="AI95" s="29"/>
      <c r="AJ95" s="30"/>
      <c r="AK95" s="57"/>
      <c r="AL95" s="57"/>
      <c r="AM95" s="57"/>
      <c r="AN95" s="60"/>
      <c r="AO95" s="57"/>
      <c r="AP95" s="57"/>
      <c r="AQ95" s="57"/>
      <c r="AR95" s="133"/>
      <c r="AS95" s="133"/>
    </row>
    <row r="96" spans="1:45" ht="21" x14ac:dyDescent="0.35">
      <c r="A96" s="28"/>
      <c r="B96" s="67"/>
      <c r="C96" s="28"/>
      <c r="D96" s="19"/>
      <c r="E96" s="28"/>
      <c r="F96" s="28"/>
      <c r="G96" s="47"/>
      <c r="H96" s="28"/>
      <c r="I96" s="19"/>
      <c r="J96" s="19"/>
      <c r="K96" s="19"/>
      <c r="L96" s="19"/>
      <c r="M96" s="19"/>
      <c r="N96" s="19"/>
      <c r="O96" s="19"/>
      <c r="P96" s="28"/>
      <c r="Q96" s="19"/>
      <c r="R96" s="19"/>
      <c r="S96" s="19"/>
      <c r="T96" s="36"/>
      <c r="U96" s="43"/>
      <c r="V96" s="19"/>
      <c r="W96" s="28"/>
      <c r="X96" s="28"/>
      <c r="Y96" s="19"/>
      <c r="Z96" s="19"/>
      <c r="AA96" s="19"/>
      <c r="AB96" s="29"/>
      <c r="AC96" s="29"/>
      <c r="AD96" s="29"/>
      <c r="AE96" s="28"/>
      <c r="AF96" s="28"/>
      <c r="AG96" s="28"/>
      <c r="AH96" s="29"/>
      <c r="AI96" s="29"/>
      <c r="AJ96" s="30"/>
      <c r="AK96" s="57"/>
      <c r="AL96" s="57"/>
      <c r="AM96" s="57"/>
      <c r="AN96" s="60"/>
      <c r="AO96" s="57"/>
      <c r="AP96" s="57"/>
      <c r="AQ96" s="57"/>
      <c r="AR96" s="133"/>
      <c r="AS96" s="133"/>
    </row>
    <row r="97" spans="1:45" ht="21" x14ac:dyDescent="0.35">
      <c r="A97" s="28"/>
      <c r="B97" s="67"/>
      <c r="C97" s="28"/>
      <c r="D97" s="19"/>
      <c r="E97" s="28"/>
      <c r="F97" s="28"/>
      <c r="G97" s="47"/>
      <c r="H97" s="28"/>
      <c r="I97" s="19"/>
      <c r="J97" s="19"/>
      <c r="K97" s="19"/>
      <c r="L97" s="19"/>
      <c r="M97" s="19"/>
      <c r="N97" s="19"/>
      <c r="O97" s="19"/>
      <c r="P97" s="28"/>
      <c r="Q97" s="19"/>
      <c r="R97" s="19"/>
      <c r="S97" s="19"/>
      <c r="T97" s="36"/>
      <c r="U97" s="43"/>
      <c r="V97" s="19"/>
      <c r="W97" s="28"/>
      <c r="X97" s="28"/>
      <c r="Y97" s="19"/>
      <c r="Z97" s="19"/>
      <c r="AA97" s="19"/>
      <c r="AB97" s="29"/>
      <c r="AC97" s="29"/>
      <c r="AD97" s="29"/>
      <c r="AE97" s="28"/>
      <c r="AF97" s="28"/>
      <c r="AG97" s="28"/>
      <c r="AH97" s="29"/>
      <c r="AI97" s="29"/>
      <c r="AJ97" s="30"/>
      <c r="AK97" s="57"/>
      <c r="AL97" s="57"/>
      <c r="AM97" s="57"/>
      <c r="AN97" s="60"/>
      <c r="AO97" s="57"/>
      <c r="AP97" s="57"/>
      <c r="AQ97" s="57"/>
      <c r="AR97" s="133"/>
      <c r="AS97" s="133"/>
    </row>
    <row r="98" spans="1:45" ht="21" x14ac:dyDescent="0.35">
      <c r="A98" s="28"/>
      <c r="B98" s="67"/>
      <c r="C98" s="28"/>
      <c r="D98" s="19"/>
      <c r="E98" s="28"/>
      <c r="F98" s="28"/>
      <c r="G98" s="47"/>
      <c r="H98" s="28"/>
      <c r="I98" s="19"/>
      <c r="J98" s="19"/>
      <c r="K98" s="19"/>
      <c r="L98" s="19"/>
      <c r="M98" s="19"/>
      <c r="N98" s="19"/>
      <c r="O98" s="19"/>
      <c r="P98" s="28"/>
      <c r="Q98" s="19"/>
      <c r="R98" s="19"/>
      <c r="S98" s="19"/>
      <c r="T98" s="36"/>
      <c r="U98" s="43"/>
      <c r="V98" s="19"/>
      <c r="W98" s="28"/>
      <c r="X98" s="28"/>
      <c r="Y98" s="19"/>
      <c r="Z98" s="19"/>
      <c r="AA98" s="19"/>
      <c r="AB98" s="29"/>
      <c r="AC98" s="29"/>
      <c r="AD98" s="29"/>
      <c r="AE98" s="28"/>
      <c r="AF98" s="28"/>
      <c r="AG98" s="28"/>
      <c r="AH98" s="29"/>
      <c r="AI98" s="29"/>
      <c r="AJ98" s="30"/>
      <c r="AK98" s="57"/>
      <c r="AL98" s="57"/>
      <c r="AM98" s="57"/>
      <c r="AN98" s="60"/>
      <c r="AO98" s="57"/>
      <c r="AP98" s="57"/>
      <c r="AQ98" s="57"/>
      <c r="AR98" s="133"/>
      <c r="AS98" s="133"/>
    </row>
    <row r="99" spans="1:45" ht="21" x14ac:dyDescent="0.35">
      <c r="A99" s="28"/>
      <c r="B99" s="67"/>
      <c r="C99" s="28"/>
      <c r="D99" s="19"/>
      <c r="E99" s="28"/>
      <c r="F99" s="28"/>
      <c r="G99" s="47"/>
      <c r="H99" s="28"/>
      <c r="I99" s="19"/>
      <c r="J99" s="19"/>
      <c r="K99" s="19"/>
      <c r="L99" s="19"/>
      <c r="M99" s="19"/>
      <c r="N99" s="19"/>
      <c r="O99" s="19"/>
      <c r="P99" s="28"/>
      <c r="Q99" s="19"/>
      <c r="R99" s="19"/>
      <c r="S99" s="19"/>
      <c r="T99" s="36"/>
      <c r="U99" s="43"/>
      <c r="V99" s="19"/>
      <c r="W99" s="28"/>
      <c r="X99" s="28"/>
      <c r="Y99" s="19"/>
      <c r="Z99" s="19"/>
      <c r="AA99" s="19"/>
      <c r="AB99" s="29"/>
      <c r="AC99" s="29"/>
      <c r="AD99" s="29"/>
      <c r="AE99" s="28"/>
      <c r="AF99" s="28"/>
      <c r="AG99" s="28"/>
      <c r="AH99" s="29"/>
      <c r="AI99" s="29"/>
      <c r="AJ99" s="30"/>
      <c r="AK99" s="57"/>
      <c r="AL99" s="57"/>
      <c r="AM99" s="57"/>
      <c r="AN99" s="60"/>
      <c r="AO99" s="57"/>
      <c r="AP99" s="57"/>
      <c r="AQ99" s="57"/>
      <c r="AR99" s="133"/>
      <c r="AS99" s="133"/>
    </row>
    <row r="100" spans="1:45" ht="21" x14ac:dyDescent="0.35">
      <c r="A100" s="28"/>
      <c r="B100" s="67"/>
      <c r="C100" s="28"/>
      <c r="D100" s="19"/>
      <c r="E100" s="28"/>
      <c r="F100" s="28"/>
      <c r="G100" s="47"/>
      <c r="H100" s="28"/>
      <c r="I100" s="19"/>
      <c r="J100" s="19"/>
      <c r="K100" s="19"/>
      <c r="L100" s="19"/>
      <c r="M100" s="19"/>
      <c r="N100" s="19"/>
      <c r="O100" s="19"/>
      <c r="P100" s="28"/>
      <c r="Q100" s="19"/>
      <c r="R100" s="19"/>
      <c r="S100" s="19"/>
      <c r="T100" s="36"/>
      <c r="U100" s="43"/>
      <c r="V100" s="19"/>
      <c r="W100" s="28"/>
      <c r="X100" s="28"/>
      <c r="Y100" s="19"/>
      <c r="Z100" s="19"/>
      <c r="AA100" s="19"/>
      <c r="AB100" s="29"/>
      <c r="AC100" s="29"/>
      <c r="AD100" s="29"/>
      <c r="AE100" s="28"/>
      <c r="AF100" s="28"/>
      <c r="AG100" s="28"/>
      <c r="AH100" s="29"/>
      <c r="AI100" s="29"/>
      <c r="AJ100" s="30"/>
      <c r="AK100" s="57"/>
      <c r="AL100" s="57"/>
      <c r="AM100" s="57"/>
      <c r="AN100" s="60"/>
      <c r="AO100" s="57"/>
      <c r="AP100" s="57"/>
      <c r="AQ100" s="57"/>
      <c r="AR100" s="133"/>
      <c r="AS100" s="133"/>
    </row>
    <row r="101" spans="1:45" ht="21" x14ac:dyDescent="0.35">
      <c r="A101" s="28"/>
      <c r="B101" s="67"/>
      <c r="C101" s="28"/>
      <c r="D101" s="19"/>
      <c r="E101" s="28"/>
      <c r="F101" s="28"/>
      <c r="G101" s="47"/>
      <c r="H101" s="28"/>
      <c r="I101" s="19"/>
      <c r="J101" s="19"/>
      <c r="K101" s="19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28"/>
      <c r="AG101" s="28"/>
      <c r="AH101" s="29"/>
      <c r="AI101" s="29"/>
      <c r="AJ101" s="30"/>
      <c r="AK101" s="57"/>
      <c r="AL101" s="57"/>
      <c r="AM101" s="57"/>
      <c r="AN101" s="60"/>
      <c r="AO101" s="57"/>
      <c r="AP101" s="57"/>
      <c r="AQ101" s="57"/>
      <c r="AR101" s="133"/>
      <c r="AS101" s="133"/>
    </row>
    <row r="102" spans="1:45" ht="21" x14ac:dyDescent="0.35">
      <c r="A102" s="28"/>
      <c r="B102" s="67"/>
      <c r="C102" s="28"/>
      <c r="D102" s="19"/>
      <c r="E102" s="28"/>
      <c r="F102" s="28"/>
      <c r="G102" s="47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28"/>
      <c r="AG102" s="28"/>
      <c r="AH102" s="29"/>
      <c r="AI102" s="29"/>
      <c r="AJ102" s="30"/>
      <c r="AK102" s="57"/>
      <c r="AL102" s="57"/>
      <c r="AM102" s="57"/>
      <c r="AN102" s="60"/>
      <c r="AO102" s="57"/>
      <c r="AP102" s="57"/>
      <c r="AQ102" s="57"/>
      <c r="AR102" s="133"/>
      <c r="AS102" s="133"/>
    </row>
    <row r="103" spans="1:45" ht="21" x14ac:dyDescent="0.35">
      <c r="A103" s="28"/>
      <c r="B103" s="67"/>
      <c r="C103" s="28"/>
      <c r="D103" s="19"/>
      <c r="E103" s="28"/>
      <c r="F103" s="28"/>
      <c r="G103" s="47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28"/>
      <c r="AG103" s="28"/>
      <c r="AH103" s="29"/>
      <c r="AI103" s="29"/>
      <c r="AJ103" s="30"/>
      <c r="AK103" s="57"/>
      <c r="AL103" s="57"/>
      <c r="AM103" s="57"/>
      <c r="AN103" s="60"/>
      <c r="AO103" s="57"/>
      <c r="AP103" s="57"/>
      <c r="AQ103" s="57"/>
      <c r="AR103" s="133"/>
      <c r="AS103" s="133"/>
    </row>
    <row r="104" spans="1:45" ht="21" x14ac:dyDescent="0.35">
      <c r="A104" s="28"/>
      <c r="B104" s="67"/>
      <c r="C104" s="28"/>
      <c r="D104" s="19"/>
      <c r="E104" s="28"/>
      <c r="F104" s="28"/>
      <c r="G104" s="47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28"/>
      <c r="AG104" s="28"/>
      <c r="AH104" s="29"/>
      <c r="AI104" s="29"/>
      <c r="AJ104" s="30"/>
      <c r="AK104" s="57"/>
      <c r="AL104" s="57"/>
      <c r="AM104" s="57"/>
      <c r="AN104" s="60"/>
      <c r="AO104" s="57"/>
      <c r="AP104" s="57"/>
      <c r="AQ104" s="57"/>
      <c r="AR104" s="133"/>
      <c r="AS104" s="133"/>
    </row>
    <row r="105" spans="1:45" ht="21" x14ac:dyDescent="0.35">
      <c r="A105" s="28"/>
      <c r="B105" s="67"/>
      <c r="C105" s="28"/>
      <c r="D105" s="19"/>
      <c r="E105" s="28"/>
      <c r="F105" s="28"/>
      <c r="G105" s="47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28"/>
      <c r="AG105" s="28"/>
      <c r="AH105" s="29"/>
      <c r="AI105" s="29"/>
      <c r="AJ105" s="30"/>
      <c r="AK105" s="57"/>
      <c r="AL105" s="57"/>
      <c r="AM105" s="57"/>
      <c r="AN105" s="60"/>
      <c r="AO105" s="57"/>
      <c r="AP105" s="57"/>
      <c r="AQ105" s="57"/>
      <c r="AR105" s="133"/>
      <c r="AS105" s="133"/>
    </row>
    <row r="106" spans="1:45" ht="21" x14ac:dyDescent="0.35">
      <c r="A106" s="28"/>
      <c r="B106" s="67"/>
      <c r="C106" s="28"/>
      <c r="D106" s="19"/>
      <c r="E106" s="28"/>
      <c r="F106" s="28"/>
      <c r="G106" s="47"/>
      <c r="H106" s="28"/>
      <c r="I106" s="19"/>
      <c r="J106" s="19"/>
      <c r="K106" s="19"/>
      <c r="L106" s="19"/>
      <c r="M106" s="19"/>
      <c r="N106" s="19"/>
      <c r="O106" s="19"/>
      <c r="P106" s="28"/>
      <c r="Q106" s="19"/>
      <c r="R106" s="19"/>
      <c r="S106" s="19"/>
      <c r="T106" s="36"/>
      <c r="U106" s="43"/>
      <c r="V106" s="19"/>
      <c r="W106" s="28"/>
      <c r="X106" s="28"/>
      <c r="Y106" s="19"/>
      <c r="Z106" s="19"/>
      <c r="AA106" s="19"/>
      <c r="AB106" s="29"/>
      <c r="AC106" s="29"/>
      <c r="AD106" s="29"/>
      <c r="AE106" s="28"/>
      <c r="AF106" s="28"/>
      <c r="AG106" s="28"/>
      <c r="AH106" s="29"/>
      <c r="AI106" s="29"/>
      <c r="AJ106" s="30"/>
      <c r="AK106" s="57"/>
      <c r="AL106" s="57"/>
      <c r="AM106" s="57"/>
      <c r="AN106" s="60"/>
      <c r="AO106" s="57"/>
      <c r="AP106" s="57"/>
      <c r="AQ106" s="57"/>
      <c r="AR106" s="133"/>
      <c r="AS106" s="133"/>
    </row>
    <row r="107" spans="1:45" ht="21" x14ac:dyDescent="0.35">
      <c r="A107" s="28"/>
      <c r="B107" s="67"/>
      <c r="C107" s="28"/>
      <c r="D107" s="19"/>
      <c r="E107" s="28"/>
      <c r="F107" s="28"/>
      <c r="G107" s="47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28"/>
      <c r="AG107" s="28"/>
      <c r="AH107" s="29"/>
      <c r="AI107" s="29"/>
      <c r="AJ107" s="30"/>
      <c r="AK107" s="57"/>
      <c r="AL107" s="57"/>
      <c r="AM107" s="57"/>
      <c r="AN107" s="60"/>
      <c r="AO107" s="57"/>
      <c r="AP107" s="57"/>
      <c r="AQ107" s="57"/>
      <c r="AR107" s="133"/>
      <c r="AS107" s="133"/>
    </row>
    <row r="108" spans="1:45" ht="21" x14ac:dyDescent="0.35">
      <c r="A108" s="28"/>
      <c r="B108" s="67"/>
      <c r="C108" s="28"/>
      <c r="D108" s="19"/>
      <c r="E108" s="28"/>
      <c r="F108" s="28"/>
      <c r="G108" s="47"/>
      <c r="H108" s="28"/>
      <c r="I108" s="19"/>
      <c r="J108" s="19"/>
      <c r="K108" s="19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28"/>
      <c r="AG108" s="28"/>
      <c r="AH108" s="29"/>
      <c r="AI108" s="29"/>
      <c r="AJ108" s="30"/>
      <c r="AK108" s="57"/>
      <c r="AL108" s="57"/>
      <c r="AM108" s="57"/>
      <c r="AN108" s="60"/>
      <c r="AO108" s="57"/>
      <c r="AP108" s="57"/>
      <c r="AQ108" s="57"/>
      <c r="AR108" s="133"/>
      <c r="AS108" s="133"/>
    </row>
    <row r="109" spans="1:45" ht="21.75" thickBot="1" x14ac:dyDescent="0.4">
      <c r="A109" s="28"/>
      <c r="B109" s="68"/>
      <c r="C109" s="31"/>
      <c r="D109" s="32"/>
      <c r="E109" s="31"/>
      <c r="F109" s="31"/>
      <c r="G109" s="32"/>
      <c r="H109" s="31"/>
      <c r="I109" s="32"/>
      <c r="J109" s="32"/>
      <c r="K109" s="32"/>
      <c r="L109" s="32"/>
      <c r="M109" s="32"/>
      <c r="N109" s="32"/>
      <c r="O109" s="32"/>
      <c r="P109" s="31"/>
      <c r="Q109" s="32"/>
      <c r="R109" s="32"/>
      <c r="S109" s="32"/>
      <c r="T109" s="39"/>
      <c r="U109" s="50"/>
      <c r="V109" s="32"/>
      <c r="W109" s="31"/>
      <c r="X109" s="31"/>
      <c r="Y109" s="32"/>
      <c r="Z109" s="32"/>
      <c r="AA109" s="32"/>
      <c r="AB109" s="33"/>
      <c r="AC109" s="33"/>
      <c r="AD109" s="33"/>
      <c r="AE109" s="31"/>
      <c r="AF109" s="31"/>
      <c r="AG109" s="31"/>
      <c r="AH109" s="33"/>
      <c r="AI109" s="33"/>
      <c r="AJ109" s="51"/>
      <c r="AK109" s="57"/>
      <c r="AL109" s="57"/>
      <c r="AM109" s="57"/>
      <c r="AN109" s="60"/>
      <c r="AO109" s="57"/>
      <c r="AP109" s="57"/>
      <c r="AQ109" s="57"/>
      <c r="AR109" s="133"/>
      <c r="AS109" s="133"/>
    </row>
    <row r="110" spans="1:45" ht="21" x14ac:dyDescent="0.35">
      <c r="A110" s="96"/>
      <c r="B110" s="97"/>
      <c r="C110" s="98"/>
      <c r="D110" s="98"/>
      <c r="E110" s="98"/>
      <c r="F110" s="98"/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9"/>
      <c r="AC110" s="99"/>
      <c r="AD110" s="99"/>
      <c r="AE110" s="98"/>
      <c r="AF110" s="98"/>
      <c r="AG110" s="98"/>
      <c r="AH110" s="99"/>
      <c r="AI110" s="99"/>
      <c r="AJ110" s="100"/>
      <c r="AK110" s="101"/>
      <c r="AL110" s="101"/>
      <c r="AM110" s="101"/>
      <c r="AN110" s="102"/>
      <c r="AO110" s="57"/>
      <c r="AP110" s="57"/>
      <c r="AQ110" s="57"/>
      <c r="AR110" s="133"/>
      <c r="AS110" s="133"/>
    </row>
    <row r="111" spans="1:45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46"/>
      <c r="AG111" s="28"/>
      <c r="AH111" s="29"/>
      <c r="AI111" s="29"/>
      <c r="AJ111" s="30"/>
      <c r="AK111" s="57"/>
      <c r="AL111" s="57"/>
      <c r="AM111" s="57"/>
      <c r="AN111" s="60"/>
      <c r="AO111" s="57"/>
      <c r="AP111" s="57"/>
      <c r="AQ111" s="57"/>
      <c r="AR111" s="133"/>
      <c r="AS111" s="133"/>
    </row>
    <row r="112" spans="1:45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46"/>
      <c r="AG112" s="28"/>
      <c r="AH112" s="29"/>
      <c r="AI112" s="29"/>
      <c r="AJ112" s="30"/>
      <c r="AK112" s="57"/>
      <c r="AL112" s="57"/>
      <c r="AM112" s="57"/>
      <c r="AN112" s="60"/>
      <c r="AO112" s="57"/>
      <c r="AP112" s="57"/>
      <c r="AQ112" s="57"/>
      <c r="AR112" s="133"/>
      <c r="AS112" s="133"/>
    </row>
    <row r="113" spans="1:45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46"/>
      <c r="AG113" s="28"/>
      <c r="AH113" s="29"/>
      <c r="AI113" s="29"/>
      <c r="AJ113" s="30"/>
      <c r="AK113" s="57"/>
      <c r="AL113" s="57"/>
      <c r="AM113" s="57"/>
      <c r="AN113" s="60"/>
      <c r="AO113" s="57"/>
      <c r="AP113" s="57"/>
      <c r="AQ113" s="57"/>
      <c r="AR113" s="133"/>
      <c r="AS113" s="133"/>
    </row>
    <row r="114" spans="1:45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46"/>
      <c r="AG114" s="28"/>
      <c r="AH114" s="29"/>
      <c r="AI114" s="29"/>
      <c r="AJ114" s="30"/>
      <c r="AK114" s="57"/>
      <c r="AL114" s="57"/>
      <c r="AM114" s="57"/>
      <c r="AN114" s="60"/>
      <c r="AO114" s="57"/>
      <c r="AP114" s="57"/>
      <c r="AQ114" s="57"/>
      <c r="AR114" s="133"/>
      <c r="AS114" s="133"/>
    </row>
    <row r="115" spans="1:45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46"/>
      <c r="AG115" s="28"/>
      <c r="AH115" s="29"/>
      <c r="AI115" s="29"/>
      <c r="AJ115" s="30"/>
      <c r="AK115" s="57"/>
      <c r="AL115" s="57"/>
      <c r="AM115" s="57"/>
      <c r="AN115" s="60"/>
      <c r="AO115" s="57"/>
      <c r="AP115" s="57"/>
      <c r="AQ115" s="57"/>
      <c r="AR115" s="133"/>
      <c r="AS115" s="133"/>
    </row>
    <row r="116" spans="1:45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46"/>
      <c r="AG116" s="28"/>
      <c r="AH116" s="29"/>
      <c r="AI116" s="29"/>
      <c r="AJ116" s="30"/>
      <c r="AK116" s="57"/>
      <c r="AL116" s="57"/>
      <c r="AM116" s="57"/>
      <c r="AN116" s="60"/>
      <c r="AO116" s="57"/>
      <c r="AP116" s="57"/>
      <c r="AQ116" s="57"/>
      <c r="AR116" s="133"/>
      <c r="AS116" s="133"/>
    </row>
    <row r="117" spans="1:45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46"/>
      <c r="AG117" s="28"/>
      <c r="AH117" s="29"/>
      <c r="AI117" s="29"/>
      <c r="AJ117" s="30"/>
      <c r="AK117" s="57"/>
      <c r="AL117" s="57"/>
      <c r="AM117" s="57"/>
      <c r="AN117" s="60"/>
      <c r="AO117" s="57"/>
      <c r="AP117" s="57"/>
      <c r="AQ117" s="57"/>
      <c r="AR117" s="133"/>
      <c r="AS117" s="133"/>
    </row>
    <row r="118" spans="1:45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46"/>
      <c r="AG118" s="28"/>
      <c r="AH118" s="29"/>
      <c r="AI118" s="29"/>
      <c r="AJ118" s="30"/>
      <c r="AK118" s="57"/>
      <c r="AL118" s="57"/>
      <c r="AM118" s="57"/>
      <c r="AN118" s="60"/>
      <c r="AO118" s="57"/>
      <c r="AP118" s="57"/>
      <c r="AQ118" s="57"/>
      <c r="AR118" s="133"/>
      <c r="AS118" s="133"/>
    </row>
    <row r="119" spans="1:45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46"/>
      <c r="AG119" s="28"/>
      <c r="AH119" s="29"/>
      <c r="AI119" s="29"/>
      <c r="AJ119" s="30"/>
      <c r="AK119" s="57"/>
      <c r="AL119" s="57"/>
      <c r="AM119" s="57"/>
      <c r="AN119" s="60"/>
      <c r="AO119" s="57"/>
      <c r="AP119" s="57"/>
      <c r="AQ119" s="57"/>
      <c r="AR119" s="133"/>
      <c r="AS119" s="133"/>
    </row>
    <row r="120" spans="1:45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46"/>
      <c r="AG120" s="28"/>
      <c r="AH120" s="29"/>
      <c r="AI120" s="29"/>
      <c r="AJ120" s="30"/>
      <c r="AK120" s="57"/>
      <c r="AL120" s="57"/>
      <c r="AM120" s="57"/>
      <c r="AN120" s="60"/>
      <c r="AO120" s="57"/>
      <c r="AP120" s="57"/>
      <c r="AQ120" s="57"/>
      <c r="AR120" s="133"/>
      <c r="AS120" s="133"/>
    </row>
    <row r="121" spans="1:45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46"/>
      <c r="AG121" s="28"/>
      <c r="AH121" s="29"/>
      <c r="AI121" s="29"/>
      <c r="AJ121" s="30"/>
      <c r="AK121" s="57"/>
      <c r="AL121" s="57"/>
      <c r="AM121" s="57"/>
      <c r="AN121" s="60"/>
      <c r="AO121" s="57"/>
      <c r="AP121" s="57"/>
      <c r="AQ121" s="57"/>
      <c r="AR121" s="133"/>
      <c r="AS121" s="133"/>
    </row>
    <row r="122" spans="1:45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46"/>
      <c r="AG122" s="28"/>
      <c r="AH122" s="29"/>
      <c r="AI122" s="29"/>
      <c r="AJ122" s="30"/>
      <c r="AK122" s="57"/>
      <c r="AL122" s="57"/>
      <c r="AM122" s="57"/>
      <c r="AN122" s="60"/>
      <c r="AO122" s="57"/>
      <c r="AP122" s="57"/>
      <c r="AQ122" s="57"/>
      <c r="AR122" s="133"/>
      <c r="AS122" s="133"/>
    </row>
    <row r="123" spans="1:45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46"/>
      <c r="AG123" s="28"/>
      <c r="AH123" s="29"/>
      <c r="AI123" s="29"/>
      <c r="AJ123" s="30"/>
      <c r="AK123" s="57"/>
      <c r="AL123" s="57"/>
      <c r="AM123" s="57"/>
      <c r="AN123" s="60"/>
      <c r="AO123" s="57"/>
      <c r="AP123" s="57"/>
      <c r="AQ123" s="57"/>
      <c r="AR123" s="133"/>
      <c r="AS123" s="133"/>
    </row>
    <row r="124" spans="1:45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46"/>
      <c r="AG124" s="28"/>
      <c r="AH124" s="29"/>
      <c r="AI124" s="29"/>
      <c r="AJ124" s="30"/>
      <c r="AK124" s="57"/>
      <c r="AL124" s="57"/>
      <c r="AM124" s="57"/>
      <c r="AN124" s="60"/>
      <c r="AO124" s="57"/>
      <c r="AP124" s="57"/>
      <c r="AQ124" s="57"/>
      <c r="AR124" s="133"/>
      <c r="AS124" s="133"/>
    </row>
    <row r="125" spans="1:45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46"/>
      <c r="AG125" s="28"/>
      <c r="AH125" s="29"/>
      <c r="AI125" s="29"/>
      <c r="AJ125" s="30"/>
      <c r="AK125" s="57"/>
      <c r="AL125" s="57"/>
      <c r="AM125" s="57"/>
      <c r="AN125" s="60"/>
      <c r="AO125" s="57"/>
      <c r="AP125" s="57"/>
      <c r="AQ125" s="57"/>
      <c r="AR125" s="133"/>
      <c r="AS125" s="133"/>
    </row>
    <row r="126" spans="1:45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46"/>
      <c r="AG126" s="28"/>
      <c r="AH126" s="29"/>
      <c r="AI126" s="29"/>
      <c r="AJ126" s="30"/>
      <c r="AK126" s="57"/>
      <c r="AL126" s="57"/>
      <c r="AM126" s="57"/>
      <c r="AN126" s="60"/>
      <c r="AO126" s="57"/>
      <c r="AP126" s="57"/>
      <c r="AQ126" s="57"/>
      <c r="AR126" s="133"/>
      <c r="AS126" s="133"/>
    </row>
    <row r="127" spans="1:45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46"/>
      <c r="AG127" s="28"/>
      <c r="AH127" s="29"/>
      <c r="AI127" s="29"/>
      <c r="AJ127" s="30"/>
      <c r="AK127" s="57"/>
      <c r="AL127" s="57"/>
      <c r="AM127" s="57"/>
      <c r="AN127" s="60"/>
      <c r="AO127" s="57"/>
      <c r="AP127" s="57"/>
      <c r="AQ127" s="57"/>
      <c r="AR127" s="133"/>
      <c r="AS127" s="133"/>
    </row>
    <row r="128" spans="1:45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46"/>
      <c r="AG128" s="28"/>
      <c r="AH128" s="29"/>
      <c r="AI128" s="29"/>
      <c r="AJ128" s="30"/>
      <c r="AK128" s="57"/>
      <c r="AL128" s="57"/>
      <c r="AM128" s="57"/>
      <c r="AN128" s="60"/>
      <c r="AO128" s="57"/>
      <c r="AP128" s="57"/>
      <c r="AQ128" s="57"/>
      <c r="AR128" s="133"/>
      <c r="AS128" s="133"/>
    </row>
    <row r="129" spans="1:45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46"/>
      <c r="AG129" s="28"/>
      <c r="AH129" s="29"/>
      <c r="AI129" s="29"/>
      <c r="AJ129" s="30"/>
      <c r="AK129" s="57"/>
      <c r="AL129" s="57"/>
      <c r="AM129" s="57"/>
      <c r="AN129" s="60"/>
      <c r="AO129" s="57"/>
      <c r="AP129" s="57"/>
      <c r="AQ129" s="57"/>
      <c r="AR129" s="133"/>
      <c r="AS129" s="133"/>
    </row>
    <row r="130" spans="1:45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46"/>
      <c r="AG130" s="28"/>
      <c r="AH130" s="29"/>
      <c r="AI130" s="29"/>
      <c r="AJ130" s="30"/>
      <c r="AK130" s="57"/>
      <c r="AL130" s="57"/>
      <c r="AM130" s="57"/>
      <c r="AN130" s="60"/>
      <c r="AO130" s="57"/>
      <c r="AP130" s="57"/>
      <c r="AQ130" s="57"/>
      <c r="AR130" s="133"/>
      <c r="AS130" s="133"/>
    </row>
    <row r="131" spans="1:45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46"/>
      <c r="AG131" s="28"/>
      <c r="AH131" s="29"/>
      <c r="AI131" s="29"/>
      <c r="AJ131" s="30"/>
      <c r="AK131" s="57"/>
      <c r="AL131" s="57"/>
      <c r="AM131" s="57"/>
      <c r="AN131" s="60"/>
      <c r="AO131" s="57"/>
      <c r="AP131" s="57"/>
      <c r="AQ131" s="57"/>
      <c r="AR131" s="133"/>
      <c r="AS131" s="133"/>
    </row>
    <row r="132" spans="1:45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46"/>
      <c r="AG132" s="28"/>
      <c r="AH132" s="29"/>
      <c r="AI132" s="29"/>
      <c r="AJ132" s="30"/>
      <c r="AK132" s="57"/>
      <c r="AL132" s="57"/>
      <c r="AM132" s="57"/>
      <c r="AN132" s="60"/>
      <c r="AO132" s="57"/>
      <c r="AP132" s="57"/>
      <c r="AQ132" s="57"/>
      <c r="AR132" s="133"/>
      <c r="AS132" s="133"/>
    </row>
    <row r="133" spans="1:45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46"/>
      <c r="AG133" s="28"/>
      <c r="AH133" s="29"/>
      <c r="AI133" s="29"/>
      <c r="AJ133" s="30"/>
      <c r="AK133" s="57"/>
      <c r="AL133" s="57"/>
      <c r="AM133" s="57"/>
      <c r="AN133" s="60"/>
      <c r="AO133" s="57"/>
      <c r="AP133" s="57"/>
      <c r="AQ133" s="57"/>
      <c r="AR133" s="133"/>
      <c r="AS133" s="133"/>
    </row>
    <row r="134" spans="1:45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46"/>
      <c r="AG134" s="28"/>
      <c r="AH134" s="29"/>
      <c r="AI134" s="29"/>
      <c r="AJ134" s="30"/>
      <c r="AK134" s="57"/>
      <c r="AL134" s="57"/>
      <c r="AM134" s="57"/>
      <c r="AN134" s="60"/>
      <c r="AO134" s="57"/>
      <c r="AP134" s="57"/>
      <c r="AQ134" s="57"/>
      <c r="AR134" s="133"/>
      <c r="AS134" s="133"/>
    </row>
    <row r="135" spans="1:45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46"/>
      <c r="AG135" s="28"/>
      <c r="AH135" s="29"/>
      <c r="AI135" s="29"/>
      <c r="AJ135" s="30"/>
      <c r="AK135" s="57"/>
      <c r="AL135" s="57"/>
      <c r="AM135" s="57"/>
      <c r="AN135" s="60"/>
      <c r="AO135" s="57"/>
      <c r="AP135" s="57"/>
      <c r="AQ135" s="57"/>
      <c r="AR135" s="133"/>
      <c r="AS135" s="133"/>
    </row>
    <row r="136" spans="1:45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46"/>
      <c r="AG136" s="28"/>
      <c r="AH136" s="29"/>
      <c r="AI136" s="29"/>
      <c r="AJ136" s="30"/>
      <c r="AK136" s="57"/>
      <c r="AL136" s="57"/>
      <c r="AM136" s="57"/>
      <c r="AN136" s="60"/>
      <c r="AO136" s="57"/>
      <c r="AP136" s="57"/>
      <c r="AQ136" s="57"/>
      <c r="AR136" s="133"/>
      <c r="AS136" s="133"/>
    </row>
    <row r="137" spans="1:45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46"/>
      <c r="AG137" s="28"/>
      <c r="AH137" s="29"/>
      <c r="AI137" s="29"/>
      <c r="AJ137" s="30"/>
      <c r="AK137" s="57"/>
      <c r="AL137" s="57"/>
      <c r="AM137" s="57"/>
      <c r="AN137" s="60"/>
      <c r="AO137" s="57"/>
      <c r="AP137" s="57"/>
      <c r="AQ137" s="57"/>
      <c r="AR137" s="133"/>
      <c r="AS137" s="133"/>
    </row>
    <row r="138" spans="1:45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46"/>
      <c r="AG138" s="28"/>
      <c r="AH138" s="29"/>
      <c r="AI138" s="29"/>
      <c r="AJ138" s="30"/>
      <c r="AK138" s="57"/>
      <c r="AL138" s="57"/>
      <c r="AM138" s="57"/>
      <c r="AN138" s="60"/>
      <c r="AO138" s="57"/>
      <c r="AP138" s="57"/>
      <c r="AQ138" s="57"/>
      <c r="AR138" s="133"/>
      <c r="AS138" s="133"/>
    </row>
    <row r="139" spans="1:45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46"/>
      <c r="AG139" s="28"/>
      <c r="AH139" s="29"/>
      <c r="AI139" s="29"/>
      <c r="AJ139" s="30"/>
      <c r="AK139" s="57"/>
      <c r="AL139" s="57"/>
      <c r="AM139" s="57"/>
      <c r="AN139" s="60"/>
      <c r="AO139" s="57"/>
      <c r="AP139" s="57"/>
      <c r="AQ139" s="57"/>
      <c r="AR139" s="133"/>
      <c r="AS139" s="133"/>
    </row>
    <row r="140" spans="1:45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46"/>
      <c r="AG140" s="28"/>
      <c r="AH140" s="29"/>
      <c r="AI140" s="29"/>
      <c r="AJ140" s="30"/>
      <c r="AK140" s="57"/>
      <c r="AL140" s="57"/>
      <c r="AM140" s="57"/>
      <c r="AN140" s="60"/>
      <c r="AO140" s="57"/>
      <c r="AP140" s="57"/>
      <c r="AQ140" s="57"/>
      <c r="AR140" s="133"/>
      <c r="AS140" s="133"/>
    </row>
    <row r="141" spans="1:45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46"/>
      <c r="AG141" s="28"/>
      <c r="AH141" s="29"/>
      <c r="AI141" s="29"/>
      <c r="AJ141" s="30"/>
      <c r="AK141" s="57"/>
      <c r="AL141" s="57"/>
      <c r="AM141" s="57"/>
      <c r="AN141" s="60"/>
      <c r="AO141" s="57"/>
      <c r="AP141" s="57"/>
      <c r="AQ141" s="57"/>
      <c r="AR141" s="133"/>
      <c r="AS141" s="133"/>
    </row>
    <row r="142" spans="1:45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46"/>
      <c r="AG142" s="28"/>
      <c r="AH142" s="29"/>
      <c r="AI142" s="29"/>
      <c r="AJ142" s="30"/>
      <c r="AK142" s="57"/>
      <c r="AL142" s="57"/>
      <c r="AM142" s="57"/>
      <c r="AN142" s="60"/>
      <c r="AO142" s="57"/>
      <c r="AP142" s="57"/>
      <c r="AQ142" s="57"/>
      <c r="AR142" s="133"/>
      <c r="AS142" s="133"/>
    </row>
    <row r="143" spans="1:45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46"/>
      <c r="AG143" s="28"/>
      <c r="AH143" s="29"/>
      <c r="AI143" s="29"/>
      <c r="AJ143" s="30"/>
      <c r="AK143" s="57"/>
      <c r="AL143" s="57"/>
      <c r="AM143" s="57"/>
      <c r="AN143" s="60"/>
      <c r="AO143" s="57"/>
      <c r="AP143" s="57"/>
      <c r="AQ143" s="57"/>
      <c r="AR143" s="133"/>
      <c r="AS143" s="133"/>
    </row>
    <row r="144" spans="1:45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19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46"/>
      <c r="AG144" s="28"/>
      <c r="AH144" s="29"/>
      <c r="AI144" s="29"/>
      <c r="AJ144" s="30"/>
      <c r="AK144" s="57"/>
      <c r="AL144" s="57"/>
      <c r="AM144" s="57"/>
      <c r="AN144" s="60"/>
      <c r="AO144" s="57"/>
      <c r="AP144" s="57"/>
      <c r="AQ144" s="57"/>
      <c r="AR144" s="133"/>
      <c r="AS144" s="133"/>
    </row>
    <row r="145" spans="1:45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46"/>
      <c r="AG145" s="28"/>
      <c r="AH145" s="29"/>
      <c r="AI145" s="29"/>
      <c r="AJ145" s="30"/>
      <c r="AK145" s="57"/>
      <c r="AL145" s="57"/>
      <c r="AM145" s="57"/>
      <c r="AN145" s="60"/>
      <c r="AO145" s="57"/>
      <c r="AP145" s="57"/>
      <c r="AQ145" s="57"/>
      <c r="AR145" s="133"/>
      <c r="AS145" s="133"/>
    </row>
    <row r="146" spans="1:45" ht="21" x14ac:dyDescent="0.35">
      <c r="A146" s="28"/>
      <c r="B146" s="67"/>
      <c r="C146" s="28"/>
      <c r="D146" s="19"/>
      <c r="E146" s="28"/>
      <c r="F146" s="28"/>
      <c r="G146" s="19"/>
      <c r="H146" s="28"/>
      <c r="I146" s="19"/>
      <c r="J146" s="19"/>
      <c r="K146" s="19"/>
      <c r="L146" s="19"/>
      <c r="M146" s="19"/>
      <c r="N146" s="19"/>
      <c r="O146" s="19"/>
      <c r="P146" s="28"/>
      <c r="Q146" s="19"/>
      <c r="R146" s="19"/>
      <c r="S146" s="19"/>
      <c r="T146" s="36"/>
      <c r="U146" s="43"/>
      <c r="V146" s="19"/>
      <c r="W146" s="28"/>
      <c r="X146" s="28"/>
      <c r="Y146" s="19"/>
      <c r="Z146" s="19"/>
      <c r="AA146" s="19"/>
      <c r="AB146" s="29"/>
      <c r="AC146" s="29"/>
      <c r="AD146" s="29"/>
      <c r="AE146" s="28"/>
      <c r="AF146" s="46"/>
      <c r="AG146" s="28"/>
      <c r="AH146" s="29"/>
      <c r="AI146" s="29"/>
      <c r="AJ146" s="30"/>
      <c r="AK146" s="57"/>
      <c r="AL146" s="57"/>
      <c r="AM146" s="57"/>
      <c r="AN146" s="60"/>
      <c r="AO146" s="57"/>
      <c r="AP146" s="57"/>
      <c r="AQ146" s="57"/>
      <c r="AR146" s="133"/>
      <c r="AS146" s="133"/>
    </row>
    <row r="147" spans="1:45" ht="21" x14ac:dyDescent="0.35">
      <c r="A147" s="28"/>
      <c r="B147" s="67"/>
      <c r="C147" s="28"/>
      <c r="D147" s="19"/>
      <c r="E147" s="28"/>
      <c r="F147" s="28"/>
      <c r="G147" s="19"/>
      <c r="H147" s="28"/>
      <c r="I147" s="19"/>
      <c r="J147" s="19"/>
      <c r="K147" s="19"/>
      <c r="L147" s="19"/>
      <c r="M147" s="19"/>
      <c r="N147" s="19"/>
      <c r="O147" s="19"/>
      <c r="P147" s="28"/>
      <c r="Q147" s="19"/>
      <c r="R147" s="19"/>
      <c r="S147" s="19"/>
      <c r="T147" s="36"/>
      <c r="U147" s="43"/>
      <c r="V147" s="19"/>
      <c r="W147" s="28"/>
      <c r="X147" s="28"/>
      <c r="Y147" s="19"/>
      <c r="Z147" s="19"/>
      <c r="AA147" s="19"/>
      <c r="AB147" s="29"/>
      <c r="AC147" s="29"/>
      <c r="AD147" s="29"/>
      <c r="AE147" s="28"/>
      <c r="AF147" s="46"/>
      <c r="AG147" s="28"/>
      <c r="AH147" s="29"/>
      <c r="AI147" s="29"/>
      <c r="AJ147" s="30"/>
      <c r="AK147" s="57"/>
      <c r="AL147" s="57"/>
      <c r="AM147" s="57"/>
      <c r="AN147" s="60"/>
      <c r="AO147" s="57"/>
      <c r="AP147" s="57"/>
      <c r="AQ147" s="57"/>
      <c r="AR147" s="133"/>
      <c r="AS147" s="133"/>
    </row>
    <row r="148" spans="1:45" ht="21" x14ac:dyDescent="0.35">
      <c r="A148" s="28"/>
      <c r="B148" s="67"/>
      <c r="C148" s="28"/>
      <c r="D148" s="19"/>
      <c r="E148" s="28"/>
      <c r="F148" s="28"/>
      <c r="G148" s="19"/>
      <c r="H148" s="28"/>
      <c r="I148" s="19"/>
      <c r="J148" s="19"/>
      <c r="K148" s="19"/>
      <c r="L148" s="19"/>
      <c r="M148" s="19"/>
      <c r="N148" s="19"/>
      <c r="O148" s="19"/>
      <c r="P148" s="28"/>
      <c r="Q148" s="19"/>
      <c r="R148" s="19"/>
      <c r="S148" s="19"/>
      <c r="T148" s="36"/>
      <c r="U148" s="43"/>
      <c r="V148" s="19"/>
      <c r="W148" s="28"/>
      <c r="X148" s="28"/>
      <c r="Y148" s="19"/>
      <c r="Z148" s="19"/>
      <c r="AA148" s="19"/>
      <c r="AB148" s="29"/>
      <c r="AC148" s="29"/>
      <c r="AD148" s="29"/>
      <c r="AE148" s="28"/>
      <c r="AF148" s="46"/>
      <c r="AG148" s="28"/>
      <c r="AH148" s="29"/>
      <c r="AI148" s="29"/>
      <c r="AJ148" s="30"/>
      <c r="AK148" s="57"/>
      <c r="AL148" s="57"/>
      <c r="AM148" s="57"/>
      <c r="AN148" s="60"/>
      <c r="AO148" s="57"/>
      <c r="AP148" s="57"/>
      <c r="AQ148" s="57"/>
      <c r="AR148" s="133"/>
      <c r="AS148" s="133"/>
    </row>
    <row r="149" spans="1:45" ht="21" x14ac:dyDescent="0.35">
      <c r="A149" s="28"/>
      <c r="B149" s="67"/>
      <c r="C149" s="28"/>
      <c r="D149" s="19"/>
      <c r="E149" s="28"/>
      <c r="F149" s="28"/>
      <c r="G149" s="19"/>
      <c r="H149" s="28"/>
      <c r="I149" s="19"/>
      <c r="J149" s="19"/>
      <c r="K149" s="19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46"/>
      <c r="AG149" s="28"/>
      <c r="AH149" s="29"/>
      <c r="AI149" s="29"/>
      <c r="AJ149" s="30"/>
      <c r="AK149" s="57"/>
      <c r="AL149" s="57"/>
      <c r="AM149" s="57"/>
      <c r="AN149" s="60"/>
      <c r="AO149" s="57"/>
      <c r="AP149" s="57"/>
      <c r="AQ149" s="57"/>
      <c r="AR149" s="133"/>
      <c r="AS149" s="133"/>
    </row>
    <row r="150" spans="1:45" ht="21" x14ac:dyDescent="0.35">
      <c r="A150" s="28"/>
      <c r="B150" s="67"/>
      <c r="C150" s="28"/>
      <c r="D150" s="19"/>
      <c r="E150" s="28"/>
      <c r="F150" s="28"/>
      <c r="G150" s="19"/>
      <c r="H150" s="28"/>
      <c r="I150" s="19"/>
      <c r="J150" s="19"/>
      <c r="K150" s="19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46"/>
      <c r="AG150" s="28"/>
      <c r="AH150" s="29"/>
      <c r="AI150" s="29"/>
      <c r="AJ150" s="30"/>
      <c r="AK150" s="57"/>
      <c r="AL150" s="57"/>
      <c r="AM150" s="57"/>
      <c r="AN150" s="60"/>
      <c r="AO150" s="57"/>
      <c r="AP150" s="57"/>
      <c r="AQ150" s="57"/>
      <c r="AR150" s="133"/>
      <c r="AS150" s="133"/>
    </row>
    <row r="151" spans="1:45" ht="21" x14ac:dyDescent="0.35">
      <c r="A151" s="28"/>
      <c r="B151" s="67"/>
      <c r="C151" s="28"/>
      <c r="D151" s="19"/>
      <c r="E151" s="28"/>
      <c r="F151" s="28"/>
      <c r="G151" s="19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46"/>
      <c r="AG151" s="28"/>
      <c r="AH151" s="29"/>
      <c r="AI151" s="29"/>
      <c r="AJ151" s="30"/>
      <c r="AK151" s="57"/>
      <c r="AL151" s="57"/>
      <c r="AM151" s="57"/>
      <c r="AN151" s="60"/>
      <c r="AO151" s="57"/>
      <c r="AP151" s="57"/>
      <c r="AQ151" s="57"/>
      <c r="AR151" s="133"/>
      <c r="AS151" s="133"/>
    </row>
    <row r="152" spans="1:45" ht="21" x14ac:dyDescent="0.35">
      <c r="A152" s="28"/>
      <c r="B152" s="67"/>
      <c r="C152" s="28"/>
      <c r="D152" s="19"/>
      <c r="E152" s="28"/>
      <c r="F152" s="28"/>
      <c r="G152" s="19"/>
      <c r="H152" s="28"/>
      <c r="I152" s="19"/>
      <c r="J152" s="19"/>
      <c r="K152" s="19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46"/>
      <c r="AG152" s="28"/>
      <c r="AH152" s="29"/>
      <c r="AI152" s="29"/>
      <c r="AJ152" s="30"/>
      <c r="AK152" s="57"/>
      <c r="AL152" s="57"/>
      <c r="AM152" s="57"/>
      <c r="AN152" s="60"/>
      <c r="AO152" s="57"/>
      <c r="AP152" s="57"/>
      <c r="AQ152" s="57"/>
      <c r="AR152" s="133"/>
      <c r="AS152" s="133"/>
    </row>
    <row r="153" spans="1:45" ht="21" x14ac:dyDescent="0.35">
      <c r="A153" s="28"/>
      <c r="B153" s="67"/>
      <c r="C153" s="28"/>
      <c r="D153" s="19"/>
      <c r="E153" s="28"/>
      <c r="F153" s="28"/>
      <c r="G153" s="19"/>
      <c r="H153" s="28"/>
      <c r="I153" s="19"/>
      <c r="J153" s="19"/>
      <c r="K153" s="19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46"/>
      <c r="AG153" s="28"/>
      <c r="AH153" s="29"/>
      <c r="AI153" s="29"/>
      <c r="AJ153" s="30"/>
      <c r="AK153" s="57"/>
      <c r="AL153" s="57"/>
      <c r="AM153" s="57"/>
      <c r="AN153" s="60"/>
      <c r="AO153" s="57"/>
      <c r="AP153" s="57"/>
      <c r="AQ153" s="57"/>
      <c r="AR153" s="133"/>
      <c r="AS153" s="133"/>
    </row>
    <row r="154" spans="1:45" ht="21" x14ac:dyDescent="0.35">
      <c r="A154" s="28"/>
      <c r="B154" s="67"/>
      <c r="C154" s="28"/>
      <c r="D154" s="19"/>
      <c r="E154" s="28"/>
      <c r="F154" s="28"/>
      <c r="G154" s="19"/>
      <c r="H154" s="28"/>
      <c r="I154" s="19"/>
      <c r="J154" s="19"/>
      <c r="K154" s="61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46"/>
      <c r="AG154" s="28"/>
      <c r="AH154" s="29"/>
      <c r="AI154" s="29"/>
      <c r="AJ154" s="30"/>
      <c r="AK154" s="57"/>
      <c r="AL154" s="57"/>
      <c r="AM154" s="57"/>
      <c r="AN154" s="60"/>
      <c r="AO154" s="57"/>
      <c r="AP154" s="57"/>
      <c r="AQ154" s="57"/>
      <c r="AR154" s="133"/>
      <c r="AS154" s="133"/>
    </row>
    <row r="155" spans="1:45" ht="21" x14ac:dyDescent="0.35">
      <c r="A155" s="28"/>
      <c r="B155" s="67"/>
      <c r="C155" s="28"/>
      <c r="D155" s="19"/>
      <c r="E155" s="28"/>
      <c r="F155" s="28"/>
      <c r="G155" s="19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46"/>
      <c r="AG155" s="28"/>
      <c r="AH155" s="29"/>
      <c r="AI155" s="29"/>
      <c r="AJ155" s="30"/>
      <c r="AK155" s="57"/>
      <c r="AL155" s="57"/>
      <c r="AM155" s="57"/>
      <c r="AN155" s="60"/>
      <c r="AO155" s="57"/>
      <c r="AP155" s="57"/>
      <c r="AQ155" s="57"/>
      <c r="AR155" s="133"/>
      <c r="AS155" s="133"/>
    </row>
    <row r="156" spans="1:45" ht="21" x14ac:dyDescent="0.35">
      <c r="A156" s="28"/>
      <c r="B156" s="67"/>
      <c r="C156" s="81"/>
      <c r="D156" s="83"/>
      <c r="E156" s="81"/>
      <c r="F156" s="81"/>
      <c r="G156" s="83"/>
      <c r="H156" s="81"/>
      <c r="I156" s="83"/>
      <c r="J156" s="83"/>
      <c r="K156" s="83"/>
      <c r="L156" s="83"/>
      <c r="M156" s="83"/>
      <c r="N156" s="83"/>
      <c r="O156" s="83"/>
      <c r="P156" s="81"/>
      <c r="Q156" s="83"/>
      <c r="R156" s="83"/>
      <c r="S156" s="83"/>
      <c r="T156" s="84"/>
      <c r="U156" s="85"/>
      <c r="V156" s="83"/>
      <c r="W156" s="81"/>
      <c r="X156" s="81"/>
      <c r="Y156" s="83"/>
      <c r="Z156" s="83"/>
      <c r="AA156" s="83"/>
      <c r="AB156" s="86"/>
      <c r="AC156" s="86"/>
      <c r="AD156" s="86"/>
      <c r="AE156" s="81"/>
      <c r="AF156" s="46"/>
      <c r="AG156" s="81"/>
      <c r="AH156" s="86"/>
      <c r="AI156" s="86"/>
      <c r="AJ156" s="87"/>
      <c r="AK156" s="57"/>
      <c r="AL156" s="57"/>
      <c r="AM156" s="57"/>
      <c r="AN156" s="60"/>
      <c r="AO156" s="57"/>
      <c r="AP156" s="57"/>
      <c r="AQ156" s="57"/>
      <c r="AR156" s="133"/>
      <c r="AS156" s="133"/>
    </row>
    <row r="157" spans="1:45" ht="21.75" thickBot="1" x14ac:dyDescent="0.4">
      <c r="A157" s="28"/>
      <c r="B157" s="67"/>
      <c r="C157" s="31"/>
      <c r="D157" s="32"/>
      <c r="E157" s="31"/>
      <c r="F157" s="31"/>
      <c r="G157" s="32"/>
      <c r="H157" s="31"/>
      <c r="I157" s="32"/>
      <c r="J157" s="32"/>
      <c r="K157" s="32"/>
      <c r="L157" s="32"/>
      <c r="M157" s="32"/>
      <c r="N157" s="32"/>
      <c r="O157" s="32"/>
      <c r="P157" s="31"/>
      <c r="Q157" s="32"/>
      <c r="R157" s="32"/>
      <c r="S157" s="32"/>
      <c r="T157" s="39"/>
      <c r="U157" s="50"/>
      <c r="V157" s="32"/>
      <c r="W157" s="31"/>
      <c r="X157" s="31"/>
      <c r="Y157" s="32"/>
      <c r="Z157" s="32"/>
      <c r="AA157" s="32"/>
      <c r="AB157" s="33"/>
      <c r="AC157" s="33"/>
      <c r="AD157" s="33"/>
      <c r="AE157" s="31"/>
      <c r="AF157" s="46"/>
      <c r="AG157" s="31"/>
      <c r="AH157" s="33"/>
      <c r="AI157" s="33"/>
      <c r="AJ157" s="51"/>
      <c r="AK157" s="57"/>
      <c r="AL157" s="57"/>
      <c r="AM157" s="57"/>
      <c r="AN157" s="60"/>
      <c r="AO157" s="57"/>
      <c r="AP157" s="57"/>
      <c r="AQ157" s="57"/>
      <c r="AR157" s="133"/>
      <c r="AS157" s="133"/>
    </row>
    <row r="158" spans="1:45" ht="21" x14ac:dyDescent="0.35">
      <c r="A158" s="28"/>
      <c r="B158" s="67"/>
      <c r="C158" s="46"/>
      <c r="D158" s="47"/>
      <c r="E158" s="46"/>
      <c r="F158" s="46"/>
      <c r="G158" s="47"/>
      <c r="H158" s="46"/>
      <c r="I158" s="47"/>
      <c r="J158" s="47"/>
      <c r="K158" s="47"/>
      <c r="L158" s="47"/>
      <c r="M158" s="47"/>
      <c r="N158" s="47"/>
      <c r="O158" s="47"/>
      <c r="P158" s="46"/>
      <c r="Q158" s="47"/>
      <c r="R158" s="47"/>
      <c r="S158" s="47"/>
      <c r="T158" s="48"/>
      <c r="U158" s="89"/>
      <c r="V158" s="47"/>
      <c r="W158" s="46"/>
      <c r="X158" s="46"/>
      <c r="Y158" s="47"/>
      <c r="Z158" s="47"/>
      <c r="AA158" s="47"/>
      <c r="AB158" s="49"/>
      <c r="AC158" s="49"/>
      <c r="AD158" s="49"/>
      <c r="AE158" s="46"/>
      <c r="AF158" s="46"/>
      <c r="AG158" s="46"/>
      <c r="AH158" s="49"/>
      <c r="AI158" s="49"/>
      <c r="AJ158" s="90"/>
      <c r="AK158" s="57"/>
      <c r="AL158" s="57"/>
      <c r="AM158" s="57"/>
      <c r="AN158" s="60"/>
      <c r="AO158" s="57"/>
      <c r="AP158" s="57"/>
      <c r="AQ158" s="57"/>
      <c r="AR158" s="133"/>
      <c r="AS158" s="133"/>
    </row>
    <row r="159" spans="1:45" ht="21" x14ac:dyDescent="0.35">
      <c r="A159" s="28"/>
      <c r="B159" s="67"/>
      <c r="C159" s="28"/>
      <c r="D159" s="19"/>
      <c r="E159" s="28"/>
      <c r="F159" s="28"/>
      <c r="G159" s="47"/>
      <c r="H159" s="28"/>
      <c r="I159" s="19"/>
      <c r="J159" s="19"/>
      <c r="K159" s="61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46"/>
      <c r="AG159" s="28"/>
      <c r="AH159" s="29"/>
      <c r="AI159" s="29"/>
      <c r="AJ159" s="30"/>
      <c r="AK159" s="57"/>
      <c r="AL159" s="57"/>
      <c r="AM159" s="57"/>
      <c r="AN159" s="60"/>
      <c r="AO159" s="57"/>
      <c r="AP159" s="57"/>
      <c r="AQ159" s="57"/>
      <c r="AR159" s="133"/>
      <c r="AS159" s="133"/>
    </row>
    <row r="160" spans="1:45" ht="21" x14ac:dyDescent="0.35">
      <c r="A160" s="28"/>
      <c r="B160" s="67"/>
      <c r="C160" s="28"/>
      <c r="D160" s="19"/>
      <c r="E160" s="28"/>
      <c r="F160" s="28"/>
      <c r="G160" s="47"/>
      <c r="H160" s="28"/>
      <c r="I160" s="19"/>
      <c r="J160" s="19"/>
      <c r="K160" s="61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46"/>
      <c r="AG160" s="28"/>
      <c r="AH160" s="29"/>
      <c r="AI160" s="29"/>
      <c r="AJ160" s="30"/>
      <c r="AK160" s="57"/>
      <c r="AL160" s="57"/>
      <c r="AM160" s="57"/>
      <c r="AN160" s="60"/>
      <c r="AO160" s="57"/>
      <c r="AP160" s="57"/>
      <c r="AQ160" s="57"/>
      <c r="AR160" s="133"/>
      <c r="AS160" s="133"/>
    </row>
    <row r="161" spans="1:45" ht="21" x14ac:dyDescent="0.35">
      <c r="A161" s="28"/>
      <c r="B161" s="67"/>
      <c r="C161" s="28"/>
      <c r="D161" s="19"/>
      <c r="E161" s="28"/>
      <c r="F161" s="28"/>
      <c r="G161" s="47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46"/>
      <c r="AG161" s="28"/>
      <c r="AH161" s="29"/>
      <c r="AI161" s="29"/>
      <c r="AJ161" s="30"/>
      <c r="AK161" s="57"/>
      <c r="AL161" s="57"/>
      <c r="AM161" s="57"/>
      <c r="AN161" s="60"/>
      <c r="AO161" s="57"/>
      <c r="AP161" s="57"/>
      <c r="AQ161" s="57"/>
      <c r="AR161" s="133"/>
      <c r="AS161" s="133"/>
    </row>
    <row r="162" spans="1:45" ht="21" x14ac:dyDescent="0.35">
      <c r="A162" s="28"/>
      <c r="B162" s="67"/>
      <c r="C162" s="28"/>
      <c r="D162" s="19"/>
      <c r="E162" s="28"/>
      <c r="F162" s="28"/>
      <c r="G162" s="47"/>
      <c r="H162" s="28"/>
      <c r="I162" s="19"/>
      <c r="J162" s="19"/>
      <c r="K162" s="61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46"/>
      <c r="AG162" s="28"/>
      <c r="AH162" s="29"/>
      <c r="AI162" s="29"/>
      <c r="AJ162" s="30"/>
      <c r="AK162" s="57"/>
      <c r="AL162" s="57"/>
      <c r="AM162" s="57"/>
      <c r="AN162" s="60"/>
      <c r="AO162" s="57"/>
      <c r="AP162" s="57"/>
      <c r="AQ162" s="57"/>
      <c r="AR162" s="133"/>
      <c r="AS162" s="133"/>
    </row>
    <row r="163" spans="1:45" ht="21" x14ac:dyDescent="0.35">
      <c r="A163" s="28"/>
      <c r="B163" s="67"/>
      <c r="C163" s="28"/>
      <c r="D163" s="19"/>
      <c r="E163" s="28"/>
      <c r="F163" s="28"/>
      <c r="G163" s="47"/>
      <c r="H163" s="28"/>
      <c r="I163" s="19"/>
      <c r="J163" s="19"/>
      <c r="K163" s="61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46"/>
      <c r="AG163" s="28"/>
      <c r="AH163" s="29"/>
      <c r="AI163" s="29"/>
      <c r="AJ163" s="30"/>
      <c r="AK163" s="57"/>
      <c r="AL163" s="57"/>
      <c r="AM163" s="57"/>
      <c r="AN163" s="60"/>
      <c r="AO163" s="57"/>
      <c r="AP163" s="57"/>
      <c r="AQ163" s="57"/>
      <c r="AR163" s="133"/>
      <c r="AS163" s="133"/>
    </row>
    <row r="164" spans="1:45" ht="21" x14ac:dyDescent="0.35">
      <c r="A164" s="28"/>
      <c r="B164" s="67"/>
      <c r="C164" s="28"/>
      <c r="D164" s="19"/>
      <c r="E164" s="28"/>
      <c r="F164" s="28"/>
      <c r="G164" s="47"/>
      <c r="H164" s="28"/>
      <c r="I164" s="19"/>
      <c r="J164" s="19"/>
      <c r="K164" s="19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46"/>
      <c r="AG164" s="28"/>
      <c r="AH164" s="29"/>
      <c r="AI164" s="29"/>
      <c r="AJ164" s="30"/>
      <c r="AK164" s="57"/>
      <c r="AL164" s="57"/>
      <c r="AM164" s="57"/>
      <c r="AN164" s="60"/>
      <c r="AO164" s="57"/>
      <c r="AP164" s="57"/>
      <c r="AQ164" s="57"/>
      <c r="AR164" s="133"/>
      <c r="AS164" s="133"/>
    </row>
    <row r="165" spans="1:45" ht="21" x14ac:dyDescent="0.35">
      <c r="A165" s="28"/>
      <c r="B165" s="67"/>
      <c r="C165" s="28"/>
      <c r="D165" s="19"/>
      <c r="E165" s="28"/>
      <c r="F165" s="28"/>
      <c r="G165" s="47"/>
      <c r="H165" s="28"/>
      <c r="I165" s="19"/>
      <c r="J165" s="19"/>
      <c r="K165" s="19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46"/>
      <c r="AG165" s="28"/>
      <c r="AH165" s="29"/>
      <c r="AI165" s="29"/>
      <c r="AJ165" s="30"/>
      <c r="AK165" s="57"/>
      <c r="AL165" s="57"/>
      <c r="AM165" s="57"/>
      <c r="AN165" s="60"/>
      <c r="AO165" s="57"/>
      <c r="AP165" s="57"/>
      <c r="AQ165" s="57"/>
      <c r="AR165" s="133"/>
      <c r="AS165" s="133"/>
    </row>
    <row r="166" spans="1:45" ht="21" x14ac:dyDescent="0.35">
      <c r="A166" s="28"/>
      <c r="B166" s="67"/>
      <c r="C166" s="28"/>
      <c r="D166" s="19"/>
      <c r="E166" s="28"/>
      <c r="F166" s="28"/>
      <c r="G166" s="47"/>
      <c r="H166" s="28"/>
      <c r="I166" s="19"/>
      <c r="J166" s="19"/>
      <c r="K166" s="19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46"/>
      <c r="AG166" s="28"/>
      <c r="AH166" s="29"/>
      <c r="AI166" s="29"/>
      <c r="AJ166" s="30"/>
      <c r="AK166" s="57"/>
      <c r="AL166" s="57"/>
      <c r="AM166" s="57"/>
      <c r="AN166" s="60"/>
      <c r="AO166" s="57"/>
      <c r="AP166" s="57"/>
      <c r="AQ166" s="57"/>
      <c r="AR166" s="133"/>
      <c r="AS166" s="133"/>
    </row>
    <row r="167" spans="1:45" ht="21" x14ac:dyDescent="0.35">
      <c r="A167" s="28"/>
      <c r="B167" s="67"/>
      <c r="C167" s="28"/>
      <c r="D167" s="19"/>
      <c r="E167" s="28"/>
      <c r="F167" s="28"/>
      <c r="G167" s="47"/>
      <c r="H167" s="28"/>
      <c r="I167" s="19"/>
      <c r="J167" s="19"/>
      <c r="K167" s="19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46"/>
      <c r="AG167" s="28"/>
      <c r="AH167" s="29"/>
      <c r="AI167" s="29"/>
      <c r="AJ167" s="30"/>
      <c r="AK167" s="57"/>
      <c r="AL167" s="57"/>
      <c r="AM167" s="57"/>
      <c r="AN167" s="60"/>
      <c r="AO167" s="57"/>
      <c r="AP167" s="57"/>
      <c r="AQ167" s="57"/>
      <c r="AR167" s="133"/>
      <c r="AS167" s="133"/>
    </row>
    <row r="168" spans="1:45" ht="21" x14ac:dyDescent="0.35">
      <c r="A168" s="28"/>
      <c r="B168" s="67"/>
      <c r="C168" s="28"/>
      <c r="D168" s="19"/>
      <c r="E168" s="28"/>
      <c r="F168" s="28"/>
      <c r="G168" s="47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46"/>
      <c r="AG168" s="28"/>
      <c r="AH168" s="29"/>
      <c r="AI168" s="29"/>
      <c r="AJ168" s="30"/>
      <c r="AK168" s="57"/>
      <c r="AL168" s="57"/>
      <c r="AM168" s="57"/>
      <c r="AN168" s="60"/>
      <c r="AO168" s="57"/>
      <c r="AP168" s="57"/>
      <c r="AQ168" s="57"/>
      <c r="AR168" s="133"/>
      <c r="AS168" s="133"/>
    </row>
    <row r="169" spans="1:45" ht="21" x14ac:dyDescent="0.35">
      <c r="A169" s="28"/>
      <c r="B169" s="67"/>
      <c r="C169" s="28"/>
      <c r="D169" s="19"/>
      <c r="E169" s="28"/>
      <c r="F169" s="28"/>
      <c r="G169" s="47"/>
      <c r="H169" s="28"/>
      <c r="I169" s="19"/>
      <c r="J169" s="19"/>
      <c r="K169" s="19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46"/>
      <c r="AG169" s="28"/>
      <c r="AH169" s="29"/>
      <c r="AI169" s="29"/>
      <c r="AJ169" s="30"/>
      <c r="AK169" s="57"/>
      <c r="AL169" s="57"/>
      <c r="AM169" s="57"/>
      <c r="AN169" s="60"/>
      <c r="AO169" s="57"/>
      <c r="AP169" s="57"/>
      <c r="AQ169" s="57"/>
      <c r="AR169" s="133"/>
      <c r="AS169" s="133"/>
    </row>
    <row r="170" spans="1:45" ht="21" x14ac:dyDescent="0.35">
      <c r="A170" s="28"/>
      <c r="B170" s="67"/>
      <c r="C170" s="28"/>
      <c r="D170" s="19"/>
      <c r="E170" s="28"/>
      <c r="F170" s="28"/>
      <c r="G170" s="47"/>
      <c r="H170" s="28"/>
      <c r="I170" s="19"/>
      <c r="J170" s="19"/>
      <c r="K170" s="61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46"/>
      <c r="AG170" s="28"/>
      <c r="AH170" s="29"/>
      <c r="AI170" s="29"/>
      <c r="AJ170" s="30"/>
      <c r="AK170" s="57"/>
      <c r="AL170" s="57"/>
      <c r="AM170" s="57"/>
      <c r="AN170" s="60"/>
      <c r="AO170" s="57"/>
      <c r="AP170" s="57"/>
      <c r="AQ170" s="57"/>
      <c r="AR170" s="133"/>
      <c r="AS170" s="133"/>
    </row>
    <row r="171" spans="1:45" ht="21" x14ac:dyDescent="0.35">
      <c r="A171" s="28"/>
      <c r="B171" s="67"/>
      <c r="C171" s="28"/>
      <c r="D171" s="19"/>
      <c r="E171" s="28"/>
      <c r="F171" s="28"/>
      <c r="G171" s="47"/>
      <c r="H171" s="28"/>
      <c r="I171" s="19"/>
      <c r="J171" s="19"/>
      <c r="K171" s="19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46"/>
      <c r="AG171" s="28"/>
      <c r="AH171" s="29"/>
      <c r="AI171" s="29"/>
      <c r="AJ171" s="30"/>
      <c r="AK171" s="57"/>
      <c r="AL171" s="57"/>
      <c r="AM171" s="57"/>
      <c r="AN171" s="60"/>
      <c r="AO171" s="57"/>
      <c r="AP171" s="57"/>
      <c r="AQ171" s="57"/>
      <c r="AR171" s="133"/>
      <c r="AS171" s="133"/>
    </row>
    <row r="172" spans="1:45" ht="21" x14ac:dyDescent="0.35">
      <c r="A172" s="28"/>
      <c r="B172" s="67"/>
      <c r="C172" s="28"/>
      <c r="D172" s="19"/>
      <c r="E172" s="28"/>
      <c r="F172" s="28"/>
      <c r="G172" s="47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46"/>
      <c r="AG172" s="28"/>
      <c r="AH172" s="29"/>
      <c r="AI172" s="29"/>
      <c r="AJ172" s="30"/>
      <c r="AK172" s="57"/>
      <c r="AL172" s="57"/>
      <c r="AM172" s="57"/>
      <c r="AN172" s="60"/>
      <c r="AO172" s="57"/>
      <c r="AP172" s="57"/>
      <c r="AQ172" s="57"/>
      <c r="AR172" s="133"/>
      <c r="AS172" s="133"/>
    </row>
    <row r="173" spans="1:45" ht="21" x14ac:dyDescent="0.35">
      <c r="A173" s="28"/>
      <c r="B173" s="67"/>
      <c r="C173" s="28"/>
      <c r="D173" s="19"/>
      <c r="E173" s="28"/>
      <c r="F173" s="28"/>
      <c r="G173" s="47"/>
      <c r="H173" s="28"/>
      <c r="I173" s="19"/>
      <c r="J173" s="19"/>
      <c r="K173" s="61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46"/>
      <c r="AG173" s="28"/>
      <c r="AH173" s="29"/>
      <c r="AI173" s="29"/>
      <c r="AJ173" s="30"/>
      <c r="AK173" s="57"/>
      <c r="AL173" s="57"/>
      <c r="AM173" s="57"/>
      <c r="AN173" s="60"/>
      <c r="AO173" s="57"/>
      <c r="AP173" s="57"/>
      <c r="AQ173" s="57"/>
      <c r="AR173" s="133"/>
      <c r="AS173" s="133"/>
    </row>
    <row r="174" spans="1:45" ht="21" x14ac:dyDescent="0.35">
      <c r="A174" s="28"/>
      <c r="B174" s="67"/>
      <c r="C174" s="28"/>
      <c r="D174" s="19"/>
      <c r="E174" s="28"/>
      <c r="F174" s="28"/>
      <c r="G174" s="47"/>
      <c r="H174" s="28"/>
      <c r="I174" s="19"/>
      <c r="J174" s="19"/>
      <c r="K174" s="61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46"/>
      <c r="AG174" s="28"/>
      <c r="AH174" s="29"/>
      <c r="AI174" s="29"/>
      <c r="AJ174" s="30"/>
      <c r="AK174" s="57"/>
      <c r="AL174" s="57"/>
      <c r="AM174" s="57"/>
      <c r="AN174" s="60"/>
      <c r="AO174" s="57"/>
      <c r="AP174" s="57"/>
      <c r="AQ174" s="57"/>
      <c r="AR174" s="133"/>
      <c r="AS174" s="133"/>
    </row>
    <row r="175" spans="1:45" ht="21" x14ac:dyDescent="0.35">
      <c r="A175" s="28"/>
      <c r="B175" s="67"/>
      <c r="C175" s="28"/>
      <c r="D175" s="19"/>
      <c r="E175" s="28"/>
      <c r="F175" s="28"/>
      <c r="G175" s="47"/>
      <c r="H175" s="28"/>
      <c r="I175" s="19"/>
      <c r="J175" s="19"/>
      <c r="K175" s="61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46"/>
      <c r="AG175" s="28"/>
      <c r="AH175" s="29"/>
      <c r="AI175" s="29"/>
      <c r="AJ175" s="30"/>
      <c r="AK175" s="57"/>
      <c r="AL175" s="57"/>
      <c r="AM175" s="57"/>
      <c r="AN175" s="60"/>
      <c r="AO175" s="57"/>
      <c r="AP175" s="57"/>
      <c r="AQ175" s="57"/>
      <c r="AR175" s="133"/>
      <c r="AS175" s="133"/>
    </row>
    <row r="176" spans="1:45" ht="21" x14ac:dyDescent="0.35">
      <c r="A176" s="28"/>
      <c r="B176" s="67"/>
      <c r="C176" s="28"/>
      <c r="D176" s="19"/>
      <c r="E176" s="28"/>
      <c r="F176" s="28"/>
      <c r="G176" s="47"/>
      <c r="H176" s="28"/>
      <c r="I176" s="19"/>
      <c r="J176" s="19"/>
      <c r="K176" s="61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46"/>
      <c r="AG176" s="28"/>
      <c r="AH176" s="29"/>
      <c r="AI176" s="29"/>
      <c r="AJ176" s="30"/>
      <c r="AK176" s="57"/>
      <c r="AL176" s="57"/>
      <c r="AM176" s="57"/>
      <c r="AN176" s="60"/>
      <c r="AO176" s="57"/>
      <c r="AP176" s="57"/>
      <c r="AQ176" s="57"/>
      <c r="AR176" s="133"/>
      <c r="AS176" s="133"/>
    </row>
    <row r="177" spans="1:45" ht="21" x14ac:dyDescent="0.35">
      <c r="A177" s="28"/>
      <c r="B177" s="67"/>
      <c r="C177" s="28"/>
      <c r="D177" s="19"/>
      <c r="E177" s="28"/>
      <c r="F177" s="28"/>
      <c r="G177" s="47"/>
      <c r="H177" s="28"/>
      <c r="I177" s="19"/>
      <c r="J177" s="19"/>
      <c r="K177" s="61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46"/>
      <c r="AG177" s="28"/>
      <c r="AH177" s="29"/>
      <c r="AI177" s="29"/>
      <c r="AJ177" s="30"/>
      <c r="AK177" s="57"/>
      <c r="AL177" s="57"/>
      <c r="AM177" s="57"/>
      <c r="AN177" s="60"/>
      <c r="AO177" s="57"/>
      <c r="AP177" s="57"/>
      <c r="AQ177" s="57"/>
      <c r="AR177" s="133"/>
      <c r="AS177" s="133"/>
    </row>
    <row r="178" spans="1:45" ht="21" x14ac:dyDescent="0.35">
      <c r="A178" s="28"/>
      <c r="B178" s="67"/>
      <c r="C178" s="28"/>
      <c r="D178" s="19"/>
      <c r="E178" s="28"/>
      <c r="F178" s="28"/>
      <c r="G178" s="47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46"/>
      <c r="AG178" s="28"/>
      <c r="AH178" s="29"/>
      <c r="AI178" s="29"/>
      <c r="AJ178" s="30"/>
      <c r="AK178" s="57"/>
      <c r="AL178" s="57"/>
      <c r="AM178" s="57"/>
      <c r="AN178" s="60"/>
      <c r="AO178" s="57"/>
      <c r="AP178" s="57"/>
      <c r="AQ178" s="57"/>
      <c r="AR178" s="133"/>
      <c r="AS178" s="133"/>
    </row>
    <row r="179" spans="1:45" ht="21" x14ac:dyDescent="0.35">
      <c r="A179" s="28"/>
      <c r="B179" s="67"/>
      <c r="C179" s="28"/>
      <c r="D179" s="19"/>
      <c r="E179" s="28"/>
      <c r="F179" s="28"/>
      <c r="G179" s="47"/>
      <c r="H179" s="28"/>
      <c r="I179" s="19"/>
      <c r="J179" s="19"/>
      <c r="K179" s="61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46"/>
      <c r="AG179" s="28"/>
      <c r="AH179" s="29"/>
      <c r="AI179" s="29"/>
      <c r="AJ179" s="30"/>
      <c r="AK179" s="57"/>
      <c r="AL179" s="57"/>
      <c r="AM179" s="57"/>
      <c r="AN179" s="60"/>
      <c r="AO179" s="57"/>
      <c r="AP179" s="57"/>
      <c r="AQ179" s="57"/>
      <c r="AR179" s="133"/>
      <c r="AS179" s="133"/>
    </row>
    <row r="180" spans="1:45" ht="21" x14ac:dyDescent="0.35">
      <c r="A180" s="28"/>
      <c r="B180" s="67"/>
      <c r="C180" s="28"/>
      <c r="D180" s="19"/>
      <c r="E180" s="28"/>
      <c r="F180" s="28"/>
      <c r="G180" s="47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46"/>
      <c r="AG180" s="28"/>
      <c r="AH180" s="29"/>
      <c r="AI180" s="29"/>
      <c r="AJ180" s="30"/>
      <c r="AK180" s="57"/>
      <c r="AL180" s="57"/>
      <c r="AM180" s="57"/>
      <c r="AN180" s="60"/>
      <c r="AO180" s="57"/>
      <c r="AP180" s="57"/>
      <c r="AQ180" s="57"/>
      <c r="AR180" s="133"/>
      <c r="AS180" s="133"/>
    </row>
    <row r="181" spans="1:45" ht="21" x14ac:dyDescent="0.35">
      <c r="A181" s="28"/>
      <c r="B181" s="67"/>
      <c r="C181" s="28"/>
      <c r="D181" s="19"/>
      <c r="E181" s="28"/>
      <c r="F181" s="28"/>
      <c r="G181" s="47"/>
      <c r="H181" s="28"/>
      <c r="I181" s="19"/>
      <c r="J181" s="19"/>
      <c r="K181" s="61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46"/>
      <c r="AG181" s="28"/>
      <c r="AH181" s="29"/>
      <c r="AI181" s="29"/>
      <c r="AJ181" s="30"/>
      <c r="AK181" s="57"/>
      <c r="AL181" s="57"/>
      <c r="AM181" s="57"/>
      <c r="AN181" s="60"/>
      <c r="AO181" s="57"/>
      <c r="AP181" s="57"/>
      <c r="AQ181" s="57"/>
      <c r="AR181" s="133"/>
      <c r="AS181" s="133"/>
    </row>
    <row r="182" spans="1:45" ht="21" x14ac:dyDescent="0.35">
      <c r="A182" s="28"/>
      <c r="B182" s="67"/>
      <c r="C182" s="28"/>
      <c r="D182" s="19"/>
      <c r="E182" s="28"/>
      <c r="F182" s="28"/>
      <c r="G182" s="47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46"/>
      <c r="AG182" s="28"/>
      <c r="AH182" s="29"/>
      <c r="AI182" s="29"/>
      <c r="AJ182" s="30"/>
      <c r="AK182" s="57"/>
      <c r="AL182" s="57"/>
      <c r="AM182" s="57"/>
      <c r="AN182" s="60"/>
      <c r="AO182" s="57"/>
      <c r="AP182" s="57"/>
      <c r="AQ182" s="57"/>
      <c r="AR182" s="133"/>
      <c r="AS182" s="133"/>
    </row>
    <row r="183" spans="1:45" ht="21" x14ac:dyDescent="0.35">
      <c r="A183" s="28"/>
      <c r="B183" s="67"/>
      <c r="C183" s="28"/>
      <c r="D183" s="19"/>
      <c r="E183" s="28"/>
      <c r="F183" s="28"/>
      <c r="G183" s="47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46"/>
      <c r="AG183" s="28"/>
      <c r="AH183" s="29"/>
      <c r="AI183" s="29"/>
      <c r="AJ183" s="30"/>
      <c r="AK183" s="57"/>
      <c r="AL183" s="57"/>
      <c r="AM183" s="57"/>
      <c r="AN183" s="60"/>
      <c r="AO183" s="57"/>
      <c r="AP183" s="57"/>
      <c r="AQ183" s="57"/>
      <c r="AR183" s="133"/>
      <c r="AS183" s="133"/>
    </row>
    <row r="184" spans="1:45" ht="21" x14ac:dyDescent="0.35">
      <c r="A184" s="28"/>
      <c r="B184" s="67"/>
      <c r="C184" s="28"/>
      <c r="D184" s="19"/>
      <c r="E184" s="28"/>
      <c r="F184" s="28"/>
      <c r="G184" s="47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46"/>
      <c r="AG184" s="28"/>
      <c r="AH184" s="29"/>
      <c r="AI184" s="29"/>
      <c r="AJ184" s="30"/>
      <c r="AK184" s="57"/>
      <c r="AL184" s="57"/>
      <c r="AM184" s="57"/>
      <c r="AN184" s="60"/>
      <c r="AO184" s="57"/>
      <c r="AP184" s="57"/>
      <c r="AQ184" s="57"/>
      <c r="AR184" s="133"/>
      <c r="AS184" s="133"/>
    </row>
    <row r="185" spans="1:45" ht="21" x14ac:dyDescent="0.35">
      <c r="A185" s="28"/>
      <c r="B185" s="67"/>
      <c r="C185" s="28"/>
      <c r="D185" s="19"/>
      <c r="E185" s="28"/>
      <c r="F185" s="28"/>
      <c r="G185" s="47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46"/>
      <c r="AG185" s="28"/>
      <c r="AH185" s="29"/>
      <c r="AI185" s="29"/>
      <c r="AJ185" s="30"/>
      <c r="AK185" s="57"/>
      <c r="AL185" s="57"/>
      <c r="AM185" s="57"/>
      <c r="AN185" s="60"/>
      <c r="AO185" s="57"/>
      <c r="AP185" s="57"/>
      <c r="AQ185" s="57"/>
      <c r="AR185" s="133"/>
      <c r="AS185" s="133"/>
    </row>
    <row r="186" spans="1:45" ht="21" x14ac:dyDescent="0.35">
      <c r="A186" s="28"/>
      <c r="B186" s="67"/>
      <c r="C186" s="28"/>
      <c r="D186" s="19"/>
      <c r="E186" s="28"/>
      <c r="F186" s="28"/>
      <c r="G186" s="47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46"/>
      <c r="AG186" s="28"/>
      <c r="AH186" s="29"/>
      <c r="AI186" s="29"/>
      <c r="AJ186" s="30"/>
      <c r="AK186" s="57"/>
      <c r="AL186" s="57"/>
      <c r="AM186" s="57"/>
      <c r="AN186" s="60"/>
      <c r="AO186" s="57"/>
      <c r="AP186" s="57"/>
      <c r="AQ186" s="57"/>
      <c r="AR186" s="133"/>
      <c r="AS186" s="133"/>
    </row>
    <row r="187" spans="1:45" ht="21" x14ac:dyDescent="0.35">
      <c r="A187" s="28"/>
      <c r="B187" s="67"/>
      <c r="C187" s="28"/>
      <c r="D187" s="19"/>
      <c r="E187" s="28"/>
      <c r="F187" s="28"/>
      <c r="G187" s="47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46"/>
      <c r="AG187" s="28"/>
      <c r="AH187" s="29"/>
      <c r="AI187" s="29"/>
      <c r="AJ187" s="30"/>
      <c r="AK187" s="57"/>
      <c r="AL187" s="57"/>
      <c r="AM187" s="57"/>
      <c r="AN187" s="60"/>
      <c r="AO187" s="57"/>
      <c r="AP187" s="57"/>
      <c r="AQ187" s="57"/>
      <c r="AR187" s="133"/>
      <c r="AS187" s="133"/>
    </row>
    <row r="188" spans="1:45" ht="21" x14ac:dyDescent="0.35">
      <c r="A188" s="28"/>
      <c r="B188" s="67"/>
      <c r="C188" s="28"/>
      <c r="D188" s="19"/>
      <c r="E188" s="28"/>
      <c r="F188" s="28"/>
      <c r="G188" s="47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46"/>
      <c r="AG188" s="28"/>
      <c r="AH188" s="29"/>
      <c r="AI188" s="29"/>
      <c r="AJ188" s="30"/>
      <c r="AK188" s="57"/>
      <c r="AL188" s="57"/>
      <c r="AM188" s="57"/>
      <c r="AN188" s="60"/>
      <c r="AO188" s="57"/>
      <c r="AP188" s="57"/>
      <c r="AQ188" s="57"/>
      <c r="AR188" s="133"/>
      <c r="AS188" s="133"/>
    </row>
    <row r="189" spans="1:45" ht="21" x14ac:dyDescent="0.35">
      <c r="A189" s="28"/>
      <c r="B189" s="67"/>
      <c r="C189" s="28"/>
      <c r="D189" s="19"/>
      <c r="E189" s="28"/>
      <c r="F189" s="28"/>
      <c r="G189" s="47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46"/>
      <c r="AG189" s="28"/>
      <c r="AH189" s="29"/>
      <c r="AI189" s="29"/>
      <c r="AJ189" s="30"/>
      <c r="AK189" s="57"/>
      <c r="AL189" s="57"/>
      <c r="AM189" s="57"/>
      <c r="AN189" s="60"/>
      <c r="AO189" s="57"/>
      <c r="AP189" s="57"/>
      <c r="AQ189" s="57"/>
      <c r="AR189" s="133"/>
      <c r="AS189" s="133"/>
    </row>
    <row r="190" spans="1:45" ht="21" x14ac:dyDescent="0.35">
      <c r="A190" s="28"/>
      <c r="B190" s="67"/>
      <c r="C190" s="28"/>
      <c r="D190" s="19"/>
      <c r="E190" s="28"/>
      <c r="F190" s="28"/>
      <c r="G190" s="47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46"/>
      <c r="AG190" s="28"/>
      <c r="AH190" s="29"/>
      <c r="AI190" s="29"/>
      <c r="AJ190" s="30"/>
      <c r="AK190" s="57"/>
      <c r="AL190" s="57"/>
      <c r="AM190" s="57"/>
      <c r="AN190" s="60"/>
      <c r="AO190" s="57"/>
      <c r="AP190" s="57"/>
      <c r="AQ190" s="57"/>
      <c r="AR190" s="133"/>
      <c r="AS190" s="133"/>
    </row>
    <row r="191" spans="1:45" ht="21" x14ac:dyDescent="0.35">
      <c r="A191" s="28"/>
      <c r="B191" s="67"/>
      <c r="C191" s="28"/>
      <c r="D191" s="19"/>
      <c r="E191" s="28"/>
      <c r="F191" s="28"/>
      <c r="G191" s="47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46"/>
      <c r="AG191" s="28"/>
      <c r="AH191" s="29"/>
      <c r="AI191" s="29"/>
      <c r="AJ191" s="30"/>
      <c r="AK191" s="57"/>
      <c r="AL191" s="57"/>
      <c r="AM191" s="57"/>
      <c r="AN191" s="60"/>
      <c r="AO191" s="57"/>
      <c r="AP191" s="57"/>
      <c r="AQ191" s="57"/>
      <c r="AR191" s="133"/>
      <c r="AS191" s="133"/>
    </row>
    <row r="192" spans="1:45" ht="21" x14ac:dyDescent="0.35">
      <c r="A192" s="28"/>
      <c r="B192" s="67"/>
      <c r="C192" s="28"/>
      <c r="D192" s="19"/>
      <c r="E192" s="28"/>
      <c r="F192" s="28"/>
      <c r="G192" s="47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46"/>
      <c r="AG192" s="28"/>
      <c r="AH192" s="29"/>
      <c r="AI192" s="29"/>
      <c r="AJ192" s="30"/>
      <c r="AK192" s="57"/>
      <c r="AL192" s="57"/>
      <c r="AM192" s="57"/>
      <c r="AN192" s="60"/>
      <c r="AO192" s="57"/>
      <c r="AP192" s="57"/>
      <c r="AQ192" s="57"/>
      <c r="AR192" s="133"/>
      <c r="AS192" s="133"/>
    </row>
    <row r="193" spans="1:45" ht="21" x14ac:dyDescent="0.35">
      <c r="A193" s="28"/>
      <c r="B193" s="67"/>
      <c r="C193" s="28"/>
      <c r="D193" s="19"/>
      <c r="E193" s="28"/>
      <c r="F193" s="28"/>
      <c r="G193" s="47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46"/>
      <c r="AG193" s="28"/>
      <c r="AH193" s="29"/>
      <c r="AI193" s="29"/>
      <c r="AJ193" s="30"/>
      <c r="AK193" s="57"/>
      <c r="AL193" s="57"/>
      <c r="AM193" s="57"/>
      <c r="AN193" s="60"/>
      <c r="AO193" s="57"/>
      <c r="AP193" s="57"/>
      <c r="AQ193" s="57"/>
      <c r="AR193" s="133"/>
      <c r="AS193" s="133"/>
    </row>
    <row r="194" spans="1:45" ht="21" x14ac:dyDescent="0.35">
      <c r="A194" s="28"/>
      <c r="B194" s="67"/>
      <c r="C194" s="28"/>
      <c r="D194" s="19"/>
      <c r="E194" s="28"/>
      <c r="F194" s="28"/>
      <c r="G194" s="47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46"/>
      <c r="AG194" s="28"/>
      <c r="AH194" s="29"/>
      <c r="AI194" s="29"/>
      <c r="AJ194" s="30"/>
      <c r="AK194" s="57"/>
      <c r="AL194" s="57"/>
      <c r="AM194" s="57"/>
      <c r="AN194" s="60"/>
      <c r="AO194" s="57"/>
      <c r="AP194" s="57"/>
      <c r="AQ194" s="57"/>
      <c r="AR194" s="133"/>
      <c r="AS194" s="133"/>
    </row>
    <row r="195" spans="1:45" ht="21" x14ac:dyDescent="0.35">
      <c r="A195" s="28"/>
      <c r="B195" s="67"/>
      <c r="C195" s="28"/>
      <c r="D195" s="19"/>
      <c r="E195" s="28"/>
      <c r="F195" s="28"/>
      <c r="G195" s="47"/>
      <c r="H195" s="28"/>
      <c r="I195" s="19"/>
      <c r="J195" s="19"/>
      <c r="K195" s="19"/>
      <c r="L195" s="19"/>
      <c r="M195" s="19"/>
      <c r="N195" s="19"/>
      <c r="O195" s="19"/>
      <c r="P195" s="28"/>
      <c r="Q195" s="19"/>
      <c r="R195" s="19"/>
      <c r="S195" s="19"/>
      <c r="T195" s="36"/>
      <c r="U195" s="43"/>
      <c r="V195" s="19"/>
      <c r="W195" s="28"/>
      <c r="X195" s="28"/>
      <c r="Y195" s="19"/>
      <c r="Z195" s="19"/>
      <c r="AA195" s="19"/>
      <c r="AB195" s="29"/>
      <c r="AC195" s="29"/>
      <c r="AD195" s="29"/>
      <c r="AE195" s="28"/>
      <c r="AF195" s="46"/>
      <c r="AG195" s="28"/>
      <c r="AH195" s="29"/>
      <c r="AI195" s="29"/>
      <c r="AJ195" s="30"/>
      <c r="AK195" s="57"/>
      <c r="AL195" s="57"/>
      <c r="AM195" s="57"/>
      <c r="AN195" s="60"/>
      <c r="AO195" s="57"/>
      <c r="AP195" s="57"/>
      <c r="AQ195" s="57"/>
      <c r="AR195" s="133"/>
      <c r="AS195" s="133"/>
    </row>
    <row r="196" spans="1:45" ht="21" x14ac:dyDescent="0.35">
      <c r="A196" s="28"/>
      <c r="B196" s="67"/>
      <c r="C196" s="28"/>
      <c r="D196" s="19"/>
      <c r="E196" s="28"/>
      <c r="F196" s="28"/>
      <c r="G196" s="47"/>
      <c r="H196" s="28"/>
      <c r="I196" s="19"/>
      <c r="J196" s="19"/>
      <c r="K196" s="19"/>
      <c r="L196" s="19"/>
      <c r="M196" s="19"/>
      <c r="N196" s="19"/>
      <c r="O196" s="19"/>
      <c r="P196" s="28"/>
      <c r="Q196" s="19"/>
      <c r="R196" s="19"/>
      <c r="S196" s="19"/>
      <c r="T196" s="36"/>
      <c r="U196" s="43"/>
      <c r="V196" s="19"/>
      <c r="W196" s="28"/>
      <c r="X196" s="28"/>
      <c r="Y196" s="19"/>
      <c r="Z196" s="19"/>
      <c r="AA196" s="19"/>
      <c r="AB196" s="29"/>
      <c r="AC196" s="29"/>
      <c r="AD196" s="29"/>
      <c r="AE196" s="28"/>
      <c r="AF196" s="46"/>
      <c r="AG196" s="28"/>
      <c r="AH196" s="29"/>
      <c r="AI196" s="29"/>
      <c r="AJ196" s="30"/>
      <c r="AK196" s="57"/>
      <c r="AL196" s="57"/>
      <c r="AM196" s="57"/>
      <c r="AN196" s="60"/>
      <c r="AO196" s="57"/>
      <c r="AP196" s="57"/>
      <c r="AQ196" s="57"/>
      <c r="AR196" s="133"/>
      <c r="AS196" s="133"/>
    </row>
    <row r="197" spans="1:45" ht="21" x14ac:dyDescent="0.35">
      <c r="A197" s="28"/>
      <c r="B197" s="67"/>
      <c r="C197" s="28"/>
      <c r="D197" s="19"/>
      <c r="E197" s="28"/>
      <c r="F197" s="28"/>
      <c r="G197" s="47"/>
      <c r="H197" s="28"/>
      <c r="I197" s="19"/>
      <c r="J197" s="19"/>
      <c r="K197" s="19"/>
      <c r="L197" s="19"/>
      <c r="M197" s="19"/>
      <c r="N197" s="19"/>
      <c r="O197" s="19"/>
      <c r="P197" s="28"/>
      <c r="Q197" s="19"/>
      <c r="R197" s="19"/>
      <c r="S197" s="19"/>
      <c r="T197" s="36"/>
      <c r="U197" s="43"/>
      <c r="V197" s="19"/>
      <c r="W197" s="28"/>
      <c r="X197" s="28"/>
      <c r="Y197" s="19"/>
      <c r="Z197" s="19"/>
      <c r="AA197" s="19"/>
      <c r="AB197" s="29"/>
      <c r="AC197" s="29"/>
      <c r="AD197" s="29"/>
      <c r="AE197" s="28"/>
      <c r="AF197" s="46"/>
      <c r="AG197" s="28"/>
      <c r="AH197" s="29"/>
      <c r="AI197" s="29"/>
      <c r="AJ197" s="30"/>
      <c r="AK197" s="57"/>
      <c r="AL197" s="57"/>
      <c r="AM197" s="57"/>
      <c r="AN197" s="60"/>
      <c r="AO197" s="57"/>
      <c r="AP197" s="57"/>
      <c r="AQ197" s="57"/>
      <c r="AR197" s="133"/>
      <c r="AS197" s="133"/>
    </row>
    <row r="198" spans="1:45" ht="21" x14ac:dyDescent="0.35">
      <c r="A198" s="28"/>
      <c r="B198" s="67"/>
      <c r="C198" s="28"/>
      <c r="D198" s="19"/>
      <c r="E198" s="28"/>
      <c r="F198" s="28"/>
      <c r="G198" s="47"/>
      <c r="H198" s="28"/>
      <c r="I198" s="19"/>
      <c r="J198" s="19"/>
      <c r="K198" s="19"/>
      <c r="L198" s="19"/>
      <c r="M198" s="19"/>
      <c r="N198" s="19"/>
      <c r="O198" s="19"/>
      <c r="P198" s="28"/>
      <c r="Q198" s="19"/>
      <c r="R198" s="19"/>
      <c r="S198" s="19"/>
      <c r="T198" s="36"/>
      <c r="U198" s="43"/>
      <c r="V198" s="19"/>
      <c r="W198" s="28"/>
      <c r="X198" s="28"/>
      <c r="Y198" s="19"/>
      <c r="Z198" s="19"/>
      <c r="AA198" s="19"/>
      <c r="AB198" s="29"/>
      <c r="AC198" s="29"/>
      <c r="AD198" s="29"/>
      <c r="AE198" s="28"/>
      <c r="AF198" s="46"/>
      <c r="AG198" s="28"/>
      <c r="AH198" s="29"/>
      <c r="AI198" s="29"/>
      <c r="AJ198" s="30"/>
      <c r="AK198" s="57"/>
      <c r="AL198" s="57"/>
      <c r="AM198" s="57"/>
      <c r="AN198" s="60"/>
      <c r="AO198" s="57"/>
      <c r="AP198" s="57"/>
      <c r="AQ198" s="57"/>
      <c r="AR198" s="133"/>
      <c r="AS198" s="133"/>
    </row>
    <row r="199" spans="1:45" ht="21" x14ac:dyDescent="0.35">
      <c r="A199" s="28"/>
      <c r="B199" s="67"/>
      <c r="C199" s="28"/>
      <c r="D199" s="19"/>
      <c r="E199" s="28"/>
      <c r="F199" s="28"/>
      <c r="G199" s="47"/>
      <c r="H199" s="28"/>
      <c r="I199" s="19"/>
      <c r="J199" s="19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46"/>
      <c r="AG199" s="28"/>
      <c r="AH199" s="29"/>
      <c r="AI199" s="29"/>
      <c r="AJ199" s="30"/>
      <c r="AK199" s="57"/>
      <c r="AL199" s="57"/>
      <c r="AM199" s="57"/>
      <c r="AN199" s="60"/>
      <c r="AO199" s="57"/>
      <c r="AP199" s="57"/>
      <c r="AQ199" s="57"/>
      <c r="AR199" s="133"/>
      <c r="AS199" s="133"/>
    </row>
    <row r="200" spans="1:45" ht="21" x14ac:dyDescent="0.35">
      <c r="A200" s="28"/>
      <c r="B200" s="67"/>
      <c r="C200" s="28"/>
      <c r="D200" s="19"/>
      <c r="E200" s="28"/>
      <c r="F200" s="28"/>
      <c r="G200" s="47"/>
      <c r="H200" s="28"/>
      <c r="I200" s="19"/>
      <c r="J200" s="19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46"/>
      <c r="AG200" s="28"/>
      <c r="AH200" s="29"/>
      <c r="AI200" s="29"/>
      <c r="AJ200" s="30"/>
      <c r="AK200" s="57"/>
      <c r="AL200" s="57"/>
      <c r="AM200" s="57"/>
      <c r="AN200" s="60"/>
      <c r="AO200" s="57"/>
      <c r="AP200" s="57"/>
      <c r="AQ200" s="57"/>
      <c r="AR200" s="133"/>
      <c r="AS200" s="133"/>
    </row>
    <row r="201" spans="1:45" ht="21" x14ac:dyDescent="0.35">
      <c r="A201" s="28"/>
      <c r="B201" s="67"/>
      <c r="C201" s="28"/>
      <c r="D201" s="19"/>
      <c r="E201" s="28"/>
      <c r="F201" s="28"/>
      <c r="G201" s="47"/>
      <c r="H201" s="28"/>
      <c r="I201" s="19"/>
      <c r="J201" s="19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46"/>
      <c r="AG201" s="28"/>
      <c r="AH201" s="29"/>
      <c r="AI201" s="29"/>
      <c r="AJ201" s="30"/>
      <c r="AK201" s="57"/>
      <c r="AL201" s="57"/>
      <c r="AM201" s="57"/>
      <c r="AN201" s="60"/>
      <c r="AO201" s="57"/>
      <c r="AP201" s="57"/>
      <c r="AQ201" s="57"/>
      <c r="AR201" s="133"/>
      <c r="AS201" s="133"/>
    </row>
    <row r="202" spans="1:45" ht="21" x14ac:dyDescent="0.35">
      <c r="A202" s="28"/>
      <c r="B202" s="67"/>
      <c r="C202" s="28"/>
      <c r="D202" s="19"/>
      <c r="E202" s="28"/>
      <c r="F202" s="28"/>
      <c r="G202" s="47"/>
      <c r="H202" s="28"/>
      <c r="I202" s="19"/>
      <c r="J202" s="19"/>
      <c r="K202" s="19"/>
      <c r="L202" s="19"/>
      <c r="M202" s="19"/>
      <c r="N202" s="19"/>
      <c r="O202" s="19"/>
      <c r="P202" s="28"/>
      <c r="Q202" s="19"/>
      <c r="R202" s="19"/>
      <c r="S202" s="19"/>
      <c r="T202" s="36"/>
      <c r="U202" s="43"/>
      <c r="V202" s="19"/>
      <c r="W202" s="28"/>
      <c r="X202" s="28"/>
      <c r="Y202" s="19"/>
      <c r="Z202" s="19"/>
      <c r="AA202" s="19"/>
      <c r="AB202" s="29"/>
      <c r="AC202" s="29"/>
      <c r="AD202" s="29"/>
      <c r="AE202" s="28"/>
      <c r="AF202" s="46"/>
      <c r="AG202" s="28"/>
      <c r="AH202" s="29"/>
      <c r="AI202" s="29"/>
      <c r="AJ202" s="30"/>
      <c r="AK202" s="57"/>
      <c r="AL202" s="57"/>
      <c r="AM202" s="57"/>
      <c r="AN202" s="60"/>
      <c r="AO202" s="57"/>
      <c r="AP202" s="57"/>
      <c r="AQ202" s="57"/>
      <c r="AR202" s="133"/>
      <c r="AS202" s="133"/>
    </row>
    <row r="203" spans="1:45" ht="21" x14ac:dyDescent="0.35">
      <c r="A203" s="28"/>
      <c r="B203" s="67"/>
      <c r="C203" s="28"/>
      <c r="D203" s="19"/>
      <c r="E203" s="28"/>
      <c r="F203" s="28"/>
      <c r="G203" s="47"/>
      <c r="H203" s="28"/>
      <c r="I203" s="19"/>
      <c r="J203" s="19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46"/>
      <c r="AG203" s="28"/>
      <c r="AH203" s="29"/>
      <c r="AI203" s="29"/>
      <c r="AJ203" s="30"/>
      <c r="AK203" s="57"/>
      <c r="AL203" s="57"/>
      <c r="AM203" s="57"/>
      <c r="AN203" s="60"/>
      <c r="AO203" s="57"/>
      <c r="AP203" s="57"/>
      <c r="AQ203" s="57"/>
      <c r="AR203" s="57"/>
      <c r="AS203" s="57"/>
    </row>
    <row r="204" spans="1:45" ht="21" x14ac:dyDescent="0.35">
      <c r="A204" s="28"/>
      <c r="B204" s="67"/>
      <c r="C204" s="28"/>
      <c r="D204" s="19"/>
      <c r="E204" s="28"/>
      <c r="F204" s="28"/>
      <c r="G204" s="47"/>
      <c r="H204" s="28"/>
      <c r="I204" s="19"/>
      <c r="J204" s="19"/>
      <c r="K204" s="19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46"/>
      <c r="AG204" s="28"/>
      <c r="AH204" s="29"/>
      <c r="AI204" s="29"/>
      <c r="AJ204" s="30"/>
      <c r="AK204" s="57"/>
      <c r="AL204" s="57"/>
      <c r="AM204" s="57"/>
      <c r="AN204" s="60"/>
      <c r="AO204" s="57"/>
      <c r="AP204" s="57"/>
      <c r="AQ204" s="57"/>
      <c r="AR204" s="57"/>
      <c r="AS204" s="57"/>
    </row>
    <row r="205" spans="1:45" ht="21" x14ac:dyDescent="0.35">
      <c r="A205" s="28"/>
      <c r="B205" s="67"/>
      <c r="C205" s="81"/>
      <c r="D205" s="83"/>
      <c r="E205" s="81"/>
      <c r="F205" s="81"/>
      <c r="G205" s="83"/>
      <c r="H205" s="81"/>
      <c r="I205" s="83"/>
      <c r="J205" s="83"/>
      <c r="K205" s="83"/>
      <c r="L205" s="83"/>
      <c r="M205" s="83"/>
      <c r="N205" s="83"/>
      <c r="O205" s="83"/>
      <c r="P205" s="81"/>
      <c r="Q205" s="83"/>
      <c r="R205" s="83"/>
      <c r="S205" s="83"/>
      <c r="T205" s="84"/>
      <c r="U205" s="85"/>
      <c r="V205" s="83"/>
      <c r="W205" s="81"/>
      <c r="X205" s="81"/>
      <c r="Y205" s="83"/>
      <c r="Z205" s="83"/>
      <c r="AA205" s="83"/>
      <c r="AB205" s="86"/>
      <c r="AC205" s="86"/>
      <c r="AD205" s="86"/>
      <c r="AE205" s="81"/>
      <c r="AF205" s="71"/>
      <c r="AG205" s="81"/>
      <c r="AH205" s="86"/>
      <c r="AI205" s="86"/>
      <c r="AJ205" s="87"/>
      <c r="AK205" s="57"/>
      <c r="AL205" s="57"/>
      <c r="AM205" s="57"/>
      <c r="AN205" s="60"/>
      <c r="AO205" s="57"/>
      <c r="AP205" s="57"/>
      <c r="AQ205" s="57"/>
      <c r="AR205" s="57"/>
      <c r="AS205" s="57"/>
    </row>
    <row r="206" spans="1:45" ht="21" x14ac:dyDescent="0.35">
      <c r="A206" s="28"/>
      <c r="B206" s="107"/>
      <c r="C206" s="28"/>
      <c r="D206" s="19"/>
      <c r="E206" s="108"/>
      <c r="F206" s="108"/>
      <c r="G206" s="29"/>
      <c r="H206" s="28"/>
      <c r="I206" s="19"/>
      <c r="J206" s="19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77"/>
      <c r="AC206" s="29"/>
      <c r="AD206" s="29"/>
      <c r="AE206" s="28"/>
      <c r="AF206" s="10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  <c r="AQ206" s="57"/>
      <c r="AR206" s="57"/>
      <c r="AS206" s="57"/>
    </row>
    <row r="207" spans="1:45" ht="21" x14ac:dyDescent="0.35">
      <c r="A207" s="28"/>
      <c r="B207" s="107"/>
      <c r="C207" s="28"/>
      <c r="D207" s="19"/>
      <c r="E207" s="108"/>
      <c r="F207" s="108"/>
      <c r="G207" s="19"/>
      <c r="H207" s="28"/>
      <c r="I207" s="19"/>
      <c r="J207" s="19"/>
      <c r="K207" s="77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10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  <c r="AQ207" s="57"/>
      <c r="AR207" s="57"/>
      <c r="AS207" s="57"/>
    </row>
    <row r="208" spans="1:45" ht="21" x14ac:dyDescent="0.35">
      <c r="A208" s="28"/>
      <c r="B208" s="107"/>
      <c r="C208" s="28"/>
      <c r="D208" s="19"/>
      <c r="E208" s="108"/>
      <c r="F208" s="108"/>
      <c r="G208" s="19"/>
      <c r="H208" s="28"/>
      <c r="I208" s="19"/>
      <c r="J208" s="19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10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  <c r="AQ208" s="57"/>
      <c r="AR208" s="57"/>
      <c r="AS208" s="57"/>
    </row>
    <row r="209" spans="1:45" ht="21" x14ac:dyDescent="0.35">
      <c r="A209" s="28"/>
      <c r="B209" s="107"/>
      <c r="C209" s="28"/>
      <c r="D209" s="19"/>
      <c r="E209" s="108"/>
      <c r="F209" s="108"/>
      <c r="G209" s="19"/>
      <c r="H209" s="28"/>
      <c r="I209" s="19"/>
      <c r="J209" s="19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10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  <c r="AQ209" s="57"/>
      <c r="AR209" s="57"/>
      <c r="AS209" s="57"/>
    </row>
    <row r="210" spans="1:45" ht="21" x14ac:dyDescent="0.35">
      <c r="A210" s="28"/>
      <c r="B210" s="107"/>
      <c r="C210" s="28"/>
      <c r="D210" s="19"/>
      <c r="E210" s="108"/>
      <c r="F210" s="108"/>
      <c r="G210" s="19"/>
      <c r="H210" s="28"/>
      <c r="I210" s="19"/>
      <c r="J210" s="19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10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  <c r="AQ210" s="57"/>
      <c r="AR210" s="57"/>
      <c r="AS210" s="57"/>
    </row>
    <row r="211" spans="1:45" ht="21" x14ac:dyDescent="0.35">
      <c r="A211" s="28"/>
      <c r="B211" s="107"/>
      <c r="C211" s="28"/>
      <c r="D211" s="19"/>
      <c r="E211" s="108"/>
      <c r="F211" s="108"/>
      <c r="G211" s="19"/>
      <c r="H211" s="28"/>
      <c r="I211" s="19"/>
      <c r="J211" s="19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10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  <c r="AQ211" s="57"/>
      <c r="AR211" s="57"/>
      <c r="AS211" s="57"/>
    </row>
    <row r="212" spans="1:45" ht="21" x14ac:dyDescent="0.35">
      <c r="A212" s="28"/>
      <c r="B212" s="107"/>
      <c r="C212" s="46"/>
      <c r="D212" s="47"/>
      <c r="E212" s="46"/>
      <c r="F212" s="46"/>
      <c r="G212" s="47"/>
      <c r="H212" s="46"/>
      <c r="I212" s="47"/>
      <c r="J212" s="47"/>
      <c r="K212" s="19"/>
      <c r="L212" s="47"/>
      <c r="M212" s="47"/>
      <c r="N212" s="47"/>
      <c r="O212" s="47"/>
      <c r="P212" s="46"/>
      <c r="Q212" s="47"/>
      <c r="R212" s="47"/>
      <c r="S212" s="47"/>
      <c r="T212" s="48"/>
      <c r="U212" s="89"/>
      <c r="V212" s="47"/>
      <c r="W212" s="46"/>
      <c r="X212" s="46"/>
      <c r="Y212" s="47"/>
      <c r="Z212" s="47"/>
      <c r="AA212" s="47"/>
      <c r="AB212" s="49"/>
      <c r="AC212" s="49"/>
      <c r="AD212" s="49"/>
      <c r="AE212" s="46"/>
      <c r="AF212" s="46"/>
      <c r="AG212" s="46"/>
      <c r="AH212" s="49"/>
      <c r="AI212" s="49"/>
      <c r="AJ212" s="90"/>
      <c r="AK212" s="57"/>
      <c r="AL212" s="57"/>
      <c r="AM212" s="57"/>
      <c r="AN212" s="57"/>
      <c r="AO212" s="57"/>
      <c r="AP212" s="57"/>
      <c r="AQ212" s="57"/>
      <c r="AR212" s="57"/>
      <c r="AS212" s="57"/>
    </row>
    <row r="213" spans="1:45" ht="21" x14ac:dyDescent="0.35">
      <c r="A213" s="28"/>
      <c r="B213" s="67"/>
      <c r="C213" s="28"/>
      <c r="D213" s="19"/>
      <c r="E213" s="28"/>
      <c r="F213" s="28"/>
      <c r="G213" s="19"/>
      <c r="H213" s="28"/>
      <c r="I213" s="19"/>
      <c r="J213" s="19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  <c r="AQ213" s="57"/>
      <c r="AR213" s="57"/>
      <c r="AS213" s="57"/>
    </row>
    <row r="214" spans="1:45" ht="21" x14ac:dyDescent="0.35">
      <c r="A214" s="28"/>
      <c r="B214" s="67"/>
      <c r="C214" s="28"/>
      <c r="D214" s="19"/>
      <c r="E214" s="28"/>
      <c r="F214" s="28"/>
      <c r="G214" s="19"/>
      <c r="H214" s="28"/>
      <c r="I214" s="19"/>
      <c r="J214" s="19"/>
      <c r="K214" s="77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  <c r="AQ214" s="57"/>
      <c r="AR214" s="57"/>
      <c r="AS214" s="57"/>
    </row>
    <row r="215" spans="1:45" ht="21" x14ac:dyDescent="0.35">
      <c r="A215" s="28"/>
      <c r="B215" s="67"/>
      <c r="C215" s="28"/>
      <c r="D215" s="19"/>
      <c r="E215" s="28"/>
      <c r="F215" s="28"/>
      <c r="G215" s="19"/>
      <c r="H215" s="28"/>
      <c r="I215" s="19"/>
      <c r="J215" s="19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  <c r="AQ215" s="57"/>
      <c r="AR215" s="57"/>
      <c r="AS215" s="57"/>
    </row>
    <row r="216" spans="1:45" ht="21" x14ac:dyDescent="0.35">
      <c r="A216" s="28"/>
      <c r="B216" s="67"/>
      <c r="C216" s="28"/>
      <c r="D216" s="19"/>
      <c r="E216" s="28"/>
      <c r="F216" s="28"/>
      <c r="G216" s="19"/>
      <c r="H216" s="28"/>
      <c r="I216" s="19"/>
      <c r="J216" s="19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  <c r="AQ216" s="57"/>
      <c r="AR216" s="57"/>
      <c r="AS216" s="57"/>
    </row>
    <row r="217" spans="1:45" ht="21" x14ac:dyDescent="0.35">
      <c r="A217" s="28"/>
      <c r="B217" s="67"/>
      <c r="C217" s="28"/>
      <c r="D217" s="19"/>
      <c r="E217" s="28"/>
      <c r="F217" s="28"/>
      <c r="G217" s="19"/>
      <c r="H217" s="28"/>
      <c r="I217" s="19"/>
      <c r="J217" s="19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  <c r="AQ217" s="57"/>
      <c r="AR217" s="57"/>
      <c r="AS217" s="57"/>
    </row>
    <row r="218" spans="1:45" ht="21" x14ac:dyDescent="0.35">
      <c r="A218" s="28"/>
      <c r="B218" s="67"/>
      <c r="C218" s="28"/>
      <c r="D218" s="19"/>
      <c r="E218" s="28"/>
      <c r="F218" s="28"/>
      <c r="G218" s="19"/>
      <c r="H218" s="28"/>
      <c r="I218" s="19"/>
      <c r="J218" s="19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  <c r="AQ218" s="57"/>
      <c r="AR218" s="57"/>
      <c r="AS218" s="57"/>
    </row>
    <row r="219" spans="1:45" ht="21" x14ac:dyDescent="0.35">
      <c r="A219" s="28"/>
      <c r="B219" s="67"/>
      <c r="C219" s="28"/>
      <c r="D219" s="19"/>
      <c r="E219" s="28"/>
      <c r="F219" s="28"/>
      <c r="G219" s="19"/>
      <c r="H219" s="28"/>
      <c r="I219" s="19"/>
      <c r="J219" s="19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  <c r="AQ219" s="57"/>
      <c r="AR219" s="57"/>
      <c r="AS219" s="57"/>
    </row>
    <row r="220" spans="1:45" ht="21" x14ac:dyDescent="0.35">
      <c r="A220" s="28"/>
      <c r="B220" s="67"/>
      <c r="C220" s="28"/>
      <c r="D220" s="19"/>
      <c r="E220" s="28"/>
      <c r="F220" s="28"/>
      <c r="G220" s="19"/>
      <c r="H220" s="28"/>
      <c r="I220" s="19"/>
      <c r="J220" s="19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  <c r="AQ220" s="57"/>
      <c r="AR220" s="57"/>
      <c r="AS220" s="57"/>
    </row>
    <row r="221" spans="1:45" ht="21" x14ac:dyDescent="0.35">
      <c r="A221" s="28"/>
      <c r="B221" s="67"/>
      <c r="C221" s="28"/>
      <c r="D221" s="19"/>
      <c r="E221" s="28"/>
      <c r="F221" s="28"/>
      <c r="G221" s="19"/>
      <c r="H221" s="28"/>
      <c r="I221" s="19"/>
      <c r="J221" s="19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  <c r="AQ221" s="57"/>
      <c r="AR221" s="57"/>
      <c r="AS221" s="57"/>
    </row>
    <row r="222" spans="1:45" ht="21" x14ac:dyDescent="0.35">
      <c r="A222" s="28"/>
      <c r="B222" s="67"/>
      <c r="C222" s="28"/>
      <c r="D222" s="19"/>
      <c r="E222" s="28"/>
      <c r="F222" s="28"/>
      <c r="G222" s="19"/>
      <c r="H222" s="28"/>
      <c r="I222" s="19"/>
      <c r="J222" s="19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  <c r="AQ222" s="57"/>
      <c r="AR222" s="57"/>
      <c r="AS222" s="57"/>
    </row>
    <row r="223" spans="1:45" ht="21" x14ac:dyDescent="0.35">
      <c r="A223" s="28"/>
      <c r="B223" s="67"/>
      <c r="C223" s="28"/>
      <c r="D223" s="19"/>
      <c r="E223" s="28"/>
      <c r="F223" s="28"/>
      <c r="G223" s="19"/>
      <c r="H223" s="28"/>
      <c r="I223" s="19"/>
      <c r="J223" s="19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  <c r="AQ223" s="57"/>
      <c r="AR223" s="57"/>
      <c r="AS223" s="57"/>
    </row>
    <row r="224" spans="1:45" ht="21" x14ac:dyDescent="0.35">
      <c r="A224" s="28"/>
      <c r="B224" s="67"/>
      <c r="C224" s="28"/>
      <c r="D224" s="19"/>
      <c r="E224" s="28"/>
      <c r="F224" s="28"/>
      <c r="G224" s="19"/>
      <c r="H224" s="28"/>
      <c r="I224" s="19"/>
      <c r="J224" s="19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  <c r="AQ224" s="57"/>
      <c r="AR224" s="57"/>
      <c r="AS224" s="57"/>
    </row>
    <row r="225" spans="1:45" ht="21" x14ac:dyDescent="0.35">
      <c r="A225" s="28"/>
      <c r="B225" s="67"/>
      <c r="C225" s="28"/>
      <c r="D225" s="19"/>
      <c r="E225" s="28"/>
      <c r="F225" s="28"/>
      <c r="G225" s="19"/>
      <c r="H225" s="28"/>
      <c r="I225" s="19"/>
      <c r="J225" s="19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  <c r="AQ225" s="57"/>
      <c r="AR225" s="57"/>
      <c r="AS225" s="57"/>
    </row>
    <row r="226" spans="1:45" ht="21" x14ac:dyDescent="0.35">
      <c r="A226" s="28"/>
      <c r="B226" s="67"/>
      <c r="C226" s="28"/>
      <c r="D226" s="19"/>
      <c r="E226" s="28"/>
      <c r="F226" s="28"/>
      <c r="G226" s="19"/>
      <c r="H226" s="28"/>
      <c r="I226" s="19"/>
      <c r="J226" s="19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  <c r="AQ226" s="57"/>
      <c r="AR226" s="57"/>
      <c r="AS226" s="57"/>
    </row>
    <row r="227" spans="1:45" ht="21" x14ac:dyDescent="0.35">
      <c r="A227" s="28"/>
      <c r="B227" s="67"/>
      <c r="C227" s="28"/>
      <c r="D227" s="19"/>
      <c r="E227" s="28"/>
      <c r="F227" s="28"/>
      <c r="G227" s="19"/>
      <c r="H227" s="28"/>
      <c r="I227" s="19"/>
      <c r="J227" s="19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  <c r="AQ227" s="57"/>
      <c r="AR227" s="57"/>
      <c r="AS227" s="57"/>
    </row>
    <row r="228" spans="1:45" ht="21" x14ac:dyDescent="0.35">
      <c r="A228" s="28"/>
      <c r="B228" s="67"/>
      <c r="C228" s="28"/>
      <c r="D228" s="19"/>
      <c r="E228" s="28"/>
      <c r="F228" s="28"/>
      <c r="G228" s="19"/>
      <c r="H228" s="28"/>
      <c r="I228" s="19"/>
      <c r="J228" s="19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  <c r="AQ228" s="57"/>
      <c r="AR228" s="57"/>
      <c r="AS228" s="57"/>
    </row>
    <row r="229" spans="1:45" ht="21" x14ac:dyDescent="0.35">
      <c r="A229" s="28"/>
      <c r="B229" s="67"/>
      <c r="C229" s="28"/>
      <c r="D229" s="19"/>
      <c r="E229" s="28"/>
      <c r="F229" s="28"/>
      <c r="G229" s="19"/>
      <c r="H229" s="28"/>
      <c r="I229" s="19"/>
      <c r="J229" s="19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  <c r="AQ229" s="57"/>
      <c r="AR229" s="57"/>
      <c r="AS229" s="57"/>
    </row>
    <row r="230" spans="1:45" ht="21" x14ac:dyDescent="0.35">
      <c r="A230" s="28"/>
      <c r="B230" s="67"/>
      <c r="C230" s="28"/>
      <c r="D230" s="19"/>
      <c r="E230" s="28"/>
      <c r="F230" s="28"/>
      <c r="G230" s="19"/>
      <c r="H230" s="28"/>
      <c r="I230" s="19"/>
      <c r="J230" s="19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  <c r="AQ230" s="57"/>
      <c r="AR230" s="57"/>
      <c r="AS230" s="57"/>
    </row>
    <row r="231" spans="1:45" ht="21" x14ac:dyDescent="0.35">
      <c r="A231" s="28"/>
      <c r="B231" s="67"/>
      <c r="C231" s="28"/>
      <c r="D231" s="19"/>
      <c r="E231" s="28"/>
      <c r="F231" s="28"/>
      <c r="G231" s="19"/>
      <c r="H231" s="28"/>
      <c r="I231" s="19"/>
      <c r="J231" s="19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  <c r="AQ231" s="57"/>
      <c r="AR231" s="57"/>
      <c r="AS231" s="57"/>
    </row>
    <row r="232" spans="1:45" ht="21" x14ac:dyDescent="0.35">
      <c r="A232" s="28"/>
      <c r="B232" s="67"/>
      <c r="C232" s="28"/>
      <c r="D232" s="19"/>
      <c r="E232" s="28"/>
      <c r="F232" s="28"/>
      <c r="G232" s="19"/>
      <c r="H232" s="28"/>
      <c r="I232" s="19"/>
      <c r="J232" s="19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  <c r="AQ232" s="57"/>
      <c r="AR232" s="57"/>
      <c r="AS232" s="57"/>
    </row>
    <row r="233" spans="1:45" ht="21" x14ac:dyDescent="0.35">
      <c r="A233" s="28"/>
      <c r="B233" s="67"/>
      <c r="C233" s="28"/>
      <c r="D233" s="19"/>
      <c r="E233" s="28"/>
      <c r="F233" s="28"/>
      <c r="G233" s="19"/>
      <c r="H233" s="28"/>
      <c r="I233" s="19"/>
      <c r="J233" s="19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  <c r="AQ233" s="57"/>
      <c r="AR233" s="57"/>
      <c r="AS233" s="57"/>
    </row>
    <row r="234" spans="1:45" ht="21" x14ac:dyDescent="0.35">
      <c r="A234" s="28"/>
      <c r="B234" s="67"/>
      <c r="C234" s="28"/>
      <c r="D234" s="19"/>
      <c r="E234" s="28"/>
      <c r="F234" s="28"/>
      <c r="G234" s="19"/>
      <c r="H234" s="28"/>
      <c r="I234" s="19"/>
      <c r="J234" s="19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  <c r="AQ234" s="57"/>
      <c r="AR234" s="57"/>
      <c r="AS234" s="57"/>
    </row>
    <row r="235" spans="1:45" ht="21" x14ac:dyDescent="0.35">
      <c r="A235" s="28"/>
      <c r="B235" s="67"/>
      <c r="C235" s="28"/>
      <c r="D235" s="19"/>
      <c r="E235" s="28"/>
      <c r="F235" s="28"/>
      <c r="G235" s="19"/>
      <c r="H235" s="28"/>
      <c r="I235" s="19"/>
      <c r="J235" s="19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  <c r="AQ235" s="57"/>
      <c r="AR235" s="57"/>
      <c r="AS235" s="57"/>
    </row>
    <row r="236" spans="1:45" ht="21" x14ac:dyDescent="0.35">
      <c r="A236" s="28"/>
      <c r="B236" s="67"/>
      <c r="C236" s="28"/>
      <c r="D236" s="19"/>
      <c r="E236" s="28"/>
      <c r="F236" s="28"/>
      <c r="G236" s="19"/>
      <c r="H236" s="28"/>
      <c r="I236" s="19"/>
      <c r="J236" s="19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  <c r="AQ236" s="57"/>
      <c r="AR236" s="57"/>
      <c r="AS236" s="57"/>
    </row>
    <row r="237" spans="1:45" ht="21" x14ac:dyDescent="0.35">
      <c r="A237" s="28"/>
      <c r="B237" s="67"/>
      <c r="C237" s="28"/>
      <c r="D237" s="19"/>
      <c r="E237" s="28"/>
      <c r="F237" s="28"/>
      <c r="G237" s="19"/>
      <c r="H237" s="28"/>
      <c r="I237" s="19"/>
      <c r="J237" s="19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  <c r="AQ237" s="57"/>
      <c r="AR237" s="57"/>
      <c r="AS237" s="57"/>
    </row>
    <row r="238" spans="1:45" ht="21" x14ac:dyDescent="0.35">
      <c r="A238" s="28"/>
      <c r="B238" s="67"/>
      <c r="C238" s="28"/>
      <c r="D238" s="19"/>
      <c r="E238" s="28"/>
      <c r="F238" s="28"/>
      <c r="G238" s="19"/>
      <c r="H238" s="28"/>
      <c r="I238" s="19"/>
      <c r="J238" s="19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  <c r="AQ238" s="57"/>
      <c r="AR238" s="57"/>
      <c r="AS238" s="57"/>
    </row>
    <row r="239" spans="1:45" ht="21" x14ac:dyDescent="0.35">
      <c r="A239" s="28"/>
      <c r="B239" s="67"/>
      <c r="C239" s="28"/>
      <c r="D239" s="19"/>
      <c r="E239" s="28"/>
      <c r="F239" s="28"/>
      <c r="G239" s="19"/>
      <c r="H239" s="28"/>
      <c r="I239" s="19"/>
      <c r="J239" s="19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  <c r="AQ239" s="57"/>
      <c r="AR239" s="57"/>
      <c r="AS239" s="57"/>
    </row>
    <row r="240" spans="1:45" ht="21" x14ac:dyDescent="0.35">
      <c r="A240" s="28"/>
      <c r="B240" s="67"/>
      <c r="C240" s="28"/>
      <c r="D240" s="19"/>
      <c r="E240" s="28"/>
      <c r="F240" s="28"/>
      <c r="G240" s="19"/>
      <c r="H240" s="28"/>
      <c r="I240" s="19"/>
      <c r="J240" s="19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  <c r="AQ240" s="57"/>
      <c r="AR240" s="57"/>
      <c r="AS240" s="57"/>
    </row>
    <row r="241" spans="1:45" ht="21" x14ac:dyDescent="0.35">
      <c r="A241" s="28"/>
      <c r="B241" s="67"/>
      <c r="C241" s="28"/>
      <c r="D241" s="19"/>
      <c r="E241" s="28"/>
      <c r="F241" s="28"/>
      <c r="G241" s="19"/>
      <c r="H241" s="28"/>
      <c r="I241" s="19"/>
      <c r="J241" s="19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  <c r="AQ241" s="57"/>
      <c r="AR241" s="57"/>
      <c r="AS241" s="57"/>
    </row>
    <row r="242" spans="1:45" ht="21" x14ac:dyDescent="0.35">
      <c r="A242" s="28"/>
      <c r="B242" s="67"/>
      <c r="C242" s="28"/>
      <c r="D242" s="19"/>
      <c r="E242" s="28"/>
      <c r="F242" s="28"/>
      <c r="G242" s="19"/>
      <c r="H242" s="28"/>
      <c r="I242" s="19"/>
      <c r="J242" s="19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  <c r="AQ242" s="57"/>
      <c r="AR242" s="57"/>
      <c r="AS242" s="57"/>
    </row>
    <row r="243" spans="1:45" ht="21" x14ac:dyDescent="0.35">
      <c r="A243" s="28"/>
      <c r="B243" s="67"/>
      <c r="C243" s="28"/>
      <c r="D243" s="19"/>
      <c r="E243" s="28"/>
      <c r="F243" s="28"/>
      <c r="G243" s="19"/>
      <c r="H243" s="28"/>
      <c r="I243" s="19"/>
      <c r="J243" s="19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  <c r="AQ243" s="57"/>
      <c r="AR243" s="57"/>
      <c r="AS243" s="57"/>
    </row>
    <row r="244" spans="1:45" ht="21" x14ac:dyDescent="0.35">
      <c r="A244" s="28"/>
      <c r="B244" s="67"/>
      <c r="C244" s="28"/>
      <c r="D244" s="19"/>
      <c r="E244" s="28"/>
      <c r="F244" s="28"/>
      <c r="G244" s="19"/>
      <c r="H244" s="28"/>
      <c r="I244" s="19"/>
      <c r="J244" s="19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  <c r="AQ244" s="57"/>
      <c r="AR244" s="57"/>
      <c r="AS244" s="57"/>
    </row>
    <row r="245" spans="1:45" ht="21" x14ac:dyDescent="0.35">
      <c r="A245" s="28"/>
      <c r="B245" s="67"/>
      <c r="C245" s="28"/>
      <c r="D245" s="19"/>
      <c r="E245" s="28"/>
      <c r="F245" s="28"/>
      <c r="G245" s="19"/>
      <c r="H245" s="28"/>
      <c r="I245" s="19"/>
      <c r="J245" s="19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  <c r="AQ245" s="57"/>
      <c r="AR245" s="57"/>
      <c r="AS245" s="57"/>
    </row>
    <row r="246" spans="1:45" ht="21" x14ac:dyDescent="0.35">
      <c r="A246" s="28"/>
      <c r="B246" s="67"/>
      <c r="C246" s="28"/>
      <c r="D246" s="19"/>
      <c r="E246" s="28"/>
      <c r="F246" s="28"/>
      <c r="G246" s="19"/>
      <c r="H246" s="28"/>
      <c r="I246" s="19"/>
      <c r="J246" s="19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  <c r="AQ246" s="57"/>
      <c r="AR246" s="57"/>
      <c r="AS246" s="57"/>
    </row>
    <row r="247" spans="1:45" ht="21" x14ac:dyDescent="0.35">
      <c r="A247" s="28"/>
      <c r="B247" s="67"/>
      <c r="C247" s="28"/>
      <c r="D247" s="19"/>
      <c r="E247" s="28"/>
      <c r="F247" s="28"/>
      <c r="G247" s="19"/>
      <c r="H247" s="28"/>
      <c r="I247" s="19"/>
      <c r="J247" s="19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  <c r="AQ247" s="57"/>
      <c r="AR247" s="57"/>
      <c r="AS247" s="57"/>
    </row>
    <row r="248" spans="1:45" ht="21" x14ac:dyDescent="0.35">
      <c r="A248" s="28"/>
      <c r="B248" s="67"/>
      <c r="C248" s="28"/>
      <c r="D248" s="19"/>
      <c r="E248" s="28"/>
      <c r="F248" s="28"/>
      <c r="G248" s="19"/>
      <c r="H248" s="28"/>
      <c r="I248" s="19"/>
      <c r="J248" s="19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  <c r="AQ248" s="57"/>
      <c r="AR248" s="57"/>
      <c r="AS248" s="57"/>
    </row>
    <row r="249" spans="1:45" ht="21" x14ac:dyDescent="0.35">
      <c r="A249" s="28"/>
      <c r="B249" s="67"/>
      <c r="C249" s="28"/>
      <c r="D249" s="19"/>
      <c r="E249" s="28"/>
      <c r="F249" s="28"/>
      <c r="G249" s="19"/>
      <c r="H249" s="28"/>
      <c r="I249" s="19"/>
      <c r="J249" s="19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  <c r="AQ249" s="57"/>
      <c r="AR249" s="57"/>
      <c r="AS249" s="57"/>
    </row>
    <row r="250" spans="1:45" ht="21" x14ac:dyDescent="0.35">
      <c r="A250" s="28"/>
      <c r="B250" s="67"/>
      <c r="C250" s="28"/>
      <c r="D250" s="19"/>
      <c r="E250" s="28"/>
      <c r="F250" s="28"/>
      <c r="G250" s="19"/>
      <c r="H250" s="28"/>
      <c r="I250" s="19"/>
      <c r="J250" s="19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  <c r="AQ250" s="57"/>
      <c r="AR250" s="57"/>
      <c r="AS250" s="57"/>
    </row>
    <row r="251" spans="1:45" ht="21" x14ac:dyDescent="0.35">
      <c r="A251" s="28"/>
      <c r="B251" s="67"/>
      <c r="C251" s="28"/>
      <c r="D251" s="19"/>
      <c r="E251" s="28"/>
      <c r="F251" s="28"/>
      <c r="G251" s="19"/>
      <c r="H251" s="28"/>
      <c r="I251" s="19"/>
      <c r="J251" s="19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  <c r="AQ251" s="57"/>
      <c r="AR251" s="57"/>
      <c r="AS251" s="57"/>
    </row>
    <row r="252" spans="1:45" ht="21" x14ac:dyDescent="0.35">
      <c r="A252" s="28"/>
      <c r="B252" s="67"/>
      <c r="C252" s="28"/>
      <c r="D252" s="19"/>
      <c r="E252" s="28"/>
      <c r="F252" s="28"/>
      <c r="G252" s="19"/>
      <c r="H252" s="28"/>
      <c r="I252" s="19"/>
      <c r="J252" s="19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  <c r="AQ252" s="57"/>
      <c r="AR252" s="57"/>
      <c r="AS252" s="57"/>
    </row>
    <row r="253" spans="1:45" ht="21" x14ac:dyDescent="0.35">
      <c r="A253" s="28"/>
      <c r="B253" s="67"/>
      <c r="C253" s="28"/>
      <c r="D253" s="19"/>
      <c r="E253" s="28"/>
      <c r="F253" s="28"/>
      <c r="G253" s="19"/>
      <c r="H253" s="28"/>
      <c r="I253" s="19"/>
      <c r="J253" s="19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  <c r="AQ253" s="57"/>
      <c r="AR253" s="57"/>
      <c r="AS253" s="57"/>
    </row>
    <row r="254" spans="1:45" ht="21" x14ac:dyDescent="0.35">
      <c r="A254" s="28"/>
      <c r="B254" s="67"/>
      <c r="C254" s="28"/>
      <c r="D254" s="19"/>
      <c r="E254" s="28"/>
      <c r="F254" s="28"/>
      <c r="G254" s="19"/>
      <c r="H254" s="28"/>
      <c r="I254" s="19"/>
      <c r="J254" s="19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  <c r="AQ254" s="57"/>
      <c r="AR254" s="57"/>
      <c r="AS254" s="57"/>
    </row>
    <row r="255" spans="1:45" ht="21" x14ac:dyDescent="0.35">
      <c r="A255" s="28"/>
      <c r="B255" s="67"/>
      <c r="C255" s="28"/>
      <c r="D255" s="19"/>
      <c r="E255" s="28"/>
      <c r="F255" s="28"/>
      <c r="G255" s="19"/>
      <c r="H255" s="28"/>
      <c r="I255" s="19"/>
      <c r="J255" s="19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  <c r="AQ255" s="57"/>
      <c r="AR255" s="57"/>
      <c r="AS255" s="57"/>
    </row>
    <row r="256" spans="1:45" ht="21" x14ac:dyDescent="0.35">
      <c r="A256" s="28"/>
      <c r="B256" s="67"/>
      <c r="C256" s="28"/>
      <c r="D256" s="19"/>
      <c r="E256" s="28"/>
      <c r="F256" s="28"/>
      <c r="G256" s="19"/>
      <c r="H256" s="28"/>
      <c r="I256" s="19"/>
      <c r="J256" s="19"/>
      <c r="K256" s="19"/>
      <c r="L256" s="19"/>
      <c r="M256" s="19"/>
      <c r="N256" s="19"/>
      <c r="O256" s="19"/>
      <c r="P256" s="28"/>
      <c r="Q256" s="19"/>
      <c r="R256" s="19"/>
      <c r="S256" s="19"/>
      <c r="T256" s="36"/>
      <c r="U256" s="43"/>
      <c r="V256" s="19"/>
      <c r="W256" s="28"/>
      <c r="X256" s="28"/>
      <c r="Y256" s="19"/>
      <c r="Z256" s="19"/>
      <c r="AA256" s="19"/>
      <c r="AB256" s="29"/>
      <c r="AC256" s="29"/>
      <c r="AD256" s="29"/>
      <c r="AE256" s="28"/>
      <c r="AF256" s="28"/>
      <c r="AG256" s="28"/>
      <c r="AH256" s="29"/>
      <c r="AI256" s="29"/>
      <c r="AJ256" s="30"/>
      <c r="AK256" s="57"/>
      <c r="AL256" s="57"/>
      <c r="AM256" s="57"/>
      <c r="AN256" s="57"/>
      <c r="AO256" s="57"/>
      <c r="AP256" s="57"/>
      <c r="AQ256" s="57"/>
      <c r="AR256" s="57"/>
      <c r="AS256" s="57"/>
    </row>
    <row r="257" spans="1:45" ht="21" x14ac:dyDescent="0.35">
      <c r="A257" s="28"/>
      <c r="B257" s="67"/>
      <c r="C257" s="28"/>
      <c r="D257" s="19"/>
      <c r="E257" s="28"/>
      <c r="F257" s="28"/>
      <c r="G257" s="19"/>
      <c r="H257" s="28"/>
      <c r="I257" s="19"/>
      <c r="J257" s="19"/>
      <c r="K257" s="19"/>
      <c r="L257" s="19"/>
      <c r="M257" s="19"/>
      <c r="N257" s="19"/>
      <c r="O257" s="19"/>
      <c r="P257" s="28"/>
      <c r="Q257" s="19"/>
      <c r="R257" s="19"/>
      <c r="S257" s="19"/>
      <c r="T257" s="36"/>
      <c r="U257" s="43"/>
      <c r="V257" s="19"/>
      <c r="W257" s="28"/>
      <c r="X257" s="28"/>
      <c r="Y257" s="19"/>
      <c r="Z257" s="19"/>
      <c r="AA257" s="19"/>
      <c r="AB257" s="29"/>
      <c r="AC257" s="29"/>
      <c r="AD257" s="29"/>
      <c r="AE257" s="28"/>
      <c r="AF257" s="28"/>
      <c r="AG257" s="28"/>
      <c r="AH257" s="29"/>
      <c r="AI257" s="29"/>
      <c r="AJ257" s="30"/>
      <c r="AK257" s="57"/>
      <c r="AL257" s="57"/>
      <c r="AM257" s="57"/>
      <c r="AN257" s="57"/>
      <c r="AO257" s="57"/>
      <c r="AP257" s="57"/>
      <c r="AQ257" s="57"/>
      <c r="AR257" s="57"/>
      <c r="AS257" s="57"/>
    </row>
    <row r="258" spans="1:45" ht="21" x14ac:dyDescent="0.35">
      <c r="A258" s="28"/>
      <c r="B258" s="67"/>
      <c r="C258" s="28"/>
      <c r="D258" s="19"/>
      <c r="E258" s="28"/>
      <c r="F258" s="28"/>
      <c r="G258" s="19"/>
      <c r="H258" s="28"/>
      <c r="I258" s="19"/>
      <c r="J258" s="19"/>
      <c r="K258" s="19"/>
      <c r="L258" s="19"/>
      <c r="M258" s="19"/>
      <c r="N258" s="19"/>
      <c r="O258" s="19"/>
      <c r="P258" s="28"/>
      <c r="Q258" s="19"/>
      <c r="R258" s="19"/>
      <c r="S258" s="19"/>
      <c r="T258" s="36"/>
      <c r="U258" s="43"/>
      <c r="V258" s="19"/>
      <c r="W258" s="28"/>
      <c r="X258" s="28"/>
      <c r="Y258" s="19"/>
      <c r="Z258" s="19"/>
      <c r="AA258" s="19"/>
      <c r="AB258" s="29"/>
      <c r="AC258" s="29"/>
      <c r="AD258" s="29"/>
      <c r="AE258" s="28"/>
      <c r="AF258" s="28"/>
      <c r="AG258" s="28"/>
      <c r="AH258" s="29"/>
      <c r="AI258" s="29"/>
      <c r="AJ258" s="30"/>
      <c r="AK258" s="57"/>
      <c r="AL258" s="57"/>
      <c r="AM258" s="57"/>
      <c r="AN258" s="57"/>
      <c r="AO258" s="57"/>
      <c r="AP258" s="57"/>
      <c r="AQ258" s="57"/>
      <c r="AR258" s="57"/>
      <c r="AS258" s="57"/>
    </row>
    <row r="259" spans="1:45" ht="21" x14ac:dyDescent="0.35">
      <c r="A259" s="28"/>
      <c r="B259" s="67"/>
      <c r="C259" s="28"/>
      <c r="D259" s="19"/>
      <c r="E259" s="28"/>
      <c r="F259" s="28"/>
      <c r="G259" s="19"/>
      <c r="H259" s="28"/>
      <c r="I259" s="19"/>
      <c r="J259" s="19"/>
      <c r="K259" s="19"/>
      <c r="L259" s="19"/>
      <c r="M259" s="19"/>
      <c r="N259" s="19"/>
      <c r="O259" s="19"/>
      <c r="P259" s="28"/>
      <c r="Q259" s="19"/>
      <c r="R259" s="19"/>
      <c r="S259" s="19"/>
      <c r="T259" s="36"/>
      <c r="U259" s="43"/>
      <c r="V259" s="19"/>
      <c r="W259" s="28"/>
      <c r="X259" s="28"/>
      <c r="Y259" s="19"/>
      <c r="Z259" s="19"/>
      <c r="AA259" s="19"/>
      <c r="AB259" s="29"/>
      <c r="AC259" s="29"/>
      <c r="AD259" s="29"/>
      <c r="AE259" s="28"/>
      <c r="AF259" s="28"/>
      <c r="AG259" s="28"/>
      <c r="AH259" s="29"/>
      <c r="AI259" s="29"/>
      <c r="AJ259" s="30"/>
      <c r="AK259" s="57"/>
      <c r="AL259" s="57"/>
      <c r="AM259" s="57"/>
      <c r="AN259" s="57"/>
      <c r="AO259" s="57"/>
      <c r="AP259" s="57"/>
      <c r="AQ259" s="57"/>
      <c r="AR259" s="57"/>
      <c r="AS259" s="57"/>
    </row>
    <row r="260" spans="1:45" ht="21" x14ac:dyDescent="0.35">
      <c r="A260" s="28"/>
      <c r="B260" s="67"/>
      <c r="C260" s="28"/>
      <c r="D260" s="19"/>
      <c r="E260" s="28"/>
      <c r="F260" s="28"/>
      <c r="G260" s="19"/>
      <c r="H260" s="28"/>
      <c r="I260" s="19"/>
      <c r="J260" s="19"/>
      <c r="K260" s="19"/>
      <c r="L260" s="19"/>
      <c r="M260" s="19"/>
      <c r="N260" s="19"/>
      <c r="O260" s="19"/>
      <c r="P260" s="28"/>
      <c r="Q260" s="19"/>
      <c r="R260" s="19"/>
      <c r="S260" s="19"/>
      <c r="T260" s="36"/>
      <c r="U260" s="43"/>
      <c r="V260" s="19"/>
      <c r="W260" s="28"/>
      <c r="X260" s="28"/>
      <c r="Y260" s="19"/>
      <c r="Z260" s="19"/>
      <c r="AA260" s="19"/>
      <c r="AB260" s="29"/>
      <c r="AC260" s="29"/>
      <c r="AD260" s="29"/>
      <c r="AE260" s="28"/>
      <c r="AF260" s="28"/>
      <c r="AG260" s="28"/>
      <c r="AH260" s="29"/>
      <c r="AI260" s="29"/>
      <c r="AJ260" s="30"/>
      <c r="AK260" s="57"/>
      <c r="AL260" s="57"/>
      <c r="AM260" s="57"/>
      <c r="AN260" s="57"/>
      <c r="AO260" s="57"/>
      <c r="AP260" s="57"/>
      <c r="AQ260" s="57"/>
      <c r="AR260" s="57"/>
      <c r="AS260" s="57"/>
    </row>
    <row r="261" spans="1:45" ht="21" x14ac:dyDescent="0.35">
      <c r="A261" s="28"/>
      <c r="B261" s="67"/>
      <c r="C261" s="28"/>
      <c r="D261" s="19"/>
      <c r="E261" s="28"/>
      <c r="F261" s="28"/>
      <c r="G261" s="19"/>
      <c r="H261" s="28"/>
      <c r="I261" s="19"/>
      <c r="J261" s="19"/>
      <c r="K261" s="19"/>
      <c r="L261" s="19"/>
      <c r="M261" s="19"/>
      <c r="N261" s="19"/>
      <c r="O261" s="19"/>
      <c r="P261" s="28"/>
      <c r="Q261" s="19"/>
      <c r="R261" s="19"/>
      <c r="S261" s="19"/>
      <c r="T261" s="36"/>
      <c r="U261" s="43"/>
      <c r="V261" s="19"/>
      <c r="W261" s="28"/>
      <c r="X261" s="28"/>
      <c r="Y261" s="19"/>
      <c r="Z261" s="19"/>
      <c r="AA261" s="19"/>
      <c r="AB261" s="29"/>
      <c r="AC261" s="29"/>
      <c r="AD261" s="29"/>
      <c r="AE261" s="28"/>
      <c r="AF261" s="28"/>
      <c r="AG261" s="28"/>
      <c r="AH261" s="29"/>
      <c r="AI261" s="29"/>
      <c r="AJ261" s="30"/>
      <c r="AK261" s="57"/>
      <c r="AL261" s="57"/>
      <c r="AM261" s="57"/>
      <c r="AN261" s="57"/>
      <c r="AO261" s="57"/>
      <c r="AP261" s="57"/>
      <c r="AQ261" s="57"/>
      <c r="AR261" s="57"/>
      <c r="AS261" s="57"/>
    </row>
    <row r="262" spans="1:45" ht="21" x14ac:dyDescent="0.35">
      <c r="A262" s="28"/>
      <c r="B262" s="67"/>
      <c r="C262" s="28"/>
      <c r="D262" s="19"/>
      <c r="E262" s="28"/>
      <c r="F262" s="28"/>
      <c r="G262" s="19"/>
      <c r="H262" s="28"/>
      <c r="I262" s="19"/>
      <c r="J262" s="19"/>
      <c r="K262" s="19"/>
      <c r="L262" s="19"/>
      <c r="M262" s="19"/>
      <c r="N262" s="19"/>
      <c r="O262" s="19"/>
      <c r="P262" s="28"/>
      <c r="Q262" s="19"/>
      <c r="R262" s="19"/>
      <c r="S262" s="19"/>
      <c r="T262" s="36"/>
      <c r="U262" s="43"/>
      <c r="V262" s="19"/>
      <c r="W262" s="28"/>
      <c r="X262" s="28"/>
      <c r="Y262" s="19"/>
      <c r="Z262" s="19"/>
      <c r="AA262" s="19"/>
      <c r="AB262" s="29"/>
      <c r="AC262" s="29"/>
      <c r="AD262" s="29"/>
      <c r="AE262" s="28"/>
      <c r="AF262" s="28"/>
      <c r="AG262" s="28"/>
      <c r="AH262" s="29"/>
      <c r="AI262" s="29"/>
      <c r="AJ262" s="30"/>
      <c r="AK262" s="57"/>
      <c r="AL262" s="57"/>
      <c r="AM262" s="57"/>
      <c r="AN262" s="57"/>
      <c r="AO262" s="57"/>
      <c r="AP262" s="57"/>
      <c r="AQ262" s="57"/>
      <c r="AR262" s="57"/>
      <c r="AS262" s="57"/>
    </row>
    <row r="263" spans="1:45" ht="21" x14ac:dyDescent="0.35">
      <c r="A263" s="28"/>
      <c r="B263" s="67"/>
      <c r="C263" s="28"/>
      <c r="D263" s="19"/>
      <c r="E263" s="28"/>
      <c r="F263" s="28"/>
      <c r="G263" s="19"/>
      <c r="H263" s="28"/>
      <c r="I263" s="19"/>
      <c r="J263" s="19"/>
      <c r="K263" s="19"/>
      <c r="L263" s="19"/>
      <c r="M263" s="19"/>
      <c r="N263" s="19"/>
      <c r="O263" s="19"/>
      <c r="P263" s="28"/>
      <c r="Q263" s="19"/>
      <c r="R263" s="19"/>
      <c r="S263" s="19"/>
      <c r="T263" s="36"/>
      <c r="U263" s="43"/>
      <c r="V263" s="19"/>
      <c r="W263" s="28"/>
      <c r="X263" s="28"/>
      <c r="Y263" s="19"/>
      <c r="Z263" s="19"/>
      <c r="AA263" s="19"/>
      <c r="AB263" s="29"/>
      <c r="AC263" s="29"/>
      <c r="AD263" s="29"/>
      <c r="AE263" s="28"/>
      <c r="AF263" s="28"/>
      <c r="AG263" s="28"/>
      <c r="AH263" s="29"/>
      <c r="AI263" s="29"/>
      <c r="AJ263" s="30"/>
      <c r="AK263" s="57"/>
      <c r="AL263" s="57"/>
      <c r="AM263" s="57"/>
      <c r="AN263" s="57"/>
      <c r="AO263" s="57"/>
      <c r="AP263" s="57"/>
      <c r="AQ263" s="57"/>
      <c r="AR263" s="57"/>
      <c r="AS263" s="57"/>
    </row>
    <row r="264" spans="1:45" ht="21" x14ac:dyDescent="0.35">
      <c r="A264" s="28"/>
      <c r="B264" s="67"/>
      <c r="C264" s="28"/>
      <c r="D264" s="19"/>
      <c r="E264" s="28"/>
      <c r="F264" s="28"/>
      <c r="G264" s="19"/>
      <c r="H264" s="28"/>
      <c r="I264" s="19"/>
      <c r="J264" s="19"/>
      <c r="K264" s="19"/>
      <c r="L264" s="19"/>
      <c r="M264" s="19"/>
      <c r="N264" s="19"/>
      <c r="O264" s="19"/>
      <c r="P264" s="28"/>
      <c r="Q264" s="19"/>
      <c r="R264" s="19"/>
      <c r="S264" s="19"/>
      <c r="T264" s="36"/>
      <c r="U264" s="43"/>
      <c r="V264" s="19"/>
      <c r="W264" s="28"/>
      <c r="X264" s="28"/>
      <c r="Y264" s="19"/>
      <c r="Z264" s="19"/>
      <c r="AA264" s="19"/>
      <c r="AB264" s="29"/>
      <c r="AC264" s="29"/>
      <c r="AD264" s="29"/>
      <c r="AE264" s="28"/>
      <c r="AF264" s="28"/>
      <c r="AG264" s="28"/>
      <c r="AH264" s="29"/>
      <c r="AI264" s="29"/>
      <c r="AJ264" s="30"/>
      <c r="AK264" s="57"/>
      <c r="AL264" s="57"/>
      <c r="AM264" s="57"/>
      <c r="AN264" s="57"/>
      <c r="AO264" s="57"/>
      <c r="AP264" s="57"/>
      <c r="AQ264" s="57"/>
      <c r="AR264" s="57"/>
      <c r="AS264" s="57"/>
    </row>
    <row r="265" spans="1:45" ht="21" x14ac:dyDescent="0.35">
      <c r="A265" s="28"/>
      <c r="B265" s="67"/>
      <c r="C265" s="28"/>
      <c r="D265" s="19"/>
      <c r="E265" s="28"/>
      <c r="F265" s="28"/>
      <c r="G265" s="19"/>
      <c r="H265" s="28"/>
      <c r="I265" s="19"/>
      <c r="J265" s="19"/>
      <c r="K265" s="19"/>
      <c r="L265" s="19"/>
      <c r="M265" s="19"/>
      <c r="N265" s="19"/>
      <c r="O265" s="19"/>
      <c r="P265" s="28"/>
      <c r="Q265" s="19"/>
      <c r="R265" s="19"/>
      <c r="S265" s="19"/>
      <c r="T265" s="36"/>
      <c r="U265" s="43"/>
      <c r="V265" s="19"/>
      <c r="W265" s="28"/>
      <c r="X265" s="28"/>
      <c r="Y265" s="19"/>
      <c r="Z265" s="19"/>
      <c r="AA265" s="19"/>
      <c r="AB265" s="29"/>
      <c r="AC265" s="29"/>
      <c r="AD265" s="29"/>
      <c r="AE265" s="28"/>
      <c r="AF265" s="28"/>
      <c r="AG265" s="28"/>
      <c r="AH265" s="29"/>
      <c r="AI265" s="29"/>
      <c r="AJ265" s="30"/>
      <c r="AK265" s="57"/>
      <c r="AL265" s="57"/>
      <c r="AM265" s="57"/>
      <c r="AN265" s="57"/>
      <c r="AO265" s="57"/>
      <c r="AP265" s="57"/>
      <c r="AQ265" s="57"/>
      <c r="AR265" s="57"/>
      <c r="AS265" s="57"/>
    </row>
    <row r="266" spans="1:45" ht="21" x14ac:dyDescent="0.35">
      <c r="A266" s="28"/>
      <c r="B266" s="67"/>
      <c r="C266" s="28"/>
      <c r="D266" s="19"/>
      <c r="E266" s="28"/>
      <c r="F266" s="28"/>
      <c r="G266" s="19"/>
      <c r="H266" s="28"/>
      <c r="I266" s="19"/>
      <c r="J266" s="19"/>
      <c r="K266" s="19"/>
      <c r="L266" s="19"/>
      <c r="M266" s="19"/>
      <c r="N266" s="19"/>
      <c r="O266" s="19"/>
      <c r="P266" s="28"/>
      <c r="Q266" s="19"/>
      <c r="R266" s="19"/>
      <c r="S266" s="19"/>
      <c r="T266" s="36"/>
      <c r="U266" s="43"/>
      <c r="V266" s="19"/>
      <c r="W266" s="28"/>
      <c r="X266" s="28"/>
      <c r="Y266" s="19"/>
      <c r="Z266" s="19"/>
      <c r="AA266" s="19"/>
      <c r="AB266" s="29"/>
      <c r="AC266" s="29"/>
      <c r="AD266" s="29"/>
      <c r="AE266" s="28"/>
      <c r="AF266" s="28"/>
      <c r="AG266" s="28"/>
      <c r="AH266" s="29"/>
      <c r="AI266" s="29"/>
      <c r="AJ266" s="30"/>
      <c r="AK266" s="57"/>
      <c r="AL266" s="57"/>
      <c r="AM266" s="57"/>
      <c r="AN266" s="57"/>
      <c r="AO266" s="57"/>
      <c r="AP266" s="57"/>
      <c r="AQ266" s="57"/>
      <c r="AR266" s="57"/>
      <c r="AS266" s="57"/>
    </row>
    <row r="267" spans="1:45" ht="21" x14ac:dyDescent="0.35">
      <c r="A267" s="28"/>
      <c r="B267" s="67"/>
      <c r="C267" s="28"/>
      <c r="D267" s="19"/>
      <c r="E267" s="28"/>
      <c r="F267" s="28"/>
      <c r="G267" s="19"/>
      <c r="H267" s="28"/>
      <c r="I267" s="19"/>
      <c r="J267" s="19"/>
      <c r="K267" s="19"/>
      <c r="L267" s="19"/>
      <c r="M267" s="19"/>
      <c r="N267" s="19"/>
      <c r="O267" s="19"/>
      <c r="P267" s="28"/>
      <c r="Q267" s="19"/>
      <c r="R267" s="19"/>
      <c r="S267" s="19"/>
      <c r="T267" s="36"/>
      <c r="U267" s="43"/>
      <c r="V267" s="19"/>
      <c r="W267" s="28"/>
      <c r="X267" s="28"/>
      <c r="Y267" s="19"/>
      <c r="Z267" s="19"/>
      <c r="AA267" s="19"/>
      <c r="AB267" s="29"/>
      <c r="AC267" s="29"/>
      <c r="AD267" s="29"/>
      <c r="AE267" s="28"/>
      <c r="AF267" s="28"/>
      <c r="AG267" s="28"/>
      <c r="AH267" s="29"/>
      <c r="AI267" s="29"/>
      <c r="AJ267" s="30"/>
      <c r="AK267" s="57"/>
      <c r="AL267" s="57"/>
      <c r="AM267" s="57"/>
      <c r="AN267" s="57"/>
      <c r="AO267" s="57"/>
      <c r="AP267" s="57"/>
      <c r="AQ267" s="57"/>
      <c r="AR267" s="57"/>
      <c r="AS267" s="57"/>
    </row>
    <row r="268" spans="1:45" ht="21" x14ac:dyDescent="0.35">
      <c r="A268" s="28"/>
      <c r="B268" s="67"/>
      <c r="C268" s="28"/>
      <c r="D268" s="19"/>
      <c r="E268" s="28"/>
      <c r="F268" s="28"/>
      <c r="G268" s="19"/>
      <c r="H268" s="28"/>
      <c r="I268" s="19"/>
      <c r="J268" s="19"/>
      <c r="K268" s="19"/>
      <c r="L268" s="19"/>
      <c r="M268" s="19"/>
      <c r="N268" s="19"/>
      <c r="O268" s="19"/>
      <c r="P268" s="28"/>
      <c r="Q268" s="19"/>
      <c r="R268" s="19"/>
      <c r="S268" s="19"/>
      <c r="T268" s="36"/>
      <c r="U268" s="43"/>
      <c r="V268" s="19"/>
      <c r="W268" s="28"/>
      <c r="X268" s="28"/>
      <c r="Y268" s="19"/>
      <c r="Z268" s="19"/>
      <c r="AA268" s="19"/>
      <c r="AB268" s="29"/>
      <c r="AC268" s="29"/>
      <c r="AD268" s="29"/>
      <c r="AE268" s="28"/>
      <c r="AF268" s="28"/>
      <c r="AG268" s="28"/>
      <c r="AH268" s="29"/>
      <c r="AI268" s="29"/>
      <c r="AJ268" s="30"/>
      <c r="AK268" s="57"/>
      <c r="AL268" s="57"/>
      <c r="AM268" s="57"/>
      <c r="AN268" s="57"/>
      <c r="AO268" s="57"/>
      <c r="AP268" s="57"/>
      <c r="AQ268" s="57"/>
      <c r="AR268" s="57"/>
      <c r="AS268" s="57"/>
    </row>
    <row r="269" spans="1:45" ht="21" x14ac:dyDescent="0.35">
      <c r="A269" s="28"/>
      <c r="B269" s="67"/>
      <c r="C269" s="28"/>
      <c r="D269" s="19"/>
      <c r="E269" s="28"/>
      <c r="F269" s="28"/>
      <c r="G269" s="19"/>
      <c r="H269" s="28"/>
      <c r="I269" s="19"/>
      <c r="J269" s="19"/>
      <c r="K269" s="19"/>
      <c r="L269" s="19"/>
      <c r="M269" s="19"/>
      <c r="N269" s="19"/>
      <c r="O269" s="19"/>
      <c r="P269" s="28"/>
      <c r="Q269" s="19"/>
      <c r="R269" s="19"/>
      <c r="S269" s="19"/>
      <c r="T269" s="36"/>
      <c r="U269" s="43"/>
      <c r="V269" s="19"/>
      <c r="W269" s="28"/>
      <c r="X269" s="28"/>
      <c r="Y269" s="19"/>
      <c r="Z269" s="19"/>
      <c r="AA269" s="19"/>
      <c r="AB269" s="29"/>
      <c r="AC269" s="29"/>
      <c r="AD269" s="29"/>
      <c r="AE269" s="28"/>
      <c r="AF269" s="28"/>
      <c r="AG269" s="28"/>
      <c r="AH269" s="29"/>
      <c r="AI269" s="29"/>
      <c r="AJ269" s="30"/>
      <c r="AK269" s="57"/>
      <c r="AL269" s="57"/>
      <c r="AM269" s="57"/>
      <c r="AN269" s="57"/>
      <c r="AO269" s="57"/>
      <c r="AP269" s="57"/>
      <c r="AQ269" s="57"/>
      <c r="AR269" s="57"/>
      <c r="AS269" s="57"/>
    </row>
    <row r="270" spans="1:45" ht="21" x14ac:dyDescent="0.35">
      <c r="A270" s="28"/>
      <c r="B270" s="67"/>
      <c r="C270" s="28"/>
      <c r="D270" s="19"/>
      <c r="E270" s="28"/>
      <c r="F270" s="28"/>
      <c r="G270" s="19"/>
      <c r="H270" s="28"/>
      <c r="I270" s="19"/>
      <c r="J270" s="19"/>
      <c r="K270" s="19"/>
      <c r="L270" s="19"/>
      <c r="M270" s="19"/>
      <c r="N270" s="19"/>
      <c r="O270" s="19"/>
      <c r="P270" s="28"/>
      <c r="Q270" s="19"/>
      <c r="R270" s="19"/>
      <c r="S270" s="19"/>
      <c r="T270" s="36"/>
      <c r="U270" s="43"/>
      <c r="V270" s="19"/>
      <c r="W270" s="28"/>
      <c r="X270" s="28"/>
      <c r="Y270" s="19"/>
      <c r="Z270" s="19"/>
      <c r="AA270" s="19"/>
      <c r="AB270" s="29"/>
      <c r="AC270" s="29"/>
      <c r="AD270" s="29"/>
      <c r="AE270" s="28"/>
      <c r="AF270" s="28"/>
      <c r="AG270" s="28"/>
      <c r="AH270" s="29"/>
      <c r="AI270" s="29"/>
      <c r="AJ270" s="30"/>
      <c r="AK270" s="57"/>
      <c r="AL270" s="57"/>
      <c r="AM270" s="57"/>
      <c r="AN270" s="57"/>
      <c r="AO270" s="57"/>
      <c r="AP270" s="57"/>
      <c r="AQ270" s="57"/>
      <c r="AR270" s="57"/>
      <c r="AS270" s="57"/>
    </row>
    <row r="271" spans="1:45" ht="21" x14ac:dyDescent="0.35">
      <c r="A271" s="28"/>
      <c r="B271" s="67"/>
      <c r="C271" s="28"/>
      <c r="D271" s="19"/>
      <c r="E271" s="28"/>
      <c r="F271" s="28"/>
      <c r="G271" s="19"/>
      <c r="H271" s="28"/>
      <c r="I271" s="19"/>
      <c r="J271" s="19"/>
      <c r="K271" s="19"/>
      <c r="L271" s="19"/>
      <c r="M271" s="19"/>
      <c r="N271" s="19"/>
      <c r="O271" s="19"/>
      <c r="P271" s="28"/>
      <c r="Q271" s="19"/>
      <c r="R271" s="19"/>
      <c r="S271" s="19"/>
      <c r="T271" s="36"/>
      <c r="U271" s="43"/>
      <c r="V271" s="19"/>
      <c r="W271" s="28"/>
      <c r="X271" s="28"/>
      <c r="Y271" s="19"/>
      <c r="Z271" s="19"/>
      <c r="AA271" s="19"/>
      <c r="AB271" s="29"/>
      <c r="AC271" s="29"/>
      <c r="AD271" s="29"/>
      <c r="AE271" s="28"/>
      <c r="AF271" s="28"/>
      <c r="AG271" s="28"/>
      <c r="AH271" s="29"/>
      <c r="AI271" s="29"/>
      <c r="AJ271" s="30"/>
      <c r="AK271" s="57"/>
      <c r="AL271" s="57"/>
      <c r="AM271" s="57"/>
      <c r="AN271" s="57"/>
      <c r="AO271" s="57"/>
      <c r="AP271" s="57"/>
      <c r="AQ271" s="57"/>
      <c r="AR271" s="57"/>
      <c r="AS271" s="57"/>
    </row>
    <row r="272" spans="1:45" ht="21" x14ac:dyDescent="0.35">
      <c r="A272" s="28"/>
      <c r="B272" s="67"/>
      <c r="C272" s="28"/>
      <c r="D272" s="19"/>
      <c r="E272" s="28"/>
      <c r="F272" s="28"/>
      <c r="G272" s="19"/>
      <c r="H272" s="28"/>
      <c r="I272" s="19"/>
      <c r="J272" s="19"/>
      <c r="K272" s="19"/>
      <c r="L272" s="19"/>
      <c r="M272" s="19"/>
      <c r="N272" s="19"/>
      <c r="O272" s="19"/>
      <c r="P272" s="28"/>
      <c r="Q272" s="19"/>
      <c r="R272" s="19"/>
      <c r="S272" s="19"/>
      <c r="T272" s="36"/>
      <c r="U272" s="43"/>
      <c r="V272" s="19"/>
      <c r="W272" s="28"/>
      <c r="X272" s="28"/>
      <c r="Y272" s="19"/>
      <c r="Z272" s="19"/>
      <c r="AA272" s="19"/>
      <c r="AB272" s="29"/>
      <c r="AC272" s="29"/>
      <c r="AD272" s="29"/>
      <c r="AE272" s="28"/>
      <c r="AF272" s="28"/>
      <c r="AG272" s="28"/>
      <c r="AH272" s="29"/>
      <c r="AI272" s="29"/>
      <c r="AJ272" s="30"/>
      <c r="AK272" s="57"/>
      <c r="AL272" s="57"/>
      <c r="AM272" s="57"/>
      <c r="AN272" s="57"/>
      <c r="AO272" s="57"/>
      <c r="AP272" s="57"/>
      <c r="AQ272" s="57"/>
      <c r="AR272" s="57"/>
      <c r="AS272" s="57"/>
    </row>
    <row r="273" spans="1:45" ht="21" x14ac:dyDescent="0.35">
      <c r="A273" s="28"/>
      <c r="B273" s="67"/>
      <c r="C273" s="28"/>
      <c r="D273" s="19"/>
      <c r="E273" s="28"/>
      <c r="F273" s="28"/>
      <c r="G273" s="19"/>
      <c r="H273" s="28"/>
      <c r="I273" s="19"/>
      <c r="J273" s="19"/>
      <c r="K273" s="19"/>
      <c r="L273" s="19"/>
      <c r="M273" s="19"/>
      <c r="N273" s="19"/>
      <c r="O273" s="19"/>
      <c r="P273" s="28"/>
      <c r="Q273" s="19"/>
      <c r="R273" s="19"/>
      <c r="S273" s="19"/>
      <c r="T273" s="36"/>
      <c r="U273" s="43"/>
      <c r="V273" s="19"/>
      <c r="W273" s="28"/>
      <c r="X273" s="28"/>
      <c r="Y273" s="19"/>
      <c r="Z273" s="19"/>
      <c r="AA273" s="19"/>
      <c r="AB273" s="29"/>
      <c r="AC273" s="29"/>
      <c r="AD273" s="29"/>
      <c r="AE273" s="28"/>
      <c r="AF273" s="28"/>
      <c r="AG273" s="28"/>
      <c r="AH273" s="29"/>
      <c r="AI273" s="29"/>
      <c r="AJ273" s="30"/>
      <c r="AK273" s="57"/>
      <c r="AL273" s="57"/>
      <c r="AM273" s="57"/>
      <c r="AN273" s="57"/>
      <c r="AO273" s="57"/>
      <c r="AP273" s="57"/>
      <c r="AQ273" s="57"/>
      <c r="AR273" s="57"/>
      <c r="AS273" s="57"/>
    </row>
    <row r="274" spans="1:45" ht="21" x14ac:dyDescent="0.35">
      <c r="A274" s="28"/>
      <c r="B274" s="67"/>
      <c r="C274" s="28"/>
      <c r="D274" s="19"/>
      <c r="E274" s="28"/>
      <c r="F274" s="28"/>
      <c r="G274" s="19"/>
      <c r="H274" s="28"/>
      <c r="I274" s="19"/>
      <c r="J274" s="19"/>
      <c r="K274" s="19"/>
      <c r="L274" s="19"/>
      <c r="M274" s="19"/>
      <c r="N274" s="19"/>
      <c r="O274" s="19"/>
      <c r="P274" s="28"/>
      <c r="Q274" s="19"/>
      <c r="R274" s="19"/>
      <c r="S274" s="19"/>
      <c r="T274" s="36"/>
      <c r="U274" s="43"/>
      <c r="V274" s="19"/>
      <c r="W274" s="28"/>
      <c r="X274" s="28"/>
      <c r="Y274" s="19"/>
      <c r="Z274" s="19"/>
      <c r="AA274" s="19"/>
      <c r="AB274" s="29"/>
      <c r="AC274" s="29"/>
      <c r="AD274" s="29"/>
      <c r="AE274" s="28"/>
      <c r="AF274" s="28"/>
      <c r="AG274" s="28"/>
      <c r="AH274" s="29"/>
      <c r="AI274" s="29"/>
      <c r="AJ274" s="30"/>
      <c r="AK274" s="57"/>
      <c r="AL274" s="57"/>
      <c r="AM274" s="57"/>
      <c r="AN274" s="57"/>
      <c r="AO274" s="57"/>
      <c r="AP274" s="57"/>
      <c r="AQ274" s="57"/>
      <c r="AR274" s="57"/>
      <c r="AS274" s="57"/>
    </row>
    <row r="275" spans="1:45" ht="21" x14ac:dyDescent="0.35">
      <c r="A275" s="28"/>
      <c r="B275" s="67"/>
      <c r="C275" s="28"/>
      <c r="D275" s="19"/>
      <c r="E275" s="28"/>
      <c r="F275" s="28"/>
      <c r="G275" s="19"/>
      <c r="H275" s="28"/>
      <c r="I275" s="19"/>
      <c r="J275" s="19"/>
      <c r="K275" s="19"/>
      <c r="L275" s="19"/>
      <c r="M275" s="19"/>
      <c r="N275" s="19"/>
      <c r="O275" s="19"/>
      <c r="P275" s="28"/>
      <c r="Q275" s="19"/>
      <c r="R275" s="19"/>
      <c r="S275" s="19"/>
      <c r="T275" s="36"/>
      <c r="U275" s="43"/>
      <c r="V275" s="19"/>
      <c r="W275" s="28"/>
      <c r="X275" s="28"/>
      <c r="Y275" s="19"/>
      <c r="Z275" s="19"/>
      <c r="AA275" s="19"/>
      <c r="AB275" s="29"/>
      <c r="AC275" s="29"/>
      <c r="AD275" s="29"/>
      <c r="AE275" s="28"/>
      <c r="AF275" s="28"/>
      <c r="AG275" s="28"/>
      <c r="AH275" s="29"/>
      <c r="AI275" s="29"/>
      <c r="AJ275" s="30"/>
      <c r="AK275" s="57"/>
      <c r="AL275" s="57"/>
      <c r="AM275" s="57"/>
      <c r="AN275" s="57"/>
      <c r="AO275" s="57"/>
      <c r="AP275" s="57"/>
      <c r="AQ275" s="57"/>
      <c r="AR275" s="57"/>
      <c r="AS275" s="57"/>
    </row>
    <row r="276" spans="1:45" ht="21" x14ac:dyDescent="0.35">
      <c r="A276" s="28"/>
      <c r="B276" s="67"/>
      <c r="C276" s="28"/>
      <c r="D276" s="19"/>
      <c r="E276" s="28"/>
      <c r="F276" s="28"/>
      <c r="G276" s="19"/>
      <c r="H276" s="28"/>
      <c r="I276" s="19"/>
      <c r="J276" s="19"/>
      <c r="K276" s="19"/>
      <c r="L276" s="19"/>
      <c r="M276" s="19"/>
      <c r="N276" s="19"/>
      <c r="O276" s="19"/>
      <c r="P276" s="28"/>
      <c r="Q276" s="19"/>
      <c r="R276" s="19"/>
      <c r="S276" s="19"/>
      <c r="T276" s="36"/>
      <c r="U276" s="43"/>
      <c r="V276" s="19"/>
      <c r="W276" s="28"/>
      <c r="X276" s="28"/>
      <c r="Y276" s="19"/>
      <c r="Z276" s="19"/>
      <c r="AA276" s="19"/>
      <c r="AB276" s="29"/>
      <c r="AC276" s="29"/>
      <c r="AD276" s="29"/>
      <c r="AE276" s="28"/>
      <c r="AF276" s="28"/>
      <c r="AG276" s="28"/>
      <c r="AH276" s="29"/>
      <c r="AI276" s="29"/>
      <c r="AJ276" s="30"/>
      <c r="AK276" s="57"/>
      <c r="AL276" s="57"/>
      <c r="AM276" s="57"/>
      <c r="AN276" s="57"/>
      <c r="AO276" s="57"/>
      <c r="AP276" s="57"/>
      <c r="AQ276" s="57"/>
      <c r="AR276" s="57"/>
      <c r="AS276" s="57"/>
    </row>
    <row r="277" spans="1:45" ht="21" x14ac:dyDescent="0.35">
      <c r="A277" s="28"/>
      <c r="B277" s="67"/>
      <c r="C277" s="28"/>
      <c r="D277" s="19"/>
      <c r="E277" s="28"/>
      <c r="F277" s="28"/>
      <c r="G277" s="19"/>
      <c r="H277" s="28"/>
      <c r="I277" s="19"/>
      <c r="J277" s="19"/>
      <c r="K277" s="19"/>
      <c r="L277" s="19"/>
      <c r="M277" s="19"/>
      <c r="N277" s="19"/>
      <c r="O277" s="19"/>
      <c r="P277" s="28"/>
      <c r="Q277" s="19"/>
      <c r="R277" s="19"/>
      <c r="S277" s="19"/>
      <c r="T277" s="36"/>
      <c r="U277" s="43"/>
      <c r="V277" s="19"/>
      <c r="W277" s="28"/>
      <c r="X277" s="28"/>
      <c r="Y277" s="19"/>
      <c r="Z277" s="19"/>
      <c r="AA277" s="19"/>
      <c r="AB277" s="29"/>
      <c r="AC277" s="29"/>
      <c r="AD277" s="29"/>
      <c r="AE277" s="28"/>
      <c r="AF277" s="28"/>
      <c r="AG277" s="28"/>
      <c r="AH277" s="29"/>
      <c r="AI277" s="29"/>
      <c r="AJ277" s="30"/>
      <c r="AK277" s="57"/>
      <c r="AL277" s="57"/>
      <c r="AM277" s="57"/>
      <c r="AN277" s="57"/>
      <c r="AO277" s="57"/>
      <c r="AP277" s="57"/>
      <c r="AQ277" s="57"/>
      <c r="AR277" s="57"/>
      <c r="AS277" s="57"/>
    </row>
    <row r="278" spans="1:45" ht="21" x14ac:dyDescent="0.35">
      <c r="A278" s="28"/>
      <c r="B278" s="67"/>
      <c r="C278" s="28"/>
      <c r="D278" s="19"/>
      <c r="E278" s="28"/>
      <c r="F278" s="28"/>
      <c r="G278" s="19"/>
      <c r="H278" s="28"/>
      <c r="I278" s="19"/>
      <c r="J278" s="19"/>
      <c r="K278" s="19"/>
      <c r="L278" s="19"/>
      <c r="M278" s="19"/>
      <c r="N278" s="19"/>
      <c r="O278" s="19"/>
      <c r="P278" s="28"/>
      <c r="Q278" s="19"/>
      <c r="R278" s="19"/>
      <c r="S278" s="19"/>
      <c r="T278" s="36"/>
      <c r="U278" s="43"/>
      <c r="V278" s="19"/>
      <c r="W278" s="28"/>
      <c r="X278" s="28"/>
      <c r="Y278" s="19"/>
      <c r="Z278" s="19"/>
      <c r="AA278" s="19"/>
      <c r="AB278" s="29"/>
      <c r="AC278" s="29"/>
      <c r="AD278" s="29"/>
      <c r="AE278" s="28"/>
      <c r="AF278" s="28"/>
      <c r="AG278" s="28"/>
      <c r="AH278" s="29"/>
      <c r="AI278" s="29"/>
      <c r="AJ278" s="30"/>
      <c r="AK278" s="57"/>
      <c r="AL278" s="57"/>
      <c r="AM278" s="57"/>
      <c r="AN278" s="57"/>
      <c r="AO278" s="57"/>
      <c r="AP278" s="57"/>
      <c r="AQ278" s="57"/>
      <c r="AR278" s="57"/>
      <c r="AS278" s="57"/>
    </row>
    <row r="279" spans="1:45" ht="21" x14ac:dyDescent="0.35">
      <c r="A279" s="28"/>
      <c r="B279" s="67"/>
      <c r="C279" s="28"/>
      <c r="D279" s="19"/>
      <c r="E279" s="28"/>
      <c r="F279" s="28"/>
      <c r="G279" s="19"/>
      <c r="H279" s="28"/>
      <c r="I279" s="19"/>
      <c r="J279" s="19"/>
      <c r="K279" s="19"/>
      <c r="L279" s="19"/>
      <c r="M279" s="19"/>
      <c r="N279" s="19"/>
      <c r="O279" s="19"/>
      <c r="P279" s="28"/>
      <c r="Q279" s="19"/>
      <c r="R279" s="19"/>
      <c r="S279" s="19"/>
      <c r="T279" s="36"/>
      <c r="U279" s="43"/>
      <c r="V279" s="19"/>
      <c r="W279" s="28"/>
      <c r="X279" s="28"/>
      <c r="Y279" s="19"/>
      <c r="Z279" s="19"/>
      <c r="AA279" s="19"/>
      <c r="AB279" s="29"/>
      <c r="AC279" s="29"/>
      <c r="AD279" s="29"/>
      <c r="AE279" s="28"/>
      <c r="AF279" s="28"/>
      <c r="AG279" s="28"/>
      <c r="AH279" s="29"/>
      <c r="AI279" s="29"/>
      <c r="AJ279" s="30"/>
      <c r="AK279" s="57"/>
      <c r="AL279" s="57"/>
      <c r="AM279" s="57"/>
      <c r="AN279" s="57"/>
      <c r="AO279" s="57"/>
      <c r="AP279" s="57"/>
      <c r="AQ279" s="57"/>
      <c r="AR279" s="57"/>
      <c r="AS279" s="57"/>
    </row>
    <row r="280" spans="1:45" ht="21" x14ac:dyDescent="0.35">
      <c r="A280" s="28"/>
      <c r="B280" s="67"/>
      <c r="C280" s="28"/>
      <c r="D280" s="19"/>
      <c r="E280" s="28"/>
      <c r="F280" s="28"/>
      <c r="G280" s="19"/>
      <c r="H280" s="28"/>
      <c r="I280" s="19"/>
      <c r="J280" s="19"/>
      <c r="K280" s="19"/>
      <c r="L280" s="19"/>
      <c r="M280" s="19"/>
      <c r="N280" s="19"/>
      <c r="O280" s="19"/>
      <c r="P280" s="28"/>
      <c r="Q280" s="19"/>
      <c r="R280" s="19"/>
      <c r="S280" s="19"/>
      <c r="T280" s="36"/>
      <c r="U280" s="43"/>
      <c r="V280" s="19"/>
      <c r="W280" s="28"/>
      <c r="X280" s="28"/>
      <c r="Y280" s="19"/>
      <c r="Z280" s="19"/>
      <c r="AA280" s="19"/>
      <c r="AB280" s="29"/>
      <c r="AC280" s="29"/>
      <c r="AD280" s="29"/>
      <c r="AE280" s="28"/>
      <c r="AF280" s="28"/>
      <c r="AG280" s="28"/>
      <c r="AH280" s="29"/>
      <c r="AI280" s="29"/>
      <c r="AJ280" s="30"/>
      <c r="AK280" s="57"/>
      <c r="AL280" s="57"/>
      <c r="AM280" s="57"/>
      <c r="AN280" s="57"/>
      <c r="AO280" s="57"/>
      <c r="AP280" s="57"/>
      <c r="AQ280" s="57"/>
      <c r="AR280" s="57"/>
      <c r="AS280" s="57"/>
    </row>
    <row r="281" spans="1:45" ht="21" x14ac:dyDescent="0.35">
      <c r="A281" s="28"/>
      <c r="B281" s="67"/>
      <c r="C281" s="28"/>
      <c r="D281" s="19"/>
      <c r="E281" s="28"/>
      <c r="F281" s="28"/>
      <c r="G281" s="19"/>
      <c r="H281" s="28"/>
      <c r="I281" s="19"/>
      <c r="J281" s="19"/>
      <c r="K281" s="19"/>
      <c r="L281" s="19"/>
      <c r="M281" s="19"/>
      <c r="N281" s="19"/>
      <c r="O281" s="19"/>
      <c r="P281" s="28"/>
      <c r="Q281" s="19"/>
      <c r="R281" s="19"/>
      <c r="S281" s="19"/>
      <c r="T281" s="36"/>
      <c r="U281" s="43"/>
      <c r="V281" s="19"/>
      <c r="W281" s="28"/>
      <c r="X281" s="28"/>
      <c r="Y281" s="19"/>
      <c r="Z281" s="19"/>
      <c r="AA281" s="19"/>
      <c r="AB281" s="29"/>
      <c r="AC281" s="29"/>
      <c r="AD281" s="29"/>
      <c r="AE281" s="28"/>
      <c r="AF281" s="28"/>
      <c r="AG281" s="28"/>
      <c r="AH281" s="29"/>
      <c r="AI281" s="29"/>
      <c r="AJ281" s="30"/>
      <c r="AK281" s="57"/>
      <c r="AL281" s="57"/>
      <c r="AM281" s="57"/>
      <c r="AN281" s="57"/>
      <c r="AO281" s="57"/>
      <c r="AP281" s="57"/>
      <c r="AQ281" s="57"/>
      <c r="AR281" s="57"/>
      <c r="AS281" s="57"/>
    </row>
    <row r="282" spans="1:45" ht="21" x14ac:dyDescent="0.35">
      <c r="A282" s="28"/>
      <c r="B282" s="67"/>
      <c r="C282" s="28"/>
      <c r="D282" s="19"/>
      <c r="E282" s="28"/>
      <c r="F282" s="28"/>
      <c r="G282" s="19"/>
      <c r="H282" s="28"/>
      <c r="I282" s="19"/>
      <c r="J282" s="19"/>
      <c r="K282" s="19"/>
      <c r="L282" s="19"/>
      <c r="M282" s="19"/>
      <c r="N282" s="19"/>
      <c r="O282" s="19"/>
      <c r="P282" s="28"/>
      <c r="Q282" s="19"/>
      <c r="R282" s="19"/>
      <c r="S282" s="19"/>
      <c r="T282" s="36"/>
      <c r="U282" s="43"/>
      <c r="V282" s="19"/>
      <c r="W282" s="28"/>
      <c r="X282" s="28"/>
      <c r="Y282" s="19"/>
      <c r="Z282" s="19"/>
      <c r="AA282" s="19"/>
      <c r="AB282" s="29"/>
      <c r="AC282" s="29"/>
      <c r="AD282" s="29"/>
      <c r="AE282" s="28"/>
      <c r="AF282" s="28"/>
      <c r="AG282" s="28"/>
      <c r="AH282" s="29"/>
      <c r="AI282" s="29"/>
      <c r="AJ282" s="30"/>
      <c r="AK282" s="57"/>
      <c r="AL282" s="57"/>
      <c r="AM282" s="57"/>
      <c r="AN282" s="57"/>
      <c r="AO282" s="57"/>
      <c r="AP282" s="57"/>
      <c r="AQ282" s="57"/>
      <c r="AR282" s="57"/>
      <c r="AS282" s="57"/>
    </row>
    <row r="283" spans="1:45" ht="21" x14ac:dyDescent="0.35">
      <c r="A283" s="28"/>
      <c r="B283" s="67"/>
      <c r="C283" s="28"/>
      <c r="D283" s="19"/>
      <c r="E283" s="28"/>
      <c r="F283" s="28"/>
      <c r="G283" s="19"/>
      <c r="H283" s="28"/>
      <c r="I283" s="19"/>
      <c r="J283" s="19"/>
      <c r="K283" s="19"/>
      <c r="L283" s="19"/>
      <c r="M283" s="19"/>
      <c r="N283" s="19"/>
      <c r="O283" s="19"/>
      <c r="P283" s="28"/>
      <c r="Q283" s="19"/>
      <c r="R283" s="19"/>
      <c r="S283" s="19"/>
      <c r="T283" s="36"/>
      <c r="U283" s="43"/>
      <c r="V283" s="19"/>
      <c r="W283" s="28"/>
      <c r="X283" s="28"/>
      <c r="Y283" s="19"/>
      <c r="Z283" s="19"/>
      <c r="AA283" s="19"/>
      <c r="AB283" s="29"/>
      <c r="AC283" s="29"/>
      <c r="AD283" s="29"/>
      <c r="AE283" s="28"/>
      <c r="AF283" s="28"/>
      <c r="AG283" s="28"/>
      <c r="AH283" s="29"/>
      <c r="AI283" s="29"/>
      <c r="AJ283" s="30"/>
      <c r="AK283" s="57"/>
      <c r="AL283" s="57"/>
      <c r="AM283" s="57"/>
      <c r="AN283" s="57"/>
      <c r="AO283" s="57"/>
      <c r="AP283" s="57"/>
      <c r="AQ283" s="57"/>
      <c r="AR283" s="57"/>
      <c r="AS283" s="57"/>
    </row>
    <row r="284" spans="1:45" ht="21" x14ac:dyDescent="0.35">
      <c r="A284" s="28"/>
      <c r="B284" s="67"/>
      <c r="C284" s="28"/>
      <c r="D284" s="19"/>
      <c r="E284" s="28"/>
      <c r="F284" s="28"/>
      <c r="G284" s="19"/>
      <c r="H284" s="28"/>
      <c r="I284" s="19"/>
      <c r="J284" s="19"/>
      <c r="K284" s="19"/>
      <c r="L284" s="19"/>
      <c r="M284" s="19"/>
      <c r="N284" s="19"/>
      <c r="O284" s="19"/>
      <c r="P284" s="28"/>
      <c r="Q284" s="19"/>
      <c r="R284" s="19"/>
      <c r="S284" s="19"/>
      <c r="T284" s="36"/>
      <c r="U284" s="43"/>
      <c r="V284" s="19"/>
      <c r="W284" s="28"/>
      <c r="X284" s="28"/>
      <c r="Y284" s="19"/>
      <c r="Z284" s="19"/>
      <c r="AA284" s="19"/>
      <c r="AB284" s="29"/>
      <c r="AC284" s="29"/>
      <c r="AD284" s="29"/>
      <c r="AE284" s="28"/>
      <c r="AF284" s="28"/>
      <c r="AG284" s="28"/>
      <c r="AH284" s="29"/>
      <c r="AI284" s="29"/>
      <c r="AJ284" s="30"/>
      <c r="AK284" s="57"/>
      <c r="AL284" s="57"/>
      <c r="AM284" s="57"/>
      <c r="AN284" s="57"/>
      <c r="AO284" s="57"/>
      <c r="AP284" s="57"/>
      <c r="AQ284" s="57"/>
      <c r="AR284" s="57"/>
      <c r="AS284" s="57"/>
    </row>
    <row r="285" spans="1:45" ht="21" x14ac:dyDescent="0.35">
      <c r="A285" s="28"/>
      <c r="B285" s="67"/>
      <c r="C285" s="28"/>
      <c r="D285" s="19"/>
      <c r="E285" s="28"/>
      <c r="F285" s="28"/>
      <c r="G285" s="19"/>
      <c r="H285" s="28"/>
      <c r="I285" s="19"/>
      <c r="J285" s="19"/>
      <c r="K285" s="19"/>
      <c r="L285" s="19"/>
      <c r="M285" s="19"/>
      <c r="N285" s="19"/>
      <c r="O285" s="19"/>
      <c r="P285" s="28"/>
      <c r="Q285" s="19"/>
      <c r="R285" s="19"/>
      <c r="S285" s="19"/>
      <c r="T285" s="36"/>
      <c r="U285" s="43"/>
      <c r="V285" s="19"/>
      <c r="W285" s="28"/>
      <c r="X285" s="28"/>
      <c r="Y285" s="19"/>
      <c r="Z285" s="19"/>
      <c r="AA285" s="19"/>
      <c r="AB285" s="29"/>
      <c r="AC285" s="29"/>
      <c r="AD285" s="29"/>
      <c r="AE285" s="28"/>
      <c r="AF285" s="28"/>
      <c r="AG285" s="28"/>
      <c r="AH285" s="29"/>
      <c r="AI285" s="29"/>
      <c r="AJ285" s="30"/>
      <c r="AK285" s="57"/>
      <c r="AL285" s="57"/>
      <c r="AM285" s="57"/>
      <c r="AN285" s="57"/>
      <c r="AO285" s="57"/>
      <c r="AP285" s="57"/>
      <c r="AQ285" s="57"/>
      <c r="AR285" s="57"/>
      <c r="AS285" s="57"/>
    </row>
    <row r="286" spans="1:45" ht="21" x14ac:dyDescent="0.35">
      <c r="A286" s="28"/>
      <c r="B286" s="67"/>
      <c r="C286" s="28"/>
      <c r="D286" s="19"/>
      <c r="E286" s="28"/>
      <c r="F286" s="28"/>
      <c r="G286" s="19"/>
      <c r="H286" s="28"/>
      <c r="I286" s="19"/>
      <c r="J286" s="19"/>
      <c r="K286" s="19"/>
      <c r="L286" s="19"/>
      <c r="M286" s="19"/>
      <c r="N286" s="19"/>
      <c r="O286" s="19"/>
      <c r="P286" s="28"/>
      <c r="Q286" s="19"/>
      <c r="R286" s="19"/>
      <c r="S286" s="19"/>
      <c r="T286" s="36"/>
      <c r="U286" s="43"/>
      <c r="V286" s="19"/>
      <c r="W286" s="28"/>
      <c r="X286" s="28"/>
      <c r="Y286" s="19"/>
      <c r="Z286" s="19"/>
      <c r="AA286" s="19"/>
      <c r="AB286" s="29"/>
      <c r="AC286" s="29"/>
      <c r="AD286" s="29"/>
      <c r="AE286" s="28"/>
      <c r="AF286" s="28"/>
      <c r="AG286" s="28"/>
      <c r="AH286" s="29"/>
      <c r="AI286" s="29"/>
      <c r="AJ286" s="30"/>
      <c r="AK286" s="57"/>
      <c r="AL286" s="57"/>
      <c r="AM286" s="57"/>
      <c r="AN286" s="57"/>
      <c r="AO286" s="57"/>
      <c r="AP286" s="57"/>
      <c r="AQ286" s="57"/>
      <c r="AR286" s="57"/>
      <c r="AS286" s="57"/>
    </row>
    <row r="287" spans="1:45" ht="21" x14ac:dyDescent="0.35">
      <c r="A287" s="28"/>
      <c r="B287" s="67"/>
      <c r="C287" s="28"/>
      <c r="D287" s="19"/>
      <c r="E287" s="28"/>
      <c r="F287" s="28"/>
      <c r="G287" s="19"/>
      <c r="H287" s="28"/>
      <c r="I287" s="19"/>
      <c r="J287" s="19"/>
      <c r="K287" s="19"/>
      <c r="L287" s="19"/>
      <c r="M287" s="19"/>
      <c r="N287" s="19"/>
      <c r="O287" s="19"/>
      <c r="P287" s="28"/>
      <c r="Q287" s="19"/>
      <c r="R287" s="19"/>
      <c r="S287" s="19"/>
      <c r="T287" s="36"/>
      <c r="U287" s="43"/>
      <c r="V287" s="19"/>
      <c r="W287" s="28"/>
      <c r="X287" s="28"/>
      <c r="Y287" s="19"/>
      <c r="Z287" s="19"/>
      <c r="AA287" s="19"/>
      <c r="AB287" s="29"/>
      <c r="AC287" s="29"/>
      <c r="AD287" s="29"/>
      <c r="AE287" s="28"/>
      <c r="AF287" s="28"/>
      <c r="AG287" s="28"/>
      <c r="AH287" s="29"/>
      <c r="AI287" s="29"/>
      <c r="AJ287" s="30"/>
      <c r="AK287" s="57"/>
      <c r="AL287" s="57"/>
      <c r="AM287" s="57"/>
      <c r="AN287" s="57"/>
      <c r="AO287" s="57"/>
      <c r="AP287" s="57"/>
      <c r="AQ287" s="57"/>
      <c r="AR287" s="57"/>
      <c r="AS287" s="57"/>
    </row>
    <row r="288" spans="1:45" ht="21" x14ac:dyDescent="0.35">
      <c r="A288" s="28"/>
      <c r="B288" s="67"/>
      <c r="C288" s="28"/>
      <c r="D288" s="19"/>
      <c r="E288" s="28"/>
      <c r="F288" s="28"/>
      <c r="G288" s="19"/>
      <c r="H288" s="28"/>
      <c r="I288" s="19"/>
      <c r="J288" s="19"/>
      <c r="K288" s="19"/>
      <c r="L288" s="19"/>
      <c r="M288" s="19"/>
      <c r="N288" s="19"/>
      <c r="O288" s="19"/>
      <c r="P288" s="28"/>
      <c r="Q288" s="19"/>
      <c r="R288" s="19"/>
      <c r="S288" s="19"/>
      <c r="T288" s="36"/>
      <c r="U288" s="43"/>
      <c r="V288" s="19"/>
      <c r="W288" s="28"/>
      <c r="X288" s="28"/>
      <c r="Y288" s="19"/>
      <c r="Z288" s="19"/>
      <c r="AA288" s="19"/>
      <c r="AB288" s="29"/>
      <c r="AC288" s="29"/>
      <c r="AD288" s="29"/>
      <c r="AE288" s="28"/>
      <c r="AF288" s="28"/>
      <c r="AG288" s="28"/>
      <c r="AH288" s="29"/>
      <c r="AI288" s="29"/>
      <c r="AJ288" s="30"/>
      <c r="AK288" s="57"/>
      <c r="AL288" s="57"/>
      <c r="AM288" s="57"/>
      <c r="AN288" s="57"/>
      <c r="AO288" s="57"/>
      <c r="AP288" s="57"/>
      <c r="AQ288" s="57"/>
      <c r="AR288" s="57"/>
      <c r="AS288" s="57"/>
    </row>
    <row r="289" spans="1:59" ht="21" x14ac:dyDescent="0.35">
      <c r="A289" s="28"/>
      <c r="B289" s="67"/>
      <c r="C289" s="28"/>
      <c r="D289" s="19"/>
      <c r="E289" s="28"/>
      <c r="F289" s="28"/>
      <c r="G289" s="19"/>
      <c r="H289" s="28"/>
      <c r="I289" s="19"/>
      <c r="J289" s="19"/>
      <c r="K289" s="19"/>
      <c r="L289" s="19"/>
      <c r="M289" s="19"/>
      <c r="N289" s="19"/>
      <c r="O289" s="19"/>
      <c r="P289" s="28"/>
      <c r="Q289" s="19"/>
      <c r="R289" s="19"/>
      <c r="S289" s="19"/>
      <c r="T289" s="36"/>
      <c r="U289" s="43"/>
      <c r="V289" s="19"/>
      <c r="W289" s="28"/>
      <c r="X289" s="28"/>
      <c r="Y289" s="19"/>
      <c r="Z289" s="19"/>
      <c r="AA289" s="19"/>
      <c r="AB289" s="29"/>
      <c r="AC289" s="29"/>
      <c r="AD289" s="29"/>
      <c r="AE289" s="28"/>
      <c r="AF289" s="28"/>
      <c r="AG289" s="28"/>
      <c r="AH289" s="29"/>
      <c r="AI289" s="29"/>
      <c r="AJ289" s="30"/>
      <c r="AK289" s="57"/>
      <c r="AL289" s="57"/>
      <c r="AM289" s="57"/>
      <c r="AN289" s="57"/>
      <c r="AO289" s="57"/>
      <c r="AP289" s="57"/>
      <c r="AQ289" s="57"/>
      <c r="AR289" s="57"/>
      <c r="AS289" s="57"/>
    </row>
    <row r="290" spans="1:59" ht="21" x14ac:dyDescent="0.35">
      <c r="A290" s="28"/>
      <c r="B290" s="67"/>
      <c r="C290" s="28"/>
      <c r="D290" s="19"/>
      <c r="E290" s="28"/>
      <c r="F290" s="28"/>
      <c r="G290" s="19"/>
      <c r="H290" s="28"/>
      <c r="I290" s="19"/>
      <c r="J290" s="19"/>
      <c r="K290" s="19"/>
      <c r="L290" s="19"/>
      <c r="M290" s="19"/>
      <c r="N290" s="19"/>
      <c r="O290" s="19"/>
      <c r="P290" s="28"/>
      <c r="Q290" s="19"/>
      <c r="R290" s="19"/>
      <c r="S290" s="19"/>
      <c r="T290" s="36"/>
      <c r="U290" s="43"/>
      <c r="V290" s="19"/>
      <c r="W290" s="28"/>
      <c r="X290" s="28"/>
      <c r="Y290" s="19"/>
      <c r="Z290" s="19"/>
      <c r="AA290" s="19"/>
      <c r="AB290" s="29"/>
      <c r="AC290" s="29"/>
      <c r="AD290" s="29"/>
      <c r="AE290" s="28"/>
      <c r="AF290" s="28"/>
      <c r="AG290" s="28"/>
      <c r="AH290" s="29"/>
      <c r="AI290" s="29"/>
      <c r="AJ290" s="30"/>
      <c r="AK290" s="57"/>
      <c r="AL290" s="57"/>
      <c r="AM290" s="57"/>
      <c r="AN290" s="57"/>
      <c r="AO290" s="57"/>
      <c r="AP290" s="57"/>
      <c r="AQ290" s="57"/>
      <c r="AR290" s="57"/>
      <c r="AS290" s="57"/>
    </row>
    <row r="291" spans="1:59" ht="21" x14ac:dyDescent="0.35">
      <c r="A291" s="28"/>
      <c r="B291" s="67"/>
      <c r="C291" s="28"/>
      <c r="D291" s="19"/>
      <c r="E291" s="28"/>
      <c r="F291" s="28"/>
      <c r="G291" s="19"/>
      <c r="H291" s="28"/>
      <c r="I291" s="19"/>
      <c r="J291" s="19"/>
      <c r="K291" s="19"/>
      <c r="L291" s="19"/>
      <c r="M291" s="19"/>
      <c r="N291" s="19"/>
      <c r="O291" s="19"/>
      <c r="P291" s="28"/>
      <c r="Q291" s="19"/>
      <c r="R291" s="19"/>
      <c r="S291" s="19"/>
      <c r="T291" s="36"/>
      <c r="U291" s="43"/>
      <c r="V291" s="19"/>
      <c r="W291" s="28"/>
      <c r="X291" s="28"/>
      <c r="Y291" s="19"/>
      <c r="Z291" s="19"/>
      <c r="AA291" s="19"/>
      <c r="AB291" s="29"/>
      <c r="AC291" s="29"/>
      <c r="AD291" s="29"/>
      <c r="AE291" s="28"/>
      <c r="AF291" s="28"/>
      <c r="AG291" s="28"/>
      <c r="AH291" s="29"/>
      <c r="AI291" s="29"/>
      <c r="AJ291" s="30"/>
      <c r="AK291" s="57"/>
      <c r="AL291" s="57"/>
      <c r="AM291" s="57"/>
      <c r="AN291" s="57"/>
      <c r="AO291" s="57"/>
      <c r="AP291" s="57"/>
      <c r="AQ291" s="57"/>
      <c r="AR291" s="57"/>
      <c r="AS291" s="57"/>
    </row>
    <row r="292" spans="1:59" ht="21" x14ac:dyDescent="0.35">
      <c r="A292" s="28"/>
      <c r="B292" s="67"/>
      <c r="C292" s="28"/>
      <c r="D292" s="19"/>
      <c r="E292" s="28"/>
      <c r="F292" s="28"/>
      <c r="G292" s="19"/>
      <c r="H292" s="28"/>
      <c r="I292" s="19"/>
      <c r="J292" s="19"/>
      <c r="K292" s="19"/>
      <c r="L292" s="19"/>
      <c r="M292" s="19"/>
      <c r="N292" s="19"/>
      <c r="O292" s="19"/>
      <c r="P292" s="28"/>
      <c r="Q292" s="19"/>
      <c r="R292" s="19"/>
      <c r="S292" s="19"/>
      <c r="T292" s="36"/>
      <c r="U292" s="43"/>
      <c r="V292" s="19"/>
      <c r="W292" s="28"/>
      <c r="X292" s="28"/>
      <c r="Y292" s="19"/>
      <c r="Z292" s="19"/>
      <c r="AA292" s="19"/>
      <c r="AB292" s="29"/>
      <c r="AC292" s="29"/>
      <c r="AD292" s="29"/>
      <c r="AE292" s="28"/>
      <c r="AF292" s="28"/>
      <c r="AG292" s="28"/>
      <c r="AH292" s="29"/>
      <c r="AI292" s="29"/>
      <c r="AJ292" s="30"/>
      <c r="AK292" s="57"/>
      <c r="AL292" s="57"/>
      <c r="AM292" s="57"/>
      <c r="AN292" s="57"/>
      <c r="AO292" s="57"/>
      <c r="AP292" s="57"/>
      <c r="AQ292" s="57"/>
      <c r="AR292" s="57"/>
      <c r="AS292" s="57"/>
    </row>
    <row r="293" spans="1:59" ht="21" x14ac:dyDescent="0.35">
      <c r="A293" s="28"/>
      <c r="B293" s="67"/>
      <c r="C293" s="28"/>
      <c r="D293" s="19"/>
      <c r="E293" s="28"/>
      <c r="F293" s="28"/>
      <c r="G293" s="19"/>
      <c r="H293" s="28"/>
      <c r="I293" s="19"/>
      <c r="J293" s="19"/>
      <c r="K293" s="19"/>
      <c r="L293" s="19"/>
      <c r="M293" s="19"/>
      <c r="N293" s="19"/>
      <c r="O293" s="19"/>
      <c r="P293" s="28"/>
      <c r="Q293" s="19"/>
      <c r="R293" s="19"/>
      <c r="S293" s="19"/>
      <c r="T293" s="36"/>
      <c r="U293" s="43"/>
      <c r="V293" s="19"/>
      <c r="W293" s="28"/>
      <c r="X293" s="28"/>
      <c r="Y293" s="19"/>
      <c r="Z293" s="19"/>
      <c r="AA293" s="19"/>
      <c r="AB293" s="29"/>
      <c r="AC293" s="29"/>
      <c r="AD293" s="29"/>
      <c r="AE293" s="28"/>
      <c r="AF293" s="28"/>
      <c r="AG293" s="28"/>
      <c r="AH293" s="29"/>
      <c r="AI293" s="29"/>
      <c r="AJ293" s="30"/>
      <c r="AK293" s="57"/>
      <c r="AL293" s="57"/>
      <c r="AM293" s="57"/>
      <c r="AN293" s="57"/>
      <c r="AO293" s="57"/>
      <c r="AP293" s="57"/>
      <c r="AQ293" s="57"/>
      <c r="AR293" s="57"/>
      <c r="AS293" s="57"/>
    </row>
    <row r="294" spans="1:59" ht="21" x14ac:dyDescent="0.35">
      <c r="A294" s="28"/>
      <c r="B294" s="67"/>
      <c r="C294" s="28"/>
      <c r="D294" s="19"/>
      <c r="E294" s="28"/>
      <c r="F294" s="28"/>
      <c r="G294" s="19"/>
      <c r="H294" s="28"/>
      <c r="I294" s="19"/>
      <c r="J294" s="19"/>
      <c r="K294" s="19"/>
      <c r="L294" s="19"/>
      <c r="M294" s="19"/>
      <c r="N294" s="19"/>
      <c r="O294" s="19"/>
      <c r="P294" s="28"/>
      <c r="Q294" s="19"/>
      <c r="R294" s="19"/>
      <c r="S294" s="19"/>
      <c r="T294" s="36"/>
      <c r="U294" s="43"/>
      <c r="V294" s="19"/>
      <c r="W294" s="28"/>
      <c r="X294" s="28"/>
      <c r="Y294" s="19"/>
      <c r="Z294" s="19"/>
      <c r="AA294" s="19"/>
      <c r="AB294" s="29"/>
      <c r="AC294" s="29"/>
      <c r="AD294" s="29"/>
      <c r="AE294" s="28"/>
      <c r="AF294" s="28"/>
      <c r="AG294" s="28"/>
      <c r="AH294" s="29"/>
      <c r="AI294" s="29"/>
      <c r="AJ294" s="30"/>
      <c r="AK294" s="57"/>
      <c r="AL294" s="57"/>
      <c r="AM294" s="57"/>
      <c r="AN294" s="57"/>
      <c r="AO294" s="57"/>
      <c r="AP294" s="57"/>
      <c r="AQ294" s="57"/>
      <c r="AR294" s="57"/>
      <c r="AS294" s="57"/>
    </row>
    <row r="295" spans="1:59" ht="21" x14ac:dyDescent="0.35">
      <c r="A295" s="28"/>
      <c r="B295" s="67"/>
      <c r="C295" s="28"/>
      <c r="D295" s="19"/>
      <c r="E295" s="28"/>
      <c r="F295" s="28"/>
      <c r="G295" s="19"/>
      <c r="H295" s="28"/>
      <c r="I295" s="19"/>
      <c r="J295" s="19"/>
      <c r="K295" s="19"/>
      <c r="L295" s="19"/>
      <c r="M295" s="19"/>
      <c r="N295" s="19"/>
      <c r="O295" s="19"/>
      <c r="P295" s="28"/>
      <c r="Q295" s="19"/>
      <c r="R295" s="19"/>
      <c r="S295" s="19"/>
      <c r="T295" s="36"/>
      <c r="U295" s="43"/>
      <c r="V295" s="19"/>
      <c r="W295" s="28"/>
      <c r="X295" s="28"/>
      <c r="Y295" s="19"/>
      <c r="Z295" s="19"/>
      <c r="AA295" s="19"/>
      <c r="AB295" s="29"/>
      <c r="AC295" s="29"/>
      <c r="AD295" s="29"/>
      <c r="AE295" s="28"/>
      <c r="AF295" s="28"/>
      <c r="AG295" s="28"/>
      <c r="AH295" s="29"/>
      <c r="AI295" s="29"/>
      <c r="AJ295" s="30"/>
      <c r="AK295" s="57"/>
      <c r="AL295" s="57"/>
      <c r="AM295" s="57"/>
      <c r="AN295" s="57"/>
      <c r="AO295" s="57"/>
      <c r="AP295" s="57"/>
      <c r="AQ295" s="57"/>
      <c r="AR295" s="57"/>
      <c r="AS295" s="57"/>
    </row>
    <row r="296" spans="1:59" ht="21" x14ac:dyDescent="0.35">
      <c r="A296" s="28"/>
      <c r="B296" s="67"/>
      <c r="C296" s="28"/>
      <c r="D296" s="19"/>
      <c r="E296" s="28"/>
      <c r="F296" s="28"/>
      <c r="G296" s="19"/>
      <c r="H296" s="28"/>
      <c r="I296" s="19"/>
      <c r="J296" s="19"/>
      <c r="K296" s="19"/>
      <c r="L296" s="19"/>
      <c r="M296" s="19"/>
      <c r="N296" s="19"/>
      <c r="O296" s="19"/>
      <c r="P296" s="28"/>
      <c r="Q296" s="19"/>
      <c r="R296" s="19"/>
      <c r="S296" s="19"/>
      <c r="T296" s="36"/>
      <c r="U296" s="43"/>
      <c r="V296" s="19"/>
      <c r="W296" s="28"/>
      <c r="X296" s="28"/>
      <c r="Y296" s="19"/>
      <c r="Z296" s="19"/>
      <c r="AA296" s="19"/>
      <c r="AB296" s="29"/>
      <c r="AC296" s="29"/>
      <c r="AD296" s="29"/>
      <c r="AE296" s="28"/>
      <c r="AF296" s="28"/>
      <c r="AG296" s="28"/>
      <c r="AH296" s="29"/>
      <c r="AI296" s="29"/>
      <c r="AJ296" s="30"/>
      <c r="AK296" s="57"/>
      <c r="AL296" s="57"/>
      <c r="AM296" s="57"/>
      <c r="AN296" s="57"/>
      <c r="AO296" s="57"/>
      <c r="AP296" s="57"/>
      <c r="AQ296" s="57"/>
      <c r="AR296" s="57"/>
      <c r="AS296" s="57"/>
    </row>
    <row r="297" spans="1:59" ht="21" x14ac:dyDescent="0.35">
      <c r="A297" s="28"/>
      <c r="B297" s="67"/>
      <c r="C297" s="28"/>
      <c r="D297" s="19"/>
      <c r="E297" s="28"/>
      <c r="F297" s="28"/>
      <c r="G297" s="19"/>
      <c r="H297" s="28"/>
      <c r="I297" s="19"/>
      <c r="J297" s="19"/>
      <c r="K297" s="19"/>
      <c r="L297" s="19"/>
      <c r="M297" s="19"/>
      <c r="N297" s="19"/>
      <c r="O297" s="19"/>
      <c r="P297" s="28"/>
      <c r="Q297" s="19"/>
      <c r="R297" s="19"/>
      <c r="S297" s="19"/>
      <c r="T297" s="36"/>
      <c r="U297" s="43"/>
      <c r="V297" s="19"/>
      <c r="W297" s="28"/>
      <c r="X297" s="28"/>
      <c r="Y297" s="19"/>
      <c r="Z297" s="19"/>
      <c r="AA297" s="19"/>
      <c r="AB297" s="29"/>
      <c r="AC297" s="29"/>
      <c r="AD297" s="29"/>
      <c r="AE297" s="28"/>
      <c r="AF297" s="28"/>
      <c r="AG297" s="28"/>
      <c r="AH297" s="29"/>
      <c r="AI297" s="29"/>
      <c r="AJ297" s="30"/>
      <c r="AK297" s="57"/>
      <c r="AL297" s="57"/>
      <c r="AM297" s="57"/>
      <c r="AN297" s="57"/>
      <c r="AO297" s="57"/>
      <c r="AP297" s="57"/>
      <c r="AQ297" s="57"/>
      <c r="AR297" s="57"/>
      <c r="AS297" s="57"/>
    </row>
    <row r="298" spans="1:59" ht="21" x14ac:dyDescent="0.35">
      <c r="A298" s="28"/>
      <c r="B298" s="67"/>
      <c r="C298" s="28"/>
      <c r="D298" s="19"/>
      <c r="E298" s="28"/>
      <c r="F298" s="28"/>
      <c r="G298" s="19"/>
      <c r="H298" s="28"/>
      <c r="I298" s="19"/>
      <c r="J298" s="19"/>
      <c r="K298" s="19"/>
      <c r="L298" s="19"/>
      <c r="M298" s="19"/>
      <c r="N298" s="19"/>
      <c r="O298" s="19"/>
      <c r="P298" s="28"/>
      <c r="Q298" s="19"/>
      <c r="R298" s="19"/>
      <c r="S298" s="19"/>
      <c r="T298" s="36"/>
      <c r="U298" s="43"/>
      <c r="V298" s="19"/>
      <c r="W298" s="28"/>
      <c r="X298" s="28"/>
      <c r="Y298" s="19"/>
      <c r="Z298" s="19"/>
      <c r="AA298" s="19"/>
      <c r="AB298" s="29"/>
      <c r="AC298" s="29"/>
      <c r="AD298" s="29"/>
      <c r="AE298" s="28"/>
      <c r="AF298" s="28"/>
      <c r="AG298" s="28"/>
      <c r="AH298" s="29"/>
      <c r="AI298" s="29"/>
      <c r="AJ298" s="30"/>
      <c r="AK298" s="57"/>
      <c r="AL298" s="57"/>
      <c r="AM298" s="57"/>
      <c r="AN298" s="57"/>
      <c r="AO298" s="57"/>
      <c r="AP298" s="57"/>
      <c r="AQ298" s="57"/>
      <c r="AR298" s="57"/>
      <c r="AS298" s="57"/>
    </row>
    <row r="299" spans="1:59" ht="21" x14ac:dyDescent="0.35">
      <c r="A299" s="28"/>
      <c r="B299" s="67"/>
      <c r="C299" s="28"/>
      <c r="D299" s="19"/>
      <c r="E299" s="28"/>
      <c r="F299" s="28"/>
      <c r="G299" s="19"/>
      <c r="H299" s="28"/>
      <c r="I299" s="19"/>
      <c r="J299" s="19"/>
      <c r="K299" s="19"/>
      <c r="L299" s="19"/>
      <c r="M299" s="19"/>
      <c r="N299" s="19"/>
      <c r="O299" s="19"/>
      <c r="P299" s="28"/>
      <c r="Q299" s="19"/>
      <c r="R299" s="19"/>
      <c r="S299" s="19"/>
      <c r="T299" s="36"/>
      <c r="U299" s="43"/>
      <c r="V299" s="19"/>
      <c r="W299" s="28"/>
      <c r="X299" s="28"/>
      <c r="Y299" s="19"/>
      <c r="Z299" s="19"/>
      <c r="AA299" s="19"/>
      <c r="AB299" s="29"/>
      <c r="AC299" s="29"/>
      <c r="AD299" s="29"/>
      <c r="AE299" s="28"/>
      <c r="AF299" s="28"/>
      <c r="AG299" s="28"/>
      <c r="AH299" s="29"/>
      <c r="AI299" s="29"/>
      <c r="AJ299" s="30"/>
      <c r="AK299" s="57"/>
      <c r="AL299" s="57"/>
      <c r="AM299" s="57"/>
      <c r="AN299" s="57"/>
      <c r="AO299" s="57"/>
      <c r="AP299" s="57"/>
      <c r="AQ299" s="57"/>
      <c r="AR299" s="57"/>
      <c r="AS299" s="57"/>
    </row>
    <row r="300" spans="1:59" ht="21" x14ac:dyDescent="0.35">
      <c r="A300" s="28"/>
      <c r="B300" s="67"/>
      <c r="C300" s="28"/>
      <c r="D300" s="19"/>
      <c r="E300" s="28"/>
      <c r="F300" s="28"/>
      <c r="G300" s="19"/>
      <c r="H300" s="28"/>
      <c r="I300" s="19"/>
      <c r="J300" s="19"/>
      <c r="K300" s="19"/>
      <c r="L300" s="19"/>
      <c r="M300" s="19"/>
      <c r="N300" s="19"/>
      <c r="O300" s="19"/>
      <c r="P300" s="28"/>
      <c r="Q300" s="19"/>
      <c r="R300" s="19"/>
      <c r="S300" s="19"/>
      <c r="T300" s="36"/>
      <c r="U300" s="43"/>
      <c r="V300" s="19"/>
      <c r="W300" s="28"/>
      <c r="X300" s="28"/>
      <c r="Y300" s="19"/>
      <c r="Z300" s="19"/>
      <c r="AA300" s="19"/>
      <c r="AB300" s="29"/>
      <c r="AC300" s="29"/>
      <c r="AD300" s="29"/>
      <c r="AE300" s="28"/>
      <c r="AF300" s="28"/>
      <c r="AG300" s="28"/>
      <c r="AH300" s="29"/>
      <c r="AI300" s="29"/>
      <c r="AJ300" s="30"/>
      <c r="AK300" s="57"/>
      <c r="AL300" s="57"/>
      <c r="AM300" s="57"/>
      <c r="AN300" s="57"/>
      <c r="AO300" s="57"/>
      <c r="AP300" s="57"/>
      <c r="AQ300" s="57"/>
      <c r="AR300" s="57"/>
      <c r="AS300" s="57"/>
    </row>
    <row r="301" spans="1:59" ht="21.75" thickBot="1" x14ac:dyDescent="0.4">
      <c r="A301" s="28"/>
      <c r="B301" s="67"/>
      <c r="C301" s="31"/>
      <c r="D301" s="32"/>
      <c r="E301" s="31"/>
      <c r="F301" s="31"/>
      <c r="G301" s="32"/>
      <c r="H301" s="31"/>
      <c r="I301" s="32"/>
      <c r="J301" s="32"/>
      <c r="K301" s="32"/>
      <c r="L301" s="32"/>
      <c r="M301" s="32"/>
      <c r="N301" s="32"/>
      <c r="O301" s="32"/>
      <c r="P301" s="31"/>
      <c r="Q301" s="32"/>
      <c r="R301" s="32"/>
      <c r="S301" s="32"/>
      <c r="T301" s="39"/>
      <c r="U301" s="50"/>
      <c r="V301" s="19"/>
      <c r="W301" s="28"/>
      <c r="X301" s="28"/>
      <c r="Y301" s="19"/>
      <c r="Z301" s="19"/>
      <c r="AA301" s="19"/>
      <c r="AB301" s="29"/>
      <c r="AC301" s="33"/>
      <c r="AD301" s="33"/>
      <c r="AE301" s="31"/>
      <c r="AF301" s="31"/>
      <c r="AG301" s="31"/>
      <c r="AH301" s="33"/>
      <c r="AI301" s="33"/>
      <c r="AJ301" s="51"/>
      <c r="AK301" s="57"/>
      <c r="AL301" s="57"/>
      <c r="AM301" s="57"/>
      <c r="AN301" s="57"/>
      <c r="AO301" s="57"/>
      <c r="AP301" s="57"/>
      <c r="AQ301" s="57"/>
      <c r="AR301" s="57"/>
      <c r="AS301" s="57"/>
    </row>
    <row r="302" spans="1:59" s="63" customFormat="1" ht="21.75" thickBot="1" x14ac:dyDescent="0.4">
      <c r="A302" s="28"/>
      <c r="B302" s="68"/>
      <c r="C302" s="71"/>
      <c r="D302" s="32"/>
      <c r="E302" s="71"/>
      <c r="F302" s="71"/>
      <c r="G302" s="32"/>
      <c r="H302" s="71"/>
      <c r="I302" s="32"/>
      <c r="J302" s="72"/>
      <c r="K302" s="72"/>
      <c r="L302" s="72"/>
      <c r="M302" s="72"/>
      <c r="N302" s="72"/>
      <c r="O302" s="72"/>
      <c r="P302" s="71"/>
      <c r="Q302" s="72"/>
      <c r="R302" s="72"/>
      <c r="S302" s="72"/>
      <c r="T302" s="73"/>
      <c r="U302" s="50"/>
      <c r="V302" s="72"/>
      <c r="W302" s="71"/>
      <c r="X302" s="71"/>
      <c r="Y302" s="72"/>
      <c r="Z302" s="72"/>
      <c r="AA302" s="72"/>
      <c r="AB302" s="74"/>
      <c r="AC302" s="33"/>
      <c r="AD302" s="75"/>
      <c r="AE302" s="71"/>
      <c r="AF302" s="71"/>
      <c r="AG302" s="71"/>
      <c r="AH302" s="80"/>
      <c r="AI302" s="76"/>
      <c r="AJ302" s="51"/>
      <c r="AK302" s="59"/>
      <c r="AL302" s="59"/>
      <c r="AM302" s="59"/>
      <c r="AN302" s="59"/>
      <c r="AO302" s="59"/>
      <c r="AP302" s="59"/>
      <c r="AQ302" s="59"/>
      <c r="AR302" s="59"/>
      <c r="AS302" s="59"/>
      <c r="BG302" s="64"/>
    </row>
    <row r="303" spans="1:59" ht="21.75" thickBot="1" x14ac:dyDescent="0.4">
      <c r="A303" s="28"/>
      <c r="B303" s="70"/>
      <c r="C303" s="28"/>
      <c r="D303" s="32"/>
      <c r="E303" s="28"/>
      <c r="F303" s="28"/>
      <c r="G303" s="32"/>
      <c r="H303" s="28"/>
      <c r="I303" s="32"/>
      <c r="J303" s="19"/>
      <c r="K303" s="19"/>
      <c r="L303" s="19"/>
      <c r="M303" s="19"/>
      <c r="N303" s="19"/>
      <c r="O303" s="19"/>
      <c r="P303" s="28"/>
      <c r="Q303" s="19"/>
      <c r="R303" s="19"/>
      <c r="S303" s="19"/>
      <c r="T303" s="36"/>
      <c r="U303" s="50"/>
      <c r="V303" s="19"/>
      <c r="W303" s="28"/>
      <c r="X303" s="28"/>
      <c r="Y303" s="19"/>
      <c r="Z303" s="19"/>
      <c r="AA303" s="19"/>
      <c r="AB303" s="77"/>
      <c r="AC303" s="33"/>
      <c r="AD303" s="29"/>
      <c r="AE303" s="28"/>
      <c r="AF303" s="28"/>
      <c r="AG303" s="28"/>
      <c r="AH303" s="80"/>
      <c r="AI303" s="29"/>
      <c r="AJ303" s="51"/>
      <c r="AK303" s="57"/>
      <c r="AL303" s="57"/>
      <c r="AM303" s="57"/>
      <c r="AN303" s="57"/>
      <c r="AO303" s="57"/>
      <c r="AP303" s="57"/>
      <c r="AQ303" s="57"/>
      <c r="AR303" s="57"/>
      <c r="AS303" s="57"/>
      <c r="AX303" s="15"/>
      <c r="AY303" s="15"/>
      <c r="AZ303" s="16"/>
    </row>
    <row r="304" spans="1:59" ht="21.75" thickBot="1" x14ac:dyDescent="0.4">
      <c r="A304" s="28"/>
      <c r="B304" s="45"/>
      <c r="C304" s="46"/>
      <c r="D304" s="32"/>
      <c r="E304" s="46"/>
      <c r="F304" s="46"/>
      <c r="G304" s="32"/>
      <c r="H304" s="46"/>
      <c r="I304" s="32"/>
      <c r="J304" s="47"/>
      <c r="K304" s="72"/>
      <c r="L304" s="47"/>
      <c r="M304" s="47"/>
      <c r="N304" s="47"/>
      <c r="O304" s="47"/>
      <c r="P304" s="46"/>
      <c r="Q304" s="47"/>
      <c r="R304" s="47"/>
      <c r="S304" s="47"/>
      <c r="T304" s="48"/>
      <c r="U304" s="50"/>
      <c r="V304" s="47"/>
      <c r="W304" s="46"/>
      <c r="X304" s="46"/>
      <c r="Y304" s="47"/>
      <c r="Z304" s="47"/>
      <c r="AA304" s="47"/>
      <c r="AB304" s="79"/>
      <c r="AC304" s="33"/>
      <c r="AD304" s="49"/>
      <c r="AE304" s="46"/>
      <c r="AF304" s="46"/>
      <c r="AG304" s="28"/>
      <c r="AH304" s="80"/>
      <c r="AI304" s="49"/>
      <c r="AJ304" s="51"/>
      <c r="AK304" s="57"/>
      <c r="AL304" s="57"/>
      <c r="AM304" s="57"/>
      <c r="AN304" s="57"/>
      <c r="AO304" s="57"/>
      <c r="AP304" s="57"/>
      <c r="AQ304" s="57"/>
      <c r="AR304" s="57"/>
      <c r="AS304" s="57"/>
      <c r="AX304" s="15"/>
      <c r="AY304" s="15"/>
      <c r="AZ304" s="16"/>
    </row>
    <row r="305" spans="1:52" ht="21" x14ac:dyDescent="0.35">
      <c r="A305" s="28"/>
      <c r="B305" s="78"/>
      <c r="C305" s="34"/>
      <c r="D305" s="35"/>
      <c r="E305" s="34"/>
      <c r="F305" s="34"/>
      <c r="G305" s="35"/>
      <c r="H305" s="34"/>
      <c r="I305" s="19"/>
      <c r="J305" s="35"/>
      <c r="K305" s="19"/>
      <c r="L305" s="19"/>
      <c r="M305" s="19"/>
      <c r="N305" s="19"/>
      <c r="O305" s="19"/>
      <c r="P305" s="28"/>
      <c r="Q305" s="19"/>
      <c r="R305" s="19"/>
      <c r="S305" s="19"/>
      <c r="T305" s="36"/>
      <c r="U305" s="43"/>
      <c r="V305" s="19"/>
      <c r="W305" s="28"/>
      <c r="X305" s="28"/>
      <c r="Y305" s="19"/>
      <c r="Z305" s="19"/>
      <c r="AA305" s="19"/>
      <c r="AB305" s="29"/>
      <c r="AC305" s="29"/>
      <c r="AD305" s="29"/>
      <c r="AE305" s="28"/>
      <c r="AF305" s="28"/>
      <c r="AG305" s="28"/>
      <c r="AH305" s="29"/>
      <c r="AI305" s="29"/>
      <c r="AJ305" s="30"/>
      <c r="AK305" s="57"/>
      <c r="AL305" s="57"/>
      <c r="AM305" s="57"/>
      <c r="AN305" s="57"/>
      <c r="AO305" s="57"/>
      <c r="AP305" s="57"/>
      <c r="AQ305" s="57"/>
      <c r="AR305" s="57"/>
      <c r="AS305" s="57"/>
      <c r="AX305" s="15"/>
      <c r="AY305" s="15"/>
      <c r="AZ305" s="16"/>
    </row>
    <row r="306" spans="1:52" ht="21" x14ac:dyDescent="0.35">
      <c r="A306" s="34"/>
      <c r="B306" s="69"/>
      <c r="C306" s="34"/>
      <c r="D306" s="35"/>
      <c r="E306" s="34"/>
      <c r="F306" s="34"/>
      <c r="G306" s="35"/>
      <c r="H306" s="34"/>
      <c r="I306" s="19"/>
      <c r="J306" s="35"/>
      <c r="K306" s="19"/>
      <c r="L306" s="19"/>
      <c r="M306" s="19"/>
      <c r="N306" s="19"/>
      <c r="O306" s="19"/>
      <c r="P306" s="28"/>
      <c r="Q306" s="19"/>
      <c r="R306" s="19"/>
      <c r="S306" s="19"/>
      <c r="T306" s="36"/>
      <c r="U306" s="43"/>
      <c r="V306" s="19"/>
      <c r="W306" s="28"/>
      <c r="X306" s="28"/>
      <c r="Y306" s="19"/>
      <c r="Z306" s="19"/>
      <c r="AA306" s="19"/>
      <c r="AB306" s="29"/>
      <c r="AC306" s="29"/>
      <c r="AD306" s="29"/>
      <c r="AE306" s="28"/>
      <c r="AF306" s="28"/>
      <c r="AG306" s="28"/>
      <c r="AH306" s="29"/>
      <c r="AI306" s="29"/>
      <c r="AJ306" s="30"/>
      <c r="AK306" s="57"/>
      <c r="AL306" s="57"/>
      <c r="AM306" s="57"/>
      <c r="AN306" s="57"/>
      <c r="AO306" s="57"/>
      <c r="AP306" s="57"/>
      <c r="AQ306" s="57"/>
      <c r="AR306" s="57"/>
      <c r="AS306" s="57"/>
    </row>
    <row r="307" spans="1:52" ht="21" x14ac:dyDescent="0.35">
      <c r="A307" s="34"/>
      <c r="B307" s="69"/>
      <c r="C307" s="34"/>
      <c r="D307" s="35"/>
      <c r="E307" s="34"/>
      <c r="F307" s="34"/>
      <c r="G307" s="35"/>
      <c r="H307" s="34"/>
      <c r="I307" s="19"/>
      <c r="J307" s="35"/>
      <c r="K307" s="19"/>
      <c r="L307" s="19"/>
      <c r="M307" s="19"/>
      <c r="N307" s="19"/>
      <c r="O307" s="19"/>
      <c r="P307" s="28"/>
      <c r="Q307" s="19"/>
      <c r="R307" s="19"/>
      <c r="S307" s="19"/>
      <c r="T307" s="36"/>
      <c r="U307" s="43"/>
      <c r="V307" s="19"/>
      <c r="W307" s="28"/>
      <c r="X307" s="28"/>
      <c r="Y307" s="19"/>
      <c r="Z307" s="19"/>
      <c r="AA307" s="19"/>
      <c r="AB307" s="29"/>
      <c r="AC307" s="29"/>
      <c r="AD307" s="29"/>
      <c r="AE307" s="28"/>
      <c r="AF307" s="28"/>
      <c r="AG307" s="28"/>
      <c r="AH307" s="29"/>
      <c r="AI307" s="29"/>
      <c r="AJ307" s="30"/>
      <c r="AK307" s="57"/>
      <c r="AL307" s="57"/>
      <c r="AM307" s="57"/>
      <c r="AN307" s="57"/>
      <c r="AO307" s="57"/>
      <c r="AP307" s="57"/>
      <c r="AQ307" s="57"/>
      <c r="AR307" s="57"/>
      <c r="AS307" s="57"/>
    </row>
    <row r="308" spans="1:52" ht="21" x14ac:dyDescent="0.35">
      <c r="A308" s="34"/>
      <c r="B308" s="69"/>
      <c r="C308" s="34"/>
      <c r="D308" s="35"/>
      <c r="E308" s="34"/>
      <c r="F308" s="34"/>
      <c r="G308" s="35"/>
      <c r="H308" s="34"/>
      <c r="I308" s="19"/>
      <c r="J308" s="35"/>
      <c r="K308" s="19"/>
      <c r="L308" s="19"/>
      <c r="M308" s="19"/>
      <c r="N308" s="19"/>
      <c r="O308" s="19"/>
      <c r="P308" s="28"/>
      <c r="Q308" s="19"/>
      <c r="R308" s="19"/>
      <c r="S308" s="19"/>
      <c r="T308" s="36"/>
      <c r="U308" s="43"/>
      <c r="V308" s="19"/>
      <c r="W308" s="28"/>
      <c r="X308" s="28"/>
      <c r="Y308" s="19"/>
      <c r="Z308" s="19"/>
      <c r="AA308" s="19"/>
      <c r="AB308" s="29"/>
      <c r="AC308" s="29"/>
      <c r="AD308" s="29"/>
      <c r="AE308" s="28"/>
      <c r="AF308" s="28"/>
      <c r="AG308" s="28"/>
      <c r="AH308" s="29"/>
      <c r="AI308" s="29"/>
      <c r="AJ308" s="30"/>
      <c r="AK308" s="57"/>
      <c r="AL308" s="57"/>
      <c r="AM308" s="57"/>
      <c r="AN308" s="57"/>
      <c r="AO308" s="57"/>
      <c r="AP308" s="57"/>
      <c r="AQ308" s="57"/>
      <c r="AR308" s="57"/>
      <c r="AS308" s="57"/>
    </row>
    <row r="309" spans="1:52" ht="21" x14ac:dyDescent="0.35">
      <c r="A309" s="34"/>
      <c r="B309" s="69"/>
      <c r="C309" s="34"/>
      <c r="D309" s="35"/>
      <c r="E309" s="34"/>
      <c r="F309" s="34"/>
      <c r="G309" s="35"/>
      <c r="H309" s="34"/>
      <c r="I309" s="19"/>
      <c r="J309" s="35"/>
      <c r="K309" s="19"/>
      <c r="L309" s="19"/>
      <c r="M309" s="19"/>
      <c r="N309" s="19"/>
      <c r="O309" s="19"/>
      <c r="P309" s="28"/>
      <c r="Q309" s="19"/>
      <c r="R309" s="19"/>
      <c r="S309" s="19"/>
      <c r="T309" s="36"/>
      <c r="U309" s="43"/>
      <c r="V309" s="19"/>
      <c r="W309" s="28"/>
      <c r="X309" s="28"/>
      <c r="Y309" s="19"/>
      <c r="Z309" s="19"/>
      <c r="AA309" s="19"/>
      <c r="AB309" s="29"/>
      <c r="AC309" s="29"/>
      <c r="AD309" s="29"/>
      <c r="AE309" s="28"/>
      <c r="AF309" s="28"/>
      <c r="AG309" s="28"/>
      <c r="AH309" s="29"/>
      <c r="AI309" s="29"/>
      <c r="AJ309" s="30"/>
      <c r="AK309" s="57"/>
      <c r="AL309" s="57"/>
      <c r="AM309" s="57"/>
      <c r="AN309" s="57"/>
      <c r="AO309" s="57"/>
      <c r="AP309" s="57"/>
      <c r="AQ309" s="57"/>
      <c r="AR309" s="57"/>
      <c r="AS309" s="57"/>
    </row>
    <row r="310" spans="1:52" ht="21" x14ac:dyDescent="0.35">
      <c r="A310" s="34"/>
      <c r="B310" s="69"/>
      <c r="C310" s="34"/>
      <c r="D310" s="35"/>
      <c r="E310" s="34"/>
      <c r="F310" s="34"/>
      <c r="G310" s="35"/>
      <c r="H310" s="34"/>
      <c r="I310" s="19"/>
      <c r="J310" s="35"/>
      <c r="K310" s="19"/>
      <c r="L310" s="19"/>
      <c r="M310" s="19"/>
      <c r="N310" s="19"/>
      <c r="O310" s="19"/>
      <c r="P310" s="28"/>
      <c r="Q310" s="19"/>
      <c r="R310" s="19"/>
      <c r="S310" s="19"/>
      <c r="T310" s="36"/>
      <c r="U310" s="43"/>
      <c r="V310" s="19"/>
      <c r="W310" s="28"/>
      <c r="X310" s="28"/>
      <c r="Y310" s="19"/>
      <c r="Z310" s="19"/>
      <c r="AA310" s="19"/>
      <c r="AB310" s="29"/>
      <c r="AC310" s="29"/>
      <c r="AD310" s="29"/>
      <c r="AE310" s="28"/>
      <c r="AF310" s="28"/>
      <c r="AG310" s="28"/>
      <c r="AH310" s="29"/>
      <c r="AI310" s="29"/>
      <c r="AJ310" s="30"/>
      <c r="AK310" s="57"/>
      <c r="AL310" s="57"/>
      <c r="AM310" s="57"/>
      <c r="AN310" s="57"/>
      <c r="AO310" s="57"/>
      <c r="AP310" s="57"/>
      <c r="AQ310" s="57"/>
      <c r="AR310" s="57"/>
      <c r="AS310" s="57"/>
    </row>
    <row r="311" spans="1:52" ht="21" x14ac:dyDescent="0.35">
      <c r="A311" s="34"/>
      <c r="B311" s="69"/>
      <c r="C311" s="34"/>
      <c r="D311" s="35"/>
      <c r="E311" s="34"/>
      <c r="F311" s="34"/>
      <c r="G311" s="35"/>
      <c r="H311" s="34"/>
      <c r="I311" s="19"/>
      <c r="J311" s="35"/>
      <c r="K311" s="19"/>
      <c r="L311" s="19"/>
      <c r="M311" s="19"/>
      <c r="N311" s="19"/>
      <c r="O311" s="19"/>
      <c r="P311" s="28"/>
      <c r="Q311" s="19"/>
      <c r="R311" s="19"/>
      <c r="S311" s="19"/>
      <c r="T311" s="36"/>
      <c r="U311" s="43"/>
      <c r="V311" s="19"/>
      <c r="W311" s="28"/>
      <c r="X311" s="28"/>
      <c r="Y311" s="19"/>
      <c r="Z311" s="19"/>
      <c r="AA311" s="19"/>
      <c r="AB311" s="29"/>
      <c r="AC311" s="29"/>
      <c r="AD311" s="29"/>
      <c r="AE311" s="28"/>
      <c r="AF311" s="28"/>
      <c r="AG311" s="28"/>
      <c r="AH311" s="29"/>
      <c r="AI311" s="29"/>
      <c r="AJ311" s="30"/>
      <c r="AK311" s="57"/>
      <c r="AL311" s="57"/>
      <c r="AM311" s="57"/>
      <c r="AN311" s="57"/>
      <c r="AO311" s="57"/>
      <c r="AP311" s="57"/>
      <c r="AQ311" s="57"/>
      <c r="AR311" s="57"/>
      <c r="AS311" s="57"/>
    </row>
    <row r="312" spans="1:52" ht="21" x14ac:dyDescent="0.35">
      <c r="A312" s="34"/>
      <c r="B312" s="69"/>
      <c r="C312" s="34"/>
      <c r="D312" s="35"/>
      <c r="E312" s="34"/>
      <c r="F312" s="34"/>
      <c r="G312" s="35"/>
      <c r="H312" s="34"/>
      <c r="I312" s="19"/>
      <c r="J312" s="35"/>
      <c r="K312" s="19"/>
      <c r="L312" s="19"/>
      <c r="M312" s="19"/>
      <c r="N312" s="19"/>
      <c r="O312" s="19"/>
      <c r="P312" s="28"/>
      <c r="Q312" s="19"/>
      <c r="R312" s="19"/>
      <c r="S312" s="19"/>
      <c r="T312" s="36"/>
      <c r="U312" s="43"/>
      <c r="V312" s="19"/>
      <c r="W312" s="28"/>
      <c r="X312" s="28"/>
      <c r="Y312" s="19"/>
      <c r="Z312" s="19"/>
      <c r="AA312" s="19"/>
      <c r="AB312" s="29"/>
      <c r="AC312" s="29"/>
      <c r="AD312" s="29"/>
      <c r="AE312" s="28"/>
      <c r="AF312" s="28"/>
      <c r="AG312" s="28"/>
      <c r="AH312" s="29"/>
      <c r="AI312" s="29"/>
      <c r="AJ312" s="30"/>
      <c r="AK312" s="57"/>
      <c r="AL312" s="57"/>
      <c r="AM312" s="57"/>
      <c r="AN312" s="57"/>
      <c r="AO312" s="57"/>
      <c r="AP312" s="57"/>
      <c r="AQ312" s="57"/>
      <c r="AR312" s="57"/>
      <c r="AS312" s="57"/>
    </row>
    <row r="313" spans="1:52" ht="21" x14ac:dyDescent="0.35">
      <c r="A313" s="34"/>
      <c r="B313" s="69"/>
      <c r="C313" s="34"/>
      <c r="D313" s="35"/>
      <c r="E313" s="34"/>
      <c r="F313" s="34"/>
      <c r="G313" s="35"/>
      <c r="H313" s="34"/>
      <c r="I313" s="19"/>
      <c r="J313" s="35"/>
      <c r="K313" s="19"/>
      <c r="L313" s="19"/>
      <c r="M313" s="19"/>
      <c r="N313" s="19"/>
      <c r="O313" s="19"/>
      <c r="P313" s="28"/>
      <c r="Q313" s="19"/>
      <c r="R313" s="19"/>
      <c r="S313" s="19"/>
      <c r="T313" s="36"/>
      <c r="U313" s="43"/>
      <c r="V313" s="19"/>
      <c r="W313" s="28"/>
      <c r="X313" s="28"/>
      <c r="Y313" s="19"/>
      <c r="Z313" s="19"/>
      <c r="AA313" s="19"/>
      <c r="AB313" s="29"/>
      <c r="AC313" s="29"/>
      <c r="AD313" s="29"/>
      <c r="AE313" s="28"/>
      <c r="AF313" s="28"/>
      <c r="AG313" s="28"/>
      <c r="AH313" s="29"/>
      <c r="AI313" s="29"/>
      <c r="AJ313" s="30"/>
      <c r="AK313" s="57"/>
      <c r="AL313" s="57"/>
      <c r="AM313" s="57"/>
      <c r="AN313" s="57"/>
      <c r="AO313" s="57"/>
      <c r="AP313" s="57"/>
      <c r="AQ313" s="57"/>
      <c r="AR313" s="57"/>
      <c r="AS313" s="57"/>
    </row>
    <row r="314" spans="1:52" ht="21" x14ac:dyDescent="0.35">
      <c r="A314" s="34"/>
      <c r="B314" s="69"/>
      <c r="C314" s="34"/>
      <c r="D314" s="35"/>
      <c r="E314" s="34"/>
      <c r="F314" s="34"/>
      <c r="G314" s="35"/>
      <c r="H314" s="34"/>
      <c r="I314" s="19"/>
      <c r="J314" s="35"/>
      <c r="K314" s="19"/>
      <c r="L314" s="19"/>
      <c r="M314" s="19"/>
      <c r="N314" s="19"/>
      <c r="O314" s="19"/>
      <c r="P314" s="28"/>
      <c r="Q314" s="19"/>
      <c r="R314" s="19"/>
      <c r="S314" s="19"/>
      <c r="T314" s="36"/>
      <c r="U314" s="43"/>
      <c r="V314" s="19"/>
      <c r="W314" s="28"/>
      <c r="X314" s="28"/>
      <c r="Y314" s="19"/>
      <c r="Z314" s="19"/>
      <c r="AA314" s="19"/>
      <c r="AB314" s="29"/>
      <c r="AC314" s="29"/>
      <c r="AD314" s="29"/>
      <c r="AE314" s="28"/>
      <c r="AF314" s="28"/>
      <c r="AG314" s="28"/>
      <c r="AH314" s="29"/>
      <c r="AI314" s="29"/>
      <c r="AJ314" s="30"/>
      <c r="AK314" s="57"/>
      <c r="AL314" s="57"/>
      <c r="AM314" s="57"/>
      <c r="AN314" s="57"/>
      <c r="AO314" s="57"/>
      <c r="AP314" s="57"/>
      <c r="AQ314" s="57"/>
      <c r="AR314" s="57"/>
      <c r="AS314" s="57"/>
    </row>
    <row r="315" spans="1:52" ht="21" x14ac:dyDescent="0.35">
      <c r="A315" s="34"/>
      <c r="B315" s="69"/>
      <c r="C315" s="34"/>
      <c r="D315" s="35"/>
      <c r="E315" s="34"/>
      <c r="F315" s="34"/>
      <c r="G315" s="35"/>
      <c r="H315" s="34"/>
      <c r="I315" s="19"/>
      <c r="J315" s="35"/>
      <c r="K315" s="19"/>
      <c r="L315" s="19"/>
      <c r="M315" s="19"/>
      <c r="N315" s="19"/>
      <c r="O315" s="19"/>
      <c r="P315" s="28"/>
      <c r="Q315" s="19"/>
      <c r="R315" s="19"/>
      <c r="S315" s="19"/>
      <c r="T315" s="36"/>
      <c r="U315" s="43"/>
      <c r="V315" s="19"/>
      <c r="W315" s="28"/>
      <c r="X315" s="28"/>
      <c r="Y315" s="19"/>
      <c r="Z315" s="19"/>
      <c r="AA315" s="19"/>
      <c r="AB315" s="29"/>
      <c r="AC315" s="29"/>
      <c r="AD315" s="29"/>
      <c r="AE315" s="28"/>
      <c r="AF315" s="28"/>
      <c r="AG315" s="28"/>
      <c r="AH315" s="29"/>
      <c r="AI315" s="29"/>
      <c r="AJ315" s="30"/>
      <c r="AK315" s="57"/>
      <c r="AL315" s="57"/>
      <c r="AM315" s="57"/>
      <c r="AN315" s="57"/>
      <c r="AO315" s="57"/>
      <c r="AP315" s="57"/>
      <c r="AQ315" s="57"/>
      <c r="AR315" s="57"/>
      <c r="AS315" s="57"/>
    </row>
    <row r="316" spans="1:52" ht="21" x14ac:dyDescent="0.35">
      <c r="A316" s="34"/>
      <c r="B316" s="69"/>
      <c r="C316" s="34"/>
      <c r="D316" s="35"/>
      <c r="E316" s="34"/>
      <c r="F316" s="34"/>
      <c r="G316" s="35"/>
      <c r="H316" s="34"/>
      <c r="I316" s="19"/>
      <c r="J316" s="35"/>
      <c r="K316" s="19"/>
      <c r="L316" s="19"/>
      <c r="M316" s="19"/>
      <c r="N316" s="19"/>
      <c r="O316" s="19"/>
      <c r="P316" s="28"/>
      <c r="Q316" s="19"/>
      <c r="R316" s="19"/>
      <c r="S316" s="19"/>
      <c r="T316" s="36"/>
      <c r="U316" s="43"/>
      <c r="V316" s="19"/>
      <c r="W316" s="28"/>
      <c r="X316" s="28"/>
      <c r="Y316" s="19"/>
      <c r="Z316" s="19"/>
      <c r="AA316" s="19"/>
      <c r="AB316" s="29"/>
      <c r="AC316" s="29"/>
      <c r="AD316" s="29"/>
      <c r="AE316" s="28"/>
      <c r="AF316" s="28"/>
      <c r="AG316" s="28"/>
      <c r="AH316" s="29"/>
      <c r="AI316" s="29"/>
      <c r="AJ316" s="30"/>
      <c r="AK316" s="57"/>
      <c r="AL316" s="57"/>
      <c r="AM316" s="57"/>
      <c r="AN316" s="57"/>
      <c r="AO316" s="57"/>
      <c r="AP316" s="57"/>
      <c r="AQ316" s="57"/>
      <c r="AR316" s="57"/>
      <c r="AS316" s="57"/>
    </row>
    <row r="317" spans="1:52" ht="21" x14ac:dyDescent="0.35">
      <c r="A317" s="34"/>
      <c r="B317" s="69"/>
      <c r="C317" s="34"/>
      <c r="D317" s="35"/>
      <c r="E317" s="34"/>
      <c r="F317" s="34"/>
      <c r="G317" s="35"/>
      <c r="H317" s="34"/>
      <c r="I317" s="19"/>
      <c r="J317" s="35"/>
      <c r="K317" s="19"/>
      <c r="L317" s="19"/>
      <c r="M317" s="19"/>
      <c r="N317" s="19"/>
      <c r="O317" s="19"/>
      <c r="P317" s="28"/>
      <c r="Q317" s="19"/>
      <c r="R317" s="19"/>
      <c r="S317" s="19"/>
      <c r="T317" s="36"/>
      <c r="U317" s="43"/>
      <c r="V317" s="19"/>
      <c r="W317" s="28"/>
      <c r="X317" s="28"/>
      <c r="Y317" s="19"/>
      <c r="Z317" s="19"/>
      <c r="AA317" s="19"/>
      <c r="AB317" s="29"/>
      <c r="AC317" s="29"/>
      <c r="AD317" s="29"/>
      <c r="AE317" s="28"/>
      <c r="AF317" s="28"/>
      <c r="AG317" s="28"/>
      <c r="AH317" s="29"/>
      <c r="AI317" s="29"/>
      <c r="AJ317" s="30"/>
      <c r="AK317" s="57"/>
      <c r="AL317" s="57"/>
      <c r="AM317" s="57"/>
      <c r="AN317" s="57"/>
      <c r="AO317" s="57"/>
      <c r="AP317" s="57"/>
      <c r="AQ317" s="57"/>
      <c r="AR317" s="57"/>
      <c r="AS317" s="57"/>
    </row>
    <row r="318" spans="1:52" ht="21" x14ac:dyDescent="0.35">
      <c r="A318" s="34"/>
      <c r="B318" s="69"/>
      <c r="C318" s="34"/>
      <c r="D318" s="35"/>
      <c r="E318" s="34"/>
      <c r="F318" s="34"/>
      <c r="G318" s="35"/>
      <c r="H318" s="34"/>
      <c r="I318" s="19"/>
      <c r="J318" s="35"/>
      <c r="K318" s="19"/>
      <c r="L318" s="19"/>
      <c r="M318" s="19"/>
      <c r="N318" s="19"/>
      <c r="O318" s="19"/>
      <c r="P318" s="28"/>
      <c r="Q318" s="19"/>
      <c r="R318" s="19"/>
      <c r="S318" s="19"/>
      <c r="T318" s="36"/>
      <c r="U318" s="43"/>
      <c r="V318" s="19"/>
      <c r="W318" s="28"/>
      <c r="X318" s="28"/>
      <c r="Y318" s="19"/>
      <c r="Z318" s="19"/>
      <c r="AA318" s="19"/>
      <c r="AB318" s="29"/>
      <c r="AC318" s="29"/>
      <c r="AD318" s="29"/>
      <c r="AE318" s="28"/>
      <c r="AF318" s="28"/>
      <c r="AG318" s="28"/>
      <c r="AH318" s="29"/>
      <c r="AI318" s="29"/>
      <c r="AJ318" s="30"/>
      <c r="AK318" s="57"/>
      <c r="AL318" s="57"/>
      <c r="AM318" s="57"/>
      <c r="AN318" s="57"/>
      <c r="AO318" s="57"/>
      <c r="AP318" s="57"/>
      <c r="AQ318" s="57"/>
      <c r="AR318" s="57"/>
      <c r="AS318" s="57"/>
    </row>
    <row r="319" spans="1:52" ht="21" x14ac:dyDescent="0.35">
      <c r="A319" s="34"/>
      <c r="B319" s="69"/>
      <c r="C319" s="34"/>
      <c r="D319" s="35"/>
      <c r="E319" s="34"/>
      <c r="F319" s="34"/>
      <c r="G319" s="35"/>
      <c r="H319" s="34"/>
      <c r="I319" s="19"/>
      <c r="J319" s="35"/>
      <c r="K319" s="19"/>
      <c r="L319" s="19"/>
      <c r="M319" s="19"/>
      <c r="N319" s="19"/>
      <c r="O319" s="19"/>
      <c r="P319" s="28"/>
      <c r="Q319" s="19"/>
      <c r="R319" s="19"/>
      <c r="S319" s="19"/>
      <c r="T319" s="36"/>
      <c r="U319" s="43"/>
      <c r="V319" s="19"/>
      <c r="W319" s="28"/>
      <c r="X319" s="28"/>
      <c r="Y319" s="19"/>
      <c r="Z319" s="19"/>
      <c r="AA319" s="19"/>
      <c r="AB319" s="29"/>
      <c r="AC319" s="29"/>
      <c r="AD319" s="29"/>
      <c r="AE319" s="28"/>
      <c r="AF319" s="28"/>
      <c r="AG319" s="28"/>
      <c r="AH319" s="29"/>
      <c r="AI319" s="29"/>
      <c r="AJ319" s="30"/>
      <c r="AK319" s="57"/>
      <c r="AL319" s="57"/>
      <c r="AM319" s="57"/>
      <c r="AN319" s="57"/>
      <c r="AO319" s="57"/>
      <c r="AP319" s="57"/>
      <c r="AQ319" s="57"/>
      <c r="AR319" s="57"/>
      <c r="AS319" s="57"/>
    </row>
    <row r="320" spans="1:52" ht="21" x14ac:dyDescent="0.35">
      <c r="A320" s="34"/>
      <c r="B320" s="69"/>
      <c r="C320" s="34"/>
      <c r="D320" s="35"/>
      <c r="E320" s="34"/>
      <c r="F320" s="34"/>
      <c r="G320" s="35"/>
      <c r="H320" s="34"/>
      <c r="I320" s="19"/>
      <c r="J320" s="35"/>
      <c r="K320" s="19"/>
      <c r="L320" s="19"/>
      <c r="M320" s="19"/>
      <c r="N320" s="19"/>
      <c r="O320" s="19"/>
      <c r="P320" s="28"/>
      <c r="Q320" s="19"/>
      <c r="R320" s="19"/>
      <c r="S320" s="19"/>
      <c r="T320" s="36"/>
      <c r="U320" s="43"/>
      <c r="V320" s="19"/>
      <c r="W320" s="28"/>
      <c r="X320" s="28"/>
      <c r="Y320" s="19"/>
      <c r="Z320" s="19"/>
      <c r="AA320" s="19"/>
      <c r="AB320" s="29"/>
      <c r="AC320" s="29"/>
      <c r="AD320" s="29"/>
      <c r="AE320" s="28"/>
      <c r="AF320" s="28"/>
      <c r="AG320" s="28"/>
      <c r="AH320" s="29"/>
      <c r="AI320" s="29"/>
      <c r="AJ320" s="30"/>
      <c r="AK320" s="57"/>
      <c r="AL320" s="57"/>
      <c r="AM320" s="57"/>
      <c r="AN320" s="57"/>
      <c r="AO320" s="57"/>
      <c r="AP320" s="57"/>
      <c r="AQ320" s="57"/>
      <c r="AR320" s="57"/>
      <c r="AS320" s="57"/>
    </row>
    <row r="321" spans="1:45" ht="21" x14ac:dyDescent="0.35">
      <c r="A321" s="34"/>
      <c r="B321" s="69"/>
      <c r="C321" s="34"/>
      <c r="D321" s="35"/>
      <c r="E321" s="34"/>
      <c r="F321" s="34"/>
      <c r="G321" s="35"/>
      <c r="H321" s="34"/>
      <c r="I321" s="19"/>
      <c r="J321" s="35"/>
      <c r="K321" s="19"/>
      <c r="L321" s="19"/>
      <c r="M321" s="19"/>
      <c r="N321" s="19"/>
      <c r="O321" s="19"/>
      <c r="P321" s="28"/>
      <c r="Q321" s="19"/>
      <c r="R321" s="19"/>
      <c r="S321" s="19"/>
      <c r="T321" s="36"/>
      <c r="U321" s="43"/>
      <c r="V321" s="19"/>
      <c r="W321" s="28"/>
      <c r="X321" s="28"/>
      <c r="Y321" s="19"/>
      <c r="Z321" s="19"/>
      <c r="AA321" s="19"/>
      <c r="AB321" s="29"/>
      <c r="AC321" s="29"/>
      <c r="AD321" s="29"/>
      <c r="AE321" s="28"/>
      <c r="AF321" s="28"/>
      <c r="AG321" s="28"/>
      <c r="AH321" s="29"/>
      <c r="AI321" s="29"/>
      <c r="AJ321" s="30"/>
      <c r="AK321" s="57"/>
      <c r="AL321" s="57"/>
      <c r="AM321" s="57"/>
      <c r="AN321" s="57"/>
      <c r="AO321" s="57"/>
      <c r="AP321" s="57"/>
      <c r="AQ321" s="57"/>
      <c r="AR321" s="57"/>
      <c r="AS321" s="57"/>
    </row>
    <row r="322" spans="1:45" ht="21" x14ac:dyDescent="0.35">
      <c r="A322" s="34"/>
      <c r="B322" s="69"/>
      <c r="C322" s="34"/>
      <c r="D322" s="35"/>
      <c r="E322" s="34"/>
      <c r="F322" s="34"/>
      <c r="G322" s="35"/>
      <c r="H322" s="34"/>
      <c r="I322" s="19"/>
      <c r="J322" s="35"/>
      <c r="K322" s="19"/>
      <c r="L322" s="19"/>
      <c r="M322" s="19"/>
      <c r="N322" s="19"/>
      <c r="O322" s="19"/>
      <c r="P322" s="28"/>
      <c r="Q322" s="19"/>
      <c r="R322" s="19"/>
      <c r="S322" s="19"/>
      <c r="T322" s="36"/>
      <c r="U322" s="43"/>
      <c r="V322" s="19"/>
      <c r="W322" s="28"/>
      <c r="X322" s="28"/>
      <c r="Y322" s="19"/>
      <c r="Z322" s="19"/>
      <c r="AA322" s="19"/>
      <c r="AB322" s="29"/>
      <c r="AC322" s="29"/>
      <c r="AD322" s="29"/>
      <c r="AE322" s="28"/>
      <c r="AF322" s="28"/>
      <c r="AG322" s="28"/>
      <c r="AH322" s="29"/>
      <c r="AI322" s="29"/>
      <c r="AJ322" s="30"/>
      <c r="AK322" s="57"/>
      <c r="AL322" s="57"/>
      <c r="AM322" s="57"/>
      <c r="AN322" s="57"/>
      <c r="AO322" s="57"/>
      <c r="AP322" s="57"/>
      <c r="AQ322" s="57"/>
      <c r="AR322" s="57"/>
      <c r="AS322" s="57"/>
    </row>
    <row r="323" spans="1:45" ht="21" x14ac:dyDescent="0.35">
      <c r="A323" s="34"/>
      <c r="B323" s="69"/>
      <c r="C323" s="34"/>
      <c r="D323" s="35"/>
      <c r="E323" s="34"/>
      <c r="F323" s="34"/>
      <c r="G323" s="35"/>
      <c r="H323" s="34"/>
      <c r="I323" s="19"/>
      <c r="J323" s="35"/>
      <c r="K323" s="19"/>
      <c r="L323" s="19"/>
      <c r="M323" s="19"/>
      <c r="N323" s="19"/>
      <c r="O323" s="19"/>
      <c r="P323" s="28"/>
      <c r="Q323" s="19"/>
      <c r="R323" s="19"/>
      <c r="S323" s="19"/>
      <c r="T323" s="36"/>
      <c r="U323" s="43"/>
      <c r="V323" s="19"/>
      <c r="W323" s="28"/>
      <c r="X323" s="28"/>
      <c r="Y323" s="19"/>
      <c r="Z323" s="19"/>
      <c r="AA323" s="19"/>
      <c r="AB323" s="29"/>
      <c r="AC323" s="29"/>
      <c r="AD323" s="29"/>
      <c r="AE323" s="28"/>
      <c r="AF323" s="28"/>
      <c r="AG323" s="28"/>
      <c r="AH323" s="29"/>
      <c r="AI323" s="29"/>
      <c r="AJ323" s="30"/>
      <c r="AK323" s="57"/>
      <c r="AL323" s="57"/>
      <c r="AM323" s="57"/>
      <c r="AN323" s="57"/>
      <c r="AO323" s="57"/>
      <c r="AP323" s="57"/>
      <c r="AQ323" s="57"/>
      <c r="AR323" s="57"/>
      <c r="AS323" s="57"/>
    </row>
    <row r="324" spans="1:45" ht="21" x14ac:dyDescent="0.35">
      <c r="A324" s="34"/>
      <c r="B324" s="69"/>
      <c r="C324" s="34"/>
      <c r="D324" s="35"/>
      <c r="E324" s="34"/>
      <c r="F324" s="34"/>
      <c r="G324" s="35"/>
      <c r="H324" s="34"/>
      <c r="I324" s="19"/>
      <c r="J324" s="35"/>
      <c r="K324" s="19"/>
      <c r="L324" s="19"/>
      <c r="M324" s="19"/>
      <c r="N324" s="19"/>
      <c r="O324" s="19"/>
      <c r="P324" s="28"/>
      <c r="Q324" s="19"/>
      <c r="R324" s="19"/>
      <c r="S324" s="19"/>
      <c r="T324" s="36"/>
      <c r="U324" s="43"/>
      <c r="V324" s="19"/>
      <c r="W324" s="28"/>
      <c r="X324" s="28"/>
      <c r="Y324" s="19"/>
      <c r="Z324" s="19"/>
      <c r="AA324" s="19"/>
      <c r="AB324" s="29"/>
      <c r="AC324" s="29"/>
      <c r="AD324" s="29"/>
      <c r="AE324" s="28"/>
      <c r="AF324" s="28"/>
      <c r="AG324" s="28"/>
      <c r="AH324" s="29"/>
      <c r="AI324" s="29"/>
      <c r="AJ324" s="30"/>
      <c r="AK324" s="57"/>
      <c r="AL324" s="57"/>
      <c r="AM324" s="57"/>
      <c r="AN324" s="57"/>
      <c r="AO324" s="57"/>
      <c r="AP324" s="57"/>
      <c r="AQ324" s="57"/>
      <c r="AR324" s="57"/>
      <c r="AS324" s="57"/>
    </row>
    <row r="325" spans="1:45" ht="21" x14ac:dyDescent="0.35">
      <c r="A325" s="34"/>
      <c r="B325" s="69"/>
      <c r="C325" s="34"/>
      <c r="D325" s="35"/>
      <c r="E325" s="34"/>
      <c r="F325" s="34"/>
      <c r="G325" s="35"/>
      <c r="H325" s="34"/>
      <c r="I325" s="19"/>
      <c r="J325" s="35"/>
      <c r="K325" s="19"/>
      <c r="L325" s="19"/>
      <c r="M325" s="19"/>
      <c r="N325" s="19"/>
      <c r="O325" s="19"/>
      <c r="P325" s="28"/>
      <c r="Q325" s="19"/>
      <c r="R325" s="19"/>
      <c r="S325" s="19"/>
      <c r="T325" s="36"/>
      <c r="U325" s="43"/>
      <c r="V325" s="19"/>
      <c r="W325" s="28"/>
      <c r="X325" s="28"/>
      <c r="Y325" s="19"/>
      <c r="Z325" s="19"/>
      <c r="AA325" s="19"/>
      <c r="AB325" s="29"/>
      <c r="AC325" s="29"/>
      <c r="AD325" s="29"/>
      <c r="AE325" s="28"/>
      <c r="AF325" s="28"/>
      <c r="AG325" s="28"/>
      <c r="AH325" s="29"/>
      <c r="AI325" s="29"/>
      <c r="AJ325" s="30"/>
      <c r="AK325" s="57"/>
      <c r="AL325" s="57"/>
      <c r="AM325" s="57"/>
      <c r="AN325" s="57"/>
      <c r="AO325" s="57"/>
      <c r="AP325" s="57"/>
      <c r="AQ325" s="57"/>
      <c r="AR325" s="57"/>
      <c r="AS325" s="57"/>
    </row>
    <row r="326" spans="1:45" ht="21" x14ac:dyDescent="0.35">
      <c r="A326" s="34"/>
      <c r="B326" s="69"/>
      <c r="C326" s="34"/>
      <c r="D326" s="35"/>
      <c r="E326" s="34"/>
      <c r="F326" s="34"/>
      <c r="G326" s="35"/>
      <c r="H326" s="34"/>
      <c r="I326" s="19"/>
      <c r="J326" s="35"/>
      <c r="K326" s="19"/>
      <c r="L326" s="19"/>
      <c r="M326" s="19"/>
      <c r="N326" s="19"/>
      <c r="O326" s="19"/>
      <c r="P326" s="28"/>
      <c r="Q326" s="19"/>
      <c r="R326" s="19"/>
      <c r="S326" s="19"/>
      <c r="T326" s="36"/>
      <c r="U326" s="43"/>
      <c r="V326" s="19"/>
      <c r="W326" s="28"/>
      <c r="X326" s="28"/>
      <c r="Y326" s="19"/>
      <c r="Z326" s="19"/>
      <c r="AA326" s="19"/>
      <c r="AB326" s="29"/>
      <c r="AC326" s="29"/>
      <c r="AD326" s="29"/>
      <c r="AE326" s="28"/>
      <c r="AF326" s="28"/>
      <c r="AG326" s="28"/>
      <c r="AH326" s="29"/>
      <c r="AI326" s="29"/>
      <c r="AJ326" s="30"/>
      <c r="AK326" s="57"/>
      <c r="AL326" s="57"/>
      <c r="AM326" s="57"/>
      <c r="AN326" s="57"/>
      <c r="AO326" s="57"/>
      <c r="AP326" s="57"/>
      <c r="AQ326" s="57"/>
      <c r="AR326" s="57"/>
      <c r="AS326" s="57"/>
    </row>
    <row r="327" spans="1:45" ht="21" x14ac:dyDescent="0.35">
      <c r="A327" s="34"/>
      <c r="B327" s="69"/>
      <c r="C327" s="34"/>
      <c r="D327" s="35"/>
      <c r="E327" s="34"/>
      <c r="F327" s="34"/>
      <c r="G327" s="35"/>
      <c r="H327" s="34"/>
      <c r="I327" s="19"/>
      <c r="J327" s="35"/>
      <c r="K327" s="19"/>
      <c r="L327" s="19"/>
      <c r="M327" s="19"/>
      <c r="N327" s="19"/>
      <c r="O327" s="19"/>
      <c r="P327" s="28"/>
      <c r="Q327" s="19"/>
      <c r="R327" s="19"/>
      <c r="S327" s="19"/>
      <c r="T327" s="36"/>
      <c r="U327" s="43"/>
      <c r="V327" s="19"/>
      <c r="W327" s="28"/>
      <c r="X327" s="28"/>
      <c r="Y327" s="19"/>
      <c r="Z327" s="19"/>
      <c r="AA327" s="19"/>
      <c r="AB327" s="29"/>
      <c r="AC327" s="29"/>
      <c r="AD327" s="29"/>
      <c r="AE327" s="28"/>
      <c r="AF327" s="28"/>
      <c r="AG327" s="28"/>
      <c r="AH327" s="29"/>
      <c r="AI327" s="29"/>
      <c r="AJ327" s="30"/>
      <c r="AK327" s="57"/>
      <c r="AL327" s="57"/>
      <c r="AM327" s="57"/>
      <c r="AN327" s="57"/>
      <c r="AO327" s="57"/>
      <c r="AP327" s="57"/>
      <c r="AQ327" s="57"/>
      <c r="AR327" s="57"/>
      <c r="AS327" s="57"/>
    </row>
    <row r="328" spans="1:45" ht="21" x14ac:dyDescent="0.35">
      <c r="A328" s="34"/>
      <c r="B328" s="69"/>
      <c r="C328" s="34"/>
      <c r="D328" s="35"/>
      <c r="E328" s="34"/>
      <c r="F328" s="34"/>
      <c r="G328" s="35"/>
      <c r="H328" s="34"/>
      <c r="I328" s="19"/>
      <c r="J328" s="35"/>
      <c r="K328" s="19"/>
      <c r="L328" s="19"/>
      <c r="M328" s="19"/>
      <c r="N328" s="19"/>
      <c r="O328" s="19"/>
      <c r="P328" s="28"/>
      <c r="Q328" s="19"/>
      <c r="R328" s="19"/>
      <c r="S328" s="19"/>
      <c r="T328" s="36"/>
      <c r="U328" s="43"/>
      <c r="V328" s="19"/>
      <c r="W328" s="28"/>
      <c r="X328" s="28"/>
      <c r="Y328" s="19"/>
      <c r="Z328" s="19"/>
      <c r="AA328" s="19"/>
      <c r="AB328" s="29"/>
      <c r="AC328" s="29"/>
      <c r="AD328" s="29"/>
      <c r="AE328" s="28"/>
      <c r="AF328" s="28"/>
      <c r="AG328" s="28"/>
      <c r="AH328" s="29"/>
      <c r="AI328" s="29"/>
      <c r="AJ328" s="30"/>
      <c r="AK328" s="57"/>
      <c r="AL328" s="57"/>
      <c r="AM328" s="57"/>
      <c r="AN328" s="57"/>
      <c r="AO328" s="57"/>
      <c r="AP328" s="57"/>
      <c r="AQ328" s="57"/>
      <c r="AR328" s="57"/>
      <c r="AS328" s="57"/>
    </row>
    <row r="329" spans="1:45" ht="21" x14ac:dyDescent="0.35">
      <c r="A329" s="34"/>
      <c r="B329" s="69"/>
      <c r="C329" s="34"/>
      <c r="D329" s="35"/>
      <c r="E329" s="34"/>
      <c r="F329" s="34"/>
      <c r="G329" s="35"/>
      <c r="H329" s="34"/>
      <c r="I329" s="19"/>
      <c r="J329" s="35"/>
      <c r="K329" s="19"/>
      <c r="L329" s="19"/>
      <c r="M329" s="19"/>
      <c r="N329" s="19"/>
      <c r="O329" s="19"/>
      <c r="P329" s="28"/>
      <c r="Q329" s="19"/>
      <c r="R329" s="19"/>
      <c r="S329" s="19"/>
      <c r="T329" s="36"/>
      <c r="U329" s="43"/>
      <c r="V329" s="19"/>
      <c r="W329" s="28"/>
      <c r="X329" s="28"/>
      <c r="Y329" s="19"/>
      <c r="Z329" s="19"/>
      <c r="AA329" s="19"/>
      <c r="AB329" s="29"/>
      <c r="AC329" s="29"/>
      <c r="AD329" s="29"/>
      <c r="AE329" s="28"/>
      <c r="AF329" s="28"/>
      <c r="AG329" s="28"/>
      <c r="AH329" s="29"/>
      <c r="AI329" s="29"/>
      <c r="AJ329" s="30"/>
      <c r="AK329" s="57"/>
      <c r="AL329" s="57"/>
      <c r="AM329" s="57"/>
      <c r="AN329" s="57"/>
      <c r="AO329" s="57"/>
      <c r="AP329" s="57"/>
      <c r="AQ329" s="57"/>
      <c r="AR329" s="57"/>
      <c r="AS329" s="57"/>
    </row>
    <row r="330" spans="1:45" ht="21" x14ac:dyDescent="0.35">
      <c r="A330" s="34"/>
      <c r="B330" s="69"/>
      <c r="C330" s="34"/>
      <c r="D330" s="35"/>
      <c r="E330" s="34"/>
      <c r="F330" s="34"/>
      <c r="G330" s="35"/>
      <c r="H330" s="34"/>
      <c r="I330" s="19"/>
      <c r="J330" s="35"/>
      <c r="K330" s="19"/>
      <c r="L330" s="19"/>
      <c r="M330" s="19"/>
      <c r="N330" s="19"/>
      <c r="O330" s="19"/>
      <c r="P330" s="28"/>
      <c r="Q330" s="19"/>
      <c r="R330" s="19"/>
      <c r="S330" s="19"/>
      <c r="T330" s="36"/>
      <c r="U330" s="43"/>
      <c r="V330" s="19"/>
      <c r="W330" s="28"/>
      <c r="X330" s="28"/>
      <c r="Y330" s="19"/>
      <c r="Z330" s="19"/>
      <c r="AA330" s="19"/>
      <c r="AB330" s="29"/>
      <c r="AC330" s="29"/>
      <c r="AD330" s="29"/>
      <c r="AE330" s="28"/>
      <c r="AF330" s="28"/>
      <c r="AG330" s="28"/>
      <c r="AH330" s="29"/>
      <c r="AI330" s="29"/>
      <c r="AJ330" s="30"/>
      <c r="AK330" s="57"/>
      <c r="AL330" s="57"/>
      <c r="AM330" s="57"/>
      <c r="AN330" s="57"/>
      <c r="AO330" s="57"/>
      <c r="AP330" s="57"/>
      <c r="AQ330" s="57"/>
      <c r="AR330" s="57"/>
      <c r="AS330" s="57"/>
    </row>
    <row r="331" spans="1:45" ht="21" x14ac:dyDescent="0.35">
      <c r="A331" s="34"/>
      <c r="B331" s="69"/>
      <c r="C331" s="34"/>
      <c r="D331" s="35"/>
      <c r="E331" s="34"/>
      <c r="F331" s="34"/>
      <c r="G331" s="35"/>
      <c r="H331" s="34"/>
      <c r="I331" s="19"/>
      <c r="J331" s="35"/>
      <c r="K331" s="19"/>
      <c r="L331" s="19"/>
      <c r="M331" s="19"/>
      <c r="N331" s="19"/>
      <c r="O331" s="19"/>
      <c r="P331" s="28"/>
      <c r="Q331" s="19"/>
      <c r="R331" s="19"/>
      <c r="S331" s="19"/>
      <c r="T331" s="36"/>
      <c r="U331" s="43"/>
      <c r="V331" s="19"/>
      <c r="W331" s="28"/>
      <c r="X331" s="28"/>
      <c r="Y331" s="19"/>
      <c r="Z331" s="19"/>
      <c r="AA331" s="19"/>
      <c r="AB331" s="29"/>
      <c r="AC331" s="29"/>
      <c r="AD331" s="29"/>
      <c r="AE331" s="28"/>
      <c r="AF331" s="28"/>
      <c r="AG331" s="28"/>
      <c r="AH331" s="29"/>
      <c r="AI331" s="29"/>
      <c r="AJ331" s="30"/>
      <c r="AK331" s="57"/>
      <c r="AL331" s="57"/>
      <c r="AM331" s="57"/>
      <c r="AN331" s="57"/>
      <c r="AO331" s="57"/>
      <c r="AP331" s="57"/>
      <c r="AQ331" s="57"/>
      <c r="AR331" s="57"/>
      <c r="AS331" s="57"/>
    </row>
    <row r="332" spans="1:45" ht="21" x14ac:dyDescent="0.35">
      <c r="A332" s="34"/>
      <c r="B332" s="69"/>
      <c r="C332" s="34"/>
      <c r="D332" s="35"/>
      <c r="E332" s="34"/>
      <c r="F332" s="34"/>
      <c r="G332" s="35"/>
      <c r="H332" s="34"/>
      <c r="I332" s="19"/>
      <c r="J332" s="35"/>
      <c r="K332" s="19"/>
      <c r="L332" s="19"/>
      <c r="M332" s="19"/>
      <c r="N332" s="19"/>
      <c r="O332" s="19"/>
      <c r="P332" s="28"/>
      <c r="Q332" s="19"/>
      <c r="R332" s="19"/>
      <c r="S332" s="19"/>
      <c r="T332" s="36"/>
      <c r="U332" s="43"/>
      <c r="V332" s="19"/>
      <c r="W332" s="28"/>
      <c r="X332" s="28"/>
      <c r="Y332" s="19"/>
      <c r="Z332" s="19"/>
      <c r="AA332" s="19"/>
      <c r="AB332" s="29"/>
      <c r="AC332" s="29"/>
      <c r="AD332" s="29"/>
      <c r="AE332" s="28"/>
      <c r="AF332" s="28"/>
      <c r="AG332" s="28"/>
      <c r="AH332" s="29"/>
      <c r="AI332" s="29"/>
      <c r="AJ332" s="30"/>
      <c r="AK332" s="57"/>
      <c r="AL332" s="57"/>
      <c r="AM332" s="57"/>
      <c r="AN332" s="57"/>
      <c r="AO332" s="57"/>
      <c r="AP332" s="57"/>
      <c r="AQ332" s="57"/>
      <c r="AR332" s="57"/>
      <c r="AS332" s="57"/>
    </row>
    <row r="333" spans="1:45" ht="21" x14ac:dyDescent="0.35">
      <c r="A333" s="34"/>
      <c r="B333" s="69"/>
      <c r="C333" s="34"/>
      <c r="D333" s="35"/>
      <c r="E333" s="34"/>
      <c r="F333" s="34"/>
      <c r="G333" s="35"/>
      <c r="H333" s="34"/>
      <c r="I333" s="19"/>
      <c r="J333" s="35"/>
      <c r="K333" s="19"/>
      <c r="L333" s="19"/>
      <c r="M333" s="19"/>
      <c r="N333" s="19"/>
      <c r="O333" s="19"/>
      <c r="P333" s="28"/>
      <c r="Q333" s="19"/>
      <c r="R333" s="19"/>
      <c r="S333" s="19"/>
      <c r="T333" s="36"/>
      <c r="U333" s="43"/>
      <c r="V333" s="19"/>
      <c r="W333" s="28"/>
      <c r="X333" s="28"/>
      <c r="Y333" s="19"/>
      <c r="Z333" s="19"/>
      <c r="AA333" s="19"/>
      <c r="AB333" s="29"/>
      <c r="AC333" s="29"/>
      <c r="AD333" s="29"/>
      <c r="AE333" s="28"/>
      <c r="AF333" s="28"/>
      <c r="AG333" s="28"/>
      <c r="AH333" s="29"/>
      <c r="AI333" s="29"/>
      <c r="AJ333" s="30"/>
      <c r="AK333" s="57"/>
      <c r="AL333" s="57"/>
      <c r="AM333" s="57"/>
      <c r="AN333" s="57"/>
      <c r="AO333" s="57"/>
      <c r="AP333" s="57"/>
      <c r="AQ333" s="57"/>
      <c r="AR333" s="57"/>
      <c r="AS333" s="57"/>
    </row>
    <row r="334" spans="1:45" ht="21" x14ac:dyDescent="0.35">
      <c r="A334" s="34"/>
      <c r="B334" s="69"/>
      <c r="C334" s="34"/>
      <c r="D334" s="35"/>
      <c r="E334" s="34"/>
      <c r="F334" s="34"/>
      <c r="G334" s="35"/>
      <c r="H334" s="34"/>
      <c r="I334" s="19"/>
      <c r="J334" s="35"/>
      <c r="K334" s="19"/>
      <c r="L334" s="19"/>
      <c r="M334" s="19"/>
      <c r="N334" s="19"/>
      <c r="O334" s="19"/>
      <c r="P334" s="28"/>
      <c r="Q334" s="19"/>
      <c r="R334" s="19"/>
      <c r="S334" s="19"/>
      <c r="T334" s="36"/>
      <c r="U334" s="43"/>
      <c r="V334" s="19"/>
      <c r="W334" s="28"/>
      <c r="X334" s="28"/>
      <c r="Y334" s="19"/>
      <c r="Z334" s="19"/>
      <c r="AA334" s="19"/>
      <c r="AB334" s="29"/>
      <c r="AC334" s="29"/>
      <c r="AD334" s="29"/>
      <c r="AE334" s="28"/>
      <c r="AF334" s="28"/>
      <c r="AG334" s="28"/>
      <c r="AH334" s="29"/>
      <c r="AI334" s="29"/>
      <c r="AJ334" s="30"/>
      <c r="AK334" s="57"/>
      <c r="AL334" s="57"/>
      <c r="AM334" s="57"/>
      <c r="AN334" s="57"/>
      <c r="AO334" s="57"/>
      <c r="AP334" s="57"/>
      <c r="AQ334" s="57"/>
      <c r="AR334" s="57"/>
      <c r="AS334" s="57"/>
    </row>
    <row r="335" spans="1:45" ht="21" x14ac:dyDescent="0.35">
      <c r="A335" s="34"/>
      <c r="B335" s="69"/>
      <c r="C335" s="34"/>
      <c r="D335" s="35"/>
      <c r="E335" s="34"/>
      <c r="F335" s="34"/>
      <c r="G335" s="35"/>
      <c r="H335" s="34"/>
      <c r="I335" s="19"/>
      <c r="J335" s="35"/>
      <c r="K335" s="19"/>
      <c r="L335" s="19"/>
      <c r="M335" s="19"/>
      <c r="N335" s="19"/>
      <c r="O335" s="19"/>
      <c r="P335" s="28"/>
      <c r="Q335" s="19"/>
      <c r="R335" s="19"/>
      <c r="S335" s="19"/>
      <c r="T335" s="36"/>
      <c r="U335" s="43"/>
      <c r="V335" s="19"/>
      <c r="W335" s="28"/>
      <c r="X335" s="28"/>
      <c r="Y335" s="19"/>
      <c r="Z335" s="19"/>
      <c r="AA335" s="19"/>
      <c r="AB335" s="29"/>
      <c r="AC335" s="29"/>
      <c r="AD335" s="29"/>
      <c r="AE335" s="28"/>
      <c r="AF335" s="28"/>
      <c r="AG335" s="28"/>
      <c r="AH335" s="29"/>
      <c r="AI335" s="29"/>
      <c r="AJ335" s="30"/>
      <c r="AK335" s="57"/>
      <c r="AL335" s="57"/>
      <c r="AM335" s="57"/>
      <c r="AN335" s="57"/>
      <c r="AO335" s="57"/>
      <c r="AP335" s="57"/>
      <c r="AQ335" s="57"/>
      <c r="AR335" s="57"/>
      <c r="AS335" s="57"/>
    </row>
    <row r="336" spans="1:45" ht="21" x14ac:dyDescent="0.35">
      <c r="A336" s="34"/>
      <c r="B336" s="69"/>
      <c r="C336" s="34"/>
      <c r="D336" s="35"/>
      <c r="E336" s="34"/>
      <c r="F336" s="34"/>
      <c r="G336" s="35"/>
      <c r="H336" s="34"/>
      <c r="I336" s="19"/>
      <c r="J336" s="35"/>
      <c r="K336" s="19"/>
      <c r="L336" s="19"/>
      <c r="M336" s="19"/>
      <c r="N336" s="19"/>
      <c r="O336" s="19"/>
      <c r="P336" s="28"/>
      <c r="Q336" s="19"/>
      <c r="R336" s="19"/>
      <c r="S336" s="19"/>
      <c r="T336" s="36"/>
      <c r="U336" s="43"/>
      <c r="V336" s="19"/>
      <c r="W336" s="28"/>
      <c r="X336" s="28"/>
      <c r="Y336" s="19"/>
      <c r="Z336" s="19"/>
      <c r="AA336" s="19"/>
      <c r="AB336" s="29"/>
      <c r="AC336" s="29"/>
      <c r="AD336" s="29"/>
      <c r="AE336" s="28"/>
      <c r="AF336" s="28"/>
      <c r="AG336" s="28"/>
      <c r="AH336" s="29"/>
      <c r="AI336" s="29"/>
      <c r="AJ336" s="30"/>
      <c r="AK336" s="57"/>
      <c r="AL336" s="57"/>
      <c r="AM336" s="57"/>
      <c r="AN336" s="57"/>
      <c r="AO336" s="57"/>
      <c r="AP336" s="57"/>
      <c r="AQ336" s="57"/>
      <c r="AR336" s="57"/>
      <c r="AS336" s="57"/>
    </row>
    <row r="337" spans="1:45" ht="21" x14ac:dyDescent="0.35">
      <c r="A337" s="34"/>
      <c r="B337" s="69"/>
      <c r="C337" s="34"/>
      <c r="D337" s="35"/>
      <c r="E337" s="34"/>
      <c r="F337" s="34"/>
      <c r="G337" s="35"/>
      <c r="H337" s="34"/>
      <c r="I337" s="19"/>
      <c r="J337" s="35"/>
      <c r="K337" s="19"/>
      <c r="L337" s="19"/>
      <c r="M337" s="19"/>
      <c r="N337" s="19"/>
      <c r="O337" s="19"/>
      <c r="P337" s="28"/>
      <c r="Q337" s="19"/>
      <c r="R337" s="19"/>
      <c r="S337" s="19"/>
      <c r="T337" s="36"/>
      <c r="U337" s="43"/>
      <c r="V337" s="19"/>
      <c r="W337" s="28"/>
      <c r="X337" s="28"/>
      <c r="Y337" s="19"/>
      <c r="Z337" s="19"/>
      <c r="AA337" s="19"/>
      <c r="AB337" s="29"/>
      <c r="AC337" s="29"/>
      <c r="AD337" s="29"/>
      <c r="AE337" s="28"/>
      <c r="AF337" s="28"/>
      <c r="AG337" s="28"/>
      <c r="AH337" s="29"/>
      <c r="AI337" s="29"/>
      <c r="AJ337" s="30"/>
      <c r="AK337" s="57"/>
      <c r="AL337" s="57"/>
      <c r="AM337" s="57"/>
      <c r="AN337" s="57"/>
      <c r="AO337" s="57"/>
      <c r="AP337" s="57"/>
      <c r="AQ337" s="57"/>
      <c r="AR337" s="57"/>
      <c r="AS337" s="57"/>
    </row>
    <row r="338" spans="1:45" ht="21" x14ac:dyDescent="0.35">
      <c r="A338" s="34"/>
      <c r="B338" s="69"/>
      <c r="C338" s="34"/>
      <c r="D338" s="35"/>
      <c r="E338" s="34"/>
      <c r="F338" s="34"/>
      <c r="G338" s="35"/>
      <c r="H338" s="34"/>
      <c r="I338" s="19"/>
      <c r="J338" s="35"/>
      <c r="K338" s="19"/>
      <c r="L338" s="19"/>
      <c r="M338" s="19"/>
      <c r="N338" s="19"/>
      <c r="O338" s="19"/>
      <c r="P338" s="28"/>
      <c r="Q338" s="19"/>
      <c r="R338" s="19"/>
      <c r="S338" s="19"/>
      <c r="T338" s="36"/>
      <c r="U338" s="43"/>
      <c r="V338" s="19"/>
      <c r="W338" s="28"/>
      <c r="X338" s="28"/>
      <c r="Y338" s="19"/>
      <c r="Z338" s="19"/>
      <c r="AA338" s="19"/>
      <c r="AB338" s="29"/>
      <c r="AC338" s="29"/>
      <c r="AD338" s="29"/>
      <c r="AE338" s="28"/>
      <c r="AF338" s="28"/>
      <c r="AG338" s="28"/>
      <c r="AH338" s="29"/>
      <c r="AI338" s="29"/>
      <c r="AJ338" s="30"/>
      <c r="AK338" s="57"/>
      <c r="AL338" s="57"/>
      <c r="AM338" s="57"/>
      <c r="AN338" s="57"/>
      <c r="AO338" s="57"/>
      <c r="AP338" s="57"/>
      <c r="AQ338" s="57"/>
      <c r="AR338" s="57"/>
      <c r="AS338" s="57"/>
    </row>
    <row r="339" spans="1:45" ht="21" x14ac:dyDescent="0.35">
      <c r="A339" s="34"/>
      <c r="B339" s="69"/>
      <c r="C339" s="34"/>
      <c r="D339" s="35"/>
      <c r="E339" s="34"/>
      <c r="F339" s="34"/>
      <c r="G339" s="35"/>
      <c r="H339" s="34"/>
      <c r="I339" s="19"/>
      <c r="J339" s="35"/>
      <c r="K339" s="19"/>
      <c r="L339" s="19"/>
      <c r="M339" s="19"/>
      <c r="N339" s="19"/>
      <c r="O339" s="19"/>
      <c r="P339" s="28"/>
      <c r="Q339" s="19"/>
      <c r="R339" s="19"/>
      <c r="S339" s="19"/>
      <c r="T339" s="36"/>
      <c r="U339" s="43"/>
      <c r="V339" s="19"/>
      <c r="W339" s="28"/>
      <c r="X339" s="28"/>
      <c r="Y339" s="19"/>
      <c r="Z339" s="19"/>
      <c r="AA339" s="19"/>
      <c r="AB339" s="29"/>
      <c r="AC339" s="29"/>
      <c r="AD339" s="29"/>
      <c r="AE339" s="28"/>
      <c r="AF339" s="28"/>
      <c r="AG339" s="28"/>
      <c r="AH339" s="29"/>
      <c r="AI339" s="29"/>
      <c r="AJ339" s="30"/>
      <c r="AK339" s="57"/>
      <c r="AL339" s="57"/>
      <c r="AM339" s="57"/>
      <c r="AN339" s="57"/>
      <c r="AO339" s="57"/>
      <c r="AP339" s="57"/>
      <c r="AQ339" s="57"/>
      <c r="AR339" s="57"/>
      <c r="AS339" s="57"/>
    </row>
    <row r="340" spans="1:45" ht="21" x14ac:dyDescent="0.35">
      <c r="A340" s="34"/>
      <c r="B340" s="69"/>
      <c r="C340" s="34"/>
      <c r="D340" s="35"/>
      <c r="E340" s="34"/>
      <c r="F340" s="34"/>
      <c r="G340" s="35"/>
      <c r="H340" s="34"/>
      <c r="I340" s="19"/>
      <c r="J340" s="35"/>
      <c r="K340" s="19"/>
      <c r="L340" s="19"/>
      <c r="M340" s="19"/>
      <c r="N340" s="19"/>
      <c r="O340" s="19"/>
      <c r="P340" s="28"/>
      <c r="Q340" s="19"/>
      <c r="R340" s="19"/>
      <c r="S340" s="19"/>
      <c r="T340" s="36"/>
      <c r="U340" s="43"/>
      <c r="V340" s="19"/>
      <c r="W340" s="28"/>
      <c r="X340" s="28"/>
      <c r="Y340" s="19"/>
      <c r="Z340" s="19"/>
      <c r="AA340" s="19"/>
      <c r="AB340" s="29"/>
      <c r="AC340" s="29"/>
      <c r="AD340" s="29"/>
      <c r="AE340" s="28"/>
      <c r="AF340" s="28"/>
      <c r="AG340" s="28"/>
      <c r="AH340" s="29"/>
      <c r="AI340" s="29"/>
      <c r="AJ340" s="30"/>
      <c r="AK340" s="57"/>
      <c r="AL340" s="57"/>
      <c r="AM340" s="57"/>
      <c r="AN340" s="57"/>
      <c r="AO340" s="57"/>
      <c r="AP340" s="57"/>
      <c r="AQ340" s="57"/>
      <c r="AR340" s="57"/>
      <c r="AS340" s="57"/>
    </row>
    <row r="341" spans="1:45" ht="21" x14ac:dyDescent="0.35">
      <c r="A341" s="34"/>
      <c r="B341" s="69"/>
      <c r="C341" s="34"/>
      <c r="D341" s="35"/>
      <c r="E341" s="34"/>
      <c r="F341" s="34"/>
      <c r="G341" s="35"/>
      <c r="H341" s="34"/>
      <c r="I341" s="19"/>
      <c r="J341" s="35"/>
      <c r="K341" s="19"/>
      <c r="L341" s="19"/>
      <c r="M341" s="19"/>
      <c r="N341" s="19"/>
      <c r="O341" s="19"/>
      <c r="P341" s="28"/>
      <c r="Q341" s="19"/>
      <c r="R341" s="19"/>
      <c r="S341" s="19"/>
      <c r="T341" s="36"/>
      <c r="U341" s="43"/>
      <c r="V341" s="19"/>
      <c r="W341" s="28"/>
      <c r="X341" s="28"/>
      <c r="Y341" s="19"/>
      <c r="Z341" s="19"/>
      <c r="AA341" s="19"/>
      <c r="AB341" s="29"/>
      <c r="AC341" s="29"/>
      <c r="AD341" s="29"/>
      <c r="AE341" s="28"/>
      <c r="AF341" s="28"/>
      <c r="AG341" s="28"/>
      <c r="AH341" s="29"/>
      <c r="AI341" s="29"/>
      <c r="AJ341" s="30"/>
      <c r="AK341" s="57"/>
      <c r="AL341" s="57"/>
      <c r="AM341" s="57"/>
      <c r="AN341" s="57"/>
      <c r="AO341" s="57"/>
      <c r="AP341" s="57"/>
      <c r="AQ341" s="57"/>
      <c r="AR341" s="57"/>
      <c r="AS341" s="57"/>
    </row>
    <row r="342" spans="1:45" ht="21" x14ac:dyDescent="0.35">
      <c r="A342" s="34"/>
      <c r="B342" s="69"/>
      <c r="C342" s="34"/>
      <c r="D342" s="35"/>
      <c r="E342" s="34"/>
      <c r="F342" s="34"/>
      <c r="G342" s="35"/>
      <c r="H342" s="34"/>
      <c r="I342" s="19"/>
      <c r="J342" s="35"/>
      <c r="K342" s="19"/>
      <c r="L342" s="19"/>
      <c r="M342" s="19"/>
      <c r="N342" s="19"/>
      <c r="O342" s="19"/>
      <c r="P342" s="28"/>
      <c r="Q342" s="19"/>
      <c r="R342" s="19"/>
      <c r="S342" s="19"/>
      <c r="T342" s="36"/>
      <c r="U342" s="43"/>
      <c r="V342" s="19"/>
      <c r="W342" s="28"/>
      <c r="X342" s="28"/>
      <c r="Y342" s="19"/>
      <c r="Z342" s="19"/>
      <c r="AA342" s="19"/>
      <c r="AB342" s="29"/>
      <c r="AC342" s="29"/>
      <c r="AD342" s="29"/>
      <c r="AE342" s="28"/>
      <c r="AF342" s="28"/>
      <c r="AG342" s="28"/>
      <c r="AH342" s="29"/>
      <c r="AI342" s="29"/>
      <c r="AJ342" s="30"/>
      <c r="AK342" s="57"/>
      <c r="AL342" s="57"/>
      <c r="AM342" s="57"/>
      <c r="AN342" s="57"/>
      <c r="AO342" s="57"/>
      <c r="AP342" s="57"/>
      <c r="AQ342" s="57"/>
      <c r="AR342" s="57"/>
      <c r="AS342" s="57"/>
    </row>
    <row r="343" spans="1:45" ht="21" x14ac:dyDescent="0.35">
      <c r="A343" s="34"/>
      <c r="B343" s="69"/>
      <c r="C343" s="34"/>
      <c r="D343" s="35"/>
      <c r="E343" s="34"/>
      <c r="F343" s="34"/>
      <c r="G343" s="35"/>
      <c r="H343" s="34"/>
      <c r="I343" s="19"/>
      <c r="J343" s="35"/>
      <c r="K343" s="19"/>
      <c r="L343" s="19"/>
      <c r="M343" s="19"/>
      <c r="N343" s="19"/>
      <c r="O343" s="19"/>
      <c r="P343" s="28"/>
      <c r="Q343" s="19"/>
      <c r="R343" s="19"/>
      <c r="S343" s="19"/>
      <c r="T343" s="36"/>
      <c r="U343" s="43"/>
      <c r="V343" s="19"/>
      <c r="W343" s="28"/>
      <c r="X343" s="28"/>
      <c r="Y343" s="19"/>
      <c r="Z343" s="19"/>
      <c r="AA343" s="19"/>
      <c r="AB343" s="29"/>
      <c r="AC343" s="29"/>
      <c r="AD343" s="29"/>
      <c r="AE343" s="28"/>
      <c r="AF343" s="28"/>
      <c r="AG343" s="28"/>
      <c r="AH343" s="29"/>
      <c r="AI343" s="29"/>
      <c r="AJ343" s="30"/>
      <c r="AK343" s="57"/>
      <c r="AL343" s="57"/>
      <c r="AM343" s="57"/>
      <c r="AN343" s="57"/>
      <c r="AO343" s="57"/>
      <c r="AP343" s="57"/>
      <c r="AQ343" s="57"/>
      <c r="AR343" s="57"/>
      <c r="AS343" s="57"/>
    </row>
    <row r="344" spans="1:45" ht="21" x14ac:dyDescent="0.35">
      <c r="A344" s="34"/>
      <c r="B344" s="69"/>
      <c r="C344" s="34"/>
      <c r="D344" s="35"/>
      <c r="E344" s="34"/>
      <c r="F344" s="34"/>
      <c r="G344" s="35"/>
      <c r="H344" s="34"/>
      <c r="I344" s="19"/>
      <c r="J344" s="35"/>
      <c r="K344" s="19"/>
      <c r="L344" s="19"/>
      <c r="M344" s="19"/>
      <c r="N344" s="19"/>
      <c r="O344" s="19"/>
      <c r="P344" s="28"/>
      <c r="Q344" s="19"/>
      <c r="R344" s="19"/>
      <c r="S344" s="19"/>
      <c r="T344" s="36"/>
      <c r="U344" s="43"/>
      <c r="V344" s="19"/>
      <c r="W344" s="28"/>
      <c r="X344" s="28"/>
      <c r="Y344" s="19"/>
      <c r="Z344" s="19"/>
      <c r="AA344" s="19"/>
      <c r="AB344" s="29"/>
      <c r="AC344" s="29"/>
      <c r="AD344" s="29"/>
      <c r="AE344" s="28"/>
      <c r="AF344" s="28"/>
      <c r="AG344" s="28"/>
      <c r="AH344" s="29"/>
      <c r="AI344" s="29"/>
      <c r="AJ344" s="30"/>
      <c r="AK344" s="57"/>
      <c r="AL344" s="57"/>
      <c r="AM344" s="57"/>
      <c r="AN344" s="57"/>
      <c r="AO344" s="57"/>
      <c r="AP344" s="57"/>
      <c r="AQ344" s="57"/>
      <c r="AR344" s="57"/>
      <c r="AS344" s="57"/>
    </row>
    <row r="345" spans="1:45" ht="21" x14ac:dyDescent="0.35">
      <c r="A345" s="34"/>
      <c r="B345" s="69"/>
      <c r="C345" s="34"/>
      <c r="D345" s="35"/>
      <c r="E345" s="34"/>
      <c r="F345" s="34"/>
      <c r="G345" s="35"/>
      <c r="H345" s="34"/>
      <c r="I345" s="19"/>
      <c r="J345" s="35"/>
      <c r="K345" s="19"/>
      <c r="L345" s="19"/>
      <c r="M345" s="19"/>
      <c r="N345" s="19"/>
      <c r="O345" s="19"/>
      <c r="P345" s="28"/>
      <c r="Q345" s="19"/>
      <c r="R345" s="19"/>
      <c r="S345" s="19"/>
      <c r="T345" s="36"/>
      <c r="U345" s="43"/>
      <c r="V345" s="19"/>
      <c r="W345" s="28"/>
      <c r="X345" s="28"/>
      <c r="Y345" s="19"/>
      <c r="Z345" s="19"/>
      <c r="AA345" s="19"/>
      <c r="AB345" s="29"/>
      <c r="AC345" s="29"/>
      <c r="AD345" s="29"/>
      <c r="AE345" s="28"/>
      <c r="AF345" s="28"/>
      <c r="AG345" s="28"/>
      <c r="AH345" s="29"/>
      <c r="AI345" s="29"/>
      <c r="AJ345" s="30"/>
      <c r="AK345" s="57"/>
      <c r="AL345" s="57"/>
      <c r="AM345" s="57"/>
      <c r="AN345" s="57"/>
      <c r="AO345" s="57"/>
      <c r="AP345" s="57"/>
      <c r="AQ345" s="57"/>
      <c r="AR345" s="57"/>
      <c r="AS345" s="57"/>
    </row>
    <row r="346" spans="1:45" ht="21" x14ac:dyDescent="0.35">
      <c r="A346" s="34"/>
      <c r="B346" s="69"/>
      <c r="C346" s="34"/>
      <c r="D346" s="35"/>
      <c r="E346" s="34"/>
      <c r="F346" s="34"/>
      <c r="G346" s="35"/>
      <c r="H346" s="34"/>
      <c r="I346" s="19"/>
      <c r="J346" s="35"/>
      <c r="K346" s="19"/>
      <c r="L346" s="19"/>
      <c r="M346" s="19"/>
      <c r="N346" s="19"/>
      <c r="O346" s="19"/>
      <c r="P346" s="28"/>
      <c r="Q346" s="19"/>
      <c r="R346" s="19"/>
      <c r="S346" s="19"/>
      <c r="T346" s="36"/>
      <c r="U346" s="43"/>
      <c r="V346" s="19"/>
      <c r="W346" s="28"/>
      <c r="X346" s="28"/>
      <c r="Y346" s="19"/>
      <c r="Z346" s="19"/>
      <c r="AA346" s="19"/>
      <c r="AB346" s="29"/>
      <c r="AC346" s="29"/>
      <c r="AD346" s="29"/>
      <c r="AE346" s="28"/>
      <c r="AF346" s="28"/>
      <c r="AG346" s="28"/>
      <c r="AH346" s="29"/>
      <c r="AI346" s="29"/>
      <c r="AJ346" s="30"/>
      <c r="AK346" s="57"/>
      <c r="AL346" s="57"/>
      <c r="AM346" s="57"/>
      <c r="AN346" s="57"/>
      <c r="AO346" s="57"/>
      <c r="AP346" s="57"/>
      <c r="AQ346" s="57"/>
      <c r="AR346" s="57"/>
      <c r="AS346" s="57"/>
    </row>
    <row r="347" spans="1:45" ht="21" x14ac:dyDescent="0.35">
      <c r="A347" s="34"/>
      <c r="B347" s="69"/>
      <c r="C347" s="34"/>
      <c r="D347" s="35"/>
      <c r="E347" s="34"/>
      <c r="F347" s="34"/>
      <c r="G347" s="35"/>
      <c r="H347" s="34"/>
      <c r="I347" s="19"/>
      <c r="J347" s="35"/>
      <c r="K347" s="19"/>
      <c r="L347" s="19"/>
      <c r="M347" s="19"/>
      <c r="N347" s="19"/>
      <c r="O347" s="19"/>
      <c r="P347" s="28"/>
      <c r="Q347" s="19"/>
      <c r="R347" s="19"/>
      <c r="S347" s="19"/>
      <c r="T347" s="36"/>
      <c r="U347" s="43"/>
      <c r="V347" s="19"/>
      <c r="W347" s="28"/>
      <c r="X347" s="28"/>
      <c r="Y347" s="19"/>
      <c r="Z347" s="19"/>
      <c r="AA347" s="19"/>
      <c r="AB347" s="29"/>
      <c r="AC347" s="29"/>
      <c r="AD347" s="29"/>
      <c r="AE347" s="28"/>
      <c r="AF347" s="28"/>
      <c r="AG347" s="28"/>
      <c r="AH347" s="29"/>
      <c r="AI347" s="29"/>
      <c r="AJ347" s="30"/>
      <c r="AK347" s="57"/>
      <c r="AL347" s="57"/>
      <c r="AM347" s="57"/>
      <c r="AN347" s="57"/>
      <c r="AO347" s="57"/>
      <c r="AP347" s="57"/>
      <c r="AQ347" s="57"/>
      <c r="AR347" s="57"/>
      <c r="AS347" s="57"/>
    </row>
    <row r="348" spans="1:45" ht="21" x14ac:dyDescent="0.35">
      <c r="A348" s="34"/>
      <c r="B348" s="69"/>
      <c r="C348" s="34"/>
      <c r="D348" s="35"/>
      <c r="E348" s="34"/>
      <c r="F348" s="34"/>
      <c r="G348" s="35"/>
      <c r="H348" s="34"/>
      <c r="I348" s="19"/>
      <c r="J348" s="35"/>
      <c r="K348" s="19"/>
      <c r="L348" s="19"/>
      <c r="M348" s="19"/>
      <c r="N348" s="19"/>
      <c r="O348" s="19"/>
      <c r="P348" s="28"/>
      <c r="Q348" s="19"/>
      <c r="R348" s="19"/>
      <c r="S348" s="19"/>
      <c r="T348" s="36"/>
      <c r="U348" s="43"/>
      <c r="V348" s="19"/>
      <c r="W348" s="28"/>
      <c r="X348" s="28"/>
      <c r="Y348" s="19"/>
      <c r="Z348" s="19"/>
      <c r="AA348" s="19"/>
      <c r="AB348" s="29"/>
      <c r="AC348" s="29"/>
      <c r="AD348" s="29"/>
      <c r="AE348" s="28"/>
      <c r="AF348" s="28"/>
      <c r="AG348" s="28"/>
      <c r="AH348" s="29"/>
      <c r="AI348" s="29"/>
      <c r="AJ348" s="30"/>
      <c r="AK348" s="57"/>
      <c r="AL348" s="57"/>
      <c r="AM348" s="57"/>
      <c r="AN348" s="57"/>
      <c r="AO348" s="57"/>
      <c r="AP348" s="57"/>
      <c r="AQ348" s="57"/>
      <c r="AR348" s="57"/>
      <c r="AS348" s="57"/>
    </row>
    <row r="349" spans="1:45" ht="21" x14ac:dyDescent="0.35">
      <c r="A349" s="34"/>
      <c r="B349" s="69"/>
      <c r="C349" s="34"/>
      <c r="D349" s="35"/>
      <c r="E349" s="34"/>
      <c r="F349" s="34"/>
      <c r="G349" s="35"/>
      <c r="H349" s="34"/>
      <c r="I349" s="19"/>
      <c r="J349" s="35"/>
      <c r="K349" s="19"/>
      <c r="L349" s="19"/>
      <c r="M349" s="19"/>
      <c r="N349" s="19"/>
      <c r="O349" s="19"/>
      <c r="P349" s="28"/>
      <c r="Q349" s="19"/>
      <c r="R349" s="19"/>
      <c r="S349" s="19"/>
      <c r="T349" s="36"/>
      <c r="U349" s="43"/>
      <c r="V349" s="19"/>
      <c r="W349" s="28"/>
      <c r="X349" s="28"/>
      <c r="Y349" s="19"/>
      <c r="Z349" s="19"/>
      <c r="AA349" s="19"/>
      <c r="AB349" s="29"/>
      <c r="AC349" s="29"/>
      <c r="AD349" s="29"/>
      <c r="AE349" s="28"/>
      <c r="AF349" s="28"/>
      <c r="AG349" s="28"/>
      <c r="AH349" s="29"/>
      <c r="AI349" s="29"/>
      <c r="AJ349" s="30"/>
      <c r="AK349" s="57"/>
      <c r="AL349" s="57"/>
      <c r="AM349" s="57"/>
      <c r="AN349" s="57"/>
      <c r="AO349" s="57"/>
      <c r="AP349" s="57"/>
      <c r="AQ349" s="57"/>
      <c r="AR349" s="57"/>
      <c r="AS349" s="57"/>
    </row>
    <row r="350" spans="1:45" ht="21" x14ac:dyDescent="0.35">
      <c r="A350" s="34"/>
      <c r="B350" s="69"/>
      <c r="C350" s="34"/>
      <c r="D350" s="35"/>
      <c r="E350" s="34"/>
      <c r="F350" s="34"/>
      <c r="G350" s="35"/>
      <c r="H350" s="34"/>
      <c r="I350" s="19"/>
      <c r="J350" s="35"/>
      <c r="K350" s="19"/>
      <c r="L350" s="19"/>
      <c r="M350" s="19"/>
      <c r="N350" s="19"/>
      <c r="O350" s="19"/>
      <c r="P350" s="28"/>
      <c r="Q350" s="19"/>
      <c r="R350" s="19"/>
      <c r="S350" s="19"/>
      <c r="T350" s="36"/>
      <c r="U350" s="43"/>
      <c r="V350" s="19"/>
      <c r="W350" s="28"/>
      <c r="X350" s="28"/>
      <c r="Y350" s="19"/>
      <c r="Z350" s="19"/>
      <c r="AA350" s="19"/>
      <c r="AB350" s="29"/>
      <c r="AC350" s="29"/>
      <c r="AD350" s="29"/>
      <c r="AE350" s="28"/>
      <c r="AF350" s="28"/>
      <c r="AG350" s="28"/>
      <c r="AH350" s="29"/>
      <c r="AI350" s="29"/>
      <c r="AJ350" s="30"/>
      <c r="AK350" s="57"/>
      <c r="AL350" s="57"/>
      <c r="AM350" s="57"/>
      <c r="AN350" s="57"/>
      <c r="AO350" s="57"/>
      <c r="AP350" s="57"/>
      <c r="AQ350" s="57"/>
      <c r="AR350" s="57"/>
      <c r="AS350" s="57"/>
    </row>
    <row r="351" spans="1:45" ht="21" x14ac:dyDescent="0.35">
      <c r="A351" s="34"/>
      <c r="B351" s="69"/>
      <c r="C351" s="34"/>
      <c r="D351" s="35"/>
      <c r="E351" s="34"/>
      <c r="F351" s="34"/>
      <c r="G351" s="35"/>
      <c r="H351" s="34"/>
      <c r="I351" s="19"/>
      <c r="J351" s="35"/>
      <c r="K351" s="19"/>
      <c r="L351" s="19"/>
      <c r="M351" s="19"/>
      <c r="N351" s="19"/>
      <c r="O351" s="19"/>
      <c r="P351" s="28"/>
      <c r="Q351" s="19"/>
      <c r="R351" s="19"/>
      <c r="S351" s="19"/>
      <c r="T351" s="36"/>
      <c r="U351" s="43"/>
      <c r="V351" s="19"/>
      <c r="W351" s="28"/>
      <c r="X351" s="28"/>
      <c r="Y351" s="19"/>
      <c r="Z351" s="19"/>
      <c r="AA351" s="19"/>
      <c r="AB351" s="29"/>
      <c r="AC351" s="29"/>
      <c r="AD351" s="29"/>
      <c r="AE351" s="28"/>
      <c r="AF351" s="28"/>
      <c r="AG351" s="28"/>
      <c r="AH351" s="29"/>
      <c r="AI351" s="29"/>
      <c r="AJ351" s="30"/>
      <c r="AK351" s="57"/>
      <c r="AL351" s="57"/>
      <c r="AM351" s="57"/>
      <c r="AN351" s="57"/>
      <c r="AO351" s="57"/>
      <c r="AP351" s="57"/>
      <c r="AQ351" s="57"/>
      <c r="AR351" s="57"/>
      <c r="AS351" s="57"/>
    </row>
    <row r="352" spans="1:45" ht="21" x14ac:dyDescent="0.35">
      <c r="A352" s="34"/>
      <c r="B352" s="69"/>
      <c r="C352" s="34"/>
      <c r="D352" s="35"/>
      <c r="E352" s="34"/>
      <c r="F352" s="34"/>
      <c r="G352" s="35"/>
      <c r="H352" s="34"/>
      <c r="I352" s="19"/>
      <c r="J352" s="35"/>
      <c r="K352" s="19"/>
      <c r="L352" s="19"/>
      <c r="M352" s="19"/>
      <c r="N352" s="19"/>
      <c r="O352" s="19"/>
      <c r="P352" s="28"/>
      <c r="Q352" s="19"/>
      <c r="R352" s="19"/>
      <c r="S352" s="19"/>
      <c r="T352" s="36"/>
      <c r="U352" s="43"/>
      <c r="V352" s="19"/>
      <c r="W352" s="28"/>
      <c r="X352" s="28"/>
      <c r="Y352" s="19"/>
      <c r="Z352" s="19"/>
      <c r="AA352" s="19"/>
      <c r="AB352" s="29"/>
      <c r="AC352" s="29"/>
      <c r="AD352" s="29"/>
      <c r="AE352" s="28"/>
      <c r="AF352" s="28"/>
      <c r="AG352" s="28"/>
      <c r="AH352" s="29"/>
      <c r="AI352" s="29"/>
      <c r="AJ352" s="30"/>
      <c r="AK352" s="57"/>
      <c r="AL352" s="57"/>
      <c r="AM352" s="57"/>
      <c r="AN352" s="57"/>
      <c r="AO352" s="57"/>
      <c r="AP352" s="57"/>
      <c r="AQ352" s="57"/>
      <c r="AR352" s="57"/>
      <c r="AS352" s="57"/>
    </row>
    <row r="353" spans="1:45" ht="21" x14ac:dyDescent="0.35">
      <c r="A353" s="34"/>
      <c r="B353" s="69"/>
      <c r="C353" s="34"/>
      <c r="D353" s="35"/>
      <c r="E353" s="34"/>
      <c r="F353" s="34"/>
      <c r="G353" s="35"/>
      <c r="H353" s="34"/>
      <c r="I353" s="19"/>
      <c r="J353" s="35"/>
      <c r="K353" s="19"/>
      <c r="L353" s="19"/>
      <c r="M353" s="19"/>
      <c r="N353" s="19"/>
      <c r="O353" s="19"/>
      <c r="P353" s="28"/>
      <c r="Q353" s="19"/>
      <c r="R353" s="19"/>
      <c r="S353" s="19"/>
      <c r="T353" s="36"/>
      <c r="U353" s="43"/>
      <c r="V353" s="19"/>
      <c r="W353" s="28"/>
      <c r="X353" s="28"/>
      <c r="Y353" s="19"/>
      <c r="Z353" s="19"/>
      <c r="AA353" s="19"/>
      <c r="AB353" s="29"/>
      <c r="AC353" s="29"/>
      <c r="AD353" s="29"/>
      <c r="AE353" s="28"/>
      <c r="AF353" s="28"/>
      <c r="AG353" s="28"/>
      <c r="AH353" s="29"/>
      <c r="AI353" s="29"/>
      <c r="AJ353" s="30"/>
      <c r="AK353" s="57"/>
      <c r="AL353" s="57"/>
      <c r="AM353" s="57"/>
      <c r="AN353" s="57"/>
      <c r="AO353" s="57"/>
      <c r="AP353" s="57"/>
      <c r="AQ353" s="57"/>
      <c r="AR353" s="57"/>
      <c r="AS353" s="57"/>
    </row>
    <row r="354" spans="1:45" ht="21" x14ac:dyDescent="0.35">
      <c r="A354" s="34"/>
      <c r="B354" s="69"/>
      <c r="C354" s="34"/>
      <c r="D354" s="35"/>
      <c r="E354" s="34"/>
      <c r="F354" s="34"/>
      <c r="G354" s="35"/>
      <c r="H354" s="34"/>
      <c r="I354" s="19"/>
      <c r="J354" s="35"/>
      <c r="K354" s="19"/>
      <c r="L354" s="19"/>
      <c r="M354" s="19"/>
      <c r="N354" s="19"/>
      <c r="O354" s="19"/>
      <c r="P354" s="28"/>
      <c r="Q354" s="19"/>
      <c r="R354" s="19"/>
      <c r="S354" s="19"/>
      <c r="T354" s="36"/>
      <c r="U354" s="43"/>
      <c r="V354" s="19"/>
      <c r="W354" s="28"/>
      <c r="X354" s="28"/>
      <c r="Y354" s="19"/>
      <c r="Z354" s="19"/>
      <c r="AA354" s="19"/>
      <c r="AB354" s="29"/>
      <c r="AC354" s="29"/>
      <c r="AD354" s="29"/>
      <c r="AE354" s="28"/>
      <c r="AF354" s="28"/>
      <c r="AG354" s="28"/>
      <c r="AH354" s="29"/>
      <c r="AI354" s="29"/>
      <c r="AJ354" s="30"/>
      <c r="AK354" s="57"/>
      <c r="AL354" s="57"/>
      <c r="AM354" s="57"/>
      <c r="AN354" s="57"/>
      <c r="AO354" s="57"/>
      <c r="AP354" s="57"/>
      <c r="AQ354" s="57"/>
      <c r="AR354" s="57"/>
      <c r="AS354" s="57"/>
    </row>
    <row r="355" spans="1:45" ht="21" x14ac:dyDescent="0.35">
      <c r="A355" s="34"/>
      <c r="B355" s="69"/>
      <c r="C355" s="34"/>
      <c r="D355" s="35"/>
      <c r="E355" s="34"/>
      <c r="F355" s="34"/>
      <c r="G355" s="35"/>
      <c r="H355" s="34"/>
      <c r="I355" s="19"/>
      <c r="J355" s="35"/>
      <c r="K355" s="19"/>
      <c r="L355" s="19"/>
      <c r="M355" s="19"/>
      <c r="N355" s="19"/>
      <c r="O355" s="19"/>
      <c r="P355" s="28"/>
      <c r="Q355" s="19"/>
      <c r="R355" s="19"/>
      <c r="S355" s="19"/>
      <c r="T355" s="36"/>
      <c r="U355" s="43"/>
      <c r="V355" s="19"/>
      <c r="W355" s="28"/>
      <c r="X355" s="28"/>
      <c r="Y355" s="19"/>
      <c r="Z355" s="19"/>
      <c r="AA355" s="19"/>
      <c r="AB355" s="29"/>
      <c r="AC355" s="29"/>
      <c r="AD355" s="29"/>
      <c r="AE355" s="28"/>
      <c r="AF355" s="28"/>
      <c r="AG355" s="28"/>
      <c r="AH355" s="29"/>
      <c r="AI355" s="29"/>
      <c r="AJ355" s="30"/>
      <c r="AK355" s="57"/>
      <c r="AL355" s="57"/>
      <c r="AM355" s="57"/>
      <c r="AN355" s="57"/>
      <c r="AO355" s="57"/>
      <c r="AP355" s="57"/>
      <c r="AQ355" s="57"/>
      <c r="AR355" s="57"/>
      <c r="AS355" s="57"/>
    </row>
    <row r="356" spans="1:45" ht="21" x14ac:dyDescent="0.35">
      <c r="A356" s="34"/>
      <c r="B356" s="69"/>
      <c r="C356" s="34"/>
      <c r="D356" s="35"/>
      <c r="E356" s="34"/>
      <c r="F356" s="34"/>
      <c r="G356" s="35"/>
      <c r="H356" s="34"/>
      <c r="I356" s="19"/>
      <c r="J356" s="35"/>
      <c r="K356" s="19"/>
      <c r="L356" s="19"/>
      <c r="M356" s="19"/>
      <c r="N356" s="19"/>
      <c r="O356" s="19"/>
      <c r="P356" s="28"/>
      <c r="Q356" s="19"/>
      <c r="R356" s="19"/>
      <c r="S356" s="19"/>
      <c r="T356" s="36"/>
      <c r="U356" s="43"/>
      <c r="V356" s="19"/>
      <c r="W356" s="28"/>
      <c r="X356" s="28"/>
      <c r="Y356" s="19"/>
      <c r="Z356" s="19"/>
      <c r="AA356" s="19"/>
      <c r="AB356" s="29"/>
      <c r="AC356" s="29"/>
      <c r="AD356" s="29"/>
      <c r="AE356" s="28"/>
      <c r="AF356" s="28"/>
      <c r="AG356" s="28"/>
      <c r="AH356" s="29"/>
      <c r="AI356" s="29"/>
      <c r="AJ356" s="30"/>
      <c r="AK356" s="57"/>
      <c r="AL356" s="57"/>
      <c r="AM356" s="57"/>
      <c r="AN356" s="57"/>
      <c r="AO356" s="57"/>
      <c r="AP356" s="57"/>
      <c r="AQ356" s="57"/>
      <c r="AR356" s="57"/>
      <c r="AS356" s="57"/>
    </row>
    <row r="357" spans="1:45" ht="21" x14ac:dyDescent="0.35">
      <c r="A357" s="34"/>
      <c r="B357" s="69"/>
      <c r="C357" s="34"/>
      <c r="D357" s="35"/>
      <c r="E357" s="34"/>
      <c r="F357" s="34"/>
      <c r="G357" s="35"/>
      <c r="H357" s="34"/>
      <c r="I357" s="19"/>
      <c r="J357" s="35"/>
      <c r="K357" s="19"/>
      <c r="L357" s="19"/>
      <c r="M357" s="19"/>
      <c r="N357" s="19"/>
      <c r="O357" s="19"/>
      <c r="P357" s="28"/>
      <c r="Q357" s="19"/>
      <c r="R357" s="19"/>
      <c r="S357" s="19"/>
      <c r="T357" s="36"/>
      <c r="U357" s="43"/>
      <c r="V357" s="19"/>
      <c r="W357" s="28"/>
      <c r="X357" s="28"/>
      <c r="Y357" s="19"/>
      <c r="Z357" s="19"/>
      <c r="AA357" s="19"/>
      <c r="AB357" s="29"/>
      <c r="AC357" s="29"/>
      <c r="AD357" s="29"/>
      <c r="AE357" s="28"/>
      <c r="AF357" s="28"/>
      <c r="AG357" s="28"/>
      <c r="AH357" s="29"/>
      <c r="AI357" s="29"/>
      <c r="AJ357" s="30"/>
      <c r="AK357" s="57"/>
      <c r="AL357" s="57"/>
      <c r="AM357" s="57"/>
      <c r="AN357" s="57"/>
      <c r="AO357" s="57"/>
      <c r="AP357" s="57"/>
      <c r="AQ357" s="57"/>
      <c r="AR357" s="57"/>
      <c r="AS357" s="57"/>
    </row>
    <row r="358" spans="1:45" ht="21" x14ac:dyDescent="0.35">
      <c r="A358" s="34"/>
      <c r="B358" s="69"/>
      <c r="C358" s="34"/>
      <c r="D358" s="35"/>
      <c r="E358" s="34"/>
      <c r="F358" s="34"/>
      <c r="G358" s="35"/>
      <c r="H358" s="34"/>
      <c r="I358" s="19"/>
      <c r="J358" s="35"/>
      <c r="K358" s="19"/>
      <c r="L358" s="19"/>
      <c r="M358" s="19"/>
      <c r="N358" s="19"/>
      <c r="O358" s="19"/>
      <c r="P358" s="28"/>
      <c r="Q358" s="19"/>
      <c r="R358" s="19"/>
      <c r="S358" s="19"/>
      <c r="T358" s="36"/>
      <c r="U358" s="43"/>
      <c r="V358" s="19"/>
      <c r="W358" s="28"/>
      <c r="X358" s="28"/>
      <c r="Y358" s="19"/>
      <c r="Z358" s="19"/>
      <c r="AA358" s="19"/>
      <c r="AB358" s="29"/>
      <c r="AC358" s="29"/>
      <c r="AD358" s="29"/>
      <c r="AE358" s="28"/>
      <c r="AF358" s="28"/>
      <c r="AG358" s="28"/>
      <c r="AH358" s="29"/>
      <c r="AI358" s="29"/>
      <c r="AJ358" s="30"/>
      <c r="AK358" s="57"/>
      <c r="AL358" s="57"/>
      <c r="AM358" s="57"/>
      <c r="AN358" s="57"/>
      <c r="AO358" s="57"/>
      <c r="AP358" s="57"/>
      <c r="AQ358" s="57"/>
      <c r="AR358" s="57"/>
      <c r="AS358" s="57"/>
    </row>
    <row r="359" spans="1:45" ht="21" x14ac:dyDescent="0.35">
      <c r="A359" s="34"/>
      <c r="B359" s="69"/>
      <c r="C359" s="34"/>
      <c r="D359" s="35"/>
      <c r="E359" s="34"/>
      <c r="F359" s="34"/>
      <c r="G359" s="35"/>
      <c r="H359" s="34"/>
      <c r="I359" s="19"/>
      <c r="J359" s="35"/>
      <c r="K359" s="19"/>
      <c r="L359" s="19"/>
      <c r="M359" s="19"/>
      <c r="N359" s="19"/>
      <c r="O359" s="19"/>
      <c r="P359" s="28"/>
      <c r="Q359" s="19"/>
      <c r="R359" s="19"/>
      <c r="S359" s="19"/>
      <c r="T359" s="36"/>
      <c r="U359" s="43"/>
      <c r="V359" s="19"/>
      <c r="W359" s="28"/>
      <c r="X359" s="28"/>
      <c r="Y359" s="19"/>
      <c r="Z359" s="19"/>
      <c r="AA359" s="19"/>
      <c r="AB359" s="29"/>
      <c r="AC359" s="29"/>
      <c r="AD359" s="29"/>
      <c r="AE359" s="28"/>
      <c r="AF359" s="28"/>
      <c r="AG359" s="28"/>
      <c r="AH359" s="29"/>
      <c r="AI359" s="29"/>
      <c r="AJ359" s="30"/>
      <c r="AK359" s="57"/>
      <c r="AL359" s="57"/>
      <c r="AM359" s="57"/>
      <c r="AN359" s="57"/>
      <c r="AO359" s="57"/>
      <c r="AP359" s="57"/>
      <c r="AQ359" s="57"/>
      <c r="AR359" s="57"/>
      <c r="AS359" s="57"/>
    </row>
    <row r="360" spans="1:45" ht="21" x14ac:dyDescent="0.35">
      <c r="A360" s="34"/>
      <c r="B360" s="69"/>
      <c r="C360" s="34"/>
      <c r="D360" s="35"/>
      <c r="E360" s="34"/>
      <c r="F360" s="34"/>
      <c r="G360" s="35"/>
      <c r="H360" s="34"/>
      <c r="I360" s="19"/>
      <c r="J360" s="35"/>
      <c r="K360" s="19"/>
      <c r="L360" s="19"/>
      <c r="M360" s="19"/>
      <c r="N360" s="19"/>
      <c r="O360" s="19"/>
      <c r="P360" s="28"/>
      <c r="Q360" s="19"/>
      <c r="R360" s="19"/>
      <c r="S360" s="19"/>
      <c r="T360" s="36"/>
      <c r="U360" s="43"/>
      <c r="V360" s="19"/>
      <c r="W360" s="28"/>
      <c r="X360" s="28"/>
      <c r="Y360" s="19"/>
      <c r="Z360" s="19"/>
      <c r="AA360" s="19"/>
      <c r="AB360" s="29"/>
      <c r="AC360" s="29"/>
      <c r="AD360" s="29"/>
      <c r="AE360" s="28"/>
      <c r="AF360" s="28"/>
      <c r="AG360" s="28"/>
      <c r="AH360" s="29"/>
      <c r="AI360" s="29"/>
      <c r="AJ360" s="30"/>
      <c r="AK360" s="57"/>
      <c r="AL360" s="57"/>
      <c r="AM360" s="57"/>
      <c r="AN360" s="57"/>
      <c r="AO360" s="57"/>
      <c r="AP360" s="57"/>
      <c r="AQ360" s="57"/>
      <c r="AR360" s="57"/>
      <c r="AS360" s="57"/>
    </row>
    <row r="361" spans="1:45" ht="21" x14ac:dyDescent="0.35">
      <c r="A361" s="34"/>
      <c r="C361" s="34"/>
      <c r="D361" s="35"/>
      <c r="E361" s="34"/>
      <c r="F361" s="34"/>
      <c r="G361" s="35"/>
      <c r="H361" s="34"/>
      <c r="I361" s="19"/>
      <c r="J361" s="35"/>
      <c r="K361" s="19"/>
      <c r="L361" s="19"/>
      <c r="M361" s="19"/>
      <c r="N361" s="19"/>
      <c r="O361" s="19"/>
      <c r="P361" s="28"/>
      <c r="Q361" s="19"/>
      <c r="R361" s="19"/>
      <c r="S361" s="19"/>
      <c r="T361" s="36"/>
      <c r="U361" s="43"/>
      <c r="V361" s="19"/>
      <c r="W361" s="28"/>
      <c r="X361" s="28"/>
      <c r="Y361" s="19"/>
      <c r="Z361" s="19"/>
      <c r="AA361" s="19"/>
      <c r="AB361" s="29"/>
      <c r="AC361" s="29"/>
      <c r="AD361" s="29"/>
      <c r="AE361" s="28"/>
      <c r="AF361" s="28"/>
      <c r="AG361" s="28"/>
      <c r="AH361" s="29"/>
      <c r="AI361" s="29"/>
      <c r="AJ361" s="30"/>
      <c r="AK361" s="57"/>
      <c r="AL361" s="57"/>
      <c r="AM361" s="57"/>
      <c r="AN361" s="57"/>
      <c r="AO361" s="57"/>
      <c r="AP361" s="57"/>
      <c r="AQ361" s="57"/>
      <c r="AR361" s="57"/>
      <c r="AS361" s="57"/>
    </row>
    <row r="362" spans="1:45" ht="21" x14ac:dyDescent="0.25">
      <c r="A362" s="34"/>
      <c r="AK362" s="57"/>
      <c r="AL362" s="57"/>
      <c r="AM362" s="57"/>
      <c r="AN362" s="57"/>
      <c r="AO362" s="57"/>
      <c r="AP362" s="57"/>
      <c r="AQ362" s="57"/>
      <c r="AR362" s="57"/>
      <c r="AS36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305:Y361 Y4:Y301">
    <cfRule type="expression" dxfId="8" priority="66">
      <formula>Y4+Z4+AA4=1</formula>
    </cfRule>
  </conditionalFormatting>
  <conditionalFormatting sqref="Z305:Z361 Z4:Z301">
    <cfRule type="expression" dxfId="7" priority="65">
      <formula>Y4+Z4+AA4=1</formula>
    </cfRule>
  </conditionalFormatting>
  <conditionalFormatting sqref="AA305:AA361 AA4:AA301">
    <cfRule type="expression" dxfId="6" priority="64">
      <formula>Y4+Z4+AA4=1</formula>
    </cfRule>
  </conditionalFormatting>
  <conditionalFormatting sqref="Y302:Y304">
    <cfRule type="expression" dxfId="5" priority="3">
      <formula>Y302+Z302+AA302=1</formula>
    </cfRule>
  </conditionalFormatting>
  <conditionalFormatting sqref="Z302:Z304">
    <cfRule type="expression" dxfId="4" priority="2">
      <formula>Y302+Z302+AA302=1</formula>
    </cfRule>
  </conditionalFormatting>
  <conditionalFormatting sqref="AA302:AA304">
    <cfRule type="expression" dxfId="3" priority="1">
      <formula>Y302+Z302+AA302=1</formula>
    </cfRule>
  </conditionalFormatting>
  <dataValidations disablePrompts="1" count="1">
    <dataValidation type="list" allowBlank="1" showInputMessage="1" showErrorMessage="1" sqref="U4:U361" xr:uid="{00000000-0002-0000-0100-000000000000}">
      <formula1>$BB$3:$BB$9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48</xdr:col>
                <xdr:colOff>657225</xdr:colOff>
                <xdr:row>1</xdr:row>
                <xdr:rowOff>371475</xdr:rowOff>
              </from>
              <to>
                <xdr:col>50</xdr:col>
                <xdr:colOff>238125</xdr:colOff>
                <xdr:row>1</xdr:row>
                <xdr:rowOff>895350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02702-D9DB-4FF6-91DD-A64392E77E38}">
  <sheetPr codeName="Sheet3"/>
  <dimension ref="A2:AR12"/>
  <sheetViews>
    <sheetView workbookViewId="0">
      <selection activeCell="A2" sqref="A2:AR12"/>
    </sheetView>
  </sheetViews>
  <sheetFormatPr defaultRowHeight="15" x14ac:dyDescent="0.25"/>
  <sheetData>
    <row r="2" spans="1:44" ht="21" x14ac:dyDescent="0.35">
      <c r="A2" s="28">
        <v>22</v>
      </c>
      <c r="B2" s="67" t="s">
        <v>97</v>
      </c>
      <c r="C2" s="28">
        <v>200</v>
      </c>
      <c r="D2" s="28">
        <v>200</v>
      </c>
      <c r="E2" s="28">
        <v>500</v>
      </c>
      <c r="F2" s="28">
        <v>16</v>
      </c>
      <c r="G2" s="28">
        <v>16</v>
      </c>
      <c r="H2" s="28">
        <v>10.199999999999999</v>
      </c>
      <c r="I2" s="28">
        <v>20</v>
      </c>
      <c r="J2" s="28">
        <v>20</v>
      </c>
      <c r="K2" s="28">
        <v>20000</v>
      </c>
      <c r="L2" s="28">
        <v>0</v>
      </c>
      <c r="M2" s="28">
        <v>1</v>
      </c>
      <c r="N2" s="28">
        <v>2</v>
      </c>
      <c r="O2" s="28">
        <v>3</v>
      </c>
      <c r="P2" s="28">
        <v>200</v>
      </c>
      <c r="Q2" s="28">
        <v>0</v>
      </c>
      <c r="R2" s="28">
        <v>0</v>
      </c>
      <c r="S2" s="28">
        <v>0</v>
      </c>
      <c r="T2" s="28">
        <v>3</v>
      </c>
      <c r="U2" s="28" t="s">
        <v>48</v>
      </c>
      <c r="V2" s="28">
        <v>1</v>
      </c>
      <c r="W2" s="28">
        <v>1</v>
      </c>
      <c r="X2" s="28">
        <v>0</v>
      </c>
      <c r="Y2" s="28">
        <f>W2</f>
        <v>1</v>
      </c>
      <c r="Z2" s="28">
        <f>IF(X2=90,0,(1-Y2)/(TAN(X2/180*PI())+1))</f>
        <v>0</v>
      </c>
      <c r="AA2" s="28">
        <f>IF(X2=90,1-W2,Z2*TAN(X2/180*PI()))</f>
        <v>0</v>
      </c>
      <c r="AB2" s="108">
        <f>AH2/3.5</f>
        <v>384.88751445868417</v>
      </c>
      <c r="AC2" s="108">
        <f>Z2*AI2/3.5</f>
        <v>0</v>
      </c>
      <c r="AD2" s="108">
        <f>AA2*AJ2/3.5</f>
        <v>0</v>
      </c>
      <c r="AE2" s="28">
        <v>20</v>
      </c>
      <c r="AF2" s="28">
        <v>235</v>
      </c>
      <c r="AG2" s="28">
        <v>210000</v>
      </c>
      <c r="AH2" s="108">
        <v>1347.1063006053946</v>
      </c>
      <c r="AI2" s="108">
        <v>0</v>
      </c>
      <c r="AJ2" s="126">
        <v>0</v>
      </c>
      <c r="AK2" s="127">
        <f>K2/1000</f>
        <v>20</v>
      </c>
      <c r="AL2" s="127">
        <f>(K2/(6*1000))</f>
        <v>3.3333333333333335</v>
      </c>
      <c r="AM2" s="127">
        <f>C2/200</f>
        <v>1</v>
      </c>
      <c r="AN2" s="128"/>
      <c r="AO2" s="138">
        <f>AQ2*AG2*AR2/(K2*1000000)</f>
        <v>0</v>
      </c>
      <c r="AP2" s="128">
        <v>19999.999999999978</v>
      </c>
      <c r="AQ2" s="138">
        <v>0</v>
      </c>
      <c r="AR2" s="134">
        <v>462073880.5333333</v>
      </c>
    </row>
    <row r="3" spans="1:44" ht="21" x14ac:dyDescent="0.35">
      <c r="A3" s="28">
        <v>13</v>
      </c>
      <c r="B3" s="67" t="s">
        <v>97</v>
      </c>
      <c r="C3" s="28">
        <v>200</v>
      </c>
      <c r="D3" s="19">
        <v>200</v>
      </c>
      <c r="E3" s="28">
        <v>500</v>
      </c>
      <c r="F3" s="28">
        <v>16</v>
      </c>
      <c r="G3" s="19">
        <v>16</v>
      </c>
      <c r="H3" s="28">
        <v>10.199999999999999</v>
      </c>
      <c r="I3" s="19">
        <v>20</v>
      </c>
      <c r="J3" s="19">
        <v>20</v>
      </c>
      <c r="K3" s="19">
        <v>20000</v>
      </c>
      <c r="L3" s="19">
        <v>0</v>
      </c>
      <c r="M3" s="19">
        <v>1</v>
      </c>
      <c r="N3" s="19">
        <v>2</v>
      </c>
      <c r="O3" s="19">
        <v>3</v>
      </c>
      <c r="P3" s="28">
        <v>200</v>
      </c>
      <c r="Q3" s="19">
        <v>0</v>
      </c>
      <c r="R3" s="19">
        <v>0</v>
      </c>
      <c r="S3" s="19">
        <v>0</v>
      </c>
      <c r="T3" s="36">
        <v>3</v>
      </c>
      <c r="U3" s="43" t="s">
        <v>48</v>
      </c>
      <c r="V3" s="19">
        <v>1</v>
      </c>
      <c r="W3" s="28">
        <v>1</v>
      </c>
      <c r="X3" s="28">
        <v>0</v>
      </c>
      <c r="Y3" s="19">
        <f>W3</f>
        <v>1</v>
      </c>
      <c r="Z3" s="19">
        <f>IF(X3=90,0,(1-Y3)/(TAN(X3/180*PI())+1))</f>
        <v>0</v>
      </c>
      <c r="AA3" s="19">
        <f>IF(X3=90,1-W3,Z3*TAN(X3/180*PI()))</f>
        <v>0</v>
      </c>
      <c r="AB3" s="29">
        <f>AH3/3.5</f>
        <v>384.88751445868417</v>
      </c>
      <c r="AC3" s="29">
        <f>Z3*AI3/3.5</f>
        <v>0</v>
      </c>
      <c r="AD3" s="29">
        <f>AA3*AJ3/3.5</f>
        <v>0</v>
      </c>
      <c r="AE3" s="28">
        <v>20</v>
      </c>
      <c r="AF3" s="28">
        <v>235</v>
      </c>
      <c r="AG3" s="28">
        <v>210000</v>
      </c>
      <c r="AH3" s="29">
        <v>1347.1063006053946</v>
      </c>
      <c r="AI3" s="29">
        <v>0</v>
      </c>
      <c r="AJ3" s="30">
        <v>0</v>
      </c>
      <c r="AK3" s="57">
        <f>K3/1000</f>
        <v>20</v>
      </c>
      <c r="AL3" s="57">
        <f>(K3/(6*1000))</f>
        <v>3.3333333333333335</v>
      </c>
      <c r="AM3" s="57">
        <f>C3/200</f>
        <v>1</v>
      </c>
      <c r="AN3" s="60"/>
      <c r="AO3" s="60">
        <f>AQ3*AG3*AR3/(K3*1000000)</f>
        <v>970.35514911999996</v>
      </c>
      <c r="AP3" s="57">
        <v>19250.019538676428</v>
      </c>
      <c r="AQ3" s="57">
        <v>0.2</v>
      </c>
      <c r="AR3" s="133">
        <v>462073880.5333333</v>
      </c>
    </row>
    <row r="4" spans="1:44" ht="21" x14ac:dyDescent="0.35">
      <c r="A4" s="28">
        <v>14</v>
      </c>
      <c r="B4" s="67" t="s">
        <v>97</v>
      </c>
      <c r="C4" s="28">
        <v>200</v>
      </c>
      <c r="D4" s="19">
        <v>200</v>
      </c>
      <c r="E4" s="28">
        <v>500</v>
      </c>
      <c r="F4" s="28">
        <v>16</v>
      </c>
      <c r="G4" s="19">
        <v>16</v>
      </c>
      <c r="H4" s="28">
        <v>10.199999999999999</v>
      </c>
      <c r="I4" s="19">
        <v>20</v>
      </c>
      <c r="J4" s="19">
        <v>20</v>
      </c>
      <c r="K4" s="19">
        <v>20000</v>
      </c>
      <c r="L4" s="19">
        <v>0</v>
      </c>
      <c r="M4" s="19">
        <v>1</v>
      </c>
      <c r="N4" s="19">
        <v>2</v>
      </c>
      <c r="O4" s="19">
        <v>3</v>
      </c>
      <c r="P4" s="28">
        <v>200</v>
      </c>
      <c r="Q4" s="19">
        <v>0</v>
      </c>
      <c r="R4" s="19">
        <v>0</v>
      </c>
      <c r="S4" s="19">
        <v>0</v>
      </c>
      <c r="T4" s="36">
        <v>3</v>
      </c>
      <c r="U4" s="43" t="s">
        <v>48</v>
      </c>
      <c r="V4" s="19">
        <v>1</v>
      </c>
      <c r="W4" s="28">
        <v>1</v>
      </c>
      <c r="X4" s="28">
        <v>0</v>
      </c>
      <c r="Y4" s="19">
        <f>W4</f>
        <v>1</v>
      </c>
      <c r="Z4" s="19">
        <f>IF(X4=90,0,(1-Y4)/(TAN(X4/180*PI())+1))</f>
        <v>0</v>
      </c>
      <c r="AA4" s="19">
        <f>IF(X4=90,1-W4,Z4*TAN(X4/180*PI()))</f>
        <v>0</v>
      </c>
      <c r="AB4" s="29">
        <f>AH4/3.5</f>
        <v>384.88751445868417</v>
      </c>
      <c r="AC4" s="29">
        <f>Z4*AI4/3.5</f>
        <v>0</v>
      </c>
      <c r="AD4" s="29">
        <f>AA4*AJ4/3.5</f>
        <v>0</v>
      </c>
      <c r="AE4" s="28">
        <v>20</v>
      </c>
      <c r="AF4" s="28">
        <v>235</v>
      </c>
      <c r="AG4" s="28">
        <v>210000</v>
      </c>
      <c r="AH4" s="29">
        <v>1347.1063006053946</v>
      </c>
      <c r="AI4" s="29">
        <v>0</v>
      </c>
      <c r="AJ4" s="30">
        <v>0</v>
      </c>
      <c r="AK4" s="57">
        <f>K4/1000</f>
        <v>20</v>
      </c>
      <c r="AL4" s="57">
        <f>(K4/(6*1000))</f>
        <v>3.3333333333333335</v>
      </c>
      <c r="AM4" s="57">
        <f>C4/200</f>
        <v>1</v>
      </c>
      <c r="AN4" s="60"/>
      <c r="AO4" s="60">
        <f>AQ4*AG4*AR4/(K4*1000000)</f>
        <v>1940.7102982399999</v>
      </c>
      <c r="AP4" s="57">
        <v>18603.806815045005</v>
      </c>
      <c r="AQ4" s="57">
        <v>0.4</v>
      </c>
      <c r="AR4" s="133">
        <v>462073880.5333333</v>
      </c>
    </row>
    <row r="5" spans="1:44" ht="21" x14ac:dyDescent="0.35">
      <c r="A5" s="28">
        <v>15</v>
      </c>
      <c r="B5" s="67" t="s">
        <v>97</v>
      </c>
      <c r="C5" s="28">
        <v>200</v>
      </c>
      <c r="D5" s="19">
        <v>200</v>
      </c>
      <c r="E5" s="28">
        <v>500</v>
      </c>
      <c r="F5" s="28">
        <v>16</v>
      </c>
      <c r="G5" s="19">
        <v>16</v>
      </c>
      <c r="H5" s="28">
        <v>10.199999999999999</v>
      </c>
      <c r="I5" s="19">
        <v>20</v>
      </c>
      <c r="J5" s="19">
        <v>20</v>
      </c>
      <c r="K5" s="19">
        <v>20000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>W5</f>
        <v>1</v>
      </c>
      <c r="Z5" s="19">
        <f>IF(X5=90,0,(1-Y5)/(TAN(X5/180*PI())+1))</f>
        <v>0</v>
      </c>
      <c r="AA5" s="19">
        <f>IF(X5=90,1-W5,Z5*TAN(X5/180*PI()))</f>
        <v>0</v>
      </c>
      <c r="AB5" s="29">
        <f>AH5/3.5</f>
        <v>384.88751445868417</v>
      </c>
      <c r="AC5" s="29">
        <f>Z5*AI5/3.5</f>
        <v>0</v>
      </c>
      <c r="AD5" s="29">
        <f>AA5*AJ5/3.5</f>
        <v>0</v>
      </c>
      <c r="AE5" s="28">
        <v>20</v>
      </c>
      <c r="AF5" s="28">
        <v>235</v>
      </c>
      <c r="AG5" s="28">
        <v>210000</v>
      </c>
      <c r="AH5" s="29">
        <v>1347.1063006053946</v>
      </c>
      <c r="AI5" s="29">
        <v>0</v>
      </c>
      <c r="AJ5" s="30">
        <v>0</v>
      </c>
      <c r="AK5" s="57">
        <f>K5/1000</f>
        <v>20</v>
      </c>
      <c r="AL5" s="57">
        <f>(K5/(6*1000))</f>
        <v>3.3333333333333335</v>
      </c>
      <c r="AM5" s="57">
        <f>C5/200</f>
        <v>1</v>
      </c>
      <c r="AN5" s="60"/>
      <c r="AO5" s="60">
        <f>AQ5*AG5*AR5/(K5*1000000)</f>
        <v>2911.0654473599998</v>
      </c>
      <c r="AP5" s="57">
        <v>18040.643825304676</v>
      </c>
      <c r="AQ5" s="57">
        <v>0.6</v>
      </c>
      <c r="AR5" s="133">
        <v>462073880.5333333</v>
      </c>
    </row>
    <row r="6" spans="1:44" ht="21" x14ac:dyDescent="0.35">
      <c r="A6" s="28">
        <v>16</v>
      </c>
      <c r="B6" s="67" t="s">
        <v>97</v>
      </c>
      <c r="C6" s="28">
        <v>200</v>
      </c>
      <c r="D6" s="19">
        <v>200</v>
      </c>
      <c r="E6" s="28">
        <v>500</v>
      </c>
      <c r="F6" s="28">
        <v>16</v>
      </c>
      <c r="G6" s="19">
        <v>16</v>
      </c>
      <c r="H6" s="28">
        <v>10.199999999999999</v>
      </c>
      <c r="I6" s="19">
        <v>20</v>
      </c>
      <c r="J6" s="19">
        <v>20</v>
      </c>
      <c r="K6" s="19">
        <v>20000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">
        <v>48</v>
      </c>
      <c r="V6" s="19">
        <v>1</v>
      </c>
      <c r="W6" s="28">
        <v>1</v>
      </c>
      <c r="X6" s="28">
        <v>0</v>
      </c>
      <c r="Y6" s="19">
        <f>W6</f>
        <v>1</v>
      </c>
      <c r="Z6" s="19">
        <f>IF(X6=90,0,(1-Y6)/(TAN(X6/180*PI())+1))</f>
        <v>0</v>
      </c>
      <c r="AA6" s="19">
        <f>IF(X6=90,1-W6,Z6*TAN(X6/180*PI()))</f>
        <v>0</v>
      </c>
      <c r="AB6" s="29">
        <f>AH6/3.5</f>
        <v>384.88751445868417</v>
      </c>
      <c r="AC6" s="29">
        <f>Z6*AI6/3.5</f>
        <v>0</v>
      </c>
      <c r="AD6" s="29">
        <f>AA6*AJ6/3.5</f>
        <v>0</v>
      </c>
      <c r="AE6" s="28">
        <v>20</v>
      </c>
      <c r="AF6" s="28">
        <v>235</v>
      </c>
      <c r="AG6" s="28">
        <v>210000</v>
      </c>
      <c r="AH6" s="29">
        <v>1347.1063006053946</v>
      </c>
      <c r="AI6" s="29">
        <v>0</v>
      </c>
      <c r="AJ6" s="30">
        <v>0</v>
      </c>
      <c r="AK6" s="57">
        <f>K6/1000</f>
        <v>20</v>
      </c>
      <c r="AL6" s="57">
        <f>(K6/(6*1000))</f>
        <v>3.3333333333333335</v>
      </c>
      <c r="AM6" s="57">
        <f>C6/200</f>
        <v>1</v>
      </c>
      <c r="AN6" s="60"/>
      <c r="AO6" s="60">
        <f>AQ6*AG6*AR6/(K6*1000000)</f>
        <v>3881.4205964799999</v>
      </c>
      <c r="AP6" s="57">
        <v>17545.120153648342</v>
      </c>
      <c r="AQ6" s="57">
        <v>0.8</v>
      </c>
      <c r="AR6" s="133">
        <v>462073880.5333333</v>
      </c>
    </row>
    <row r="7" spans="1:44" ht="21" x14ac:dyDescent="0.35">
      <c r="A7" s="28">
        <v>17</v>
      </c>
      <c r="B7" s="67" t="s">
        <v>97</v>
      </c>
      <c r="C7" s="28">
        <v>200</v>
      </c>
      <c r="D7" s="19">
        <v>200</v>
      </c>
      <c r="E7" s="28">
        <v>500</v>
      </c>
      <c r="F7" s="28">
        <v>16</v>
      </c>
      <c r="G7" s="19">
        <v>16</v>
      </c>
      <c r="H7" s="28">
        <v>10.199999999999999</v>
      </c>
      <c r="I7" s="19">
        <v>20</v>
      </c>
      <c r="J7" s="19">
        <v>20</v>
      </c>
      <c r="K7" s="19">
        <v>20000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>W7</f>
        <v>1</v>
      </c>
      <c r="Z7" s="19">
        <f>IF(X7=90,0,(1-Y7)/(TAN(X7/180*PI())+1))</f>
        <v>0</v>
      </c>
      <c r="AA7" s="19">
        <f>IF(X7=90,1-W7,Z7*TAN(X7/180*PI()))</f>
        <v>0</v>
      </c>
      <c r="AB7" s="29">
        <f>AH7/3.5</f>
        <v>384.88751445868417</v>
      </c>
      <c r="AC7" s="29">
        <f>Z7*AI7/3.5</f>
        <v>0</v>
      </c>
      <c r="AD7" s="29">
        <f>AA7*AJ7/3.5</f>
        <v>0</v>
      </c>
      <c r="AE7" s="28">
        <v>20</v>
      </c>
      <c r="AF7" s="28">
        <v>235</v>
      </c>
      <c r="AG7" s="28">
        <v>210000</v>
      </c>
      <c r="AH7" s="29">
        <v>1347.1063006053946</v>
      </c>
      <c r="AI7" s="29">
        <v>0</v>
      </c>
      <c r="AJ7" s="30">
        <v>0</v>
      </c>
      <c r="AK7" s="57">
        <f>K7/1000</f>
        <v>20</v>
      </c>
      <c r="AL7" s="57">
        <f>(K7/(6*1000))</f>
        <v>3.3333333333333335</v>
      </c>
      <c r="AM7" s="57">
        <f>C7/200</f>
        <v>1</v>
      </c>
      <c r="AN7" s="60"/>
      <c r="AO7" s="60">
        <f>AQ7*AG7*AR7/(K7*1000000)</f>
        <v>4851.7757455999999</v>
      </c>
      <c r="AP7" s="57">
        <v>17105.50712043947</v>
      </c>
      <c r="AQ7" s="57">
        <v>1</v>
      </c>
      <c r="AR7" s="133">
        <v>462073880.5333333</v>
      </c>
    </row>
    <row r="8" spans="1:44" ht="21" x14ac:dyDescent="0.35">
      <c r="A8" s="28">
        <v>18</v>
      </c>
      <c r="B8" s="67" t="s">
        <v>97</v>
      </c>
      <c r="C8" s="28">
        <v>200</v>
      </c>
      <c r="D8" s="19">
        <v>200</v>
      </c>
      <c r="E8" s="28">
        <v>500</v>
      </c>
      <c r="F8" s="28">
        <v>16</v>
      </c>
      <c r="G8" s="19">
        <v>16</v>
      </c>
      <c r="H8" s="28">
        <v>10.199999999999999</v>
      </c>
      <c r="I8" s="19">
        <v>20</v>
      </c>
      <c r="J8" s="19">
        <v>20</v>
      </c>
      <c r="K8" s="19">
        <v>20000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">
        <v>48</v>
      </c>
      <c r="V8" s="19">
        <v>1</v>
      </c>
      <c r="W8" s="28">
        <v>1</v>
      </c>
      <c r="X8" s="28">
        <v>0</v>
      </c>
      <c r="Y8" s="19">
        <f>W8</f>
        <v>1</v>
      </c>
      <c r="Z8" s="19">
        <f>IF(X8=90,0,(1-Y8)/(TAN(X8/180*PI())+1))</f>
        <v>0</v>
      </c>
      <c r="AA8" s="19">
        <f>IF(X8=90,1-W8,Z8*TAN(X8/180*PI()))</f>
        <v>0</v>
      </c>
      <c r="AB8" s="29">
        <f>AH8/3.5</f>
        <v>384.88751445868417</v>
      </c>
      <c r="AC8" s="29">
        <f>Z8*AI8/3.5</f>
        <v>0</v>
      </c>
      <c r="AD8" s="29">
        <f>AA8*AJ8/3.5</f>
        <v>0</v>
      </c>
      <c r="AE8" s="28">
        <v>20</v>
      </c>
      <c r="AF8" s="28">
        <v>235</v>
      </c>
      <c r="AG8" s="28">
        <v>210000</v>
      </c>
      <c r="AH8" s="29">
        <v>1347.1063006053946</v>
      </c>
      <c r="AI8" s="29">
        <v>0</v>
      </c>
      <c r="AJ8" s="30">
        <v>0</v>
      </c>
      <c r="AK8" s="57">
        <f>K8/1000</f>
        <v>20</v>
      </c>
      <c r="AL8" s="57">
        <f>(K8/(6*1000))</f>
        <v>3.3333333333333335</v>
      </c>
      <c r="AM8" s="57">
        <f>C8/200</f>
        <v>1</v>
      </c>
      <c r="AN8" s="60"/>
      <c r="AO8" s="60">
        <f>AQ8*AG8*AR8/(K8*1000000)</f>
        <v>5822.1308947199996</v>
      </c>
      <c r="AP8" s="57">
        <v>16712.701552517472</v>
      </c>
      <c r="AQ8" s="57">
        <v>1.2</v>
      </c>
      <c r="AR8" s="133">
        <v>462073880.5333333</v>
      </c>
    </row>
    <row r="9" spans="1:44" ht="21" x14ac:dyDescent="0.35">
      <c r="A9" s="28">
        <v>19</v>
      </c>
      <c r="B9" s="67" t="s">
        <v>97</v>
      </c>
      <c r="C9" s="28">
        <v>200</v>
      </c>
      <c r="D9" s="19">
        <v>200</v>
      </c>
      <c r="E9" s="28">
        <v>500</v>
      </c>
      <c r="F9" s="28">
        <v>16</v>
      </c>
      <c r="G9" s="19">
        <v>16</v>
      </c>
      <c r="H9" s="28">
        <v>10.199999999999999</v>
      </c>
      <c r="I9" s="19">
        <v>20</v>
      </c>
      <c r="J9" s="19">
        <v>20</v>
      </c>
      <c r="K9" s="19">
        <v>20000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">
        <v>48</v>
      </c>
      <c r="V9" s="19">
        <v>1</v>
      </c>
      <c r="W9" s="28">
        <v>1</v>
      </c>
      <c r="X9" s="28">
        <v>0</v>
      </c>
      <c r="Y9" s="19">
        <f>W9</f>
        <v>1</v>
      </c>
      <c r="Z9" s="19">
        <f>IF(X9=90,0,(1-Y9)/(TAN(X9/180*PI())+1))</f>
        <v>0</v>
      </c>
      <c r="AA9" s="19">
        <f>IF(X9=90,1-W9,Z9*TAN(X9/180*PI()))</f>
        <v>0</v>
      </c>
      <c r="AB9" s="29">
        <f>AH9/3.5</f>
        <v>384.88751445868417</v>
      </c>
      <c r="AC9" s="29">
        <f>Z9*AI9/3.5</f>
        <v>0</v>
      </c>
      <c r="AD9" s="29">
        <f>AA9*AJ9/3.5</f>
        <v>0</v>
      </c>
      <c r="AE9" s="28">
        <v>20</v>
      </c>
      <c r="AF9" s="28">
        <v>235</v>
      </c>
      <c r="AG9" s="28">
        <v>210000</v>
      </c>
      <c r="AH9" s="29">
        <v>1347.1063006053946</v>
      </c>
      <c r="AI9" s="29">
        <v>0</v>
      </c>
      <c r="AJ9" s="30">
        <v>0</v>
      </c>
      <c r="AK9" s="57">
        <f>K9/1000</f>
        <v>20</v>
      </c>
      <c r="AL9" s="57">
        <f>(K9/(6*1000))</f>
        <v>3.3333333333333335</v>
      </c>
      <c r="AM9" s="57">
        <f>C9/200</f>
        <v>1</v>
      </c>
      <c r="AN9" s="60"/>
      <c r="AO9" s="60">
        <f>AQ9*AG9*AR9/(K9*1000000)</f>
        <v>6792.4860438399992</v>
      </c>
      <c r="AP9" s="57">
        <v>16359.517503753334</v>
      </c>
      <c r="AQ9" s="57">
        <v>1.4</v>
      </c>
      <c r="AR9" s="133">
        <v>462073880.5333333</v>
      </c>
    </row>
    <row r="10" spans="1:44" ht="21" x14ac:dyDescent="0.35">
      <c r="A10" s="28">
        <v>20</v>
      </c>
      <c r="B10" s="67" t="s">
        <v>97</v>
      </c>
      <c r="C10" s="28">
        <v>200</v>
      </c>
      <c r="D10" s="19">
        <v>200</v>
      </c>
      <c r="E10" s="28">
        <v>500</v>
      </c>
      <c r="F10" s="28">
        <v>16</v>
      </c>
      <c r="G10" s="19">
        <v>16</v>
      </c>
      <c r="H10" s="28">
        <v>10.199999999999999</v>
      </c>
      <c r="I10" s="19">
        <v>20</v>
      </c>
      <c r="J10" s="19">
        <v>20</v>
      </c>
      <c r="K10" s="19">
        <v>20000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>W10</f>
        <v>1</v>
      </c>
      <c r="Z10" s="19">
        <f>IF(X10=90,0,(1-Y10)/(TAN(X10/180*PI())+1))</f>
        <v>0</v>
      </c>
      <c r="AA10" s="19">
        <f>IF(X10=90,1-W10,Z10*TAN(X10/180*PI()))</f>
        <v>0</v>
      </c>
      <c r="AB10" s="29">
        <f>AH10/3.5</f>
        <v>384.88751445868417</v>
      </c>
      <c r="AC10" s="29">
        <f>Z10*AI10/3.5</f>
        <v>0</v>
      </c>
      <c r="AD10" s="29">
        <f>AA10*AJ10/3.5</f>
        <v>0</v>
      </c>
      <c r="AE10" s="28">
        <v>20</v>
      </c>
      <c r="AF10" s="28">
        <v>235</v>
      </c>
      <c r="AG10" s="28">
        <v>210000</v>
      </c>
      <c r="AH10" s="29">
        <v>1347.1063006053946</v>
      </c>
      <c r="AI10" s="29">
        <v>0</v>
      </c>
      <c r="AJ10" s="30">
        <v>0</v>
      </c>
      <c r="AK10" s="57">
        <f>K10/1000</f>
        <v>20</v>
      </c>
      <c r="AL10" s="57">
        <f>(K10/(6*1000))</f>
        <v>3.3333333333333335</v>
      </c>
      <c r="AM10" s="57">
        <f>C10/200</f>
        <v>1</v>
      </c>
      <c r="AN10" s="60"/>
      <c r="AO10" s="60">
        <f>AQ10*AG10*AR10/(K10*1000000)</f>
        <v>7762.8411929599997</v>
      </c>
      <c r="AP10" s="57">
        <v>16040.19815403662</v>
      </c>
      <c r="AQ10" s="57">
        <v>1.6</v>
      </c>
      <c r="AR10" s="133">
        <v>462073880.5333333</v>
      </c>
    </row>
    <row r="11" spans="1:44" ht="21" x14ac:dyDescent="0.35">
      <c r="A11" s="28">
        <v>21</v>
      </c>
      <c r="B11" s="67" t="s">
        <v>97</v>
      </c>
      <c r="C11" s="28">
        <v>200</v>
      </c>
      <c r="D11" s="19">
        <v>200</v>
      </c>
      <c r="E11" s="28">
        <v>500</v>
      </c>
      <c r="F11" s="28">
        <v>16</v>
      </c>
      <c r="G11" s="19">
        <v>16</v>
      </c>
      <c r="H11" s="28">
        <v>10.199999999999999</v>
      </c>
      <c r="I11" s="19">
        <v>20</v>
      </c>
      <c r="J11" s="19">
        <v>20</v>
      </c>
      <c r="K11" s="19">
        <v>20000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>W11</f>
        <v>1</v>
      </c>
      <c r="Z11" s="19">
        <f>IF(X11=90,0,(1-Y11)/(TAN(X11/180*PI())+1))</f>
        <v>0</v>
      </c>
      <c r="AA11" s="19">
        <f>IF(X11=90,1-W11,Z11*TAN(X11/180*PI()))</f>
        <v>0</v>
      </c>
      <c r="AB11" s="29">
        <f>AH11/3.5</f>
        <v>384.88751445868417</v>
      </c>
      <c r="AC11" s="29">
        <f>Z11*AI11/3.5</f>
        <v>0</v>
      </c>
      <c r="AD11" s="29">
        <f>AA11*AJ11/3.5</f>
        <v>0</v>
      </c>
      <c r="AE11" s="28">
        <v>20</v>
      </c>
      <c r="AF11" s="28">
        <v>235</v>
      </c>
      <c r="AG11" s="28">
        <v>210000</v>
      </c>
      <c r="AH11" s="29">
        <v>1347.1063006053946</v>
      </c>
      <c r="AI11" s="29">
        <v>0</v>
      </c>
      <c r="AJ11" s="30">
        <v>0</v>
      </c>
      <c r="AK11" s="57">
        <f>K11/1000</f>
        <v>20</v>
      </c>
      <c r="AL11" s="57">
        <f>(K11/(6*1000))</f>
        <v>3.3333333333333335</v>
      </c>
      <c r="AM11" s="57">
        <f>C11/200</f>
        <v>1</v>
      </c>
      <c r="AN11" s="60"/>
      <c r="AO11" s="60">
        <f>AQ11*AG11*AR11/(K11*1000000)</f>
        <v>8733.1963420800002</v>
      </c>
      <c r="AP11" s="57">
        <v>15750.071348422642</v>
      </c>
      <c r="AQ11" s="57">
        <v>1.8</v>
      </c>
      <c r="AR11" s="133">
        <v>462073880.5333333</v>
      </c>
    </row>
    <row r="12" spans="1:44" ht="21" x14ac:dyDescent="0.35">
      <c r="A12" s="28">
        <v>22</v>
      </c>
      <c r="B12" s="67" t="s">
        <v>97</v>
      </c>
      <c r="C12" s="28">
        <v>200</v>
      </c>
      <c r="D12" s="19">
        <v>200</v>
      </c>
      <c r="E12" s="28">
        <v>500</v>
      </c>
      <c r="F12" s="28">
        <v>16</v>
      </c>
      <c r="G12" s="19">
        <v>16</v>
      </c>
      <c r="H12" s="28">
        <v>10.199999999999999</v>
      </c>
      <c r="I12" s="19">
        <v>20</v>
      </c>
      <c r="J12" s="19">
        <v>20</v>
      </c>
      <c r="K12" s="19">
        <v>20000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>W12</f>
        <v>1</v>
      </c>
      <c r="Z12" s="19">
        <f>IF(X12=90,0,(1-Y12)/(TAN(X12/180*PI())+1))</f>
        <v>0</v>
      </c>
      <c r="AA12" s="19">
        <f>IF(X12=90,1-W12,Z12*TAN(X12/180*PI()))</f>
        <v>0</v>
      </c>
      <c r="AB12" s="29">
        <f>AH12/3.5</f>
        <v>384.88751445868417</v>
      </c>
      <c r="AC12" s="29">
        <f>Z12*AI12/3.5</f>
        <v>0</v>
      </c>
      <c r="AD12" s="29">
        <f>AA12*AJ12/3.5</f>
        <v>0</v>
      </c>
      <c r="AE12" s="28">
        <v>20</v>
      </c>
      <c r="AF12" s="28">
        <v>235</v>
      </c>
      <c r="AG12" s="28">
        <v>210000</v>
      </c>
      <c r="AH12" s="29">
        <v>1347.1063006053946</v>
      </c>
      <c r="AI12" s="29">
        <v>0</v>
      </c>
      <c r="AJ12" s="30">
        <v>0</v>
      </c>
      <c r="AK12" s="57">
        <f>K12/1000</f>
        <v>20</v>
      </c>
      <c r="AL12" s="57">
        <f>(K12/(6*1000))</f>
        <v>3.3333333333333335</v>
      </c>
      <c r="AM12" s="57">
        <f>C12/200</f>
        <v>1</v>
      </c>
      <c r="AN12" s="60"/>
      <c r="AO12" s="60">
        <f>AQ12*AG12*AR12/(K12*1000000)</f>
        <v>9703.5514911999999</v>
      </c>
      <c r="AP12" s="57">
        <v>15485.301372961494</v>
      </c>
      <c r="AQ12" s="57">
        <v>2</v>
      </c>
      <c r="AR12" s="133">
        <v>462073880.5333333</v>
      </c>
    </row>
  </sheetData>
  <conditionalFormatting sqref="Y2:Y12">
    <cfRule type="expression" dxfId="2" priority="3">
      <formula>Y2+Z2+AA2=1</formula>
    </cfRule>
  </conditionalFormatting>
  <conditionalFormatting sqref="Z2:Z12">
    <cfRule type="expression" dxfId="1" priority="2">
      <formula>Y2+Z2+AA2=1</formula>
    </cfRule>
  </conditionalFormatting>
  <conditionalFormatting sqref="AA2:AA12">
    <cfRule type="expression" dxfId="0" priority="1">
      <formula>Y2+Z2+AA2=1</formula>
    </cfRule>
  </conditionalFormatting>
  <dataValidations count="1">
    <dataValidation type="list" allowBlank="1" showInputMessage="1" showErrorMessage="1" sqref="U2:U12" xr:uid="{D88A0B91-7378-480E-91C0-3BEF0509A703}">
      <formula1>$BB$3:$BB$9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General_parameters</vt:lpstr>
      <vt:lpstr>Input_data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2026-06-21T12:54:17Z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