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341E8DE1-D39D-4E8C-8AD6-0858968CD9F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Local and Global" sheetId="27" r:id="rId1"/>
    <sheet name="Global Only" sheetId="20" r:id="rId2"/>
    <sheet name="HR_Local and Global" sheetId="22" r:id="rId3"/>
  </sheets>
  <externalReferences>
    <externalReference r:id="rId4"/>
  </externalReference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22" l="1"/>
  <c r="AI17" i="22"/>
  <c r="P18" i="22"/>
  <c r="AI18" i="22"/>
  <c r="P19" i="22"/>
  <c r="AI19" i="22"/>
  <c r="P20" i="22"/>
  <c r="AI20" i="22"/>
  <c r="P21" i="22"/>
  <c r="AI21" i="22"/>
  <c r="P22" i="22"/>
  <c r="AI22" i="22"/>
  <c r="P23" i="22"/>
  <c r="AI23" i="22"/>
  <c r="P24" i="22"/>
  <c r="AI24" i="22"/>
  <c r="P25" i="22"/>
  <c r="AI25" i="22"/>
  <c r="P26" i="22"/>
  <c r="AI26" i="22"/>
  <c r="V17" i="22"/>
  <c r="AJ17" i="22"/>
  <c r="V18" i="22"/>
  <c r="AJ18" i="22"/>
  <c r="V19" i="22"/>
  <c r="AJ19" i="22"/>
  <c r="V20" i="22"/>
  <c r="AJ20" i="22"/>
  <c r="V21" i="22"/>
  <c r="AJ21" i="22"/>
  <c r="V22" i="22"/>
  <c r="AJ22" i="22"/>
  <c r="V23" i="22"/>
  <c r="AJ23" i="22"/>
  <c r="V24" i="22"/>
  <c r="AJ24" i="22"/>
  <c r="V25" i="22"/>
  <c r="AJ25" i="22"/>
  <c r="V26" i="22"/>
  <c r="AJ26" i="22"/>
  <c r="AG17" i="22"/>
  <c r="AG18" i="22"/>
  <c r="AG19" i="22"/>
  <c r="AG20" i="22"/>
  <c r="AG21" i="22"/>
  <c r="AG22" i="22"/>
  <c r="AG23" i="22"/>
  <c r="AG24" i="22"/>
  <c r="AG25" i="22"/>
  <c r="AG26" i="22"/>
  <c r="AK17" i="22"/>
  <c r="AK18" i="22"/>
  <c r="AK19" i="22"/>
  <c r="AK20" i="22"/>
  <c r="AK21" i="22"/>
  <c r="AK22" i="22"/>
  <c r="AK23" i="22"/>
  <c r="AK24" i="22"/>
  <c r="AK25" i="22"/>
  <c r="AK26" i="22"/>
  <c r="AK271" i="20"/>
  <c r="V16" i="22"/>
  <c r="AK16" i="22"/>
  <c r="P16" i="22"/>
  <c r="AI16" i="22"/>
  <c r="AJ16" i="22"/>
  <c r="AG16" i="22"/>
  <c r="V15" i="22"/>
  <c r="AK15" i="22"/>
  <c r="P15" i="22"/>
  <c r="AI15" i="22"/>
  <c r="AJ15" i="22"/>
  <c r="AG15" i="22"/>
  <c r="V14" i="22"/>
  <c r="AK14" i="22"/>
  <c r="P14" i="22"/>
  <c r="AI14" i="22"/>
  <c r="AJ14" i="22"/>
  <c r="AG14" i="22"/>
  <c r="V13" i="22"/>
  <c r="AK13" i="22"/>
  <c r="P13" i="22"/>
  <c r="AI13" i="22"/>
  <c r="AJ13" i="22"/>
  <c r="AG13" i="22"/>
  <c r="V12" i="22"/>
  <c r="AK12" i="22"/>
  <c r="P12" i="22"/>
  <c r="AI12" i="22"/>
  <c r="AJ12" i="22"/>
  <c r="AG12" i="22"/>
  <c r="V11" i="22"/>
  <c r="AK11" i="22"/>
  <c r="P11" i="22"/>
  <c r="AI11" i="22"/>
  <c r="AJ11" i="22"/>
  <c r="AG11" i="22"/>
  <c r="V10" i="22"/>
  <c r="AK10" i="22"/>
  <c r="P10" i="22"/>
  <c r="AI10" i="22"/>
  <c r="AJ10" i="22"/>
  <c r="AG10" i="22"/>
  <c r="V9" i="22"/>
  <c r="AK9" i="22"/>
  <c r="P9" i="22"/>
  <c r="AI9" i="22"/>
  <c r="AJ9" i="22"/>
  <c r="AG9" i="22"/>
  <c r="V8" i="22"/>
  <c r="AK8" i="22"/>
  <c r="P8" i="22"/>
  <c r="AI8" i="22"/>
  <c r="AJ8" i="22"/>
  <c r="AG8" i="22"/>
  <c r="V7" i="22"/>
  <c r="AK7" i="22"/>
  <c r="P7" i="22"/>
  <c r="AI7" i="22"/>
  <c r="AJ7" i="22"/>
  <c r="AG7" i="22"/>
  <c r="V6" i="22"/>
  <c r="AK6" i="22"/>
  <c r="P6" i="22"/>
  <c r="AI6" i="22"/>
  <c r="AJ6" i="22"/>
  <c r="AG6" i="22"/>
  <c r="AK293" i="20"/>
  <c r="AJ293" i="20"/>
  <c r="AI293" i="20"/>
  <c r="AG293" i="20"/>
  <c r="Y293" i="20"/>
  <c r="V293" i="20"/>
  <c r="P293" i="20"/>
  <c r="L293" i="20"/>
  <c r="AK292" i="20"/>
  <c r="AJ292" i="20"/>
  <c r="AI292" i="20"/>
  <c r="AG292" i="20"/>
  <c r="Y292" i="20"/>
  <c r="V292" i="20"/>
  <c r="P292" i="20"/>
  <c r="L292" i="20"/>
  <c r="AK291" i="20"/>
  <c r="AJ291" i="20"/>
  <c r="AI291" i="20"/>
  <c r="AG291" i="20"/>
  <c r="Y291" i="20"/>
  <c r="V291" i="20"/>
  <c r="P291" i="20"/>
  <c r="L291" i="20"/>
  <c r="AK290" i="20"/>
  <c r="AJ290" i="20"/>
  <c r="AI290" i="20"/>
  <c r="AG290" i="20"/>
  <c r="Y290" i="20"/>
  <c r="V290" i="20"/>
  <c r="P290" i="20"/>
  <c r="L290" i="20"/>
  <c r="AK289" i="20"/>
  <c r="AJ289" i="20"/>
  <c r="AI289" i="20"/>
  <c r="AG289" i="20"/>
  <c r="Y289" i="20"/>
  <c r="V289" i="20"/>
  <c r="P289" i="20"/>
  <c r="L289" i="20"/>
  <c r="AK288" i="20"/>
  <c r="AJ288" i="20"/>
  <c r="AI288" i="20"/>
  <c r="AG288" i="20"/>
  <c r="Y288" i="20"/>
  <c r="V288" i="20"/>
  <c r="P288" i="20"/>
  <c r="L288" i="20"/>
  <c r="AK287" i="20"/>
  <c r="AJ287" i="20"/>
  <c r="AI287" i="20"/>
  <c r="AG287" i="20"/>
  <c r="Y287" i="20"/>
  <c r="V287" i="20"/>
  <c r="P287" i="20"/>
  <c r="L287" i="20"/>
  <c r="AK286" i="20"/>
  <c r="AJ286" i="20"/>
  <c r="AI286" i="20"/>
  <c r="AG286" i="20"/>
  <c r="Y286" i="20"/>
  <c r="V286" i="20"/>
  <c r="P286" i="20"/>
  <c r="L286" i="20"/>
  <c r="AK285" i="20"/>
  <c r="AJ285" i="20"/>
  <c r="AI285" i="20"/>
  <c r="AG285" i="20"/>
  <c r="Y285" i="20"/>
  <c r="V285" i="20"/>
  <c r="P285" i="20"/>
  <c r="L285" i="20"/>
  <c r="AK284" i="20"/>
  <c r="AJ284" i="20"/>
  <c r="AI284" i="20"/>
  <c r="AG284" i="20"/>
  <c r="Y284" i="20"/>
  <c r="V284" i="20"/>
  <c r="P284" i="20"/>
  <c r="L284" i="20"/>
  <c r="AK283" i="20"/>
  <c r="AJ283" i="20"/>
  <c r="AI283" i="20"/>
  <c r="AG283" i="20"/>
  <c r="Y283" i="20"/>
  <c r="V283" i="20"/>
  <c r="P283" i="20"/>
  <c r="L283" i="20"/>
  <c r="AK282" i="20"/>
  <c r="AJ282" i="20"/>
  <c r="AI282" i="20"/>
  <c r="AG282" i="20"/>
  <c r="Y282" i="20"/>
  <c r="V282" i="20"/>
  <c r="P282" i="20"/>
  <c r="L282" i="20"/>
  <c r="AK281" i="20"/>
  <c r="AJ281" i="20"/>
  <c r="AI281" i="20"/>
  <c r="AG281" i="20"/>
  <c r="Y281" i="20"/>
  <c r="V281" i="20"/>
  <c r="P281" i="20"/>
  <c r="L281" i="20"/>
  <c r="AK280" i="20"/>
  <c r="AJ280" i="20"/>
  <c r="AI280" i="20"/>
  <c r="AG280" i="20"/>
  <c r="Y280" i="20"/>
  <c r="V280" i="20"/>
  <c r="P280" i="20"/>
  <c r="L280" i="20"/>
  <c r="AK279" i="20"/>
  <c r="AJ279" i="20"/>
  <c r="AI279" i="20"/>
  <c r="AG279" i="20"/>
  <c r="Y279" i="20"/>
  <c r="V279" i="20"/>
  <c r="P279" i="20"/>
  <c r="L279" i="20"/>
  <c r="AK278" i="20"/>
  <c r="AJ278" i="20"/>
  <c r="AI278" i="20"/>
  <c r="AG278" i="20"/>
  <c r="Y278" i="20"/>
  <c r="V278" i="20"/>
  <c r="P278" i="20"/>
  <c r="L278" i="20"/>
  <c r="AK277" i="20"/>
  <c r="AJ277" i="20"/>
  <c r="AI277" i="20"/>
  <c r="AG277" i="20"/>
  <c r="Y277" i="20"/>
  <c r="V277" i="20"/>
  <c r="P277" i="20"/>
  <c r="L277" i="20"/>
  <c r="AK276" i="20"/>
  <c r="AJ276" i="20"/>
  <c r="AI276" i="20"/>
  <c r="AG276" i="20"/>
  <c r="Y276" i="20"/>
  <c r="V276" i="20"/>
  <c r="P276" i="20"/>
  <c r="L276" i="20"/>
  <c r="AK275" i="20"/>
  <c r="AJ275" i="20"/>
  <c r="AI275" i="20"/>
  <c r="AG275" i="20"/>
  <c r="Y275" i="20"/>
  <c r="V275" i="20"/>
  <c r="P275" i="20"/>
  <c r="L275" i="20"/>
  <c r="AK274" i="20"/>
  <c r="AJ274" i="20"/>
  <c r="AI274" i="20"/>
  <c r="AG274" i="20"/>
  <c r="Y274" i="20"/>
  <c r="V274" i="20"/>
  <c r="P274" i="20"/>
  <c r="L274" i="20"/>
  <c r="AK273" i="20"/>
  <c r="AJ273" i="20"/>
  <c r="AI273" i="20"/>
  <c r="AG273" i="20"/>
  <c r="Y273" i="20"/>
  <c r="V273" i="20"/>
  <c r="P273" i="20"/>
  <c r="L273" i="20"/>
  <c r="AK272" i="20"/>
  <c r="AJ272" i="20"/>
  <c r="AI272" i="20"/>
  <c r="AG272" i="20"/>
  <c r="Y272" i="20"/>
  <c r="V272" i="20"/>
  <c r="P272" i="20"/>
  <c r="L272" i="20"/>
  <c r="AJ271" i="20"/>
  <c r="AI271" i="20"/>
  <c r="AG271" i="20"/>
  <c r="Y271" i="20"/>
  <c r="V271" i="20"/>
  <c r="P271" i="20"/>
  <c r="L271" i="20"/>
  <c r="AK270" i="20"/>
  <c r="AJ270" i="20"/>
  <c r="AI270" i="20"/>
  <c r="AG270" i="20"/>
  <c r="Y270" i="20"/>
  <c r="V270" i="20"/>
  <c r="P270" i="20"/>
  <c r="L270" i="20"/>
  <c r="AK269" i="20"/>
  <c r="AJ269" i="20"/>
  <c r="AI269" i="20"/>
  <c r="AG269" i="20"/>
  <c r="Y269" i="20"/>
  <c r="V269" i="20"/>
  <c r="P269" i="20"/>
  <c r="L269" i="20"/>
  <c r="AK268" i="20"/>
  <c r="AJ268" i="20"/>
  <c r="AI268" i="20"/>
  <c r="AG268" i="20"/>
  <c r="Y268" i="20"/>
  <c r="V268" i="20"/>
  <c r="P268" i="20"/>
  <c r="L268" i="20"/>
  <c r="AK267" i="20"/>
  <c r="AJ267" i="20"/>
  <c r="AI267" i="20"/>
  <c r="AG267" i="20"/>
  <c r="Y267" i="20"/>
  <c r="V267" i="20"/>
  <c r="P267" i="20"/>
  <c r="L267" i="20"/>
  <c r="AK266" i="20"/>
  <c r="AJ266" i="20"/>
  <c r="AI266" i="20"/>
  <c r="AG266" i="20"/>
  <c r="Y266" i="20"/>
  <c r="V266" i="20"/>
  <c r="P266" i="20"/>
  <c r="L266" i="20"/>
  <c r="AK265" i="20"/>
  <c r="AJ265" i="20"/>
  <c r="AI265" i="20"/>
  <c r="AG265" i="20"/>
  <c r="Y265" i="20"/>
  <c r="V265" i="20"/>
  <c r="P265" i="20"/>
  <c r="L265" i="20"/>
  <c r="AK264" i="20"/>
  <c r="AJ264" i="20"/>
  <c r="AI264" i="20"/>
  <c r="AG264" i="20"/>
  <c r="Y264" i="20"/>
  <c r="V264" i="20"/>
  <c r="P264" i="20"/>
  <c r="L264" i="20"/>
  <c r="AK263" i="20"/>
  <c r="AJ263" i="20"/>
  <c r="AI263" i="20"/>
  <c r="AG263" i="20"/>
  <c r="Y263" i="20"/>
  <c r="V263" i="20"/>
  <c r="P263" i="20"/>
  <c r="L263" i="20"/>
  <c r="AK262" i="20"/>
  <c r="AJ262" i="20"/>
  <c r="AI262" i="20"/>
  <c r="AG262" i="20"/>
  <c r="Y262" i="20"/>
  <c r="V262" i="20"/>
  <c r="P262" i="20"/>
  <c r="L262" i="20"/>
  <c r="AK261" i="20"/>
  <c r="AJ261" i="20"/>
  <c r="AI261" i="20"/>
  <c r="AG261" i="20"/>
  <c r="Y261" i="20"/>
  <c r="V261" i="20"/>
  <c r="P261" i="20"/>
  <c r="L261" i="20"/>
  <c r="AK260" i="20"/>
  <c r="AJ260" i="20"/>
  <c r="AI260" i="20"/>
  <c r="AG260" i="20"/>
  <c r="Y260" i="20"/>
  <c r="V260" i="20"/>
  <c r="P260" i="20"/>
  <c r="L260" i="20"/>
  <c r="AK259" i="20"/>
  <c r="AJ259" i="20"/>
  <c r="AI259" i="20"/>
  <c r="AG259" i="20"/>
  <c r="Y259" i="20"/>
  <c r="V259" i="20"/>
  <c r="P259" i="20"/>
  <c r="L259" i="20"/>
  <c r="AK258" i="20"/>
  <c r="AJ258" i="20"/>
  <c r="AI258" i="20"/>
  <c r="AG258" i="20"/>
  <c r="Y258" i="20"/>
  <c r="V258" i="20"/>
  <c r="P258" i="20"/>
  <c r="L258" i="20"/>
  <c r="AK257" i="20"/>
  <c r="AJ257" i="20"/>
  <c r="AI257" i="20"/>
  <c r="AG257" i="20"/>
  <c r="Y257" i="20"/>
  <c r="V257" i="20"/>
  <c r="P257" i="20"/>
  <c r="L257" i="20"/>
  <c r="AK256" i="20"/>
  <c r="AJ256" i="20"/>
  <c r="AI256" i="20"/>
  <c r="AG256" i="20"/>
  <c r="Y256" i="20"/>
  <c r="V256" i="20"/>
  <c r="P256" i="20"/>
  <c r="L256" i="20"/>
  <c r="AK255" i="20"/>
  <c r="AJ255" i="20"/>
  <c r="AI255" i="20"/>
  <c r="AG255" i="20"/>
  <c r="Y255" i="20"/>
  <c r="V255" i="20"/>
  <c r="P255" i="20"/>
  <c r="L255" i="20"/>
  <c r="AK254" i="20"/>
  <c r="AJ254" i="20"/>
  <c r="AI254" i="20"/>
  <c r="AG254" i="20"/>
  <c r="Y254" i="20"/>
  <c r="V254" i="20"/>
  <c r="P254" i="20"/>
  <c r="L254" i="20"/>
  <c r="AK253" i="20"/>
  <c r="AJ253" i="20"/>
  <c r="AI253" i="20"/>
  <c r="AG253" i="20"/>
  <c r="Y253" i="20"/>
  <c r="V253" i="20"/>
  <c r="P253" i="20"/>
  <c r="L253" i="20"/>
  <c r="AK252" i="20"/>
  <c r="AJ252" i="20"/>
  <c r="AI252" i="20"/>
  <c r="AG252" i="20"/>
  <c r="Y252" i="20"/>
  <c r="V252" i="20"/>
  <c r="P252" i="20"/>
  <c r="L252" i="20"/>
  <c r="AK251" i="20"/>
  <c r="AJ251" i="20"/>
  <c r="AI251" i="20"/>
  <c r="AG251" i="20"/>
  <c r="Y251" i="20"/>
  <c r="V251" i="20"/>
  <c r="P251" i="20"/>
  <c r="L251" i="20"/>
  <c r="AK250" i="20"/>
  <c r="AJ250" i="20"/>
  <c r="AI250" i="20"/>
  <c r="AG250" i="20"/>
  <c r="Y250" i="20"/>
  <c r="V250" i="20"/>
  <c r="P250" i="20"/>
  <c r="L250" i="20"/>
  <c r="AK249" i="20"/>
  <c r="AJ249" i="20"/>
  <c r="AI249" i="20"/>
  <c r="AG249" i="20"/>
  <c r="Y249" i="20"/>
  <c r="V249" i="20"/>
  <c r="P249" i="20"/>
  <c r="L249" i="20"/>
  <c r="AK248" i="20"/>
  <c r="AJ248" i="20"/>
  <c r="AI248" i="20"/>
  <c r="AG248" i="20"/>
  <c r="Y248" i="20"/>
  <c r="V248" i="20"/>
  <c r="P248" i="20"/>
  <c r="L248" i="20"/>
  <c r="AK247" i="20"/>
  <c r="AJ247" i="20"/>
  <c r="AI247" i="20"/>
  <c r="AG247" i="20"/>
  <c r="Y247" i="20"/>
  <c r="V247" i="20"/>
  <c r="P247" i="20"/>
  <c r="L247" i="20"/>
  <c r="AK246" i="20"/>
  <c r="AJ246" i="20"/>
  <c r="AI246" i="20"/>
  <c r="AG246" i="20"/>
  <c r="Y246" i="20"/>
  <c r="V246" i="20"/>
  <c r="P246" i="20"/>
  <c r="L246" i="20"/>
  <c r="AK245" i="20"/>
  <c r="AJ245" i="20"/>
  <c r="AI245" i="20"/>
  <c r="AG245" i="20"/>
  <c r="Y245" i="20"/>
  <c r="V245" i="20"/>
  <c r="P245" i="20"/>
  <c r="L245" i="20"/>
  <c r="AK244" i="20"/>
  <c r="AJ244" i="20"/>
  <c r="AI244" i="20"/>
  <c r="AG244" i="20"/>
  <c r="Y244" i="20"/>
  <c r="V244" i="20"/>
  <c r="P244" i="20"/>
  <c r="L244" i="20"/>
  <c r="AK243" i="20"/>
  <c r="AJ243" i="20"/>
  <c r="AI243" i="20"/>
  <c r="AG243" i="20"/>
  <c r="Y243" i="20"/>
  <c r="V243" i="20"/>
  <c r="P243" i="20"/>
  <c r="L243" i="20"/>
  <c r="AK242" i="20"/>
  <c r="AJ242" i="20"/>
  <c r="AI242" i="20"/>
  <c r="AG242" i="20"/>
  <c r="Y242" i="20"/>
  <c r="V242" i="20"/>
  <c r="P242" i="20"/>
  <c r="L242" i="20"/>
  <c r="AK241" i="20"/>
  <c r="AJ241" i="20"/>
  <c r="AI241" i="20"/>
  <c r="AG241" i="20"/>
  <c r="Y241" i="20"/>
  <c r="V241" i="20"/>
  <c r="P241" i="20"/>
  <c r="L241" i="20"/>
  <c r="AK240" i="20"/>
  <c r="AJ240" i="20"/>
  <c r="AI240" i="20"/>
  <c r="AG240" i="20"/>
  <c r="Y240" i="20"/>
  <c r="V240" i="20"/>
  <c r="P240" i="20"/>
  <c r="L240" i="20"/>
  <c r="AK239" i="20"/>
  <c r="AJ239" i="20"/>
  <c r="AI239" i="20"/>
  <c r="AG239" i="20"/>
  <c r="Y239" i="20"/>
  <c r="V239" i="20"/>
  <c r="P239" i="20"/>
  <c r="L239" i="20"/>
  <c r="AK238" i="20"/>
  <c r="AJ238" i="20"/>
  <c r="AI238" i="20"/>
  <c r="AG238" i="20"/>
  <c r="Y238" i="20"/>
  <c r="V238" i="20"/>
  <c r="P238" i="20"/>
  <c r="L238" i="20"/>
  <c r="AK237" i="20"/>
  <c r="AJ237" i="20"/>
  <c r="AI237" i="20"/>
  <c r="AG237" i="20"/>
  <c r="Y237" i="20"/>
  <c r="V237" i="20"/>
  <c r="P237" i="20"/>
  <c r="L237" i="20"/>
  <c r="AK236" i="20"/>
  <c r="AJ236" i="20"/>
  <c r="AI236" i="20"/>
  <c r="AG236" i="20"/>
  <c r="Y236" i="20"/>
  <c r="V236" i="20"/>
  <c r="P236" i="20"/>
  <c r="L236" i="20"/>
  <c r="AK235" i="20"/>
  <c r="AJ235" i="20"/>
  <c r="AI235" i="20"/>
  <c r="AG235" i="20"/>
  <c r="Y235" i="20"/>
  <c r="V235" i="20"/>
  <c r="P235" i="20"/>
  <c r="L235" i="20"/>
  <c r="AK234" i="20"/>
  <c r="AJ234" i="20"/>
  <c r="AI234" i="20"/>
  <c r="AG234" i="20"/>
  <c r="Y234" i="20"/>
  <c r="V234" i="20"/>
  <c r="P234" i="20"/>
  <c r="L234" i="20"/>
  <c r="AK233" i="20"/>
  <c r="AJ233" i="20"/>
  <c r="AI233" i="20"/>
  <c r="AG233" i="20"/>
  <c r="Y233" i="20"/>
  <c r="V233" i="20"/>
  <c r="P233" i="20"/>
  <c r="L233" i="20"/>
  <c r="AK232" i="20"/>
  <c r="AJ232" i="20"/>
  <c r="AI232" i="20"/>
  <c r="AG232" i="20"/>
  <c r="Y232" i="20"/>
  <c r="V232" i="20"/>
  <c r="P232" i="20"/>
  <c r="L232" i="20"/>
  <c r="AK231" i="20"/>
  <c r="AJ231" i="20"/>
  <c r="AI231" i="20"/>
  <c r="AG231" i="20"/>
  <c r="Y231" i="20"/>
  <c r="V231" i="20"/>
  <c r="P231" i="20"/>
  <c r="L231" i="20"/>
  <c r="AK230" i="20"/>
  <c r="AJ230" i="20"/>
  <c r="AI230" i="20"/>
  <c r="AG230" i="20"/>
  <c r="Y230" i="20"/>
  <c r="V230" i="20"/>
  <c r="P230" i="20"/>
  <c r="L230" i="20"/>
  <c r="AK229" i="20"/>
  <c r="AJ229" i="20"/>
  <c r="AI229" i="20"/>
  <c r="AG229" i="20"/>
  <c r="Y229" i="20"/>
  <c r="V229" i="20"/>
  <c r="P229" i="20"/>
  <c r="L229" i="20"/>
  <c r="AK228" i="20"/>
  <c r="AJ228" i="20"/>
  <c r="AI228" i="20"/>
  <c r="AG228" i="20"/>
  <c r="Y228" i="20"/>
  <c r="V228" i="20"/>
  <c r="P228" i="20"/>
  <c r="L228" i="20"/>
  <c r="AK227" i="20"/>
  <c r="AJ227" i="20"/>
  <c r="AI227" i="20"/>
  <c r="AG227" i="20"/>
  <c r="Y227" i="20"/>
  <c r="V227" i="20"/>
  <c r="P227" i="20"/>
  <c r="L227" i="20"/>
  <c r="AK226" i="20"/>
  <c r="AJ226" i="20"/>
  <c r="AI226" i="20"/>
  <c r="AG226" i="20"/>
  <c r="Y226" i="20"/>
  <c r="V226" i="20"/>
  <c r="P226" i="20"/>
  <c r="L226" i="20"/>
  <c r="AK225" i="20"/>
  <c r="AJ225" i="20"/>
  <c r="AI225" i="20"/>
  <c r="AG225" i="20"/>
  <c r="Y225" i="20"/>
  <c r="V225" i="20"/>
  <c r="P225" i="20"/>
  <c r="L225" i="20"/>
  <c r="AK224" i="20"/>
  <c r="AJ224" i="20"/>
  <c r="AI224" i="20"/>
  <c r="AG224" i="20"/>
  <c r="Y224" i="20"/>
  <c r="V224" i="20"/>
  <c r="P224" i="20"/>
  <c r="L224" i="20"/>
  <c r="AK223" i="20"/>
  <c r="AJ223" i="20"/>
  <c r="AI223" i="20"/>
  <c r="AG223" i="20"/>
  <c r="Y223" i="20"/>
  <c r="V223" i="20"/>
  <c r="P223" i="20"/>
  <c r="L223" i="20"/>
  <c r="AK222" i="20"/>
  <c r="AJ222" i="20"/>
  <c r="AI222" i="20"/>
  <c r="AG222" i="20"/>
  <c r="Y222" i="20"/>
  <c r="V222" i="20"/>
  <c r="P222" i="20"/>
  <c r="L222" i="20"/>
  <c r="AK221" i="20"/>
  <c r="AJ221" i="20"/>
  <c r="AI221" i="20"/>
  <c r="AG221" i="20"/>
  <c r="Y221" i="20"/>
  <c r="V221" i="20"/>
  <c r="P221" i="20"/>
  <c r="L221" i="20"/>
  <c r="AK220" i="20"/>
  <c r="AJ220" i="20"/>
  <c r="AI220" i="20"/>
  <c r="AG220" i="20"/>
  <c r="Y220" i="20"/>
  <c r="V220" i="20"/>
  <c r="P220" i="20"/>
  <c r="L220" i="20"/>
  <c r="AK219" i="20"/>
  <c r="AJ219" i="20"/>
  <c r="AI219" i="20"/>
  <c r="AG219" i="20"/>
  <c r="Y219" i="20"/>
  <c r="V219" i="20"/>
  <c r="P219" i="20"/>
  <c r="L219" i="20"/>
  <c r="AK218" i="20"/>
  <c r="AJ218" i="20"/>
  <c r="AI218" i="20"/>
  <c r="AG218" i="20"/>
  <c r="Y218" i="20"/>
  <c r="V218" i="20"/>
  <c r="P218" i="20"/>
  <c r="L218" i="20"/>
  <c r="AK217" i="20"/>
  <c r="AJ217" i="20"/>
  <c r="AI217" i="20"/>
  <c r="AG217" i="20"/>
  <c r="Y217" i="20"/>
  <c r="V217" i="20"/>
  <c r="P217" i="20"/>
  <c r="L217" i="20"/>
  <c r="AK216" i="20"/>
  <c r="AJ216" i="20"/>
  <c r="AI216" i="20"/>
  <c r="AG216" i="20"/>
  <c r="Y216" i="20"/>
  <c r="V216" i="20"/>
  <c r="P216" i="20"/>
  <c r="L216" i="20"/>
  <c r="AK215" i="20"/>
  <c r="AJ215" i="20"/>
  <c r="AI215" i="20"/>
  <c r="AG215" i="20"/>
  <c r="Y215" i="20"/>
  <c r="V215" i="20"/>
  <c r="P215" i="20"/>
  <c r="L215" i="20"/>
  <c r="AK214" i="20"/>
  <c r="AJ214" i="20"/>
  <c r="AI214" i="20"/>
  <c r="AG214" i="20"/>
  <c r="Y214" i="20"/>
  <c r="V214" i="20"/>
  <c r="P214" i="20"/>
  <c r="L214" i="20"/>
  <c r="AK213" i="20"/>
  <c r="AJ213" i="20"/>
  <c r="AI213" i="20"/>
  <c r="AG213" i="20"/>
  <c r="Y213" i="20"/>
  <c r="V213" i="20"/>
  <c r="P213" i="20"/>
  <c r="L213" i="20"/>
  <c r="AK212" i="20"/>
  <c r="AJ212" i="20"/>
  <c r="AI212" i="20"/>
  <c r="AG212" i="20"/>
  <c r="Y212" i="20"/>
  <c r="V212" i="20"/>
  <c r="P212" i="20"/>
  <c r="L212" i="20"/>
  <c r="AK211" i="20"/>
  <c r="AJ211" i="20"/>
  <c r="AI211" i="20"/>
  <c r="AG211" i="20"/>
  <c r="Y211" i="20"/>
  <c r="V211" i="20"/>
  <c r="P211" i="20"/>
  <c r="L211" i="20"/>
  <c r="AK210" i="20"/>
  <c r="AJ210" i="20"/>
  <c r="AI210" i="20"/>
  <c r="AG210" i="20"/>
  <c r="Y210" i="20"/>
  <c r="V210" i="20"/>
  <c r="P210" i="20"/>
  <c r="L210" i="20"/>
  <c r="AK209" i="20"/>
  <c r="AJ209" i="20"/>
  <c r="AI209" i="20"/>
  <c r="AG209" i="20"/>
  <c r="Y209" i="20"/>
  <c r="V209" i="20"/>
  <c r="P209" i="20"/>
  <c r="L209" i="20"/>
  <c r="AK208" i="20"/>
  <c r="AJ208" i="20"/>
  <c r="AI208" i="20"/>
  <c r="AG208" i="20"/>
  <c r="Y208" i="20"/>
  <c r="V208" i="20"/>
  <c r="P208" i="20"/>
  <c r="L208" i="20"/>
  <c r="AK207" i="20"/>
  <c r="AJ207" i="20"/>
  <c r="AI207" i="20"/>
  <c r="AG207" i="20"/>
  <c r="Y207" i="20"/>
  <c r="V207" i="20"/>
  <c r="P207" i="20"/>
  <c r="L207" i="20"/>
  <c r="AK206" i="20"/>
  <c r="AJ206" i="20"/>
  <c r="AI206" i="20"/>
  <c r="AG206" i="20"/>
  <c r="Y206" i="20"/>
  <c r="V206" i="20"/>
  <c r="P206" i="20"/>
  <c r="L206" i="20"/>
  <c r="AK205" i="20"/>
  <c r="AJ205" i="20"/>
  <c r="AI205" i="20"/>
  <c r="AG205" i="20"/>
  <c r="Y205" i="20"/>
  <c r="V205" i="20"/>
  <c r="P205" i="20"/>
  <c r="L205" i="20"/>
  <c r="AK204" i="20"/>
  <c r="AJ204" i="20"/>
  <c r="AI204" i="20"/>
  <c r="AG204" i="20"/>
  <c r="Y204" i="20"/>
  <c r="V204" i="20"/>
  <c r="P204" i="20"/>
  <c r="L204" i="20"/>
  <c r="AK203" i="20"/>
  <c r="AJ203" i="20"/>
  <c r="AI203" i="20"/>
  <c r="AG203" i="20"/>
  <c r="Y203" i="20"/>
  <c r="V203" i="20"/>
  <c r="P203" i="20"/>
  <c r="L203" i="20"/>
  <c r="AK202" i="20"/>
  <c r="AJ202" i="20"/>
  <c r="AI202" i="20"/>
  <c r="AG202" i="20"/>
  <c r="Y202" i="20"/>
  <c r="V202" i="20"/>
  <c r="P202" i="20"/>
  <c r="L202" i="20"/>
  <c r="AK201" i="20"/>
  <c r="AJ201" i="20"/>
  <c r="AI201" i="20"/>
  <c r="AG201" i="20"/>
  <c r="Y201" i="20"/>
  <c r="V201" i="20"/>
  <c r="P201" i="20"/>
  <c r="L201" i="20"/>
  <c r="AK200" i="20"/>
  <c r="AJ200" i="20"/>
  <c r="AI200" i="20"/>
  <c r="AG200" i="20"/>
  <c r="Y200" i="20"/>
  <c r="V200" i="20"/>
  <c r="P200" i="20"/>
  <c r="L200" i="20"/>
  <c r="AK199" i="20"/>
  <c r="AJ199" i="20"/>
  <c r="AI199" i="20"/>
  <c r="AG199" i="20"/>
  <c r="Y199" i="20"/>
  <c r="V199" i="20"/>
  <c r="P199" i="20"/>
  <c r="L199" i="20"/>
  <c r="AK198" i="20"/>
  <c r="AJ198" i="20"/>
  <c r="AI198" i="20"/>
  <c r="AG198" i="20"/>
  <c r="Y198" i="20"/>
  <c r="V198" i="20"/>
  <c r="P198" i="20"/>
  <c r="L198" i="20"/>
  <c r="AK197" i="20"/>
  <c r="AJ197" i="20"/>
  <c r="AI197" i="20"/>
  <c r="AG197" i="20"/>
  <c r="Y197" i="20"/>
  <c r="V197" i="20"/>
  <c r="P197" i="20"/>
  <c r="L197" i="20"/>
  <c r="AK196" i="20"/>
  <c r="AJ196" i="20"/>
  <c r="AI196" i="20"/>
  <c r="AG196" i="20"/>
  <c r="Y196" i="20"/>
  <c r="V196" i="20"/>
  <c r="P196" i="20"/>
  <c r="L196" i="20"/>
  <c r="AK195" i="20"/>
  <c r="AJ195" i="20"/>
  <c r="AI195" i="20"/>
  <c r="AG195" i="20"/>
  <c r="Y195" i="20"/>
  <c r="V195" i="20"/>
  <c r="P195" i="20"/>
  <c r="L195" i="20"/>
  <c r="AK194" i="20"/>
  <c r="AJ194" i="20"/>
  <c r="AI194" i="20"/>
  <c r="AG194" i="20"/>
  <c r="Y194" i="20"/>
  <c r="V194" i="20"/>
  <c r="P194" i="20"/>
  <c r="L194" i="20"/>
  <c r="AK193" i="20"/>
  <c r="AJ193" i="20"/>
  <c r="AI193" i="20"/>
  <c r="AG193" i="20"/>
  <c r="Y193" i="20"/>
  <c r="V193" i="20"/>
  <c r="P193" i="20"/>
  <c r="L193" i="20"/>
  <c r="AK192" i="20"/>
  <c r="AJ192" i="20"/>
  <c r="AI192" i="20"/>
  <c r="AG192" i="20"/>
  <c r="Y192" i="20"/>
  <c r="V192" i="20"/>
  <c r="P192" i="20"/>
  <c r="L192" i="20"/>
  <c r="AK191" i="20"/>
  <c r="AJ191" i="20"/>
  <c r="AI191" i="20"/>
  <c r="AG191" i="20"/>
  <c r="Y191" i="20"/>
  <c r="V191" i="20"/>
  <c r="P191" i="20"/>
  <c r="L191" i="20"/>
  <c r="AK190" i="20"/>
  <c r="AJ190" i="20"/>
  <c r="AI190" i="20"/>
  <c r="AG190" i="20"/>
  <c r="Y190" i="20"/>
  <c r="V190" i="20"/>
  <c r="P190" i="20"/>
  <c r="L190" i="20"/>
  <c r="AK189" i="20"/>
  <c r="AJ189" i="20"/>
  <c r="AI189" i="20"/>
  <c r="AG189" i="20"/>
  <c r="Y189" i="20"/>
  <c r="V189" i="20"/>
  <c r="P189" i="20"/>
  <c r="L189" i="20"/>
  <c r="AK188" i="20"/>
  <c r="AJ188" i="20"/>
  <c r="AI188" i="20"/>
  <c r="AG188" i="20"/>
  <c r="Y188" i="20"/>
  <c r="V188" i="20"/>
  <c r="P188" i="20"/>
  <c r="L188" i="20"/>
  <c r="AK187" i="20"/>
  <c r="AJ187" i="20"/>
  <c r="AI187" i="20"/>
  <c r="AG187" i="20"/>
  <c r="Y187" i="20"/>
  <c r="V187" i="20"/>
  <c r="P187" i="20"/>
  <c r="L187" i="20"/>
  <c r="AK186" i="20"/>
  <c r="AJ186" i="20"/>
  <c r="AI186" i="20"/>
  <c r="AG186" i="20"/>
  <c r="Y186" i="20"/>
  <c r="V186" i="20"/>
  <c r="P186" i="20"/>
  <c r="L186" i="20"/>
  <c r="AK185" i="20"/>
  <c r="AJ185" i="20"/>
  <c r="AI185" i="20"/>
  <c r="AG185" i="20"/>
  <c r="Y185" i="20"/>
  <c r="V185" i="20"/>
  <c r="P185" i="20"/>
  <c r="L185" i="20"/>
  <c r="AK184" i="20"/>
  <c r="AJ184" i="20"/>
  <c r="AI184" i="20"/>
  <c r="AG184" i="20"/>
  <c r="Y184" i="20"/>
  <c r="V184" i="20"/>
  <c r="P184" i="20"/>
  <c r="L184" i="20"/>
  <c r="AK183" i="20"/>
  <c r="AJ183" i="20"/>
  <c r="AI183" i="20"/>
  <c r="AG183" i="20"/>
  <c r="Y183" i="20"/>
  <c r="V183" i="20"/>
  <c r="P183" i="20"/>
  <c r="L183" i="20"/>
  <c r="AK182" i="20"/>
  <c r="AJ182" i="20"/>
  <c r="AI182" i="20"/>
  <c r="AG182" i="20"/>
  <c r="Y182" i="20"/>
  <c r="V182" i="20"/>
  <c r="P182" i="20"/>
  <c r="L182" i="20"/>
  <c r="AK181" i="20"/>
  <c r="AJ181" i="20"/>
  <c r="AI181" i="20"/>
  <c r="AG181" i="20"/>
  <c r="Y181" i="20"/>
  <c r="V181" i="20"/>
  <c r="P181" i="20"/>
  <c r="L181" i="20"/>
  <c r="AK180" i="20"/>
  <c r="AJ180" i="20"/>
  <c r="AI180" i="20"/>
  <c r="AG180" i="20"/>
  <c r="Y180" i="20"/>
  <c r="V180" i="20"/>
  <c r="P180" i="20"/>
  <c r="L180" i="20"/>
  <c r="AK179" i="20"/>
  <c r="AJ179" i="20"/>
  <c r="AI179" i="20"/>
  <c r="AG179" i="20"/>
  <c r="Y179" i="20"/>
  <c r="V179" i="20"/>
  <c r="P179" i="20"/>
  <c r="L179" i="20"/>
  <c r="AK178" i="20"/>
  <c r="AJ178" i="20"/>
  <c r="AI178" i="20"/>
  <c r="AG178" i="20"/>
  <c r="Y178" i="20"/>
  <c r="V178" i="20"/>
  <c r="P178" i="20"/>
  <c r="L178" i="20"/>
  <c r="AK177" i="20"/>
  <c r="AJ177" i="20"/>
  <c r="AI177" i="20"/>
  <c r="AG177" i="20"/>
  <c r="Y177" i="20"/>
  <c r="V177" i="20"/>
  <c r="P177" i="20"/>
  <c r="L177" i="20"/>
  <c r="AK176" i="20"/>
  <c r="AJ176" i="20"/>
  <c r="AI176" i="20"/>
  <c r="AG176" i="20"/>
  <c r="Y176" i="20"/>
  <c r="V176" i="20"/>
  <c r="P176" i="20"/>
  <c r="L176" i="20"/>
  <c r="AK175" i="20"/>
  <c r="AJ175" i="20"/>
  <c r="AI175" i="20"/>
  <c r="AG175" i="20"/>
  <c r="Y175" i="20"/>
  <c r="V175" i="20"/>
  <c r="P175" i="20"/>
  <c r="L175" i="20"/>
  <c r="AK174" i="20"/>
  <c r="AJ174" i="20"/>
  <c r="AI174" i="20"/>
  <c r="AG174" i="20"/>
  <c r="Y174" i="20"/>
  <c r="V174" i="20"/>
  <c r="P174" i="20"/>
  <c r="L174" i="20"/>
  <c r="AK173" i="20"/>
  <c r="AJ173" i="20"/>
  <c r="AI173" i="20"/>
  <c r="AG173" i="20"/>
  <c r="Y173" i="20"/>
  <c r="V173" i="20"/>
  <c r="P173" i="20"/>
  <c r="L173" i="20"/>
  <c r="AK172" i="20"/>
  <c r="AJ172" i="20"/>
  <c r="AI172" i="20"/>
  <c r="AG172" i="20"/>
  <c r="Y172" i="20"/>
  <c r="V172" i="20"/>
  <c r="P172" i="20"/>
  <c r="L172" i="20"/>
  <c r="AK171" i="20"/>
  <c r="AJ171" i="20"/>
  <c r="AI171" i="20"/>
  <c r="AG171" i="20"/>
  <c r="Y171" i="20"/>
  <c r="V171" i="20"/>
  <c r="P171" i="20"/>
  <c r="L171" i="20"/>
  <c r="AK170" i="20"/>
  <c r="AJ170" i="20"/>
  <c r="AI170" i="20"/>
  <c r="AG170" i="20"/>
  <c r="Y170" i="20"/>
  <c r="V170" i="20"/>
  <c r="P170" i="20"/>
  <c r="L170" i="20"/>
  <c r="AK169" i="20"/>
  <c r="AJ169" i="20"/>
  <c r="AI169" i="20"/>
  <c r="AG169" i="20"/>
  <c r="Y169" i="20"/>
  <c r="V169" i="20"/>
  <c r="P169" i="20"/>
  <c r="L169" i="20"/>
  <c r="AK168" i="20"/>
  <c r="AJ168" i="20"/>
  <c r="AI168" i="20"/>
  <c r="AG168" i="20"/>
  <c r="Y168" i="20"/>
  <c r="V168" i="20"/>
  <c r="P168" i="20"/>
  <c r="L168" i="20"/>
  <c r="AK167" i="20"/>
  <c r="AJ167" i="20"/>
  <c r="AI167" i="20"/>
  <c r="AG167" i="20"/>
  <c r="Y167" i="20"/>
  <c r="V167" i="20"/>
  <c r="P167" i="20"/>
  <c r="L167" i="20"/>
  <c r="AK166" i="20"/>
  <c r="AJ166" i="20"/>
  <c r="AI166" i="20"/>
  <c r="AG166" i="20"/>
  <c r="Y166" i="20"/>
  <c r="V166" i="20"/>
  <c r="P166" i="20"/>
  <c r="L166" i="20"/>
  <c r="AK165" i="20"/>
  <c r="AJ165" i="20"/>
  <c r="AI165" i="20"/>
  <c r="AG165" i="20"/>
  <c r="Y165" i="20"/>
  <c r="V165" i="20"/>
  <c r="P165" i="20"/>
  <c r="L165" i="20"/>
  <c r="AK164" i="20"/>
  <c r="AJ164" i="20"/>
  <c r="AI164" i="20"/>
  <c r="AG164" i="20"/>
  <c r="Y164" i="20"/>
  <c r="V164" i="20"/>
  <c r="P164" i="20"/>
  <c r="L164" i="20"/>
  <c r="AK163" i="20"/>
  <c r="AJ163" i="20"/>
  <c r="AI163" i="20"/>
  <c r="AG163" i="20"/>
  <c r="Y163" i="20"/>
  <c r="V163" i="20"/>
  <c r="P163" i="20"/>
  <c r="L163" i="20"/>
  <c r="AK162" i="20"/>
  <c r="AJ162" i="20"/>
  <c r="AI162" i="20"/>
  <c r="AG162" i="20"/>
  <c r="Y162" i="20"/>
  <c r="V162" i="20"/>
  <c r="P162" i="20"/>
  <c r="L162" i="20"/>
  <c r="AK161" i="20"/>
  <c r="AJ161" i="20"/>
  <c r="AI161" i="20"/>
  <c r="AG161" i="20"/>
  <c r="Y161" i="20"/>
  <c r="V161" i="20"/>
  <c r="P161" i="20"/>
  <c r="L161" i="20"/>
  <c r="AK160" i="20"/>
  <c r="AJ160" i="20"/>
  <c r="AI160" i="20"/>
  <c r="AG160" i="20"/>
  <c r="Y160" i="20"/>
  <c r="V160" i="20"/>
  <c r="P160" i="20"/>
  <c r="L160" i="20"/>
  <c r="AK159" i="20"/>
  <c r="AJ159" i="20"/>
  <c r="AI159" i="20"/>
  <c r="AG159" i="20"/>
  <c r="Y159" i="20"/>
  <c r="V159" i="20"/>
  <c r="P159" i="20"/>
  <c r="L159" i="20"/>
  <c r="AK158" i="20"/>
  <c r="AJ158" i="20"/>
  <c r="AI158" i="20"/>
  <c r="AG158" i="20"/>
  <c r="Y158" i="20"/>
  <c r="V158" i="20"/>
  <c r="P158" i="20"/>
  <c r="L158" i="20"/>
  <c r="AK157" i="20"/>
  <c r="AJ157" i="20"/>
  <c r="AI157" i="20"/>
  <c r="AG157" i="20"/>
  <c r="Y157" i="20"/>
  <c r="V157" i="20"/>
  <c r="P157" i="20"/>
  <c r="L157" i="20"/>
  <c r="AK156" i="20"/>
  <c r="AJ156" i="20"/>
  <c r="AI156" i="20"/>
  <c r="AG156" i="20"/>
  <c r="Y156" i="20"/>
  <c r="V156" i="20"/>
  <c r="P156" i="20"/>
  <c r="L156" i="20"/>
  <c r="AK155" i="20"/>
  <c r="AJ155" i="20"/>
  <c r="AI155" i="20"/>
  <c r="AG155" i="20"/>
  <c r="Y155" i="20"/>
  <c r="V155" i="20"/>
  <c r="P155" i="20"/>
  <c r="L155" i="20"/>
  <c r="AK154" i="20"/>
  <c r="AJ154" i="20"/>
  <c r="AI154" i="20"/>
  <c r="AG154" i="20"/>
  <c r="Y154" i="20"/>
  <c r="V154" i="20"/>
  <c r="P154" i="20"/>
  <c r="L154" i="20"/>
  <c r="AK153" i="20"/>
  <c r="AJ153" i="20"/>
  <c r="AI153" i="20"/>
  <c r="AG153" i="20"/>
  <c r="Y153" i="20"/>
  <c r="V153" i="20"/>
  <c r="P153" i="20"/>
  <c r="L153" i="20"/>
  <c r="AK152" i="20"/>
  <c r="AJ152" i="20"/>
  <c r="AI152" i="20"/>
  <c r="AG152" i="20"/>
  <c r="Y152" i="20"/>
  <c r="V152" i="20"/>
  <c r="P152" i="20"/>
  <c r="L152" i="20"/>
  <c r="AK151" i="20"/>
  <c r="AJ151" i="20"/>
  <c r="AI151" i="20"/>
  <c r="AG151" i="20"/>
  <c r="Y151" i="20"/>
  <c r="V151" i="20"/>
  <c r="P151" i="20"/>
  <c r="L151" i="20"/>
  <c r="AK150" i="20"/>
  <c r="AJ150" i="20"/>
  <c r="AI150" i="20"/>
  <c r="AG150" i="20"/>
  <c r="Y150" i="20"/>
  <c r="V150" i="20"/>
  <c r="P150" i="20"/>
  <c r="L150" i="20"/>
  <c r="AK149" i="20"/>
  <c r="AJ149" i="20"/>
  <c r="AI149" i="20"/>
  <c r="AG149" i="20"/>
  <c r="Y149" i="20"/>
  <c r="V149" i="20"/>
  <c r="P149" i="20"/>
  <c r="L149" i="20"/>
  <c r="AK148" i="20"/>
  <c r="AJ148" i="20"/>
  <c r="AI148" i="20"/>
  <c r="AG148" i="20"/>
  <c r="Y148" i="20"/>
  <c r="V148" i="20"/>
  <c r="P148" i="20"/>
  <c r="L148" i="20"/>
  <c r="AK147" i="20"/>
  <c r="AJ147" i="20"/>
  <c r="AI147" i="20"/>
  <c r="AG147" i="20"/>
  <c r="Y147" i="20"/>
  <c r="V147" i="20"/>
  <c r="P147" i="20"/>
  <c r="L147" i="20"/>
  <c r="AK146" i="20"/>
  <c r="AJ146" i="20"/>
  <c r="AI146" i="20"/>
  <c r="AG146" i="20"/>
  <c r="Y146" i="20"/>
  <c r="V146" i="20"/>
  <c r="P146" i="20"/>
  <c r="L146" i="20"/>
  <c r="AK145" i="20"/>
  <c r="AJ145" i="20"/>
  <c r="AI145" i="20"/>
  <c r="AG145" i="20"/>
  <c r="Y145" i="20"/>
  <c r="V145" i="20"/>
  <c r="P145" i="20"/>
  <c r="L145" i="20"/>
  <c r="AK144" i="20"/>
  <c r="AJ144" i="20"/>
  <c r="AI144" i="20"/>
  <c r="AG144" i="20"/>
  <c r="Y144" i="20"/>
  <c r="V144" i="20"/>
  <c r="P144" i="20"/>
  <c r="L144" i="20"/>
  <c r="AK143" i="20"/>
  <c r="AJ143" i="20"/>
  <c r="AI143" i="20"/>
  <c r="AG143" i="20"/>
  <c r="Y143" i="20"/>
  <c r="V143" i="20"/>
  <c r="P143" i="20"/>
  <c r="L143" i="20"/>
  <c r="AK142" i="20"/>
  <c r="AJ142" i="20"/>
  <c r="AI142" i="20"/>
  <c r="AG142" i="20"/>
  <c r="Y142" i="20"/>
  <c r="V142" i="20"/>
  <c r="P142" i="20"/>
  <c r="L142" i="20"/>
  <c r="AK141" i="20"/>
  <c r="AJ141" i="20"/>
  <c r="AI141" i="20"/>
  <c r="AG141" i="20"/>
  <c r="Y141" i="20"/>
  <c r="V141" i="20"/>
  <c r="P141" i="20"/>
  <c r="L141" i="20"/>
  <c r="AK140" i="20"/>
  <c r="AJ140" i="20"/>
  <c r="AI140" i="20"/>
  <c r="AG140" i="20"/>
  <c r="Y140" i="20"/>
  <c r="V140" i="20"/>
  <c r="P140" i="20"/>
  <c r="L140" i="20"/>
  <c r="AK139" i="20"/>
  <c r="AJ139" i="20"/>
  <c r="AI139" i="20"/>
  <c r="AG139" i="20"/>
  <c r="Y139" i="20"/>
  <c r="V139" i="20"/>
  <c r="P139" i="20"/>
  <c r="L139" i="20"/>
  <c r="AK138" i="20"/>
  <c r="AJ138" i="20"/>
  <c r="AI138" i="20"/>
  <c r="AG138" i="20"/>
  <c r="Y138" i="20"/>
  <c r="V138" i="20"/>
  <c r="P138" i="20"/>
  <c r="L138" i="20"/>
  <c r="AK137" i="20"/>
  <c r="AJ137" i="20"/>
  <c r="AI137" i="20"/>
  <c r="AG137" i="20"/>
  <c r="Y137" i="20"/>
  <c r="V137" i="20"/>
  <c r="P137" i="20"/>
  <c r="L137" i="20"/>
  <c r="AK136" i="20"/>
  <c r="AJ136" i="20"/>
  <c r="AI136" i="20"/>
  <c r="AG136" i="20"/>
  <c r="Y136" i="20"/>
  <c r="V136" i="20"/>
  <c r="P136" i="20"/>
  <c r="L136" i="20"/>
  <c r="AK135" i="20"/>
  <c r="AJ135" i="20"/>
  <c r="AI135" i="20"/>
  <c r="AG135" i="20"/>
  <c r="Y135" i="20"/>
  <c r="V135" i="20"/>
  <c r="P135" i="20"/>
  <c r="L135" i="20"/>
  <c r="AK134" i="20"/>
  <c r="AJ134" i="20"/>
  <c r="AI134" i="20"/>
  <c r="AG134" i="20"/>
  <c r="Y134" i="20"/>
  <c r="V134" i="20"/>
  <c r="P134" i="20"/>
  <c r="L134" i="20"/>
  <c r="AK133" i="20"/>
  <c r="AJ133" i="20"/>
  <c r="AI133" i="20"/>
  <c r="AG133" i="20"/>
  <c r="Y133" i="20"/>
  <c r="V133" i="20"/>
  <c r="P133" i="20"/>
  <c r="L133" i="20"/>
  <c r="AK132" i="20"/>
  <c r="AJ132" i="20"/>
  <c r="AI132" i="20"/>
  <c r="AG132" i="20"/>
  <c r="Y132" i="20"/>
  <c r="V132" i="20"/>
  <c r="P132" i="20"/>
  <c r="L132" i="20"/>
  <c r="AK131" i="20"/>
  <c r="AJ131" i="20"/>
  <c r="AI131" i="20"/>
  <c r="AG131" i="20"/>
  <c r="Y131" i="20"/>
  <c r="V131" i="20"/>
  <c r="P131" i="20"/>
  <c r="L131" i="20"/>
  <c r="AK130" i="20"/>
  <c r="AJ130" i="20"/>
  <c r="AI130" i="20"/>
  <c r="AG130" i="20"/>
  <c r="Y130" i="20"/>
  <c r="V130" i="20"/>
  <c r="P130" i="20"/>
  <c r="L130" i="20"/>
  <c r="AK129" i="20"/>
  <c r="AJ129" i="20"/>
  <c r="AI129" i="20"/>
  <c r="AG129" i="20"/>
  <c r="Y129" i="20"/>
  <c r="V129" i="20"/>
  <c r="P129" i="20"/>
  <c r="L129" i="20"/>
  <c r="AK128" i="20"/>
  <c r="AJ128" i="20"/>
  <c r="AI128" i="20"/>
  <c r="AG128" i="20"/>
  <c r="Y128" i="20"/>
  <c r="V128" i="20"/>
  <c r="P128" i="20"/>
  <c r="L128" i="20"/>
  <c r="AK127" i="20"/>
  <c r="AJ127" i="20"/>
  <c r="AI127" i="20"/>
  <c r="AG127" i="20"/>
  <c r="Y127" i="20"/>
  <c r="V127" i="20"/>
  <c r="P127" i="20"/>
  <c r="L127" i="20"/>
  <c r="AK126" i="20"/>
  <c r="AJ126" i="20"/>
  <c r="AI126" i="20"/>
  <c r="AG126" i="20"/>
  <c r="Y126" i="20"/>
  <c r="V126" i="20"/>
  <c r="P126" i="20"/>
  <c r="L126" i="20"/>
  <c r="AK125" i="20"/>
  <c r="AJ125" i="20"/>
  <c r="AI125" i="20"/>
  <c r="AG125" i="20"/>
  <c r="Y125" i="20"/>
  <c r="V125" i="20"/>
  <c r="P125" i="20"/>
  <c r="L125" i="20"/>
  <c r="AK124" i="20"/>
  <c r="AJ124" i="20"/>
  <c r="AI124" i="20"/>
  <c r="AG124" i="20"/>
  <c r="Y124" i="20"/>
  <c r="V124" i="20"/>
  <c r="P124" i="20"/>
  <c r="L124" i="20"/>
  <c r="AK123" i="20"/>
  <c r="AJ123" i="20"/>
  <c r="AI123" i="20"/>
  <c r="AG123" i="20"/>
  <c r="Y123" i="20"/>
  <c r="V123" i="20"/>
  <c r="P123" i="20"/>
  <c r="L123" i="20"/>
  <c r="AK122" i="20"/>
  <c r="AJ122" i="20"/>
  <c r="AI122" i="20"/>
  <c r="AG122" i="20"/>
  <c r="Y122" i="20"/>
  <c r="V122" i="20"/>
  <c r="P122" i="20"/>
  <c r="L122" i="20"/>
  <c r="AK121" i="20"/>
  <c r="AJ121" i="20"/>
  <c r="AI121" i="20"/>
  <c r="AG121" i="20"/>
  <c r="Y121" i="20"/>
  <c r="V121" i="20"/>
  <c r="P121" i="20"/>
  <c r="L121" i="20"/>
  <c r="AK120" i="20"/>
  <c r="AJ120" i="20"/>
  <c r="AI120" i="20"/>
  <c r="AG120" i="20"/>
  <c r="Y120" i="20"/>
  <c r="V120" i="20"/>
  <c r="P120" i="20"/>
  <c r="L120" i="20"/>
  <c r="AK119" i="20"/>
  <c r="AJ119" i="20"/>
  <c r="AI119" i="20"/>
  <c r="AG119" i="20"/>
  <c r="Y119" i="20"/>
  <c r="V119" i="20"/>
  <c r="P119" i="20"/>
  <c r="L119" i="20"/>
  <c r="AK118" i="20"/>
  <c r="AJ118" i="20"/>
  <c r="AI118" i="20"/>
  <c r="AG118" i="20"/>
  <c r="Y118" i="20"/>
  <c r="V118" i="20"/>
  <c r="P118" i="20"/>
  <c r="L118" i="20"/>
  <c r="AK117" i="20"/>
  <c r="AJ117" i="20"/>
  <c r="AI117" i="20"/>
  <c r="AG117" i="20"/>
  <c r="Y117" i="20"/>
  <c r="V117" i="20"/>
  <c r="P117" i="20"/>
  <c r="L117" i="20"/>
  <c r="AK116" i="20"/>
  <c r="AJ116" i="20"/>
  <c r="AI116" i="20"/>
  <c r="AG116" i="20"/>
  <c r="Y116" i="20"/>
  <c r="V116" i="20"/>
  <c r="P116" i="20"/>
  <c r="L116" i="20"/>
  <c r="AK115" i="20"/>
  <c r="AJ115" i="20"/>
  <c r="AI115" i="20"/>
  <c r="AG115" i="20"/>
  <c r="Y115" i="20"/>
  <c r="V115" i="20"/>
  <c r="P115" i="20"/>
  <c r="L115" i="20"/>
  <c r="AK114" i="20"/>
  <c r="AJ114" i="20"/>
  <c r="AI114" i="20"/>
  <c r="AG114" i="20"/>
  <c r="Y114" i="20"/>
  <c r="V114" i="20"/>
  <c r="P114" i="20"/>
  <c r="L114" i="20"/>
  <c r="AK113" i="20"/>
  <c r="AJ113" i="20"/>
  <c r="AI113" i="20"/>
  <c r="AG113" i="20"/>
  <c r="Y113" i="20"/>
  <c r="V113" i="20"/>
  <c r="P113" i="20"/>
  <c r="L113" i="20"/>
  <c r="AK112" i="20"/>
  <c r="AJ112" i="20"/>
  <c r="AI112" i="20"/>
  <c r="AG112" i="20"/>
  <c r="Y112" i="20"/>
  <c r="V112" i="20"/>
  <c r="P112" i="20"/>
  <c r="L112" i="20"/>
  <c r="AK111" i="20"/>
  <c r="AJ111" i="20"/>
  <c r="AI111" i="20"/>
  <c r="AG111" i="20"/>
  <c r="Y111" i="20"/>
  <c r="V111" i="20"/>
  <c r="P111" i="20"/>
  <c r="L111" i="20"/>
  <c r="AK110" i="20"/>
  <c r="AJ110" i="20"/>
  <c r="AI110" i="20"/>
  <c r="AG110" i="20"/>
  <c r="Y110" i="20"/>
  <c r="V110" i="20"/>
  <c r="P110" i="20"/>
  <c r="L110" i="20"/>
  <c r="AK109" i="20"/>
  <c r="AJ109" i="20"/>
  <c r="AI109" i="20"/>
  <c r="AG109" i="20"/>
  <c r="Y109" i="20"/>
  <c r="V109" i="20"/>
  <c r="P109" i="20"/>
  <c r="L109" i="20"/>
  <c r="AK108" i="20"/>
  <c r="AJ108" i="20"/>
  <c r="AI108" i="20"/>
  <c r="AG108" i="20"/>
  <c r="Y108" i="20"/>
  <c r="V108" i="20"/>
  <c r="P108" i="20"/>
  <c r="L108" i="20"/>
  <c r="AK107" i="20"/>
  <c r="AJ107" i="20"/>
  <c r="AI107" i="20"/>
  <c r="AG107" i="20"/>
  <c r="Y107" i="20"/>
  <c r="V107" i="20"/>
  <c r="P107" i="20"/>
  <c r="L107" i="20"/>
  <c r="AK106" i="20"/>
  <c r="AJ106" i="20"/>
  <c r="AI106" i="20"/>
  <c r="AG106" i="20"/>
  <c r="Y106" i="20"/>
  <c r="V106" i="20"/>
  <c r="P106" i="20"/>
  <c r="L106" i="20"/>
  <c r="AK105" i="20"/>
  <c r="AJ105" i="20"/>
  <c r="AI105" i="20"/>
  <c r="AG105" i="20"/>
  <c r="Y105" i="20"/>
  <c r="V105" i="20"/>
  <c r="P105" i="20"/>
  <c r="L105" i="20"/>
  <c r="AK104" i="20"/>
  <c r="AJ104" i="20"/>
  <c r="AI104" i="20"/>
  <c r="AG104" i="20"/>
  <c r="Y104" i="20"/>
  <c r="V104" i="20"/>
  <c r="P104" i="20"/>
  <c r="L104" i="20"/>
  <c r="AK103" i="20"/>
  <c r="AJ103" i="20"/>
  <c r="AI103" i="20"/>
  <c r="AG103" i="20"/>
  <c r="Y103" i="20"/>
  <c r="V103" i="20"/>
  <c r="P103" i="20"/>
  <c r="L103" i="20"/>
  <c r="AK102" i="20"/>
  <c r="AJ102" i="20"/>
  <c r="AI102" i="20"/>
  <c r="AG102" i="20"/>
  <c r="Y102" i="20"/>
  <c r="V102" i="20"/>
  <c r="P102" i="20"/>
  <c r="L102" i="20"/>
  <c r="AK101" i="20"/>
  <c r="AJ101" i="20"/>
  <c r="AI101" i="20"/>
  <c r="AG101" i="20"/>
  <c r="Y101" i="20"/>
  <c r="V101" i="20"/>
  <c r="P101" i="20"/>
  <c r="L101" i="20"/>
  <c r="AK100" i="20"/>
  <c r="AJ100" i="20"/>
  <c r="AI100" i="20"/>
  <c r="AG100" i="20"/>
  <c r="Y100" i="20"/>
  <c r="V100" i="20"/>
  <c r="P100" i="20"/>
  <c r="L100" i="20"/>
  <c r="AK99" i="20"/>
  <c r="AJ99" i="20"/>
  <c r="AI99" i="20"/>
  <c r="AG99" i="20"/>
  <c r="Y99" i="20"/>
  <c r="V99" i="20"/>
  <c r="P99" i="20"/>
  <c r="L99" i="20"/>
  <c r="AK98" i="20"/>
  <c r="AJ98" i="20"/>
  <c r="AI98" i="20"/>
  <c r="AG98" i="20"/>
  <c r="Y98" i="20"/>
  <c r="V98" i="20"/>
  <c r="P98" i="20"/>
  <c r="L98" i="20"/>
  <c r="AK97" i="20"/>
  <c r="AJ97" i="20"/>
  <c r="AI97" i="20"/>
  <c r="AG97" i="20"/>
  <c r="Y97" i="20"/>
  <c r="V97" i="20"/>
  <c r="P97" i="20"/>
  <c r="L97" i="20"/>
  <c r="AK96" i="20"/>
  <c r="AJ96" i="20"/>
  <c r="AI96" i="20"/>
  <c r="AG96" i="20"/>
  <c r="Y96" i="20"/>
  <c r="V96" i="20"/>
  <c r="P96" i="20"/>
  <c r="L96" i="20"/>
  <c r="AK95" i="20"/>
  <c r="AJ95" i="20"/>
  <c r="AI95" i="20"/>
  <c r="AG95" i="20"/>
  <c r="Y95" i="20"/>
  <c r="V95" i="20"/>
  <c r="P95" i="20"/>
  <c r="L95" i="20"/>
  <c r="AK94" i="20"/>
  <c r="AJ94" i="20"/>
  <c r="AI94" i="20"/>
  <c r="AG94" i="20"/>
  <c r="Y94" i="20"/>
  <c r="V94" i="20"/>
  <c r="P94" i="20"/>
  <c r="L94" i="20"/>
  <c r="AK93" i="20"/>
  <c r="AJ93" i="20"/>
  <c r="AI93" i="20"/>
  <c r="AG93" i="20"/>
  <c r="Y93" i="20"/>
  <c r="V93" i="20"/>
  <c r="P93" i="20"/>
  <c r="L93" i="20"/>
  <c r="AK92" i="20"/>
  <c r="AJ92" i="20"/>
  <c r="AI92" i="20"/>
  <c r="AG92" i="20"/>
  <c r="Y92" i="20"/>
  <c r="V92" i="20"/>
  <c r="P92" i="20"/>
  <c r="L92" i="20"/>
  <c r="AK91" i="20"/>
  <c r="AJ91" i="20"/>
  <c r="AI91" i="20"/>
  <c r="AG91" i="20"/>
  <c r="Y91" i="20"/>
  <c r="V91" i="20"/>
  <c r="P91" i="20"/>
  <c r="L91" i="20"/>
  <c r="AK90" i="20"/>
  <c r="AJ90" i="20"/>
  <c r="AI90" i="20"/>
  <c r="AG90" i="20"/>
  <c r="Y90" i="20"/>
  <c r="V90" i="20"/>
  <c r="P90" i="20"/>
  <c r="L90" i="20"/>
  <c r="AK89" i="20"/>
  <c r="AJ89" i="20"/>
  <c r="AI89" i="20"/>
  <c r="AG89" i="20"/>
  <c r="Y89" i="20"/>
  <c r="V89" i="20"/>
  <c r="P89" i="20"/>
  <c r="L89" i="20"/>
  <c r="AK88" i="20"/>
  <c r="AJ88" i="20"/>
  <c r="AI88" i="20"/>
  <c r="AG88" i="20"/>
  <c r="Y88" i="20"/>
  <c r="V88" i="20"/>
  <c r="P88" i="20"/>
  <c r="L88" i="20"/>
  <c r="AK87" i="20"/>
  <c r="AJ87" i="20"/>
  <c r="AI87" i="20"/>
  <c r="AG87" i="20"/>
  <c r="Y87" i="20"/>
  <c r="V87" i="20"/>
  <c r="P87" i="20"/>
  <c r="L87" i="20"/>
  <c r="AK86" i="20"/>
  <c r="AJ86" i="20"/>
  <c r="AI86" i="20"/>
  <c r="AG86" i="20"/>
  <c r="Y86" i="20"/>
  <c r="V86" i="20"/>
  <c r="P86" i="20"/>
  <c r="L86" i="20"/>
  <c r="AK85" i="20"/>
  <c r="AJ85" i="20"/>
  <c r="AI85" i="20"/>
  <c r="AG85" i="20"/>
  <c r="Y85" i="20"/>
  <c r="V85" i="20"/>
  <c r="P85" i="20"/>
  <c r="L85" i="20"/>
  <c r="AK84" i="20"/>
  <c r="AJ84" i="20"/>
  <c r="AI84" i="20"/>
  <c r="AG84" i="20"/>
  <c r="Y84" i="20"/>
  <c r="V84" i="20"/>
  <c r="P84" i="20"/>
  <c r="L84" i="20"/>
  <c r="AK83" i="20"/>
  <c r="AJ83" i="20"/>
  <c r="AI83" i="20"/>
  <c r="AG83" i="20"/>
  <c r="Y83" i="20"/>
  <c r="V83" i="20"/>
  <c r="P83" i="20"/>
  <c r="L83" i="20"/>
  <c r="AK82" i="20"/>
  <c r="AJ82" i="20"/>
  <c r="AI82" i="20"/>
  <c r="AG82" i="20"/>
  <c r="Y82" i="20"/>
  <c r="V82" i="20"/>
  <c r="P82" i="20"/>
  <c r="L82" i="20"/>
  <c r="AK81" i="20"/>
  <c r="AJ81" i="20"/>
  <c r="AI81" i="20"/>
  <c r="AG81" i="20"/>
  <c r="Y81" i="20"/>
  <c r="V81" i="20"/>
  <c r="P81" i="20"/>
  <c r="L81" i="20"/>
  <c r="AK80" i="20"/>
  <c r="AJ80" i="20"/>
  <c r="AI80" i="20"/>
  <c r="AG80" i="20"/>
  <c r="Y80" i="20"/>
  <c r="V80" i="20"/>
  <c r="P80" i="20"/>
  <c r="L80" i="20"/>
  <c r="AK79" i="20"/>
  <c r="AJ79" i="20"/>
  <c r="AI79" i="20"/>
  <c r="AG79" i="20"/>
  <c r="Y79" i="20"/>
  <c r="V79" i="20"/>
  <c r="P79" i="20"/>
  <c r="L79" i="20"/>
  <c r="AK78" i="20"/>
  <c r="AJ78" i="20"/>
  <c r="AI78" i="20"/>
  <c r="AG78" i="20"/>
  <c r="Y78" i="20"/>
  <c r="V78" i="20"/>
  <c r="P78" i="20"/>
  <c r="L78" i="20"/>
  <c r="AK77" i="20"/>
  <c r="AJ77" i="20"/>
  <c r="AI77" i="20"/>
  <c r="AG77" i="20"/>
  <c r="Y77" i="20"/>
  <c r="V77" i="20"/>
  <c r="P77" i="20"/>
  <c r="L77" i="20"/>
  <c r="AK76" i="20"/>
  <c r="AJ76" i="20"/>
  <c r="AI76" i="20"/>
  <c r="AG76" i="20"/>
  <c r="Y76" i="20"/>
  <c r="V76" i="20"/>
  <c r="P76" i="20"/>
  <c r="L76" i="20"/>
  <c r="AK75" i="20"/>
  <c r="AJ75" i="20"/>
  <c r="AI75" i="20"/>
  <c r="AG75" i="20"/>
  <c r="Y75" i="20"/>
  <c r="V75" i="20"/>
  <c r="P75" i="20"/>
  <c r="L75" i="20"/>
  <c r="AK74" i="20"/>
  <c r="AJ74" i="20"/>
  <c r="AI74" i="20"/>
  <c r="AG74" i="20"/>
  <c r="Y74" i="20"/>
  <c r="V74" i="20"/>
  <c r="P74" i="20"/>
  <c r="L74" i="20"/>
  <c r="AK73" i="20"/>
  <c r="AJ73" i="20"/>
  <c r="AI73" i="20"/>
  <c r="AG73" i="20"/>
  <c r="Y73" i="20"/>
  <c r="V73" i="20"/>
  <c r="P73" i="20"/>
  <c r="L73" i="20"/>
  <c r="AK72" i="20"/>
  <c r="AJ72" i="20"/>
  <c r="AI72" i="20"/>
  <c r="AG72" i="20"/>
  <c r="Y72" i="20"/>
  <c r="V72" i="20"/>
  <c r="P72" i="20"/>
  <c r="L72" i="20"/>
  <c r="AK71" i="20"/>
  <c r="AJ71" i="20"/>
  <c r="AI71" i="20"/>
  <c r="AG71" i="20"/>
  <c r="Y71" i="20"/>
  <c r="V71" i="20"/>
  <c r="P71" i="20"/>
  <c r="L71" i="20"/>
  <c r="AK70" i="20"/>
  <c r="AJ70" i="20"/>
  <c r="AI70" i="20"/>
  <c r="AG70" i="20"/>
  <c r="Y70" i="20"/>
  <c r="V70" i="20"/>
  <c r="P70" i="20"/>
  <c r="L70" i="20"/>
  <c r="AK69" i="20"/>
  <c r="AJ69" i="20"/>
  <c r="AI69" i="20"/>
  <c r="AG69" i="20"/>
  <c r="Y69" i="20"/>
  <c r="V69" i="20"/>
  <c r="P69" i="20"/>
  <c r="L69" i="20"/>
  <c r="AK68" i="20"/>
  <c r="AJ68" i="20"/>
  <c r="AI68" i="20"/>
  <c r="AG68" i="20"/>
  <c r="Y68" i="20"/>
  <c r="V68" i="20"/>
  <c r="P68" i="20"/>
  <c r="L68" i="20"/>
  <c r="AK67" i="20"/>
  <c r="AJ67" i="20"/>
  <c r="AI67" i="20"/>
  <c r="AG67" i="20"/>
  <c r="Y67" i="20"/>
  <c r="V67" i="20"/>
  <c r="P67" i="20"/>
  <c r="L67" i="20"/>
  <c r="AK66" i="20"/>
  <c r="AJ66" i="20"/>
  <c r="AI66" i="20"/>
  <c r="AG66" i="20"/>
  <c r="Y66" i="20"/>
  <c r="V66" i="20"/>
  <c r="P66" i="20"/>
  <c r="L66" i="20"/>
  <c r="AK65" i="20"/>
  <c r="AJ65" i="20"/>
  <c r="AI65" i="20"/>
  <c r="AG65" i="20"/>
  <c r="Y65" i="20"/>
  <c r="V65" i="20"/>
  <c r="P65" i="20"/>
  <c r="L65" i="20"/>
  <c r="AK64" i="20"/>
  <c r="AJ64" i="20"/>
  <c r="AI64" i="20"/>
  <c r="AG64" i="20"/>
  <c r="Y64" i="20"/>
  <c r="V64" i="20"/>
  <c r="P64" i="20"/>
  <c r="L64" i="20"/>
  <c r="AK63" i="20"/>
  <c r="AJ63" i="20"/>
  <c r="AI63" i="20"/>
  <c r="AG63" i="20"/>
  <c r="Y63" i="20"/>
  <c r="V63" i="20"/>
  <c r="P63" i="20"/>
  <c r="L63" i="20"/>
  <c r="AK62" i="20"/>
  <c r="AJ62" i="20"/>
  <c r="AI62" i="20"/>
  <c r="AG62" i="20"/>
  <c r="Y62" i="20"/>
  <c r="V62" i="20"/>
  <c r="P62" i="20"/>
  <c r="L62" i="20"/>
  <c r="AK61" i="20"/>
  <c r="AJ61" i="20"/>
  <c r="AI61" i="20"/>
  <c r="AG61" i="20"/>
  <c r="Y61" i="20"/>
  <c r="V61" i="20"/>
  <c r="P61" i="20"/>
  <c r="L61" i="20"/>
  <c r="AK60" i="20"/>
  <c r="AJ60" i="20"/>
  <c r="AI60" i="20"/>
  <c r="AG60" i="20"/>
  <c r="Y60" i="20"/>
  <c r="V60" i="20"/>
  <c r="P60" i="20"/>
  <c r="L60" i="20"/>
  <c r="AK59" i="20"/>
  <c r="AJ59" i="20"/>
  <c r="AI59" i="20"/>
  <c r="AG59" i="20"/>
  <c r="Y59" i="20"/>
  <c r="V59" i="20"/>
  <c r="P59" i="20"/>
  <c r="L59" i="20"/>
  <c r="AK58" i="20"/>
  <c r="AJ58" i="20"/>
  <c r="AI58" i="20"/>
  <c r="AG58" i="20"/>
  <c r="Y58" i="20"/>
  <c r="V58" i="20"/>
  <c r="P58" i="20"/>
  <c r="L58" i="20"/>
  <c r="AK57" i="20"/>
  <c r="AJ57" i="20"/>
  <c r="AI57" i="20"/>
  <c r="AG57" i="20"/>
  <c r="Y57" i="20"/>
  <c r="V57" i="20"/>
  <c r="P57" i="20"/>
  <c r="L57" i="20"/>
  <c r="AK56" i="20"/>
  <c r="AJ56" i="20"/>
  <c r="AI56" i="20"/>
  <c r="AG56" i="20"/>
  <c r="Y56" i="20"/>
  <c r="V56" i="20"/>
  <c r="P56" i="20"/>
  <c r="L56" i="20"/>
  <c r="AK55" i="20"/>
  <c r="AJ55" i="20"/>
  <c r="AI55" i="20"/>
  <c r="AG55" i="20"/>
  <c r="Y55" i="20"/>
  <c r="V55" i="20"/>
  <c r="P55" i="20"/>
  <c r="L55" i="20"/>
  <c r="AK54" i="20"/>
  <c r="AJ54" i="20"/>
  <c r="AI54" i="20"/>
  <c r="AG54" i="20"/>
  <c r="Y54" i="20"/>
  <c r="V54" i="20"/>
  <c r="P54" i="20"/>
  <c r="L54" i="20"/>
  <c r="AK53" i="20"/>
  <c r="AJ53" i="20"/>
  <c r="AI53" i="20"/>
  <c r="AG53" i="20"/>
  <c r="Y53" i="20"/>
  <c r="V53" i="20"/>
  <c r="P53" i="20"/>
  <c r="L53" i="20"/>
  <c r="AK52" i="20"/>
  <c r="AJ52" i="20"/>
  <c r="AI52" i="20"/>
  <c r="AG52" i="20"/>
  <c r="Y52" i="20"/>
  <c r="V52" i="20"/>
  <c r="P52" i="20"/>
  <c r="L52" i="20"/>
  <c r="AK51" i="20"/>
  <c r="AJ51" i="20"/>
  <c r="AI51" i="20"/>
  <c r="AG51" i="20"/>
  <c r="Y51" i="20"/>
  <c r="V51" i="20"/>
  <c r="P51" i="20"/>
  <c r="L51" i="20"/>
  <c r="AK50" i="20"/>
  <c r="AJ50" i="20"/>
  <c r="AI50" i="20"/>
  <c r="AG50" i="20"/>
  <c r="Y50" i="20"/>
  <c r="V50" i="20"/>
  <c r="P50" i="20"/>
  <c r="L50" i="20"/>
  <c r="AK49" i="20"/>
  <c r="AJ49" i="20"/>
  <c r="AI49" i="20"/>
  <c r="AG49" i="20"/>
  <c r="Y49" i="20"/>
  <c r="V49" i="20"/>
  <c r="P49" i="20"/>
  <c r="L49" i="20"/>
  <c r="AK48" i="20"/>
  <c r="AJ48" i="20"/>
  <c r="AI48" i="20"/>
  <c r="AG48" i="20"/>
  <c r="Y48" i="20"/>
  <c r="V48" i="20"/>
  <c r="P48" i="20"/>
  <c r="L48" i="20"/>
  <c r="AK47" i="20"/>
  <c r="AJ47" i="20"/>
  <c r="AI47" i="20"/>
  <c r="AG47" i="20"/>
  <c r="Y47" i="20"/>
  <c r="V47" i="20"/>
  <c r="P47" i="20"/>
  <c r="L47" i="20"/>
  <c r="AK46" i="20"/>
  <c r="AJ46" i="20"/>
  <c r="AI46" i="20"/>
  <c r="AG46" i="20"/>
  <c r="Y46" i="20"/>
  <c r="V46" i="20"/>
  <c r="P46" i="20"/>
  <c r="L46" i="20"/>
  <c r="AK45" i="20"/>
  <c r="AJ45" i="20"/>
  <c r="AI45" i="20"/>
  <c r="AG45" i="20"/>
  <c r="Y45" i="20"/>
  <c r="V45" i="20"/>
  <c r="P45" i="20"/>
  <c r="L45" i="20"/>
  <c r="AK44" i="20"/>
  <c r="AJ44" i="20"/>
  <c r="AI44" i="20"/>
  <c r="AG44" i="20"/>
  <c r="Y44" i="20"/>
  <c r="V44" i="20"/>
  <c r="P44" i="20"/>
  <c r="L44" i="20"/>
  <c r="AK43" i="20"/>
  <c r="AJ43" i="20"/>
  <c r="AI43" i="20"/>
  <c r="AG43" i="20"/>
  <c r="Y43" i="20"/>
  <c r="V43" i="20"/>
  <c r="P43" i="20"/>
  <c r="L43" i="20"/>
  <c r="AK42" i="20"/>
  <c r="AJ42" i="20"/>
  <c r="AI42" i="20"/>
  <c r="AG42" i="20"/>
  <c r="Y42" i="20"/>
  <c r="V42" i="20"/>
  <c r="P42" i="20"/>
  <c r="L42" i="20"/>
  <c r="AK41" i="20"/>
  <c r="AJ41" i="20"/>
  <c r="AI41" i="20"/>
  <c r="AG41" i="20"/>
  <c r="Y41" i="20"/>
  <c r="V41" i="20"/>
  <c r="P41" i="20"/>
  <c r="L41" i="20"/>
  <c r="AK40" i="20"/>
  <c r="AJ40" i="20"/>
  <c r="AI40" i="20"/>
  <c r="AG40" i="20"/>
  <c r="Y40" i="20"/>
  <c r="V40" i="20"/>
  <c r="P40" i="20"/>
  <c r="L40" i="20"/>
  <c r="AK39" i="20"/>
  <c r="AJ39" i="20"/>
  <c r="AI39" i="20"/>
  <c r="AG39" i="20"/>
  <c r="Y39" i="20"/>
  <c r="V39" i="20"/>
  <c r="P39" i="20"/>
  <c r="L39" i="20"/>
  <c r="AK38" i="20"/>
  <c r="AJ38" i="20"/>
  <c r="AI38" i="20"/>
  <c r="AG38" i="20"/>
  <c r="Y38" i="20"/>
  <c r="V38" i="20"/>
  <c r="P38" i="20"/>
  <c r="L38" i="20"/>
  <c r="AK37" i="20"/>
  <c r="AJ37" i="20"/>
  <c r="AI37" i="20"/>
  <c r="AG37" i="20"/>
  <c r="Y37" i="20"/>
  <c r="V37" i="20"/>
  <c r="P37" i="20"/>
  <c r="L37" i="20"/>
  <c r="AK36" i="20"/>
  <c r="AJ36" i="20"/>
  <c r="AI36" i="20"/>
  <c r="AG36" i="20"/>
  <c r="Y36" i="20"/>
  <c r="V36" i="20"/>
  <c r="P36" i="20"/>
  <c r="L36" i="20"/>
  <c r="AK35" i="20"/>
  <c r="AJ35" i="20"/>
  <c r="AI35" i="20"/>
  <c r="AG35" i="20"/>
  <c r="Y35" i="20"/>
  <c r="V35" i="20"/>
  <c r="P35" i="20"/>
  <c r="L35" i="20"/>
  <c r="AK34" i="20"/>
  <c r="AJ34" i="20"/>
  <c r="AI34" i="20"/>
  <c r="AG34" i="20"/>
  <c r="Y34" i="20"/>
  <c r="V34" i="20"/>
  <c r="P34" i="20"/>
  <c r="L34" i="20"/>
  <c r="AK33" i="20"/>
  <c r="AJ33" i="20"/>
  <c r="AI33" i="20"/>
  <c r="AG33" i="20"/>
  <c r="Y33" i="20"/>
  <c r="V33" i="20"/>
  <c r="P33" i="20"/>
  <c r="L33" i="20"/>
  <c r="AK32" i="20"/>
  <c r="AJ32" i="20"/>
  <c r="AI32" i="20"/>
  <c r="AG32" i="20"/>
  <c r="Y32" i="20"/>
  <c r="V32" i="20"/>
  <c r="P32" i="20"/>
  <c r="L32" i="20"/>
  <c r="AK31" i="20"/>
  <c r="AJ31" i="20"/>
  <c r="AI31" i="20"/>
  <c r="AG31" i="20"/>
  <c r="Y31" i="20"/>
  <c r="V31" i="20"/>
  <c r="P31" i="20"/>
  <c r="L31" i="20"/>
  <c r="AK30" i="20"/>
  <c r="AJ30" i="20"/>
  <c r="AI30" i="20"/>
  <c r="AG30" i="20"/>
  <c r="Y30" i="20"/>
  <c r="V30" i="20"/>
  <c r="P30" i="20"/>
  <c r="L30" i="20"/>
  <c r="AK29" i="20"/>
  <c r="AJ29" i="20"/>
  <c r="AI29" i="20"/>
  <c r="AG29" i="20"/>
  <c r="Y29" i="20"/>
  <c r="V29" i="20"/>
  <c r="P29" i="20"/>
  <c r="L29" i="20"/>
  <c r="AK28" i="20"/>
  <c r="AJ28" i="20"/>
  <c r="AI28" i="20"/>
  <c r="AG28" i="20"/>
  <c r="Y28" i="20"/>
  <c r="V28" i="20"/>
  <c r="P28" i="20"/>
  <c r="L28" i="20"/>
  <c r="AK27" i="20"/>
  <c r="AJ27" i="20"/>
  <c r="AI27" i="20"/>
  <c r="AG27" i="20"/>
  <c r="Y27" i="20"/>
  <c r="V27" i="20"/>
  <c r="P27" i="20"/>
  <c r="L27" i="20"/>
  <c r="AK26" i="20"/>
  <c r="AJ26" i="20"/>
  <c r="AI26" i="20"/>
  <c r="AG26" i="20"/>
  <c r="Y26" i="20"/>
  <c r="V26" i="20"/>
  <c r="P26" i="20"/>
  <c r="L26" i="20"/>
  <c r="AK25" i="20"/>
  <c r="AJ25" i="20"/>
  <c r="AI25" i="20"/>
  <c r="AG25" i="20"/>
  <c r="Y25" i="20"/>
  <c r="V25" i="20"/>
  <c r="P25" i="20"/>
  <c r="L25" i="20"/>
  <c r="AK24" i="20"/>
  <c r="AJ24" i="20"/>
  <c r="AI24" i="20"/>
  <c r="AG24" i="20"/>
  <c r="Y24" i="20"/>
  <c r="V24" i="20"/>
  <c r="P24" i="20"/>
  <c r="L24" i="20"/>
  <c r="AK23" i="20"/>
  <c r="AJ23" i="20"/>
  <c r="AI23" i="20"/>
  <c r="AG23" i="20"/>
  <c r="Y23" i="20"/>
  <c r="V23" i="20"/>
  <c r="P23" i="20"/>
  <c r="L23" i="20"/>
  <c r="AK22" i="20"/>
  <c r="AJ22" i="20"/>
  <c r="AI22" i="20"/>
  <c r="AG22" i="20"/>
  <c r="Y22" i="20"/>
  <c r="V22" i="20"/>
  <c r="P22" i="20"/>
  <c r="L22" i="20"/>
  <c r="AK21" i="20"/>
  <c r="AJ21" i="20"/>
  <c r="AI21" i="20"/>
  <c r="AG21" i="20"/>
  <c r="Y21" i="20"/>
  <c r="V21" i="20"/>
  <c r="P21" i="20"/>
  <c r="L21" i="20"/>
  <c r="AK20" i="20"/>
  <c r="AJ20" i="20"/>
  <c r="AI20" i="20"/>
  <c r="AG20" i="20"/>
  <c r="Y20" i="20"/>
  <c r="V20" i="20"/>
  <c r="P20" i="20"/>
  <c r="L20" i="20"/>
  <c r="AK19" i="20"/>
  <c r="AJ19" i="20"/>
  <c r="AI19" i="20"/>
  <c r="AG19" i="20"/>
  <c r="Y19" i="20"/>
  <c r="V19" i="20"/>
  <c r="P19" i="20"/>
  <c r="L19" i="20"/>
  <c r="AK18" i="20"/>
  <c r="AJ18" i="20"/>
  <c r="AI18" i="20"/>
  <c r="AG18" i="20"/>
  <c r="Y18" i="20"/>
  <c r="V18" i="20"/>
  <c r="P18" i="20"/>
  <c r="L18" i="20"/>
  <c r="AK17" i="20"/>
  <c r="AJ17" i="20"/>
  <c r="AI17" i="20"/>
  <c r="AG17" i="20"/>
  <c r="Y17" i="20"/>
  <c r="V17" i="20"/>
  <c r="P17" i="20"/>
  <c r="L17" i="20"/>
  <c r="AK16" i="20"/>
  <c r="AJ16" i="20"/>
  <c r="AI16" i="20"/>
  <c r="AG16" i="20"/>
  <c r="Y16" i="20"/>
  <c r="V16" i="20"/>
  <c r="P16" i="20"/>
  <c r="L16" i="20"/>
  <c r="AK15" i="20"/>
  <c r="AJ15" i="20"/>
  <c r="AI15" i="20"/>
  <c r="AG15" i="20"/>
  <c r="Y15" i="20"/>
  <c r="V15" i="20"/>
  <c r="P15" i="20"/>
  <c r="L15" i="20"/>
  <c r="AK14" i="20"/>
  <c r="AJ14" i="20"/>
  <c r="AI14" i="20"/>
  <c r="AG14" i="20"/>
  <c r="Y14" i="20"/>
  <c r="V14" i="20"/>
  <c r="P14" i="20"/>
  <c r="L14" i="20"/>
  <c r="AK13" i="20"/>
  <c r="AJ13" i="20"/>
  <c r="AI13" i="20"/>
  <c r="AG13" i="20"/>
  <c r="Y13" i="20"/>
  <c r="V13" i="20"/>
  <c r="P13" i="20"/>
  <c r="L13" i="20"/>
  <c r="AK12" i="20"/>
  <c r="AJ12" i="20"/>
  <c r="AI12" i="20"/>
  <c r="AG12" i="20"/>
  <c r="Y12" i="20"/>
  <c r="V12" i="20"/>
  <c r="P12" i="20"/>
  <c r="L12" i="20"/>
  <c r="AK11" i="20"/>
  <c r="AJ11" i="20"/>
  <c r="AI11" i="20"/>
  <c r="AG11" i="20"/>
  <c r="Y11" i="20"/>
  <c r="V11" i="20"/>
  <c r="P11" i="20"/>
  <c r="L11" i="20"/>
  <c r="AK10" i="20"/>
  <c r="AJ10" i="20"/>
  <c r="AI10" i="20"/>
  <c r="AG10" i="20"/>
  <c r="Y10" i="20"/>
  <c r="V10" i="20"/>
  <c r="P10" i="20"/>
  <c r="L10" i="20"/>
  <c r="AK9" i="20"/>
  <c r="AJ9" i="20"/>
  <c r="AI9" i="20"/>
  <c r="AG9" i="20"/>
  <c r="Y9" i="20"/>
  <c r="V9" i="20"/>
  <c r="P9" i="20"/>
  <c r="L9" i="20"/>
  <c r="AK8" i="20"/>
  <c r="AJ8" i="20"/>
  <c r="AI8" i="20"/>
  <c r="AG8" i="20"/>
  <c r="Y8" i="20"/>
  <c r="V8" i="20"/>
  <c r="P8" i="20"/>
  <c r="L8" i="20"/>
  <c r="AK7" i="20"/>
  <c r="AJ7" i="20"/>
  <c r="AI7" i="20"/>
  <c r="AG7" i="20"/>
  <c r="Y7" i="20"/>
  <c r="V7" i="20"/>
  <c r="P7" i="20"/>
  <c r="L7" i="20"/>
  <c r="AK6" i="20"/>
  <c r="AJ6" i="20"/>
  <c r="AI6" i="20"/>
  <c r="AG6" i="20"/>
  <c r="Y6" i="20"/>
  <c r="V6" i="20"/>
  <c r="P6" i="20"/>
  <c r="L6" i="20"/>
  <c r="AK293" i="27"/>
  <c r="AJ293" i="27"/>
  <c r="AI293" i="27"/>
  <c r="AG293" i="27"/>
  <c r="AA293" i="27"/>
  <c r="V293" i="27"/>
  <c r="P293" i="27"/>
  <c r="L293" i="27"/>
  <c r="AK292" i="27"/>
  <c r="AJ292" i="27"/>
  <c r="AI292" i="27"/>
  <c r="AG292" i="27"/>
  <c r="AA292" i="27"/>
  <c r="V292" i="27"/>
  <c r="P292" i="27"/>
  <c r="L292" i="27"/>
  <c r="AK291" i="27"/>
  <c r="AJ291" i="27"/>
  <c r="AI291" i="27"/>
  <c r="AG291" i="27"/>
  <c r="AA291" i="27"/>
  <c r="V291" i="27"/>
  <c r="P291" i="27"/>
  <c r="L291" i="27"/>
  <c r="AK290" i="27"/>
  <c r="AJ290" i="27"/>
  <c r="AI290" i="27"/>
  <c r="AG290" i="27"/>
  <c r="AA290" i="27"/>
  <c r="V290" i="27"/>
  <c r="P290" i="27"/>
  <c r="L290" i="27"/>
  <c r="AK289" i="27"/>
  <c r="AJ289" i="27"/>
  <c r="AI289" i="27"/>
  <c r="AG289" i="27"/>
  <c r="AA289" i="27"/>
  <c r="V289" i="27"/>
  <c r="P289" i="27"/>
  <c r="L289" i="27"/>
  <c r="AK288" i="27"/>
  <c r="AJ288" i="27"/>
  <c r="AI288" i="27"/>
  <c r="AG288" i="27"/>
  <c r="AA288" i="27"/>
  <c r="V288" i="27"/>
  <c r="P288" i="27"/>
  <c r="L288" i="27"/>
  <c r="AK287" i="27"/>
  <c r="AJ287" i="27"/>
  <c r="AI287" i="27"/>
  <c r="AG287" i="27"/>
  <c r="AA287" i="27"/>
  <c r="V287" i="27"/>
  <c r="P287" i="27"/>
  <c r="L287" i="27"/>
  <c r="AK286" i="27"/>
  <c r="AJ286" i="27"/>
  <c r="AI286" i="27"/>
  <c r="AG286" i="27"/>
  <c r="AA286" i="27"/>
  <c r="V286" i="27"/>
  <c r="P286" i="27"/>
  <c r="L286" i="27"/>
  <c r="AK285" i="27"/>
  <c r="AJ285" i="27"/>
  <c r="AI285" i="27"/>
  <c r="AG285" i="27"/>
  <c r="AA285" i="27"/>
  <c r="V285" i="27"/>
  <c r="P285" i="27"/>
  <c r="L285" i="27"/>
  <c r="AK284" i="27"/>
  <c r="AJ284" i="27"/>
  <c r="AI284" i="27"/>
  <c r="AG284" i="27"/>
  <c r="AA284" i="27"/>
  <c r="V284" i="27"/>
  <c r="P284" i="27"/>
  <c r="L284" i="27"/>
  <c r="AK283" i="27"/>
  <c r="AJ283" i="27"/>
  <c r="AI283" i="27"/>
  <c r="AG283" i="27"/>
  <c r="AA283" i="27"/>
  <c r="V283" i="27"/>
  <c r="P283" i="27"/>
  <c r="L283" i="27"/>
  <c r="AK282" i="27"/>
  <c r="AJ282" i="27"/>
  <c r="AI282" i="27"/>
  <c r="AG282" i="27"/>
  <c r="AA282" i="27"/>
  <c r="V282" i="27"/>
  <c r="P282" i="27"/>
  <c r="L282" i="27"/>
  <c r="AK281" i="27"/>
  <c r="AJ281" i="27"/>
  <c r="AI281" i="27"/>
  <c r="AG281" i="27"/>
  <c r="AA281" i="27"/>
  <c r="V281" i="27"/>
  <c r="P281" i="27"/>
  <c r="L281" i="27"/>
  <c r="AK280" i="27"/>
  <c r="AJ280" i="27"/>
  <c r="AI280" i="27"/>
  <c r="AG280" i="27"/>
  <c r="AA280" i="27"/>
  <c r="V280" i="27"/>
  <c r="P280" i="27"/>
  <c r="L280" i="27"/>
  <c r="AK279" i="27"/>
  <c r="AJ279" i="27"/>
  <c r="AI279" i="27"/>
  <c r="AG279" i="27"/>
  <c r="AA279" i="27"/>
  <c r="V279" i="27"/>
  <c r="P279" i="27"/>
  <c r="L279" i="27"/>
  <c r="AK278" i="27"/>
  <c r="AJ278" i="27"/>
  <c r="AI278" i="27"/>
  <c r="AG278" i="27"/>
  <c r="AA278" i="27"/>
  <c r="V278" i="27"/>
  <c r="P278" i="27"/>
  <c r="L278" i="27"/>
  <c r="AK277" i="27"/>
  <c r="AJ277" i="27"/>
  <c r="AI277" i="27"/>
  <c r="AG277" i="27"/>
  <c r="AA277" i="27"/>
  <c r="V277" i="27"/>
  <c r="P277" i="27"/>
  <c r="L277" i="27"/>
  <c r="AK276" i="27"/>
  <c r="AJ276" i="27"/>
  <c r="AI276" i="27"/>
  <c r="AG276" i="27"/>
  <c r="AA276" i="27"/>
  <c r="V276" i="27"/>
  <c r="P276" i="27"/>
  <c r="L276" i="27"/>
  <c r="AK275" i="27"/>
  <c r="AJ275" i="27"/>
  <c r="AI275" i="27"/>
  <c r="AG275" i="27"/>
  <c r="AA275" i="27"/>
  <c r="V275" i="27"/>
  <c r="P275" i="27"/>
  <c r="L275" i="27"/>
  <c r="AK274" i="27"/>
  <c r="AJ274" i="27"/>
  <c r="AI274" i="27"/>
  <c r="AG274" i="27"/>
  <c r="AA274" i="27"/>
  <c r="V274" i="27"/>
  <c r="P274" i="27"/>
  <c r="L274" i="27"/>
  <c r="AK273" i="27"/>
  <c r="AJ273" i="27"/>
  <c r="AI273" i="27"/>
  <c r="AG273" i="27"/>
  <c r="AA273" i="27"/>
  <c r="V273" i="27"/>
  <c r="P273" i="27"/>
  <c r="L273" i="27"/>
  <c r="AK272" i="27"/>
  <c r="AJ272" i="27"/>
  <c r="AI272" i="27"/>
  <c r="AG272" i="27"/>
  <c r="AA272" i="27"/>
  <c r="V272" i="27"/>
  <c r="P272" i="27"/>
  <c r="L272" i="27"/>
  <c r="AK271" i="27"/>
  <c r="AJ271" i="27"/>
  <c r="AI271" i="27"/>
  <c r="AG271" i="27"/>
  <c r="AA271" i="27"/>
  <c r="V271" i="27"/>
  <c r="P271" i="27"/>
  <c r="L271" i="27"/>
  <c r="AK270" i="27"/>
  <c r="AJ270" i="27"/>
  <c r="AI270" i="27"/>
  <c r="AG270" i="27"/>
  <c r="AA270" i="27"/>
  <c r="V270" i="27"/>
  <c r="P270" i="27"/>
  <c r="L270" i="27"/>
  <c r="AK269" i="27"/>
  <c r="AJ269" i="27"/>
  <c r="AI269" i="27"/>
  <c r="AG269" i="27"/>
  <c r="AA269" i="27"/>
  <c r="V269" i="27"/>
  <c r="P269" i="27"/>
  <c r="L269" i="27"/>
  <c r="AK268" i="27"/>
  <c r="AJ268" i="27"/>
  <c r="AI268" i="27"/>
  <c r="AG268" i="27"/>
  <c r="AA268" i="27"/>
  <c r="V268" i="27"/>
  <c r="P268" i="27"/>
  <c r="L268" i="27"/>
  <c r="AK267" i="27"/>
  <c r="AJ267" i="27"/>
  <c r="AI267" i="27"/>
  <c r="AG267" i="27"/>
  <c r="AA267" i="27"/>
  <c r="V267" i="27"/>
  <c r="P267" i="27"/>
  <c r="L267" i="27"/>
  <c r="AK266" i="27"/>
  <c r="AJ266" i="27"/>
  <c r="AI266" i="27"/>
  <c r="AG266" i="27"/>
  <c r="AA266" i="27"/>
  <c r="V266" i="27"/>
  <c r="P266" i="27"/>
  <c r="L266" i="27"/>
  <c r="AK265" i="27"/>
  <c r="AJ265" i="27"/>
  <c r="AI265" i="27"/>
  <c r="AG265" i="27"/>
  <c r="AA265" i="27"/>
  <c r="V265" i="27"/>
  <c r="P265" i="27"/>
  <c r="L265" i="27"/>
  <c r="AK264" i="27"/>
  <c r="AJ264" i="27"/>
  <c r="AI264" i="27"/>
  <c r="AG264" i="27"/>
  <c r="AA264" i="27"/>
  <c r="V264" i="27"/>
  <c r="P264" i="27"/>
  <c r="L264" i="27"/>
  <c r="AK263" i="27"/>
  <c r="AJ263" i="27"/>
  <c r="AI263" i="27"/>
  <c r="AG263" i="27"/>
  <c r="AA263" i="27"/>
  <c r="V263" i="27"/>
  <c r="P263" i="27"/>
  <c r="L263" i="27"/>
  <c r="AK262" i="27"/>
  <c r="AJ262" i="27"/>
  <c r="AI262" i="27"/>
  <c r="AG262" i="27"/>
  <c r="AA262" i="27"/>
  <c r="V262" i="27"/>
  <c r="P262" i="27"/>
  <c r="L262" i="27"/>
  <c r="AK261" i="27"/>
  <c r="AJ261" i="27"/>
  <c r="AI261" i="27"/>
  <c r="AG261" i="27"/>
  <c r="AA261" i="27"/>
  <c r="V261" i="27"/>
  <c r="P261" i="27"/>
  <c r="L261" i="27"/>
  <c r="AK260" i="27"/>
  <c r="AJ260" i="27"/>
  <c r="AI260" i="27"/>
  <c r="AG260" i="27"/>
  <c r="AA260" i="27"/>
  <c r="V260" i="27"/>
  <c r="P260" i="27"/>
  <c r="L260" i="27"/>
  <c r="AK259" i="27"/>
  <c r="AJ259" i="27"/>
  <c r="AI259" i="27"/>
  <c r="AG259" i="27"/>
  <c r="AA259" i="27"/>
  <c r="V259" i="27"/>
  <c r="P259" i="27"/>
  <c r="L259" i="27"/>
  <c r="AK258" i="27"/>
  <c r="AJ258" i="27"/>
  <c r="AI258" i="27"/>
  <c r="AG258" i="27"/>
  <c r="AA258" i="27"/>
  <c r="V258" i="27"/>
  <c r="P258" i="27"/>
  <c r="L258" i="27"/>
  <c r="AK257" i="27"/>
  <c r="AJ257" i="27"/>
  <c r="AI257" i="27"/>
  <c r="AG257" i="27"/>
  <c r="AA257" i="27"/>
  <c r="V257" i="27"/>
  <c r="P257" i="27"/>
  <c r="L257" i="27"/>
  <c r="AK256" i="27"/>
  <c r="AJ256" i="27"/>
  <c r="AI256" i="27"/>
  <c r="AG256" i="27"/>
  <c r="AA256" i="27"/>
  <c r="V256" i="27"/>
  <c r="P256" i="27"/>
  <c r="L256" i="27"/>
  <c r="AK255" i="27"/>
  <c r="AJ255" i="27"/>
  <c r="AI255" i="27"/>
  <c r="AG255" i="27"/>
  <c r="AA255" i="27"/>
  <c r="V255" i="27"/>
  <c r="P255" i="27"/>
  <c r="L255" i="27"/>
  <c r="AK254" i="27"/>
  <c r="AJ254" i="27"/>
  <c r="AI254" i="27"/>
  <c r="AG254" i="27"/>
  <c r="AA254" i="27"/>
  <c r="V254" i="27"/>
  <c r="P254" i="27"/>
  <c r="L254" i="27"/>
  <c r="AK253" i="27"/>
  <c r="AJ253" i="27"/>
  <c r="AI253" i="27"/>
  <c r="AG253" i="27"/>
  <c r="AA253" i="27"/>
  <c r="V253" i="27"/>
  <c r="P253" i="27"/>
  <c r="L253" i="27"/>
  <c r="AK252" i="27"/>
  <c r="AJ252" i="27"/>
  <c r="AI252" i="27"/>
  <c r="AG252" i="27"/>
  <c r="AA252" i="27"/>
  <c r="V252" i="27"/>
  <c r="P252" i="27"/>
  <c r="L252" i="27"/>
  <c r="AK251" i="27"/>
  <c r="AJ251" i="27"/>
  <c r="AI251" i="27"/>
  <c r="AG251" i="27"/>
  <c r="AA251" i="27"/>
  <c r="V251" i="27"/>
  <c r="P251" i="27"/>
  <c r="L251" i="27"/>
  <c r="AK250" i="27"/>
  <c r="AJ250" i="27"/>
  <c r="AI250" i="27"/>
  <c r="AG250" i="27"/>
  <c r="AA250" i="27"/>
  <c r="V250" i="27"/>
  <c r="P250" i="27"/>
  <c r="L250" i="27"/>
  <c r="AK249" i="27"/>
  <c r="AJ249" i="27"/>
  <c r="AI249" i="27"/>
  <c r="AG249" i="27"/>
  <c r="AA249" i="27"/>
  <c r="V249" i="27"/>
  <c r="P249" i="27"/>
  <c r="L249" i="27"/>
  <c r="AK248" i="27"/>
  <c r="AJ248" i="27"/>
  <c r="AI248" i="27"/>
  <c r="AG248" i="27"/>
  <c r="AA248" i="27"/>
  <c r="V248" i="27"/>
  <c r="P248" i="27"/>
  <c r="L248" i="27"/>
  <c r="AK247" i="27"/>
  <c r="AJ247" i="27"/>
  <c r="AI247" i="27"/>
  <c r="AG247" i="27"/>
  <c r="AA247" i="27"/>
  <c r="V247" i="27"/>
  <c r="P247" i="27"/>
  <c r="L247" i="27"/>
  <c r="AK246" i="27"/>
  <c r="AJ246" i="27"/>
  <c r="AI246" i="27"/>
  <c r="AG246" i="27"/>
  <c r="AA246" i="27"/>
  <c r="V246" i="27"/>
  <c r="P246" i="27"/>
  <c r="L246" i="27"/>
  <c r="AK245" i="27"/>
  <c r="AJ245" i="27"/>
  <c r="AI245" i="27"/>
  <c r="AG245" i="27"/>
  <c r="AA245" i="27"/>
  <c r="V245" i="27"/>
  <c r="P245" i="27"/>
  <c r="L245" i="27"/>
  <c r="AK244" i="27"/>
  <c r="AJ244" i="27"/>
  <c r="AI244" i="27"/>
  <c r="AG244" i="27"/>
  <c r="AA244" i="27"/>
  <c r="V244" i="27"/>
  <c r="P244" i="27"/>
  <c r="L244" i="27"/>
  <c r="AK243" i="27"/>
  <c r="AJ243" i="27"/>
  <c r="AI243" i="27"/>
  <c r="AG243" i="27"/>
  <c r="AA243" i="27"/>
  <c r="V243" i="27"/>
  <c r="P243" i="27"/>
  <c r="L243" i="27"/>
  <c r="AK242" i="27"/>
  <c r="AJ242" i="27"/>
  <c r="AI242" i="27"/>
  <c r="AG242" i="27"/>
  <c r="AA242" i="27"/>
  <c r="V242" i="27"/>
  <c r="P242" i="27"/>
  <c r="L242" i="27"/>
  <c r="AK241" i="27"/>
  <c r="AJ241" i="27"/>
  <c r="AI241" i="27"/>
  <c r="AG241" i="27"/>
  <c r="AA241" i="27"/>
  <c r="V241" i="27"/>
  <c r="P241" i="27"/>
  <c r="L241" i="27"/>
  <c r="AK240" i="27"/>
  <c r="AJ240" i="27"/>
  <c r="AI240" i="27"/>
  <c r="AG240" i="27"/>
  <c r="AA240" i="27"/>
  <c r="V240" i="27"/>
  <c r="P240" i="27"/>
  <c r="L240" i="27"/>
  <c r="AK239" i="27"/>
  <c r="AJ239" i="27"/>
  <c r="AI239" i="27"/>
  <c r="AG239" i="27"/>
  <c r="AA239" i="27"/>
  <c r="V239" i="27"/>
  <c r="P239" i="27"/>
  <c r="L239" i="27"/>
  <c r="AK238" i="27"/>
  <c r="AJ238" i="27"/>
  <c r="AI238" i="27"/>
  <c r="AG238" i="27"/>
  <c r="AA238" i="27"/>
  <c r="V238" i="27"/>
  <c r="P238" i="27"/>
  <c r="L238" i="27"/>
  <c r="AK237" i="27"/>
  <c r="AJ237" i="27"/>
  <c r="AI237" i="27"/>
  <c r="AG237" i="27"/>
  <c r="AA237" i="27"/>
  <c r="V237" i="27"/>
  <c r="P237" i="27"/>
  <c r="L237" i="27"/>
  <c r="AK236" i="27"/>
  <c r="AJ236" i="27"/>
  <c r="AI236" i="27"/>
  <c r="AG236" i="27"/>
  <c r="AA236" i="27"/>
  <c r="V236" i="27"/>
  <c r="P236" i="27"/>
  <c r="L236" i="27"/>
  <c r="AK235" i="27"/>
  <c r="AJ235" i="27"/>
  <c r="AI235" i="27"/>
  <c r="AG235" i="27"/>
  <c r="AA235" i="27"/>
  <c r="V235" i="27"/>
  <c r="P235" i="27"/>
  <c r="L235" i="27"/>
  <c r="AK234" i="27"/>
  <c r="AJ234" i="27"/>
  <c r="AI234" i="27"/>
  <c r="AG234" i="27"/>
  <c r="AA234" i="27"/>
  <c r="V234" i="27"/>
  <c r="P234" i="27"/>
  <c r="L234" i="27"/>
  <c r="AK233" i="27"/>
  <c r="AJ233" i="27"/>
  <c r="AI233" i="27"/>
  <c r="AG233" i="27"/>
  <c r="AA233" i="27"/>
  <c r="V233" i="27"/>
  <c r="P233" i="27"/>
  <c r="L233" i="27"/>
  <c r="AK232" i="27"/>
  <c r="AJ232" i="27"/>
  <c r="AI232" i="27"/>
  <c r="AG232" i="27"/>
  <c r="AA232" i="27"/>
  <c r="V232" i="27"/>
  <c r="P232" i="27"/>
  <c r="L232" i="27"/>
  <c r="AK231" i="27"/>
  <c r="AJ231" i="27"/>
  <c r="AI231" i="27"/>
  <c r="AG231" i="27"/>
  <c r="AA231" i="27"/>
  <c r="V231" i="27"/>
  <c r="P231" i="27"/>
  <c r="L231" i="27"/>
  <c r="AK230" i="27"/>
  <c r="AJ230" i="27"/>
  <c r="AI230" i="27"/>
  <c r="AG230" i="27"/>
  <c r="AA230" i="27"/>
  <c r="V230" i="27"/>
  <c r="P230" i="27"/>
  <c r="L230" i="27"/>
  <c r="AK229" i="27"/>
  <c r="AJ229" i="27"/>
  <c r="AI229" i="27"/>
  <c r="AG229" i="27"/>
  <c r="AA229" i="27"/>
  <c r="V229" i="27"/>
  <c r="P229" i="27"/>
  <c r="L229" i="27"/>
  <c r="AK228" i="27"/>
  <c r="AJ228" i="27"/>
  <c r="AI228" i="27"/>
  <c r="AG228" i="27"/>
  <c r="AA228" i="27"/>
  <c r="V228" i="27"/>
  <c r="P228" i="27"/>
  <c r="L228" i="27"/>
  <c r="AK227" i="27"/>
  <c r="AJ227" i="27"/>
  <c r="AI227" i="27"/>
  <c r="AG227" i="27"/>
  <c r="AA227" i="27"/>
  <c r="V227" i="27"/>
  <c r="P227" i="27"/>
  <c r="L227" i="27"/>
  <c r="AK226" i="27"/>
  <c r="AJ226" i="27"/>
  <c r="AI226" i="27"/>
  <c r="AG226" i="27"/>
  <c r="AA226" i="27"/>
  <c r="V226" i="27"/>
  <c r="P226" i="27"/>
  <c r="L226" i="27"/>
  <c r="AK225" i="27"/>
  <c r="AJ225" i="27"/>
  <c r="AI225" i="27"/>
  <c r="AG225" i="27"/>
  <c r="AA225" i="27"/>
  <c r="V225" i="27"/>
  <c r="P225" i="27"/>
  <c r="L225" i="27"/>
  <c r="AK224" i="27"/>
  <c r="AJ224" i="27"/>
  <c r="AI224" i="27"/>
  <c r="AG224" i="27"/>
  <c r="AA224" i="27"/>
  <c r="V224" i="27"/>
  <c r="P224" i="27"/>
  <c r="L224" i="27"/>
  <c r="AK223" i="27"/>
  <c r="AJ223" i="27"/>
  <c r="AI223" i="27"/>
  <c r="AG223" i="27"/>
  <c r="AA223" i="27"/>
  <c r="V223" i="27"/>
  <c r="P223" i="27"/>
  <c r="L223" i="27"/>
  <c r="AK222" i="27"/>
  <c r="AJ222" i="27"/>
  <c r="AI222" i="27"/>
  <c r="AG222" i="27"/>
  <c r="AA222" i="27"/>
  <c r="V222" i="27"/>
  <c r="P222" i="27"/>
  <c r="L222" i="27"/>
  <c r="AK221" i="27"/>
  <c r="AJ221" i="27"/>
  <c r="AI221" i="27"/>
  <c r="AG221" i="27"/>
  <c r="AA221" i="27"/>
  <c r="V221" i="27"/>
  <c r="P221" i="27"/>
  <c r="L221" i="27"/>
  <c r="AK220" i="27"/>
  <c r="AJ220" i="27"/>
  <c r="AI220" i="27"/>
  <c r="AG220" i="27"/>
  <c r="AA220" i="27"/>
  <c r="V220" i="27"/>
  <c r="P220" i="27"/>
  <c r="L220" i="27"/>
  <c r="AK219" i="27"/>
  <c r="AJ219" i="27"/>
  <c r="AI219" i="27"/>
  <c r="AG219" i="27"/>
  <c r="AA219" i="27"/>
  <c r="V219" i="27"/>
  <c r="P219" i="27"/>
  <c r="L219" i="27"/>
  <c r="AK218" i="27"/>
  <c r="AJ218" i="27"/>
  <c r="AI218" i="27"/>
  <c r="AG218" i="27"/>
  <c r="AA218" i="27"/>
  <c r="V218" i="27"/>
  <c r="P218" i="27"/>
  <c r="L218" i="27"/>
  <c r="AK217" i="27"/>
  <c r="AJ217" i="27"/>
  <c r="AI217" i="27"/>
  <c r="AG217" i="27"/>
  <c r="AA217" i="27"/>
  <c r="V217" i="27"/>
  <c r="P217" i="27"/>
  <c r="L217" i="27"/>
  <c r="AK216" i="27"/>
  <c r="AJ216" i="27"/>
  <c r="AI216" i="27"/>
  <c r="AG216" i="27"/>
  <c r="AA216" i="27"/>
  <c r="V216" i="27"/>
  <c r="P216" i="27"/>
  <c r="L216" i="27"/>
  <c r="AK215" i="27"/>
  <c r="AJ215" i="27"/>
  <c r="AI215" i="27"/>
  <c r="AG215" i="27"/>
  <c r="AA215" i="27"/>
  <c r="V215" i="27"/>
  <c r="P215" i="27"/>
  <c r="L215" i="27"/>
  <c r="AK214" i="27"/>
  <c r="AJ214" i="27"/>
  <c r="AI214" i="27"/>
  <c r="AG214" i="27"/>
  <c r="AA214" i="27"/>
  <c r="V214" i="27"/>
  <c r="P214" i="27"/>
  <c r="L214" i="27"/>
  <c r="AK213" i="27"/>
  <c r="AJ213" i="27"/>
  <c r="AI213" i="27"/>
  <c r="AG213" i="27"/>
  <c r="AA213" i="27"/>
  <c r="V213" i="27"/>
  <c r="P213" i="27"/>
  <c r="L213" i="27"/>
  <c r="AK212" i="27"/>
  <c r="AJ212" i="27"/>
  <c r="AI212" i="27"/>
  <c r="AG212" i="27"/>
  <c r="AA212" i="27"/>
  <c r="V212" i="27"/>
  <c r="P212" i="27"/>
  <c r="L212" i="27"/>
  <c r="AK211" i="27"/>
  <c r="AJ211" i="27"/>
  <c r="AI211" i="27"/>
  <c r="AG211" i="27"/>
  <c r="AA211" i="27"/>
  <c r="V211" i="27"/>
  <c r="P211" i="27"/>
  <c r="L211" i="27"/>
  <c r="AK210" i="27"/>
  <c r="AJ210" i="27"/>
  <c r="AI210" i="27"/>
  <c r="AG210" i="27"/>
  <c r="AA210" i="27"/>
  <c r="V210" i="27"/>
  <c r="P210" i="27"/>
  <c r="L210" i="27"/>
  <c r="AK209" i="27"/>
  <c r="AJ209" i="27"/>
  <c r="AI209" i="27"/>
  <c r="AG209" i="27"/>
  <c r="AA209" i="27"/>
  <c r="V209" i="27"/>
  <c r="P209" i="27"/>
  <c r="L209" i="27"/>
  <c r="AK208" i="27"/>
  <c r="AJ208" i="27"/>
  <c r="AI208" i="27"/>
  <c r="AG208" i="27"/>
  <c r="AA208" i="27"/>
  <c r="V208" i="27"/>
  <c r="P208" i="27"/>
  <c r="L208" i="27"/>
  <c r="AK207" i="27"/>
  <c r="AJ207" i="27"/>
  <c r="AI207" i="27"/>
  <c r="AG207" i="27"/>
  <c r="AA207" i="27"/>
  <c r="V207" i="27"/>
  <c r="P207" i="27"/>
  <c r="L207" i="27"/>
  <c r="AK206" i="27"/>
  <c r="AJ206" i="27"/>
  <c r="AI206" i="27"/>
  <c r="AG206" i="27"/>
  <c r="AA206" i="27"/>
  <c r="V206" i="27"/>
  <c r="P206" i="27"/>
  <c r="L206" i="27"/>
  <c r="AK205" i="27"/>
  <c r="AJ205" i="27"/>
  <c r="AI205" i="27"/>
  <c r="AG205" i="27"/>
  <c r="AA205" i="27"/>
  <c r="V205" i="27"/>
  <c r="P205" i="27"/>
  <c r="L205" i="27"/>
  <c r="AK204" i="27"/>
  <c r="AJ204" i="27"/>
  <c r="AI204" i="27"/>
  <c r="AG204" i="27"/>
  <c r="AA204" i="27"/>
  <c r="V204" i="27"/>
  <c r="P204" i="27"/>
  <c r="L204" i="27"/>
  <c r="AK203" i="27"/>
  <c r="AJ203" i="27"/>
  <c r="AI203" i="27"/>
  <c r="AG203" i="27"/>
  <c r="AA203" i="27"/>
  <c r="V203" i="27"/>
  <c r="P203" i="27"/>
  <c r="L203" i="27"/>
  <c r="AK202" i="27"/>
  <c r="AJ202" i="27"/>
  <c r="AI202" i="27"/>
  <c r="AG202" i="27"/>
  <c r="AA202" i="27"/>
  <c r="V202" i="27"/>
  <c r="P202" i="27"/>
  <c r="L202" i="27"/>
  <c r="AK201" i="27"/>
  <c r="AJ201" i="27"/>
  <c r="AI201" i="27"/>
  <c r="AG201" i="27"/>
  <c r="AA201" i="27"/>
  <c r="V201" i="27"/>
  <c r="P201" i="27"/>
  <c r="L201" i="27"/>
  <c r="AK200" i="27"/>
  <c r="AJ200" i="27"/>
  <c r="AI200" i="27"/>
  <c r="AG200" i="27"/>
  <c r="AA200" i="27"/>
  <c r="V200" i="27"/>
  <c r="P200" i="27"/>
  <c r="L200" i="27"/>
  <c r="AK199" i="27"/>
  <c r="AJ199" i="27"/>
  <c r="AI199" i="27"/>
  <c r="AG199" i="27"/>
  <c r="AA199" i="27"/>
  <c r="V199" i="27"/>
  <c r="P199" i="27"/>
  <c r="L199" i="27"/>
  <c r="AK198" i="27"/>
  <c r="AJ198" i="27"/>
  <c r="AI198" i="27"/>
  <c r="AG198" i="27"/>
  <c r="AA198" i="27"/>
  <c r="V198" i="27"/>
  <c r="P198" i="27"/>
  <c r="L198" i="27"/>
  <c r="AK197" i="27"/>
  <c r="AJ197" i="27"/>
  <c r="AI197" i="27"/>
  <c r="AG197" i="27"/>
  <c r="AA197" i="27"/>
  <c r="V197" i="27"/>
  <c r="P197" i="27"/>
  <c r="L197" i="27"/>
  <c r="AK196" i="27"/>
  <c r="AJ196" i="27"/>
  <c r="AI196" i="27"/>
  <c r="AG196" i="27"/>
  <c r="AA196" i="27"/>
  <c r="V196" i="27"/>
  <c r="P196" i="27"/>
  <c r="L196" i="27"/>
  <c r="AK195" i="27"/>
  <c r="AJ195" i="27"/>
  <c r="AI195" i="27"/>
  <c r="AG195" i="27"/>
  <c r="AA195" i="27"/>
  <c r="V195" i="27"/>
  <c r="P195" i="27"/>
  <c r="L195" i="27"/>
  <c r="AK194" i="27"/>
  <c r="AJ194" i="27"/>
  <c r="AI194" i="27"/>
  <c r="AG194" i="27"/>
  <c r="AA194" i="27"/>
  <c r="V194" i="27"/>
  <c r="P194" i="27"/>
  <c r="L194" i="27"/>
  <c r="AK193" i="27"/>
  <c r="AJ193" i="27"/>
  <c r="AI193" i="27"/>
  <c r="AG193" i="27"/>
  <c r="AA193" i="27"/>
  <c r="V193" i="27"/>
  <c r="P193" i="27"/>
  <c r="L193" i="27"/>
  <c r="AK192" i="27"/>
  <c r="AJ192" i="27"/>
  <c r="AI192" i="27"/>
  <c r="AG192" i="27"/>
  <c r="AA192" i="27"/>
  <c r="V192" i="27"/>
  <c r="P192" i="27"/>
  <c r="L192" i="27"/>
  <c r="AK191" i="27"/>
  <c r="AJ191" i="27"/>
  <c r="AI191" i="27"/>
  <c r="AG191" i="27"/>
  <c r="AA191" i="27"/>
  <c r="V191" i="27"/>
  <c r="P191" i="27"/>
  <c r="L191" i="27"/>
  <c r="AK190" i="27"/>
  <c r="AJ190" i="27"/>
  <c r="AI190" i="27"/>
  <c r="AG190" i="27"/>
  <c r="AA190" i="27"/>
  <c r="V190" i="27"/>
  <c r="P190" i="27"/>
  <c r="L190" i="27"/>
  <c r="AK189" i="27"/>
  <c r="AJ189" i="27"/>
  <c r="AI189" i="27"/>
  <c r="AG189" i="27"/>
  <c r="AA189" i="27"/>
  <c r="V189" i="27"/>
  <c r="P189" i="27"/>
  <c r="L189" i="27"/>
  <c r="AK188" i="27"/>
  <c r="AJ188" i="27"/>
  <c r="AI188" i="27"/>
  <c r="AG188" i="27"/>
  <c r="AA188" i="27"/>
  <c r="V188" i="27"/>
  <c r="P188" i="27"/>
  <c r="L188" i="27"/>
  <c r="AK187" i="27"/>
  <c r="AJ187" i="27"/>
  <c r="AI187" i="27"/>
  <c r="AG187" i="27"/>
  <c r="AA187" i="27"/>
  <c r="V187" i="27"/>
  <c r="P187" i="27"/>
  <c r="L187" i="27"/>
  <c r="AK186" i="27"/>
  <c r="AJ186" i="27"/>
  <c r="AI186" i="27"/>
  <c r="AG186" i="27"/>
  <c r="AA186" i="27"/>
  <c r="V186" i="27"/>
  <c r="P186" i="27"/>
  <c r="L186" i="27"/>
  <c r="AK185" i="27"/>
  <c r="AJ185" i="27"/>
  <c r="AI185" i="27"/>
  <c r="AG185" i="27"/>
  <c r="AA185" i="27"/>
  <c r="V185" i="27"/>
  <c r="P185" i="27"/>
  <c r="L185" i="27"/>
  <c r="AK184" i="27"/>
  <c r="AJ184" i="27"/>
  <c r="AI184" i="27"/>
  <c r="AG184" i="27"/>
  <c r="AA184" i="27"/>
  <c r="V184" i="27"/>
  <c r="P184" i="27"/>
  <c r="L184" i="27"/>
  <c r="AK183" i="27"/>
  <c r="AJ183" i="27"/>
  <c r="AI183" i="27"/>
  <c r="AG183" i="27"/>
  <c r="AA183" i="27"/>
  <c r="V183" i="27"/>
  <c r="P183" i="27"/>
  <c r="L183" i="27"/>
  <c r="AK182" i="27"/>
  <c r="AJ182" i="27"/>
  <c r="AI182" i="27"/>
  <c r="AG182" i="27"/>
  <c r="AA182" i="27"/>
  <c r="V182" i="27"/>
  <c r="P182" i="27"/>
  <c r="L182" i="27"/>
  <c r="AK181" i="27"/>
  <c r="AJ181" i="27"/>
  <c r="AI181" i="27"/>
  <c r="AG181" i="27"/>
  <c r="AA181" i="27"/>
  <c r="V181" i="27"/>
  <c r="P181" i="27"/>
  <c r="L181" i="27"/>
  <c r="AK180" i="27"/>
  <c r="AJ180" i="27"/>
  <c r="AI180" i="27"/>
  <c r="AG180" i="27"/>
  <c r="AA180" i="27"/>
  <c r="V180" i="27"/>
  <c r="P180" i="27"/>
  <c r="L180" i="27"/>
  <c r="AK179" i="27"/>
  <c r="AJ179" i="27"/>
  <c r="AI179" i="27"/>
  <c r="AG179" i="27"/>
  <c r="AA179" i="27"/>
  <c r="V179" i="27"/>
  <c r="P179" i="27"/>
  <c r="L179" i="27"/>
  <c r="AK178" i="27"/>
  <c r="AJ178" i="27"/>
  <c r="AI178" i="27"/>
  <c r="AG178" i="27"/>
  <c r="AA178" i="27"/>
  <c r="V178" i="27"/>
  <c r="P178" i="27"/>
  <c r="L178" i="27"/>
  <c r="AK177" i="27"/>
  <c r="AJ177" i="27"/>
  <c r="AI177" i="27"/>
  <c r="AG177" i="27"/>
  <c r="AA177" i="27"/>
  <c r="V177" i="27"/>
  <c r="P177" i="27"/>
  <c r="L177" i="27"/>
  <c r="AK176" i="27"/>
  <c r="AJ176" i="27"/>
  <c r="AI176" i="27"/>
  <c r="AG176" i="27"/>
  <c r="AA176" i="27"/>
  <c r="V176" i="27"/>
  <c r="P176" i="27"/>
  <c r="L176" i="27"/>
  <c r="AK175" i="27"/>
  <c r="AJ175" i="27"/>
  <c r="AI175" i="27"/>
  <c r="AG175" i="27"/>
  <c r="AA175" i="27"/>
  <c r="V175" i="27"/>
  <c r="P175" i="27"/>
  <c r="L175" i="27"/>
  <c r="AK174" i="27"/>
  <c r="AJ174" i="27"/>
  <c r="AI174" i="27"/>
  <c r="AG174" i="27"/>
  <c r="AA174" i="27"/>
  <c r="V174" i="27"/>
  <c r="P174" i="27"/>
  <c r="L174" i="27"/>
  <c r="AK173" i="27"/>
  <c r="AJ173" i="27"/>
  <c r="AI173" i="27"/>
  <c r="AG173" i="27"/>
  <c r="AA173" i="27"/>
  <c r="V173" i="27"/>
  <c r="P173" i="27"/>
  <c r="L173" i="27"/>
  <c r="AK172" i="27"/>
  <c r="AJ172" i="27"/>
  <c r="AI172" i="27"/>
  <c r="AG172" i="27"/>
  <c r="AA172" i="27"/>
  <c r="V172" i="27"/>
  <c r="P172" i="27"/>
  <c r="L172" i="27"/>
  <c r="AK171" i="27"/>
  <c r="AJ171" i="27"/>
  <c r="AI171" i="27"/>
  <c r="AG171" i="27"/>
  <c r="AA171" i="27"/>
  <c r="V171" i="27"/>
  <c r="P171" i="27"/>
  <c r="L171" i="27"/>
  <c r="AK170" i="27"/>
  <c r="AJ170" i="27"/>
  <c r="AI170" i="27"/>
  <c r="AG170" i="27"/>
  <c r="AA170" i="27"/>
  <c r="V170" i="27"/>
  <c r="P170" i="27"/>
  <c r="L170" i="27"/>
  <c r="AK169" i="27"/>
  <c r="AJ169" i="27"/>
  <c r="AI169" i="27"/>
  <c r="AG169" i="27"/>
  <c r="AA169" i="27"/>
  <c r="V169" i="27"/>
  <c r="P169" i="27"/>
  <c r="L169" i="27"/>
  <c r="AK168" i="27"/>
  <c r="AJ168" i="27"/>
  <c r="AI168" i="27"/>
  <c r="AG168" i="27"/>
  <c r="AA168" i="27"/>
  <c r="V168" i="27"/>
  <c r="P168" i="27"/>
  <c r="L168" i="27"/>
  <c r="AK167" i="27"/>
  <c r="AJ167" i="27"/>
  <c r="AI167" i="27"/>
  <c r="AG167" i="27"/>
  <c r="AA167" i="27"/>
  <c r="V167" i="27"/>
  <c r="P167" i="27"/>
  <c r="L167" i="27"/>
  <c r="AK166" i="27"/>
  <c r="AJ166" i="27"/>
  <c r="AI166" i="27"/>
  <c r="AG166" i="27"/>
  <c r="AA166" i="27"/>
  <c r="V166" i="27"/>
  <c r="P166" i="27"/>
  <c r="L166" i="27"/>
  <c r="AK165" i="27"/>
  <c r="AJ165" i="27"/>
  <c r="AI165" i="27"/>
  <c r="AG165" i="27"/>
  <c r="AA165" i="27"/>
  <c r="V165" i="27"/>
  <c r="P165" i="27"/>
  <c r="L165" i="27"/>
  <c r="AK164" i="27"/>
  <c r="AJ164" i="27"/>
  <c r="AI164" i="27"/>
  <c r="AG164" i="27"/>
  <c r="AA164" i="27"/>
  <c r="V164" i="27"/>
  <c r="P164" i="27"/>
  <c r="L164" i="27"/>
  <c r="AK163" i="27"/>
  <c r="AJ163" i="27"/>
  <c r="AI163" i="27"/>
  <c r="AG163" i="27"/>
  <c r="AA163" i="27"/>
  <c r="V163" i="27"/>
  <c r="P163" i="27"/>
  <c r="L163" i="27"/>
  <c r="AK162" i="27"/>
  <c r="AJ162" i="27"/>
  <c r="AI162" i="27"/>
  <c r="AG162" i="27"/>
  <c r="AA162" i="27"/>
  <c r="V162" i="27"/>
  <c r="P162" i="27"/>
  <c r="L162" i="27"/>
  <c r="AK161" i="27"/>
  <c r="AJ161" i="27"/>
  <c r="AI161" i="27"/>
  <c r="AG161" i="27"/>
  <c r="AA161" i="27"/>
  <c r="V161" i="27"/>
  <c r="P161" i="27"/>
  <c r="L161" i="27"/>
  <c r="AK160" i="27"/>
  <c r="AJ160" i="27"/>
  <c r="AI160" i="27"/>
  <c r="AG160" i="27"/>
  <c r="AA160" i="27"/>
  <c r="V160" i="27"/>
  <c r="P160" i="27"/>
  <c r="L160" i="27"/>
  <c r="AK159" i="27"/>
  <c r="AJ159" i="27"/>
  <c r="AI159" i="27"/>
  <c r="AG159" i="27"/>
  <c r="AA159" i="27"/>
  <c r="V159" i="27"/>
  <c r="P159" i="27"/>
  <c r="L159" i="27"/>
  <c r="AK158" i="27"/>
  <c r="AJ158" i="27"/>
  <c r="AI158" i="27"/>
  <c r="AG158" i="27"/>
  <c r="AA158" i="27"/>
  <c r="V158" i="27"/>
  <c r="P158" i="27"/>
  <c r="L158" i="27"/>
  <c r="AK157" i="27"/>
  <c r="AJ157" i="27"/>
  <c r="AI157" i="27"/>
  <c r="AG157" i="27"/>
  <c r="AA157" i="27"/>
  <c r="V157" i="27"/>
  <c r="P157" i="27"/>
  <c r="L157" i="27"/>
  <c r="AK156" i="27"/>
  <c r="AJ156" i="27"/>
  <c r="AI156" i="27"/>
  <c r="AG156" i="27"/>
  <c r="AA156" i="27"/>
  <c r="V156" i="27"/>
  <c r="P156" i="27"/>
  <c r="L156" i="27"/>
  <c r="AK155" i="27"/>
  <c r="AJ155" i="27"/>
  <c r="AI155" i="27"/>
  <c r="AG155" i="27"/>
  <c r="AA155" i="27"/>
  <c r="V155" i="27"/>
  <c r="P155" i="27"/>
  <c r="L155" i="27"/>
  <c r="AK154" i="27"/>
  <c r="AJ154" i="27"/>
  <c r="AI154" i="27"/>
  <c r="AG154" i="27"/>
  <c r="AA154" i="27"/>
  <c r="V154" i="27"/>
  <c r="P154" i="27"/>
  <c r="L154" i="27"/>
  <c r="AK153" i="27"/>
  <c r="AJ153" i="27"/>
  <c r="AI153" i="27"/>
  <c r="AG153" i="27"/>
  <c r="AA153" i="27"/>
  <c r="V153" i="27"/>
  <c r="P153" i="27"/>
  <c r="L153" i="27"/>
  <c r="AK152" i="27"/>
  <c r="AJ152" i="27"/>
  <c r="AI152" i="27"/>
  <c r="AG152" i="27"/>
  <c r="AA152" i="27"/>
  <c r="V152" i="27"/>
  <c r="P152" i="27"/>
  <c r="L152" i="27"/>
  <c r="AK151" i="27"/>
  <c r="AJ151" i="27"/>
  <c r="AI151" i="27"/>
  <c r="AG151" i="27"/>
  <c r="AA151" i="27"/>
  <c r="V151" i="27"/>
  <c r="P151" i="27"/>
  <c r="L151" i="27"/>
  <c r="AK150" i="27"/>
  <c r="AJ150" i="27"/>
  <c r="AI150" i="27"/>
  <c r="AG150" i="27"/>
  <c r="AA150" i="27"/>
  <c r="V150" i="27"/>
  <c r="P150" i="27"/>
  <c r="L150" i="27"/>
  <c r="AK149" i="27"/>
  <c r="AJ149" i="27"/>
  <c r="AI149" i="27"/>
  <c r="AG149" i="27"/>
  <c r="AA149" i="27"/>
  <c r="V149" i="27"/>
  <c r="P149" i="27"/>
  <c r="L149" i="27"/>
  <c r="AK148" i="27"/>
  <c r="AJ148" i="27"/>
  <c r="AI148" i="27"/>
  <c r="AG148" i="27"/>
  <c r="AA148" i="27"/>
  <c r="V148" i="27"/>
  <c r="P148" i="27"/>
  <c r="L148" i="27"/>
  <c r="AK147" i="27"/>
  <c r="AJ147" i="27"/>
  <c r="AI147" i="27"/>
  <c r="AG147" i="27"/>
  <c r="AA147" i="27"/>
  <c r="V147" i="27"/>
  <c r="P147" i="27"/>
  <c r="L147" i="27"/>
  <c r="AK146" i="27"/>
  <c r="AJ146" i="27"/>
  <c r="AI146" i="27"/>
  <c r="AG146" i="27"/>
  <c r="AA146" i="27"/>
  <c r="V146" i="27"/>
  <c r="P146" i="27"/>
  <c r="L146" i="27"/>
  <c r="AK145" i="27"/>
  <c r="AJ145" i="27"/>
  <c r="AI145" i="27"/>
  <c r="AG145" i="27"/>
  <c r="AA145" i="27"/>
  <c r="V145" i="27"/>
  <c r="P145" i="27"/>
  <c r="L145" i="27"/>
  <c r="AK144" i="27"/>
  <c r="AJ144" i="27"/>
  <c r="AI144" i="27"/>
  <c r="AG144" i="27"/>
  <c r="AA144" i="27"/>
  <c r="V144" i="27"/>
  <c r="P144" i="27"/>
  <c r="L144" i="27"/>
  <c r="AK143" i="27"/>
  <c r="AJ143" i="27"/>
  <c r="AI143" i="27"/>
  <c r="AG143" i="27"/>
  <c r="AA143" i="27"/>
  <c r="V143" i="27"/>
  <c r="P143" i="27"/>
  <c r="L143" i="27"/>
  <c r="AK142" i="27"/>
  <c r="AJ142" i="27"/>
  <c r="AI142" i="27"/>
  <c r="AG142" i="27"/>
  <c r="AA142" i="27"/>
  <c r="V142" i="27"/>
  <c r="P142" i="27"/>
  <c r="L142" i="27"/>
  <c r="AK141" i="27"/>
  <c r="AJ141" i="27"/>
  <c r="AI141" i="27"/>
  <c r="AG141" i="27"/>
  <c r="AA141" i="27"/>
  <c r="V141" i="27"/>
  <c r="P141" i="27"/>
  <c r="L141" i="27"/>
  <c r="AK140" i="27"/>
  <c r="AJ140" i="27"/>
  <c r="AI140" i="27"/>
  <c r="AG140" i="27"/>
  <c r="AA140" i="27"/>
  <c r="V140" i="27"/>
  <c r="P140" i="27"/>
  <c r="L140" i="27"/>
  <c r="AK139" i="27"/>
  <c r="AJ139" i="27"/>
  <c r="AI139" i="27"/>
  <c r="AG139" i="27"/>
  <c r="AA139" i="27"/>
  <c r="V139" i="27"/>
  <c r="P139" i="27"/>
  <c r="L139" i="27"/>
  <c r="AK138" i="27"/>
  <c r="AJ138" i="27"/>
  <c r="AI138" i="27"/>
  <c r="AG138" i="27"/>
  <c r="AA138" i="27"/>
  <c r="V138" i="27"/>
  <c r="P138" i="27"/>
  <c r="L138" i="27"/>
  <c r="AK137" i="27"/>
  <c r="AJ137" i="27"/>
  <c r="AI137" i="27"/>
  <c r="AG137" i="27"/>
  <c r="AA137" i="27"/>
  <c r="V137" i="27"/>
  <c r="P137" i="27"/>
  <c r="L137" i="27"/>
  <c r="AK136" i="27"/>
  <c r="AJ136" i="27"/>
  <c r="AI136" i="27"/>
  <c r="AG136" i="27"/>
  <c r="AA136" i="27"/>
  <c r="V136" i="27"/>
  <c r="P136" i="27"/>
  <c r="L136" i="27"/>
  <c r="AK135" i="27"/>
  <c r="AJ135" i="27"/>
  <c r="AI135" i="27"/>
  <c r="AG135" i="27"/>
  <c r="AA135" i="27"/>
  <c r="V135" i="27"/>
  <c r="P135" i="27"/>
  <c r="L135" i="27"/>
  <c r="AK134" i="27"/>
  <c r="AJ134" i="27"/>
  <c r="AI134" i="27"/>
  <c r="AG134" i="27"/>
  <c r="AA134" i="27"/>
  <c r="V134" i="27"/>
  <c r="P134" i="27"/>
  <c r="L134" i="27"/>
  <c r="AK133" i="27"/>
  <c r="AJ133" i="27"/>
  <c r="AI133" i="27"/>
  <c r="AG133" i="27"/>
  <c r="AA133" i="27"/>
  <c r="V133" i="27"/>
  <c r="P133" i="27"/>
  <c r="L133" i="27"/>
  <c r="AK132" i="27"/>
  <c r="AJ132" i="27"/>
  <c r="AI132" i="27"/>
  <c r="AG132" i="27"/>
  <c r="AA132" i="27"/>
  <c r="V132" i="27"/>
  <c r="P132" i="27"/>
  <c r="L132" i="27"/>
  <c r="AK131" i="27"/>
  <c r="AJ131" i="27"/>
  <c r="AI131" i="27"/>
  <c r="AG131" i="27"/>
  <c r="AA131" i="27"/>
  <c r="V131" i="27"/>
  <c r="P131" i="27"/>
  <c r="L131" i="27"/>
  <c r="AK130" i="27"/>
  <c r="AJ130" i="27"/>
  <c r="AI130" i="27"/>
  <c r="AG130" i="27"/>
  <c r="AA130" i="27"/>
  <c r="V130" i="27"/>
  <c r="P130" i="27"/>
  <c r="L130" i="27"/>
  <c r="AK129" i="27"/>
  <c r="AJ129" i="27"/>
  <c r="AI129" i="27"/>
  <c r="AG129" i="27"/>
  <c r="AA129" i="27"/>
  <c r="V129" i="27"/>
  <c r="P129" i="27"/>
  <c r="L129" i="27"/>
  <c r="AK128" i="27"/>
  <c r="AJ128" i="27"/>
  <c r="AI128" i="27"/>
  <c r="AG128" i="27"/>
  <c r="AA128" i="27"/>
  <c r="V128" i="27"/>
  <c r="P128" i="27"/>
  <c r="L128" i="27"/>
  <c r="AK127" i="27"/>
  <c r="AJ127" i="27"/>
  <c r="AI127" i="27"/>
  <c r="AG127" i="27"/>
  <c r="AA127" i="27"/>
  <c r="V127" i="27"/>
  <c r="P127" i="27"/>
  <c r="L127" i="27"/>
  <c r="AK126" i="27"/>
  <c r="AJ126" i="27"/>
  <c r="AI126" i="27"/>
  <c r="AG126" i="27"/>
  <c r="AA126" i="27"/>
  <c r="V126" i="27"/>
  <c r="P126" i="27"/>
  <c r="L126" i="27"/>
  <c r="AK125" i="27"/>
  <c r="AJ125" i="27"/>
  <c r="AI125" i="27"/>
  <c r="AG125" i="27"/>
  <c r="AA125" i="27"/>
  <c r="V125" i="27"/>
  <c r="P125" i="27"/>
  <c r="L125" i="27"/>
  <c r="AK124" i="27"/>
  <c r="AJ124" i="27"/>
  <c r="AI124" i="27"/>
  <c r="AG124" i="27"/>
  <c r="AA124" i="27"/>
  <c r="V124" i="27"/>
  <c r="P124" i="27"/>
  <c r="L124" i="27"/>
  <c r="AK123" i="27"/>
  <c r="AJ123" i="27"/>
  <c r="AI123" i="27"/>
  <c r="AG123" i="27"/>
  <c r="AA123" i="27"/>
  <c r="V123" i="27"/>
  <c r="P123" i="27"/>
  <c r="L123" i="27"/>
  <c r="AK122" i="27"/>
  <c r="AJ122" i="27"/>
  <c r="AI122" i="27"/>
  <c r="AG122" i="27"/>
  <c r="AA122" i="27"/>
  <c r="V122" i="27"/>
  <c r="P122" i="27"/>
  <c r="L122" i="27"/>
  <c r="AK121" i="27"/>
  <c r="AJ121" i="27"/>
  <c r="AI121" i="27"/>
  <c r="AG121" i="27"/>
  <c r="AA121" i="27"/>
  <c r="V121" i="27"/>
  <c r="P121" i="27"/>
  <c r="L121" i="27"/>
  <c r="AK120" i="27"/>
  <c r="AJ120" i="27"/>
  <c r="AI120" i="27"/>
  <c r="AG120" i="27"/>
  <c r="AA120" i="27"/>
  <c r="V120" i="27"/>
  <c r="P120" i="27"/>
  <c r="L120" i="27"/>
  <c r="AK119" i="27"/>
  <c r="AJ119" i="27"/>
  <c r="AI119" i="27"/>
  <c r="AG119" i="27"/>
  <c r="AA119" i="27"/>
  <c r="V119" i="27"/>
  <c r="P119" i="27"/>
  <c r="L119" i="27"/>
  <c r="AK118" i="27"/>
  <c r="AJ118" i="27"/>
  <c r="AI118" i="27"/>
  <c r="AG118" i="27"/>
  <c r="AA118" i="27"/>
  <c r="V118" i="27"/>
  <c r="P118" i="27"/>
  <c r="L118" i="27"/>
  <c r="AK117" i="27"/>
  <c r="AJ117" i="27"/>
  <c r="AI117" i="27"/>
  <c r="AG117" i="27"/>
  <c r="AA117" i="27"/>
  <c r="V117" i="27"/>
  <c r="P117" i="27"/>
  <c r="L117" i="27"/>
  <c r="AK116" i="27"/>
  <c r="AJ116" i="27"/>
  <c r="AI116" i="27"/>
  <c r="AG116" i="27"/>
  <c r="AA116" i="27"/>
  <c r="V116" i="27"/>
  <c r="P116" i="27"/>
  <c r="L116" i="27"/>
  <c r="AK115" i="27"/>
  <c r="AJ115" i="27"/>
  <c r="AI115" i="27"/>
  <c r="AG115" i="27"/>
  <c r="AA115" i="27"/>
  <c r="V115" i="27"/>
  <c r="P115" i="27"/>
  <c r="L115" i="27"/>
  <c r="AK114" i="27"/>
  <c r="AJ114" i="27"/>
  <c r="AI114" i="27"/>
  <c r="AG114" i="27"/>
  <c r="AA114" i="27"/>
  <c r="V114" i="27"/>
  <c r="P114" i="27"/>
  <c r="L114" i="27"/>
  <c r="AK113" i="27"/>
  <c r="AJ113" i="27"/>
  <c r="AI113" i="27"/>
  <c r="AG113" i="27"/>
  <c r="AA113" i="27"/>
  <c r="V113" i="27"/>
  <c r="P113" i="27"/>
  <c r="L113" i="27"/>
  <c r="AK112" i="27"/>
  <c r="AJ112" i="27"/>
  <c r="AI112" i="27"/>
  <c r="AG112" i="27"/>
  <c r="AA112" i="27"/>
  <c r="V112" i="27"/>
  <c r="P112" i="27"/>
  <c r="L112" i="27"/>
  <c r="AK111" i="27"/>
  <c r="AJ111" i="27"/>
  <c r="AI111" i="27"/>
  <c r="AG111" i="27"/>
  <c r="AA111" i="27"/>
  <c r="V111" i="27"/>
  <c r="P111" i="27"/>
  <c r="L111" i="27"/>
  <c r="AK110" i="27"/>
  <c r="AJ110" i="27"/>
  <c r="AI110" i="27"/>
  <c r="AG110" i="27"/>
  <c r="AA110" i="27"/>
  <c r="V110" i="27"/>
  <c r="P110" i="27"/>
  <c r="L110" i="27"/>
  <c r="AK109" i="27"/>
  <c r="AJ109" i="27"/>
  <c r="AI109" i="27"/>
  <c r="AG109" i="27"/>
  <c r="AA109" i="27"/>
  <c r="V109" i="27"/>
  <c r="P109" i="27"/>
  <c r="L109" i="27"/>
  <c r="AK108" i="27"/>
  <c r="AJ108" i="27"/>
  <c r="AI108" i="27"/>
  <c r="AG108" i="27"/>
  <c r="AA108" i="27"/>
  <c r="V108" i="27"/>
  <c r="P108" i="27"/>
  <c r="L108" i="27"/>
  <c r="AK107" i="27"/>
  <c r="AJ107" i="27"/>
  <c r="AI107" i="27"/>
  <c r="AG107" i="27"/>
  <c r="AA107" i="27"/>
  <c r="V107" i="27"/>
  <c r="P107" i="27"/>
  <c r="L107" i="27"/>
  <c r="AK106" i="27"/>
  <c r="AJ106" i="27"/>
  <c r="AI106" i="27"/>
  <c r="AG106" i="27"/>
  <c r="AA106" i="27"/>
  <c r="V106" i="27"/>
  <c r="P106" i="27"/>
  <c r="L106" i="27"/>
  <c r="AK105" i="27"/>
  <c r="AJ105" i="27"/>
  <c r="AI105" i="27"/>
  <c r="AG105" i="27"/>
  <c r="AA105" i="27"/>
  <c r="V105" i="27"/>
  <c r="P105" i="27"/>
  <c r="L105" i="27"/>
  <c r="AK104" i="27"/>
  <c r="AJ104" i="27"/>
  <c r="AI104" i="27"/>
  <c r="AG104" i="27"/>
  <c r="AA104" i="27"/>
  <c r="V104" i="27"/>
  <c r="P104" i="27"/>
  <c r="L104" i="27"/>
  <c r="AK103" i="27"/>
  <c r="AJ103" i="27"/>
  <c r="AI103" i="27"/>
  <c r="AG103" i="27"/>
  <c r="AA103" i="27"/>
  <c r="V103" i="27"/>
  <c r="P103" i="27"/>
  <c r="L103" i="27"/>
  <c r="AK102" i="27"/>
  <c r="AJ102" i="27"/>
  <c r="AI102" i="27"/>
  <c r="AG102" i="27"/>
  <c r="AA102" i="27"/>
  <c r="V102" i="27"/>
  <c r="P102" i="27"/>
  <c r="L102" i="27"/>
  <c r="AK101" i="27"/>
  <c r="AJ101" i="27"/>
  <c r="AI101" i="27"/>
  <c r="AG101" i="27"/>
  <c r="AA101" i="27"/>
  <c r="V101" i="27"/>
  <c r="P101" i="27"/>
  <c r="L101" i="27"/>
  <c r="AK100" i="27"/>
  <c r="AJ100" i="27"/>
  <c r="AI100" i="27"/>
  <c r="AG100" i="27"/>
  <c r="AA100" i="27"/>
  <c r="V100" i="27"/>
  <c r="P100" i="27"/>
  <c r="L100" i="27"/>
  <c r="AK99" i="27"/>
  <c r="AJ99" i="27"/>
  <c r="AI99" i="27"/>
  <c r="AG99" i="27"/>
  <c r="AA99" i="27"/>
  <c r="V99" i="27"/>
  <c r="P99" i="27"/>
  <c r="L99" i="27"/>
  <c r="AK98" i="27"/>
  <c r="AJ98" i="27"/>
  <c r="AI98" i="27"/>
  <c r="AG98" i="27"/>
  <c r="AA98" i="27"/>
  <c r="V98" i="27"/>
  <c r="P98" i="27"/>
  <c r="L98" i="27"/>
  <c r="AK97" i="27"/>
  <c r="AJ97" i="27"/>
  <c r="AI97" i="27"/>
  <c r="AG97" i="27"/>
  <c r="AA97" i="27"/>
  <c r="V97" i="27"/>
  <c r="P97" i="27"/>
  <c r="L97" i="27"/>
  <c r="AK96" i="27"/>
  <c r="AJ96" i="27"/>
  <c r="AI96" i="27"/>
  <c r="AG96" i="27"/>
  <c r="AA96" i="27"/>
  <c r="V96" i="27"/>
  <c r="P96" i="27"/>
  <c r="L96" i="27"/>
  <c r="AK95" i="27"/>
  <c r="AJ95" i="27"/>
  <c r="AI95" i="27"/>
  <c r="AG95" i="27"/>
  <c r="AA95" i="27"/>
  <c r="V95" i="27"/>
  <c r="P95" i="27"/>
  <c r="L95" i="27"/>
  <c r="AK94" i="27"/>
  <c r="AJ94" i="27"/>
  <c r="AI94" i="27"/>
  <c r="AG94" i="27"/>
  <c r="AA94" i="27"/>
  <c r="V94" i="27"/>
  <c r="P94" i="27"/>
  <c r="L94" i="27"/>
  <c r="AK93" i="27"/>
  <c r="AJ93" i="27"/>
  <c r="AI93" i="27"/>
  <c r="AG93" i="27"/>
  <c r="AA93" i="27"/>
  <c r="V93" i="27"/>
  <c r="P93" i="27"/>
  <c r="L93" i="27"/>
  <c r="AK92" i="27"/>
  <c r="AJ92" i="27"/>
  <c r="AI92" i="27"/>
  <c r="AG92" i="27"/>
  <c r="AA92" i="27"/>
  <c r="V92" i="27"/>
  <c r="P92" i="27"/>
  <c r="L92" i="27"/>
  <c r="AK91" i="27"/>
  <c r="AJ91" i="27"/>
  <c r="AI91" i="27"/>
  <c r="AG91" i="27"/>
  <c r="AA91" i="27"/>
  <c r="V91" i="27"/>
  <c r="P91" i="27"/>
  <c r="L91" i="27"/>
  <c r="AK90" i="27"/>
  <c r="AJ90" i="27"/>
  <c r="AI90" i="27"/>
  <c r="AG90" i="27"/>
  <c r="AA90" i="27"/>
  <c r="V90" i="27"/>
  <c r="P90" i="27"/>
  <c r="L90" i="27"/>
  <c r="AK89" i="27"/>
  <c r="AJ89" i="27"/>
  <c r="AI89" i="27"/>
  <c r="AG89" i="27"/>
  <c r="AA89" i="27"/>
  <c r="V89" i="27"/>
  <c r="P89" i="27"/>
  <c r="L89" i="27"/>
  <c r="AK88" i="27"/>
  <c r="AJ88" i="27"/>
  <c r="AI88" i="27"/>
  <c r="AG88" i="27"/>
  <c r="AA88" i="27"/>
  <c r="V88" i="27"/>
  <c r="P88" i="27"/>
  <c r="L88" i="27"/>
  <c r="AK87" i="27"/>
  <c r="AJ87" i="27"/>
  <c r="AI87" i="27"/>
  <c r="AG87" i="27"/>
  <c r="AA87" i="27"/>
  <c r="V87" i="27"/>
  <c r="P87" i="27"/>
  <c r="L87" i="27"/>
  <c r="AK86" i="27"/>
  <c r="AJ86" i="27"/>
  <c r="AI86" i="27"/>
  <c r="AG86" i="27"/>
  <c r="AA86" i="27"/>
  <c r="V86" i="27"/>
  <c r="P86" i="27"/>
  <c r="L86" i="27"/>
  <c r="AK85" i="27"/>
  <c r="AJ85" i="27"/>
  <c r="AI85" i="27"/>
  <c r="AG85" i="27"/>
  <c r="AA85" i="27"/>
  <c r="V85" i="27"/>
  <c r="P85" i="27"/>
  <c r="L85" i="27"/>
  <c r="AK84" i="27"/>
  <c r="AJ84" i="27"/>
  <c r="AI84" i="27"/>
  <c r="AG84" i="27"/>
  <c r="AA84" i="27"/>
  <c r="V84" i="27"/>
  <c r="P84" i="27"/>
  <c r="L84" i="27"/>
  <c r="AK83" i="27"/>
  <c r="AJ83" i="27"/>
  <c r="AI83" i="27"/>
  <c r="AG83" i="27"/>
  <c r="AA83" i="27"/>
  <c r="V83" i="27"/>
  <c r="P83" i="27"/>
  <c r="L83" i="27"/>
  <c r="AK82" i="27"/>
  <c r="AJ82" i="27"/>
  <c r="AI82" i="27"/>
  <c r="AG82" i="27"/>
  <c r="AA82" i="27"/>
  <c r="V82" i="27"/>
  <c r="P82" i="27"/>
  <c r="L82" i="27"/>
  <c r="AK81" i="27"/>
  <c r="AJ81" i="27"/>
  <c r="AI81" i="27"/>
  <c r="AG81" i="27"/>
  <c r="AA81" i="27"/>
  <c r="V81" i="27"/>
  <c r="P81" i="27"/>
  <c r="L81" i="27"/>
  <c r="AK80" i="27"/>
  <c r="AJ80" i="27"/>
  <c r="AI80" i="27"/>
  <c r="AG80" i="27"/>
  <c r="AA80" i="27"/>
  <c r="V80" i="27"/>
  <c r="P80" i="27"/>
  <c r="L80" i="27"/>
  <c r="AK79" i="27"/>
  <c r="AJ79" i="27"/>
  <c r="AI79" i="27"/>
  <c r="AG79" i="27"/>
  <c r="AA79" i="27"/>
  <c r="V79" i="27"/>
  <c r="P79" i="27"/>
  <c r="L79" i="27"/>
  <c r="AK78" i="27"/>
  <c r="AJ78" i="27"/>
  <c r="AI78" i="27"/>
  <c r="AG78" i="27"/>
  <c r="AA78" i="27"/>
  <c r="V78" i="27"/>
  <c r="P78" i="27"/>
  <c r="L78" i="27"/>
  <c r="AK77" i="27"/>
  <c r="AJ77" i="27"/>
  <c r="AI77" i="27"/>
  <c r="AG77" i="27"/>
  <c r="AA77" i="27"/>
  <c r="V77" i="27"/>
  <c r="P77" i="27"/>
  <c r="L77" i="27"/>
  <c r="AK76" i="27"/>
  <c r="AJ76" i="27"/>
  <c r="AI76" i="27"/>
  <c r="AG76" i="27"/>
  <c r="AA76" i="27"/>
  <c r="V76" i="27"/>
  <c r="P76" i="27"/>
  <c r="L76" i="27"/>
  <c r="AK75" i="27"/>
  <c r="AJ75" i="27"/>
  <c r="AI75" i="27"/>
  <c r="AG75" i="27"/>
  <c r="AA75" i="27"/>
  <c r="V75" i="27"/>
  <c r="P75" i="27"/>
  <c r="L75" i="27"/>
  <c r="AK74" i="27"/>
  <c r="AJ74" i="27"/>
  <c r="AI74" i="27"/>
  <c r="AG74" i="27"/>
  <c r="AA74" i="27"/>
  <c r="V74" i="27"/>
  <c r="P74" i="27"/>
  <c r="L74" i="27"/>
  <c r="AK73" i="27"/>
  <c r="AJ73" i="27"/>
  <c r="AI73" i="27"/>
  <c r="AG73" i="27"/>
  <c r="AA73" i="27"/>
  <c r="V73" i="27"/>
  <c r="P73" i="27"/>
  <c r="L73" i="27"/>
  <c r="AK72" i="27"/>
  <c r="AJ72" i="27"/>
  <c r="AI72" i="27"/>
  <c r="AG72" i="27"/>
  <c r="AA72" i="27"/>
  <c r="V72" i="27"/>
  <c r="P72" i="27"/>
  <c r="L72" i="27"/>
  <c r="AK71" i="27"/>
  <c r="AJ71" i="27"/>
  <c r="AI71" i="27"/>
  <c r="AG71" i="27"/>
  <c r="AA71" i="27"/>
  <c r="V71" i="27"/>
  <c r="P71" i="27"/>
  <c r="L71" i="27"/>
  <c r="AK70" i="27"/>
  <c r="AJ70" i="27"/>
  <c r="AI70" i="27"/>
  <c r="AG70" i="27"/>
  <c r="AA70" i="27"/>
  <c r="V70" i="27"/>
  <c r="P70" i="27"/>
  <c r="L70" i="27"/>
  <c r="AK69" i="27"/>
  <c r="AJ69" i="27"/>
  <c r="AI69" i="27"/>
  <c r="AG69" i="27"/>
  <c r="AA69" i="27"/>
  <c r="V69" i="27"/>
  <c r="P69" i="27"/>
  <c r="L69" i="27"/>
  <c r="AK68" i="27"/>
  <c r="AJ68" i="27"/>
  <c r="AI68" i="27"/>
  <c r="AG68" i="27"/>
  <c r="AA68" i="27"/>
  <c r="V68" i="27"/>
  <c r="P68" i="27"/>
  <c r="L68" i="27"/>
  <c r="AK67" i="27"/>
  <c r="AJ67" i="27"/>
  <c r="AI67" i="27"/>
  <c r="AG67" i="27"/>
  <c r="AA67" i="27"/>
  <c r="V67" i="27"/>
  <c r="P67" i="27"/>
  <c r="L67" i="27"/>
  <c r="AK66" i="27"/>
  <c r="AJ66" i="27"/>
  <c r="AI66" i="27"/>
  <c r="AG66" i="27"/>
  <c r="AA66" i="27"/>
  <c r="V66" i="27"/>
  <c r="P66" i="27"/>
  <c r="L66" i="27"/>
  <c r="AK65" i="27"/>
  <c r="AJ65" i="27"/>
  <c r="AI65" i="27"/>
  <c r="AG65" i="27"/>
  <c r="AA65" i="27"/>
  <c r="V65" i="27"/>
  <c r="P65" i="27"/>
  <c r="L65" i="27"/>
  <c r="AK64" i="27"/>
  <c r="AJ64" i="27"/>
  <c r="AI64" i="27"/>
  <c r="AG64" i="27"/>
  <c r="AA64" i="27"/>
  <c r="V64" i="27"/>
  <c r="P64" i="27"/>
  <c r="L64" i="27"/>
  <c r="AK63" i="27"/>
  <c r="AJ63" i="27"/>
  <c r="AI63" i="27"/>
  <c r="AG63" i="27"/>
  <c r="AA63" i="27"/>
  <c r="V63" i="27"/>
  <c r="P63" i="27"/>
  <c r="L63" i="27"/>
  <c r="AK62" i="27"/>
  <c r="AJ62" i="27"/>
  <c r="AI62" i="27"/>
  <c r="AG62" i="27"/>
  <c r="AA62" i="27"/>
  <c r="V62" i="27"/>
  <c r="P62" i="27"/>
  <c r="L62" i="27"/>
  <c r="AK61" i="27"/>
  <c r="AJ61" i="27"/>
  <c r="AI61" i="27"/>
  <c r="AG61" i="27"/>
  <c r="AA61" i="27"/>
  <c r="V61" i="27"/>
  <c r="P61" i="27"/>
  <c r="L61" i="27"/>
  <c r="AK60" i="27"/>
  <c r="AJ60" i="27"/>
  <c r="AI60" i="27"/>
  <c r="AG60" i="27"/>
  <c r="AA60" i="27"/>
  <c r="V60" i="27"/>
  <c r="P60" i="27"/>
  <c r="L60" i="27"/>
  <c r="AK59" i="27"/>
  <c r="AJ59" i="27"/>
  <c r="AI59" i="27"/>
  <c r="AG59" i="27"/>
  <c r="AA59" i="27"/>
  <c r="V59" i="27"/>
  <c r="P59" i="27"/>
  <c r="L59" i="27"/>
  <c r="AK58" i="27"/>
  <c r="AJ58" i="27"/>
  <c r="AI58" i="27"/>
  <c r="AG58" i="27"/>
  <c r="AA58" i="27"/>
  <c r="V58" i="27"/>
  <c r="P58" i="27"/>
  <c r="L58" i="27"/>
  <c r="AK57" i="27"/>
  <c r="AJ57" i="27"/>
  <c r="AI57" i="27"/>
  <c r="AG57" i="27"/>
  <c r="AA57" i="27"/>
  <c r="V57" i="27"/>
  <c r="P57" i="27"/>
  <c r="L57" i="27"/>
  <c r="AK56" i="27"/>
  <c r="AJ56" i="27"/>
  <c r="AI56" i="27"/>
  <c r="AG56" i="27"/>
  <c r="AA56" i="27"/>
  <c r="V56" i="27"/>
  <c r="P56" i="27"/>
  <c r="L56" i="27"/>
  <c r="AK55" i="27"/>
  <c r="AJ55" i="27"/>
  <c r="AI55" i="27"/>
  <c r="AG55" i="27"/>
  <c r="AA55" i="27"/>
  <c r="V55" i="27"/>
  <c r="P55" i="27"/>
  <c r="L55" i="27"/>
  <c r="AK54" i="27"/>
  <c r="AJ54" i="27"/>
  <c r="AI54" i="27"/>
  <c r="AG54" i="27"/>
  <c r="AA54" i="27"/>
  <c r="V54" i="27"/>
  <c r="P54" i="27"/>
  <c r="L54" i="27"/>
  <c r="AK53" i="27"/>
  <c r="AJ53" i="27"/>
  <c r="AI53" i="27"/>
  <c r="AG53" i="27"/>
  <c r="AA53" i="27"/>
  <c r="V53" i="27"/>
  <c r="P53" i="27"/>
  <c r="L53" i="27"/>
  <c r="AK52" i="27"/>
  <c r="AJ52" i="27"/>
  <c r="AI52" i="27"/>
  <c r="AG52" i="27"/>
  <c r="AA52" i="27"/>
  <c r="V52" i="27"/>
  <c r="P52" i="27"/>
  <c r="L52" i="27"/>
  <c r="AK51" i="27"/>
  <c r="AJ51" i="27"/>
  <c r="AI51" i="27"/>
  <c r="AG51" i="27"/>
  <c r="AA51" i="27"/>
  <c r="V51" i="27"/>
  <c r="P51" i="27"/>
  <c r="L51" i="27"/>
  <c r="AK50" i="27"/>
  <c r="AJ50" i="27"/>
  <c r="AI50" i="27"/>
  <c r="AG50" i="27"/>
  <c r="AA50" i="27"/>
  <c r="V50" i="27"/>
  <c r="P50" i="27"/>
  <c r="L50" i="27"/>
  <c r="AK49" i="27"/>
  <c r="AJ49" i="27"/>
  <c r="AI49" i="27"/>
  <c r="AG49" i="27"/>
  <c r="AA49" i="27"/>
  <c r="V49" i="27"/>
  <c r="P49" i="27"/>
  <c r="L49" i="27"/>
  <c r="AK48" i="27"/>
  <c r="AJ48" i="27"/>
  <c r="AI48" i="27"/>
  <c r="AG48" i="27"/>
  <c r="AA48" i="27"/>
  <c r="V48" i="27"/>
  <c r="P48" i="27"/>
  <c r="L48" i="27"/>
  <c r="AK47" i="27"/>
  <c r="AJ47" i="27"/>
  <c r="AI47" i="27"/>
  <c r="AG47" i="27"/>
  <c r="AA47" i="27"/>
  <c r="V47" i="27"/>
  <c r="P47" i="27"/>
  <c r="L47" i="27"/>
  <c r="AK46" i="27"/>
  <c r="AJ46" i="27"/>
  <c r="AI46" i="27"/>
  <c r="AG46" i="27"/>
  <c r="AA46" i="27"/>
  <c r="V46" i="27"/>
  <c r="P46" i="27"/>
  <c r="L46" i="27"/>
  <c r="AK45" i="27"/>
  <c r="AJ45" i="27"/>
  <c r="AI45" i="27"/>
  <c r="AG45" i="27"/>
  <c r="AA45" i="27"/>
  <c r="V45" i="27"/>
  <c r="P45" i="27"/>
  <c r="L45" i="27"/>
  <c r="AK44" i="27"/>
  <c r="AJ44" i="27"/>
  <c r="AI44" i="27"/>
  <c r="AG44" i="27"/>
  <c r="AA44" i="27"/>
  <c r="V44" i="27"/>
  <c r="P44" i="27"/>
  <c r="L44" i="27"/>
  <c r="AK43" i="27"/>
  <c r="AJ43" i="27"/>
  <c r="AI43" i="27"/>
  <c r="AG43" i="27"/>
  <c r="AA43" i="27"/>
  <c r="V43" i="27"/>
  <c r="P43" i="27"/>
  <c r="L43" i="27"/>
  <c r="AK42" i="27"/>
  <c r="AJ42" i="27"/>
  <c r="AI42" i="27"/>
  <c r="AG42" i="27"/>
  <c r="AA42" i="27"/>
  <c r="V42" i="27"/>
  <c r="P42" i="27"/>
  <c r="L42" i="27"/>
  <c r="AK41" i="27"/>
  <c r="AJ41" i="27"/>
  <c r="AI41" i="27"/>
  <c r="AG41" i="27"/>
  <c r="AA41" i="27"/>
  <c r="V41" i="27"/>
  <c r="P41" i="27"/>
  <c r="L41" i="27"/>
  <c r="AK40" i="27"/>
  <c r="AJ40" i="27"/>
  <c r="AI40" i="27"/>
  <c r="AG40" i="27"/>
  <c r="AA40" i="27"/>
  <c r="V40" i="27"/>
  <c r="P40" i="27"/>
  <c r="L40" i="27"/>
  <c r="AK39" i="27"/>
  <c r="AJ39" i="27"/>
  <c r="AI39" i="27"/>
  <c r="AG39" i="27"/>
  <c r="AA39" i="27"/>
  <c r="V39" i="27"/>
  <c r="P39" i="27"/>
  <c r="L39" i="27"/>
  <c r="AK38" i="27"/>
  <c r="AJ38" i="27"/>
  <c r="AI38" i="27"/>
  <c r="AG38" i="27"/>
  <c r="AA38" i="27"/>
  <c r="V38" i="27"/>
  <c r="P38" i="27"/>
  <c r="L38" i="27"/>
  <c r="AK37" i="27"/>
  <c r="AJ37" i="27"/>
  <c r="AI37" i="27"/>
  <c r="AG37" i="27"/>
  <c r="AA37" i="27"/>
  <c r="V37" i="27"/>
  <c r="P37" i="27"/>
  <c r="L37" i="27"/>
  <c r="AK36" i="27"/>
  <c r="AJ36" i="27"/>
  <c r="AI36" i="27"/>
  <c r="AG36" i="27"/>
  <c r="AA36" i="27"/>
  <c r="V36" i="27"/>
  <c r="P36" i="27"/>
  <c r="L36" i="27"/>
  <c r="AK35" i="27"/>
  <c r="AJ35" i="27"/>
  <c r="AI35" i="27"/>
  <c r="AG35" i="27"/>
  <c r="AA35" i="27"/>
  <c r="V35" i="27"/>
  <c r="P35" i="27"/>
  <c r="L35" i="27"/>
  <c r="AK34" i="27"/>
  <c r="AJ34" i="27"/>
  <c r="AI34" i="27"/>
  <c r="AG34" i="27"/>
  <c r="AA34" i="27"/>
  <c r="V34" i="27"/>
  <c r="P34" i="27"/>
  <c r="L34" i="27"/>
  <c r="AK33" i="27"/>
  <c r="AJ33" i="27"/>
  <c r="AI33" i="27"/>
  <c r="AG33" i="27"/>
  <c r="AA33" i="27"/>
  <c r="V33" i="27"/>
  <c r="P33" i="27"/>
  <c r="L33" i="27"/>
  <c r="AK32" i="27"/>
  <c r="AJ32" i="27"/>
  <c r="AI32" i="27"/>
  <c r="AG32" i="27"/>
  <c r="AA32" i="27"/>
  <c r="V32" i="27"/>
  <c r="P32" i="27"/>
  <c r="L32" i="27"/>
  <c r="AK31" i="27"/>
  <c r="AJ31" i="27"/>
  <c r="AI31" i="27"/>
  <c r="AG31" i="27"/>
  <c r="AA31" i="27"/>
  <c r="V31" i="27"/>
  <c r="P31" i="27"/>
  <c r="L31" i="27"/>
  <c r="AK30" i="27"/>
  <c r="AJ30" i="27"/>
  <c r="AI30" i="27"/>
  <c r="AG30" i="27"/>
  <c r="AA30" i="27"/>
  <c r="V30" i="27"/>
  <c r="P30" i="27"/>
  <c r="L30" i="27"/>
  <c r="AK29" i="27"/>
  <c r="AJ29" i="27"/>
  <c r="AI29" i="27"/>
  <c r="AG29" i="27"/>
  <c r="AA29" i="27"/>
  <c r="V29" i="27"/>
  <c r="P29" i="27"/>
  <c r="L29" i="27"/>
  <c r="AK28" i="27"/>
  <c r="AJ28" i="27"/>
  <c r="AI28" i="27"/>
  <c r="AG28" i="27"/>
  <c r="AA28" i="27"/>
  <c r="V28" i="27"/>
  <c r="P28" i="27"/>
  <c r="L28" i="27"/>
  <c r="AK27" i="27"/>
  <c r="AJ27" i="27"/>
  <c r="AI27" i="27"/>
  <c r="AG27" i="27"/>
  <c r="AA27" i="27"/>
  <c r="V27" i="27"/>
  <c r="P27" i="27"/>
  <c r="L27" i="27"/>
  <c r="AK26" i="27"/>
  <c r="AJ26" i="27"/>
  <c r="AI26" i="27"/>
  <c r="AG26" i="27"/>
  <c r="AA26" i="27"/>
  <c r="V26" i="27"/>
  <c r="P26" i="27"/>
  <c r="L26" i="27"/>
  <c r="AK25" i="27"/>
  <c r="AJ25" i="27"/>
  <c r="AI25" i="27"/>
  <c r="AG25" i="27"/>
  <c r="AA25" i="27"/>
  <c r="V25" i="27"/>
  <c r="P25" i="27"/>
  <c r="L25" i="27"/>
  <c r="AK24" i="27"/>
  <c r="AJ24" i="27"/>
  <c r="AI24" i="27"/>
  <c r="AG24" i="27"/>
  <c r="AA24" i="27"/>
  <c r="V24" i="27"/>
  <c r="P24" i="27"/>
  <c r="L24" i="27"/>
  <c r="AK23" i="27"/>
  <c r="AJ23" i="27"/>
  <c r="AI23" i="27"/>
  <c r="AG23" i="27"/>
  <c r="AA23" i="27"/>
  <c r="V23" i="27"/>
  <c r="P23" i="27"/>
  <c r="L23" i="27"/>
  <c r="AK22" i="27"/>
  <c r="AJ22" i="27"/>
  <c r="AI22" i="27"/>
  <c r="AG22" i="27"/>
  <c r="AA22" i="27"/>
  <c r="V22" i="27"/>
  <c r="P22" i="27"/>
  <c r="L22" i="27"/>
  <c r="AK21" i="27"/>
  <c r="AJ21" i="27"/>
  <c r="AI21" i="27"/>
  <c r="AG21" i="27"/>
  <c r="AA21" i="27"/>
  <c r="V21" i="27"/>
  <c r="P21" i="27"/>
  <c r="L21" i="27"/>
  <c r="AK20" i="27"/>
  <c r="AJ20" i="27"/>
  <c r="AI20" i="27"/>
  <c r="AG20" i="27"/>
  <c r="AA20" i="27"/>
  <c r="V20" i="27"/>
  <c r="P20" i="27"/>
  <c r="L20" i="27"/>
  <c r="AK19" i="27"/>
  <c r="AJ19" i="27"/>
  <c r="AI19" i="27"/>
  <c r="AG19" i="27"/>
  <c r="AA19" i="27"/>
  <c r="V19" i="27"/>
  <c r="P19" i="27"/>
  <c r="L19" i="27"/>
  <c r="AK18" i="27"/>
  <c r="AJ18" i="27"/>
  <c r="AI18" i="27"/>
  <c r="AG18" i="27"/>
  <c r="AA18" i="27"/>
  <c r="V18" i="27"/>
  <c r="P18" i="27"/>
  <c r="L18" i="27"/>
  <c r="AK17" i="27"/>
  <c r="AJ17" i="27"/>
  <c r="AI17" i="27"/>
  <c r="AG17" i="27"/>
  <c r="AA17" i="27"/>
  <c r="V17" i="27"/>
  <c r="P17" i="27"/>
  <c r="L17" i="27"/>
  <c r="AK16" i="27"/>
  <c r="AJ16" i="27"/>
  <c r="AI16" i="27"/>
  <c r="AG16" i="27"/>
  <c r="AA16" i="27"/>
  <c r="V16" i="27"/>
  <c r="P16" i="27"/>
  <c r="L16" i="27"/>
  <c r="AK15" i="27"/>
  <c r="AJ15" i="27"/>
  <c r="AI15" i="27"/>
  <c r="AG15" i="27"/>
  <c r="AA15" i="27"/>
  <c r="V15" i="27"/>
  <c r="P15" i="27"/>
  <c r="L15" i="27"/>
  <c r="AK14" i="27"/>
  <c r="AJ14" i="27"/>
  <c r="AI14" i="27"/>
  <c r="AG14" i="27"/>
  <c r="AA14" i="27"/>
  <c r="V14" i="27"/>
  <c r="P14" i="27"/>
  <c r="L14" i="27"/>
  <c r="AK13" i="27"/>
  <c r="AJ13" i="27"/>
  <c r="AI13" i="27"/>
  <c r="AG13" i="27"/>
  <c r="AA13" i="27"/>
  <c r="V13" i="27"/>
  <c r="P13" i="27"/>
  <c r="L13" i="27"/>
  <c r="AK12" i="27"/>
  <c r="AJ12" i="27"/>
  <c r="AI12" i="27"/>
  <c r="AG12" i="27"/>
  <c r="AA12" i="27"/>
  <c r="V12" i="27"/>
  <c r="P12" i="27"/>
  <c r="L12" i="27"/>
  <c r="AK11" i="27"/>
  <c r="AJ11" i="27"/>
  <c r="AI11" i="27"/>
  <c r="AG11" i="27"/>
  <c r="AA11" i="27"/>
  <c r="V11" i="27"/>
  <c r="P11" i="27"/>
  <c r="L11" i="27"/>
  <c r="AK10" i="27"/>
  <c r="AJ10" i="27"/>
  <c r="AI10" i="27"/>
  <c r="AG10" i="27"/>
  <c r="AA10" i="27"/>
  <c r="V10" i="27"/>
  <c r="P10" i="27"/>
  <c r="L10" i="27"/>
  <c r="AK9" i="27"/>
  <c r="AJ9" i="27"/>
  <c r="AI9" i="27"/>
  <c r="AG9" i="27"/>
  <c r="AA9" i="27"/>
  <c r="V9" i="27"/>
  <c r="P9" i="27"/>
  <c r="L9" i="27"/>
  <c r="AK8" i="27"/>
  <c r="AJ8" i="27"/>
  <c r="AI8" i="27"/>
  <c r="AG8" i="27"/>
  <c r="AA8" i="27"/>
  <c r="V8" i="27"/>
  <c r="P8" i="27"/>
  <c r="L8" i="27"/>
  <c r="AK7" i="27"/>
  <c r="AJ7" i="27"/>
  <c r="AI7" i="27"/>
  <c r="AG7" i="27"/>
  <c r="AA7" i="27"/>
  <c r="V7" i="27"/>
  <c r="P7" i="27"/>
  <c r="L7" i="27"/>
  <c r="AK6" i="27"/>
  <c r="AJ6" i="27"/>
  <c r="AI6" i="27"/>
  <c r="AG6" i="27"/>
  <c r="AA6" i="27"/>
  <c r="V6" i="27"/>
  <c r="P6" i="27"/>
  <c r="L6" i="27"/>
</calcChain>
</file>

<file path=xl/sharedStrings.xml><?xml version="1.0" encoding="utf-8"?>
<sst xmlns="http://schemas.openxmlformats.org/spreadsheetml/2006/main" count="1930" uniqueCount="657">
  <si>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</si>
  <si>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</si>
  <si>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</si>
  <si>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</si>
  <si>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</si>
  <si>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</si>
  <si>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</si>
  <si>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</si>
  <si>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</si>
  <si>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</si>
  <si>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</si>
  <si>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</si>
  <si>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</si>
  <si>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</si>
  <si>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</si>
  <si>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</si>
  <si>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</si>
  <si>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</si>
  <si>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</si>
  <si>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</si>
  <si>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</si>
  <si>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</si>
  <si>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</si>
  <si>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</si>
  <si>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</si>
  <si>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</si>
  <si>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</si>
  <si>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</si>
  <si>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</si>
  <si>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</si>
  <si>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</si>
  <si>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</si>
  <si>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</si>
  <si>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</si>
  <si>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</si>
  <si>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</si>
  <si>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</si>
  <si>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</si>
  <si>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</si>
  <si>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</si>
  <si>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</si>
  <si>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</si>
  <si>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</si>
  <si>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</si>
  <si>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</si>
  <si>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</si>
  <si>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</si>
  <si>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</si>
  <si>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</si>
  <si>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</si>
  <si>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</si>
  <si>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</si>
  <si>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</si>
  <si>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</si>
  <si>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</si>
  <si>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</si>
  <si>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</si>
  <si>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</si>
  <si>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</si>
  <si>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</si>
  <si>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</si>
  <si>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</si>
  <si>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</si>
  <si>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</si>
  <si>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</si>
  <si>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</si>
  <si>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</si>
  <si>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</si>
  <si>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</si>
  <si>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</si>
  <si>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</si>
  <si>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</si>
  <si>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</si>
  <si>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</si>
  <si>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</si>
  <si>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</si>
  <si>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</si>
  <si>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</si>
  <si>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</si>
  <si>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</si>
  <si>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</si>
  <si>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</si>
  <si>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</si>
  <si>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</si>
  <si>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</si>
  <si>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</si>
  <si>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</si>
  <si>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</si>
  <si>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</si>
  <si>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</si>
  <si>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</si>
  <si>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</si>
  <si>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</si>
  <si>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</si>
  <si>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</si>
  <si>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</si>
  <si>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</si>
  <si>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</si>
  <si>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</si>
  <si>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</si>
  <si>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</si>
  <si>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</si>
  <si>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</si>
  <si>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</si>
  <si>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</si>
  <si>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</si>
  <si>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</si>
  <si>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</si>
  <si>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</si>
  <si>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</si>
  <si>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</si>
  <si>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</si>
  <si>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</si>
  <si>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</si>
  <si>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</si>
  <si>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</si>
  <si>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</si>
  <si>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</si>
  <si>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</si>
  <si>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</si>
  <si>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</si>
  <si>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</si>
  <si>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</si>
  <si>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</si>
  <si>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</si>
  <si>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</si>
  <si>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</si>
  <si>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</si>
  <si>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</si>
  <si>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</si>
  <si>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</si>
  <si>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</si>
  <si>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</si>
  <si>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</si>
  <si>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</si>
  <si>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</si>
  <si>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</si>
  <si>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</si>
  <si>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</si>
  <si>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</si>
  <si>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</si>
  <si>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</si>
  <si>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</si>
  <si>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</si>
  <si>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</si>
  <si>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</si>
  <si>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</si>
  <si>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</si>
  <si>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</si>
  <si>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</si>
  <si>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</si>
  <si>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</si>
  <si>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</si>
  <si>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</si>
  <si>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</si>
  <si>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</si>
  <si>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</si>
  <si>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</si>
  <si>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</si>
  <si>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</si>
  <si>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</si>
  <si>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</si>
  <si>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</si>
  <si>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</si>
  <si>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</si>
  <si>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</si>
  <si>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</si>
  <si>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</si>
  <si>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</si>
  <si>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</si>
  <si>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</si>
  <si>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</si>
  <si>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</si>
  <si>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</si>
  <si>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</si>
  <si>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</si>
  <si>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</si>
  <si>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</si>
  <si>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</si>
  <si>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</si>
  <si>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</si>
  <si>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</si>
  <si>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</si>
  <si>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</si>
  <si>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</si>
  <si>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</si>
  <si>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</si>
  <si>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</si>
  <si>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</si>
  <si>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</si>
  <si>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</si>
  <si>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</si>
  <si>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</si>
  <si>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</si>
  <si>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</si>
  <si>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</si>
  <si>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</si>
  <si>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</si>
  <si>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</si>
  <si>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</si>
  <si>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</si>
  <si>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</si>
  <si>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</si>
  <si>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</si>
  <si>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</si>
  <si>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</si>
  <si>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</si>
  <si>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</si>
  <si>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</si>
  <si>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</si>
  <si>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</si>
  <si>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</si>
  <si>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</si>
  <si>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</si>
  <si>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</si>
  <si>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</si>
  <si>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</si>
  <si>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</si>
  <si>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</si>
  <si>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</si>
  <si>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</si>
  <si>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</si>
  <si>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</si>
  <si>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</si>
  <si>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</si>
  <si>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</si>
  <si>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</si>
  <si>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</si>
  <si>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</si>
  <si>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</si>
  <si>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</si>
  <si>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</si>
  <si>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</si>
  <si>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</si>
  <si>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</si>
  <si>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</si>
  <si>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</si>
  <si>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</si>
  <si>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</si>
  <si>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</si>
  <si>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</si>
  <si>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</si>
  <si>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</si>
  <si>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</si>
  <si>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</si>
  <si>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</si>
  <si>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</si>
  <si>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</si>
  <si>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</si>
  <si>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</si>
  <si>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</si>
  <si>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</si>
  <si>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</si>
  <si>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</si>
  <si>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</si>
  <si>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</si>
  <si>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</si>
  <si>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</si>
  <si>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</si>
  <si>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</si>
  <si>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</si>
  <si>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</si>
  <si>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</si>
  <si>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</si>
  <si>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</si>
  <si>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</si>
  <si>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</si>
  <si>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</si>
  <si>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</si>
  <si>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</si>
  <si>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</si>
  <si>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</si>
  <si>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</si>
  <si>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</si>
  <si>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</si>
  <si>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</si>
  <si>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</si>
  <si>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</si>
  <si>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</si>
  <si>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</si>
  <si>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</si>
  <si>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</si>
  <si>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</si>
  <si>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</si>
  <si>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</si>
  <si>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</si>
  <si>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</si>
  <si>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</si>
  <si>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</si>
  <si>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</si>
  <si>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</si>
  <si>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</si>
  <si>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</si>
  <si>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</si>
  <si>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</si>
  <si>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</si>
  <si>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</si>
  <si>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</si>
  <si>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</si>
  <si>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</si>
  <si>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</si>
  <si>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</si>
  <si>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</si>
  <si>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</si>
  <si>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</si>
  <si>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</si>
  <si>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</si>
  <si>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</si>
  <si>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</si>
  <si>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</si>
  <si>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</si>
  <si>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</si>
  <si>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</si>
  <si>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</si>
  <si>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</si>
  <si>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</si>
  <si>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</si>
  <si>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</si>
  <si>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</si>
  <si>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</si>
  <si>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</si>
  <si>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</si>
  <si>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</si>
  <si>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</si>
  <si>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</si>
  <si>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</si>
  <si>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</si>
  <si>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</si>
  <si>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</si>
  <si>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</si>
  <si>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</si>
  <si>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</si>
  <si>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</si>
  <si>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</si>
  <si>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</si>
  <si>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</si>
  <si>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</si>
  <si>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</si>
  <si>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</si>
  <si>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</si>
  <si>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</si>
  <si>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</si>
  <si>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</si>
  <si>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</si>
  <si>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</si>
  <si>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</si>
  <si>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</si>
  <si>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</si>
  <si>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</si>
  <si>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</si>
  <si>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</si>
  <si>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</si>
  <si>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</si>
  <si>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</si>
  <si>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</si>
  <si>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</si>
  <si>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</si>
  <si>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</si>
  <si>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</si>
  <si>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</si>
  <si>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</si>
  <si>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</si>
  <si>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</si>
  <si>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</si>
  <si>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</si>
  <si>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</si>
  <si>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</si>
  <si>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</si>
  <si>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</si>
  <si>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</si>
  <si>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</si>
  <si>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</si>
  <si>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</si>
  <si>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</si>
  <si>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</si>
  <si>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</si>
  <si>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</si>
  <si>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</si>
  <si>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</si>
  <si>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</si>
  <si>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</si>
  <si>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</si>
  <si>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</si>
  <si>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</si>
  <si>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</si>
  <si>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</si>
  <si>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</si>
  <si>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</si>
  <si>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</si>
  <si>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</si>
  <si>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</si>
  <si>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</si>
  <si>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</si>
  <si>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</si>
  <si>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</si>
  <si>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</si>
  <si>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</si>
  <si>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</si>
  <si>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</si>
  <si>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</si>
  <si>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</si>
  <si>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</si>
  <si>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</si>
  <si>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</si>
  <si>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</si>
  <si>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</si>
  <si>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</si>
  <si>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</si>
  <si>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</si>
  <si>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</si>
  <si>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</si>
  <si>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</si>
  <si>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</si>
  <si>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</si>
  <si>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</si>
  <si>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</si>
  <si>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</si>
  <si>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</si>
  <si>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</si>
  <si>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</si>
  <si>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</si>
  <si>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</si>
  <si>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</si>
  <si>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</si>
  <si>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</si>
  <si>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</si>
  <si>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</si>
  <si>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</si>
  <si>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</si>
  <si>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</si>
  <si>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</si>
  <si>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</si>
  <si>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</si>
  <si>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</si>
  <si>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</si>
  <si>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</si>
  <si>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</si>
  <si>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</si>
  <si>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</si>
  <si>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</si>
  <si>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</si>
  <si>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</si>
  <si>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</si>
  <si>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</si>
  <si>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</si>
  <si>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</si>
  <si>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</si>
  <si>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</si>
  <si>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</si>
  <si>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</si>
  <si>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</si>
  <si>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</si>
  <si>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</si>
  <si>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</si>
  <si>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</si>
  <si>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</si>
  <si>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</si>
  <si>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</si>
  <si>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</si>
  <si>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</si>
  <si>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</si>
  <si>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</si>
  <si>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</si>
  <si>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</si>
  <si>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</si>
  <si>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</si>
  <si>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</si>
  <si>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</si>
  <si>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</si>
  <si>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</si>
  <si>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</si>
  <si>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</si>
  <si>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</si>
  <si>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</si>
  <si>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</si>
  <si>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</si>
  <si>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</si>
  <si>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</si>
  <si>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</si>
  <si>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</si>
  <si>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</si>
  <si>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</si>
  <si>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</si>
  <si>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</si>
  <si>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</si>
  <si>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</si>
  <si>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</si>
  <si>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</si>
  <si>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</si>
  <si>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</si>
  <si>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</si>
  <si>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</si>
  <si>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</si>
  <si>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</si>
  <si>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</si>
  <si>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</si>
  <si>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</si>
  <si>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</si>
  <si>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</si>
  <si>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</si>
  <si>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</si>
  <si>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</si>
  <si>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</si>
  <si>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</si>
  <si>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</si>
  <si>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</si>
  <si>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</si>
  <si>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</si>
  <si>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</si>
  <si>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</si>
  <si>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</si>
  <si>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</si>
  <si>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</si>
  <si>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</si>
  <si>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</si>
  <si>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</si>
  <si>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</si>
  <si>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</si>
  <si>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</si>
  <si>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</si>
  <si>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</si>
  <si>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</si>
  <si>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</si>
  <si>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</si>
  <si>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</si>
  <si>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</si>
  <si>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</si>
  <si>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</si>
  <si>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</si>
  <si>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</si>
  <si>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</si>
  <si>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</si>
  <si>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</si>
  <si>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</si>
  <si>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</si>
  <si>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</si>
  <si>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</si>
  <si>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</si>
  <si>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</si>
  <si>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</si>
  <si>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</si>
  <si>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</si>
  <si>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</si>
  <si>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</si>
  <si>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</si>
  <si>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</si>
  <si>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</si>
  <si>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</si>
  <si>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</si>
  <si>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</si>
  <si>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</si>
  <si>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</si>
  <si>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</si>
  <si>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</si>
  <si>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</si>
  <si>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</si>
  <si>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</si>
  <si>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</si>
  <si>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</si>
  <si>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</si>
  <si>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</si>
  <si>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</si>
  <si>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</si>
  <si>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</si>
  <si>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</si>
  <si>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</si>
  <si>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</si>
  <si>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</si>
  <si>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</si>
  <si>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</si>
  <si>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</si>
  <si>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</si>
  <si>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</si>
  <si>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</si>
  <si>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</si>
  <si>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</si>
  <si>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</si>
  <si>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</si>
  <si>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</si>
  <si>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</si>
  <si>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</si>
  <si>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</si>
  <si>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</si>
  <si>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</si>
  <si>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</si>
  <si>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</si>
  <si>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</si>
  <si>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</si>
  <si>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</si>
  <si>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</si>
  <si>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</si>
  <si>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</si>
  <si>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</si>
  <si>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</si>
  <si>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</si>
  <si>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</si>
  <si>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</si>
  <si>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</si>
  <si>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</si>
  <si>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</si>
  <si>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</si>
  <si>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</si>
  <si>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</si>
  <si>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</si>
  <si>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</si>
  <si>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</si>
  <si>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</si>
  <si>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</si>
  <si>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</si>
  <si>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</si>
  <si>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</si>
  <si>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</si>
  <si>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</si>
  <si>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</si>
  <si>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</si>
  <si>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</si>
  <si>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</si>
  <si>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</si>
  <si>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</si>
  <si>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</si>
  <si>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</si>
  <si>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</si>
  <si>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</si>
  <si>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</si>
  <si>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R_cr_L</t>
  </si>
  <si>
    <t>Rb,L</t>
  </si>
  <si>
    <t>C:\Kokou\Kokou_Case_study_1_Steel_Column\Validations_results\Parametric_study_CS_690</t>
  </si>
  <si>
    <t>Name</t>
  </si>
  <si>
    <t>accep</t>
  </si>
  <si>
    <t>C:\Kokou\Kokou_Case_study_1_Steel_Column\Validations_results\Parametric_study_355_b</t>
  </si>
  <si>
    <r>
      <t>N</t>
    </r>
    <r>
      <rPr>
        <b/>
        <vertAlign val="subscript"/>
        <sz val="10"/>
        <color theme="1"/>
        <rFont val="Times New Roman"/>
        <family val="1"/>
      </rPr>
      <t>ini</t>
    </r>
    <r>
      <rPr>
        <b/>
        <sz val="10"/>
        <color theme="1"/>
        <rFont val="Times New Roman"/>
        <family val="1"/>
      </rPr>
      <t xml:space="preserve"> (KN)</t>
    </r>
  </si>
  <si>
    <t>Fy (N/mm²)</t>
  </si>
  <si>
    <t>Young's modulus  (N/mm²)</t>
  </si>
  <si>
    <t>C:\Kokou\Kokou_Case_study_1_Steel_Column\H_R_Validations_results\IPE_spring</t>
  </si>
  <si>
    <t>S_2_235_IPE_600_20_GMNIA_N__11</t>
  </si>
  <si>
    <t>S_2_235_IPE_600_20_GMNIA_N__1</t>
  </si>
  <si>
    <t>S_2_235_IPE_600_20_GMNIA_N__2</t>
  </si>
  <si>
    <t>S_2_235_IPE_600_20_GMNIA_N__3</t>
  </si>
  <si>
    <t>S_2_235_IPE_600_20_GMNIA_N__4</t>
  </si>
  <si>
    <t>S_2_235_IPE_600_20_GMNIA_N__5</t>
  </si>
  <si>
    <t>S_2_235_IPE_600_20_GMNIA_N__6</t>
  </si>
  <si>
    <t>S_2_235_IPE_600_20_GMNIA_N__7</t>
  </si>
  <si>
    <t>S_2_235_IPE_600_20_GMNIA_N__8</t>
  </si>
  <si>
    <t>S_2_235_IPE_600_20_GMNIA_N__9</t>
  </si>
  <si>
    <t>S_2_235_IPE_600_20_GMNIA_N__10</t>
  </si>
  <si>
    <t>IPE_600</t>
  </si>
  <si>
    <t>S_2_235_IPE_600_20_GMNIA_N__12</t>
  </si>
  <si>
    <t>S_2_235_IPE_600_20_GMNIA_N__13</t>
  </si>
  <si>
    <t>S_2_235_IPE_600_20_GMNIA_N__14</t>
  </si>
  <si>
    <t>S_2_235_IPE_600_20_GMNIA_N__15</t>
  </si>
  <si>
    <t>S_2_235_IPE_600_20_GMNIA_N__16</t>
  </si>
  <si>
    <t>S_2_235_IPE_600_20_GMNIA_N__17</t>
  </si>
  <si>
    <t>S_2_235_IPE_600_20_GMNIA_N__18</t>
  </si>
  <si>
    <t>S_2_235_IPE_600_20_GMNIA_N__19</t>
  </si>
  <si>
    <t>S_2_235_IPE_600_20_GMNIA_N__20</t>
  </si>
  <si>
    <t>S_2_235_IPE_600_20_GMNIA_N__21</t>
  </si>
  <si>
    <t>C:\Kokou\Kokou_Case_study_1_Steel_Column\H_R_Validations_results\IPE_spring\S_2_235_IPE_600_20_GMNIA_N__21.txt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</si>
</sst>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7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 vertical="center"/>
    </xf>
    <xf numFmtId="1" fontId="2" fillId="5" borderId="4" xfId="0" applyNumberFormat="1" applyFont="1" applyFill="1" applyBorder="1" applyAlignment="1">
      <alignment horizontal="center"/>
    </xf>
    <xf numFmtId="165" fontId="2" fillId="5" borderId="4" xfId="0" applyNumberFormat="1" applyFont="1" applyFill="1" applyBorder="1" applyAlignment="1">
      <alignment horizontal="center"/>
    </xf>
    <xf numFmtId="2" fontId="2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2" fontId="2" fillId="0" borderId="4" xfId="0" applyNumberFormat="1" applyFont="1" applyFill="1" applyBorder="1" applyAlignment="1">
      <alignment horizont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  <c:pt idx="96">
                  <c:v>0.99204633672278386</c:v>
                </c:pt>
                <c:pt idx="97">
                  <c:v>0.91978716587063902</c:v>
                </c:pt>
                <c:pt idx="98">
                  <c:v>0.82324649753127521</c:v>
                </c:pt>
                <c:pt idx="99">
                  <c:v>0.69270481454377986</c:v>
                </c:pt>
                <c:pt idx="100">
                  <c:v>0.49197889560561531</c:v>
                </c:pt>
                <c:pt idx="101">
                  <c:v>0.33129941584081257</c:v>
                </c:pt>
                <c:pt idx="102">
                  <c:v>0.23404951223655335</c:v>
                </c:pt>
                <c:pt idx="103">
                  <c:v>0.15108412540401975</c:v>
                </c:pt>
                <c:pt idx="104">
                  <c:v>0.98678828448709577</c:v>
                </c:pt>
                <c:pt idx="105">
                  <c:v>0.90539886050468188</c:v>
                </c:pt>
                <c:pt idx="106">
                  <c:v>0.80316241112951359</c:v>
                </c:pt>
                <c:pt idx="107">
                  <c:v>0.68204789382328534</c:v>
                </c:pt>
                <c:pt idx="108">
                  <c:v>0.48955910473828135</c:v>
                </c:pt>
                <c:pt idx="109">
                  <c:v>0.32920383638175538</c:v>
                </c:pt>
                <c:pt idx="110">
                  <c:v>0.231715836232738</c:v>
                </c:pt>
                <c:pt idx="111">
                  <c:v>0.14914011603607302</c:v>
                </c:pt>
                <c:pt idx="112">
                  <c:v>0.97381207820680871</c:v>
                </c:pt>
                <c:pt idx="113">
                  <c:v>0.89369332791305045</c:v>
                </c:pt>
                <c:pt idx="114">
                  <c:v>0.78945219233515396</c:v>
                </c:pt>
                <c:pt idx="115">
                  <c:v>0.67529402793418269</c:v>
                </c:pt>
                <c:pt idx="116">
                  <c:v>0.48735451813342912</c:v>
                </c:pt>
                <c:pt idx="117">
                  <c:v>0.32763780170106016</c:v>
                </c:pt>
                <c:pt idx="118">
                  <c:v>0.2300858306163486</c:v>
                </c:pt>
                <c:pt idx="119">
                  <c:v>0.14787525131466975</c:v>
                </c:pt>
                <c:pt idx="120">
                  <c:v>0.88552235033485527</c:v>
                </c:pt>
                <c:pt idx="121">
                  <c:v>0.83816189593102275</c:v>
                </c:pt>
                <c:pt idx="122">
                  <c:v>0.7555759240148221</c:v>
                </c:pt>
                <c:pt idx="123">
                  <c:v>0.66076658273599165</c:v>
                </c:pt>
                <c:pt idx="124">
                  <c:v>0.48290878104832713</c:v>
                </c:pt>
                <c:pt idx="125">
                  <c:v>0.32527283161211068</c:v>
                </c:pt>
                <c:pt idx="126">
                  <c:v>0.22769855622838367</c:v>
                </c:pt>
                <c:pt idx="127">
                  <c:v>0.14598590221555394</c:v>
                </c:pt>
                <c:pt idx="128">
                  <c:v>0.8526004811096346</c:v>
                </c:pt>
                <c:pt idx="129">
                  <c:v>0.78084573151064163</c:v>
                </c:pt>
                <c:pt idx="130">
                  <c:v>0.69538491287195825</c:v>
                </c:pt>
                <c:pt idx="131">
                  <c:v>0.62768683256238933</c:v>
                </c:pt>
                <c:pt idx="132">
                  <c:v>0.47574226147040766</c:v>
                </c:pt>
                <c:pt idx="133">
                  <c:v>0.32337327550861483</c:v>
                </c:pt>
                <c:pt idx="134">
                  <c:v>0.22590655899468468</c:v>
                </c:pt>
                <c:pt idx="135">
                  <c:v>0.14458440788181481</c:v>
                </c:pt>
                <c:pt idx="136">
                  <c:v>0.84254222633563602</c:v>
                </c:pt>
                <c:pt idx="137">
                  <c:v>0.75777908837688568</c:v>
                </c:pt>
                <c:pt idx="138">
                  <c:v>0.6597371550875194</c:v>
                </c:pt>
                <c:pt idx="139">
                  <c:v>0.59830180801793298</c:v>
                </c:pt>
                <c:pt idx="140">
                  <c:v>0.4629524329379649</c:v>
                </c:pt>
                <c:pt idx="141">
                  <c:v>0.32112503791764563</c:v>
                </c:pt>
                <c:pt idx="142">
                  <c:v>0.22445367916054396</c:v>
                </c:pt>
                <c:pt idx="143">
                  <c:v>0.14351370103057309</c:v>
                </c:pt>
                <c:pt idx="144">
                  <c:v>0.98863776676152715</c:v>
                </c:pt>
                <c:pt idx="145">
                  <c:v>0.86436205715155112</c:v>
                </c:pt>
                <c:pt idx="146">
                  <c:v>0.73845548892546398</c:v>
                </c:pt>
                <c:pt idx="147">
                  <c:v>0.65219389366661218</c:v>
                </c:pt>
                <c:pt idx="148">
                  <c:v>0.48031274589510142</c:v>
                </c:pt>
                <c:pt idx="149">
                  <c:v>0.32458001665656599</c:v>
                </c:pt>
                <c:pt idx="150">
                  <c:v>0.22608592687544291</c:v>
                </c:pt>
                <c:pt idx="151">
                  <c:v>0.14445042759714194</c:v>
                </c:pt>
                <c:pt idx="152">
                  <c:v>0.95975655529129633</c:v>
                </c:pt>
                <c:pt idx="153">
                  <c:v>0.85019739929735672</c:v>
                </c:pt>
                <c:pt idx="154">
                  <c:v>0.72851018062529138</c:v>
                </c:pt>
                <c:pt idx="155">
                  <c:v>0.6397228448206761</c:v>
                </c:pt>
                <c:pt idx="156">
                  <c:v>0.47313117060378251</c:v>
                </c:pt>
                <c:pt idx="157">
                  <c:v>0.32138351702031603</c:v>
                </c:pt>
                <c:pt idx="158">
                  <c:v>0.22407868818483392</c:v>
                </c:pt>
                <c:pt idx="159">
                  <c:v>0.14320789292318417</c:v>
                </c:pt>
                <c:pt idx="160">
                  <c:v>0.90976629686479527</c:v>
                </c:pt>
                <c:pt idx="161">
                  <c:v>0.82414415937067409</c:v>
                </c:pt>
                <c:pt idx="162">
                  <c:v>0.7175721248737571</c:v>
                </c:pt>
                <c:pt idx="163">
                  <c:v>0.62867260695780613</c:v>
                </c:pt>
                <c:pt idx="164">
                  <c:v>0.46739817002306661</c:v>
                </c:pt>
                <c:pt idx="165">
                  <c:v>0.31926489798229868</c:v>
                </c:pt>
                <c:pt idx="166">
                  <c:v>0.22289093649943881</c:v>
                </c:pt>
                <c:pt idx="167">
                  <c:v>0.14250960584628727</c:v>
                </c:pt>
                <c:pt idx="168">
                  <c:v>0.77594938448660944</c:v>
                </c:pt>
                <c:pt idx="169">
                  <c:v>0.72596727132918815</c:v>
                </c:pt>
                <c:pt idx="170">
                  <c:v>0.66086386119846385</c:v>
                </c:pt>
                <c:pt idx="171">
                  <c:v>0.5868153346435282</c:v>
                </c:pt>
                <c:pt idx="172">
                  <c:v>0.44725594227117693</c:v>
                </c:pt>
                <c:pt idx="173">
                  <c:v>0.31240354570851969</c:v>
                </c:pt>
                <c:pt idx="174">
                  <c:v>0.2195595692214031</c:v>
                </c:pt>
                <c:pt idx="175">
                  <c:v>0.14068000772650124</c:v>
                </c:pt>
                <c:pt idx="176">
                  <c:v>0.64012924799119097</c:v>
                </c:pt>
                <c:pt idx="177">
                  <c:v>0.58704305741581353</c:v>
                </c:pt>
                <c:pt idx="178">
                  <c:v>0.51658621284952344</c:v>
                </c:pt>
                <c:pt idx="179">
                  <c:v>0.45924471279968981</c:v>
                </c:pt>
                <c:pt idx="180">
                  <c:v>0.36931586521031101</c:v>
                </c:pt>
                <c:pt idx="181">
                  <c:v>0.27609102810626718</c:v>
                </c:pt>
                <c:pt idx="182">
                  <c:v>0.20357250905384758</c:v>
                </c:pt>
                <c:pt idx="183">
                  <c:v>0.13323622499439741</c:v>
                </c:pt>
                <c:pt idx="184">
                  <c:v>0.55827783451373203</c:v>
                </c:pt>
                <c:pt idx="185">
                  <c:v>0.51408639686053481</c:v>
                </c:pt>
                <c:pt idx="186">
                  <c:v>0.43092763660477462</c:v>
                </c:pt>
                <c:pt idx="187">
                  <c:v>0.35958246514949044</c:v>
                </c:pt>
                <c:pt idx="188">
                  <c:v>0.27766836041023263</c:v>
                </c:pt>
                <c:pt idx="189">
                  <c:v>0.21004550363729052</c:v>
                </c:pt>
                <c:pt idx="190">
                  <c:v>0.16055226270390693</c:v>
                </c:pt>
                <c:pt idx="191">
                  <c:v>0.1104096889307592</c:v>
                </c:pt>
                <c:pt idx="192">
                  <c:v>0.98558693456396751</c:v>
                </c:pt>
                <c:pt idx="193">
                  <c:v>0.91070006981212637</c:v>
                </c:pt>
                <c:pt idx="194">
                  <c:v>0.80944783012296773</c:v>
                </c:pt>
                <c:pt idx="195">
                  <c:v>0.67878203405004889</c:v>
                </c:pt>
                <c:pt idx="196">
                  <c:v>0.48373146824477181</c:v>
                </c:pt>
                <c:pt idx="197">
                  <c:v>0.32695408278431892</c:v>
                </c:pt>
                <c:pt idx="198">
                  <c:v>0.23151684999002192</c:v>
                </c:pt>
                <c:pt idx="199">
                  <c:v>0.14970290892677518</c:v>
                </c:pt>
                <c:pt idx="200">
                  <c:v>0.97841137723530747</c:v>
                </c:pt>
                <c:pt idx="201">
                  <c:v>0.89463025222954107</c:v>
                </c:pt>
                <c:pt idx="202">
                  <c:v>0.78771637044414944</c:v>
                </c:pt>
                <c:pt idx="203">
                  <c:v>0.66678458886513503</c:v>
                </c:pt>
                <c:pt idx="204">
                  <c:v>0.48022026079850733</c:v>
                </c:pt>
                <c:pt idx="205">
                  <c:v>0.32410247461937425</c:v>
                </c:pt>
                <c:pt idx="206">
                  <c:v>0.22858138251648999</c:v>
                </c:pt>
                <c:pt idx="207">
                  <c:v>0.14735636156809767</c:v>
                </c:pt>
                <c:pt idx="208">
                  <c:v>0.96118027698349062</c:v>
                </c:pt>
                <c:pt idx="209">
                  <c:v>0.88054507638677126</c:v>
                </c:pt>
                <c:pt idx="210">
                  <c:v>0.77118643184282709</c:v>
                </c:pt>
                <c:pt idx="211">
                  <c:v>0.65891999126288581</c:v>
                </c:pt>
                <c:pt idx="212">
                  <c:v>0.47761132074808216</c:v>
                </c:pt>
                <c:pt idx="213">
                  <c:v>0.32245836560561431</c:v>
                </c:pt>
                <c:pt idx="214">
                  <c:v>0.2268325456790983</c:v>
                </c:pt>
                <c:pt idx="215">
                  <c:v>0.14596357216810849</c:v>
                </c:pt>
                <c:pt idx="216">
                  <c:v>0.89200638569873536</c:v>
                </c:pt>
                <c:pt idx="217">
                  <c:v>0.83134330276910751</c:v>
                </c:pt>
                <c:pt idx="218">
                  <c:v>0.74002288061014942</c:v>
                </c:pt>
                <c:pt idx="219">
                  <c:v>0.64601853387810626</c:v>
                </c:pt>
                <c:pt idx="220">
                  <c:v>0.47395385780022747</c:v>
                </c:pt>
                <c:pt idx="221">
                  <c:v>0.32060732170907114</c:v>
                </c:pt>
                <c:pt idx="222">
                  <c:v>0.22493516981545406</c:v>
                </c:pt>
                <c:pt idx="223">
                  <c:v>0.14445307692480497</c:v>
                </c:pt>
                <c:pt idx="224">
                  <c:v>0.8619780613222221</c:v>
                </c:pt>
                <c:pt idx="225">
                  <c:v>0.78178265582713236</c:v>
                </c:pt>
                <c:pt idx="226">
                  <c:v>0.68660276376130591</c:v>
                </c:pt>
                <c:pt idx="227">
                  <c:v>0.61621389957535011</c:v>
                </c:pt>
                <c:pt idx="228">
                  <c:v>0.46708415085788796</c:v>
                </c:pt>
                <c:pt idx="229">
                  <c:v>0.31902612696370308</c:v>
                </c:pt>
                <c:pt idx="230">
                  <c:v>0.22341726912453858</c:v>
                </c:pt>
                <c:pt idx="231">
                  <c:v>0.1432476328381295</c:v>
                </c:pt>
                <c:pt idx="232">
                  <c:v>0.85168387552494562</c:v>
                </c:pt>
                <c:pt idx="233">
                  <c:v>0.76299840712710487</c:v>
                </c:pt>
                <c:pt idx="234">
                  <c:v>0.65777147550318571</c:v>
                </c:pt>
                <c:pt idx="235">
                  <c:v>0.59311530799071432</c:v>
                </c:pt>
                <c:pt idx="236">
                  <c:v>0.45686777390857286</c:v>
                </c:pt>
                <c:pt idx="237">
                  <c:v>0.31712657086020712</c:v>
                </c:pt>
                <c:pt idx="238">
                  <c:v>0.22221438327420442</c:v>
                </c:pt>
                <c:pt idx="239">
                  <c:v>0.142364649775582</c:v>
                </c:pt>
                <c:pt idx="240">
                  <c:v>0.97443038019884742</c:v>
                </c:pt>
                <c:pt idx="241">
                  <c:v>0.85732669486756818</c:v>
                </c:pt>
                <c:pt idx="242">
                  <c:v>0.72956435556366406</c:v>
                </c:pt>
                <c:pt idx="243">
                  <c:v>0.6396163996981663</c:v>
                </c:pt>
                <c:pt idx="244">
                  <c:v>0.47168152048507977</c:v>
                </c:pt>
                <c:pt idx="245">
                  <c:v>0.31999182308335739</c:v>
                </c:pt>
                <c:pt idx="246">
                  <c:v>0.2236454026478778</c:v>
                </c:pt>
                <c:pt idx="247">
                  <c:v>0.14324498351046647</c:v>
                </c:pt>
                <c:pt idx="248">
                  <c:v>0.9524481172713648</c:v>
                </c:pt>
                <c:pt idx="249">
                  <c:v>0.84371841109334678</c:v>
                </c:pt>
                <c:pt idx="250">
                  <c:v>0.72021548834704496</c:v>
                </c:pt>
                <c:pt idx="251">
                  <c:v>0.62774699719685145</c:v>
                </c:pt>
                <c:pt idx="252">
                  <c:v>0.46463222039005242</c:v>
                </c:pt>
                <c:pt idx="253">
                  <c:v>0.31687263977693869</c:v>
                </c:pt>
                <c:pt idx="254">
                  <c:v>0.22173289261929444</c:v>
                </c:pt>
                <c:pt idx="255">
                  <c:v>0.14207625153569298</c:v>
                </c:pt>
                <c:pt idx="256">
                  <c:v>0.90119684820320589</c:v>
                </c:pt>
                <c:pt idx="257">
                  <c:v>0.8169088877852293</c:v>
                </c:pt>
                <c:pt idx="258">
                  <c:v>0.70858984104736145</c:v>
                </c:pt>
                <c:pt idx="259">
                  <c:v>0.61601026542794002</c:v>
                </c:pt>
                <c:pt idx="260">
                  <c:v>0.45834538463787383</c:v>
                </c:pt>
                <c:pt idx="261">
                  <c:v>0.31442883735169086</c:v>
                </c:pt>
                <c:pt idx="262">
                  <c:v>0.22036745462702323</c:v>
                </c:pt>
                <c:pt idx="263">
                  <c:v>0.14128750884287297</c:v>
                </c:pt>
                <c:pt idx="264">
                  <c:v>0.77218688296746851</c:v>
                </c:pt>
                <c:pt idx="265">
                  <c:v>0.71982948143552627</c:v>
                </c:pt>
                <c:pt idx="266">
                  <c:v>0.65100704167033141</c:v>
                </c:pt>
                <c:pt idx="267">
                  <c:v>0.5731267816076403</c:v>
                </c:pt>
                <c:pt idx="268">
                  <c:v>0.43678615277142624</c:v>
                </c:pt>
                <c:pt idx="269">
                  <c:v>0.30657624127700928</c:v>
                </c:pt>
                <c:pt idx="270">
                  <c:v>0.21643543276364369</c:v>
                </c:pt>
                <c:pt idx="271">
                  <c:v>0.13916164324812039</c:v>
                </c:pt>
                <c:pt idx="272">
                  <c:v>0.64101316496018812</c:v>
                </c:pt>
                <c:pt idx="273">
                  <c:v>0.58694609364878614</c:v>
                </c:pt>
                <c:pt idx="274">
                  <c:v>0.51551474390536689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0.49999999999999989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1.9999999999999996</c:v>
                </c:pt>
                <c:pt idx="7">
                  <c:v>2.5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0.97841137723530747</c:v>
                </c:pt>
                <c:pt idx="1">
                  <c:v>0.89463025222954107</c:v>
                </c:pt>
                <c:pt idx="2">
                  <c:v>0.78771637044414944</c:v>
                </c:pt>
                <c:pt idx="3">
                  <c:v>0.66678458886513503</c:v>
                </c:pt>
                <c:pt idx="4">
                  <c:v>0.48022026079850733</c:v>
                </c:pt>
                <c:pt idx="5">
                  <c:v>0.32410247461937425</c:v>
                </c:pt>
                <c:pt idx="6">
                  <c:v>0.22858138251648999</c:v>
                </c:pt>
                <c:pt idx="7">
                  <c:v>0.14735636156809767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0.96118027698349062</c:v>
                </c:pt>
                <c:pt idx="1">
                  <c:v>0.88054507638677126</c:v>
                </c:pt>
                <c:pt idx="2">
                  <c:v>0.77118643184282709</c:v>
                </c:pt>
                <c:pt idx="3">
                  <c:v>0.65891999126288581</c:v>
                </c:pt>
                <c:pt idx="4">
                  <c:v>0.47761132074808216</c:v>
                </c:pt>
                <c:pt idx="5">
                  <c:v>0.32245836560561431</c:v>
                </c:pt>
                <c:pt idx="6">
                  <c:v>0.2268325456790983</c:v>
                </c:pt>
                <c:pt idx="7">
                  <c:v>0.14596357216810849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0.89200638569873536</c:v>
                </c:pt>
                <c:pt idx="1">
                  <c:v>0.83134330276910751</c:v>
                </c:pt>
                <c:pt idx="2">
                  <c:v>0.74002288061014942</c:v>
                </c:pt>
                <c:pt idx="3">
                  <c:v>0.64601853387810626</c:v>
                </c:pt>
                <c:pt idx="4">
                  <c:v>0.47395385780022747</c:v>
                </c:pt>
                <c:pt idx="5">
                  <c:v>0.32060732170907114</c:v>
                </c:pt>
                <c:pt idx="6">
                  <c:v>0.22493516981545406</c:v>
                </c:pt>
                <c:pt idx="7">
                  <c:v>0.14445307692480497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0.49999999999999994</c:v>
                </c:pt>
                <c:pt idx="2">
                  <c:v>0.75</c:v>
                </c:pt>
                <c:pt idx="3">
                  <c:v>1</c:v>
                </c:pt>
                <c:pt idx="4">
                  <c:v>1.3299999999999998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0.8619780613222221</c:v>
                </c:pt>
                <c:pt idx="1">
                  <c:v>0.78178265582713236</c:v>
                </c:pt>
                <c:pt idx="2">
                  <c:v>0.68660276376130591</c:v>
                </c:pt>
                <c:pt idx="3">
                  <c:v>0.61621389957535011</c:v>
                </c:pt>
                <c:pt idx="4">
                  <c:v>0.46708415085788796</c:v>
                </c:pt>
                <c:pt idx="5">
                  <c:v>0.31902612696370308</c:v>
                </c:pt>
                <c:pt idx="6">
                  <c:v>0.22341726912453858</c:v>
                </c:pt>
                <c:pt idx="7">
                  <c:v>0.1432476328381295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0.85168387552494562</c:v>
                </c:pt>
                <c:pt idx="1">
                  <c:v>0.76299840712710487</c:v>
                </c:pt>
                <c:pt idx="2">
                  <c:v>0.65777147550318571</c:v>
                </c:pt>
                <c:pt idx="3">
                  <c:v>0.59311530799071432</c:v>
                </c:pt>
                <c:pt idx="4">
                  <c:v>0.45686777390857286</c:v>
                </c:pt>
                <c:pt idx="5">
                  <c:v>0.31712657086020712</c:v>
                </c:pt>
                <c:pt idx="6">
                  <c:v>0.22221438327420442</c:v>
                </c:pt>
                <c:pt idx="7">
                  <c:v>0.142364649775582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0.49999999999999994</c:v>
                </c:pt>
                <c:pt idx="282">
                  <c:v>0.75</c:v>
                </c:pt>
                <c:pt idx="283">
                  <c:v>0.99999999999999989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0.34257880343929148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  <c:pt idx="96">
                  <c:v>1.1341320917606239</c:v>
                </c:pt>
                <c:pt idx="97">
                  <c:v>1.0567559483299949</c:v>
                </c:pt>
                <c:pt idx="98">
                  <c:v>0.90153884682400254</c:v>
                </c:pt>
                <c:pt idx="99">
                  <c:v>0.74953548211251608</c:v>
                </c:pt>
                <c:pt idx="100">
                  <c:v>0.51122078168800444</c:v>
                </c:pt>
                <c:pt idx="101">
                  <c:v>0.34345258617321206</c:v>
                </c:pt>
                <c:pt idx="102">
                  <c:v>0.2446056861018612</c:v>
                </c:pt>
                <c:pt idx="103">
                  <c:v>0.15739228831669186</c:v>
                </c:pt>
                <c:pt idx="104">
                  <c:v>1.1363495702894149</c:v>
                </c:pt>
                <c:pt idx="105">
                  <c:v>1.048138918840164</c:v>
                </c:pt>
                <c:pt idx="106">
                  <c:v>0.88856643339239971</c:v>
                </c:pt>
                <c:pt idx="107">
                  <c:v>0.74632223562401134</c:v>
                </c:pt>
                <c:pt idx="108">
                  <c:v>0.5109134833785498</c:v>
                </c:pt>
                <c:pt idx="109">
                  <c:v>0.34280014038351342</c:v>
                </c:pt>
                <c:pt idx="110">
                  <c:v>0.24394592307730428</c:v>
                </c:pt>
                <c:pt idx="111">
                  <c:v>0.15692762546383879</c:v>
                </c:pt>
                <c:pt idx="112">
                  <c:v>1.1363414347368874</c:v>
                </c:pt>
                <c:pt idx="113">
                  <c:v>1.0421825850749162</c:v>
                </c:pt>
                <c:pt idx="114">
                  <c:v>0.88300823658387562</c:v>
                </c:pt>
                <c:pt idx="115">
                  <c:v>0.74475486976212746</c:v>
                </c:pt>
                <c:pt idx="116">
                  <c:v>0.51024027790799487</c:v>
                </c:pt>
                <c:pt idx="117">
                  <c:v>0.34197012684268036</c:v>
                </c:pt>
                <c:pt idx="118">
                  <c:v>0.24323349627591812</c:v>
                </c:pt>
                <c:pt idx="119">
                  <c:v>0.15644847563221206</c:v>
                </c:pt>
                <c:pt idx="120">
                  <c:v>1.1351319492612326</c:v>
                </c:pt>
                <c:pt idx="121">
                  <c:v>1.0328422444596184</c:v>
                </c:pt>
                <c:pt idx="122">
                  <c:v>0.87611250578399513</c:v>
                </c:pt>
                <c:pt idx="123">
                  <c:v>0.74309802829001781</c:v>
                </c:pt>
                <c:pt idx="124">
                  <c:v>0.50923154511026247</c:v>
                </c:pt>
                <c:pt idx="125">
                  <c:v>0.3407406455977201</c:v>
                </c:pt>
                <c:pt idx="126">
                  <c:v>0.24216681791003478</c:v>
                </c:pt>
                <c:pt idx="127">
                  <c:v>0.1557479177030327</c:v>
                </c:pt>
                <c:pt idx="128">
                  <c:v>1.132620775381286</c:v>
                </c:pt>
                <c:pt idx="129">
                  <c:v>1.0245809323630557</c:v>
                </c:pt>
                <c:pt idx="130">
                  <c:v>0.87122406673706843</c:v>
                </c:pt>
                <c:pt idx="131">
                  <c:v>0.74221252828537065</c:v>
                </c:pt>
                <c:pt idx="132">
                  <c:v>0.50822066149633049</c:v>
                </c:pt>
                <c:pt idx="133">
                  <c:v>0.33969081111913207</c:v>
                </c:pt>
                <c:pt idx="134">
                  <c:v>0.24132378887047165</c:v>
                </c:pt>
                <c:pt idx="135">
                  <c:v>0.15521615979352593</c:v>
                </c:pt>
                <c:pt idx="136">
                  <c:v>1.1289082515782114</c:v>
                </c:pt>
                <c:pt idx="137">
                  <c:v>1.0160594973200121</c:v>
                </c:pt>
                <c:pt idx="138">
                  <c:v>0.86766127249046365</c:v>
                </c:pt>
                <c:pt idx="139">
                  <c:v>0.74140107706160008</c:v>
                </c:pt>
                <c:pt idx="140">
                  <c:v>0.50719794839329879</c:v>
                </c:pt>
                <c:pt idx="141">
                  <c:v>0.33876528917086041</c:v>
                </c:pt>
                <c:pt idx="142">
                  <c:v>0.2406197699384961</c:v>
                </c:pt>
                <c:pt idx="143">
                  <c:v>0.15479832297352913</c:v>
                </c:pt>
                <c:pt idx="144">
                  <c:v>1.1288594382630501</c:v>
                </c:pt>
                <c:pt idx="145">
                  <c:v>1.013708756618483</c:v>
                </c:pt>
                <c:pt idx="146">
                  <c:v>0.87829813540246293</c:v>
                </c:pt>
                <c:pt idx="147">
                  <c:v>0.7476396868504378</c:v>
                </c:pt>
                <c:pt idx="148">
                  <c:v>0.51010477648740427</c:v>
                </c:pt>
                <c:pt idx="149">
                  <c:v>0.34092105036732595</c:v>
                </c:pt>
                <c:pt idx="150">
                  <c:v>0.24252106947453211</c:v>
                </c:pt>
                <c:pt idx="151">
                  <c:v>0.15625734556509394</c:v>
                </c:pt>
                <c:pt idx="152">
                  <c:v>1.1348065271601597</c:v>
                </c:pt>
                <c:pt idx="153">
                  <c:v>1.0182271885406846</c:v>
                </c:pt>
                <c:pt idx="154">
                  <c:v>0.87849827011820647</c:v>
                </c:pt>
                <c:pt idx="155">
                  <c:v>0.74608311976909802</c:v>
                </c:pt>
                <c:pt idx="156">
                  <c:v>0.50925412868036102</c:v>
                </c:pt>
                <c:pt idx="157">
                  <c:v>0.34020170529860377</c:v>
                </c:pt>
                <c:pt idx="158">
                  <c:v>0.24186077146349108</c:v>
                </c:pt>
                <c:pt idx="159">
                  <c:v>0.15573429258933713</c:v>
                </c:pt>
                <c:pt idx="160">
                  <c:v>1.1393624365751818</c:v>
                </c:pt>
                <c:pt idx="161">
                  <c:v>1.021748482501377</c:v>
                </c:pt>
                <c:pt idx="162">
                  <c:v>0.87982193338668913</c:v>
                </c:pt>
                <c:pt idx="163">
                  <c:v>0.74612631489127557</c:v>
                </c:pt>
                <c:pt idx="164">
                  <c:v>0.50923907296696169</c:v>
                </c:pt>
                <c:pt idx="165">
                  <c:v>0.34012590497523976</c:v>
                </c:pt>
                <c:pt idx="166">
                  <c:v>0.2417340928977057</c:v>
                </c:pt>
                <c:pt idx="167">
                  <c:v>0.15563021185971823</c:v>
                </c:pt>
                <c:pt idx="168">
                  <c:v>1.1472152963185571</c:v>
                </c:pt>
                <c:pt idx="169">
                  <c:v>1.0287905475805508</c:v>
                </c:pt>
                <c:pt idx="170">
                  <c:v>0.88330492091573898</c:v>
                </c:pt>
                <c:pt idx="171">
                  <c:v>0.7471066233190895</c:v>
                </c:pt>
                <c:pt idx="172">
                  <c:v>0.50972482009077624</c:v>
                </c:pt>
                <c:pt idx="173">
                  <c:v>0.34035318903088446</c:v>
                </c:pt>
                <c:pt idx="174">
                  <c:v>0.24178946291098924</c:v>
                </c:pt>
                <c:pt idx="175">
                  <c:v>0.15564472947856078</c:v>
                </c:pt>
                <c:pt idx="176">
                  <c:v>1.1604893665115708</c:v>
                </c:pt>
                <c:pt idx="177">
                  <c:v>1.0388483998377638</c:v>
                </c:pt>
                <c:pt idx="178">
                  <c:v>0.88932312692639359</c:v>
                </c:pt>
                <c:pt idx="179">
                  <c:v>0.74968425806393879</c:v>
                </c:pt>
                <c:pt idx="180">
                  <c:v>0.51095172964281299</c:v>
                </c:pt>
                <c:pt idx="181">
                  <c:v>0.34115683835467658</c:v>
                </c:pt>
                <c:pt idx="182">
                  <c:v>0.24225476482573904</c:v>
                </c:pt>
                <c:pt idx="183">
                  <c:v>0.15592593543012154</c:v>
                </c:pt>
                <c:pt idx="184">
                  <c:v>1.171181802391589</c:v>
                </c:pt>
                <c:pt idx="185">
                  <c:v>1.0485559542163709</c:v>
                </c:pt>
                <c:pt idx="186">
                  <c:v>0.89607657884985892</c:v>
                </c:pt>
                <c:pt idx="187">
                  <c:v>0.75338774772404538</c:v>
                </c:pt>
                <c:pt idx="188">
                  <c:v>0.5128394270725648</c:v>
                </c:pt>
                <c:pt idx="189">
                  <c:v>0.34231417657122359</c:v>
                </c:pt>
                <c:pt idx="190">
                  <c:v>0.24303021306316197</c:v>
                </c:pt>
                <c:pt idx="191">
                  <c:v>0.15642704316798575</c:v>
                </c:pt>
                <c:pt idx="192">
                  <c:v>1.0379988757926202</c:v>
                </c:pt>
                <c:pt idx="193">
                  <c:v>0.96411920712689858</c:v>
                </c:pt>
                <c:pt idx="194">
                  <c:v>0.77809603336558075</c:v>
                </c:pt>
                <c:pt idx="195">
                  <c:v>0.64419662533195954</c:v>
                </c:pt>
                <c:pt idx="196">
                  <c:v>0.47310858703368386</c:v>
                </c:pt>
                <c:pt idx="197">
                  <c:v>0.32042767494269897</c:v>
                </c:pt>
                <c:pt idx="198">
                  <c:v>0.21888654856151413</c:v>
                </c:pt>
                <c:pt idx="199">
                  <c:v>0.13785322324083435</c:v>
                </c:pt>
                <c:pt idx="200">
                  <c:v>1.039978526907481</c:v>
                </c:pt>
                <c:pt idx="201">
                  <c:v>0.94406565478987736</c:v>
                </c:pt>
                <c:pt idx="202">
                  <c:v>0.761470981235984</c:v>
                </c:pt>
                <c:pt idx="203">
                  <c:v>0.63938036920912278</c:v>
                </c:pt>
                <c:pt idx="204">
                  <c:v>0.47184498251626883</c:v>
                </c:pt>
                <c:pt idx="205">
                  <c:v>0.32032079648675615</c:v>
                </c:pt>
                <c:pt idx="206">
                  <c:v>0.2197553617339362</c:v>
                </c:pt>
                <c:pt idx="207">
                  <c:v>0.13889478748778278</c:v>
                </c:pt>
                <c:pt idx="208">
                  <c:v>1.0403608978762415</c:v>
                </c:pt>
                <c:pt idx="209">
                  <c:v>0.92792117228746873</c:v>
                </c:pt>
                <c:pt idx="210">
                  <c:v>0.75087374896076575</c:v>
                </c:pt>
                <c:pt idx="211">
                  <c:v>0.63711416797771725</c:v>
                </c:pt>
                <c:pt idx="212">
                  <c:v>0.47167399262838017</c:v>
                </c:pt>
                <c:pt idx="213">
                  <c:v>0.3202791063089061</c:v>
                </c:pt>
                <c:pt idx="214">
                  <c:v>0.22027384701425254</c:v>
                </c:pt>
                <c:pt idx="215">
                  <c:v>0.13948255975359344</c:v>
                </c:pt>
                <c:pt idx="216">
                  <c:v>1.0389941250517352</c:v>
                </c:pt>
                <c:pt idx="217">
                  <c:v>0.90216418349427829</c:v>
                </c:pt>
                <c:pt idx="218">
                  <c:v>0.7379779397522539</c:v>
                </c:pt>
                <c:pt idx="219">
                  <c:v>0.63502228991795895</c:v>
                </c:pt>
                <c:pt idx="220">
                  <c:v>0.47162990089628326</c:v>
                </c:pt>
                <c:pt idx="221">
                  <c:v>0.32019420994673858</c:v>
                </c:pt>
                <c:pt idx="222">
                  <c:v>0.22079569544233327</c:v>
                </c:pt>
                <c:pt idx="223">
                  <c:v>0.14009682529603437</c:v>
                </c:pt>
                <c:pt idx="224">
                  <c:v>1.0355826166921527</c:v>
                </c:pt>
                <c:pt idx="225">
                  <c:v>0.89159307597479887</c:v>
                </c:pt>
                <c:pt idx="226">
                  <c:v>0.72668518980152996</c:v>
                </c:pt>
                <c:pt idx="227">
                  <c:v>0.63365393015468008</c:v>
                </c:pt>
                <c:pt idx="228">
                  <c:v>0.47157828130748669</c:v>
                </c:pt>
                <c:pt idx="229">
                  <c:v>0.32001380517713285</c:v>
                </c:pt>
                <c:pt idx="230">
                  <c:v>0.22113201021875475</c:v>
                </c:pt>
                <c:pt idx="231">
                  <c:v>0.14053207198353096</c:v>
                </c:pt>
                <c:pt idx="232">
                  <c:v>1.0310565376363956</c:v>
                </c:pt>
                <c:pt idx="233">
                  <c:v>0.88355575863770541</c:v>
                </c:pt>
                <c:pt idx="234">
                  <c:v>0.71839247905512249</c:v>
                </c:pt>
                <c:pt idx="235">
                  <c:v>0.63274683258894437</c:v>
                </c:pt>
                <c:pt idx="236">
                  <c:v>0.47127824244760685</c:v>
                </c:pt>
                <c:pt idx="237">
                  <c:v>0.31974471402919152</c:v>
                </c:pt>
                <c:pt idx="238">
                  <c:v>0.22126485455544118</c:v>
                </c:pt>
                <c:pt idx="239">
                  <c:v>0.14077845945619211</c:v>
                </c:pt>
                <c:pt idx="240">
                  <c:v>1.0338904217665732</c:v>
                </c:pt>
                <c:pt idx="241">
                  <c:v>0.89568278674446744</c:v>
                </c:pt>
                <c:pt idx="242">
                  <c:v>0.72003318741785238</c:v>
                </c:pt>
                <c:pt idx="243">
                  <c:v>0.63811999725128876</c:v>
                </c:pt>
                <c:pt idx="244">
                  <c:v>0.47507228222415249</c:v>
                </c:pt>
                <c:pt idx="245">
                  <c:v>0.32258419414239803</c:v>
                </c:pt>
                <c:pt idx="246">
                  <c:v>0.22357141339706507</c:v>
                </c:pt>
                <c:pt idx="247">
                  <c:v>0.14234421210503867</c:v>
                </c:pt>
                <c:pt idx="248">
                  <c:v>1.0414185197047292</c:v>
                </c:pt>
                <c:pt idx="249">
                  <c:v>0.90221717150189484</c:v>
                </c:pt>
                <c:pt idx="250">
                  <c:v>0.72078022492117311</c:v>
                </c:pt>
                <c:pt idx="251">
                  <c:v>0.63721444236848779</c:v>
                </c:pt>
                <c:pt idx="252">
                  <c:v>0.47441950950749628</c:v>
                </c:pt>
                <c:pt idx="253">
                  <c:v>0.32190123322889064</c:v>
                </c:pt>
                <c:pt idx="254">
                  <c:v>0.22307198595407918</c:v>
                </c:pt>
                <c:pt idx="255">
                  <c:v>0.14205354301286707</c:v>
                </c:pt>
                <c:pt idx="256">
                  <c:v>1.0466686629353739</c:v>
                </c:pt>
                <c:pt idx="257">
                  <c:v>0.90651401721042757</c:v>
                </c:pt>
                <c:pt idx="258">
                  <c:v>0.72159265297518183</c:v>
                </c:pt>
                <c:pt idx="259">
                  <c:v>0.63748441188209959</c:v>
                </c:pt>
                <c:pt idx="260">
                  <c:v>0.47447112909629291</c:v>
                </c:pt>
                <c:pt idx="261">
                  <c:v>0.32180875683438676</c:v>
                </c:pt>
                <c:pt idx="262">
                  <c:v>0.22302938608239906</c:v>
                </c:pt>
                <c:pt idx="263">
                  <c:v>0.1420410533253128</c:v>
                </c:pt>
                <c:pt idx="264">
                  <c:v>1.0557219139250815</c:v>
                </c:pt>
                <c:pt idx="265">
                  <c:v>0.91435545672360263</c:v>
                </c:pt>
                <c:pt idx="266">
                  <c:v>0.72619171371937186</c:v>
                </c:pt>
                <c:pt idx="267">
                  <c:v>0.63869896113936353</c:v>
                </c:pt>
                <c:pt idx="268">
                  <c:v>0.47501053508408175</c:v>
                </c:pt>
                <c:pt idx="269">
                  <c:v>0.32205888788737613</c:v>
                </c:pt>
                <c:pt idx="270">
                  <c:v>0.22322129895775125</c:v>
                </c:pt>
                <c:pt idx="271">
                  <c:v>0.14220237315996784</c:v>
                </c:pt>
                <c:pt idx="272">
                  <c:v>1.06684190511447</c:v>
                </c:pt>
                <c:pt idx="273">
                  <c:v>0.92449292062687372</c:v>
                </c:pt>
                <c:pt idx="274">
                  <c:v>0.7272317936445527</c:v>
                </c:pt>
                <c:pt idx="275">
                  <c:v>0.64148984599795222</c:v>
                </c:pt>
                <c:pt idx="276">
                  <c:v>0.47648057224986196</c:v>
                </c:pt>
                <c:pt idx="277">
                  <c:v>0.32282750637696261</c:v>
                </c:pt>
                <c:pt idx="278">
                  <c:v>0.2238573564203547</c:v>
                </c:pt>
                <c:pt idx="279">
                  <c:v>0.14264623796162224</c:v>
                </c:pt>
                <c:pt idx="280">
                  <c:v>1.0788359032234938</c:v>
                </c:pt>
                <c:pt idx="281">
                  <c:v>0.93465244226250221</c:v>
                </c:pt>
                <c:pt idx="282">
                  <c:v>0.74023901546435023</c:v>
                </c:pt>
                <c:pt idx="283">
                  <c:v>0.64524468622447506</c:v>
                </c:pt>
                <c:pt idx="284">
                  <c:v>0.47860450346298195</c:v>
                </c:pt>
                <c:pt idx="285">
                  <c:v>0.32406277938969347</c:v>
                </c:pt>
                <c:pt idx="286">
                  <c:v>0.22483118510972766</c:v>
                </c:pt>
                <c:pt idx="28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0.34257880343929148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1.1341320917606239</c:v>
                </c:pt>
                <c:pt idx="1">
                  <c:v>1.0567559483299949</c:v>
                </c:pt>
                <c:pt idx="2">
                  <c:v>0.90153884682400254</c:v>
                </c:pt>
                <c:pt idx="3">
                  <c:v>0.74953548211251608</c:v>
                </c:pt>
                <c:pt idx="4">
                  <c:v>0.51122078168800444</c:v>
                </c:pt>
                <c:pt idx="5">
                  <c:v>0.34345258617321206</c:v>
                </c:pt>
                <c:pt idx="6">
                  <c:v>0.2446056861018612</c:v>
                </c:pt>
                <c:pt idx="7">
                  <c:v>0.15739228831669186</c:v>
                </c:pt>
                <c:pt idx="8">
                  <c:v>1.1363495702894149</c:v>
                </c:pt>
                <c:pt idx="9">
                  <c:v>1.048138918840164</c:v>
                </c:pt>
                <c:pt idx="10">
                  <c:v>0.88856643339239971</c:v>
                </c:pt>
                <c:pt idx="11">
                  <c:v>0.74632223562401134</c:v>
                </c:pt>
                <c:pt idx="12">
                  <c:v>0.5109134833785498</c:v>
                </c:pt>
                <c:pt idx="13">
                  <c:v>0.34280014038351342</c:v>
                </c:pt>
                <c:pt idx="14">
                  <c:v>0.24394592307730428</c:v>
                </c:pt>
                <c:pt idx="15">
                  <c:v>0.15692762546383879</c:v>
                </c:pt>
                <c:pt idx="16">
                  <c:v>1.1363414347368874</c:v>
                </c:pt>
                <c:pt idx="17">
                  <c:v>1.0421825850749162</c:v>
                </c:pt>
                <c:pt idx="18">
                  <c:v>0.88300823658387562</c:v>
                </c:pt>
                <c:pt idx="19">
                  <c:v>0.74475486976212746</c:v>
                </c:pt>
                <c:pt idx="20">
                  <c:v>0.51024027790799487</c:v>
                </c:pt>
                <c:pt idx="21">
                  <c:v>0.34197012684268036</c:v>
                </c:pt>
                <c:pt idx="22">
                  <c:v>0.24323349627591812</c:v>
                </c:pt>
                <c:pt idx="23">
                  <c:v>0.15644847563221206</c:v>
                </c:pt>
                <c:pt idx="24">
                  <c:v>1.1351319492612326</c:v>
                </c:pt>
                <c:pt idx="25">
                  <c:v>1.0328422444596184</c:v>
                </c:pt>
                <c:pt idx="26">
                  <c:v>0.87611250578399513</c:v>
                </c:pt>
                <c:pt idx="27">
                  <c:v>0.74309802829001781</c:v>
                </c:pt>
                <c:pt idx="28">
                  <c:v>0.50923154511026247</c:v>
                </c:pt>
                <c:pt idx="29">
                  <c:v>0.3407406455977201</c:v>
                </c:pt>
                <c:pt idx="30">
                  <c:v>0.24216681791003478</c:v>
                </c:pt>
                <c:pt idx="31">
                  <c:v>0.1557479177030327</c:v>
                </c:pt>
                <c:pt idx="32">
                  <c:v>1.132620775381286</c:v>
                </c:pt>
                <c:pt idx="33">
                  <c:v>1.0245809323630557</c:v>
                </c:pt>
                <c:pt idx="34">
                  <c:v>0.87122406673706843</c:v>
                </c:pt>
                <c:pt idx="35">
                  <c:v>0.74221252828537065</c:v>
                </c:pt>
                <c:pt idx="36">
                  <c:v>0.50822066149633049</c:v>
                </c:pt>
                <c:pt idx="37">
                  <c:v>0.33969081111913207</c:v>
                </c:pt>
                <c:pt idx="38">
                  <c:v>0.24132378887047165</c:v>
                </c:pt>
                <c:pt idx="39">
                  <c:v>0.15521615979352593</c:v>
                </c:pt>
                <c:pt idx="40">
                  <c:v>1.1289082515782114</c:v>
                </c:pt>
                <c:pt idx="41">
                  <c:v>1.0160594973200121</c:v>
                </c:pt>
                <c:pt idx="42">
                  <c:v>0.86766127249046365</c:v>
                </c:pt>
                <c:pt idx="43">
                  <c:v>0.74140107706160008</c:v>
                </c:pt>
                <c:pt idx="44">
                  <c:v>0.50719794839329879</c:v>
                </c:pt>
                <c:pt idx="45">
                  <c:v>0.33876528917086041</c:v>
                </c:pt>
                <c:pt idx="46">
                  <c:v>0.2406197699384961</c:v>
                </c:pt>
                <c:pt idx="47">
                  <c:v>0.15479832297352913</c:v>
                </c:pt>
                <c:pt idx="48">
                  <c:v>1.1288594382630501</c:v>
                </c:pt>
                <c:pt idx="49">
                  <c:v>1.013708756618483</c:v>
                </c:pt>
                <c:pt idx="50">
                  <c:v>0.87829813540246293</c:v>
                </c:pt>
                <c:pt idx="51">
                  <c:v>0.7476396868504378</c:v>
                </c:pt>
                <c:pt idx="52">
                  <c:v>0.51010477648740427</c:v>
                </c:pt>
                <c:pt idx="53">
                  <c:v>0.34092105036732595</c:v>
                </c:pt>
                <c:pt idx="54">
                  <c:v>0.24252106947453211</c:v>
                </c:pt>
                <c:pt idx="55">
                  <c:v>0.15625734556509394</c:v>
                </c:pt>
                <c:pt idx="56">
                  <c:v>1.1348065271601597</c:v>
                </c:pt>
                <c:pt idx="57">
                  <c:v>1.0182271885406846</c:v>
                </c:pt>
                <c:pt idx="58">
                  <c:v>0.87849827011820647</c:v>
                </c:pt>
                <c:pt idx="59">
                  <c:v>0.74608311976909802</c:v>
                </c:pt>
                <c:pt idx="60">
                  <c:v>0.50925412868036102</c:v>
                </c:pt>
                <c:pt idx="61">
                  <c:v>0.34020170529860377</c:v>
                </c:pt>
                <c:pt idx="62">
                  <c:v>0.24186077146349108</c:v>
                </c:pt>
                <c:pt idx="63">
                  <c:v>0.15573429258933713</c:v>
                </c:pt>
                <c:pt idx="64">
                  <c:v>1.1393624365751818</c:v>
                </c:pt>
                <c:pt idx="65">
                  <c:v>1.021748482501377</c:v>
                </c:pt>
                <c:pt idx="66">
                  <c:v>0.87982193338668913</c:v>
                </c:pt>
                <c:pt idx="67">
                  <c:v>0.74612631489127557</c:v>
                </c:pt>
                <c:pt idx="68">
                  <c:v>0.50923907296696169</c:v>
                </c:pt>
                <c:pt idx="69">
                  <c:v>0.34012590497523976</c:v>
                </c:pt>
                <c:pt idx="70">
                  <c:v>0.2417340928977057</c:v>
                </c:pt>
                <c:pt idx="71">
                  <c:v>0.15563021185971823</c:v>
                </c:pt>
                <c:pt idx="72">
                  <c:v>1.1472152963185571</c:v>
                </c:pt>
                <c:pt idx="73">
                  <c:v>1.0287905475805508</c:v>
                </c:pt>
                <c:pt idx="74">
                  <c:v>0.88330492091573898</c:v>
                </c:pt>
                <c:pt idx="75">
                  <c:v>0.7471066233190895</c:v>
                </c:pt>
                <c:pt idx="76">
                  <c:v>0.50972482009077624</c:v>
                </c:pt>
                <c:pt idx="77">
                  <c:v>0.34035318903088446</c:v>
                </c:pt>
                <c:pt idx="78">
                  <c:v>0.24178946291098924</c:v>
                </c:pt>
                <c:pt idx="79">
                  <c:v>0.15564472947856078</c:v>
                </c:pt>
                <c:pt idx="80">
                  <c:v>1.1604893665115708</c:v>
                </c:pt>
                <c:pt idx="81">
                  <c:v>1.0388483998377638</c:v>
                </c:pt>
                <c:pt idx="82">
                  <c:v>0.88932312692639359</c:v>
                </c:pt>
                <c:pt idx="83">
                  <c:v>0.74968425806393879</c:v>
                </c:pt>
                <c:pt idx="84">
                  <c:v>0.51095172964281299</c:v>
                </c:pt>
                <c:pt idx="85">
                  <c:v>0.34115683835467658</c:v>
                </c:pt>
                <c:pt idx="86">
                  <c:v>0.24225476482573904</c:v>
                </c:pt>
                <c:pt idx="87">
                  <c:v>0.15592593543012154</c:v>
                </c:pt>
                <c:pt idx="88">
                  <c:v>1.171181802391589</c:v>
                </c:pt>
                <c:pt idx="89">
                  <c:v>1.0485559542163709</c:v>
                </c:pt>
                <c:pt idx="90">
                  <c:v>0.89607657884985892</c:v>
                </c:pt>
                <c:pt idx="91">
                  <c:v>0.75338774772404538</c:v>
                </c:pt>
                <c:pt idx="92">
                  <c:v>0.5128394270725648</c:v>
                </c:pt>
                <c:pt idx="93">
                  <c:v>0.34231417657122359</c:v>
                </c:pt>
                <c:pt idx="94">
                  <c:v>0.24303021306316197</c:v>
                </c:pt>
                <c:pt idx="95">
                  <c:v>0.15642704316798575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6-4D9E-B49A-02190CE1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Khi</a:t>
            </a:r>
            <a:r>
              <a:rPr lang="en-US" baseline="0"/>
              <a:t> G Vs Lambda G 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0.30000000000000004</c:v>
                </c:pt>
                <c:pt idx="25">
                  <c:v>0.49999999999999994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</c:v>
                </c:pt>
                <c:pt idx="43">
                  <c:v>0.99999999999999989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1.0338904217665732</c:v>
                </c:pt>
                <c:pt idx="1">
                  <c:v>0.89568278674446744</c:v>
                </c:pt>
                <c:pt idx="2">
                  <c:v>0.72003318741785238</c:v>
                </c:pt>
                <c:pt idx="3">
                  <c:v>0.63811999725128876</c:v>
                </c:pt>
                <c:pt idx="4">
                  <c:v>0.47507228222415249</c:v>
                </c:pt>
                <c:pt idx="5">
                  <c:v>0.32258419414239803</c:v>
                </c:pt>
                <c:pt idx="6">
                  <c:v>0.22357141339706507</c:v>
                </c:pt>
                <c:pt idx="7">
                  <c:v>0.14234421210503867</c:v>
                </c:pt>
                <c:pt idx="8">
                  <c:v>1.0414185197047292</c:v>
                </c:pt>
                <c:pt idx="9">
                  <c:v>0.90221717150189484</c:v>
                </c:pt>
                <c:pt idx="10">
                  <c:v>0.72078022492117311</c:v>
                </c:pt>
                <c:pt idx="11">
                  <c:v>0.63721444236848779</c:v>
                </c:pt>
                <c:pt idx="12">
                  <c:v>0.47441950950749628</c:v>
                </c:pt>
                <c:pt idx="13">
                  <c:v>0.32190123322889064</c:v>
                </c:pt>
                <c:pt idx="14">
                  <c:v>0.22307198595407918</c:v>
                </c:pt>
                <c:pt idx="15">
                  <c:v>0.14205354301286707</c:v>
                </c:pt>
                <c:pt idx="16">
                  <c:v>1.0466686629353739</c:v>
                </c:pt>
                <c:pt idx="17">
                  <c:v>0.90651401721042757</c:v>
                </c:pt>
                <c:pt idx="18">
                  <c:v>0.72159265297518183</c:v>
                </c:pt>
                <c:pt idx="19">
                  <c:v>0.63748441188209959</c:v>
                </c:pt>
                <c:pt idx="20">
                  <c:v>0.47447112909629291</c:v>
                </c:pt>
                <c:pt idx="21">
                  <c:v>0.32180875683438676</c:v>
                </c:pt>
                <c:pt idx="22">
                  <c:v>0.22302938608239906</c:v>
                </c:pt>
                <c:pt idx="23">
                  <c:v>0.1420410533253128</c:v>
                </c:pt>
                <c:pt idx="24">
                  <c:v>1.0557219139250815</c:v>
                </c:pt>
                <c:pt idx="25">
                  <c:v>0.91435545672360263</c:v>
                </c:pt>
                <c:pt idx="26">
                  <c:v>0.72619171371937186</c:v>
                </c:pt>
                <c:pt idx="27">
                  <c:v>0.63869896113936353</c:v>
                </c:pt>
                <c:pt idx="28">
                  <c:v>0.47501053508408175</c:v>
                </c:pt>
                <c:pt idx="29">
                  <c:v>0.32205888788737613</c:v>
                </c:pt>
                <c:pt idx="30">
                  <c:v>0.22322129895775125</c:v>
                </c:pt>
                <c:pt idx="31">
                  <c:v>0.14220237315996784</c:v>
                </c:pt>
                <c:pt idx="32">
                  <c:v>1.06684190511447</c:v>
                </c:pt>
                <c:pt idx="33">
                  <c:v>0.92449292062687372</c:v>
                </c:pt>
                <c:pt idx="34">
                  <c:v>0.7272317936445527</c:v>
                </c:pt>
                <c:pt idx="35">
                  <c:v>0.64148984599795222</c:v>
                </c:pt>
                <c:pt idx="36">
                  <c:v>0.47648057224986196</c:v>
                </c:pt>
                <c:pt idx="37">
                  <c:v>0.32282750637696261</c:v>
                </c:pt>
                <c:pt idx="38">
                  <c:v>0.2238573564203547</c:v>
                </c:pt>
                <c:pt idx="39">
                  <c:v>0.14264623796162224</c:v>
                </c:pt>
                <c:pt idx="40">
                  <c:v>1.0788359032234938</c:v>
                </c:pt>
                <c:pt idx="41">
                  <c:v>0.93465244226250221</c:v>
                </c:pt>
                <c:pt idx="42">
                  <c:v>0.74023901546435023</c:v>
                </c:pt>
                <c:pt idx="43">
                  <c:v>0.64524468622447506</c:v>
                </c:pt>
                <c:pt idx="44">
                  <c:v>0.47860450346298195</c:v>
                </c:pt>
                <c:pt idx="45">
                  <c:v>0.32406277938969347</c:v>
                </c:pt>
                <c:pt idx="46">
                  <c:v>0.22483118510972766</c:v>
                </c:pt>
                <c:pt idx="4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1.0379988757926202</c:v>
                </c:pt>
                <c:pt idx="1">
                  <c:v>0.96411920712689858</c:v>
                </c:pt>
                <c:pt idx="2">
                  <c:v>0.77809603336558075</c:v>
                </c:pt>
                <c:pt idx="3">
                  <c:v>0.64419662533195954</c:v>
                </c:pt>
                <c:pt idx="4">
                  <c:v>0.47310858703368386</c:v>
                </c:pt>
                <c:pt idx="5">
                  <c:v>0.32042767494269897</c:v>
                </c:pt>
                <c:pt idx="6">
                  <c:v>0.21888654856151413</c:v>
                </c:pt>
                <c:pt idx="7">
                  <c:v>0.13785322324083435</c:v>
                </c:pt>
                <c:pt idx="8">
                  <c:v>1.039978526907481</c:v>
                </c:pt>
                <c:pt idx="9">
                  <c:v>0.94406565478987736</c:v>
                </c:pt>
                <c:pt idx="10">
                  <c:v>0.761470981235984</c:v>
                </c:pt>
                <c:pt idx="11">
                  <c:v>0.63938036920912278</c:v>
                </c:pt>
                <c:pt idx="12">
                  <c:v>0.47184498251626883</c:v>
                </c:pt>
                <c:pt idx="13">
                  <c:v>0.32032079648675615</c:v>
                </c:pt>
                <c:pt idx="14">
                  <c:v>0.2197553617339362</c:v>
                </c:pt>
                <c:pt idx="15">
                  <c:v>0.13889478748778278</c:v>
                </c:pt>
                <c:pt idx="16">
                  <c:v>1.0403608978762415</c:v>
                </c:pt>
                <c:pt idx="17">
                  <c:v>0.92792117228746873</c:v>
                </c:pt>
                <c:pt idx="18">
                  <c:v>0.75087374896076575</c:v>
                </c:pt>
                <c:pt idx="19">
                  <c:v>0.63711416797771725</c:v>
                </c:pt>
                <c:pt idx="20">
                  <c:v>0.47167399262838017</c:v>
                </c:pt>
                <c:pt idx="21">
                  <c:v>0.3202791063089061</c:v>
                </c:pt>
                <c:pt idx="22">
                  <c:v>0.22027384701425254</c:v>
                </c:pt>
                <c:pt idx="23">
                  <c:v>0.13948255975359344</c:v>
                </c:pt>
                <c:pt idx="24">
                  <c:v>1.0389941250517352</c:v>
                </c:pt>
                <c:pt idx="25">
                  <c:v>0.90216418349427829</c:v>
                </c:pt>
                <c:pt idx="26">
                  <c:v>0.7379779397522539</c:v>
                </c:pt>
                <c:pt idx="27">
                  <c:v>0.63502228991795895</c:v>
                </c:pt>
                <c:pt idx="28">
                  <c:v>0.47162990089628326</c:v>
                </c:pt>
                <c:pt idx="29">
                  <c:v>0.32019420994673858</c:v>
                </c:pt>
                <c:pt idx="30">
                  <c:v>0.22079569544233327</c:v>
                </c:pt>
                <c:pt idx="31">
                  <c:v>0.14009682529603437</c:v>
                </c:pt>
                <c:pt idx="32">
                  <c:v>1.0355826166921527</c:v>
                </c:pt>
                <c:pt idx="33">
                  <c:v>0.89159307597479887</c:v>
                </c:pt>
                <c:pt idx="34">
                  <c:v>0.72668518980152996</c:v>
                </c:pt>
                <c:pt idx="35">
                  <c:v>0.63365393015468008</c:v>
                </c:pt>
                <c:pt idx="36">
                  <c:v>0.47157828130748669</c:v>
                </c:pt>
                <c:pt idx="37">
                  <c:v>0.32001380517713285</c:v>
                </c:pt>
                <c:pt idx="38">
                  <c:v>0.22113201021875475</c:v>
                </c:pt>
                <c:pt idx="39">
                  <c:v>0.14053207198353096</c:v>
                </c:pt>
                <c:pt idx="40">
                  <c:v>1.0310565376363956</c:v>
                </c:pt>
                <c:pt idx="41">
                  <c:v>0.88355575863770541</c:v>
                </c:pt>
                <c:pt idx="42">
                  <c:v>0.71839247905512249</c:v>
                </c:pt>
                <c:pt idx="43">
                  <c:v>0.63274683258894437</c:v>
                </c:pt>
                <c:pt idx="44">
                  <c:v>0.47127824244760685</c:v>
                </c:pt>
                <c:pt idx="45">
                  <c:v>0.31974471402919152</c:v>
                </c:pt>
                <c:pt idx="46">
                  <c:v>0.22126485455544118</c:v>
                </c:pt>
                <c:pt idx="47">
                  <c:v>0.14077845945619211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1.0379988757926202</c:v>
                </c:pt>
                <c:pt idx="1">
                  <c:v>0.96411920712689858</c:v>
                </c:pt>
                <c:pt idx="2">
                  <c:v>0.77809603336558075</c:v>
                </c:pt>
                <c:pt idx="3">
                  <c:v>0.64419662533195954</c:v>
                </c:pt>
                <c:pt idx="4">
                  <c:v>0.47310858703368386</c:v>
                </c:pt>
                <c:pt idx="5">
                  <c:v>0.32042767494269897</c:v>
                </c:pt>
                <c:pt idx="6">
                  <c:v>0.21888654856151413</c:v>
                </c:pt>
                <c:pt idx="7">
                  <c:v>0.13785322324083435</c:v>
                </c:pt>
                <c:pt idx="8">
                  <c:v>1.039978526907481</c:v>
                </c:pt>
                <c:pt idx="9">
                  <c:v>0.94406565478987736</c:v>
                </c:pt>
                <c:pt idx="10">
                  <c:v>0.761470981235984</c:v>
                </c:pt>
                <c:pt idx="11">
                  <c:v>0.63938036920912278</c:v>
                </c:pt>
                <c:pt idx="12">
                  <c:v>0.47184498251626883</c:v>
                </c:pt>
                <c:pt idx="13">
                  <c:v>0.32032079648675615</c:v>
                </c:pt>
                <c:pt idx="14">
                  <c:v>0.2197553617339362</c:v>
                </c:pt>
                <c:pt idx="15">
                  <c:v>0.13889478748778278</c:v>
                </c:pt>
                <c:pt idx="16">
                  <c:v>1.0403608978762415</c:v>
                </c:pt>
                <c:pt idx="17">
                  <c:v>0.92792117228746873</c:v>
                </c:pt>
                <c:pt idx="18">
                  <c:v>0.75087374896076575</c:v>
                </c:pt>
                <c:pt idx="19">
                  <c:v>0.63711416797771725</c:v>
                </c:pt>
                <c:pt idx="20">
                  <c:v>0.47167399262838017</c:v>
                </c:pt>
                <c:pt idx="21">
                  <c:v>0.3202791063089061</c:v>
                </c:pt>
                <c:pt idx="22">
                  <c:v>0.22027384701425254</c:v>
                </c:pt>
                <c:pt idx="23">
                  <c:v>0.13948255975359344</c:v>
                </c:pt>
                <c:pt idx="24">
                  <c:v>1.0389941250517352</c:v>
                </c:pt>
                <c:pt idx="25">
                  <c:v>0.90216418349427829</c:v>
                </c:pt>
                <c:pt idx="26">
                  <c:v>0.7379779397522539</c:v>
                </c:pt>
                <c:pt idx="27">
                  <c:v>0.63502228991795895</c:v>
                </c:pt>
                <c:pt idx="28">
                  <c:v>0.47162990089628326</c:v>
                </c:pt>
                <c:pt idx="29">
                  <c:v>0.32019420994673858</c:v>
                </c:pt>
                <c:pt idx="30">
                  <c:v>0.22079569544233327</c:v>
                </c:pt>
                <c:pt idx="31">
                  <c:v>0.14009682529603437</c:v>
                </c:pt>
                <c:pt idx="32">
                  <c:v>1.0355826166921527</c:v>
                </c:pt>
                <c:pt idx="33">
                  <c:v>0.89159307597479887</c:v>
                </c:pt>
                <c:pt idx="34">
                  <c:v>0.72668518980152996</c:v>
                </c:pt>
                <c:pt idx="35">
                  <c:v>0.63365393015468008</c:v>
                </c:pt>
                <c:pt idx="36">
                  <c:v>0.47157828130748669</c:v>
                </c:pt>
                <c:pt idx="37">
                  <c:v>0.32001380517713285</c:v>
                </c:pt>
                <c:pt idx="38">
                  <c:v>0.22113201021875475</c:v>
                </c:pt>
                <c:pt idx="39">
                  <c:v>0.14053207198353096</c:v>
                </c:pt>
                <c:pt idx="40">
                  <c:v>1.0310565376363956</c:v>
                </c:pt>
                <c:pt idx="41">
                  <c:v>0.88355575863770541</c:v>
                </c:pt>
                <c:pt idx="42">
                  <c:v>0.71839247905512249</c:v>
                </c:pt>
                <c:pt idx="43">
                  <c:v>0.63274683258894437</c:v>
                </c:pt>
                <c:pt idx="44">
                  <c:v>0.47127824244760685</c:v>
                </c:pt>
                <c:pt idx="45">
                  <c:v>0.31974471402919152</c:v>
                </c:pt>
                <c:pt idx="46">
                  <c:v>0.22126485455544118</c:v>
                </c:pt>
                <c:pt idx="47">
                  <c:v>0.14077845945619211</c:v>
                </c:pt>
                <c:pt idx="48">
                  <c:v>1.0338904217665732</c:v>
                </c:pt>
                <c:pt idx="49">
                  <c:v>0.89568278674446744</c:v>
                </c:pt>
                <c:pt idx="50">
                  <c:v>0.72003318741785238</c:v>
                </c:pt>
                <c:pt idx="51">
                  <c:v>0.63811999725128876</c:v>
                </c:pt>
                <c:pt idx="52">
                  <c:v>0.47507228222415249</c:v>
                </c:pt>
                <c:pt idx="53">
                  <c:v>0.32258419414239803</c:v>
                </c:pt>
                <c:pt idx="54">
                  <c:v>0.22357141339706507</c:v>
                </c:pt>
                <c:pt idx="55">
                  <c:v>0.14234421210503867</c:v>
                </c:pt>
                <c:pt idx="56">
                  <c:v>1.0414185197047292</c:v>
                </c:pt>
                <c:pt idx="57">
                  <c:v>0.90221717150189484</c:v>
                </c:pt>
                <c:pt idx="58">
                  <c:v>0.72078022492117311</c:v>
                </c:pt>
                <c:pt idx="59">
                  <c:v>0.63721444236848779</c:v>
                </c:pt>
                <c:pt idx="60">
                  <c:v>0.47441950950749628</c:v>
                </c:pt>
                <c:pt idx="61">
                  <c:v>0.32190123322889064</c:v>
                </c:pt>
                <c:pt idx="62">
                  <c:v>0.22307198595407918</c:v>
                </c:pt>
                <c:pt idx="63">
                  <c:v>0.14205354301286707</c:v>
                </c:pt>
                <c:pt idx="64">
                  <c:v>1.0466686629353739</c:v>
                </c:pt>
                <c:pt idx="65">
                  <c:v>0.90651401721042757</c:v>
                </c:pt>
                <c:pt idx="66">
                  <c:v>0.72159265297518183</c:v>
                </c:pt>
                <c:pt idx="67">
                  <c:v>0.63748441188209959</c:v>
                </c:pt>
                <c:pt idx="68">
                  <c:v>0.47447112909629291</c:v>
                </c:pt>
                <c:pt idx="69">
                  <c:v>0.32180875683438676</c:v>
                </c:pt>
                <c:pt idx="70">
                  <c:v>0.22302938608239906</c:v>
                </c:pt>
                <c:pt idx="71">
                  <c:v>0.1420410533253128</c:v>
                </c:pt>
                <c:pt idx="72">
                  <c:v>1.0557219139250815</c:v>
                </c:pt>
                <c:pt idx="73">
                  <c:v>0.91435545672360263</c:v>
                </c:pt>
                <c:pt idx="74">
                  <c:v>0.72619171371937186</c:v>
                </c:pt>
                <c:pt idx="75">
                  <c:v>0.63869896113936353</c:v>
                </c:pt>
                <c:pt idx="76">
                  <c:v>0.47501053508408175</c:v>
                </c:pt>
                <c:pt idx="77">
                  <c:v>0.32205888788737613</c:v>
                </c:pt>
                <c:pt idx="78">
                  <c:v>0.22322129895775125</c:v>
                </c:pt>
                <c:pt idx="79">
                  <c:v>0.14220237315996784</c:v>
                </c:pt>
                <c:pt idx="80">
                  <c:v>1.06684190511447</c:v>
                </c:pt>
                <c:pt idx="81">
                  <c:v>0.92449292062687372</c:v>
                </c:pt>
                <c:pt idx="82">
                  <c:v>0.7272317936445527</c:v>
                </c:pt>
                <c:pt idx="83">
                  <c:v>0.64148984599795222</c:v>
                </c:pt>
                <c:pt idx="84">
                  <c:v>0.47648057224986196</c:v>
                </c:pt>
                <c:pt idx="85">
                  <c:v>0.32282750637696261</c:v>
                </c:pt>
                <c:pt idx="86">
                  <c:v>0.2238573564203547</c:v>
                </c:pt>
                <c:pt idx="87">
                  <c:v>0.14264623796162224</c:v>
                </c:pt>
                <c:pt idx="88">
                  <c:v>1.0788359032234938</c:v>
                </c:pt>
                <c:pt idx="89">
                  <c:v>0.93465244226250221</c:v>
                </c:pt>
                <c:pt idx="90">
                  <c:v>0.74023901546435023</c:v>
                </c:pt>
                <c:pt idx="91">
                  <c:v>0.64524468622447506</c:v>
                </c:pt>
                <c:pt idx="92">
                  <c:v>0.47860450346298195</c:v>
                </c:pt>
                <c:pt idx="93">
                  <c:v>0.32406277938969347</c:v>
                </c:pt>
                <c:pt idx="94">
                  <c:v>0.22483118510972766</c:v>
                </c:pt>
                <c:pt idx="95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1.1341320917606239</c:v>
                </c:pt>
                <c:pt idx="1">
                  <c:v>1.0567559483299949</c:v>
                </c:pt>
                <c:pt idx="2">
                  <c:v>0.90153884682400254</c:v>
                </c:pt>
                <c:pt idx="3">
                  <c:v>0.74953548211251608</c:v>
                </c:pt>
                <c:pt idx="4">
                  <c:v>0.51122078168800444</c:v>
                </c:pt>
                <c:pt idx="5">
                  <c:v>0.34345258617321206</c:v>
                </c:pt>
                <c:pt idx="6">
                  <c:v>0.2446056861018612</c:v>
                </c:pt>
                <c:pt idx="7">
                  <c:v>0.15739228831669186</c:v>
                </c:pt>
                <c:pt idx="8">
                  <c:v>1.1363495702894149</c:v>
                </c:pt>
                <c:pt idx="9">
                  <c:v>1.048138918840164</c:v>
                </c:pt>
                <c:pt idx="10">
                  <c:v>0.88856643339239971</c:v>
                </c:pt>
                <c:pt idx="11">
                  <c:v>0.74632223562401134</c:v>
                </c:pt>
                <c:pt idx="12">
                  <c:v>0.5109134833785498</c:v>
                </c:pt>
                <c:pt idx="13">
                  <c:v>0.34280014038351342</c:v>
                </c:pt>
                <c:pt idx="14">
                  <c:v>0.24394592307730428</c:v>
                </c:pt>
                <c:pt idx="15">
                  <c:v>0.15692762546383879</c:v>
                </c:pt>
                <c:pt idx="16">
                  <c:v>1.1363414347368874</c:v>
                </c:pt>
                <c:pt idx="17">
                  <c:v>1.0421825850749162</c:v>
                </c:pt>
                <c:pt idx="18">
                  <c:v>0.88300823658387562</c:v>
                </c:pt>
                <c:pt idx="19">
                  <c:v>0.74475486976212746</c:v>
                </c:pt>
                <c:pt idx="20">
                  <c:v>0.51024027790799487</c:v>
                </c:pt>
                <c:pt idx="21">
                  <c:v>0.34197012684268036</c:v>
                </c:pt>
                <c:pt idx="22">
                  <c:v>0.24323349627591812</c:v>
                </c:pt>
                <c:pt idx="23">
                  <c:v>0.15644847563221206</c:v>
                </c:pt>
                <c:pt idx="24">
                  <c:v>1.1351319492612326</c:v>
                </c:pt>
                <c:pt idx="25">
                  <c:v>1.0328422444596184</c:v>
                </c:pt>
                <c:pt idx="26">
                  <c:v>0.87611250578399513</c:v>
                </c:pt>
                <c:pt idx="27">
                  <c:v>0.74309802829001781</c:v>
                </c:pt>
                <c:pt idx="28">
                  <c:v>0.50923154511026247</c:v>
                </c:pt>
                <c:pt idx="29">
                  <c:v>0.3407406455977201</c:v>
                </c:pt>
                <c:pt idx="30">
                  <c:v>0.24216681791003478</c:v>
                </c:pt>
                <c:pt idx="31">
                  <c:v>0.1557479177030327</c:v>
                </c:pt>
                <c:pt idx="32">
                  <c:v>1.132620775381286</c:v>
                </c:pt>
                <c:pt idx="33">
                  <c:v>1.0245809323630557</c:v>
                </c:pt>
                <c:pt idx="34">
                  <c:v>0.87122406673706843</c:v>
                </c:pt>
                <c:pt idx="35">
                  <c:v>0.74221252828537065</c:v>
                </c:pt>
                <c:pt idx="36">
                  <c:v>0.50822066149633049</c:v>
                </c:pt>
                <c:pt idx="37">
                  <c:v>0.33969081111913207</c:v>
                </c:pt>
                <c:pt idx="38">
                  <c:v>0.24132378887047165</c:v>
                </c:pt>
                <c:pt idx="39">
                  <c:v>0.15521615979352593</c:v>
                </c:pt>
                <c:pt idx="40">
                  <c:v>1.1289082515782114</c:v>
                </c:pt>
                <c:pt idx="41">
                  <c:v>1.0160594973200121</c:v>
                </c:pt>
                <c:pt idx="42">
                  <c:v>0.86766127249046365</c:v>
                </c:pt>
                <c:pt idx="43">
                  <c:v>0.74140107706160008</c:v>
                </c:pt>
                <c:pt idx="44">
                  <c:v>0.50719794839329879</c:v>
                </c:pt>
                <c:pt idx="45">
                  <c:v>0.33876528917086041</c:v>
                </c:pt>
                <c:pt idx="46">
                  <c:v>0.2406197699384961</c:v>
                </c:pt>
                <c:pt idx="47">
                  <c:v>0.15479832297352913</c:v>
                </c:pt>
                <c:pt idx="48">
                  <c:v>1.1288594382630501</c:v>
                </c:pt>
                <c:pt idx="49">
                  <c:v>1.013708756618483</c:v>
                </c:pt>
                <c:pt idx="50">
                  <c:v>0.87829813540246293</c:v>
                </c:pt>
                <c:pt idx="51">
                  <c:v>0.7476396868504378</c:v>
                </c:pt>
                <c:pt idx="52">
                  <c:v>0.51010477648740427</c:v>
                </c:pt>
                <c:pt idx="53">
                  <c:v>0.34092105036732595</c:v>
                </c:pt>
                <c:pt idx="54">
                  <c:v>0.24252106947453211</c:v>
                </c:pt>
                <c:pt idx="55">
                  <c:v>0.15625734556509394</c:v>
                </c:pt>
                <c:pt idx="56">
                  <c:v>1.1348065271601597</c:v>
                </c:pt>
                <c:pt idx="57">
                  <c:v>1.0182271885406846</c:v>
                </c:pt>
                <c:pt idx="58">
                  <c:v>0.87849827011820647</c:v>
                </c:pt>
                <c:pt idx="59">
                  <c:v>0.74608311976909802</c:v>
                </c:pt>
                <c:pt idx="60">
                  <c:v>0.50925412868036102</c:v>
                </c:pt>
                <c:pt idx="61">
                  <c:v>0.34020170529860377</c:v>
                </c:pt>
                <c:pt idx="62">
                  <c:v>0.24186077146349108</c:v>
                </c:pt>
                <c:pt idx="63">
                  <c:v>0.15573429258933713</c:v>
                </c:pt>
                <c:pt idx="64">
                  <c:v>1.1393624365751818</c:v>
                </c:pt>
                <c:pt idx="65">
                  <c:v>1.021748482501377</c:v>
                </c:pt>
                <c:pt idx="66">
                  <c:v>0.87982193338668913</c:v>
                </c:pt>
                <c:pt idx="67">
                  <c:v>0.74612631489127557</c:v>
                </c:pt>
                <c:pt idx="68">
                  <c:v>0.50923907296696169</c:v>
                </c:pt>
                <c:pt idx="69">
                  <c:v>0.34012590497523976</c:v>
                </c:pt>
                <c:pt idx="70">
                  <c:v>0.2417340928977057</c:v>
                </c:pt>
                <c:pt idx="71">
                  <c:v>0.15563021185971823</c:v>
                </c:pt>
                <c:pt idx="72">
                  <c:v>1.1472152963185571</c:v>
                </c:pt>
                <c:pt idx="73">
                  <c:v>1.0287905475805508</c:v>
                </c:pt>
                <c:pt idx="74">
                  <c:v>0.88330492091573898</c:v>
                </c:pt>
                <c:pt idx="75">
                  <c:v>0.7471066233190895</c:v>
                </c:pt>
                <c:pt idx="76">
                  <c:v>0.50972482009077624</c:v>
                </c:pt>
                <c:pt idx="77">
                  <c:v>0.34035318903088446</c:v>
                </c:pt>
                <c:pt idx="78">
                  <c:v>0.24178946291098924</c:v>
                </c:pt>
                <c:pt idx="79">
                  <c:v>0.15564472947856078</c:v>
                </c:pt>
                <c:pt idx="80">
                  <c:v>1.1604893665115708</c:v>
                </c:pt>
                <c:pt idx="81">
                  <c:v>1.0388483998377638</c:v>
                </c:pt>
                <c:pt idx="82">
                  <c:v>0.88932312692639359</c:v>
                </c:pt>
                <c:pt idx="83">
                  <c:v>0.74968425806393879</c:v>
                </c:pt>
                <c:pt idx="84">
                  <c:v>0.51095172964281299</c:v>
                </c:pt>
                <c:pt idx="85">
                  <c:v>0.34115683835467658</c:v>
                </c:pt>
                <c:pt idx="86">
                  <c:v>0.24225476482573904</c:v>
                </c:pt>
                <c:pt idx="87">
                  <c:v>0.15592593543012154</c:v>
                </c:pt>
                <c:pt idx="88">
                  <c:v>1.171181802391589</c:v>
                </c:pt>
                <c:pt idx="89">
                  <c:v>1.0485559542163709</c:v>
                </c:pt>
                <c:pt idx="90">
                  <c:v>0.89607657884985892</c:v>
                </c:pt>
                <c:pt idx="91">
                  <c:v>0.75338774772404538</c:v>
                </c:pt>
                <c:pt idx="92">
                  <c:v>0.5128394270725648</c:v>
                </c:pt>
                <c:pt idx="93">
                  <c:v>0.34231417657122359</c:v>
                </c:pt>
                <c:pt idx="94">
                  <c:v>0.24303021306316197</c:v>
                </c:pt>
                <c:pt idx="95">
                  <c:v>0.15642704316798575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0.34257880343929148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1.1186777765280893</c:v>
                </c:pt>
                <c:pt idx="1">
                  <c:v>1.1186777765280893</c:v>
                </c:pt>
                <c:pt idx="2">
                  <c:v>1.1186777765280893</c:v>
                </c:pt>
                <c:pt idx="3">
                  <c:v>1.1186777765280893</c:v>
                </c:pt>
                <c:pt idx="4">
                  <c:v>1.1186777765280893</c:v>
                </c:pt>
                <c:pt idx="5">
                  <c:v>1.1186777765280893</c:v>
                </c:pt>
                <c:pt idx="6">
                  <c:v>1.1186777765280893</c:v>
                </c:pt>
                <c:pt idx="7">
                  <c:v>1.1186777765280893</c:v>
                </c:pt>
                <c:pt idx="8">
                  <c:v>1.1186777765280893</c:v>
                </c:pt>
                <c:pt idx="9">
                  <c:v>1.1186777765280893</c:v>
                </c:pt>
                <c:pt idx="10">
                  <c:v>1.1186777765280893</c:v>
                </c:pt>
                <c:pt idx="11">
                  <c:v>1.1186777765280893</c:v>
                </c:pt>
                <c:pt idx="12">
                  <c:v>1.1186777765280893</c:v>
                </c:pt>
                <c:pt idx="13">
                  <c:v>1.1186777765280893</c:v>
                </c:pt>
                <c:pt idx="14">
                  <c:v>1.1186777765280893</c:v>
                </c:pt>
                <c:pt idx="15">
                  <c:v>1.1186777765280893</c:v>
                </c:pt>
                <c:pt idx="16">
                  <c:v>1.1186777765280893</c:v>
                </c:pt>
                <c:pt idx="17">
                  <c:v>1.1186777765280893</c:v>
                </c:pt>
                <c:pt idx="18">
                  <c:v>1.1186777765280893</c:v>
                </c:pt>
                <c:pt idx="19">
                  <c:v>1.1186777765280893</c:v>
                </c:pt>
                <c:pt idx="20">
                  <c:v>1.1186777765280893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0.53936759039999371</c:v>
                </c:pt>
                <c:pt idx="1">
                  <c:v>0.55560072228492241</c:v>
                </c:pt>
                <c:pt idx="2">
                  <c:v>0.56967564845694629</c:v>
                </c:pt>
                <c:pt idx="3">
                  <c:v>0.58062029493102318</c:v>
                </c:pt>
                <c:pt idx="4">
                  <c:v>0.58987514440001365</c:v>
                </c:pt>
                <c:pt idx="5">
                  <c:v>0.59738731200980921</c:v>
                </c:pt>
                <c:pt idx="6">
                  <c:v>0.60340611207263561</c:v>
                </c:pt>
                <c:pt idx="7">
                  <c:v>0.60813552902576873</c:v>
                </c:pt>
                <c:pt idx="8">
                  <c:v>0.61206159986172959</c:v>
                </c:pt>
                <c:pt idx="9">
                  <c:v>0.61508862817784571</c:v>
                </c:pt>
                <c:pt idx="10">
                  <c:v>0.61695218970357446</c:v>
                </c:pt>
                <c:pt idx="11">
                  <c:v>0.61893159424306465</c:v>
                </c:pt>
                <c:pt idx="12">
                  <c:v>0.62042244346364761</c:v>
                </c:pt>
                <c:pt idx="13">
                  <c:v>0.6213945174486899</c:v>
                </c:pt>
                <c:pt idx="14">
                  <c:v>0.62199891578135857</c:v>
                </c:pt>
                <c:pt idx="15">
                  <c:v>0.62236659143373219</c:v>
                </c:pt>
                <c:pt idx="16">
                  <c:v>0.62318252918283501</c:v>
                </c:pt>
                <c:pt idx="17">
                  <c:v>0.62393299044589867</c:v>
                </c:pt>
                <c:pt idx="18">
                  <c:v>0.62448954057723116</c:v>
                </c:pt>
                <c:pt idx="19">
                  <c:v>0.62491513773648544</c:v>
                </c:pt>
                <c:pt idx="20">
                  <c:v>0.62519215363895864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46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396599</xdr:colOff>
      <xdr:row>11</xdr:row>
      <xdr:rowOff>153297</xdr:rowOff>
    </xdr:from>
    <xdr:to>
      <xdr:col>46</xdr:col>
      <xdr:colOff>89590</xdr:colOff>
      <xdr:row>28</xdr:row>
      <xdr:rowOff>140597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65F154-88C0-494C-B051-E59EF8393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123825</xdr:colOff>
      <xdr:row>200</xdr:row>
      <xdr:rowOff>15875</xdr:rowOff>
    </xdr:from>
    <xdr:to>
      <xdr:col>48</xdr:col>
      <xdr:colOff>285750</xdr:colOff>
      <xdr:row>224</xdr:row>
      <xdr:rowOff>130175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323851</xdr:colOff>
      <xdr:row>80</xdr:row>
      <xdr:rowOff>123825</xdr:rowOff>
    </xdr:from>
    <xdr:to>
      <xdr:col>52</xdr:col>
      <xdr:colOff>333375</xdr:colOff>
      <xdr:row>112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Kokou\Kokou_Case_study_1_Steel_Column\Numerical%20model_validation\Result_new%20-%20Copy.xlsm" TargetMode="External"/><Relationship Id="rId1" Type="http://schemas.openxmlformats.org/officeDocument/2006/relationships/externalLinkPath" Target="Result_new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cal and Global"/>
      <sheetName val="Global Only"/>
      <sheetName val="HR_Local and Global"/>
      <sheetName val="HR_Global Only"/>
      <sheetName val="Sheet1"/>
      <sheetName val="Local"/>
      <sheetName val="Sheet2"/>
      <sheetName val="Result_new - Copy"/>
    </sheetNames>
    <definedNames>
      <definedName name="CreatCount"/>
      <definedName name="Get_R_b_L"/>
      <definedName name="Read_Filename_da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zoomScaleNormal="100" workbookViewId="0">
      <pane ySplit="5" topLeftCell="A48" activePane="bottomLeft" state="frozen"/>
      <selection pane="bottomLeft" activeCell="AF295" sqref="AF295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58" t="s">
        <v>0</v>
      </c>
      <c r="J2" s="5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60" t="s">
        <v>1</v>
      </c>
      <c r="J3" s="61"/>
      <c r="K3" s="13" t="s">
        <v>626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57" t="s">
        <v>26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26" t="s">
        <v>27</v>
      </c>
      <c r="T4" s="62" t="s">
        <v>30</v>
      </c>
      <c r="U4" s="62"/>
      <c r="V4" s="62" t="s">
        <v>515</v>
      </c>
      <c r="W4" s="62"/>
      <c r="X4" s="62"/>
      <c r="Y4" s="62"/>
      <c r="Z4" s="62"/>
      <c r="AA4" s="62"/>
      <c r="AB4" s="62"/>
      <c r="AC4" s="62"/>
      <c r="AD4" s="62"/>
      <c r="AE4" s="57" t="s">
        <v>3</v>
      </c>
      <c r="AF4" s="57" t="s">
        <v>4</v>
      </c>
      <c r="AG4" s="57" t="s">
        <v>224</v>
      </c>
      <c r="AH4" s="57" t="s">
        <v>225</v>
      </c>
      <c r="AI4" s="57" t="s">
        <v>223</v>
      </c>
      <c r="AJ4" s="57" t="s">
        <v>525</v>
      </c>
      <c r="AK4" s="57" t="s">
        <v>526</v>
      </c>
      <c r="AL4" s="57" t="s">
        <v>624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57"/>
      <c r="AF5" s="57"/>
      <c r="AG5" s="57"/>
      <c r="AH5" s="57"/>
      <c r="AI5" s="57"/>
      <c r="AJ5" s="57"/>
      <c r="AK5" s="57"/>
      <c r="AL5" s="57"/>
      <c r="AM5" s="5" t="s">
        <v>627</v>
      </c>
      <c r="AN5" s="5" t="s">
        <v>625</v>
      </c>
      <c r="AO5" s="5" t="s">
        <v>628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3.7125599999999999</v>
      </c>
      <c r="X6" s="15"/>
      <c r="Y6" s="15"/>
      <c r="Z6" s="15"/>
      <c r="AA6" s="16">
        <f>AK6</f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1.0067908962997172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4.0071899999999996</v>
      </c>
      <c r="X7" s="15"/>
      <c r="Y7" s="15"/>
      <c r="Z7" s="15"/>
      <c r="AA7" s="16">
        <f t="shared" ref="AA7:AA70" si="3">AK7</f>
        <v>0.96515006472961806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0.96515006472961806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4.5187799999999996</v>
      </c>
      <c r="X8" s="15"/>
      <c r="Y8" s="15"/>
      <c r="Z8" s="15"/>
      <c r="AA8" s="16">
        <f t="shared" si="3"/>
        <v>0.89541064436446482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0.89541064436446482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4.9148500000000004</v>
      </c>
      <c r="X9" s="15"/>
      <c r="Y9" s="15"/>
      <c r="Z9" s="15"/>
      <c r="AA9" s="16">
        <f t="shared" si="3"/>
        <v>0.75820552227174076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0.75820552227174076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4.8433799999999998</v>
      </c>
      <c r="X10" s="15"/>
      <c r="Y10" s="15"/>
      <c r="Z10" s="15"/>
      <c r="AA10" s="16">
        <f t="shared" si="3"/>
        <v>0.52086100830288262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0.52086100830288262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4.59415</v>
      </c>
      <c r="X11" s="15"/>
      <c r="Y11" s="15"/>
      <c r="Z11" s="15"/>
      <c r="AA11" s="16">
        <f t="shared" si="3"/>
        <v>0.34823805558162985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0.34823805558162985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4.4222900000000003</v>
      </c>
      <c r="X12" s="15"/>
      <c r="Y12" s="15"/>
      <c r="Z12" s="15"/>
      <c r="AA12" s="16">
        <f t="shared" si="3"/>
        <v>0.24788024543680795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0.24788024543680795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4.2349899999999998</v>
      </c>
      <c r="X13" s="15"/>
      <c r="Y13" s="15"/>
      <c r="Z13" s="15"/>
      <c r="AA13" s="16">
        <f t="shared" si="3"/>
        <v>0.16028394513750838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0.16028394513750838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3.69326</v>
      </c>
      <c r="X14" s="15"/>
      <c r="Y14" s="15"/>
      <c r="Z14" s="15"/>
      <c r="AA14" s="16">
        <f t="shared" si="3"/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1.0015570241741261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3.97132</v>
      </c>
      <c r="X15" s="15"/>
      <c r="Y15" s="15"/>
      <c r="Z15" s="15"/>
      <c r="AA15" s="16">
        <f t="shared" si="3"/>
        <v>0.95651061094233814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0.95651061094233814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4.4564399999999997</v>
      </c>
      <c r="X16" s="15"/>
      <c r="Y16" s="15"/>
      <c r="Z16" s="15"/>
      <c r="AA16" s="16">
        <f t="shared" si="3"/>
        <v>0.88305777487985138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0.88305777487985138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4.8750400000000003</v>
      </c>
      <c r="X17" s="15"/>
      <c r="Y17" s="15"/>
      <c r="Z17" s="15"/>
      <c r="AA17" s="16">
        <f t="shared" si="3"/>
        <v>0.75206410150780345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0.75206410150780345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4.8126300000000004</v>
      </c>
      <c r="X18" s="15"/>
      <c r="Y18" s="15"/>
      <c r="Z18" s="15"/>
      <c r="AA18" s="16">
        <f t="shared" si="3"/>
        <v>0.51755412839560466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0.51755412839560466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4.5620900000000004</v>
      </c>
      <c r="X19" s="15"/>
      <c r="Y19" s="15"/>
      <c r="Z19" s="15"/>
      <c r="AA19" s="16">
        <f t="shared" si="3"/>
        <v>0.34580789721458771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0.34580789721458771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4.3897899999999996</v>
      </c>
      <c r="X20" s="15"/>
      <c r="Y20" s="15"/>
      <c r="Z20" s="15"/>
      <c r="AA20" s="16">
        <f t="shared" si="3"/>
        <v>0.24605854039785843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0.24605854039785843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4.2003300000000001</v>
      </c>
      <c r="X21" s="15"/>
      <c r="Y21" s="15"/>
      <c r="Z21" s="15"/>
      <c r="AA21" s="16">
        <f t="shared" si="3"/>
        <v>0.15897214946893162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0.15897214946893162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3.6704699999999999</v>
      </c>
      <c r="X22" s="15"/>
      <c r="Y22" s="15"/>
      <c r="Z22" s="15"/>
      <c r="AA22" s="16">
        <f t="shared" si="3"/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0.99537671610458078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3.9418899999999999</v>
      </c>
      <c r="X23" s="15"/>
      <c r="Y23" s="15"/>
      <c r="Z23" s="15"/>
      <c r="AA23" s="16">
        <f t="shared" si="3"/>
        <v>0.94942226065073898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0.94942226065073898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4.4129300000000002</v>
      </c>
      <c r="X24" s="15"/>
      <c r="Y24" s="15"/>
      <c r="Z24" s="15"/>
      <c r="AA24" s="16">
        <f t="shared" si="3"/>
        <v>0.87443612984816188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0.87443612984816188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4.8507300000000004</v>
      </c>
      <c r="X25" s="15"/>
      <c r="Y25" s="15"/>
      <c r="Z25" s="15"/>
      <c r="AA25" s="16">
        <f t="shared" si="3"/>
        <v>0.74831383929299977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0.74831383929299977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4.7945599999999997</v>
      </c>
      <c r="X26" s="15"/>
      <c r="Y26" s="15"/>
      <c r="Z26" s="15"/>
      <c r="AA26" s="16">
        <f t="shared" si="3"/>
        <v>0.51561086595903483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0.51561086595903483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4.5441500000000001</v>
      </c>
      <c r="X27" s="15"/>
      <c r="Y27" s="15"/>
      <c r="Z27" s="15"/>
      <c r="AA27" s="16">
        <f t="shared" si="3"/>
        <v>0.3444480394134416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0.3444480394134416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4.37134</v>
      </c>
      <c r="X28" s="15"/>
      <c r="Y28" s="15"/>
      <c r="Z28" s="15"/>
      <c r="AA28" s="16">
        <f t="shared" si="3"/>
        <v>0.24502437246036229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0.24502437246036229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4.1818200000000001</v>
      </c>
      <c r="X29" s="15"/>
      <c r="Y29" s="15"/>
      <c r="Z29" s="15"/>
      <c r="AA29" s="16">
        <f t="shared" si="3"/>
        <v>0.15827159153975226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0.15827159153975226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3.4416099999999998</v>
      </c>
      <c r="X30" s="15"/>
      <c r="Y30" s="15"/>
      <c r="Z30" s="15"/>
      <c r="AA30" s="16">
        <f t="shared" si="3"/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0.93331329772827099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3.7743099999999998</v>
      </c>
      <c r="X31" s="15"/>
      <c r="Y31" s="15"/>
      <c r="Z31" s="15"/>
      <c r="AA31" s="16">
        <f t="shared" si="3"/>
        <v>0.90905985012181756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0.90905985012181756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4.2838599999999998</v>
      </c>
      <c r="X32" s="15"/>
      <c r="Y32" s="15"/>
      <c r="Z32" s="15"/>
      <c r="AA32" s="16">
        <f t="shared" si="3"/>
        <v>0.84886049840159417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0.84886049840159417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4.7848100000000002</v>
      </c>
      <c r="X33" s="15"/>
      <c r="Y33" s="15"/>
      <c r="Z33" s="15"/>
      <c r="AA33" s="16">
        <f t="shared" si="3"/>
        <v>0.73814447338597267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0.73814447338597267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4.7570399999999999</v>
      </c>
      <c r="X34" s="15"/>
      <c r="Y34" s="15"/>
      <c r="Z34" s="15"/>
      <c r="AA34" s="16">
        <f t="shared" si="3"/>
        <v>0.51157593476810537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0.51157593476810537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4.5103099999999996</v>
      </c>
      <c r="X35" s="15"/>
      <c r="Y35" s="15"/>
      <c r="Z35" s="15"/>
      <c r="AA35" s="16">
        <f t="shared" si="3"/>
        <v>0.34188295647081196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0.34188295647081196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4.3391500000000001</v>
      </c>
      <c r="X36" s="15"/>
      <c r="Y36" s="15"/>
      <c r="Z36" s="15"/>
      <c r="AA36" s="16">
        <f t="shared" si="3"/>
        <v>0.24322004368486122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0.24322004368486122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4.1529100000000003</v>
      </c>
      <c r="X37" s="15"/>
      <c r="Y37" s="15"/>
      <c r="Z37" s="15"/>
      <c r="AA37" s="16">
        <f t="shared" si="3"/>
        <v>0.15717741921492379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0.15717741921492379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3.1341800000000002</v>
      </c>
      <c r="X38" s="15"/>
      <c r="Y38" s="15"/>
      <c r="Z38" s="15"/>
      <c r="AA38" s="16">
        <f t="shared" si="3"/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0.84994286728420476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3.4108299999999998</v>
      </c>
      <c r="X39" s="15"/>
      <c r="Y39" s="15"/>
      <c r="Z39" s="15"/>
      <c r="AA39" s="16">
        <f t="shared" si="3"/>
        <v>0.82151402735625823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0.82151402735625823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3.90219</v>
      </c>
      <c r="X40" s="15"/>
      <c r="Y40" s="15"/>
      <c r="Z40" s="15"/>
      <c r="AA40" s="16">
        <f t="shared" si="3"/>
        <v>0.7732313727007224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0.7732313727007224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4.5278499999999999</v>
      </c>
      <c r="X41" s="15"/>
      <c r="Y41" s="15"/>
      <c r="Z41" s="15"/>
      <c r="AA41" s="16">
        <f t="shared" si="3"/>
        <v>0.6985036926901329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0.6985036926901329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4.6929600000000002</v>
      </c>
      <c r="X42" s="15"/>
      <c r="Y42" s="15"/>
      <c r="Z42" s="15"/>
      <c r="AA42" s="16">
        <f t="shared" si="3"/>
        <v>0.50468471966376738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0.50468471966376738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4.4724700000000004</v>
      </c>
      <c r="X43" s="15"/>
      <c r="Y43" s="15"/>
      <c r="Z43" s="15"/>
      <c r="AA43" s="16">
        <f t="shared" si="3"/>
        <v>0.3390146722347272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0.3390146722347272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4.3064600000000004</v>
      </c>
      <c r="X44" s="15"/>
      <c r="Y44" s="15"/>
      <c r="Z44" s="15"/>
      <c r="AA44" s="16">
        <f t="shared" si="3"/>
        <v>0.24138768867799157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0.24138768867799157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4.1268500000000001</v>
      </c>
      <c r="X45" s="15"/>
      <c r="Y45" s="15"/>
      <c r="Z45" s="15"/>
      <c r="AA45" s="16">
        <f t="shared" si="3"/>
        <v>0.15619111237351838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0.15619111237351838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3.0891999999999999</v>
      </c>
      <c r="X46" s="15"/>
      <c r="Y46" s="15"/>
      <c r="Z46" s="15"/>
      <c r="AA46" s="16">
        <f t="shared" si="3"/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0.83774496219565131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3.3028400000000002</v>
      </c>
      <c r="X47" s="15"/>
      <c r="Y47" s="15"/>
      <c r="Z47" s="15"/>
      <c r="AA47" s="16">
        <f t="shared" si="3"/>
        <v>0.79550414125398938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0.79550414125398938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3.7145100000000002</v>
      </c>
      <c r="X48" s="15"/>
      <c r="Y48" s="15"/>
      <c r="Z48" s="15"/>
      <c r="AA48" s="16">
        <f t="shared" si="3"/>
        <v>0.73604198314550606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0.73604198314550606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4.3075599999999996</v>
      </c>
      <c r="X49" s="15"/>
      <c r="Y49" s="15"/>
      <c r="Z49" s="15"/>
      <c r="AA49" s="16">
        <f t="shared" si="3"/>
        <v>0.6645199303166649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0.6645199303166649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4.5796299999999999</v>
      </c>
      <c r="X50" s="15"/>
      <c r="Y50" s="15"/>
      <c r="Z50" s="15"/>
      <c r="AA50" s="16">
        <f t="shared" si="3"/>
        <v>0.49249711966728449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0.49249711966728449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4.4252500000000001</v>
      </c>
      <c r="X51" s="15"/>
      <c r="Y51" s="15"/>
      <c r="Z51" s="15"/>
      <c r="AA51" s="16">
        <f t="shared" si="3"/>
        <v>0.33543538096549053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0.33543538096549053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4.2767299999999997</v>
      </c>
      <c r="X52" s="15"/>
      <c r="Y52" s="15"/>
      <c r="Z52" s="15"/>
      <c r="AA52" s="16">
        <f t="shared" si="3"/>
        <v>0.23972124896082345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0.23972124896082345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4.1063099999999997</v>
      </c>
      <c r="X53" s="15"/>
      <c r="Y53" s="15"/>
      <c r="Z53" s="15"/>
      <c r="AA53" s="16">
        <f t="shared" si="3"/>
        <v>0.15541372394211139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0.15541372394211139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3.6763300000000001</v>
      </c>
      <c r="X54" s="15"/>
      <c r="Y54" s="15"/>
      <c r="Z54" s="15"/>
      <c r="AA54" s="16">
        <f t="shared" si="3"/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0.9969658606981544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3.8664999999999998</v>
      </c>
      <c r="X55" s="15"/>
      <c r="Y55" s="15"/>
      <c r="Z55" s="15"/>
      <c r="AA55" s="16">
        <f t="shared" si="3"/>
        <v>0.93126423385890578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0.93126423385890578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4.2662699999999996</v>
      </c>
      <c r="X56" s="15"/>
      <c r="Y56" s="15"/>
      <c r="Z56" s="15"/>
      <c r="AA56" s="16">
        <f t="shared" si="3"/>
        <v>0.84537498389671217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0.84537498389671217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4.7730800000000002</v>
      </c>
      <c r="X57" s="15"/>
      <c r="Y57" s="15"/>
      <c r="Z57" s="15"/>
      <c r="AA57" s="16">
        <f t="shared" si="3"/>
        <v>0.73633490630330534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0.73633490630330534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4.7332999999999998</v>
      </c>
      <c r="X58" s="15"/>
      <c r="Y58" s="15"/>
      <c r="Z58" s="15"/>
      <c r="AA58" s="16">
        <f t="shared" si="3"/>
        <v>0.50902291593887639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0.50902291593887639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4.4908799999999998</v>
      </c>
      <c r="X59" s="15"/>
      <c r="Y59" s="15"/>
      <c r="Z59" s="15"/>
      <c r="AA59" s="16">
        <f t="shared" si="3"/>
        <v>0.34041015618785403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0.34041015618785403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4.3266999999999998</v>
      </c>
      <c r="X60" s="15"/>
      <c r="Y60" s="15"/>
      <c r="Z60" s="15"/>
      <c r="AA60" s="16">
        <f t="shared" si="3"/>
        <v>0.24252219052378668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0.24252219052378668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4.1508900000000004</v>
      </c>
      <c r="X61" s="15"/>
      <c r="Y61" s="15"/>
      <c r="Z61" s="15"/>
      <c r="AA61" s="16">
        <f t="shared" si="3"/>
        <v>0.15710096718807653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0.15710096718807653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3.6179999999999999</v>
      </c>
      <c r="X62" s="15"/>
      <c r="Y62" s="15"/>
      <c r="Z62" s="15"/>
      <c r="AA62" s="16">
        <f t="shared" si="3"/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0.98114763473516298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3.8237199999999998</v>
      </c>
      <c r="X63" s="15"/>
      <c r="Y63" s="15"/>
      <c r="Z63" s="15"/>
      <c r="AA63" s="16">
        <f t="shared" si="3"/>
        <v>0.92096047492330946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0.92096047492330946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4.2092799999999997</v>
      </c>
      <c r="X64" s="15"/>
      <c r="Y64" s="15"/>
      <c r="Z64" s="15"/>
      <c r="AA64" s="16">
        <f t="shared" si="3"/>
        <v>0.83408223394598857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0.83408223394598857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4.6981400000000004</v>
      </c>
      <c r="X65" s="15"/>
      <c r="Y65" s="15"/>
      <c r="Z65" s="15"/>
      <c r="AA65" s="16">
        <f t="shared" si="3"/>
        <v>0.7247740403889753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0.7247740403889753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4.6850500000000004</v>
      </c>
      <c r="X66" s="15"/>
      <c r="Y66" s="15"/>
      <c r="Z66" s="15"/>
      <c r="AA66" s="16">
        <f t="shared" si="3"/>
        <v>0.50383407185672446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0.50383407185672446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4.4528699999999999</v>
      </c>
      <c r="X67" s="15"/>
      <c r="Y67" s="15"/>
      <c r="Z67" s="15"/>
      <c r="AA67" s="16">
        <f t="shared" si="3"/>
        <v>0.33752898589679736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0.33752898589679736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4.2913699999999997</v>
      </c>
      <c r="X68" s="15"/>
      <c r="Y68" s="15"/>
      <c r="Z68" s="15"/>
      <c r="AA68" s="16">
        <f t="shared" si="3"/>
        <v>0.24054185701529165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0.24054185701529165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4.1183199999999998</v>
      </c>
      <c r="X69" s="15"/>
      <c r="Y69" s="15"/>
      <c r="Z69" s="15"/>
      <c r="AA69" s="16">
        <f t="shared" si="3"/>
        <v>0.15586827287400998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0.15586827287400998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3.57212</v>
      </c>
      <c r="X70" s="15"/>
      <c r="Y70" s="15"/>
      <c r="Z70" s="15"/>
      <c r="AA70" s="16">
        <f t="shared" si="3"/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0.96870566307080441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3.7747000000000002</v>
      </c>
      <c r="X71" s="15"/>
      <c r="Y71" s="15"/>
      <c r="Z71" s="15"/>
      <c r="AA71" s="16">
        <f t="shared" ref="AA71:AA134" si="11">AK71</f>
        <v>0.90915378340804653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2">W71*S71</f>
        <v>9393.5286733960784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0.90915378340804653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4.1605999999999996</v>
      </c>
      <c r="X72" s="15"/>
      <c r="Y72" s="15"/>
      <c r="Z72" s="15"/>
      <c r="AA72" s="16">
        <f t="shared" si="11"/>
        <v>0.82443613695351214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8518.2118066167513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0.82443613695351214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4.6377800000000002</v>
      </c>
      <c r="X73" s="15"/>
      <c r="Y73" s="15"/>
      <c r="Z73" s="15"/>
      <c r="AA73" s="16">
        <f t="shared" si="11"/>
        <v>0.71546240619376666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7392.2770272427115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0.71546240619376666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4.6494299999999997</v>
      </c>
      <c r="X74" s="15"/>
      <c r="Y74" s="15"/>
      <c r="Z74" s="15"/>
      <c r="AA74" s="16">
        <f t="shared" si="11"/>
        <v>0.50000346820478114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5166.1193090708157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0.50000346820478114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0"/>
        <v>13.192555857592348</v>
      </c>
      <c r="W75" s="15">
        <v>4.42821</v>
      </c>
      <c r="X75" s="15"/>
      <c r="Y75" s="15"/>
      <c r="Z75" s="15"/>
      <c r="AA75" s="16">
        <f t="shared" si="11"/>
        <v>0.33565974992264708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3468.0925745960394</v>
      </c>
      <c r="AH75" s="17">
        <v>2741.1355855043321</v>
      </c>
      <c r="AI75" s="15">
        <f t="shared" si="13"/>
        <v>4.7303796685404098</v>
      </c>
      <c r="AJ75" s="17">
        <f t="shared" si="14"/>
        <v>1.67</v>
      </c>
      <c r="AK75" s="15">
        <f t="shared" si="15"/>
        <v>0.33565974992264708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4.2704300000000002</v>
      </c>
      <c r="X76" s="15"/>
      <c r="Y76" s="15"/>
      <c r="Z76" s="15"/>
      <c r="AA76" s="16">
        <f t="shared" si="11"/>
        <v>0.2393681184455809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2473.1913622871161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0.2393681184455809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4.1021799999999997</v>
      </c>
      <c r="X77" s="15"/>
      <c r="Y77" s="15"/>
      <c r="Z77" s="15"/>
      <c r="AA77" s="16">
        <f t="shared" si="11"/>
        <v>0.15525741360999298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1604.14551764365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0.15525741360999298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3.16113</v>
      </c>
      <c r="X78" s="15"/>
      <c r="Y78" s="15"/>
      <c r="Z78" s="15"/>
      <c r="AA78" s="16">
        <f t="shared" si="11"/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6802.4479674829427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0.86843821756746331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3.3769800000000001</v>
      </c>
      <c r="X79" s="15"/>
      <c r="Y79" s="15"/>
      <c r="Z79" s="15"/>
      <c r="AA79" s="16">
        <f t="shared" si="11"/>
        <v>0.83496903496968833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2"/>
        <v>6540.2849620670013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0.83496903496968833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3.7073499999999999</v>
      </c>
      <c r="X80" s="15"/>
      <c r="Y80" s="15"/>
      <c r="Z80" s="15"/>
      <c r="AA80" s="16">
        <f t="shared" si="11"/>
        <v>0.77469678100265393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6068.1743810263642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0.77469678100265393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4.0465099999999996</v>
      </c>
      <c r="X81" s="15"/>
      <c r="Y81" s="15"/>
      <c r="Z81" s="15"/>
      <c r="AA81" s="16">
        <f t="shared" si="11"/>
        <v>0.68010071871453104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5327.2065394150623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0.68010071871453104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4.0241699999999998</v>
      </c>
      <c r="X82" s="15"/>
      <c r="Y82" s="15"/>
      <c r="Z82" s="15"/>
      <c r="AA82" s="16">
        <f t="shared" si="11"/>
        <v>0.48672765931845702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3812.5217313934745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0.48672765931845702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3.8056299999999998</v>
      </c>
      <c r="X83" s="15"/>
      <c r="Y83" s="15"/>
      <c r="Z83" s="15"/>
      <c r="AA83" s="16">
        <f t="shared" si="11"/>
        <v>0.33008987934597822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2585.5831576980399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0.33008987934597822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3.6501399999999999</v>
      </c>
      <c r="X84" s="15"/>
      <c r="Y84" s="15"/>
      <c r="Z84" s="15"/>
      <c r="AA84" s="16">
        <f t="shared" si="11"/>
        <v>0.23620570209356076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1850.1914881347375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0.23620570209356076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3.5007700000000002</v>
      </c>
      <c r="X85" s="15"/>
      <c r="Y85" s="15"/>
      <c r="Z85" s="15"/>
      <c r="AA85" s="16">
        <f t="shared" si="11"/>
        <v>0.15406008376740388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1206.7475641839969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0.15406008376740388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2.4975100000000001</v>
      </c>
      <c r="X86" s="15"/>
      <c r="Y86" s="15"/>
      <c r="Z86" s="15"/>
      <c r="AA86" s="16">
        <f t="shared" si="11"/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3968.2252032140354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0.69767283822642301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2.6193</v>
      </c>
      <c r="X87" s="15"/>
      <c r="Y87" s="15"/>
      <c r="Z87" s="15"/>
      <c r="AA87" s="16">
        <f t="shared" si="11"/>
        <v>0.66901158327801735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3805.205650193835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0.66901158327801735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2.7760400000000001</v>
      </c>
      <c r="X88" s="15"/>
      <c r="Y88" s="15"/>
      <c r="Z88" s="15"/>
      <c r="AA88" s="16">
        <f t="shared" si="11"/>
        <v>0.61844053064729232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3517.5674986033919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0.61844053064729232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2.95757</v>
      </c>
      <c r="X89" s="15"/>
      <c r="Y89" s="15"/>
      <c r="Z89" s="15"/>
      <c r="AA89" s="16">
        <f t="shared" si="11"/>
        <v>0.55279345671472691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3144.179917744299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0.55279345671472691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3.0278700000000001</v>
      </c>
      <c r="X90" s="15"/>
      <c r="Y90" s="15"/>
      <c r="Z90" s="15"/>
      <c r="AA90" s="16">
        <f t="shared" si="11"/>
        <v>0.42779819126392482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2433.2315541743151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0.42779819126392482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2.9272</v>
      </c>
      <c r="X91" s="15"/>
      <c r="Y91" s="15"/>
      <c r="Z91" s="15"/>
      <c r="AA91" s="16">
        <f t="shared" si="11"/>
        <v>0.30570883017534423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1738.8114002414027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0.30570883017534423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2.82273</v>
      </c>
      <c r="X92" s="15"/>
      <c r="Y92" s="15"/>
      <c r="Z92" s="15"/>
      <c r="AA92" s="16">
        <f t="shared" si="11"/>
        <v>0.22351763481439338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1271.3241267756071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0.22351763481439338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2.7109200000000002</v>
      </c>
      <c r="X93" s="15"/>
      <c r="Y93" s="15"/>
      <c r="Z93" s="15"/>
      <c r="AA93" s="16">
        <f t="shared" si="11"/>
        <v>0.14788722682681468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841.15331509744169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0.14788722682681468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2.0937800000000002</v>
      </c>
      <c r="X94" s="15"/>
      <c r="Y94" s="15"/>
      <c r="Z94" s="15"/>
      <c r="AA94" s="16">
        <f t="shared" si="11"/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2499.3020595868411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0.59377371584786665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2.1515900000000001</v>
      </c>
      <c r="X95" s="15"/>
      <c r="Y95" s="15"/>
      <c r="Z95" s="15"/>
      <c r="AA95" s="16">
        <f t="shared" si="11"/>
        <v>0.56525309524492051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2379.2535564094087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0.56525309524492051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2.13585</v>
      </c>
      <c r="X96" s="15"/>
      <c r="Y96" s="15"/>
      <c r="Z96" s="15"/>
      <c r="AA96" s="16">
        <f t="shared" si="11"/>
        <v>0.50184396322631442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2112.3529341337667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0.50184396322631442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2.0885199999999999</v>
      </c>
      <c r="X97" s="15"/>
      <c r="Y97" s="15"/>
      <c r="Z97" s="15"/>
      <c r="AA97" s="16">
        <f t="shared" si="11"/>
        <v>0.42676820348459149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1796.3453441386407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0.42676820348459149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2.0143599999999999</v>
      </c>
      <c r="X98" s="15"/>
      <c r="Y98" s="15"/>
      <c r="Z98" s="15"/>
      <c r="AA98" s="16">
        <f t="shared" si="11"/>
        <v>0.32726898356734857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1377.5349478054957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0.32726898356734857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1.9722</v>
      </c>
      <c r="X99" s="15"/>
      <c r="Y99" s="15"/>
      <c r="Z99" s="15"/>
      <c r="AA99" s="16">
        <f t="shared" si="11"/>
        <v>0.24588840019378524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1034.9892031770182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0.24588840019378524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1.9519299999999999</v>
      </c>
      <c r="X100" s="31"/>
      <c r="Y100" s="31"/>
      <c r="Z100" s="31"/>
      <c r="AA100" s="33">
        <f t="shared" si="11"/>
        <v>0.18855726168213463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793.67196609450116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0.18855726168213463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1.93025</v>
      </c>
      <c r="X101" s="42"/>
      <c r="Y101" s="42"/>
      <c r="Z101" s="42"/>
      <c r="AA101" s="41">
        <f t="shared" si="11"/>
        <v>0.13074854265391256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550.34450535804342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0.13074854265391256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3.6590699999999998</v>
      </c>
      <c r="X102" s="36"/>
      <c r="Y102" s="36"/>
      <c r="Z102" s="36"/>
      <c r="AA102" s="38">
        <f t="shared" si="11"/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7043.4228417737368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0.99204633672278386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3.8207399999999998</v>
      </c>
      <c r="X103" s="15"/>
      <c r="Y103" s="15"/>
      <c r="Z103" s="15"/>
      <c r="AA103" s="16">
        <f t="shared" si="11"/>
        <v>0.91978716587063902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6530.3904604547897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0.91978716587063902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4.1588000000000003</v>
      </c>
      <c r="X104" s="15"/>
      <c r="Y104" s="15"/>
      <c r="Z104" s="15"/>
      <c r="AA104" s="16">
        <f t="shared" si="11"/>
        <v>0.82324649753127521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5844.9620450968177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0.82324649753127521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4.4974699999999999</v>
      </c>
      <c r="X105" s="15"/>
      <c r="Y105" s="15"/>
      <c r="Z105" s="15"/>
      <c r="AA105" s="16">
        <f t="shared" si="11"/>
        <v>0.69270481454377986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4918.1300638456805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0.69270481454377986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4.5846200000000001</v>
      </c>
      <c r="X106" s="15"/>
      <c r="Y106" s="15"/>
      <c r="Z106" s="15"/>
      <c r="AA106" s="16">
        <f t="shared" si="11"/>
        <v>0.49197889560561531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3492.9975170580392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0.49197889560561531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4.3812800000000003</v>
      </c>
      <c r="X107" s="15"/>
      <c r="Y107" s="15"/>
      <c r="Z107" s="15"/>
      <c r="AA107" s="16">
        <f t="shared" si="11"/>
        <v>0.33129941584081257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2352.1904034322747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0.33129941584081257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4.1862599999999999</v>
      </c>
      <c r="X108" s="15"/>
      <c r="Y108" s="15"/>
      <c r="Z108" s="15"/>
      <c r="AA108" s="16">
        <f t="shared" si="11"/>
        <v>0.23404951223655335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1661.7264935817195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0.23404951223655335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4.0026200000000003</v>
      </c>
      <c r="X109" s="15"/>
      <c r="Y109" s="15"/>
      <c r="Z109" s="15"/>
      <c r="AA109" s="16">
        <f t="shared" si="11"/>
        <v>0.15108412540401975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1072.681124367122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0.15108412540401975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3.6387999999999998</v>
      </c>
      <c r="X110" s="15"/>
      <c r="Y110" s="15"/>
      <c r="Z110" s="15"/>
      <c r="AA110" s="16">
        <f t="shared" si="11"/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5372.2194918372825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0.98678828448709577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3.7591100000000002</v>
      </c>
      <c r="X111" s="15"/>
      <c r="Y111" s="15"/>
      <c r="Z111" s="15"/>
      <c r="AA111" s="16">
        <f t="shared" si="11"/>
        <v>0.90539886050468188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4929.1235848211209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0.90539886050468188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4.0532399999999997</v>
      </c>
      <c r="X112" s="15"/>
      <c r="Y112" s="15"/>
      <c r="Z112" s="15"/>
      <c r="AA112" s="16">
        <f t="shared" si="11"/>
        <v>0.80316241112951359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4372.5334279010958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0.80316241112951359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4.4211799999999997</v>
      </c>
      <c r="X113" s="15"/>
      <c r="Y113" s="15"/>
      <c r="Z113" s="15"/>
      <c r="AA113" s="16">
        <f t="shared" si="11"/>
        <v>0.68204789382328534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3713.1683129664634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0.68204789382328534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4.5523100000000003</v>
      </c>
      <c r="X114" s="15"/>
      <c r="Y114" s="15"/>
      <c r="Z114" s="15"/>
      <c r="AA114" s="16">
        <f t="shared" si="11"/>
        <v>0.48955910473828135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2665.2312418244946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0.48955910473828135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4.3430400000000002</v>
      </c>
      <c r="X115" s="15"/>
      <c r="Y115" s="15"/>
      <c r="Z115" s="15"/>
      <c r="AA115" s="16">
        <f t="shared" si="11"/>
        <v>0.32920383638175538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1792.2337490223877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0.32920383638175538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4.1339100000000002</v>
      </c>
      <c r="X116" s="15"/>
      <c r="Y116" s="15"/>
      <c r="Z116" s="15"/>
      <c r="AA116" s="16">
        <f t="shared" si="11"/>
        <v>0.231715836232738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1261.4948429631154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0.231715836232738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3.94055</v>
      </c>
      <c r="X117" s="15"/>
      <c r="Y117" s="15"/>
      <c r="Z117" s="15"/>
      <c r="AA117" s="16">
        <f t="shared" si="11"/>
        <v>0.14914011603607302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811.94056615732256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0.14914011603607302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3.5909499999999999</v>
      </c>
      <c r="X118" s="15"/>
      <c r="Y118" s="15"/>
      <c r="Z118" s="15"/>
      <c r="AA118" s="16">
        <f t="shared" si="11"/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4633.228424806387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0.97381207820680871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3.7105100000000002</v>
      </c>
      <c r="X119" s="15"/>
      <c r="Y119" s="15"/>
      <c r="Z119" s="15"/>
      <c r="AA119" s="16">
        <f t="shared" si="11"/>
        <v>0.89369332791305045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4252.0373515712363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0.89369332791305045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3.9840499999999999</v>
      </c>
      <c r="X120" s="15"/>
      <c r="Y120" s="15"/>
      <c r="Z120" s="15"/>
      <c r="AA120" s="16">
        <f t="shared" si="11"/>
        <v>0.78945219233515396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3756.0761664491956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0.78945219233515396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4.3773999999999997</v>
      </c>
      <c r="X121" s="15"/>
      <c r="Y121" s="15"/>
      <c r="Z121" s="15"/>
      <c r="AA121" s="16">
        <f t="shared" si="11"/>
        <v>0.67529402793418269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3212.9314837499805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0.67529402793418269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4.5318100000000001</v>
      </c>
      <c r="X122" s="15"/>
      <c r="Y122" s="15"/>
      <c r="Z122" s="15"/>
      <c r="AA122" s="16">
        <f t="shared" si="11"/>
        <v>0.48735451813342912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2318.7479975926999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0.48735451813342912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4.3223799999999999</v>
      </c>
      <c r="X123" s="15"/>
      <c r="Y123" s="15"/>
      <c r="Z123" s="15"/>
      <c r="AA123" s="16">
        <f t="shared" si="11"/>
        <v>0.32763780170106016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1558.8436515161477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0.32763780170106016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4.1048299999999998</v>
      </c>
      <c r="X124" s="15"/>
      <c r="Y124" s="15"/>
      <c r="Z124" s="15"/>
      <c r="AA124" s="16">
        <f t="shared" si="11"/>
        <v>0.2300858306163486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1094.7083471380593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0.2300858306163486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3.90713</v>
      </c>
      <c r="X125" s="15"/>
      <c r="Y125" s="15"/>
      <c r="Z125" s="15"/>
      <c r="AA125" s="16">
        <f t="shared" si="11"/>
        <v>0.14787525131466975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703.56471546146986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0.14787525131466975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3.2653799999999999</v>
      </c>
      <c r="X126" s="15"/>
      <c r="Y126" s="15"/>
      <c r="Z126" s="15"/>
      <c r="AA126" s="16">
        <f t="shared" si="11"/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3468.6654301390563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0.88552235033485527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3.4799500000000001</v>
      </c>
      <c r="X127" s="15"/>
      <c r="Y127" s="15"/>
      <c r="Z127" s="15"/>
      <c r="AA127" s="16">
        <f t="shared" si="11"/>
        <v>0.83816189593102275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3283.1505519610746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0.83816189593102275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3.8130899999999999</v>
      </c>
      <c r="X128" s="15"/>
      <c r="Y128" s="15"/>
      <c r="Z128" s="15"/>
      <c r="AA128" s="16">
        <f t="shared" si="11"/>
        <v>0.7555759240148221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2959.6543627436754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0.7555759240148221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4.2832299999999996</v>
      </c>
      <c r="X129" s="15"/>
      <c r="Y129" s="15"/>
      <c r="Z129" s="15"/>
      <c r="AA129" s="16">
        <f t="shared" si="11"/>
        <v>0.66076658273599165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2588.2782089698289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0.66076658273599165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4.4904700000000002</v>
      </c>
      <c r="X130" s="15"/>
      <c r="Y130" s="15"/>
      <c r="Z130" s="15"/>
      <c r="AA130" s="16">
        <f t="shared" si="11"/>
        <v>0.48290878104832713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1891.5942597039054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0.48290878104832713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4.2911799999999998</v>
      </c>
      <c r="X131" s="15"/>
      <c r="Y131" s="15"/>
      <c r="Z131" s="15"/>
      <c r="AA131" s="16">
        <f t="shared" si="11"/>
        <v>0.32527283161211068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1274.1210043424928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0.32527283161211068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4.0622400000000001</v>
      </c>
      <c r="X132" s="15"/>
      <c r="Y132" s="15"/>
      <c r="Z132" s="15"/>
      <c r="AA132" s="16">
        <f t="shared" si="11"/>
        <v>0.22769855622838367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891.91437142530197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0.22769855622838367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3.8572099999999998</v>
      </c>
      <c r="X133" s="15"/>
      <c r="Y133" s="15"/>
      <c r="Z133" s="15"/>
      <c r="AA133" s="16">
        <f t="shared" si="11"/>
        <v>0.14598590221555394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571.83904179411093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0.14598590221555394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3.14398</v>
      </c>
      <c r="X134" s="15"/>
      <c r="Y134" s="15"/>
      <c r="Z134" s="15"/>
      <c r="AA134" s="16">
        <f t="shared" si="11"/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2900.8401313004783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0.8526004811096346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3.2419799999999999</v>
      </c>
      <c r="X135" s="15"/>
      <c r="Y135" s="15"/>
      <c r="Z135" s="15"/>
      <c r="AA135" s="16">
        <f t="shared" ref="AA135:AA198" si="19">AK135</f>
        <v>0.78084573151064163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20">W135*S135</f>
        <v>2656.7057895308426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98" si="23">W135/V135</f>
        <v>0.78084573151064163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3.5093299999999998</v>
      </c>
      <c r="X136" s="15"/>
      <c r="Y136" s="15"/>
      <c r="Z136" s="15"/>
      <c r="AA136" s="16">
        <f t="shared" si="19"/>
        <v>0.69538491287195825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2365.9386860004297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0.69538491287195825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4.0688000000000004</v>
      </c>
      <c r="X137" s="15"/>
      <c r="Y137" s="15"/>
      <c r="Z137" s="15"/>
      <c r="AA137" s="16">
        <f t="shared" si="19"/>
        <v>0.62768683256238933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2135.6065286476496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0.62768683256238933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4.4238299999999997</v>
      </c>
      <c r="X138" s="15"/>
      <c r="Y138" s="15"/>
      <c r="Z138" s="15"/>
      <c r="AA138" s="16">
        <f t="shared" si="19"/>
        <v>0.47574226147040766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1618.6388288602725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0.47574226147040766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4.2661199999999999</v>
      </c>
      <c r="X139" s="15"/>
      <c r="Y139" s="15"/>
      <c r="Z139" s="15"/>
      <c r="AA139" s="16">
        <f t="shared" si="19"/>
        <v>0.32337327550861483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1100.2271236870827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0.32337327550861483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4.0302699999999998</v>
      </c>
      <c r="X140" s="15"/>
      <c r="Y140" s="15"/>
      <c r="Z140" s="15"/>
      <c r="AA140" s="16">
        <f t="shared" si="19"/>
        <v>0.22590655899468468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768.61182555621133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0.22590655899468468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3.8201800000000001</v>
      </c>
      <c r="X141" s="15"/>
      <c r="Y141" s="15"/>
      <c r="Z141" s="15"/>
      <c r="AA141" s="16">
        <f t="shared" si="19"/>
        <v>0.14458440788181481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491.92589265024532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0.14458440788181481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3.1068899999999999</v>
      </c>
      <c r="X142" s="15"/>
      <c r="Y142" s="15"/>
      <c r="Z142" s="15"/>
      <c r="AA142" s="16">
        <f t="shared" si="19"/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2591.9480376498232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0.84254222633563602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3.14621</v>
      </c>
      <c r="X143" s="15"/>
      <c r="Y143" s="15"/>
      <c r="Z143" s="15"/>
      <c r="AA143" s="16">
        <f t="shared" si="19"/>
        <v>0.75777908837688568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2331.1876362955254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0.75777908837688568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3.3294299999999999</v>
      </c>
      <c r="X144" s="15"/>
      <c r="Y144" s="15"/>
      <c r="Z144" s="15"/>
      <c r="AA144" s="16">
        <f t="shared" si="19"/>
        <v>0.6597371550875194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2029.5771191562494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0.6597371550875194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3.87832</v>
      </c>
      <c r="X145" s="15"/>
      <c r="Y145" s="15"/>
      <c r="Z145" s="15"/>
      <c r="AA145" s="16">
        <f t="shared" si="19"/>
        <v>0.59830180801793298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1840.5809806815039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0.59830180801793298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4.3048999999999999</v>
      </c>
      <c r="X146" s="15"/>
      <c r="Y146" s="15"/>
      <c r="Z146" s="15"/>
      <c r="AA146" s="16">
        <f t="shared" si="19"/>
        <v>0.4629524329379649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1424.2000134492448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0.4629524329379649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4.2364600000000001</v>
      </c>
      <c r="X147" s="15"/>
      <c r="Y147" s="15"/>
      <c r="Z147" s="15"/>
      <c r="AA147" s="16">
        <f t="shared" si="19"/>
        <v>0.32112503791764563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987.89044139764576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0.32112503791764563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4.0043499999999996</v>
      </c>
      <c r="X148" s="15"/>
      <c r="Y148" s="15"/>
      <c r="Z148" s="15"/>
      <c r="AA148" s="16">
        <f t="shared" si="19"/>
        <v>0.22445367916054396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690.49628025610616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0.22445367916054396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3.79189</v>
      </c>
      <c r="X149" s="15"/>
      <c r="Y149" s="15"/>
      <c r="Z149" s="15"/>
      <c r="AA149" s="16">
        <f t="shared" si="19"/>
        <v>0.14351370103057309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441.49722605579529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0.14351370103057309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3.6456200000000001</v>
      </c>
      <c r="X150" s="15"/>
      <c r="Y150" s="15"/>
      <c r="Z150" s="15"/>
      <c r="AA150" s="16">
        <f t="shared" si="19"/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9355.1390480179525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0.98863776676152715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3.58873</v>
      </c>
      <c r="X151" s="15"/>
      <c r="Y151" s="15"/>
      <c r="Z151" s="15"/>
      <c r="AA151" s="16">
        <f t="shared" si="19"/>
        <v>0.86436205715155112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8179.1607647880883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0.86436205715155112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3.7266900000000001</v>
      </c>
      <c r="X152" s="15"/>
      <c r="Y152" s="15"/>
      <c r="Z152" s="15"/>
      <c r="AA152" s="16">
        <f t="shared" si="19"/>
        <v>0.73845548892546398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6987.7502275676115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0.73845548892546398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4.2276600000000002</v>
      </c>
      <c r="X153" s="15"/>
      <c r="Y153" s="15"/>
      <c r="Z153" s="15"/>
      <c r="AA153" s="16">
        <f t="shared" si="19"/>
        <v>0.65219389366661218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6171.4864297624226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0.65219389366661218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4.4663300000000001</v>
      </c>
      <c r="X154" s="15"/>
      <c r="Y154" s="15"/>
      <c r="Z154" s="15"/>
      <c r="AA154" s="16">
        <f t="shared" si="19"/>
        <v>0.48031274589510142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4545.034263765745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0.48031274589510142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4.2820400000000003</v>
      </c>
      <c r="X155" s="15"/>
      <c r="Y155" s="15"/>
      <c r="Z155" s="15"/>
      <c r="AA155" s="16">
        <f t="shared" si="19"/>
        <v>0.32458001665656599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3071.3890265155133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0.32458001665656599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4.0334700000000003</v>
      </c>
      <c r="X156" s="15"/>
      <c r="Y156" s="15"/>
      <c r="Z156" s="15"/>
      <c r="AA156" s="16">
        <f t="shared" si="19"/>
        <v>0.22608592687544291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2139.3733416113464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0.22608592687544291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3.81664</v>
      </c>
      <c r="X157" s="15"/>
      <c r="Y157" s="15"/>
      <c r="Z157" s="15"/>
      <c r="AA157" s="16">
        <f t="shared" si="19"/>
        <v>0.14445042759714194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1366.8846984710401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0.14445042759714194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3.53912</v>
      </c>
      <c r="X158" s="15"/>
      <c r="Y158" s="15"/>
      <c r="Z158" s="15"/>
      <c r="AA158" s="16">
        <f t="shared" si="19"/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6305.331836428335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0.95975655529129633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3.5299200000000002</v>
      </c>
      <c r="X159" s="15"/>
      <c r="Y159" s="15"/>
      <c r="Z159" s="15"/>
      <c r="AA159" s="16">
        <f t="shared" si="19"/>
        <v>0.85019739929735672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5585.55885811183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0.85019739929735672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3.6764999999999999</v>
      </c>
      <c r="X160" s="15"/>
      <c r="Y160" s="15"/>
      <c r="Z160" s="15"/>
      <c r="AA160" s="16">
        <f t="shared" si="19"/>
        <v>0.72851018062529138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4786.1079038575908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0.72851018062529138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4.14682</v>
      </c>
      <c r="X161" s="15"/>
      <c r="Y161" s="15"/>
      <c r="Z161" s="15"/>
      <c r="AA161" s="16">
        <f t="shared" si="19"/>
        <v>0.6397228448206761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4202.7999680752919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0.6397228448206761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4.3995499999999996</v>
      </c>
      <c r="X162" s="15"/>
      <c r="Y162" s="15"/>
      <c r="Z162" s="15"/>
      <c r="AA162" s="16">
        <f t="shared" si="19"/>
        <v>0.47313117060378251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3108.3393141390825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0.47313117060378251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4.2398699999999998</v>
      </c>
      <c r="X163" s="15"/>
      <c r="Y163" s="15"/>
      <c r="Z163" s="15"/>
      <c r="AA163" s="16">
        <f t="shared" si="19"/>
        <v>0.32138351702031603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2111.3997194387107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0.32138351702031603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3.9976600000000002</v>
      </c>
      <c r="X164" s="15"/>
      <c r="Y164" s="15"/>
      <c r="Z164" s="15"/>
      <c r="AA164" s="16">
        <f t="shared" si="19"/>
        <v>0.22407868818483392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1472.1342393416674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0.22407868818483392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3.7838099999999999</v>
      </c>
      <c r="X165" s="15"/>
      <c r="Y165" s="15"/>
      <c r="Z165" s="15"/>
      <c r="AA165" s="16">
        <f t="shared" si="19"/>
        <v>0.14320789292318417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940.83575829530139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0.14320789292318417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3.3547799999999999</v>
      </c>
      <c r="X166" s="15"/>
      <c r="Y166" s="15"/>
      <c r="Z166" s="15"/>
      <c r="AA166" s="16">
        <f t="shared" si="19"/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5044.1148357670299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0.90976629686479527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3.4217499999999998</v>
      </c>
      <c r="X167" s="15"/>
      <c r="Y167" s="15"/>
      <c r="Z167" s="15"/>
      <c r="AA167" s="16">
        <f t="shared" si="19"/>
        <v>0.82414415937067409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20"/>
        <v>4569.390837425326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si="23"/>
        <v>0.82414415937067409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3.6213000000000002</v>
      </c>
      <c r="X168" s="15"/>
      <c r="Y168" s="15"/>
      <c r="Z168" s="15"/>
      <c r="AA168" s="16">
        <f t="shared" si="19"/>
        <v>0.7175721248737571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0"/>
        <v>3978.5120786316661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3"/>
        <v>0.7175721248737571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4.0751900000000001</v>
      </c>
      <c r="X169" s="15"/>
      <c r="Y169" s="15"/>
      <c r="Z169" s="15"/>
      <c r="AA169" s="16">
        <f t="shared" si="19"/>
        <v>0.62867260695780613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0"/>
        <v>3485.6169485771534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3"/>
        <v>0.62867260695780613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4.3462399999999999</v>
      </c>
      <c r="X170" s="15"/>
      <c r="Y170" s="15"/>
      <c r="Z170" s="15"/>
      <c r="AA170" s="16">
        <f t="shared" si="19"/>
        <v>0.46739817002306661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0"/>
        <v>2591.4457940994562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3"/>
        <v>0.46739817002306661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4.2119200000000001</v>
      </c>
      <c r="X171" s="15"/>
      <c r="Y171" s="15"/>
      <c r="Z171" s="15"/>
      <c r="AA171" s="16">
        <f t="shared" si="19"/>
        <v>0.31926489798229868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0"/>
        <v>1770.134609296799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3"/>
        <v>0.31926489798229868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3.9764699999999999</v>
      </c>
      <c r="X172" s="15"/>
      <c r="Y172" s="15"/>
      <c r="Z172" s="15"/>
      <c r="AA172" s="16">
        <f t="shared" si="19"/>
        <v>0.22289093649943881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0"/>
        <v>1235.7981202747412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3"/>
        <v>0.22289093649943881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3.7653599999999998</v>
      </c>
      <c r="X173" s="15"/>
      <c r="Y173" s="15"/>
      <c r="Z173" s="15"/>
      <c r="AA173" s="16">
        <f t="shared" si="19"/>
        <v>0.14250960584628727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0"/>
        <v>790.1312892836246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3"/>
        <v>0.14250960584628727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2.8226</v>
      </c>
      <c r="X174" s="15"/>
      <c r="Y174" s="15"/>
      <c r="Z174" s="15"/>
      <c r="AA174" s="16">
        <f t="shared" si="19"/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0"/>
        <v>3296.9484975379455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3"/>
        <v>0.77594938448660944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2.9322699999999999</v>
      </c>
      <c r="X175" s="15"/>
      <c r="Y175" s="15"/>
      <c r="Z175" s="15"/>
      <c r="AA175" s="16">
        <f t="shared" si="19"/>
        <v>0.72596727132918815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0"/>
        <v>3084.5783917388912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3"/>
        <v>0.72596727132918815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3.1542699999999999</v>
      </c>
      <c r="X176" s="15"/>
      <c r="Y176" s="15"/>
      <c r="Z176" s="15"/>
      <c r="AA176" s="16">
        <f t="shared" si="19"/>
        <v>0.66086386119846385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0"/>
        <v>2807.9590728678527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3"/>
        <v>0.66086386119846385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3.4764200000000001</v>
      </c>
      <c r="X177" s="15"/>
      <c r="Y177" s="15"/>
      <c r="Z177" s="15"/>
      <c r="AA177" s="16">
        <f t="shared" si="19"/>
        <v>0.5868153346435282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0"/>
        <v>2493.3326510275674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3"/>
        <v>0.5868153346435282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3.6753399999999998</v>
      </c>
      <c r="X178" s="15"/>
      <c r="Y178" s="15"/>
      <c r="Z178" s="15"/>
      <c r="AA178" s="16">
        <f t="shared" si="19"/>
        <v>0.44725594227117693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0"/>
        <v>1900.3556628393997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3"/>
        <v>0.44725594227117693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3.5762</v>
      </c>
      <c r="X179" s="15"/>
      <c r="Y179" s="15"/>
      <c r="Z179" s="15"/>
      <c r="AA179" s="16">
        <f t="shared" si="19"/>
        <v>0.31240354570851969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0"/>
        <v>1327.3783332281321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3"/>
        <v>0.31240354570851969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3.3670900000000001</v>
      </c>
      <c r="X180" s="15"/>
      <c r="Y180" s="15"/>
      <c r="Z180" s="15"/>
      <c r="AA180" s="16">
        <f t="shared" si="19"/>
        <v>0.2195595692214031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0"/>
        <v>932.89150856601441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3"/>
        <v>0.2195595692214031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3.1710699999999998</v>
      </c>
      <c r="X181" s="15"/>
      <c r="Y181" s="15"/>
      <c r="Z181" s="15"/>
      <c r="AA181" s="16">
        <f t="shared" si="19"/>
        <v>0.14068000772650124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0"/>
        <v>597.73839554546214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3"/>
        <v>0.14068000772650124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2.28972</v>
      </c>
      <c r="X182" s="15"/>
      <c r="Y182" s="15"/>
      <c r="Z182" s="15"/>
      <c r="AA182" s="16">
        <f t="shared" si="19"/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0"/>
        <v>1965.0902430998867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3"/>
        <v>0.64012924799119097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2.29495</v>
      </c>
      <c r="X183" s="15"/>
      <c r="Y183" s="15"/>
      <c r="Z183" s="15"/>
      <c r="AA183" s="16">
        <f t="shared" si="19"/>
        <v>0.58704305741581353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0"/>
        <v>1802.1244741237267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3"/>
        <v>0.58704305741581353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2.3121700000000001</v>
      </c>
      <c r="X184" s="15"/>
      <c r="Y184" s="15"/>
      <c r="Z184" s="15"/>
      <c r="AA184" s="16">
        <f t="shared" si="19"/>
        <v>0.51658621284952344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0"/>
        <v>1585.8336887060809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3"/>
        <v>0.51658621284952344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2.4452400000000001</v>
      </c>
      <c r="X185" s="15"/>
      <c r="Y185" s="15"/>
      <c r="Z185" s="15"/>
      <c r="AA185" s="16">
        <f t="shared" si="19"/>
        <v>0.45924471279968981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0"/>
        <v>1409.8048279310915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3"/>
        <v>0.45924471279968981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2.59483</v>
      </c>
      <c r="X186" s="15"/>
      <c r="Y186" s="15"/>
      <c r="Z186" s="15"/>
      <c r="AA186" s="16">
        <f t="shared" si="19"/>
        <v>0.36931586521031101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0"/>
        <v>1133.7382343085224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3"/>
        <v>0.36931586521031101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2.6198299999999999</v>
      </c>
      <c r="X187" s="15"/>
      <c r="Y187" s="15"/>
      <c r="Z187" s="15"/>
      <c r="AA187" s="16">
        <f t="shared" si="19"/>
        <v>0.27609102810626718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0"/>
        <v>847.55350148679383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3"/>
        <v>0.27609102810626718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2.54535</v>
      </c>
      <c r="X188" s="15"/>
      <c r="Y188" s="15"/>
      <c r="Z188" s="15"/>
      <c r="AA188" s="16">
        <f t="shared" si="19"/>
        <v>0.20357250905384758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0"/>
        <v>624.93371855832504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3"/>
        <v>0.20357250905384758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2.4163100000000002</v>
      </c>
      <c r="X189" s="15"/>
      <c r="Y189" s="15"/>
      <c r="Z189" s="15"/>
      <c r="AA189" s="16">
        <f t="shared" si="19"/>
        <v>0.13323622499439741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0"/>
        <v>409.0130338296222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3"/>
        <v>0.13323622499439741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1.9675499999999999</v>
      </c>
      <c r="X190" s="15"/>
      <c r="Y190" s="15"/>
      <c r="Z190" s="15"/>
      <c r="AA190" s="16">
        <f t="shared" si="19"/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0"/>
        <v>1271.1162452442843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3"/>
        <v>0.55827783451373203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1.95489</v>
      </c>
      <c r="X191" s="15"/>
      <c r="Y191" s="15"/>
      <c r="Z191" s="15"/>
      <c r="AA191" s="16">
        <f t="shared" si="19"/>
        <v>0.51408639686053481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0"/>
        <v>1170.4988629500258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3"/>
        <v>0.51408639686053481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1.8306800000000001</v>
      </c>
      <c r="X192" s="15"/>
      <c r="Y192" s="15"/>
      <c r="Z192" s="15"/>
      <c r="AA192" s="16">
        <f t="shared" si="19"/>
        <v>0.43092763660477462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0"/>
        <v>981.15863741959333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3"/>
        <v>0.43092763660477462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1.75437</v>
      </c>
      <c r="X193" s="15"/>
      <c r="Y193" s="15"/>
      <c r="Z193" s="15"/>
      <c r="AA193" s="16">
        <f t="shared" si="19"/>
        <v>0.35958246514949044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0"/>
        <v>818.7162102801725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3"/>
        <v>0.35958246514949044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1.70068</v>
      </c>
      <c r="X194" s="15"/>
      <c r="Y194" s="15"/>
      <c r="Z194" s="15"/>
      <c r="AA194" s="16">
        <f t="shared" si="19"/>
        <v>0.27766836041023263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0"/>
        <v>632.20988168949077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3"/>
        <v>0.27766836041023263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1.67387</v>
      </c>
      <c r="X195" s="15"/>
      <c r="Y195" s="15"/>
      <c r="Z195" s="15"/>
      <c r="AA195" s="16">
        <f t="shared" si="19"/>
        <v>0.21004550363729052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0"/>
        <v>478.24261578722979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3"/>
        <v>0.21004550363729052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1.64977</v>
      </c>
      <c r="X196" s="15"/>
      <c r="Y196" s="15"/>
      <c r="Z196" s="15"/>
      <c r="AA196" s="16">
        <f t="shared" si="19"/>
        <v>0.16055226270390693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0"/>
        <v>365.55380980049347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3"/>
        <v>0.16055226270390693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1.6167</v>
      </c>
      <c r="X197" s="42"/>
      <c r="Y197" s="42"/>
      <c r="Z197" s="42"/>
      <c r="AA197" s="41">
        <f t="shared" si="19"/>
        <v>0.1104096889307592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0"/>
        <v>251.38656875836256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3"/>
        <v>0.1104096889307592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6"/>
        <v>14073.1</v>
      </c>
      <c r="M198" s="49"/>
      <c r="N198" s="49"/>
      <c r="O198" s="49"/>
      <c r="P198" s="49">
        <f t="shared" si="17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8"/>
        <v>3.6875184446391609</v>
      </c>
      <c r="W198" s="49">
        <v>3.6343700000000001</v>
      </c>
      <c r="X198" s="49"/>
      <c r="Y198" s="49"/>
      <c r="Z198" s="49"/>
      <c r="AA198" s="51">
        <f t="shared" si="19"/>
        <v>0.98558693456396751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20"/>
        <v>4923.9435385283214</v>
      </c>
      <c r="AH198" s="52">
        <v>4741.8953999865516</v>
      </c>
      <c r="AI198" s="49">
        <f t="shared" si="21"/>
        <v>40.972427162657333</v>
      </c>
      <c r="AJ198" s="52">
        <f t="shared" si="22"/>
        <v>0.30000000000000004</v>
      </c>
      <c r="AK198" s="49">
        <f t="shared" si="23"/>
        <v>0.98558693456396751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4">2*C199*F199+(E199-2*F199)*H199</f>
        <v>14073.1</v>
      </c>
      <c r="M199" s="25"/>
      <c r="N199" s="25"/>
      <c r="O199" s="25"/>
      <c r="P199" s="25">
        <f t="shared" ref="P199:P262" si="25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6">L199*T199/(S199*1000)</f>
        <v>4.1518828485211703</v>
      </c>
      <c r="W199" s="25">
        <v>3.78112</v>
      </c>
      <c r="X199" s="25"/>
      <c r="Y199" s="25"/>
      <c r="Z199" s="25"/>
      <c r="AA199" s="46">
        <f t="shared" ref="AA199:AA262" si="27">AK199</f>
        <v>0.91070006981212637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8">W199*S199</f>
        <v>4549.8124691279272</v>
      </c>
      <c r="AH199" s="47">
        <v>4211.5414591305607</v>
      </c>
      <c r="AI199" s="25">
        <f t="shared" ref="AI199:AI262" si="29">(PI()^2*U199*P199/K199^2)/(S199*1000)</f>
        <v>16.607531394084681</v>
      </c>
      <c r="AJ199" s="47">
        <f t="shared" ref="AJ199:AJ262" si="30">(V199/AI199)^0.5</f>
        <v>0.5</v>
      </c>
      <c r="AK199" s="25">
        <f t="shared" ref="AK199:AK262" si="31">W199/V199</f>
        <v>0.91070006981212637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4"/>
        <v>14073.1</v>
      </c>
      <c r="M200" s="25"/>
      <c r="N200" s="25"/>
      <c r="O200" s="25"/>
      <c r="P200" s="25">
        <f t="shared" si="25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6"/>
        <v>5.0466007171573128</v>
      </c>
      <c r="W200" s="25">
        <v>4.0849599999999997</v>
      </c>
      <c r="X200" s="25"/>
      <c r="Y200" s="25"/>
      <c r="Z200" s="25"/>
      <c r="AA200" s="46">
        <f t="shared" si="27"/>
        <v>0.80944783012296773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8"/>
        <v>4043.9612916267556</v>
      </c>
      <c r="AH200" s="47">
        <v>3464.8722437168653</v>
      </c>
      <c r="AI200" s="25">
        <f t="shared" si="29"/>
        <v>8.9717346082796698</v>
      </c>
      <c r="AJ200" s="47">
        <f t="shared" si="30"/>
        <v>0.74999999999999989</v>
      </c>
      <c r="AK200" s="25">
        <f t="shared" si="31"/>
        <v>0.80944783012296773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4"/>
        <v>14073.1</v>
      </c>
      <c r="M201" s="25"/>
      <c r="N201" s="25"/>
      <c r="O201" s="25"/>
      <c r="P201" s="25">
        <f t="shared" si="25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6"/>
        <v>6.4822134047165605</v>
      </c>
      <c r="W201" s="25">
        <v>4.40001</v>
      </c>
      <c r="X201" s="25"/>
      <c r="Y201" s="25"/>
      <c r="Z201" s="25"/>
      <c r="AA201" s="46">
        <f t="shared" si="27"/>
        <v>0.67878203405004889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8"/>
        <v>3391.1614424033587</v>
      </c>
      <c r="AH201" s="47">
        <v>2697.5086530284602</v>
      </c>
      <c r="AI201" s="25">
        <f t="shared" si="29"/>
        <v>6.4822134047165605</v>
      </c>
      <c r="AJ201" s="47">
        <f t="shared" si="30"/>
        <v>1</v>
      </c>
      <c r="AK201" s="25">
        <f t="shared" si="31"/>
        <v>0.67878203405004889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4"/>
        <v>14073.1</v>
      </c>
      <c r="M202" s="25"/>
      <c r="N202" s="25"/>
      <c r="O202" s="25"/>
      <c r="P202" s="25">
        <f t="shared" si="25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6"/>
        <v>9.2987954997459816</v>
      </c>
      <c r="W202" s="25">
        <v>4.4981200000000001</v>
      </c>
      <c r="X202" s="25"/>
      <c r="Y202" s="25"/>
      <c r="Z202" s="25"/>
      <c r="AA202" s="46">
        <f t="shared" si="27"/>
        <v>0.48373146824477181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8"/>
        <v>2416.6984706432022</v>
      </c>
      <c r="AH202" s="47">
        <v>1880.4399720886074</v>
      </c>
      <c r="AI202" s="25">
        <f t="shared" si="29"/>
        <v>5.2568237321193836</v>
      </c>
      <c r="AJ202" s="47">
        <f t="shared" si="30"/>
        <v>1.3300000000000003</v>
      </c>
      <c r="AK202" s="25">
        <f t="shared" si="31"/>
        <v>0.48373146824477181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4"/>
        <v>14073.1</v>
      </c>
      <c r="M203" s="25"/>
      <c r="N203" s="25"/>
      <c r="O203" s="25"/>
      <c r="P203" s="25">
        <f t="shared" si="25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6"/>
        <v>13.192555857592348</v>
      </c>
      <c r="W203" s="25">
        <v>4.3133600000000003</v>
      </c>
      <c r="X203" s="25"/>
      <c r="Y203" s="25"/>
      <c r="Z203" s="25"/>
      <c r="AA203" s="46">
        <f t="shared" si="27"/>
        <v>0.32695408278431892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8"/>
        <v>1633.4464133633599</v>
      </c>
      <c r="AH203" s="47">
        <v>1325.4313219327296</v>
      </c>
      <c r="AI203" s="25">
        <f t="shared" si="29"/>
        <v>4.7303796685404089</v>
      </c>
      <c r="AJ203" s="47">
        <f t="shared" si="30"/>
        <v>1.6700000000000002</v>
      </c>
      <c r="AK203" s="25">
        <f t="shared" si="31"/>
        <v>0.32695408278431892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4"/>
        <v>14073.1</v>
      </c>
      <c r="M204" s="25"/>
      <c r="N204" s="25"/>
      <c r="O204" s="25"/>
      <c r="P204" s="25">
        <f t="shared" si="25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6"/>
        <v>17.840429325891453</v>
      </c>
      <c r="W204" s="25">
        <v>4.1303599999999996</v>
      </c>
      <c r="X204" s="25"/>
      <c r="Y204" s="25"/>
      <c r="Z204" s="25"/>
      <c r="AA204" s="46">
        <f t="shared" si="27"/>
        <v>0.23151684999002192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8"/>
        <v>1156.6467224660751</v>
      </c>
      <c r="AH204" s="47">
        <v>980.12365232843217</v>
      </c>
      <c r="AI204" s="25">
        <f t="shared" si="29"/>
        <v>4.4601073314728632</v>
      </c>
      <c r="AJ204" s="47">
        <f t="shared" si="30"/>
        <v>2</v>
      </c>
      <c r="AK204" s="25">
        <f t="shared" si="31"/>
        <v>0.23151684999002192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4"/>
        <v>14073.1</v>
      </c>
      <c r="M205" s="25"/>
      <c r="N205" s="25"/>
      <c r="O205" s="25"/>
      <c r="P205" s="25">
        <f t="shared" si="25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6"/>
        <v>26.421797868568682</v>
      </c>
      <c r="W205" s="25">
        <v>3.9554200000000002</v>
      </c>
      <c r="X205" s="25"/>
      <c r="Y205" s="25"/>
      <c r="Z205" s="25"/>
      <c r="AA205" s="46">
        <f t="shared" si="27"/>
        <v>0.14970290892677518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8"/>
        <v>747.90832270417695</v>
      </c>
      <c r="AH205" s="47">
        <v>661.79549313716848</v>
      </c>
      <c r="AI205" s="25">
        <f t="shared" si="29"/>
        <v>4.227487658970988</v>
      </c>
      <c r="AJ205" s="47">
        <f t="shared" si="30"/>
        <v>2.5000000000000004</v>
      </c>
      <c r="AK205" s="25">
        <f t="shared" si="31"/>
        <v>0.14970290892677518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4"/>
        <v>10828</v>
      </c>
      <c r="M206" s="15"/>
      <c r="N206" s="15"/>
      <c r="O206" s="15"/>
      <c r="P206" s="15">
        <f t="shared" si="25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6"/>
        <v>3.6875184446391605</v>
      </c>
      <c r="W206" s="15">
        <v>3.60791</v>
      </c>
      <c r="X206" s="15"/>
      <c r="Y206" s="15"/>
      <c r="Z206" s="15"/>
      <c r="AA206" s="16">
        <f t="shared" si="27"/>
        <v>0.97841137723530747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8"/>
        <v>3760.9546294098877</v>
      </c>
      <c r="AH206" s="17">
        <v>3648.4671743293502</v>
      </c>
      <c r="AI206" s="15">
        <f t="shared" si="29"/>
        <v>40.972427162657333</v>
      </c>
      <c r="AJ206" s="17">
        <f>(V206/AI206)^0.5</f>
        <v>0.30000000000000004</v>
      </c>
      <c r="AK206" s="15">
        <f t="shared" si="31"/>
        <v>0.97841137723530747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4"/>
        <v>10828</v>
      </c>
      <c r="M207" s="15"/>
      <c r="N207" s="15"/>
      <c r="O207" s="15"/>
      <c r="P207" s="15">
        <f t="shared" si="25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6"/>
        <v>4.1518828485211703</v>
      </c>
      <c r="W207" s="15">
        <v>3.7143999999999999</v>
      </c>
      <c r="X207" s="15"/>
      <c r="Y207" s="15"/>
      <c r="Z207" s="15"/>
      <c r="AA207" s="16">
        <f t="shared" si="27"/>
        <v>0.89463025222954107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8"/>
        <v>3438.9050117552215</v>
      </c>
      <c r="AH207" s="17">
        <v>3240.4069408634709</v>
      </c>
      <c r="AI207" s="15">
        <f t="shared" si="29"/>
        <v>16.607531394084688</v>
      </c>
      <c r="AJ207" s="17">
        <f t="shared" si="30"/>
        <v>0.49999999999999989</v>
      </c>
      <c r="AK207" s="15">
        <f t="shared" si="31"/>
        <v>0.89463025222954107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4"/>
        <v>10828</v>
      </c>
      <c r="M208" s="15"/>
      <c r="N208" s="15"/>
      <c r="O208" s="15"/>
      <c r="P208" s="15">
        <f t="shared" si="25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6"/>
        <v>5.0466007171573128</v>
      </c>
      <c r="W208" s="15">
        <v>3.9752900000000002</v>
      </c>
      <c r="X208" s="15"/>
      <c r="Y208" s="15"/>
      <c r="Z208" s="15"/>
      <c r="AA208" s="16">
        <f t="shared" si="27"/>
        <v>0.78771637044414944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8"/>
        <v>3027.9344650050839</v>
      </c>
      <c r="AH208" s="17">
        <v>2665.911324083977</v>
      </c>
      <c r="AI208" s="15">
        <f t="shared" si="29"/>
        <v>8.9717346082796663</v>
      </c>
      <c r="AJ208" s="17">
        <f t="shared" si="30"/>
        <v>0.75000000000000011</v>
      </c>
      <c r="AK208" s="15">
        <f t="shared" si="31"/>
        <v>0.78771637044414944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4"/>
        <v>10828</v>
      </c>
      <c r="M209" s="15"/>
      <c r="N209" s="15"/>
      <c r="O209" s="15"/>
      <c r="P209" s="15">
        <f t="shared" si="25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6"/>
        <v>6.4822134047165614</v>
      </c>
      <c r="W209" s="15">
        <v>4.3222399999999999</v>
      </c>
      <c r="X209" s="15"/>
      <c r="Y209" s="15"/>
      <c r="Z209" s="15"/>
      <c r="AA209" s="16">
        <f t="shared" si="27"/>
        <v>0.66678458886513503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8"/>
        <v>2563.0799525222474</v>
      </c>
      <c r="AH209" s="17">
        <v>2075.4932243068097</v>
      </c>
      <c r="AI209" s="15">
        <f t="shared" si="29"/>
        <v>6.4822134047165632</v>
      </c>
      <c r="AJ209" s="17">
        <f t="shared" si="30"/>
        <v>0.99999999999999989</v>
      </c>
      <c r="AK209" s="15">
        <f t="shared" si="31"/>
        <v>0.66678458886513503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4"/>
        <v>10828</v>
      </c>
      <c r="M210" s="15"/>
      <c r="N210" s="15"/>
      <c r="O210" s="15"/>
      <c r="P210" s="15">
        <f t="shared" si="25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6"/>
        <v>9.2987954997459781</v>
      </c>
      <c r="W210" s="15">
        <v>4.4654699999999998</v>
      </c>
      <c r="X210" s="15"/>
      <c r="Y210" s="15"/>
      <c r="Z210" s="15"/>
      <c r="AA210" s="16">
        <f t="shared" si="27"/>
        <v>0.48022026079850733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8"/>
        <v>1845.9378692938144</v>
      </c>
      <c r="AH210" s="17">
        <v>1446.8314740729086</v>
      </c>
      <c r="AI210" s="15">
        <f t="shared" si="29"/>
        <v>5.2568237321193827</v>
      </c>
      <c r="AJ210" s="17">
        <f t="shared" si="30"/>
        <v>1.33</v>
      </c>
      <c r="AK210" s="15">
        <f t="shared" si="31"/>
        <v>0.48022026079850733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4"/>
        <v>10828</v>
      </c>
      <c r="M211" s="15"/>
      <c r="N211" s="15"/>
      <c r="O211" s="15"/>
      <c r="P211" s="15">
        <f t="shared" si="25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6"/>
        <v>13.192555857592344</v>
      </c>
      <c r="W211" s="15">
        <v>4.2757399999999999</v>
      </c>
      <c r="X211" s="15"/>
      <c r="Y211" s="15"/>
      <c r="Z211" s="15"/>
      <c r="AA211" s="16">
        <f t="shared" si="27"/>
        <v>0.32410247461937425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8"/>
        <v>1245.8304662883975</v>
      </c>
      <c r="AH211" s="17">
        <v>1019.8016324681555</v>
      </c>
      <c r="AI211" s="15">
        <f t="shared" si="29"/>
        <v>4.7303796685404089</v>
      </c>
      <c r="AJ211" s="17">
        <f t="shared" si="30"/>
        <v>1.67</v>
      </c>
      <c r="AK211" s="15">
        <f t="shared" si="31"/>
        <v>0.32410247461937425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4"/>
        <v>10828</v>
      </c>
      <c r="M212" s="15"/>
      <c r="N212" s="15"/>
      <c r="O212" s="15"/>
      <c r="P212" s="15">
        <f t="shared" si="25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6"/>
        <v>17.840429325891453</v>
      </c>
      <c r="W212" s="15">
        <v>4.0779899999999998</v>
      </c>
      <c r="X212" s="15"/>
      <c r="Y212" s="15"/>
      <c r="Z212" s="15"/>
      <c r="AA212" s="16">
        <f t="shared" si="27"/>
        <v>0.22858138251648999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8"/>
        <v>878.65311951043645</v>
      </c>
      <c r="AH212" s="17">
        <v>754.11806264520703</v>
      </c>
      <c r="AI212" s="15">
        <f t="shared" si="29"/>
        <v>4.460107331472865</v>
      </c>
      <c r="AJ212" s="17">
        <f t="shared" si="30"/>
        <v>1.9999999999999996</v>
      </c>
      <c r="AK212" s="15">
        <f t="shared" si="31"/>
        <v>0.22858138251648999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4"/>
        <v>10828</v>
      </c>
      <c r="M213" s="15"/>
      <c r="N213" s="15"/>
      <c r="O213" s="15"/>
      <c r="P213" s="15">
        <f t="shared" si="25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6"/>
        <v>26.421797868568689</v>
      </c>
      <c r="W213" s="15">
        <v>3.8934199999999999</v>
      </c>
      <c r="X213" s="15"/>
      <c r="Y213" s="15"/>
      <c r="Z213" s="15"/>
      <c r="AA213" s="16">
        <f t="shared" si="27"/>
        <v>0.14735636156809767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8"/>
        <v>566.42901248607336</v>
      </c>
      <c r="AH213" s="17">
        <v>509.19282885002309</v>
      </c>
      <c r="AI213" s="15">
        <f t="shared" si="29"/>
        <v>4.2274876589709907</v>
      </c>
      <c r="AJ213" s="17">
        <f t="shared" si="30"/>
        <v>2.5</v>
      </c>
      <c r="AK213" s="15">
        <f t="shared" si="31"/>
        <v>0.14735636156809767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4"/>
        <v>9336</v>
      </c>
      <c r="M214" s="25"/>
      <c r="N214" s="25"/>
      <c r="O214" s="25"/>
      <c r="P214" s="25">
        <f t="shared" si="25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6"/>
        <v>3.6875184446391613</v>
      </c>
      <c r="W214" s="25">
        <v>3.5443699999999998</v>
      </c>
      <c r="X214" s="25"/>
      <c r="Y214" s="25"/>
      <c r="Z214" s="25"/>
      <c r="AA214" s="46">
        <f t="shared" si="27"/>
        <v>0.96118027698349062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8"/>
        <v>3185.6205684008432</v>
      </c>
      <c r="AH214" s="47">
        <v>3145.7415533375333</v>
      </c>
      <c r="AI214" s="25">
        <f t="shared" si="29"/>
        <v>40.972427162657347</v>
      </c>
      <c r="AJ214" s="47">
        <f t="shared" si="30"/>
        <v>0.3</v>
      </c>
      <c r="AK214" s="25">
        <f t="shared" si="31"/>
        <v>0.96118027698349062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4"/>
        <v>9336</v>
      </c>
      <c r="M215" s="25"/>
      <c r="N215" s="25"/>
      <c r="O215" s="25"/>
      <c r="P215" s="25">
        <f t="shared" si="25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6"/>
        <v>4.1518828485211712</v>
      </c>
      <c r="W215" s="25">
        <v>3.6559200000000001</v>
      </c>
      <c r="X215" s="25"/>
      <c r="Y215" s="25"/>
      <c r="Z215" s="25"/>
      <c r="AA215" s="46">
        <f t="shared" si="27"/>
        <v>0.88054507638677126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8"/>
        <v>2918.3729357671482</v>
      </c>
      <c r="AH215" s="47">
        <v>2793.9083117751534</v>
      </c>
      <c r="AI215" s="25">
        <f t="shared" si="29"/>
        <v>16.607531394084681</v>
      </c>
      <c r="AJ215" s="47">
        <f t="shared" si="30"/>
        <v>0.5</v>
      </c>
      <c r="AK215" s="25">
        <f t="shared" si="31"/>
        <v>0.88054507638677126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4"/>
        <v>9336</v>
      </c>
      <c r="M216" s="25"/>
      <c r="N216" s="25"/>
      <c r="O216" s="25"/>
      <c r="P216" s="25">
        <f t="shared" si="25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6"/>
        <v>5.046600717157312</v>
      </c>
      <c r="W216" s="25">
        <v>3.8918699999999999</v>
      </c>
      <c r="X216" s="25"/>
      <c r="Y216" s="25"/>
      <c r="Z216" s="25"/>
      <c r="AA216" s="46">
        <f t="shared" si="27"/>
        <v>0.77118643184282709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8"/>
        <v>2555.9277673280449</v>
      </c>
      <c r="AH216" s="47">
        <v>2298.5729702297758</v>
      </c>
      <c r="AI216" s="25">
        <f t="shared" si="29"/>
        <v>8.9717346082796645</v>
      </c>
      <c r="AJ216" s="47">
        <f t="shared" si="30"/>
        <v>0.75000000000000011</v>
      </c>
      <c r="AK216" s="25">
        <f t="shared" si="31"/>
        <v>0.77118643184282709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4"/>
        <v>9336</v>
      </c>
      <c r="M217" s="25"/>
      <c r="N217" s="25"/>
      <c r="O217" s="25"/>
      <c r="P217" s="25">
        <f t="shared" si="25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6"/>
        <v>6.482213404716564</v>
      </c>
      <c r="W217" s="25">
        <v>4.2712599999999998</v>
      </c>
      <c r="X217" s="25"/>
      <c r="Y217" s="25"/>
      <c r="Z217" s="25"/>
      <c r="AA217" s="46">
        <f t="shared" si="27"/>
        <v>0.65891999126288581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8"/>
        <v>2183.8453486427575</v>
      </c>
      <c r="AH217" s="47">
        <v>1789.5091191474298</v>
      </c>
      <c r="AI217" s="25">
        <f t="shared" si="29"/>
        <v>6.4822134047165632</v>
      </c>
      <c r="AJ217" s="47">
        <f t="shared" si="30"/>
        <v>1</v>
      </c>
      <c r="AK217" s="25">
        <f t="shared" si="31"/>
        <v>0.65891999126288581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4"/>
        <v>9336</v>
      </c>
      <c r="M218" s="25"/>
      <c r="N218" s="25"/>
      <c r="O218" s="25"/>
      <c r="P218" s="25">
        <f t="shared" si="25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6"/>
        <v>9.2987954997459799</v>
      </c>
      <c r="W218" s="25">
        <v>4.4412099999999999</v>
      </c>
      <c r="X218" s="25"/>
      <c r="Y218" s="25"/>
      <c r="Z218" s="25"/>
      <c r="AA218" s="46">
        <f t="shared" si="27"/>
        <v>0.47761132074808216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8"/>
        <v>1582.9376481289535</v>
      </c>
      <c r="AH218" s="47">
        <v>1247.4712451001726</v>
      </c>
      <c r="AI218" s="25">
        <f t="shared" si="29"/>
        <v>5.2568237321193845</v>
      </c>
      <c r="AJ218" s="47">
        <f t="shared" si="30"/>
        <v>1.33</v>
      </c>
      <c r="AK218" s="25">
        <f t="shared" si="31"/>
        <v>0.47761132074808216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4"/>
        <v>9336</v>
      </c>
      <c r="M219" s="25"/>
      <c r="N219" s="25"/>
      <c r="O219" s="25"/>
      <c r="P219" s="25">
        <f t="shared" si="25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6"/>
        <v>13.192555857592343</v>
      </c>
      <c r="W219" s="25">
        <v>4.2540500000000003</v>
      </c>
      <c r="X219" s="25"/>
      <c r="Y219" s="25"/>
      <c r="Z219" s="25"/>
      <c r="AA219" s="46">
        <f t="shared" si="27"/>
        <v>0.32245836560561431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8"/>
        <v>1068.7173119593754</v>
      </c>
      <c r="AH219" s="47">
        <v>879.28223501317882</v>
      </c>
      <c r="AI219" s="25">
        <f t="shared" si="29"/>
        <v>4.730379668540408</v>
      </c>
      <c r="AJ219" s="47">
        <f t="shared" si="30"/>
        <v>1.67</v>
      </c>
      <c r="AK219" s="25">
        <f t="shared" si="31"/>
        <v>0.32245836560561431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4"/>
        <v>9336</v>
      </c>
      <c r="M220" s="25"/>
      <c r="N220" s="25"/>
      <c r="O220" s="25"/>
      <c r="P220" s="25">
        <f t="shared" si="25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6"/>
        <v>17.84042932589146</v>
      </c>
      <c r="W220" s="25">
        <v>4.0467899999999997</v>
      </c>
      <c r="X220" s="25"/>
      <c r="Y220" s="25"/>
      <c r="Z220" s="25"/>
      <c r="AA220" s="46">
        <f t="shared" si="27"/>
        <v>0.2268325456790983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8"/>
        <v>751.78656949332196</v>
      </c>
      <c r="AH220" s="47">
        <v>650.20744669889643</v>
      </c>
      <c r="AI220" s="25">
        <f t="shared" si="29"/>
        <v>4.460107331472865</v>
      </c>
      <c r="AJ220" s="47">
        <f t="shared" si="30"/>
        <v>2</v>
      </c>
      <c r="AK220" s="25">
        <f t="shared" si="31"/>
        <v>0.2268325456790983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4"/>
        <v>9336</v>
      </c>
      <c r="M221" s="25"/>
      <c r="N221" s="25"/>
      <c r="O221" s="25"/>
      <c r="P221" s="25">
        <f t="shared" si="25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6"/>
        <v>26.421797868568685</v>
      </c>
      <c r="W221" s="25">
        <v>3.8566199999999999</v>
      </c>
      <c r="X221" s="25"/>
      <c r="Y221" s="25"/>
      <c r="Z221" s="25"/>
      <c r="AA221" s="46">
        <f t="shared" si="27"/>
        <v>0.14596357216810849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8"/>
        <v>483.76414796531856</v>
      </c>
      <c r="AH221" s="47">
        <v>439.03068435018616</v>
      </c>
      <c r="AI221" s="25">
        <f t="shared" si="29"/>
        <v>4.2274876589709898</v>
      </c>
      <c r="AJ221" s="47">
        <f t="shared" si="30"/>
        <v>2.5</v>
      </c>
      <c r="AK221" s="25">
        <f t="shared" si="31"/>
        <v>0.14596357216810849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4"/>
        <v>7955.9</v>
      </c>
      <c r="M222" s="15"/>
      <c r="N222" s="15"/>
      <c r="O222" s="15"/>
      <c r="P222" s="15">
        <f t="shared" si="25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6"/>
        <v>3.6875184446391605</v>
      </c>
      <c r="W222" s="15">
        <v>3.2892899999999998</v>
      </c>
      <c r="X222" s="15"/>
      <c r="Y222" s="15"/>
      <c r="Z222" s="15"/>
      <c r="AA222" s="16">
        <f t="shared" si="27"/>
        <v>0.89200638569873536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8"/>
        <v>2519.3333294131021</v>
      </c>
      <c r="AH222" s="17">
        <v>2680.7203539201037</v>
      </c>
      <c r="AI222" s="15">
        <f t="shared" si="29"/>
        <v>40.97242716265734</v>
      </c>
      <c r="AJ222" s="17">
        <f t="shared" si="30"/>
        <v>0.3</v>
      </c>
      <c r="AK222" s="15">
        <f t="shared" si="31"/>
        <v>0.89200638569873536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4"/>
        <v>7955.9</v>
      </c>
      <c r="M223" s="15"/>
      <c r="N223" s="15"/>
      <c r="O223" s="15"/>
      <c r="P223" s="15">
        <f t="shared" si="25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6"/>
        <v>4.1518828485211703</v>
      </c>
      <c r="W223" s="15">
        <v>3.4516399999999998</v>
      </c>
      <c r="X223" s="15"/>
      <c r="Y223" s="15"/>
      <c r="Z223" s="15"/>
      <c r="AA223" s="16">
        <f t="shared" si="27"/>
        <v>0.83134330276910751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8"/>
        <v>2347.9998847877637</v>
      </c>
      <c r="AH223" s="17">
        <v>2380.8970798684604</v>
      </c>
      <c r="AI223" s="15">
        <f t="shared" si="29"/>
        <v>16.607531394084681</v>
      </c>
      <c r="AJ223" s="17">
        <f t="shared" si="30"/>
        <v>0.5</v>
      </c>
      <c r="AK223" s="15">
        <f t="shared" si="31"/>
        <v>0.83134330276910751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4"/>
        <v>7955.9</v>
      </c>
      <c r="M224" s="15"/>
      <c r="N224" s="15"/>
      <c r="O224" s="15"/>
      <c r="P224" s="15">
        <f t="shared" si="25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6"/>
        <v>5.046600717157312</v>
      </c>
      <c r="W224" s="15">
        <v>3.7345999999999999</v>
      </c>
      <c r="X224" s="15"/>
      <c r="Y224" s="15"/>
      <c r="Z224" s="15"/>
      <c r="AA224" s="16">
        <f t="shared" si="27"/>
        <v>0.74002288061014942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8"/>
        <v>2090.0795527254322</v>
      </c>
      <c r="AH224" s="17">
        <v>1958.7849929146394</v>
      </c>
      <c r="AI224" s="15">
        <f t="shared" si="29"/>
        <v>8.9717346082796663</v>
      </c>
      <c r="AJ224" s="17">
        <f t="shared" si="30"/>
        <v>0.75</v>
      </c>
      <c r="AK224" s="15">
        <f t="shared" si="31"/>
        <v>0.74002288061014942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4"/>
        <v>7955.9</v>
      </c>
      <c r="M225" s="15"/>
      <c r="N225" s="15"/>
      <c r="O225" s="15"/>
      <c r="P225" s="15">
        <f t="shared" si="25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6"/>
        <v>6.4822134047165614</v>
      </c>
      <c r="W225" s="15">
        <v>4.1876300000000004</v>
      </c>
      <c r="X225" s="15"/>
      <c r="Y225" s="15"/>
      <c r="Z225" s="15"/>
      <c r="AA225" s="16">
        <f t="shared" si="27"/>
        <v>0.64601853387810626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8"/>
        <v>1824.5788930566932</v>
      </c>
      <c r="AH225" s="17">
        <v>1524.9738218750047</v>
      </c>
      <c r="AI225" s="15">
        <f t="shared" si="29"/>
        <v>6.4822134047165614</v>
      </c>
      <c r="AJ225" s="17">
        <f t="shared" si="30"/>
        <v>1</v>
      </c>
      <c r="AK225" s="15">
        <f t="shared" si="31"/>
        <v>0.64601853387810626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4"/>
        <v>7955.9</v>
      </c>
      <c r="M226" s="15"/>
      <c r="N226" s="15"/>
      <c r="O226" s="15"/>
      <c r="P226" s="15">
        <f t="shared" si="25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6"/>
        <v>9.2987954997459763</v>
      </c>
      <c r="W226" s="15">
        <v>4.4071999999999996</v>
      </c>
      <c r="X226" s="15"/>
      <c r="Y226" s="15"/>
      <c r="Z226" s="15"/>
      <c r="AA226" s="16">
        <f t="shared" si="27"/>
        <v>0.47395385780022747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8"/>
        <v>1338.6089715318544</v>
      </c>
      <c r="AH226" s="17">
        <v>1063.0630333003928</v>
      </c>
      <c r="AI226" s="15">
        <f t="shared" si="29"/>
        <v>5.2568237321193818</v>
      </c>
      <c r="AJ226" s="17">
        <f t="shared" si="30"/>
        <v>1.33</v>
      </c>
      <c r="AK226" s="15">
        <f t="shared" si="31"/>
        <v>0.47395385780022747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4"/>
        <v>7955.9</v>
      </c>
      <c r="M227" s="15"/>
      <c r="N227" s="15"/>
      <c r="O227" s="15"/>
      <c r="P227" s="15">
        <f t="shared" si="25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6"/>
        <v>13.192555857592346</v>
      </c>
      <c r="W227" s="15">
        <v>4.2296300000000002</v>
      </c>
      <c r="X227" s="15"/>
      <c r="Y227" s="15"/>
      <c r="Z227" s="15"/>
      <c r="AA227" s="16">
        <f t="shared" si="27"/>
        <v>0.32060732170907114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8"/>
        <v>905.50552572874562</v>
      </c>
      <c r="AH227" s="17">
        <v>749.30179236732522</v>
      </c>
      <c r="AI227" s="15">
        <f t="shared" si="29"/>
        <v>4.7303796685404089</v>
      </c>
      <c r="AJ227" s="17">
        <f t="shared" si="30"/>
        <v>1.67</v>
      </c>
      <c r="AK227" s="15">
        <f t="shared" si="31"/>
        <v>0.32060732170907114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4"/>
        <v>7955.9</v>
      </c>
      <c r="M228" s="15"/>
      <c r="N228" s="15"/>
      <c r="O228" s="15"/>
      <c r="P228" s="15">
        <f t="shared" si="25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6"/>
        <v>17.840429325891453</v>
      </c>
      <c r="W228" s="15">
        <v>4.0129400000000004</v>
      </c>
      <c r="X228" s="15"/>
      <c r="Y228" s="15"/>
      <c r="Z228" s="15"/>
      <c r="AA228" s="16">
        <f t="shared" si="27"/>
        <v>0.22493516981545406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8"/>
        <v>635.2944097248436</v>
      </c>
      <c r="AH228" s="17">
        <v>554.0901269485596</v>
      </c>
      <c r="AI228" s="15">
        <f t="shared" si="29"/>
        <v>4.4601073314728632</v>
      </c>
      <c r="AJ228" s="17">
        <f t="shared" si="30"/>
        <v>2</v>
      </c>
      <c r="AK228" s="15">
        <f t="shared" si="31"/>
        <v>0.22493516981545406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4"/>
        <v>7955.9</v>
      </c>
      <c r="M229" s="15"/>
      <c r="N229" s="15"/>
      <c r="O229" s="15"/>
      <c r="P229" s="15">
        <f t="shared" si="25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6"/>
        <v>26.421797868568685</v>
      </c>
      <c r="W229" s="15">
        <v>3.81671</v>
      </c>
      <c r="X229" s="15"/>
      <c r="Y229" s="15"/>
      <c r="Z229" s="15"/>
      <c r="AA229" s="16">
        <f t="shared" si="27"/>
        <v>0.14445307692480497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8"/>
        <v>407.9852533206498</v>
      </c>
      <c r="AH229" s="17">
        <v>374.13070068783702</v>
      </c>
      <c r="AI229" s="15">
        <f t="shared" si="29"/>
        <v>4.2274876589709898</v>
      </c>
      <c r="AJ229" s="17">
        <f t="shared" si="30"/>
        <v>2.5</v>
      </c>
      <c r="AK229" s="15">
        <f t="shared" si="31"/>
        <v>0.14445307692480497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4"/>
        <v>7023.4</v>
      </c>
      <c r="M230" s="25"/>
      <c r="N230" s="25"/>
      <c r="O230" s="25"/>
      <c r="P230" s="25">
        <f t="shared" si="25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6"/>
        <v>3.6875184446391613</v>
      </c>
      <c r="W230" s="25">
        <v>3.1785600000000001</v>
      </c>
      <c r="X230" s="25"/>
      <c r="Y230" s="25"/>
      <c r="Z230" s="25"/>
      <c r="AA230" s="46">
        <f t="shared" si="27"/>
        <v>0.8619780613222221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8"/>
        <v>2149.1759341411257</v>
      </c>
      <c r="AH230" s="47">
        <v>2366.5168408002178</v>
      </c>
      <c r="AI230" s="25">
        <f t="shared" si="29"/>
        <v>40.972427162657354</v>
      </c>
      <c r="AJ230" s="47">
        <f t="shared" si="30"/>
        <v>0.3</v>
      </c>
      <c r="AK230" s="25">
        <f t="shared" si="31"/>
        <v>0.8619780613222221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4"/>
        <v>7023.4</v>
      </c>
      <c r="M231" s="25"/>
      <c r="N231" s="25"/>
      <c r="O231" s="25"/>
      <c r="P231" s="25">
        <f t="shared" si="25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6"/>
        <v>4.1518828485211703</v>
      </c>
      <c r="W231" s="25">
        <v>3.24587</v>
      </c>
      <c r="X231" s="25"/>
      <c r="Y231" s="25"/>
      <c r="Z231" s="25"/>
      <c r="AA231" s="46">
        <f t="shared" si="27"/>
        <v>0.78178265582713236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8"/>
        <v>1949.22416825238</v>
      </c>
      <c r="AH231" s="47">
        <v>2101.8354366882622</v>
      </c>
      <c r="AI231" s="25">
        <f t="shared" si="29"/>
        <v>16.607531394084685</v>
      </c>
      <c r="AJ231" s="47">
        <f t="shared" si="30"/>
        <v>0.49999999999999994</v>
      </c>
      <c r="AK231" s="25">
        <f t="shared" si="31"/>
        <v>0.78178265582713236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4"/>
        <v>7023.4</v>
      </c>
      <c r="M232" s="25"/>
      <c r="N232" s="25"/>
      <c r="O232" s="25"/>
      <c r="P232" s="25">
        <f t="shared" si="25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6"/>
        <v>5.0466007171573137</v>
      </c>
      <c r="W232" s="25">
        <v>3.4650099999999999</v>
      </c>
      <c r="X232" s="25"/>
      <c r="Y232" s="25"/>
      <c r="Z232" s="25"/>
      <c r="AA232" s="46">
        <f t="shared" si="27"/>
        <v>0.68660276376130591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8"/>
        <v>1711.9114771054103</v>
      </c>
      <c r="AH232" s="47">
        <v>1729.1985217557631</v>
      </c>
      <c r="AI232" s="25">
        <f t="shared" si="29"/>
        <v>8.9717346082796681</v>
      </c>
      <c r="AJ232" s="47">
        <f t="shared" si="30"/>
        <v>0.75</v>
      </c>
      <c r="AK232" s="25">
        <f t="shared" si="31"/>
        <v>0.68660276376130591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4"/>
        <v>7023.4</v>
      </c>
      <c r="M233" s="25"/>
      <c r="N233" s="25"/>
      <c r="O233" s="25"/>
      <c r="P233" s="25">
        <f t="shared" si="25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6"/>
        <v>6.4822134047165623</v>
      </c>
      <c r="W233" s="25">
        <v>3.9944299999999999</v>
      </c>
      <c r="X233" s="25"/>
      <c r="Y233" s="25"/>
      <c r="Z233" s="25"/>
      <c r="AA233" s="46">
        <f t="shared" si="27"/>
        <v>0.61621389957535011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8"/>
        <v>1536.4104293085175</v>
      </c>
      <c r="AH233" s="47">
        <v>1346.2337561503921</v>
      </c>
      <c r="AI233" s="25">
        <f t="shared" si="29"/>
        <v>6.4822134047165632</v>
      </c>
      <c r="AJ233" s="47">
        <f t="shared" si="30"/>
        <v>1</v>
      </c>
      <c r="AK233" s="25">
        <f t="shared" si="31"/>
        <v>0.61621389957535011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4"/>
        <v>7023.4</v>
      </c>
      <c r="M234" s="25"/>
      <c r="N234" s="25"/>
      <c r="O234" s="25"/>
      <c r="P234" s="25">
        <f t="shared" si="25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6"/>
        <v>9.2987954997459781</v>
      </c>
      <c r="W234" s="25">
        <v>4.3433200000000003</v>
      </c>
      <c r="X234" s="25"/>
      <c r="Y234" s="25"/>
      <c r="Z234" s="25"/>
      <c r="AA234" s="46">
        <f t="shared" si="27"/>
        <v>0.46708415085788796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8"/>
        <v>1164.5841829230283</v>
      </c>
      <c r="AH234" s="47">
        <v>938.46289019243318</v>
      </c>
      <c r="AI234" s="25">
        <f t="shared" si="29"/>
        <v>5.2568237321193845</v>
      </c>
      <c r="AJ234" s="47">
        <f t="shared" si="30"/>
        <v>1.3299999999999998</v>
      </c>
      <c r="AK234" s="25">
        <f t="shared" si="31"/>
        <v>0.46708415085788796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4"/>
        <v>7023.4</v>
      </c>
      <c r="M235" s="25"/>
      <c r="N235" s="25"/>
      <c r="O235" s="25"/>
      <c r="P235" s="25">
        <f t="shared" si="25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6"/>
        <v>13.192555857592346</v>
      </c>
      <c r="W235" s="25">
        <v>4.2087700000000003</v>
      </c>
      <c r="X235" s="25"/>
      <c r="Y235" s="25"/>
      <c r="Z235" s="25"/>
      <c r="AA235" s="46">
        <f t="shared" si="27"/>
        <v>0.31902612696370308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8"/>
        <v>795.4300755414896</v>
      </c>
      <c r="AH235" s="47">
        <v>661.47716895796475</v>
      </c>
      <c r="AI235" s="25">
        <f t="shared" si="29"/>
        <v>4.7303796685404098</v>
      </c>
      <c r="AJ235" s="47">
        <f t="shared" si="30"/>
        <v>1.67</v>
      </c>
      <c r="AK235" s="25">
        <f t="shared" si="31"/>
        <v>0.31902612696370308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4"/>
        <v>7023.4</v>
      </c>
      <c r="M236" s="25"/>
      <c r="N236" s="25"/>
      <c r="O236" s="25"/>
      <c r="P236" s="25">
        <f t="shared" si="25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6"/>
        <v>17.840429325891449</v>
      </c>
      <c r="W236" s="25">
        <v>3.9858600000000002</v>
      </c>
      <c r="X236" s="25"/>
      <c r="Y236" s="25"/>
      <c r="Z236" s="25"/>
      <c r="AA236" s="46">
        <f t="shared" si="27"/>
        <v>0.22341726912453858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8"/>
        <v>557.04784102909582</v>
      </c>
      <c r="AH236" s="47">
        <v>489.14599198211556</v>
      </c>
      <c r="AI236" s="25">
        <f t="shared" si="29"/>
        <v>4.4601073314728632</v>
      </c>
      <c r="AJ236" s="47">
        <f t="shared" si="30"/>
        <v>1.9999999999999998</v>
      </c>
      <c r="AK236" s="25">
        <f t="shared" si="31"/>
        <v>0.22341726912453858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4"/>
        <v>7023.4</v>
      </c>
      <c r="M237" s="25"/>
      <c r="N237" s="25"/>
      <c r="O237" s="25"/>
      <c r="P237" s="25">
        <f t="shared" si="25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6"/>
        <v>26.421797868568689</v>
      </c>
      <c r="W237" s="25">
        <v>3.7848600000000001</v>
      </c>
      <c r="X237" s="25"/>
      <c r="Y237" s="25"/>
      <c r="Z237" s="25"/>
      <c r="AA237" s="46">
        <f t="shared" si="27"/>
        <v>0.1432476328381295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8"/>
        <v>357.16032568873817</v>
      </c>
      <c r="AH237" s="47">
        <v>330.2793603754389</v>
      </c>
      <c r="AI237" s="25">
        <f t="shared" si="29"/>
        <v>4.2274876589709907</v>
      </c>
      <c r="AJ237" s="47">
        <f t="shared" si="30"/>
        <v>2.5</v>
      </c>
      <c r="AK237" s="25">
        <f t="shared" si="31"/>
        <v>0.1432476328381295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4"/>
        <v>6456.4400000000005</v>
      </c>
      <c r="M238" s="15"/>
      <c r="N238" s="15"/>
      <c r="O238" s="15"/>
      <c r="P238" s="15">
        <f t="shared" si="25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6"/>
        <v>3.6875184446391609</v>
      </c>
      <c r="W238" s="15">
        <v>3.1406000000000001</v>
      </c>
      <c r="X238" s="15"/>
      <c r="Y238" s="15"/>
      <c r="Z238" s="15"/>
      <c r="AA238" s="16">
        <f t="shared" si="27"/>
        <v>0.85168387552494562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8"/>
        <v>1952.0902736594694</v>
      </c>
      <c r="AH238" s="17">
        <v>2175.4811048233278</v>
      </c>
      <c r="AI238" s="15">
        <f t="shared" si="29"/>
        <v>40.97242716265734</v>
      </c>
      <c r="AJ238" s="17">
        <f t="shared" si="30"/>
        <v>0.30000000000000004</v>
      </c>
      <c r="AK238" s="15">
        <f t="shared" si="31"/>
        <v>0.85168387552494562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4"/>
        <v>6456.4400000000005</v>
      </c>
      <c r="M239" s="15"/>
      <c r="N239" s="15"/>
      <c r="O239" s="15"/>
      <c r="P239" s="15">
        <f t="shared" si="25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6"/>
        <v>4.1518828485211703</v>
      </c>
      <c r="W239" s="15">
        <v>3.1678799999999998</v>
      </c>
      <c r="X239" s="15"/>
      <c r="Y239" s="15"/>
      <c r="Z239" s="15"/>
      <c r="AA239" s="16">
        <f t="shared" si="27"/>
        <v>0.76299840712710487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8"/>
        <v>1748.8199696776626</v>
      </c>
      <c r="AH239" s="17">
        <v>1932.165957634702</v>
      </c>
      <c r="AI239" s="15">
        <f t="shared" si="29"/>
        <v>16.607531394084681</v>
      </c>
      <c r="AJ239" s="17">
        <f t="shared" si="30"/>
        <v>0.5</v>
      </c>
      <c r="AK239" s="15">
        <f t="shared" si="31"/>
        <v>0.76299840712710487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4"/>
        <v>6456.4400000000005</v>
      </c>
      <c r="M240" s="15"/>
      <c r="N240" s="15"/>
      <c r="O240" s="15"/>
      <c r="P240" s="15">
        <f t="shared" si="25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6"/>
        <v>5.046600717157312</v>
      </c>
      <c r="W240" s="15">
        <v>3.3195100000000002</v>
      </c>
      <c r="X240" s="15"/>
      <c r="Y240" s="15"/>
      <c r="Z240" s="15"/>
      <c r="AA240" s="16">
        <f t="shared" si="27"/>
        <v>0.65777147550318571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8"/>
        <v>1507.6360331807148</v>
      </c>
      <c r="AH240" s="17">
        <v>1589.6099472911669</v>
      </c>
      <c r="AI240" s="15">
        <f t="shared" si="29"/>
        <v>8.9717346082796681</v>
      </c>
      <c r="AJ240" s="17">
        <f t="shared" si="30"/>
        <v>0.74999999999999989</v>
      </c>
      <c r="AK240" s="15">
        <f t="shared" si="31"/>
        <v>0.65777147550318571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4"/>
        <v>6456.4400000000005</v>
      </c>
      <c r="M241" s="15"/>
      <c r="N241" s="15"/>
      <c r="O241" s="15"/>
      <c r="P241" s="15">
        <f t="shared" si="25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6"/>
        <v>6.4822134047165605</v>
      </c>
      <c r="W241" s="15">
        <v>3.8447</v>
      </c>
      <c r="X241" s="15"/>
      <c r="Y241" s="15"/>
      <c r="Z241" s="15"/>
      <c r="AA241" s="16">
        <f t="shared" si="27"/>
        <v>0.59311530799071432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8"/>
        <v>1359.4417566888667</v>
      </c>
      <c r="AH241" s="17">
        <v>1237.5597961898284</v>
      </c>
      <c r="AI241" s="15">
        <f t="shared" si="29"/>
        <v>6.4822134047165605</v>
      </c>
      <c r="AJ241" s="17">
        <f t="shared" si="30"/>
        <v>1</v>
      </c>
      <c r="AK241" s="15">
        <f t="shared" si="31"/>
        <v>0.59311530799071432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4"/>
        <v>6456.4400000000005</v>
      </c>
      <c r="M242" s="15"/>
      <c r="N242" s="15"/>
      <c r="O242" s="15"/>
      <c r="P242" s="15">
        <f t="shared" si="25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6"/>
        <v>9.2987954997459763</v>
      </c>
      <c r="W242" s="15">
        <v>4.2483199999999997</v>
      </c>
      <c r="X242" s="15"/>
      <c r="Y242" s="15"/>
      <c r="Z242" s="15"/>
      <c r="AA242" s="16">
        <f t="shared" si="27"/>
        <v>0.45686777390857286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8"/>
        <v>1047.1574764118645</v>
      </c>
      <c r="AH242" s="17">
        <v>862.70600318279378</v>
      </c>
      <c r="AI242" s="15">
        <f t="shared" si="29"/>
        <v>5.2568237321193818</v>
      </c>
      <c r="AJ242" s="17">
        <f t="shared" si="30"/>
        <v>1.33</v>
      </c>
      <c r="AK242" s="15">
        <f t="shared" si="31"/>
        <v>0.45686777390857286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4"/>
        <v>6456.4400000000005</v>
      </c>
      <c r="M243" s="15"/>
      <c r="N243" s="15"/>
      <c r="O243" s="15"/>
      <c r="P243" s="15">
        <f t="shared" si="25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6"/>
        <v>13.192555857592346</v>
      </c>
      <c r="W243" s="15">
        <v>4.1837099999999996</v>
      </c>
      <c r="X243" s="15"/>
      <c r="Y243" s="15"/>
      <c r="Z243" s="15"/>
      <c r="AA243" s="16">
        <f t="shared" si="27"/>
        <v>0.31712657086020712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8"/>
        <v>726.86558039345982</v>
      </c>
      <c r="AH243" s="17">
        <v>608.07979792507365</v>
      </c>
      <c r="AI243" s="15">
        <f t="shared" si="29"/>
        <v>4.7303796685404098</v>
      </c>
      <c r="AJ243" s="17">
        <f t="shared" si="30"/>
        <v>1.67</v>
      </c>
      <c r="AK243" s="15">
        <f t="shared" si="31"/>
        <v>0.31712657086020712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4"/>
        <v>6456.4400000000005</v>
      </c>
      <c r="M244" s="15"/>
      <c r="N244" s="15"/>
      <c r="O244" s="15"/>
      <c r="P244" s="15">
        <f t="shared" si="25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6"/>
        <v>17.840429325891453</v>
      </c>
      <c r="W244" s="15">
        <v>3.9643999999999999</v>
      </c>
      <c r="X244" s="15"/>
      <c r="Y244" s="15"/>
      <c r="Z244" s="15"/>
      <c r="AA244" s="16">
        <f t="shared" si="27"/>
        <v>0.22221438327420442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8"/>
        <v>509.32341062515115</v>
      </c>
      <c r="AH244" s="17">
        <v>449.65995792251766</v>
      </c>
      <c r="AI244" s="15">
        <f t="shared" si="29"/>
        <v>4.4601073314728632</v>
      </c>
      <c r="AJ244" s="17">
        <f t="shared" si="30"/>
        <v>2</v>
      </c>
      <c r="AK244" s="15">
        <f t="shared" si="31"/>
        <v>0.22221438327420442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4"/>
        <v>6456.4400000000005</v>
      </c>
      <c r="M245" s="15"/>
      <c r="N245" s="15"/>
      <c r="O245" s="15"/>
      <c r="P245" s="15">
        <f t="shared" si="25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6"/>
        <v>26.421797868568685</v>
      </c>
      <c r="W245" s="15">
        <v>3.76153</v>
      </c>
      <c r="X245" s="15"/>
      <c r="Y245" s="15"/>
      <c r="Z245" s="15"/>
      <c r="AA245" s="16">
        <f t="shared" si="27"/>
        <v>0.142364649775582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8"/>
        <v>326.30493088595586</v>
      </c>
      <c r="AH245" s="17">
        <v>303.61774546550089</v>
      </c>
      <c r="AI245" s="15">
        <f t="shared" si="29"/>
        <v>4.2274876589709898</v>
      </c>
      <c r="AJ245" s="17">
        <f t="shared" si="30"/>
        <v>2.5</v>
      </c>
      <c r="AK245" s="15">
        <f t="shared" si="31"/>
        <v>0.142364649775582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4"/>
        <v>18131.148799999999</v>
      </c>
      <c r="M246" s="25"/>
      <c r="N246" s="25"/>
      <c r="O246" s="25"/>
      <c r="P246" s="25">
        <f t="shared" si="25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6"/>
        <v>3.6875184446391609</v>
      </c>
      <c r="W246" s="25">
        <v>3.5932300000000001</v>
      </c>
      <c r="X246" s="25"/>
      <c r="Y246" s="25"/>
      <c r="Z246" s="25"/>
      <c r="AA246" s="46">
        <f t="shared" si="27"/>
        <v>0.97443038019884742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8"/>
        <v>6271.9774876121855</v>
      </c>
      <c r="AH246" s="47">
        <v>6109.2446647285724</v>
      </c>
      <c r="AI246" s="25">
        <f t="shared" si="29"/>
        <v>40.97242716265734</v>
      </c>
      <c r="AJ246" s="47">
        <f t="shared" si="30"/>
        <v>0.30000000000000004</v>
      </c>
      <c r="AK246" s="25">
        <f t="shared" si="31"/>
        <v>0.97443038019884742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4"/>
        <v>18131.148799999999</v>
      </c>
      <c r="M247" s="25"/>
      <c r="N247" s="25"/>
      <c r="O247" s="25"/>
      <c r="P247" s="25">
        <f t="shared" si="25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6"/>
        <v>4.1518828485211712</v>
      </c>
      <c r="W247" s="25">
        <v>3.55952</v>
      </c>
      <c r="X247" s="25"/>
      <c r="Y247" s="25"/>
      <c r="Z247" s="25"/>
      <c r="AA247" s="46">
        <f t="shared" si="27"/>
        <v>0.85732669486756818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8"/>
        <v>5518.2328455739071</v>
      </c>
      <c r="AH247" s="47">
        <v>5425.9605113916132</v>
      </c>
      <c r="AI247" s="25">
        <f t="shared" si="29"/>
        <v>16.607531394084685</v>
      </c>
      <c r="AJ247" s="47">
        <f t="shared" si="30"/>
        <v>0.5</v>
      </c>
      <c r="AK247" s="25">
        <f t="shared" si="31"/>
        <v>0.85732669486756818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4"/>
        <v>18131.148799999999</v>
      </c>
      <c r="M248" s="25"/>
      <c r="N248" s="25"/>
      <c r="O248" s="25"/>
      <c r="P248" s="25">
        <f t="shared" si="25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6"/>
        <v>5.0466007171573128</v>
      </c>
      <c r="W248" s="25">
        <v>3.6818200000000001</v>
      </c>
      <c r="X248" s="25"/>
      <c r="Y248" s="25"/>
      <c r="Z248" s="25"/>
      <c r="AA248" s="46">
        <f t="shared" si="27"/>
        <v>0.72956435556366406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8"/>
        <v>4695.8831609148201</v>
      </c>
      <c r="AH248" s="47">
        <v>4463.9854917410057</v>
      </c>
      <c r="AI248" s="25">
        <f t="shared" si="29"/>
        <v>8.9717346082796663</v>
      </c>
      <c r="AJ248" s="47">
        <f t="shared" si="30"/>
        <v>0.75000000000000011</v>
      </c>
      <c r="AK248" s="25">
        <f t="shared" si="31"/>
        <v>0.72956435556366406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4"/>
        <v>18131.148799999999</v>
      </c>
      <c r="M249" s="25"/>
      <c r="N249" s="25"/>
      <c r="O249" s="25"/>
      <c r="P249" s="25">
        <f t="shared" si="25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6"/>
        <v>6.4822134047165623</v>
      </c>
      <c r="W249" s="25">
        <v>4.1461300000000003</v>
      </c>
      <c r="X249" s="25"/>
      <c r="Y249" s="25"/>
      <c r="Z249" s="25"/>
      <c r="AA249" s="46">
        <f t="shared" si="27"/>
        <v>0.6396163996981663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8"/>
        <v>4116.9279418359438</v>
      </c>
      <c r="AH249" s="47">
        <v>3475.34877016056</v>
      </c>
      <c r="AI249" s="25">
        <f t="shared" si="29"/>
        <v>6.4822134047165632</v>
      </c>
      <c r="AJ249" s="47">
        <f t="shared" si="30"/>
        <v>1</v>
      </c>
      <c r="AK249" s="25">
        <f t="shared" si="31"/>
        <v>0.6396163996981663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4"/>
        <v>18131.148799999999</v>
      </c>
      <c r="M250" s="25"/>
      <c r="N250" s="25"/>
      <c r="O250" s="25"/>
      <c r="P250" s="25">
        <f t="shared" si="25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6"/>
        <v>9.2987954997459781</v>
      </c>
      <c r="W250" s="25">
        <v>4.3860700000000001</v>
      </c>
      <c r="X250" s="25"/>
      <c r="Y250" s="25"/>
      <c r="Z250" s="25"/>
      <c r="AA250" s="46">
        <f t="shared" si="27"/>
        <v>0.47168152048507977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8"/>
        <v>3036.0053811144567</v>
      </c>
      <c r="AH250" s="47">
        <v>2422.6742468543816</v>
      </c>
      <c r="AI250" s="25">
        <f t="shared" si="29"/>
        <v>5.2568237321193836</v>
      </c>
      <c r="AJ250" s="47">
        <f t="shared" si="30"/>
        <v>1.33</v>
      </c>
      <c r="AK250" s="25">
        <f t="shared" si="31"/>
        <v>0.47168152048507977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4"/>
        <v>18131.148799999999</v>
      </c>
      <c r="M251" s="25"/>
      <c r="N251" s="25"/>
      <c r="O251" s="25"/>
      <c r="P251" s="25">
        <f t="shared" si="25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6"/>
        <v>13.192555857592346</v>
      </c>
      <c r="W251" s="25">
        <v>4.2215100000000003</v>
      </c>
      <c r="X251" s="25"/>
      <c r="Y251" s="25"/>
      <c r="Z251" s="25"/>
      <c r="AA251" s="46">
        <f t="shared" si="27"/>
        <v>0.31999182308335739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8"/>
        <v>2059.6458724832078</v>
      </c>
      <c r="AH251" s="47">
        <v>1707.6260754306461</v>
      </c>
      <c r="AI251" s="25">
        <f t="shared" si="29"/>
        <v>4.7303796685404098</v>
      </c>
      <c r="AJ251" s="47">
        <f t="shared" si="30"/>
        <v>1.67</v>
      </c>
      <c r="AK251" s="25">
        <f t="shared" si="31"/>
        <v>0.31999182308335739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4"/>
        <v>18131.148799999999</v>
      </c>
      <c r="M252" s="25"/>
      <c r="N252" s="25"/>
      <c r="O252" s="25"/>
      <c r="P252" s="25">
        <f t="shared" si="25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6"/>
        <v>17.840429325891449</v>
      </c>
      <c r="W252" s="25">
        <v>3.9899300000000002</v>
      </c>
      <c r="X252" s="25"/>
      <c r="Y252" s="25"/>
      <c r="Z252" s="25"/>
      <c r="AA252" s="46">
        <f t="shared" si="27"/>
        <v>0.2236454026478778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8"/>
        <v>1439.5065662148279</v>
      </c>
      <c r="AH252" s="47">
        <v>1262.7472115430339</v>
      </c>
      <c r="AI252" s="25">
        <f t="shared" si="29"/>
        <v>4.4601073314728632</v>
      </c>
      <c r="AJ252" s="47">
        <f t="shared" si="30"/>
        <v>1.9999999999999998</v>
      </c>
      <c r="AK252" s="25">
        <f t="shared" si="31"/>
        <v>0.2236454026478778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4"/>
        <v>18131.148799999999</v>
      </c>
      <c r="M253" s="25"/>
      <c r="N253" s="25"/>
      <c r="O253" s="25"/>
      <c r="P253" s="25">
        <f t="shared" si="25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6"/>
        <v>26.421797868568689</v>
      </c>
      <c r="W253" s="25">
        <v>3.7847900000000001</v>
      </c>
      <c r="X253" s="25"/>
      <c r="Y253" s="25"/>
      <c r="Z253" s="25"/>
      <c r="AA253" s="46">
        <f t="shared" si="27"/>
        <v>0.14324498351046647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8"/>
        <v>922.00461936304407</v>
      </c>
      <c r="AH253" s="47">
        <v>852.62753488850217</v>
      </c>
      <c r="AI253" s="25">
        <f t="shared" si="29"/>
        <v>4.2274876589709898</v>
      </c>
      <c r="AJ253" s="47">
        <f t="shared" si="30"/>
        <v>2.5</v>
      </c>
      <c r="AK253" s="25">
        <f t="shared" si="31"/>
        <v>0.14324498351046647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4"/>
        <v>12891.42</v>
      </c>
      <c r="M254" s="15"/>
      <c r="N254" s="15"/>
      <c r="O254" s="15"/>
      <c r="P254" s="15">
        <f t="shared" si="25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6"/>
        <v>3.6875184446391605</v>
      </c>
      <c r="W254" s="15">
        <v>3.5121699999999998</v>
      </c>
      <c r="X254" s="15"/>
      <c r="Y254" s="15"/>
      <c r="Z254" s="15"/>
      <c r="AA254" s="16">
        <f t="shared" si="27"/>
        <v>0.9524481172713648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8"/>
        <v>4358.8350913238182</v>
      </c>
      <c r="AH254" s="17">
        <v>4343.7313170015586</v>
      </c>
      <c r="AI254" s="15">
        <f t="shared" si="29"/>
        <v>40.972427162657333</v>
      </c>
      <c r="AJ254" s="17">
        <f t="shared" si="30"/>
        <v>0.30000000000000004</v>
      </c>
      <c r="AK254" s="15">
        <f t="shared" si="31"/>
        <v>0.9524481172713648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4"/>
        <v>12891.42</v>
      </c>
      <c r="M255" s="15"/>
      <c r="N255" s="15"/>
      <c r="O255" s="15"/>
      <c r="P255" s="15">
        <f t="shared" si="25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6"/>
        <v>4.1518828485211694</v>
      </c>
      <c r="W255" s="15">
        <v>3.5030199999999998</v>
      </c>
      <c r="X255" s="15"/>
      <c r="Y255" s="15"/>
      <c r="Z255" s="15"/>
      <c r="AA255" s="16">
        <f t="shared" si="27"/>
        <v>0.84371841109334678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8"/>
        <v>3861.2385816936321</v>
      </c>
      <c r="AH255" s="17">
        <v>3857.9097567035624</v>
      </c>
      <c r="AI255" s="15">
        <f t="shared" si="29"/>
        <v>16.607531394084674</v>
      </c>
      <c r="AJ255" s="17">
        <f t="shared" si="30"/>
        <v>0.5</v>
      </c>
      <c r="AK255" s="15">
        <f t="shared" si="31"/>
        <v>0.84371841109334678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4"/>
        <v>12891.42</v>
      </c>
      <c r="M256" s="15"/>
      <c r="N256" s="15"/>
      <c r="O256" s="15"/>
      <c r="P256" s="15">
        <f t="shared" si="25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6"/>
        <v>5.0466007171573111</v>
      </c>
      <c r="W256" s="15">
        <v>3.6346400000000001</v>
      </c>
      <c r="X256" s="15"/>
      <c r="Y256" s="15"/>
      <c r="Z256" s="15"/>
      <c r="AA256" s="16">
        <f t="shared" si="27"/>
        <v>0.72021548834704496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8"/>
        <v>3296.033124529336</v>
      </c>
      <c r="AH256" s="17">
        <v>3173.9363281790424</v>
      </c>
      <c r="AI256" s="15">
        <f t="shared" si="29"/>
        <v>8.9717346082796627</v>
      </c>
      <c r="AJ256" s="17">
        <f t="shared" si="30"/>
        <v>0.75000000000000011</v>
      </c>
      <c r="AK256" s="15">
        <f t="shared" si="31"/>
        <v>0.72021548834704496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4"/>
        <v>12891.42</v>
      </c>
      <c r="M257" s="15"/>
      <c r="N257" s="15"/>
      <c r="O257" s="15"/>
      <c r="P257" s="15">
        <f t="shared" si="25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6"/>
        <v>6.4822134047165605</v>
      </c>
      <c r="W257" s="15">
        <v>4.0691899999999999</v>
      </c>
      <c r="X257" s="15"/>
      <c r="Y257" s="15"/>
      <c r="Z257" s="15"/>
      <c r="AA257" s="16">
        <f t="shared" si="27"/>
        <v>0.62774699719685145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8"/>
        <v>2872.8553190842194</v>
      </c>
      <c r="AH257" s="17">
        <v>2471.0061748885573</v>
      </c>
      <c r="AI257" s="15">
        <f t="shared" si="29"/>
        <v>6.4822134047165587</v>
      </c>
      <c r="AJ257" s="17">
        <f t="shared" si="30"/>
        <v>1</v>
      </c>
      <c r="AK257" s="15">
        <f t="shared" si="31"/>
        <v>0.62774699719685145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4"/>
        <v>12891.42</v>
      </c>
      <c r="M258" s="15"/>
      <c r="N258" s="15"/>
      <c r="O258" s="15"/>
      <c r="P258" s="15">
        <f t="shared" si="25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6"/>
        <v>9.2987954997459763</v>
      </c>
      <c r="W258" s="15">
        <v>4.3205200000000001</v>
      </c>
      <c r="X258" s="15"/>
      <c r="Y258" s="15"/>
      <c r="Z258" s="15"/>
      <c r="AA258" s="16">
        <f t="shared" si="27"/>
        <v>0.46463222039005242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8"/>
        <v>2126.3680299961588</v>
      </c>
      <c r="AH258" s="17">
        <v>1722.544532830899</v>
      </c>
      <c r="AI258" s="15">
        <f t="shared" si="29"/>
        <v>5.2568237321193818</v>
      </c>
      <c r="AJ258" s="17">
        <f t="shared" si="30"/>
        <v>1.33</v>
      </c>
      <c r="AK258" s="15">
        <f t="shared" si="31"/>
        <v>0.46463222039005242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4"/>
        <v>12891.42</v>
      </c>
      <c r="M259" s="15"/>
      <c r="N259" s="15"/>
      <c r="O259" s="15"/>
      <c r="P259" s="15">
        <f t="shared" si="25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6"/>
        <v>13.192555857592341</v>
      </c>
      <c r="W259" s="15">
        <v>4.1803600000000003</v>
      </c>
      <c r="X259" s="15"/>
      <c r="Y259" s="15"/>
      <c r="Z259" s="15"/>
      <c r="AA259" s="16">
        <f t="shared" si="27"/>
        <v>0.31687263977693869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8"/>
        <v>1450.1530914849939</v>
      </c>
      <c r="AH259" s="17">
        <v>1214.1384522379599</v>
      </c>
      <c r="AI259" s="15">
        <f t="shared" si="29"/>
        <v>4.7303796685404071</v>
      </c>
      <c r="AJ259" s="17">
        <f t="shared" si="30"/>
        <v>1.67</v>
      </c>
      <c r="AK259" s="15">
        <f t="shared" si="31"/>
        <v>0.31687263977693869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4"/>
        <v>12891.42</v>
      </c>
      <c r="M260" s="15"/>
      <c r="N260" s="15"/>
      <c r="O260" s="15"/>
      <c r="P260" s="15">
        <f t="shared" si="25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6"/>
        <v>17.840429325891449</v>
      </c>
      <c r="W260" s="15">
        <v>3.95581</v>
      </c>
      <c r="X260" s="15"/>
      <c r="Y260" s="15"/>
      <c r="Z260" s="15"/>
      <c r="AA260" s="16">
        <f t="shared" si="27"/>
        <v>0.22173289261929444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8"/>
        <v>1014.7504055324296</v>
      </c>
      <c r="AH260" s="17">
        <v>897.82533017599519</v>
      </c>
      <c r="AI260" s="15">
        <f t="shared" si="29"/>
        <v>4.4601073314728614</v>
      </c>
      <c r="AJ260" s="17">
        <f t="shared" si="30"/>
        <v>2</v>
      </c>
      <c r="AK260" s="15">
        <f t="shared" si="31"/>
        <v>0.22173289261929444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4"/>
        <v>12891.42</v>
      </c>
      <c r="M261" s="15"/>
      <c r="N261" s="15"/>
      <c r="O261" s="15"/>
      <c r="P261" s="15">
        <f t="shared" si="25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6"/>
        <v>26.421797868568678</v>
      </c>
      <c r="W261" s="15">
        <v>3.7539099999999999</v>
      </c>
      <c r="X261" s="15"/>
      <c r="Y261" s="15"/>
      <c r="Z261" s="15"/>
      <c r="AA261" s="16">
        <f t="shared" si="27"/>
        <v>0.14207625153569298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8"/>
        <v>650.20544385315327</v>
      </c>
      <c r="AH261" s="17">
        <v>606.22632228424141</v>
      </c>
      <c r="AI261" s="15">
        <f t="shared" si="29"/>
        <v>4.227487658970988</v>
      </c>
      <c r="AJ261" s="17">
        <f t="shared" si="30"/>
        <v>2.5</v>
      </c>
      <c r="AK261" s="15">
        <f t="shared" si="31"/>
        <v>0.14207625153569298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4"/>
        <v>10789.875</v>
      </c>
      <c r="M262" s="15"/>
      <c r="N262" s="15"/>
      <c r="O262" s="15"/>
      <c r="P262" s="15">
        <f t="shared" si="25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6"/>
        <v>3.6875184446391609</v>
      </c>
      <c r="W262" s="15">
        <v>3.3231799999999998</v>
      </c>
      <c r="X262" s="15"/>
      <c r="Y262" s="15"/>
      <c r="Z262" s="15"/>
      <c r="AA262" s="16">
        <f t="shared" si="27"/>
        <v>0.90119684820320589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8"/>
        <v>3451.9494765898312</v>
      </c>
      <c r="AH262" s="17">
        <v>3635.621052144154</v>
      </c>
      <c r="AI262" s="15">
        <f t="shared" si="29"/>
        <v>40.97242716265734</v>
      </c>
      <c r="AJ262" s="17">
        <f t="shared" si="30"/>
        <v>0.30000000000000004</v>
      </c>
      <c r="AK262" s="15">
        <f t="shared" si="31"/>
        <v>0.90119684820320589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2">2*C263*F263+(E263-2*F263)*H263</f>
        <v>10789.875</v>
      </c>
      <c r="M263" s="15"/>
      <c r="N263" s="15"/>
      <c r="O263" s="15"/>
      <c r="P263" s="15">
        <f t="shared" ref="P263:P293" si="33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34">L263*T263/(S263*1000)</f>
        <v>4.1518828485211712</v>
      </c>
      <c r="W263" s="15">
        <v>3.3917099999999998</v>
      </c>
      <c r="X263" s="15"/>
      <c r="Y263" s="15"/>
      <c r="Z263" s="15"/>
      <c r="AA263" s="16">
        <f t="shared" ref="AA263:AA293" si="35">AK263</f>
        <v>0.8169088877852293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6">W263*S263</f>
        <v>3129.0923988850363</v>
      </c>
      <c r="AH263" s="17">
        <v>3228.9975841382748</v>
      </c>
      <c r="AI263" s="15">
        <f t="shared" ref="AI263:AI293" si="37">(PI()^2*U263*P263/K263^2)/(S263*1000)</f>
        <v>16.607531394084681</v>
      </c>
      <c r="AJ263" s="17">
        <f t="shared" ref="AJ263:AJ293" si="38">(V263/AI263)^0.5</f>
        <v>0.5</v>
      </c>
      <c r="AK263" s="15">
        <f t="shared" ref="AK263:AK293" si="39">W263/V263</f>
        <v>0.8169088877852293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2"/>
        <v>10789.875</v>
      </c>
      <c r="M264" s="15"/>
      <c r="N264" s="15"/>
      <c r="O264" s="15"/>
      <c r="P264" s="15">
        <f t="shared" si="33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34"/>
        <v>5.046600717157312</v>
      </c>
      <c r="W264" s="15">
        <v>3.5759699999999999</v>
      </c>
      <c r="X264" s="15"/>
      <c r="Y264" s="15"/>
      <c r="Z264" s="15"/>
      <c r="AA264" s="16">
        <f t="shared" si="35"/>
        <v>0.70858984104736145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6"/>
        <v>2714.186512965669</v>
      </c>
      <c r="AH264" s="17">
        <v>2656.5247458395461</v>
      </c>
      <c r="AI264" s="15">
        <f t="shared" si="37"/>
        <v>8.9717346082796645</v>
      </c>
      <c r="AJ264" s="17">
        <f t="shared" si="38"/>
        <v>0.75000000000000011</v>
      </c>
      <c r="AK264" s="15">
        <f t="shared" si="39"/>
        <v>0.70858984104736145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2"/>
        <v>10789.875</v>
      </c>
      <c r="M265" s="15"/>
      <c r="N265" s="15"/>
      <c r="O265" s="15"/>
      <c r="P265" s="15">
        <f t="shared" si="33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34"/>
        <v>6.4822134047165623</v>
      </c>
      <c r="W265" s="15">
        <v>3.9931100000000002</v>
      </c>
      <c r="X265" s="15"/>
      <c r="Y265" s="15"/>
      <c r="Z265" s="15"/>
      <c r="AA265" s="16">
        <f t="shared" si="35"/>
        <v>0.61601026542794002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6"/>
        <v>2359.5691857529241</v>
      </c>
      <c r="AH265" s="17">
        <v>2068.1854870352267</v>
      </c>
      <c r="AI265" s="15">
        <f t="shared" si="37"/>
        <v>6.4822134047165605</v>
      </c>
      <c r="AJ265" s="17">
        <f t="shared" si="38"/>
        <v>1</v>
      </c>
      <c r="AK265" s="15">
        <f t="shared" si="39"/>
        <v>0.61601026542794002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2"/>
        <v>10789.875</v>
      </c>
      <c r="M266" s="15"/>
      <c r="N266" s="15"/>
      <c r="O266" s="15"/>
      <c r="P266" s="15">
        <f t="shared" si="33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34"/>
        <v>9.2987954997459763</v>
      </c>
      <c r="W266" s="15">
        <v>4.26206</v>
      </c>
      <c r="X266" s="15"/>
      <c r="Y266" s="15"/>
      <c r="Z266" s="15"/>
      <c r="AA266" s="16">
        <f t="shared" si="35"/>
        <v>0.45834538463787383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6"/>
        <v>1755.6487395097004</v>
      </c>
      <c r="AH266" s="17">
        <v>1441.7372322970468</v>
      </c>
      <c r="AI266" s="15">
        <f t="shared" si="37"/>
        <v>5.2568237321193809</v>
      </c>
      <c r="AJ266" s="17">
        <f t="shared" si="38"/>
        <v>1.3300000000000003</v>
      </c>
      <c r="AK266" s="15">
        <f t="shared" si="39"/>
        <v>0.45834538463787383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2"/>
        <v>10789.875</v>
      </c>
      <c r="M267" s="15"/>
      <c r="N267" s="15"/>
      <c r="O267" s="15"/>
      <c r="P267" s="15">
        <f t="shared" si="33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34"/>
        <v>13.192555857592344</v>
      </c>
      <c r="W267" s="15">
        <v>4.1481199999999996</v>
      </c>
      <c r="X267" s="15"/>
      <c r="Y267" s="15"/>
      <c r="Z267" s="15"/>
      <c r="AA267" s="16">
        <f t="shared" si="35"/>
        <v>0.31442883735169086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6"/>
        <v>1204.3899872541267</v>
      </c>
      <c r="AH267" s="17">
        <v>1016.210947462813</v>
      </c>
      <c r="AI267" s="15">
        <f t="shared" si="37"/>
        <v>4.7303796685404089</v>
      </c>
      <c r="AJ267" s="17">
        <f t="shared" si="38"/>
        <v>1.67</v>
      </c>
      <c r="AK267" s="15">
        <f t="shared" si="39"/>
        <v>0.31442883735169086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2"/>
        <v>10789.875</v>
      </c>
      <c r="M268" s="15"/>
      <c r="N268" s="15"/>
      <c r="O268" s="15"/>
      <c r="P268" s="15">
        <f t="shared" si="33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34"/>
        <v>17.840429325891456</v>
      </c>
      <c r="W268" s="15">
        <v>3.9314499999999999</v>
      </c>
      <c r="X268" s="15"/>
      <c r="Y268" s="15"/>
      <c r="Z268" s="15"/>
      <c r="AA268" s="16">
        <f t="shared" si="35"/>
        <v>0.22036745462702323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6"/>
        <v>844.09673777028195</v>
      </c>
      <c r="AH268" s="17">
        <v>751.46283996896477</v>
      </c>
      <c r="AI268" s="15">
        <f t="shared" si="37"/>
        <v>4.4601073314728632</v>
      </c>
      <c r="AJ268" s="17">
        <f t="shared" si="38"/>
        <v>2</v>
      </c>
      <c r="AK268" s="15">
        <f t="shared" si="39"/>
        <v>0.22036745462702323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2"/>
        <v>10789.875</v>
      </c>
      <c r="M269" s="15"/>
      <c r="N269" s="15"/>
      <c r="O269" s="15"/>
      <c r="P269" s="15">
        <f t="shared" si="33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34"/>
        <v>26.421797868568682</v>
      </c>
      <c r="W269" s="15">
        <v>3.7330700000000001</v>
      </c>
      <c r="X269" s="15"/>
      <c r="Y269" s="15"/>
      <c r="Z269" s="15"/>
      <c r="AA269" s="16">
        <f t="shared" si="35"/>
        <v>0.14128750884287297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6"/>
        <v>541.18846861397788</v>
      </c>
      <c r="AH269" s="17">
        <v>507.39997914556182</v>
      </c>
      <c r="AI269" s="15">
        <f t="shared" si="37"/>
        <v>4.2274876589709898</v>
      </c>
      <c r="AJ269" s="17">
        <f t="shared" si="38"/>
        <v>2.5</v>
      </c>
      <c r="AK269" s="15">
        <f t="shared" si="39"/>
        <v>0.14128750884287297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2"/>
        <v>8214.7431679999991</v>
      </c>
      <c r="M270" s="15"/>
      <c r="N270" s="15"/>
      <c r="O270" s="15"/>
      <c r="P270" s="15">
        <f t="shared" si="33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34"/>
        <v>3.6389507021946921</v>
      </c>
      <c r="W270" s="15">
        <v>2.8099500000000002</v>
      </c>
      <c r="X270" s="15"/>
      <c r="Y270" s="15"/>
      <c r="Z270" s="15"/>
      <c r="AA270" s="16">
        <f t="shared" si="35"/>
        <v>0.77218688296746851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6"/>
        <v>2251.877507053061</v>
      </c>
      <c r="AH270" s="17">
        <v>2804.879544008154</v>
      </c>
      <c r="AI270" s="15">
        <f t="shared" si="37"/>
        <v>40.432785579941019</v>
      </c>
      <c r="AJ270" s="17">
        <f t="shared" si="38"/>
        <v>0.30000000000000004</v>
      </c>
      <c r="AK270" s="15">
        <f t="shared" si="39"/>
        <v>0.77218688296746851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2"/>
        <v>8214.7431679999991</v>
      </c>
      <c r="M271" s="15"/>
      <c r="N271" s="15"/>
      <c r="O271" s="15"/>
      <c r="P271" s="15">
        <f t="shared" si="33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34"/>
        <v>4.0420822917637169</v>
      </c>
      <c r="W271" s="15">
        <v>2.9096099999999998</v>
      </c>
      <c r="X271" s="15"/>
      <c r="Y271" s="15"/>
      <c r="Z271" s="15"/>
      <c r="AA271" s="16">
        <f t="shared" si="35"/>
        <v>0.71982948143552627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6"/>
        <v>2099.1910817353523</v>
      </c>
      <c r="AH271" s="17">
        <v>2525.1386907777101</v>
      </c>
      <c r="AI271" s="15">
        <f t="shared" si="37"/>
        <v>16.168329167054871</v>
      </c>
      <c r="AJ271" s="17">
        <f t="shared" si="38"/>
        <v>0.49999999999999994</v>
      </c>
      <c r="AK271" s="15">
        <f t="shared" si="39"/>
        <v>0.71982948143552627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2"/>
        <v>8214.7431679999991</v>
      </c>
      <c r="M272" s="15"/>
      <c r="N272" s="15"/>
      <c r="O272" s="15"/>
      <c r="P272" s="15">
        <f t="shared" si="33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34"/>
        <v>4.7799636575602573</v>
      </c>
      <c r="W272" s="15">
        <v>3.1117900000000001</v>
      </c>
      <c r="X272" s="15"/>
      <c r="Y272" s="15"/>
      <c r="Z272" s="15"/>
      <c r="AA272" s="16">
        <f t="shared" si="35"/>
        <v>0.65100704167033141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6"/>
        <v>1898.4887549978423</v>
      </c>
      <c r="AH272" s="17">
        <v>2135.33388901322</v>
      </c>
      <c r="AI272" s="15">
        <f t="shared" si="37"/>
        <v>8.4977131689960128</v>
      </c>
      <c r="AJ272" s="17">
        <f t="shared" si="38"/>
        <v>0.75</v>
      </c>
      <c r="AK272" s="15">
        <f t="shared" si="39"/>
        <v>0.65100704167033141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2"/>
        <v>8214.7431679999991</v>
      </c>
      <c r="M273" s="15"/>
      <c r="N273" s="15"/>
      <c r="O273" s="15"/>
      <c r="P273" s="15">
        <f t="shared" si="33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34"/>
        <v>5.9384940805820268</v>
      </c>
      <c r="W273" s="15">
        <v>3.4035099999999998</v>
      </c>
      <c r="X273" s="15"/>
      <c r="Y273" s="15"/>
      <c r="Z273" s="15"/>
      <c r="AA273" s="16">
        <f t="shared" si="35"/>
        <v>0.5731267816076403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6"/>
        <v>1671.3717063312627</v>
      </c>
      <c r="AH273" s="17">
        <v>1718.7553355681105</v>
      </c>
      <c r="AI273" s="15">
        <f t="shared" si="37"/>
        <v>5.9384940805820277</v>
      </c>
      <c r="AJ273" s="17">
        <f t="shared" si="38"/>
        <v>1</v>
      </c>
      <c r="AK273" s="15">
        <f t="shared" si="39"/>
        <v>0.5731267816076403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2"/>
        <v>8214.7431679999991</v>
      </c>
      <c r="M274" s="15"/>
      <c r="N274" s="15"/>
      <c r="O274" s="15"/>
      <c r="P274" s="15">
        <f t="shared" si="33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34"/>
        <v>8.2455223846913253</v>
      </c>
      <c r="W274" s="15">
        <v>3.6015299999999999</v>
      </c>
      <c r="X274" s="15"/>
      <c r="Y274" s="15"/>
      <c r="Z274" s="15"/>
      <c r="AA274" s="16">
        <f t="shared" si="35"/>
        <v>0.43678615277142624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6"/>
        <v>1273.7705528464076</v>
      </c>
      <c r="AH274" s="17">
        <v>1237.8619461624439</v>
      </c>
      <c r="AI274" s="15">
        <f t="shared" si="37"/>
        <v>4.6613841283799671</v>
      </c>
      <c r="AJ274" s="17">
        <f t="shared" si="38"/>
        <v>1.33</v>
      </c>
      <c r="AK274" s="15">
        <f t="shared" si="39"/>
        <v>0.43678615277142624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2"/>
        <v>8214.7431679999991</v>
      </c>
      <c r="M275" s="15"/>
      <c r="N275" s="15"/>
      <c r="O275" s="15"/>
      <c r="P275" s="15">
        <f t="shared" si="33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34"/>
        <v>11.492867109739169</v>
      </c>
      <c r="W275" s="15">
        <v>3.5234399999999999</v>
      </c>
      <c r="X275" s="15"/>
      <c r="Y275" s="15"/>
      <c r="Z275" s="15"/>
      <c r="AA275" s="16">
        <f t="shared" si="35"/>
        <v>0.30657624127700928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6"/>
        <v>894.04800464300808</v>
      </c>
      <c r="AH275" s="17">
        <v>888.10027026159901</v>
      </c>
      <c r="AI275" s="15">
        <f t="shared" si="37"/>
        <v>4.1209319479863638</v>
      </c>
      <c r="AJ275" s="17">
        <f t="shared" si="38"/>
        <v>1.67</v>
      </c>
      <c r="AK275" s="15">
        <f t="shared" si="39"/>
        <v>0.30657624127700928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2"/>
        <v>8214.7431679999991</v>
      </c>
      <c r="M276" s="15"/>
      <c r="N276" s="15"/>
      <c r="O276" s="15"/>
      <c r="P276" s="15">
        <f t="shared" si="33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34"/>
        <v>15.401128906837329</v>
      </c>
      <c r="W276" s="15">
        <v>3.3333499999999998</v>
      </c>
      <c r="X276" s="15"/>
      <c r="Y276" s="15"/>
      <c r="Z276" s="15"/>
      <c r="AA276" s="16">
        <f t="shared" si="35"/>
        <v>0.21643543276364369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6"/>
        <v>631.17632987593413</v>
      </c>
      <c r="AH276" s="17">
        <v>662.73183271056735</v>
      </c>
      <c r="AI276" s="15">
        <f t="shared" si="37"/>
        <v>3.8502822267093331</v>
      </c>
      <c r="AJ276" s="17">
        <f t="shared" si="38"/>
        <v>1.9999999999999998</v>
      </c>
      <c r="AK276" s="15">
        <f t="shared" si="39"/>
        <v>0.21643543276364369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2"/>
        <v>8214.7431679999991</v>
      </c>
      <c r="M277" s="15"/>
      <c r="N277" s="15"/>
      <c r="O277" s="15"/>
      <c r="P277" s="15">
        <f t="shared" si="33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34"/>
        <v>22.642589771535768</v>
      </c>
      <c r="W277" s="15">
        <v>3.1509800000000001</v>
      </c>
      <c r="X277" s="15"/>
      <c r="Y277" s="15"/>
      <c r="Z277" s="15"/>
      <c r="AA277" s="16">
        <f t="shared" si="35"/>
        <v>0.13916164324812039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6"/>
        <v>405.82789113265329</v>
      </c>
      <c r="AH277" s="17">
        <v>450.77963648270901</v>
      </c>
      <c r="AI277" s="15">
        <f t="shared" si="37"/>
        <v>3.6228143634457233</v>
      </c>
      <c r="AJ277" s="17">
        <f t="shared" si="38"/>
        <v>2.5</v>
      </c>
      <c r="AK277" s="15">
        <f t="shared" si="39"/>
        <v>0.13916164324812039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2"/>
        <v>5956.734199999999</v>
      </c>
      <c r="M278" s="15"/>
      <c r="N278" s="15"/>
      <c r="O278" s="15"/>
      <c r="P278" s="15">
        <f t="shared" si="33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34"/>
        <v>3.5792088609326687</v>
      </c>
      <c r="W278" s="15">
        <v>2.2943199999999999</v>
      </c>
      <c r="X278" s="15"/>
      <c r="Y278" s="15"/>
      <c r="Z278" s="15"/>
      <c r="AA278" s="16">
        <f t="shared" si="35"/>
        <v>0.64101316496018812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6"/>
        <v>1355.5124900408509</v>
      </c>
      <c r="AH278" s="17">
        <v>2067.8430712119402</v>
      </c>
      <c r="AI278" s="15">
        <f t="shared" si="37"/>
        <v>39.768987343696317</v>
      </c>
      <c r="AJ278" s="17">
        <f t="shared" si="38"/>
        <v>0.3</v>
      </c>
      <c r="AK278" s="15">
        <f t="shared" si="39"/>
        <v>0.64101316496018812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2"/>
        <v>5956.734199999999</v>
      </c>
      <c r="M279" s="15"/>
      <c r="N279" s="15"/>
      <c r="O279" s="15"/>
      <c r="P279" s="15">
        <f t="shared" si="33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34"/>
        <v>3.9140050932422641</v>
      </c>
      <c r="W279" s="15">
        <v>2.29731</v>
      </c>
      <c r="X279" s="15"/>
      <c r="Y279" s="15"/>
      <c r="Z279" s="15"/>
      <c r="AA279" s="16">
        <f t="shared" si="35"/>
        <v>0.58694609364878614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6"/>
        <v>1241.180063705915</v>
      </c>
      <c r="AH279" s="17">
        <v>1890.963876434048</v>
      </c>
      <c r="AI279" s="15">
        <f t="shared" si="37"/>
        <v>15.656020372969053</v>
      </c>
      <c r="AJ279" s="17">
        <f t="shared" si="38"/>
        <v>0.5</v>
      </c>
      <c r="AK279" s="15">
        <f t="shared" si="39"/>
        <v>0.58694609364878614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2"/>
        <v>5956.734199999999</v>
      </c>
      <c r="M280" s="15"/>
      <c r="N280" s="15"/>
      <c r="O280" s="15"/>
      <c r="P280" s="15">
        <f t="shared" si="33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34"/>
        <v>4.4861762487719279</v>
      </c>
      <c r="W280" s="15">
        <v>2.3126899999999999</v>
      </c>
      <c r="X280" s="15"/>
      <c r="Y280" s="15"/>
      <c r="Z280" s="15"/>
      <c r="AA280" s="16">
        <f t="shared" si="35"/>
        <v>0.51551474390536689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6"/>
        <v>1090.1284284969956</v>
      </c>
      <c r="AH280" s="17">
        <v>1649.7885578004339</v>
      </c>
      <c r="AI280" s="15">
        <f t="shared" si="37"/>
        <v>7.9754244422612048</v>
      </c>
      <c r="AJ280" s="17">
        <f t="shared" si="38"/>
        <v>0.75</v>
      </c>
      <c r="AK280" s="15">
        <f t="shared" si="39"/>
        <v>0.51551474390536689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2"/>
        <v>5956.734199999999</v>
      </c>
      <c r="M281" s="15"/>
      <c r="N281" s="15"/>
      <c r="O281" s="15"/>
      <c r="P281" s="15">
        <f t="shared" si="33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34"/>
        <v>5.3450417358764319</v>
      </c>
      <c r="W281" s="15">
        <v>2.4282599999999999</v>
      </c>
      <c r="X281" s="15"/>
      <c r="Y281" s="15"/>
      <c r="Z281" s="15"/>
      <c r="AA281" s="16">
        <f t="shared" si="35"/>
        <v>0.45430141053928286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6"/>
        <v>960.68422598999314</v>
      </c>
      <c r="AH281" s="17">
        <v>1384.6930686849744</v>
      </c>
      <c r="AI281" s="15">
        <f t="shared" si="37"/>
        <v>5.3450417358764311</v>
      </c>
      <c r="AJ281" s="17">
        <f t="shared" si="38"/>
        <v>1</v>
      </c>
      <c r="AK281" s="15">
        <f t="shared" si="39"/>
        <v>0.45430141053928286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2"/>
        <v>5956.734199999999</v>
      </c>
      <c r="M282" s="15"/>
      <c r="N282" s="15"/>
      <c r="O282" s="15"/>
      <c r="P282" s="15">
        <f t="shared" si="33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34"/>
        <v>7.0673815389772709</v>
      </c>
      <c r="W282" s="15">
        <v>2.5645099999999998</v>
      </c>
      <c r="X282" s="15"/>
      <c r="Y282" s="15"/>
      <c r="Z282" s="15"/>
      <c r="AA282" s="16">
        <f t="shared" si="35"/>
        <v>0.3628656505746134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6"/>
        <v>767.33045192798238</v>
      </c>
      <c r="AH282" s="17">
        <v>1047.2396604996427</v>
      </c>
      <c r="AI282" s="15">
        <f t="shared" si="37"/>
        <v>3.9953539142841707</v>
      </c>
      <c r="AJ282" s="17">
        <f t="shared" si="38"/>
        <v>1.33</v>
      </c>
      <c r="AK282" s="15">
        <f t="shared" si="39"/>
        <v>0.3628656505746134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2"/>
        <v>5956.734199999999</v>
      </c>
      <c r="M283" s="15"/>
      <c r="N283" s="15"/>
      <c r="O283" s="15"/>
      <c r="P283" s="15">
        <f t="shared" si="33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34"/>
        <v>9.5577977063610788</v>
      </c>
      <c r="W283" s="15">
        <v>2.5904600000000002</v>
      </c>
      <c r="X283" s="15"/>
      <c r="Y283" s="15"/>
      <c r="Z283" s="15"/>
      <c r="AA283" s="16">
        <f t="shared" si="35"/>
        <v>0.27103105543612316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6"/>
        <v>573.13328479835002</v>
      </c>
      <c r="AH283" s="17">
        <v>774.36690657034842</v>
      </c>
      <c r="AI283" s="15">
        <f t="shared" si="37"/>
        <v>3.4270851254476957</v>
      </c>
      <c r="AJ283" s="17">
        <f t="shared" si="38"/>
        <v>1.67</v>
      </c>
      <c r="AK283" s="15">
        <f t="shared" si="39"/>
        <v>0.27103105543612316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2"/>
        <v>5956.734199999999</v>
      </c>
      <c r="M284" s="15"/>
      <c r="N284" s="15"/>
      <c r="O284" s="15"/>
      <c r="P284" s="15">
        <f t="shared" si="33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34"/>
        <v>12.603472341119186</v>
      </c>
      <c r="W284" s="15">
        <v>2.5146299999999999</v>
      </c>
      <c r="X284" s="15"/>
      <c r="Y284" s="15"/>
      <c r="Z284" s="15"/>
      <c r="AA284" s="16">
        <f t="shared" si="35"/>
        <v>0.19951882560141368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6"/>
        <v>421.91061726134063</v>
      </c>
      <c r="AH284" s="17">
        <v>587.23834536877882</v>
      </c>
      <c r="AI284" s="15">
        <f t="shared" si="37"/>
        <v>3.1508680852797957</v>
      </c>
      <c r="AJ284" s="17">
        <f t="shared" si="38"/>
        <v>2</v>
      </c>
      <c r="AK284" s="15">
        <f t="shared" si="39"/>
        <v>0.19951882560141368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2"/>
        <v>5956.734199999999</v>
      </c>
      <c r="M285" s="15"/>
      <c r="N285" s="15"/>
      <c r="O285" s="15"/>
      <c r="P285" s="15">
        <f t="shared" si="33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34"/>
        <v>18.291684640866546</v>
      </c>
      <c r="W285" s="15">
        <v>2.3963399999999999</v>
      </c>
      <c r="X285" s="15"/>
      <c r="Y285" s="15"/>
      <c r="Z285" s="15"/>
      <c r="AA285" s="16">
        <f t="shared" si="35"/>
        <v>0.1310070694443416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6"/>
        <v>277.03287330531396</v>
      </c>
      <c r="AH285" s="17">
        <v>404.62332413956238</v>
      </c>
      <c r="AI285" s="15">
        <f t="shared" si="37"/>
        <v>2.9266695425386469</v>
      </c>
      <c r="AJ285" s="17">
        <f t="shared" si="38"/>
        <v>2.5</v>
      </c>
      <c r="AK285" s="15">
        <f t="shared" si="39"/>
        <v>0.1310070694443416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2"/>
        <v>4372.38</v>
      </c>
      <c r="M286" s="15"/>
      <c r="N286" s="15"/>
      <c r="O286" s="15"/>
      <c r="P286" s="15">
        <f t="shared" si="33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34"/>
        <v>3.5247992661699814</v>
      </c>
      <c r="W286" s="15">
        <v>1.95895</v>
      </c>
      <c r="X286" s="15"/>
      <c r="Y286" s="15"/>
      <c r="Z286" s="15"/>
      <c r="AA286" s="16">
        <f t="shared" si="35"/>
        <v>0.55576214475571517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6"/>
        <v>862.65116670288296</v>
      </c>
      <c r="AH286" s="17">
        <v>1541.2741945736698</v>
      </c>
      <c r="AI286" s="15">
        <f t="shared" si="37"/>
        <v>39.164436290777559</v>
      </c>
      <c r="AJ286" s="17">
        <f t="shared" si="38"/>
        <v>0.30000000000000004</v>
      </c>
      <c r="AK286" s="15">
        <f t="shared" si="39"/>
        <v>0.55576214475571517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2"/>
        <v>4372.38</v>
      </c>
      <c r="M287" s="15"/>
      <c r="N287" s="15"/>
      <c r="O287" s="15"/>
      <c r="P287" s="15">
        <f t="shared" si="33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34"/>
        <v>3.8035956888898257</v>
      </c>
      <c r="W287" s="15">
        <v>1.9448000000000001</v>
      </c>
      <c r="X287" s="15"/>
      <c r="Y287" s="15"/>
      <c r="Z287" s="15"/>
      <c r="AA287" s="16">
        <f t="shared" si="35"/>
        <v>0.51130565892707658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6"/>
        <v>793.64603612774783</v>
      </c>
      <c r="AH287" s="17">
        <v>1428.3016898637995</v>
      </c>
      <c r="AI287" s="15">
        <f t="shared" si="37"/>
        <v>15.214382755559306</v>
      </c>
      <c r="AJ287" s="17">
        <f t="shared" si="38"/>
        <v>0.49999999999999994</v>
      </c>
      <c r="AK287" s="15">
        <f t="shared" si="39"/>
        <v>0.51130565892707658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2"/>
        <v>4372.38</v>
      </c>
      <c r="M288" s="15"/>
      <c r="N288" s="15"/>
      <c r="O288" s="15"/>
      <c r="P288" s="15">
        <f t="shared" si="33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34"/>
        <v>4.2501812715537932</v>
      </c>
      <c r="W288" s="15">
        <v>1.8244499999999999</v>
      </c>
      <c r="X288" s="15"/>
      <c r="Y288" s="15"/>
      <c r="Z288" s="15"/>
      <c r="AA288" s="16">
        <f t="shared" si="35"/>
        <v>0.42926404391524042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6"/>
        <v>666.30145971861225</v>
      </c>
      <c r="AH288" s="17">
        <v>1278.2236339801821</v>
      </c>
      <c r="AI288" s="15">
        <f t="shared" si="37"/>
        <v>7.5558778160956326</v>
      </c>
      <c r="AJ288" s="17">
        <f t="shared" si="38"/>
        <v>0.75</v>
      </c>
      <c r="AK288" s="15">
        <f t="shared" si="39"/>
        <v>0.42926404391524042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2"/>
        <v>4372.38</v>
      </c>
      <c r="M289" s="15"/>
      <c r="N289" s="15"/>
      <c r="O289" s="15"/>
      <c r="P289" s="15">
        <f t="shared" si="33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34"/>
        <v>4.882643851644163</v>
      </c>
      <c r="W289" s="15">
        <v>1.73878</v>
      </c>
      <c r="X289" s="15"/>
      <c r="Y289" s="15"/>
      <c r="Z289" s="15"/>
      <c r="AA289" s="16">
        <f t="shared" si="35"/>
        <v>0.35611444390204494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6"/>
        <v>552.75902364109027</v>
      </c>
      <c r="AH289" s="17">
        <v>1112.6517344021763</v>
      </c>
      <c r="AI289" s="15">
        <f t="shared" si="37"/>
        <v>4.8826438516441639</v>
      </c>
      <c r="AJ289" s="17">
        <f t="shared" si="38"/>
        <v>0.99999999999999989</v>
      </c>
      <c r="AK289" s="15">
        <f t="shared" si="39"/>
        <v>0.35611444390204494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2"/>
        <v>4372.38</v>
      </c>
      <c r="M290" s="15"/>
      <c r="N290" s="15"/>
      <c r="O290" s="15"/>
      <c r="P290" s="15">
        <f t="shared" si="33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34"/>
        <v>6.132432893471532</v>
      </c>
      <c r="W290" s="15">
        <v>1.68215</v>
      </c>
      <c r="X290" s="15"/>
      <c r="Y290" s="15"/>
      <c r="Z290" s="15"/>
      <c r="AA290" s="16">
        <f t="shared" si="35"/>
        <v>0.27430385773822069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6"/>
        <v>425.77304903159171</v>
      </c>
      <c r="AH290" s="17">
        <v>885.89345278992414</v>
      </c>
      <c r="AI290" s="15">
        <f t="shared" si="37"/>
        <v>3.4668058643628976</v>
      </c>
      <c r="AJ290" s="17">
        <f t="shared" si="38"/>
        <v>1.3300000000000003</v>
      </c>
      <c r="AK290" s="15">
        <f t="shared" si="39"/>
        <v>0.27430385773822069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2"/>
        <v>4372.38</v>
      </c>
      <c r="M291" s="15"/>
      <c r="N291" s="15"/>
      <c r="O291" s="15"/>
      <c r="P291" s="15">
        <f t="shared" si="33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34"/>
        <v>7.9820336197556756</v>
      </c>
      <c r="W291" s="15">
        <v>1.6514800000000001</v>
      </c>
      <c r="X291" s="15"/>
      <c r="Y291" s="15"/>
      <c r="Z291" s="15"/>
      <c r="AA291" s="16">
        <f t="shared" si="35"/>
        <v>0.20689965473367058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6"/>
        <v>321.14858888936436</v>
      </c>
      <c r="AH291" s="17">
        <v>680.61378951775089</v>
      </c>
      <c r="AI291" s="15">
        <f t="shared" si="37"/>
        <v>2.8620723653611377</v>
      </c>
      <c r="AJ291" s="17">
        <f t="shared" si="38"/>
        <v>1.67</v>
      </c>
      <c r="AK291" s="15">
        <f t="shared" si="39"/>
        <v>0.20689965473367058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2"/>
        <v>4372.38</v>
      </c>
      <c r="M292" s="15"/>
      <c r="N292" s="15"/>
      <c r="O292" s="15"/>
      <c r="P292" s="15">
        <f t="shared" si="33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34"/>
        <v>10.294746250927696</v>
      </c>
      <c r="W292" s="15">
        <v>1.6196900000000001</v>
      </c>
      <c r="X292" s="15"/>
      <c r="Y292" s="15"/>
      <c r="Z292" s="15"/>
      <c r="AA292" s="16">
        <f t="shared" si="35"/>
        <v>0.15733170692323223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6"/>
        <v>244.20947309453578</v>
      </c>
      <c r="AH292" s="17">
        <v>527.71404147143915</v>
      </c>
      <c r="AI292" s="15">
        <f t="shared" si="37"/>
        <v>2.5736865627319245</v>
      </c>
      <c r="AJ292" s="17">
        <f t="shared" si="38"/>
        <v>1.9999999999999998</v>
      </c>
      <c r="AK292" s="15">
        <f t="shared" si="39"/>
        <v>0.15733170692323223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32"/>
        <v>4372.38</v>
      </c>
      <c r="M293" s="42"/>
      <c r="N293" s="42"/>
      <c r="O293" s="42"/>
      <c r="P293" s="42">
        <f t="shared" si="33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34"/>
        <v>14.672935841690373</v>
      </c>
      <c r="W293" s="42">
        <v>1.58378</v>
      </c>
      <c r="X293" s="42"/>
      <c r="Y293" s="42"/>
      <c r="Z293" s="42"/>
      <c r="AA293" s="41">
        <f t="shared" si="35"/>
        <v>0.1079388622077927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6"/>
        <v>167.54215143073858</v>
      </c>
      <c r="AH293" s="43">
        <v>370.25188473625445</v>
      </c>
      <c r="AI293" s="42">
        <f t="shared" si="37"/>
        <v>2.3476697346704594</v>
      </c>
      <c r="AJ293" s="43">
        <f t="shared" si="38"/>
        <v>2.5</v>
      </c>
      <c r="AK293" s="42">
        <f t="shared" si="39"/>
        <v>0.1079388622077927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1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1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1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L297"/>
  <sheetViews>
    <sheetView zoomScaleNormal="100" workbookViewId="0">
      <pane ySplit="5" topLeftCell="A271" activePane="bottomLeft" state="frozen"/>
      <selection pane="bottomLeft" activeCell="AF293" sqref="AF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58" t="s">
        <v>0</v>
      </c>
      <c r="J2" s="5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60" t="s">
        <v>1</v>
      </c>
      <c r="J3" s="61"/>
      <c r="K3" s="13" t="s">
        <v>629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57" t="s">
        <v>26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26" t="s">
        <v>27</v>
      </c>
      <c r="T4" s="62" t="s">
        <v>30</v>
      </c>
      <c r="U4" s="62"/>
      <c r="V4" s="62" t="s">
        <v>515</v>
      </c>
      <c r="W4" s="62"/>
      <c r="X4" s="62"/>
      <c r="Y4" s="62"/>
      <c r="Z4" s="62"/>
      <c r="AA4" s="62"/>
      <c r="AB4" s="62"/>
      <c r="AC4" s="62"/>
      <c r="AD4" s="62"/>
      <c r="AE4" s="57" t="s">
        <v>3</v>
      </c>
      <c r="AF4" s="57" t="s">
        <v>4</v>
      </c>
      <c r="AG4" s="57" t="s">
        <v>224</v>
      </c>
      <c r="AH4" s="57" t="s">
        <v>225</v>
      </c>
      <c r="AI4" s="57" t="s">
        <v>223</v>
      </c>
      <c r="AJ4" s="57" t="s">
        <v>517</v>
      </c>
      <c r="AK4" s="57" t="s">
        <v>516</v>
      </c>
      <c r="AL4" s="57" t="s">
        <v>624</v>
      </c>
    </row>
    <row r="5" spans="1:3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57"/>
      <c r="AF5" s="57"/>
      <c r="AG5" s="57"/>
      <c r="AH5" s="57"/>
      <c r="AI5" s="57"/>
      <c r="AJ5" s="57"/>
      <c r="AK5" s="57"/>
      <c r="AL5" s="57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3.8583599999999998</v>
      </c>
      <c r="X6" s="15"/>
      <c r="Y6" s="15">
        <f>AK6</f>
        <v>1.0463296815800893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12934.047409400038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1.0463296815800893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4.1454599999999999</v>
      </c>
      <c r="X7" s="15"/>
      <c r="Y7" s="15">
        <f t="shared" ref="Y7:Y70" si="3">AK7</f>
        <v>0.99845302751654974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12342.227331691702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0.99845302751654974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4.49092</v>
      </c>
      <c r="X8" s="15"/>
      <c r="Y8" s="15">
        <f t="shared" si="3"/>
        <v>0.88989009666088248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11000.242946359002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0.88989009666088248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4.86761</v>
      </c>
      <c r="X9" s="15"/>
      <c r="Y9" s="15">
        <f t="shared" si="3"/>
        <v>0.75091788808715376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9282.3588359061378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0.75091788808715376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4.8331299999999997</v>
      </c>
      <c r="X10" s="15"/>
      <c r="Y10" s="15">
        <f t="shared" si="3"/>
        <v>0.51975871500045656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6424.9193916708937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0.51975871500045656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4.6064800000000004</v>
      </c>
      <c r="X11" s="15"/>
      <c r="Y11" s="15">
        <f t="shared" si="3"/>
        <v>0.34917267356870507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4316.2456284185128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0.34917267356870507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4.4423300000000001</v>
      </c>
      <c r="X12" s="15"/>
      <c r="Y12" s="15">
        <f t="shared" si="3"/>
        <v>0.2490035367900556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3078.0198694997534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0.2490035367900556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4.27128</v>
      </c>
      <c r="X13" s="15"/>
      <c r="Y13" s="15">
        <f t="shared" si="3"/>
        <v>0.16165743229309559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1998.3041006762571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0.16165743229309559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3.8673799999999998</v>
      </c>
      <c r="X14" s="15"/>
      <c r="Y14" s="15">
        <f t="shared" si="3"/>
        <v>1.0487757710398216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4"/>
        <v>9995.1267552253903</v>
      </c>
      <c r="AH14" s="17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1.0487757710398216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4.1142500000000002</v>
      </c>
      <c r="X15" s="15"/>
      <c r="Y15" s="15">
        <f t="shared" si="3"/>
        <v>0.99093595607241802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9443.8971234378441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0.99093595607241802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4.44841</v>
      </c>
      <c r="X16" s="15"/>
      <c r="Y16" s="15">
        <f t="shared" si="3"/>
        <v>0.88146660481309747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8400.6235545181662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0.88146660481309747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4.8394700000000004</v>
      </c>
      <c r="X17" s="15"/>
      <c r="Y17" s="15">
        <f t="shared" si="3"/>
        <v>0.74657677830827429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7115.0857387757815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0.74657677830827429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4.8156600000000003</v>
      </c>
      <c r="X18" s="15"/>
      <c r="Y18" s="15">
        <f t="shared" si="3"/>
        <v>0.51787997704988276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4935.5411876789567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0.51787997704988276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4.5840899999999998</v>
      </c>
      <c r="X19" s="15"/>
      <c r="Y19" s="15">
        <f t="shared" si="3"/>
        <v>0.34747550432859042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3311.5388493926785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0.34747550432859042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4.4172099999999999</v>
      </c>
      <c r="X20" s="15"/>
      <c r="Y20" s="15">
        <f t="shared" si="3"/>
        <v>0.24759549892610452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2359.6544315054753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0.24759549892610452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4.2443600000000004</v>
      </c>
      <c r="X21" s="15"/>
      <c r="Y21" s="15">
        <f t="shared" si="3"/>
        <v>0.16063857656897307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1530.930613503753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0.16063857656897307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3.8714</v>
      </c>
      <c r="X22" s="15"/>
      <c r="Y22" s="15">
        <f t="shared" si="3"/>
        <v>1.0498659350784161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8735.5575439168078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1.0498659350784161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4.1044499999999999</v>
      </c>
      <c r="X23" s="15"/>
      <c r="Y23" s="15">
        <f t="shared" si="3"/>
        <v>0.98857558118768551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8225.5825124290841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0.98857558118768551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4.3821300000000001</v>
      </c>
      <c r="X24" s="15"/>
      <c r="Y24" s="15">
        <f t="shared" si="3"/>
        <v>0.86833301178389988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7225.0872595026021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0.86833301178389988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4.8262200000000002</v>
      </c>
      <c r="X25" s="15"/>
      <c r="Y25" s="15">
        <f t="shared" si="3"/>
        <v>0.74453272341949794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6194.9895043259357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0.74453272341949794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4.8081899999999997</v>
      </c>
      <c r="X26" s="15"/>
      <c r="Y26" s="15">
        <f t="shared" si="3"/>
        <v>0.51707664719923652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4302.4091508285028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0.51707664719923652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4.5720999999999998</v>
      </c>
      <c r="X27" s="15"/>
      <c r="Y27" s="15">
        <f t="shared" si="3"/>
        <v>0.34656665845145873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2883.6567475442048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0.34656665845145873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4.4035299999999999</v>
      </c>
      <c r="X28" s="15"/>
      <c r="Y28" s="15">
        <f t="shared" si="3"/>
        <v>0.2468287012358634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2053.7730114798755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0.2468287012358634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4.2298299999999998</v>
      </c>
      <c r="X29" s="15"/>
      <c r="Y29" s="15">
        <f t="shared" si="3"/>
        <v>0.16008865184120555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4"/>
        <v>1332.0402001446607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0.16008865184120555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3.8752599999999999</v>
      </c>
      <c r="X30" s="15"/>
      <c r="Y30" s="15">
        <f t="shared" si="3"/>
        <v>1.0509127095035344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7040.2849326331734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1.0509127095035344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4.0747900000000001</v>
      </c>
      <c r="X31" s="15"/>
      <c r="Y31" s="15">
        <f t="shared" si="3"/>
        <v>0.98143183434266956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6574.8179589467545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0.98143183434266956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4.3324499999999997</v>
      </c>
      <c r="X32" s="15"/>
      <c r="Y32" s="15">
        <f t="shared" si="3"/>
        <v>0.85848876160751908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5751.1964966487076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0.85848876160751908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4.8113299999999999</v>
      </c>
      <c r="X33" s="15"/>
      <c r="Y33" s="15">
        <f t="shared" si="3"/>
        <v>0.74223566852939438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4972.3926129688043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0.74223566852939438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4.7953999999999999</v>
      </c>
      <c r="X34" s="15"/>
      <c r="Y34" s="15">
        <f t="shared" si="3"/>
        <v>0.51570120023942878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3454.790637655984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0.51570120023942878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4.5521200000000004</v>
      </c>
      <c r="X35" s="15"/>
      <c r="Y35" s="15">
        <f t="shared" si="3"/>
        <v>0.34505216799065097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2311.5769343246488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0.34505216799065097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4.3809199999999997</v>
      </c>
      <c r="X36" s="15"/>
      <c r="Y36" s="15">
        <f t="shared" si="3"/>
        <v>0.24556135505338192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1645.0670853871668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0.24556135505338192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4.2045199999999996</v>
      </c>
      <c r="X37" s="15"/>
      <c r="Y37" s="15">
        <f t="shared" si="3"/>
        <v>0.15913073065333252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1066.0501821001119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0.15913073065333252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3.8658800000000002</v>
      </c>
      <c r="X38" s="15"/>
      <c r="Y38" s="15">
        <f t="shared" si="3"/>
        <v>1.0483689934134801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5809.0597691087978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1.0483689934134801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4.0462400000000001</v>
      </c>
      <c r="X39" s="15"/>
      <c r="Y39" s="15">
        <f t="shared" si="3"/>
        <v>0.97455543608153627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5400.055526322416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0.97455543608153627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4.2986000000000004</v>
      </c>
      <c r="X40" s="15"/>
      <c r="Y40" s="15">
        <f t="shared" si="3"/>
        <v>0.85178127633234824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4719.7583823149762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0.85178127633234824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4.7991000000000001</v>
      </c>
      <c r="X41" s="15"/>
      <c r="Y41" s="15">
        <f t="shared" si="3"/>
        <v>0.74034896729998056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4102.30694351272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0.74034896729998056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4.78118</v>
      </c>
      <c r="X42" s="15"/>
      <c r="Y42" s="15">
        <f t="shared" si="3"/>
        <v>0.51417196992133141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2849.0500230727439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0.51417196992133141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4.5317600000000002</v>
      </c>
      <c r="X43" s="15"/>
      <c r="Y43" s="15">
        <f t="shared" si="3"/>
        <v>0.34350887340696468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1903.3981254472947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0.34350887340696468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4.3593799999999998</v>
      </c>
      <c r="X44" s="15"/>
      <c r="Y44" s="15">
        <f t="shared" si="3"/>
        <v>0.24435398500602878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1353.9764268477306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0.24435398500602878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4.1771700000000003</v>
      </c>
      <c r="X45" s="15"/>
      <c r="Y45" s="15">
        <f t="shared" si="3"/>
        <v>0.15809560048785146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876.01483660520682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0.15809560048785146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3.8592900000000001</v>
      </c>
      <c r="X46" s="15"/>
      <c r="Y46" s="15">
        <f t="shared" si="3"/>
        <v>1.0465818837084213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5152.6962432290411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1.0465818837084213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4.0110700000000001</v>
      </c>
      <c r="X47" s="15"/>
      <c r="Y47" s="15">
        <f t="shared" si="3"/>
        <v>0.96608458050030854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30" t="s">
        <v>219</v>
      </c>
      <c r="AG47" s="17">
        <f t="shared" si="4"/>
        <v>4756.3792819982564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0.96608458050030854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4.2771699999999999</v>
      </c>
      <c r="X48" s="15"/>
      <c r="Y48" s="15">
        <f t="shared" si="3"/>
        <v>0.84753485360127279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4172.7166542218001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0.84753485360127279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4.7920800000000003</v>
      </c>
      <c r="X49" s="15"/>
      <c r="Y49" s="15">
        <f t="shared" si="3"/>
        <v>0.73926600387966357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3639.6704550629679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0.73926600387966357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4.7666399999999998</v>
      </c>
      <c r="X50" s="15"/>
      <c r="Y50" s="15">
        <f t="shared" si="3"/>
        <v>0.51260832654403632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2523.7537927488665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0.51260832654403632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4.5159399999999996</v>
      </c>
      <c r="X51" s="15"/>
      <c r="Y51" s="15">
        <f t="shared" si="3"/>
        <v>0.3423097122913501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1685.3129181776042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0.3423097122913501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4.3438100000000004</v>
      </c>
      <c r="X52" s="15"/>
      <c r="Y52" s="15">
        <f t="shared" si="3"/>
        <v>0.24348124816121539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1198.7451075032566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0.24348124816121539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4.15768</v>
      </c>
      <c r="X53" s="15"/>
      <c r="Y53" s="15">
        <f t="shared" si="3"/>
        <v>0.15735795197138983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774.72937434400569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0.15735795197138983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3.8517800000000002</v>
      </c>
      <c r="X54" s="15"/>
      <c r="Y54" s="15">
        <f t="shared" si="3"/>
        <v>1.0445452837258726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17904.247865420159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1.0445452837258726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3.9940099999999998</v>
      </c>
      <c r="X55" s="15"/>
      <c r="Y55" s="15">
        <f t="shared" si="3"/>
        <v>0.96197560136423332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16488.944879322171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0.96197560136423332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4.3224299999999998</v>
      </c>
      <c r="X56" s="15"/>
      <c r="Y56" s="15">
        <f t="shared" si="3"/>
        <v>0.85650326670479504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14681.074170307782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0.85650326670479504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4.85487</v>
      </c>
      <c r="X57" s="15"/>
      <c r="Y57" s="15">
        <f t="shared" si="3"/>
        <v>0.74895251002805896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12837.577832087632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0.74895251002805896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4.7803599999999999</v>
      </c>
      <c r="X58" s="15"/>
      <c r="Y58" s="15">
        <f t="shared" si="3"/>
        <v>0.51408378645713715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8811.7611363777469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0.51408378645713715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4.5346399999999996</v>
      </c>
      <c r="X59" s="15"/>
      <c r="Y59" s="15">
        <f t="shared" si="3"/>
        <v>0.34372717833825228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5891.7279077626217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0.34372717833825228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4.3687199999999997</v>
      </c>
      <c r="X60" s="15"/>
      <c r="Y60" s="15">
        <f t="shared" si="3"/>
        <v>0.24487751500799163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4197.3744879038131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0.24487751500799163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4.1875900000000001</v>
      </c>
      <c r="X61" s="15"/>
      <c r="Y61" s="15">
        <f t="shared" si="3"/>
        <v>0.15848997183426142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2716.6306565305213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0.15848997183426142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3.8594300000000001</v>
      </c>
      <c r="X62" s="15"/>
      <c r="Y62" s="15">
        <f t="shared" si="3"/>
        <v>1.046619849620213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12798.165641766867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1.046619849620213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3.88</v>
      </c>
      <c r="X63" s="15"/>
      <c r="Y63" s="15">
        <f t="shared" si="3"/>
        <v>0.93451577068991476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30" t="s">
        <v>219</v>
      </c>
      <c r="AG63" s="17">
        <f t="shared" si="4"/>
        <v>11427.34645484978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0.93451577068991476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4.3168300000000004</v>
      </c>
      <c r="X64" s="15"/>
      <c r="Y64" s="15">
        <f t="shared" si="3"/>
        <v>0.85539360887492932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10459.833242473467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0.85539360887492932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4.8481800000000002</v>
      </c>
      <c r="X65" s="15"/>
      <c r="Y65" s="15">
        <f t="shared" si="3"/>
        <v>0.74792045514459393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9145.6414430507648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0.74792045514459393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4.77006</v>
      </c>
      <c r="X66" s="15"/>
      <c r="Y66" s="15">
        <f t="shared" si="3"/>
        <v>0.51297611611421157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6272.720039355464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0.51297611611421157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4.5221799999999996</v>
      </c>
      <c r="X67" s="15"/>
      <c r="Y67" s="15">
        <f t="shared" si="3"/>
        <v>0.34278270630913976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4191.5790686268774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0.34278270630913976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4.3548400000000003</v>
      </c>
      <c r="X68" s="15"/>
      <c r="Y68" s="15">
        <f t="shared" si="3"/>
        <v>0.24409950682520334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2984.8716537873515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0.24409950682520334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4.1698399999999998</v>
      </c>
      <c r="X69" s="15"/>
      <c r="Y69" s="15">
        <f t="shared" si="3"/>
        <v>0.15781817803399489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1929.8154764538801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0.15781817803399489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3.8702899999999998</v>
      </c>
      <c r="X70" s="15"/>
      <c r="Y70" s="15">
        <f t="shared" si="3"/>
        <v>1.0495649196349235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10844.279974531364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1.0495649196349235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3.92028</v>
      </c>
      <c r="X71" s="15"/>
      <c r="Y71" s="15">
        <f t="shared" ref="Y71:Y134" si="11">AK71</f>
        <v>0.94421739317532427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30" t="s">
        <v>219</v>
      </c>
      <c r="AG71" s="17">
        <f t="shared" ref="AG71:AG134" si="12">W71*S71</f>
        <v>9755.811743381244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0.94421739317532427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4.3202600000000002</v>
      </c>
      <c r="X72" s="15"/>
      <c r="Y72" s="15">
        <f t="shared" si="11"/>
        <v>0.856073274295722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8845.0919914565438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0.856073274295722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4.8501599999999998</v>
      </c>
      <c r="X73" s="15"/>
      <c r="Y73" s="15">
        <f t="shared" si="11"/>
        <v>0.74822590636570929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7730.7949808855765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0.74822590636570929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4.7687099999999996</v>
      </c>
      <c r="X74" s="15"/>
      <c r="Y74" s="15">
        <f t="shared" si="11"/>
        <v>0.51283093602072116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5298.6548480908605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0.51283093602072116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10"/>
        <v>13.192555857592341</v>
      </c>
      <c r="W75" s="15">
        <v>4.5194900000000002</v>
      </c>
      <c r="X75" s="15"/>
      <c r="Y75" s="15">
        <f t="shared" si="11"/>
        <v>0.34257880343929148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3539.5813906659946</v>
      </c>
      <c r="AH75" s="17">
        <v>2741.1355855043321</v>
      </c>
      <c r="AI75" s="15">
        <f t="shared" si="13"/>
        <v>4.7303796685404071</v>
      </c>
      <c r="AJ75" s="17">
        <f t="shared" si="14"/>
        <v>1.67</v>
      </c>
      <c r="AK75" s="15">
        <f t="shared" si="15"/>
        <v>0.34257880343929148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4.3513999999999999</v>
      </c>
      <c r="X76" s="15"/>
      <c r="Y76" s="15">
        <f t="shared" si="11"/>
        <v>0.24390668635338844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2520.0846036244961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0.24390668635338844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4.1649200000000004</v>
      </c>
      <c r="X77" s="15"/>
      <c r="Y77" s="15">
        <f t="shared" si="11"/>
        <v>0.15763196814682243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1628.6798115500519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0.15763196814682243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3.8428</v>
      </c>
      <c r="X78" s="15"/>
      <c r="Y78" s="15">
        <f t="shared" si="11"/>
        <v>1.055709313589839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8269.3362972871892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1.055709313589839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3.8582100000000001</v>
      </c>
      <c r="X79" s="15"/>
      <c r="Y79" s="15">
        <f t="shared" si="11"/>
        <v>0.95395468152325491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30" t="s">
        <v>219</v>
      </c>
      <c r="AG79" s="17">
        <f t="shared" si="12"/>
        <v>7472.2956142756329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0.95395468152325491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4.1100500000000002</v>
      </c>
      <c r="X80" s="15"/>
      <c r="Y80" s="15">
        <f t="shared" si="11"/>
        <v>0.85884594245484192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6727.3119923226595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0.85884594245484192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4.4180299999999999</v>
      </c>
      <c r="X81" s="15"/>
      <c r="Y81" s="15">
        <f t="shared" si="11"/>
        <v>0.7425424324423664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5816.3104273390973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0.7425424324423664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4.2418699999999996</v>
      </c>
      <c r="X82" s="15"/>
      <c r="Y82" s="15">
        <f t="shared" si="11"/>
        <v>0.51305870682232191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4018.7719596205025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0.51305870682232191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3.95011</v>
      </c>
      <c r="X83" s="15"/>
      <c r="Y83" s="15">
        <f t="shared" si="11"/>
        <v>0.34262167717390868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2683.7443175123713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0.34262167717390868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3.7688100000000002</v>
      </c>
      <c r="X84" s="15"/>
      <c r="Y84" s="15">
        <f t="shared" si="11"/>
        <v>0.24388500498809162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1910.3432148895879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0.24388500498809162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3.5951</v>
      </c>
      <c r="X85" s="15"/>
      <c r="Y85" s="15">
        <f t="shared" si="11"/>
        <v>0.15821130984103315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1239.2639813520705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0.15821130984103315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3.81229</v>
      </c>
      <c r="X86" s="15"/>
      <c r="Y86" s="15">
        <f t="shared" si="11"/>
        <v>1.0649531671313468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6057.2431181299917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1.0649531671313468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3.8384100000000001</v>
      </c>
      <c r="X87" s="15"/>
      <c r="Y87" s="15">
        <f t="shared" si="11"/>
        <v>0.98039199456731752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5576.2758827780399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0.98039199456731752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3.87879</v>
      </c>
      <c r="X88" s="15"/>
      <c r="Y88" s="15">
        <f t="shared" si="11"/>
        <v>0.86410892705775522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4914.8807790622077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0.86410892705775522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3.9841799999999998</v>
      </c>
      <c r="X89" s="15"/>
      <c r="Y89" s="15">
        <f t="shared" si="11"/>
        <v>0.74467506580526599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4235.5645833161952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0.74467506580526599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3.6392500000000001</v>
      </c>
      <c r="X90" s="15"/>
      <c r="Y90" s="15">
        <f t="shared" si="11"/>
        <v>0.51417814092323599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2924.5436341483869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0.51417814092323599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3.2863199999999999</v>
      </c>
      <c r="X91" s="15"/>
      <c r="Y91" s="15">
        <f t="shared" si="11"/>
        <v>0.34321434913290416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1952.1353788061376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0.34321434913290416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3.0848800000000001</v>
      </c>
      <c r="X92" s="15"/>
      <c r="Y92" s="15">
        <f t="shared" si="11"/>
        <v>0.24427596025345175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1389.3933788238814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0.24427596025345175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2.9036400000000002</v>
      </c>
      <c r="X93" s="15"/>
      <c r="Y93" s="15">
        <f t="shared" si="11"/>
        <v>0.15840056781587511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900.95112059726421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0.15840056781587511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3.7902100000000001</v>
      </c>
      <c r="X94" s="15"/>
      <c r="Y94" s="15">
        <f t="shared" si="11"/>
        <v>1.0748632022197855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4524.2956085484821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1.0748632022197855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3.7658900000000002</v>
      </c>
      <c r="X95" s="15"/>
      <c r="Y95" s="15">
        <f t="shared" si="11"/>
        <v>0.98935251551266434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4164.365504369619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0.98935251551266434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3.70459</v>
      </c>
      <c r="X96" s="15"/>
      <c r="Y96" s="15">
        <f t="shared" si="11"/>
        <v>0.87043852692303869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3663.8347993832012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0.87043852692303869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3.6599400000000002</v>
      </c>
      <c r="X97" s="15"/>
      <c r="Y97" s="15">
        <f t="shared" si="11"/>
        <v>0.74787218636230246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3147.9306776218459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0.74787218636230246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3.1746099999999999</v>
      </c>
      <c r="X98" s="15"/>
      <c r="Y98" s="15">
        <f t="shared" si="11"/>
        <v>0.51577244778626485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2170.9804705478687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0.51577244778626485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2.76152</v>
      </c>
      <c r="X99" s="15"/>
      <c r="Y99" s="15">
        <f t="shared" si="11"/>
        <v>0.34429861824517893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1449.2157916830947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0.34429861824517893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2.5363099999999998</v>
      </c>
      <c r="X100" s="31"/>
      <c r="Y100" s="31">
        <f t="shared" si="11"/>
        <v>0.24500861628081685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1031.2860319402562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0.24500861628081685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2.3448000000000002</v>
      </c>
      <c r="X101" s="42"/>
      <c r="Y101" s="42">
        <f t="shared" si="11"/>
        <v>0.15882874384918752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668.53920277867655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0.15882874384918752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4.1831399999999999</v>
      </c>
      <c r="X102" s="36"/>
      <c r="Y102" s="36">
        <f t="shared" si="11"/>
        <v>1.1341320917606239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8052.216499366612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1.1341320917606239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4.3897000000000004</v>
      </c>
      <c r="X103" s="15"/>
      <c r="Y103" s="15">
        <f t="shared" si="11"/>
        <v>1.0567559483299949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7502.8541602564937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1.0567559483299949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4.5543100000000001</v>
      </c>
      <c r="X104" s="15"/>
      <c r="Y104" s="15">
        <f t="shared" si="11"/>
        <v>0.90153884682400254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6400.8293477938078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0.90153884682400254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4.8664500000000004</v>
      </c>
      <c r="X105" s="15"/>
      <c r="Y105" s="15">
        <f t="shared" si="11"/>
        <v>0.74953548211251608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5321.621722702278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0.74953548211251608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4.7639300000000002</v>
      </c>
      <c r="X106" s="15"/>
      <c r="Y106" s="15">
        <f t="shared" si="11"/>
        <v>0.51122078168800444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3629.6128493611914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0.51122078168800444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4.5419999999999998</v>
      </c>
      <c r="X107" s="15"/>
      <c r="Y107" s="15">
        <f t="shared" si="11"/>
        <v>0.34345258617321206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2438.4766124030853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0.34345258617321206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4.37507</v>
      </c>
      <c r="X108" s="15"/>
      <c r="Y108" s="15">
        <f t="shared" si="11"/>
        <v>0.2446056861018612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1736.6741985148019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0.2446056861018612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4.16974</v>
      </c>
      <c r="X109" s="15"/>
      <c r="Y109" s="15">
        <f t="shared" si="11"/>
        <v>0.15739228831669186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1117.4684060736624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0.15739228831669186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4.1903100000000002</v>
      </c>
      <c r="X110" s="15"/>
      <c r="Y110" s="15">
        <f t="shared" si="11"/>
        <v>1.1363495702894149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6186.452967692835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1.1363495702894149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4.35175</v>
      </c>
      <c r="X111" s="15"/>
      <c r="Y111" s="15">
        <f t="shared" si="11"/>
        <v>1.048138918840164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5706.2213024480034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1.048138918840164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4.4842399999999998</v>
      </c>
      <c r="X112" s="15"/>
      <c r="Y112" s="15">
        <f t="shared" si="11"/>
        <v>0.88856643339239971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4837.4853940874982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0.88856643339239971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4.8378199999999998</v>
      </c>
      <c r="X113" s="15"/>
      <c r="Y113" s="15">
        <f t="shared" si="11"/>
        <v>0.74632223562401134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4063.0872137835186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0.74632223562401134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4.7508800000000004</v>
      </c>
      <c r="X114" s="15"/>
      <c r="Y114" s="15">
        <f t="shared" si="11"/>
        <v>0.5109134833785498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2781.4875968813976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0.5109134833785498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4.5224099999999998</v>
      </c>
      <c r="X115" s="15"/>
      <c r="Y115" s="15">
        <f t="shared" si="11"/>
        <v>0.34280014038351342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1866.2540130683428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0.34280014038351342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4.3521000000000001</v>
      </c>
      <c r="X116" s="15"/>
      <c r="Y116" s="15">
        <f t="shared" si="11"/>
        <v>0.24394592307730428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1328.0772213376135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0.24394592307730428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4.1463099999999997</v>
      </c>
      <c r="X117" s="15"/>
      <c r="Y117" s="15">
        <f t="shared" si="11"/>
        <v>0.15692762546383879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854.33690445845582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0.15692762546383879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4.1902799999999996</v>
      </c>
      <c r="X118" s="15"/>
      <c r="Y118" s="15">
        <f t="shared" si="11"/>
        <v>1.1363414347368874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5406.5148230684663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1.1363414347368874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4.3270200000000001</v>
      </c>
      <c r="X119" s="15"/>
      <c r="Y119" s="15">
        <f t="shared" si="11"/>
        <v>1.0421825850749162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4958.5234000166474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1.0421825850749162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4.4561900000000003</v>
      </c>
      <c r="X120" s="15"/>
      <c r="Y120" s="15">
        <f t="shared" si="11"/>
        <v>0.88300823658387562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4201.1995462329141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0.88300823658387562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4.8276599999999998</v>
      </c>
      <c r="X121" s="15"/>
      <c r="Y121" s="15">
        <f t="shared" si="11"/>
        <v>0.74475486976212746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3543.4140829808634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0.74475486976212746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4.7446200000000003</v>
      </c>
      <c r="X122" s="15"/>
      <c r="Y122" s="15">
        <f t="shared" si="11"/>
        <v>0.51024027790799487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2427.6344604778833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0.51024027790799487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4.5114599999999996</v>
      </c>
      <c r="X123" s="15"/>
      <c r="Y123" s="15">
        <f t="shared" si="11"/>
        <v>0.34197012684268036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1627.034360715402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0.34197012684268036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4.3393899999999999</v>
      </c>
      <c r="X124" s="15"/>
      <c r="Y124" s="15">
        <f t="shared" si="11"/>
        <v>0.24323349627591812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1157.2626526524662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0.24323349627591812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4.1336500000000003</v>
      </c>
      <c r="X125" s="15"/>
      <c r="Y125" s="15">
        <f t="shared" si="11"/>
        <v>0.15644847563221206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744.35462502330483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0.15644847563221206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4.1858199999999997</v>
      </c>
      <c r="X126" s="15"/>
      <c r="Y126" s="15">
        <f t="shared" si="11"/>
        <v>1.1351319492612326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4446.4071963399856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1.1351319492612326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4.2882400000000001</v>
      </c>
      <c r="X127" s="15"/>
      <c r="Y127" s="15">
        <f t="shared" si="11"/>
        <v>1.0328422444596184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4045.7298302968597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1.0328422444596184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4.4213899999999997</v>
      </c>
      <c r="X128" s="15"/>
      <c r="Y128" s="15">
        <f t="shared" si="11"/>
        <v>0.87611250578399513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3431.8062786063952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0.87611250578399513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4.8169199999999996</v>
      </c>
      <c r="X129" s="15"/>
      <c r="Y129" s="15">
        <f t="shared" si="11"/>
        <v>0.74309802829001781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2910.7773970463759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0.74309802829001781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4.7352400000000001</v>
      </c>
      <c r="X130" s="15"/>
      <c r="Y130" s="15">
        <f t="shared" si="11"/>
        <v>0.50923154511026247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1994.7027376466876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0.50923154511026247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4.4952399999999999</v>
      </c>
      <c r="X131" s="15"/>
      <c r="Y131" s="15">
        <f t="shared" si="11"/>
        <v>0.3407406455977201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1334.7097310204997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0.3407406455977201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4.32036</v>
      </c>
      <c r="X132" s="15"/>
      <c r="Y132" s="15">
        <f t="shared" si="11"/>
        <v>0.24216681791003478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948.58776776631066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0.24216681791003478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4.1151400000000002</v>
      </c>
      <c r="X133" s="15"/>
      <c r="Y133" s="15">
        <f t="shared" si="11"/>
        <v>0.1557479177030327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610.07767646786613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0.1557479177030327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4.1765600000000003</v>
      </c>
      <c r="X134" s="15"/>
      <c r="Y134" s="15">
        <f t="shared" si="11"/>
        <v>1.132620775381286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3853.565499393866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1.132620775381286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4.2539400000000001</v>
      </c>
      <c r="X135" s="15"/>
      <c r="Y135" s="15">
        <f t="shared" ref="Y135:Y198" si="19">AK135</f>
        <v>1.0245809323630557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20">W135*S135</f>
        <v>3485.9767877398481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66" si="23">W135/V135</f>
        <v>1.0245809323630557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4.3967200000000002</v>
      </c>
      <c r="X136" s="15"/>
      <c r="Y136" s="15">
        <f t="shared" si="19"/>
        <v>0.87122406673706843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2964.2039761184642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0.87122406673706843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4.8111800000000002</v>
      </c>
      <c r="X137" s="15"/>
      <c r="Y137" s="15">
        <f t="shared" si="19"/>
        <v>0.74221252828537065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2525.2623423365608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0.74221252828537065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4.7258399999999998</v>
      </c>
      <c r="X138" s="15"/>
      <c r="Y138" s="15">
        <f t="shared" si="19"/>
        <v>0.50822066149633049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1729.1415183180707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0.50822066149633049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4.4813900000000002</v>
      </c>
      <c r="X139" s="15"/>
      <c r="Y139" s="15">
        <f t="shared" si="19"/>
        <v>0.33969081111913207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1155.7449930663122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0.33969081111913207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4.30532</v>
      </c>
      <c r="X140" s="15"/>
      <c r="Y140" s="15">
        <f t="shared" si="19"/>
        <v>0.24132378887047165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821.066545120716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0.24132378887047165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4.1010900000000001</v>
      </c>
      <c r="X141" s="15"/>
      <c r="Y141" s="15">
        <f t="shared" si="19"/>
        <v>0.15521615979352593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528.09876997654419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0.15521615979352593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4.1628699999999998</v>
      </c>
      <c r="X142" s="15"/>
      <c r="Y142" s="15">
        <f t="shared" si="19"/>
        <v>1.1289082515782114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3472.9078684766178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1.1289082515782114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4.2185600000000001</v>
      </c>
      <c r="X143" s="15"/>
      <c r="Y143" s="15">
        <f t="shared" si="19"/>
        <v>1.0160594973200121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3125.7465061044404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1.0160594973200121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4.3787399999999996</v>
      </c>
      <c r="X144" s="15"/>
      <c r="Y144" s="15">
        <f t="shared" si="19"/>
        <v>0.86766127249046365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2669.2228143358579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0.86766127249046365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4.8059200000000004</v>
      </c>
      <c r="X145" s="15"/>
      <c r="Y145" s="15">
        <f t="shared" si="19"/>
        <v>0.74140107706160008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2280.8032722098369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0.74140107706160008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4.7163300000000001</v>
      </c>
      <c r="X146" s="15"/>
      <c r="Y146" s="15">
        <f t="shared" si="19"/>
        <v>0.50719794839329879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1560.3143509561376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0.50719794839329879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4.4691799999999997</v>
      </c>
      <c r="X147" s="15"/>
      <c r="Y147" s="15">
        <f t="shared" si="19"/>
        <v>0.33876528917086041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1042.1578872184632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0.33876528917086041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4.2927600000000004</v>
      </c>
      <c r="X148" s="15"/>
      <c r="Y148" s="15">
        <f t="shared" si="19"/>
        <v>0.2406197699384961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740.22870429213299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0.2406197699384961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4.0900499999999997</v>
      </c>
      <c r="X149" s="15"/>
      <c r="Y149" s="15">
        <f t="shared" si="19"/>
        <v>0.15479832297352913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476.21258249303258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0.15479832297352913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4.1626899999999996</v>
      </c>
      <c r="X150" s="15"/>
      <c r="Y150" s="15">
        <f t="shared" si="19"/>
        <v>1.1288594382630501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10682.008482451229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1.1288594382630501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4.2088000000000001</v>
      </c>
      <c r="X151" s="15"/>
      <c r="Y151" s="15">
        <f t="shared" si="19"/>
        <v>1.013708756618483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9592.3771994104063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1.013708756618483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4.4324199999999996</v>
      </c>
      <c r="X152" s="15"/>
      <c r="Y152" s="15">
        <f t="shared" si="19"/>
        <v>0.87829813540246293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8311.033078596618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0.87829813540246293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4.8463599999999998</v>
      </c>
      <c r="X153" s="15"/>
      <c r="Y153" s="15">
        <f t="shared" si="19"/>
        <v>0.7476396868504378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7074.657132726712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0.7476396868504378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4.74336</v>
      </c>
      <c r="X154" s="15"/>
      <c r="Y154" s="15">
        <f t="shared" si="19"/>
        <v>0.51010477648740427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4826.9459993721657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0.51010477648740427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4.4976200000000004</v>
      </c>
      <c r="X155" s="15"/>
      <c r="Y155" s="15">
        <f t="shared" si="19"/>
        <v>0.34092105036732595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3226.0186064204681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0.34092105036732595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4.3266799999999996</v>
      </c>
      <c r="X156" s="15"/>
      <c r="Y156" s="15">
        <f t="shared" si="19"/>
        <v>0.24252106947453211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2294.8934415485869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0.24252106947453211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4.1285999999999996</v>
      </c>
      <c r="X157" s="15"/>
      <c r="Y157" s="15">
        <f t="shared" si="19"/>
        <v>0.15625734556509394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1478.6095010552569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0.15625734556509394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4.1846199999999998</v>
      </c>
      <c r="X158" s="15"/>
      <c r="Y158" s="15">
        <f t="shared" si="19"/>
        <v>1.1348065271601597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7455.3611376146437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1.1348065271601597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4.2275600000000004</v>
      </c>
      <c r="X159" s="15"/>
      <c r="Y159" s="15">
        <f t="shared" si="19"/>
        <v>1.0182271885406846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6689.4675250995069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1.0182271885406846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4.4334300000000004</v>
      </c>
      <c r="X160" s="15"/>
      <c r="Y160" s="15">
        <f t="shared" si="19"/>
        <v>0.87849827011820647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5771.4876551609841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0.87849827011820647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4.8362699999999998</v>
      </c>
      <c r="X161" s="15"/>
      <c r="Y161" s="15">
        <f t="shared" si="19"/>
        <v>0.74608311976909802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4901.5571936094384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0.74608311976909802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4.7354500000000002</v>
      </c>
      <c r="X162" s="15"/>
      <c r="Y162" s="15">
        <f t="shared" si="19"/>
        <v>0.50925412868036102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3345.6570342739415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0.50925412868036102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4.48813</v>
      </c>
      <c r="X163" s="15"/>
      <c r="Y163" s="15">
        <f t="shared" si="19"/>
        <v>0.34020170529860377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2235.029947334343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0.34020170529860377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4.3148999999999997</v>
      </c>
      <c r="X164" s="15"/>
      <c r="Y164" s="15">
        <f t="shared" si="19"/>
        <v>0.24186077146349108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1588.957547499127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0.24186077146349108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4.1147799999999997</v>
      </c>
      <c r="X165" s="15"/>
      <c r="Y165" s="15">
        <f t="shared" si="19"/>
        <v>0.15573429258933713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1023.1306967100198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0.15573429258933713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4.2014199999999997</v>
      </c>
      <c r="X166" s="15"/>
      <c r="Y166" s="15">
        <f t="shared" si="19"/>
        <v>1.1393624365751818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6317.0893332165788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1.1393624365751818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4.2421800000000003</v>
      </c>
      <c r="X167" s="15"/>
      <c r="Y167" s="15">
        <f t="shared" si="19"/>
        <v>1.021748482501377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24">W167*S167</f>
        <v>5664.9896756656599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ref="AK167:AK198" si="25">W167/V167</f>
        <v>1.021748482501377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4.4401099999999998</v>
      </c>
      <c r="X168" s="15"/>
      <c r="Y168" s="15">
        <f t="shared" si="19"/>
        <v>0.87982193338668913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4"/>
        <v>4878.0910903413815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5"/>
        <v>0.87982193338668913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4.8365499999999999</v>
      </c>
      <c r="X169" s="15"/>
      <c r="Y169" s="15">
        <f t="shared" si="19"/>
        <v>0.74612631489127557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4"/>
        <v>4136.8281362686967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5"/>
        <v>0.74612631489127557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4.7353100000000001</v>
      </c>
      <c r="X170" s="15"/>
      <c r="Y170" s="15">
        <f t="shared" si="19"/>
        <v>0.50923907296696169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4"/>
        <v>2823.4287989749982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5"/>
        <v>0.50923907296696169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4.4871299999999996</v>
      </c>
      <c r="X171" s="15"/>
      <c r="Y171" s="15">
        <f t="shared" si="19"/>
        <v>0.34012590497523976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4"/>
        <v>1885.7965273352638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5"/>
        <v>0.34012590497523976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4.31264</v>
      </c>
      <c r="X172" s="15"/>
      <c r="Y172" s="15">
        <f t="shared" si="19"/>
        <v>0.2417340928977057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4"/>
        <v>1340.2722528829993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5"/>
        <v>0.2417340928977057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4.1120299999999999</v>
      </c>
      <c r="X173" s="15"/>
      <c r="Y173" s="15">
        <f t="shared" si="19"/>
        <v>0.15563021185971823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4"/>
        <v>862.877272152714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5"/>
        <v>0.15563021185971823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4.1731199999999999</v>
      </c>
      <c r="X174" s="15"/>
      <c r="Y174" s="15">
        <f t="shared" si="19"/>
        <v>1.1472152963185571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4"/>
        <v>4874.4284397525507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5"/>
        <v>1.1472152963185571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4.1554099999999998</v>
      </c>
      <c r="X175" s="15"/>
      <c r="Y175" s="15">
        <f t="shared" si="19"/>
        <v>1.0287905475805508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4"/>
        <v>4371.2509062315912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5"/>
        <v>1.0287905475805508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4.2159700000000004</v>
      </c>
      <c r="X176" s="15"/>
      <c r="Y176" s="15">
        <f t="shared" si="19"/>
        <v>0.88330492091573898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4"/>
        <v>3753.0938101172956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5"/>
        <v>0.88330492091573898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4.4260200000000003</v>
      </c>
      <c r="X177" s="15"/>
      <c r="Y177" s="15">
        <f t="shared" si="19"/>
        <v>0.7471066233190895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4"/>
        <v>3174.397851842135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5"/>
        <v>0.7471066233190895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4.1886799999999997</v>
      </c>
      <c r="X178" s="15"/>
      <c r="Y178" s="15">
        <f t="shared" si="19"/>
        <v>0.50972482009077624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4"/>
        <v>2165.7810591189213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5"/>
        <v>0.50972482009077624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3.89615</v>
      </c>
      <c r="X179" s="15"/>
      <c r="Y179" s="15">
        <f t="shared" si="19"/>
        <v>0.34035318903088446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4"/>
        <v>1446.1341907630408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5"/>
        <v>0.34035318903088446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3.7080000000000002</v>
      </c>
      <c r="X180" s="15"/>
      <c r="Y180" s="15">
        <f t="shared" si="19"/>
        <v>0.24178946291098924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4"/>
        <v>1027.3445954111062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5"/>
        <v>0.24178946291098924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3.5083899999999999</v>
      </c>
      <c r="X181" s="15"/>
      <c r="Y181" s="15">
        <f t="shared" si="19"/>
        <v>0.15564472947856078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4"/>
        <v>661.3223326977153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5"/>
        <v>0.15564472947856078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4.1510300000000004</v>
      </c>
      <c r="X182" s="15"/>
      <c r="Y182" s="15">
        <f t="shared" si="19"/>
        <v>1.1604893665115708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4"/>
        <v>3562.5091940564453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5"/>
        <v>1.1604893665115708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4.06121</v>
      </c>
      <c r="X183" s="15"/>
      <c r="Y183" s="15">
        <f t="shared" si="19"/>
        <v>1.0388483998377638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4"/>
        <v>3189.0916732634782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5"/>
        <v>1.0388483998377638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3.9804900000000001</v>
      </c>
      <c r="X184" s="15"/>
      <c r="Y184" s="15">
        <f t="shared" si="19"/>
        <v>0.88932312692639359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4"/>
        <v>2730.0739736081982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5"/>
        <v>0.88932312692639359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3.9916800000000001</v>
      </c>
      <c r="X185" s="15"/>
      <c r="Y185" s="15">
        <f t="shared" si="19"/>
        <v>0.74968425806393879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4"/>
        <v>2301.4058888109057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5"/>
        <v>0.74968425806393879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3.5899700000000001</v>
      </c>
      <c r="X186" s="15"/>
      <c r="Y186" s="15">
        <f t="shared" si="19"/>
        <v>0.51095172964281299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4"/>
        <v>1568.53676310994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5"/>
        <v>0.51095172964281299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3.2372399999999999</v>
      </c>
      <c r="X187" s="15"/>
      <c r="Y187" s="15">
        <f t="shared" si="19"/>
        <v>0.34115683835467658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4"/>
        <v>1047.2947088754265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5"/>
        <v>0.34115683835467658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3.02901</v>
      </c>
      <c r="X188" s="15"/>
      <c r="Y188" s="15">
        <f t="shared" si="19"/>
        <v>0.24225476482573904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4"/>
        <v>743.6818051939232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5"/>
        <v>0.24225476482573904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2.8277999999999999</v>
      </c>
      <c r="X189" s="15"/>
      <c r="Y189" s="15">
        <f t="shared" si="19"/>
        <v>0.15592593543012154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4"/>
        <v>478.66666821037262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5"/>
        <v>0.15592593543012154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4.1276200000000003</v>
      </c>
      <c r="X190" s="15"/>
      <c r="Y190" s="15">
        <f t="shared" si="19"/>
        <v>1.171181802391589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4"/>
        <v>2666.6081350894324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5"/>
        <v>1.171181802391589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3.9872899999999998</v>
      </c>
      <c r="X191" s="15"/>
      <c r="Y191" s="15">
        <f t="shared" si="19"/>
        <v>1.0485559542163709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4"/>
        <v>2387.4071744456251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5"/>
        <v>1.0485559542163709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3.80674</v>
      </c>
      <c r="X192" s="15"/>
      <c r="Y192" s="15">
        <f t="shared" si="19"/>
        <v>0.89607657884985892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4"/>
        <v>2040.2341378125411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5"/>
        <v>0.89607657884985892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3.67571</v>
      </c>
      <c r="X193" s="15"/>
      <c r="Y193" s="15">
        <f t="shared" si="19"/>
        <v>0.75338774772404538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4"/>
        <v>1715.3527256444952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5"/>
        <v>0.75338774772404538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3.14107</v>
      </c>
      <c r="X194" s="15"/>
      <c r="Y194" s="15">
        <f t="shared" si="19"/>
        <v>0.5128394270725648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4"/>
        <v>1167.6596967556559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5"/>
        <v>0.5128394270725648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2.7279300000000002</v>
      </c>
      <c r="X195" s="15"/>
      <c r="Y195" s="15">
        <f t="shared" si="19"/>
        <v>0.34231417657122359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4"/>
        <v>779.3988654342678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5"/>
        <v>0.34231417657122359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2.4972799999999999</v>
      </c>
      <c r="X196" s="15"/>
      <c r="Y196" s="15">
        <f t="shared" si="19"/>
        <v>0.24303021306316197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4"/>
        <v>553.3439316623386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5"/>
        <v>0.24303021306316197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2.2905199999999999</v>
      </c>
      <c r="X197" s="42"/>
      <c r="Y197" s="42">
        <f t="shared" si="19"/>
        <v>0.15642704316798575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4"/>
        <v>356.16129366759731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5"/>
        <v>0.15642704316798575</v>
      </c>
      <c r="AL197" s="5">
        <v>1.5359</v>
      </c>
    </row>
    <row r="198" spans="1:38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6"/>
        <v>14073.1</v>
      </c>
      <c r="M198" s="36"/>
      <c r="N198" s="36"/>
      <c r="O198" s="36"/>
      <c r="P198" s="36">
        <f t="shared" si="17"/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8"/>
        <v>3.6875184446391609</v>
      </c>
      <c r="W198" s="15">
        <v>3.8276400000000002</v>
      </c>
      <c r="X198" s="36"/>
      <c r="Y198" s="36">
        <f t="shared" si="19"/>
        <v>1.0379988757926202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ref="AG198:AG261" si="26">W198*S198</f>
        <v>5185.7910025155788</v>
      </c>
      <c r="AH198" s="39">
        <v>4741.8953999865516</v>
      </c>
      <c r="AI198" s="36">
        <f t="shared" si="21"/>
        <v>40.972427162657333</v>
      </c>
      <c r="AJ198" s="39">
        <f t="shared" si="22"/>
        <v>0.30000000000000004</v>
      </c>
      <c r="AK198" s="36">
        <f t="shared" si="25"/>
        <v>1.0379988757926202</v>
      </c>
      <c r="AL198" s="56">
        <v>26.521000000000001</v>
      </c>
    </row>
    <row r="199" spans="1:38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27">2*C199*F199+(E199-2*F199)*H199</f>
        <v>14073.1</v>
      </c>
      <c r="M199" s="15"/>
      <c r="N199" s="15"/>
      <c r="O199" s="15"/>
      <c r="P199" s="15">
        <f t="shared" ref="P199:P262" si="28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9">L199*T199/(S199*1000)</f>
        <v>4.1518828485211703</v>
      </c>
      <c r="W199" s="5">
        <v>4.00291</v>
      </c>
      <c r="X199" s="15"/>
      <c r="Y199" s="15">
        <f t="shared" ref="Y199:Y262" si="30">AK199</f>
        <v>0.96411920712689858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6"/>
        <v>4816.6918349052321</v>
      </c>
      <c r="AH199" s="17">
        <v>4211.5414591305607</v>
      </c>
      <c r="AI199" s="15">
        <f t="shared" ref="AI199:AI262" si="31">(PI()^2*U199*P199/K199^2)/(S199*1000)</f>
        <v>16.607531394084681</v>
      </c>
      <c r="AJ199" s="17">
        <f t="shared" ref="AJ199:AJ262" si="32">(V199/AI199)^0.5</f>
        <v>0.5</v>
      </c>
      <c r="AK199" s="15">
        <f t="shared" ref="AK199:AK230" si="33">W199/V199</f>
        <v>0.96411920712689858</v>
      </c>
      <c r="AL199" s="5">
        <v>26.521000000000001</v>
      </c>
    </row>
    <row r="200" spans="1:38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27"/>
        <v>14073.1</v>
      </c>
      <c r="M200" s="15"/>
      <c r="N200" s="15"/>
      <c r="O200" s="15"/>
      <c r="P200" s="15">
        <f t="shared" si="28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9"/>
        <v>5.0466007171573128</v>
      </c>
      <c r="W200" s="15">
        <v>3.9267400000000001</v>
      </c>
      <c r="X200" s="15"/>
      <c r="Y200" s="15">
        <f t="shared" si="30"/>
        <v>0.77809603336558075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6"/>
        <v>3887.3292669407897</v>
      </c>
      <c r="AH200" s="17">
        <v>3464.8722437168653</v>
      </c>
      <c r="AI200" s="15">
        <f t="shared" si="31"/>
        <v>8.9717346082796698</v>
      </c>
      <c r="AJ200" s="17">
        <f t="shared" si="32"/>
        <v>0.74999999999999989</v>
      </c>
      <c r="AK200" s="15">
        <f t="shared" si="33"/>
        <v>0.77809603336558075</v>
      </c>
      <c r="AL200" s="5">
        <v>26.521000000000001</v>
      </c>
    </row>
    <row r="201" spans="1:38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27"/>
        <v>14073.1</v>
      </c>
      <c r="M201" s="15"/>
      <c r="N201" s="15"/>
      <c r="O201" s="15"/>
      <c r="P201" s="15">
        <f t="shared" si="28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9"/>
        <v>6.4822134047165605</v>
      </c>
      <c r="W201" s="15">
        <v>4.1758199999999999</v>
      </c>
      <c r="X201" s="15"/>
      <c r="Y201" s="15">
        <f t="shared" si="30"/>
        <v>0.64419662533195954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6"/>
        <v>3218.3744524255153</v>
      </c>
      <c r="AH201" s="17">
        <v>2697.5086530284602</v>
      </c>
      <c r="AI201" s="15">
        <f t="shared" si="31"/>
        <v>6.4822134047165605</v>
      </c>
      <c r="AJ201" s="17">
        <f t="shared" si="32"/>
        <v>1</v>
      </c>
      <c r="AK201" s="15">
        <f t="shared" si="33"/>
        <v>0.64419662533195954</v>
      </c>
      <c r="AL201" s="5">
        <v>26.521000000000001</v>
      </c>
    </row>
    <row r="202" spans="1:38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27"/>
        <v>14073.1</v>
      </c>
      <c r="M202" s="15"/>
      <c r="N202" s="15"/>
      <c r="O202" s="15"/>
      <c r="P202" s="15">
        <f t="shared" si="28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9"/>
        <v>9.2987954997459816</v>
      </c>
      <c r="W202" s="15">
        <v>4.3993399999999996</v>
      </c>
      <c r="X202" s="15"/>
      <c r="Y202" s="15">
        <f t="shared" si="30"/>
        <v>0.47310858703368386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6"/>
        <v>2363.6270819452266</v>
      </c>
      <c r="AH202" s="17">
        <v>1880.4399720886074</v>
      </c>
      <c r="AI202" s="15">
        <f t="shared" si="31"/>
        <v>5.2568237321193836</v>
      </c>
      <c r="AJ202" s="17">
        <f t="shared" si="32"/>
        <v>1.3300000000000003</v>
      </c>
      <c r="AK202" s="15">
        <f t="shared" si="33"/>
        <v>0.47310858703368386</v>
      </c>
      <c r="AL202" s="5">
        <v>26.521000000000001</v>
      </c>
    </row>
    <row r="203" spans="1:38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27"/>
        <v>14073.1</v>
      </c>
      <c r="M203" s="15"/>
      <c r="N203" s="15"/>
      <c r="O203" s="15"/>
      <c r="P203" s="15">
        <f t="shared" si="28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9"/>
        <v>13.192555857592348</v>
      </c>
      <c r="W203" s="15">
        <v>4.2272600000000002</v>
      </c>
      <c r="X203" s="15"/>
      <c r="Y203" s="15">
        <f t="shared" si="30"/>
        <v>0.32042767494269897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6"/>
        <v>1600.8408028438146</v>
      </c>
      <c r="AH203" s="17">
        <v>1325.4313219327296</v>
      </c>
      <c r="AI203" s="15">
        <f t="shared" si="31"/>
        <v>4.7303796685404089</v>
      </c>
      <c r="AJ203" s="17">
        <f t="shared" si="32"/>
        <v>1.6700000000000002</v>
      </c>
      <c r="AK203" s="15">
        <f t="shared" si="33"/>
        <v>0.32042767494269897</v>
      </c>
      <c r="AL203" s="5">
        <v>26.521000000000001</v>
      </c>
    </row>
    <row r="204" spans="1:38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27"/>
        <v>14073.1</v>
      </c>
      <c r="M204" s="15"/>
      <c r="N204" s="15"/>
      <c r="O204" s="15"/>
      <c r="P204" s="15">
        <f t="shared" si="28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9"/>
        <v>17.840429325891453</v>
      </c>
      <c r="W204" s="15">
        <v>3.90503</v>
      </c>
      <c r="X204" s="15"/>
      <c r="Y204" s="15">
        <f t="shared" si="30"/>
        <v>0.21888654856151413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6"/>
        <v>1093.5463617291707</v>
      </c>
      <c r="AH204" s="17">
        <v>980.12365232843217</v>
      </c>
      <c r="AI204" s="15">
        <f t="shared" si="31"/>
        <v>4.4601073314728632</v>
      </c>
      <c r="AJ204" s="17">
        <f t="shared" si="32"/>
        <v>2</v>
      </c>
      <c r="AK204" s="15">
        <f t="shared" si="33"/>
        <v>0.21888654856151413</v>
      </c>
      <c r="AL204" s="5">
        <v>26.521000000000001</v>
      </c>
    </row>
    <row r="205" spans="1:38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27"/>
        <v>14073.1</v>
      </c>
      <c r="M205" s="15"/>
      <c r="N205" s="15"/>
      <c r="O205" s="15"/>
      <c r="P205" s="15">
        <f t="shared" si="28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9"/>
        <v>26.421797868568682</v>
      </c>
      <c r="W205" s="15">
        <v>3.6423299999999998</v>
      </c>
      <c r="X205" s="15"/>
      <c r="Y205" s="15">
        <f t="shared" si="30"/>
        <v>0.13785322324083435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6"/>
        <v>688.707879576658</v>
      </c>
      <c r="AH205" s="17">
        <v>661.79549313716848</v>
      </c>
      <c r="AI205" s="15">
        <f t="shared" si="31"/>
        <v>4.227487658970988</v>
      </c>
      <c r="AJ205" s="17">
        <f t="shared" si="32"/>
        <v>2.5000000000000004</v>
      </c>
      <c r="AK205" s="15">
        <f t="shared" si="33"/>
        <v>0.13785322324083435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7"/>
        <v>10828</v>
      </c>
      <c r="M206" s="15"/>
      <c r="N206" s="15"/>
      <c r="O206" s="15"/>
      <c r="P206" s="15">
        <f t="shared" si="28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9"/>
        <v>3.6875184446391605</v>
      </c>
      <c r="W206" s="15">
        <v>3.83494</v>
      </c>
      <c r="X206" s="15"/>
      <c r="Y206" s="15">
        <f t="shared" si="30"/>
        <v>1.039978526907481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6"/>
        <v>3997.6150587207426</v>
      </c>
      <c r="AH206" s="17">
        <v>3648.4671743293502</v>
      </c>
      <c r="AI206" s="15">
        <f t="shared" si="31"/>
        <v>40.972427162657333</v>
      </c>
      <c r="AJ206" s="17">
        <f>(V206/AI206)^0.5</f>
        <v>0.30000000000000004</v>
      </c>
      <c r="AK206" s="15">
        <f t="shared" si="33"/>
        <v>1.039978526907481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7"/>
        <v>10828</v>
      </c>
      <c r="M207" s="15"/>
      <c r="N207" s="15"/>
      <c r="O207" s="15"/>
      <c r="P207" s="15">
        <f t="shared" si="28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9"/>
        <v>4.1518828485211703</v>
      </c>
      <c r="W207" s="15">
        <v>3.9196499999999999</v>
      </c>
      <c r="X207" s="15"/>
      <c r="Y207" s="15">
        <f t="shared" si="30"/>
        <v>0.94406565478987736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6"/>
        <v>3628.9317330730009</v>
      </c>
      <c r="AH207" s="17">
        <v>3240.4069408634709</v>
      </c>
      <c r="AI207" s="15">
        <f t="shared" si="31"/>
        <v>16.607531394084688</v>
      </c>
      <c r="AJ207" s="17">
        <f t="shared" si="32"/>
        <v>0.49999999999999989</v>
      </c>
      <c r="AK207" s="15">
        <f t="shared" si="33"/>
        <v>0.94406565478987736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7"/>
        <v>10828</v>
      </c>
      <c r="M208" s="15"/>
      <c r="N208" s="15"/>
      <c r="O208" s="15"/>
      <c r="P208" s="15">
        <f t="shared" si="28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9"/>
        <v>5.0466007171573128</v>
      </c>
      <c r="W208" s="15">
        <v>3.8428399999999998</v>
      </c>
      <c r="X208" s="15"/>
      <c r="Y208" s="15">
        <f t="shared" si="30"/>
        <v>0.761470981235984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6"/>
        <v>2927.0487636122484</v>
      </c>
      <c r="AH208" s="17">
        <v>2665.911324083977</v>
      </c>
      <c r="AI208" s="15">
        <f t="shared" si="31"/>
        <v>8.9717346082796663</v>
      </c>
      <c r="AJ208" s="17">
        <f t="shared" si="32"/>
        <v>0.75000000000000011</v>
      </c>
      <c r="AK208" s="15">
        <f t="shared" si="33"/>
        <v>0.761470981235984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7"/>
        <v>10828</v>
      </c>
      <c r="M209" s="15"/>
      <c r="N209" s="15"/>
      <c r="O209" s="15"/>
      <c r="P209" s="15">
        <f t="shared" si="28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9"/>
        <v>6.4822134047165614</v>
      </c>
      <c r="W209" s="15">
        <v>4.1445999999999996</v>
      </c>
      <c r="X209" s="15"/>
      <c r="Y209" s="15">
        <f t="shared" si="30"/>
        <v>0.63938036920912278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6"/>
        <v>2457.7397764177153</v>
      </c>
      <c r="AH209" s="17">
        <v>2075.4932243068097</v>
      </c>
      <c r="AI209" s="15">
        <f t="shared" si="31"/>
        <v>6.4822134047165632</v>
      </c>
      <c r="AJ209" s="17">
        <f t="shared" si="32"/>
        <v>0.99999999999999989</v>
      </c>
      <c r="AK209" s="15">
        <f t="shared" si="33"/>
        <v>0.63938036920912278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7"/>
        <v>10828</v>
      </c>
      <c r="M210" s="15"/>
      <c r="N210" s="15"/>
      <c r="O210" s="15"/>
      <c r="P210" s="15">
        <f t="shared" si="28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9"/>
        <v>9.2987954997459781</v>
      </c>
      <c r="W210" s="15">
        <v>4.3875900000000003</v>
      </c>
      <c r="X210" s="15"/>
      <c r="Y210" s="15">
        <f t="shared" si="30"/>
        <v>0.47184498251626883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6"/>
        <v>1813.7438020935865</v>
      </c>
      <c r="AH210" s="17">
        <v>1446.8314740729086</v>
      </c>
      <c r="AI210" s="15">
        <f t="shared" si="31"/>
        <v>5.2568237321193827</v>
      </c>
      <c r="AJ210" s="17">
        <f t="shared" si="32"/>
        <v>1.33</v>
      </c>
      <c r="AK210" s="15">
        <f t="shared" si="33"/>
        <v>0.47184498251626883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7"/>
        <v>10828</v>
      </c>
      <c r="M211" s="15"/>
      <c r="N211" s="15"/>
      <c r="O211" s="15"/>
      <c r="P211" s="15">
        <f t="shared" si="28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9"/>
        <v>13.192555857592344</v>
      </c>
      <c r="W211" s="15">
        <v>4.2258500000000003</v>
      </c>
      <c r="X211" s="15"/>
      <c r="Y211" s="15">
        <f t="shared" si="30"/>
        <v>0.32032079648675615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6"/>
        <v>1231.2939224473016</v>
      </c>
      <c r="AH211" s="17">
        <v>1019.8016324681555</v>
      </c>
      <c r="AI211" s="15">
        <f t="shared" si="31"/>
        <v>4.7303796685404089</v>
      </c>
      <c r="AJ211" s="17">
        <f t="shared" si="32"/>
        <v>1.67</v>
      </c>
      <c r="AK211" s="15">
        <f t="shared" si="33"/>
        <v>0.32032079648675615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7"/>
        <v>10828</v>
      </c>
      <c r="M212" s="15"/>
      <c r="N212" s="15"/>
      <c r="O212" s="15"/>
      <c r="P212" s="15">
        <f t="shared" si="28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9"/>
        <v>17.840429325891453</v>
      </c>
      <c r="W212" s="15">
        <v>3.9205299999999998</v>
      </c>
      <c r="X212" s="15"/>
      <c r="Y212" s="15">
        <f t="shared" si="30"/>
        <v>0.2197553617339362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6"/>
        <v>844.72642518354667</v>
      </c>
      <c r="AH212" s="17">
        <v>754.11806264520703</v>
      </c>
      <c r="AI212" s="15">
        <f t="shared" si="31"/>
        <v>4.460107331472865</v>
      </c>
      <c r="AJ212" s="17">
        <f t="shared" si="32"/>
        <v>1.9999999999999996</v>
      </c>
      <c r="AK212" s="15">
        <f t="shared" si="33"/>
        <v>0.2197553617339362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7"/>
        <v>10828</v>
      </c>
      <c r="M213" s="15"/>
      <c r="N213" s="15"/>
      <c r="O213" s="15"/>
      <c r="P213" s="15">
        <f t="shared" si="28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9"/>
        <v>26.421797868568689</v>
      </c>
      <c r="W213" s="15">
        <v>3.6698499999999998</v>
      </c>
      <c r="X213" s="15"/>
      <c r="Y213" s="15">
        <f t="shared" si="30"/>
        <v>0.13889478748778278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6"/>
        <v>533.90322941578779</v>
      </c>
      <c r="AH213" s="17">
        <v>509.19282885002309</v>
      </c>
      <c r="AI213" s="15">
        <f t="shared" si="31"/>
        <v>4.2274876589709907</v>
      </c>
      <c r="AJ213" s="17">
        <f t="shared" si="32"/>
        <v>2.5</v>
      </c>
      <c r="AK213" s="15">
        <f t="shared" si="33"/>
        <v>0.13889478748778278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27"/>
        <v>9336</v>
      </c>
      <c r="M214" s="15"/>
      <c r="N214" s="15"/>
      <c r="O214" s="15"/>
      <c r="P214" s="15">
        <f t="shared" si="28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9"/>
        <v>3.6875184446391613</v>
      </c>
      <c r="W214" s="15">
        <v>3.8363499999999999</v>
      </c>
      <c r="X214" s="15"/>
      <c r="Y214" s="15">
        <f t="shared" si="30"/>
        <v>1.0403608978762415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26"/>
        <v>3448.0473166132701</v>
      </c>
      <c r="AH214" s="17">
        <v>3145.7415533375333</v>
      </c>
      <c r="AI214" s="15">
        <f t="shared" si="31"/>
        <v>40.972427162657347</v>
      </c>
      <c r="AJ214" s="17">
        <f t="shared" si="32"/>
        <v>0.3</v>
      </c>
      <c r="AK214" s="15">
        <f t="shared" si="33"/>
        <v>1.0403608978762415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27"/>
        <v>9336</v>
      </c>
      <c r="M215" s="15"/>
      <c r="N215" s="15"/>
      <c r="O215" s="15"/>
      <c r="P215" s="15">
        <f t="shared" si="28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9"/>
        <v>4.1518828485211712</v>
      </c>
      <c r="W215" s="15">
        <v>3.8526199999999999</v>
      </c>
      <c r="X215" s="15"/>
      <c r="Y215" s="15">
        <f t="shared" si="30"/>
        <v>0.92792117228746873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6"/>
        <v>3075.3905828889115</v>
      </c>
      <c r="AH215" s="17">
        <v>2793.9083117751534</v>
      </c>
      <c r="AI215" s="15">
        <f t="shared" si="31"/>
        <v>16.607531394084681</v>
      </c>
      <c r="AJ215" s="17">
        <f t="shared" si="32"/>
        <v>0.5</v>
      </c>
      <c r="AK215" s="15">
        <f t="shared" si="33"/>
        <v>0.92792117228746873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27"/>
        <v>9336</v>
      </c>
      <c r="M216" s="15"/>
      <c r="N216" s="15"/>
      <c r="O216" s="15"/>
      <c r="P216" s="15">
        <f t="shared" si="28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9"/>
        <v>5.046600717157312</v>
      </c>
      <c r="W216" s="15">
        <v>3.7893599999999998</v>
      </c>
      <c r="X216" s="15"/>
      <c r="Y216" s="15">
        <f t="shared" si="30"/>
        <v>0.75087374896076575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6"/>
        <v>2488.6058487056866</v>
      </c>
      <c r="AH216" s="17">
        <v>2298.5729702297758</v>
      </c>
      <c r="AI216" s="15">
        <f t="shared" si="31"/>
        <v>8.9717346082796645</v>
      </c>
      <c r="AJ216" s="17">
        <f t="shared" si="32"/>
        <v>0.75000000000000011</v>
      </c>
      <c r="AK216" s="15">
        <f t="shared" si="33"/>
        <v>0.75087374896076575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27"/>
        <v>9336</v>
      </c>
      <c r="M217" s="15"/>
      <c r="N217" s="15"/>
      <c r="O217" s="15"/>
      <c r="P217" s="15">
        <f t="shared" si="28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9"/>
        <v>6.482213404716564</v>
      </c>
      <c r="W217" s="15">
        <v>4.1299099999999997</v>
      </c>
      <c r="X217" s="15"/>
      <c r="Y217" s="15">
        <f t="shared" si="30"/>
        <v>0.63711416797771725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6"/>
        <v>2111.5747446451887</v>
      </c>
      <c r="AH217" s="17">
        <v>1789.5091191474298</v>
      </c>
      <c r="AI217" s="15">
        <f t="shared" si="31"/>
        <v>6.4822134047165632</v>
      </c>
      <c r="AJ217" s="17">
        <f t="shared" si="32"/>
        <v>1</v>
      </c>
      <c r="AK217" s="15">
        <f t="shared" si="33"/>
        <v>0.63711416797771725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27"/>
        <v>9336</v>
      </c>
      <c r="M218" s="15"/>
      <c r="N218" s="15"/>
      <c r="O218" s="15"/>
      <c r="P218" s="15">
        <f t="shared" si="28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9"/>
        <v>9.2987954997459799</v>
      </c>
      <c r="W218" s="15">
        <v>4.3860000000000001</v>
      </c>
      <c r="X218" s="15"/>
      <c r="Y218" s="15">
        <f t="shared" si="30"/>
        <v>0.47167399262838017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6"/>
        <v>1563.2596802883877</v>
      </c>
      <c r="AH218" s="17">
        <v>1247.4712451001726</v>
      </c>
      <c r="AI218" s="15">
        <f t="shared" si="31"/>
        <v>5.2568237321193845</v>
      </c>
      <c r="AJ218" s="17">
        <f t="shared" si="32"/>
        <v>1.33</v>
      </c>
      <c r="AK218" s="15">
        <f t="shared" si="33"/>
        <v>0.47167399262838017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27"/>
        <v>9336</v>
      </c>
      <c r="M219" s="15"/>
      <c r="N219" s="15"/>
      <c r="O219" s="15"/>
      <c r="P219" s="15">
        <f t="shared" si="28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9"/>
        <v>13.192555857592343</v>
      </c>
      <c r="W219" s="15">
        <v>4.2252999999999998</v>
      </c>
      <c r="X219" s="15"/>
      <c r="Y219" s="15">
        <f t="shared" si="30"/>
        <v>0.3202791063089061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6"/>
        <v>1061.4946364574812</v>
      </c>
      <c r="AH219" s="17">
        <v>879.28223501317882</v>
      </c>
      <c r="AI219" s="15">
        <f t="shared" si="31"/>
        <v>4.730379668540408</v>
      </c>
      <c r="AJ219" s="17">
        <f t="shared" si="32"/>
        <v>1.67</v>
      </c>
      <c r="AK219" s="15">
        <f t="shared" si="33"/>
        <v>0.3202791063089061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27"/>
        <v>9336</v>
      </c>
      <c r="M220" s="15"/>
      <c r="N220" s="15"/>
      <c r="O220" s="15"/>
      <c r="P220" s="15">
        <f t="shared" si="28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9"/>
        <v>17.84042932589146</v>
      </c>
      <c r="W220" s="15">
        <v>3.9297800000000001</v>
      </c>
      <c r="X220" s="15"/>
      <c r="Y220" s="15">
        <f t="shared" si="30"/>
        <v>0.22027384701425254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6"/>
        <v>730.04920568239686</v>
      </c>
      <c r="AH220" s="17">
        <v>650.20744669889643</v>
      </c>
      <c r="AI220" s="15">
        <f t="shared" si="31"/>
        <v>4.460107331472865</v>
      </c>
      <c r="AJ220" s="17">
        <f t="shared" si="32"/>
        <v>2</v>
      </c>
      <c r="AK220" s="15">
        <f t="shared" si="33"/>
        <v>0.22027384701425254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27"/>
        <v>9336</v>
      </c>
      <c r="M221" s="15"/>
      <c r="N221" s="15"/>
      <c r="O221" s="15"/>
      <c r="P221" s="15">
        <f t="shared" si="28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9"/>
        <v>26.421797868568685</v>
      </c>
      <c r="W221" s="15">
        <v>3.6853799999999999</v>
      </c>
      <c r="X221" s="15"/>
      <c r="Y221" s="15">
        <f t="shared" si="30"/>
        <v>0.13948255975359344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6"/>
        <v>462.28425814013974</v>
      </c>
      <c r="AH221" s="17">
        <v>439.03068435018616</v>
      </c>
      <c r="AI221" s="15">
        <f t="shared" si="31"/>
        <v>4.2274876589709898</v>
      </c>
      <c r="AJ221" s="17">
        <f t="shared" si="32"/>
        <v>2.5</v>
      </c>
      <c r="AK221" s="15">
        <f t="shared" si="33"/>
        <v>0.13948255975359344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7"/>
        <v>7955.9</v>
      </c>
      <c r="M222" s="15"/>
      <c r="N222" s="15"/>
      <c r="O222" s="15"/>
      <c r="P222" s="15">
        <f t="shared" si="28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9"/>
        <v>3.6875184446391605</v>
      </c>
      <c r="W222" s="15">
        <v>3.8313100000000002</v>
      </c>
      <c r="X222" s="15"/>
      <c r="Y222" s="15">
        <f t="shared" si="30"/>
        <v>1.0389941250517352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6"/>
        <v>2934.4773426221809</v>
      </c>
      <c r="AH222" s="17">
        <v>2680.7203539201037</v>
      </c>
      <c r="AI222" s="15">
        <f t="shared" si="31"/>
        <v>40.97242716265734</v>
      </c>
      <c r="AJ222" s="17">
        <f t="shared" si="32"/>
        <v>0.3</v>
      </c>
      <c r="AK222" s="15">
        <f t="shared" si="33"/>
        <v>1.0389941250517352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7"/>
        <v>7955.9</v>
      </c>
      <c r="M223" s="15"/>
      <c r="N223" s="15"/>
      <c r="O223" s="15"/>
      <c r="P223" s="15">
        <f t="shared" si="28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9"/>
        <v>4.1518828485211703</v>
      </c>
      <c r="W223" s="15">
        <v>3.7456800000000001</v>
      </c>
      <c r="X223" s="15"/>
      <c r="Y223" s="15">
        <f t="shared" si="30"/>
        <v>0.90216418349427829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6"/>
        <v>2548.0224497490558</v>
      </c>
      <c r="AH223" s="17">
        <v>2380.8970798684604</v>
      </c>
      <c r="AI223" s="15">
        <f t="shared" si="31"/>
        <v>16.607531394084681</v>
      </c>
      <c r="AJ223" s="17">
        <f t="shared" si="32"/>
        <v>0.5</v>
      </c>
      <c r="AK223" s="15">
        <f t="shared" si="33"/>
        <v>0.90216418349427829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7"/>
        <v>7955.9</v>
      </c>
      <c r="M224" s="15"/>
      <c r="N224" s="15"/>
      <c r="O224" s="15"/>
      <c r="P224" s="15">
        <f t="shared" si="28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9"/>
        <v>5.046600717157312</v>
      </c>
      <c r="W224" s="15">
        <v>3.7242799999999998</v>
      </c>
      <c r="X224" s="15"/>
      <c r="Y224" s="15">
        <f t="shared" si="30"/>
        <v>0.7379779397522539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6"/>
        <v>2084.3039352606097</v>
      </c>
      <c r="AH224" s="17">
        <v>1958.7849929146394</v>
      </c>
      <c r="AI224" s="15">
        <f t="shared" si="31"/>
        <v>8.9717346082796663</v>
      </c>
      <c r="AJ224" s="17">
        <f t="shared" si="32"/>
        <v>0.75</v>
      </c>
      <c r="AK224" s="15">
        <f t="shared" si="33"/>
        <v>0.7379779397522539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7"/>
        <v>7955.9</v>
      </c>
      <c r="M225" s="15"/>
      <c r="N225" s="15"/>
      <c r="O225" s="15"/>
      <c r="P225" s="15">
        <f t="shared" si="28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9"/>
        <v>6.4822134047165614</v>
      </c>
      <c r="W225" s="15">
        <v>4.1163499999999997</v>
      </c>
      <c r="X225" s="15"/>
      <c r="Y225" s="15">
        <f t="shared" si="30"/>
        <v>0.63502228991795895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6"/>
        <v>1793.5217119071929</v>
      </c>
      <c r="AH225" s="17">
        <v>1524.9738218750047</v>
      </c>
      <c r="AI225" s="15">
        <f t="shared" si="31"/>
        <v>6.4822134047165614</v>
      </c>
      <c r="AJ225" s="17">
        <f t="shared" si="32"/>
        <v>1</v>
      </c>
      <c r="AK225" s="15">
        <f t="shared" si="33"/>
        <v>0.63502228991795895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7"/>
        <v>7955.9</v>
      </c>
      <c r="M226" s="15"/>
      <c r="N226" s="15"/>
      <c r="O226" s="15"/>
      <c r="P226" s="15">
        <f t="shared" si="28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9"/>
        <v>9.2987954997459763</v>
      </c>
      <c r="W226" s="15">
        <v>4.3855899999999997</v>
      </c>
      <c r="X226" s="15"/>
      <c r="Y226" s="15">
        <f t="shared" si="30"/>
        <v>0.47162990089628326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6"/>
        <v>1332.0453166319626</v>
      </c>
      <c r="AH226" s="17">
        <v>1063.0630333003928</v>
      </c>
      <c r="AI226" s="15">
        <f t="shared" si="31"/>
        <v>5.2568237321193818</v>
      </c>
      <c r="AJ226" s="17">
        <f t="shared" si="32"/>
        <v>1.33</v>
      </c>
      <c r="AK226" s="15">
        <f t="shared" si="33"/>
        <v>0.47162990089628326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7"/>
        <v>7955.9</v>
      </c>
      <c r="M227" s="15"/>
      <c r="N227" s="15"/>
      <c r="O227" s="15"/>
      <c r="P227" s="15">
        <f t="shared" si="28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9"/>
        <v>13.192555857592346</v>
      </c>
      <c r="W227" s="15">
        <v>4.2241799999999996</v>
      </c>
      <c r="X227" s="15"/>
      <c r="Y227" s="15">
        <f t="shared" si="30"/>
        <v>0.32019420994673858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6"/>
        <v>904.33875579491644</v>
      </c>
      <c r="AH227" s="17">
        <v>749.30179236732522</v>
      </c>
      <c r="AI227" s="15">
        <f t="shared" si="31"/>
        <v>4.7303796685404089</v>
      </c>
      <c r="AJ227" s="17">
        <f t="shared" si="32"/>
        <v>1.67</v>
      </c>
      <c r="AK227" s="15">
        <f t="shared" si="33"/>
        <v>0.32019420994673858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7"/>
        <v>7955.9</v>
      </c>
      <c r="M228" s="15"/>
      <c r="N228" s="15"/>
      <c r="O228" s="15"/>
      <c r="P228" s="15">
        <f t="shared" si="28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9"/>
        <v>17.840429325891453</v>
      </c>
      <c r="W228" s="15">
        <v>3.9390900000000002</v>
      </c>
      <c r="X228" s="15"/>
      <c r="Y228" s="15">
        <f t="shared" si="30"/>
        <v>0.22079569544233327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6"/>
        <v>623.60310804622907</v>
      </c>
      <c r="AH228" s="17">
        <v>554.0901269485596</v>
      </c>
      <c r="AI228" s="15">
        <f t="shared" si="31"/>
        <v>4.4601073314728632</v>
      </c>
      <c r="AJ228" s="17">
        <f t="shared" si="32"/>
        <v>2</v>
      </c>
      <c r="AK228" s="15">
        <f t="shared" si="33"/>
        <v>0.22079569544233327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7"/>
        <v>7955.9</v>
      </c>
      <c r="M229" s="15"/>
      <c r="N229" s="15"/>
      <c r="O229" s="15"/>
      <c r="P229" s="15">
        <f t="shared" si="28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9"/>
        <v>26.421797868568685</v>
      </c>
      <c r="W229" s="15">
        <v>3.7016100000000001</v>
      </c>
      <c r="X229" s="15"/>
      <c r="Y229" s="15">
        <f t="shared" si="30"/>
        <v>0.14009682529603437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6"/>
        <v>395.68169799231555</v>
      </c>
      <c r="AH229" s="17">
        <v>374.13070068783702</v>
      </c>
      <c r="AI229" s="15">
        <f t="shared" si="31"/>
        <v>4.2274876589709898</v>
      </c>
      <c r="AJ229" s="17">
        <f t="shared" si="32"/>
        <v>2.5</v>
      </c>
      <c r="AK229" s="15">
        <f t="shared" si="33"/>
        <v>0.14009682529603437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27"/>
        <v>7023.4</v>
      </c>
      <c r="M230" s="15"/>
      <c r="N230" s="15"/>
      <c r="O230" s="15"/>
      <c r="P230" s="15">
        <f t="shared" si="28"/>
        <v>206655884.88333333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29"/>
        <v>3.6875184446391613</v>
      </c>
      <c r="W230" s="15">
        <v>3.81873</v>
      </c>
      <c r="X230" s="15"/>
      <c r="Y230" s="15">
        <f t="shared" si="30"/>
        <v>1.0355826166921527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26"/>
        <v>2582.0253872768617</v>
      </c>
      <c r="AH230" s="17">
        <v>2366.5168408002178</v>
      </c>
      <c r="AI230" s="15">
        <f t="shared" si="31"/>
        <v>40.972427162657354</v>
      </c>
      <c r="AJ230" s="17">
        <f t="shared" si="32"/>
        <v>0.3</v>
      </c>
      <c r="AK230" s="15">
        <f t="shared" si="33"/>
        <v>1.0355826166921527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27"/>
        <v>7023.4</v>
      </c>
      <c r="M231" s="15"/>
      <c r="N231" s="15"/>
      <c r="O231" s="15"/>
      <c r="P231" s="15">
        <f t="shared" si="28"/>
        <v>206655884.88333333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29"/>
        <v>4.1518828485211703</v>
      </c>
      <c r="W231" s="15">
        <v>3.7017899999999999</v>
      </c>
      <c r="X231" s="15"/>
      <c r="Y231" s="15">
        <f t="shared" si="30"/>
        <v>0.89159307597479887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6"/>
        <v>2223.0152574794974</v>
      </c>
      <c r="AH231" s="17">
        <v>2101.8354366882622</v>
      </c>
      <c r="AI231" s="15">
        <f t="shared" si="31"/>
        <v>16.607531394084685</v>
      </c>
      <c r="AJ231" s="17">
        <f t="shared" si="32"/>
        <v>0.49999999999999994</v>
      </c>
      <c r="AK231" s="15">
        <f t="shared" ref="AK231:AK262" si="34">W231/V231</f>
        <v>0.89159307597479887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27"/>
        <v>7023.4</v>
      </c>
      <c r="M232" s="15"/>
      <c r="N232" s="15"/>
      <c r="O232" s="15"/>
      <c r="P232" s="15">
        <f t="shared" si="28"/>
        <v>206655884.88333333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29"/>
        <v>5.0466007171573137</v>
      </c>
      <c r="W232" s="15">
        <v>3.6672899999999999</v>
      </c>
      <c r="X232" s="15"/>
      <c r="Y232" s="15">
        <f t="shared" si="30"/>
        <v>0.72668518980152996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6"/>
        <v>1811.8492705284834</v>
      </c>
      <c r="AH232" s="17">
        <v>1729.1985217557631</v>
      </c>
      <c r="AI232" s="15">
        <f t="shared" si="31"/>
        <v>8.9717346082796681</v>
      </c>
      <c r="AJ232" s="17">
        <f t="shared" si="32"/>
        <v>0.75</v>
      </c>
      <c r="AK232" s="15">
        <f t="shared" si="34"/>
        <v>0.72668518980152996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27"/>
        <v>7023.4</v>
      </c>
      <c r="M233" s="15"/>
      <c r="N233" s="15"/>
      <c r="O233" s="15"/>
      <c r="P233" s="15">
        <f t="shared" si="28"/>
        <v>206655884.88333333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29"/>
        <v>6.4822134047165623</v>
      </c>
      <c r="W233" s="15">
        <v>4.1074799999999998</v>
      </c>
      <c r="X233" s="15"/>
      <c r="Y233" s="15">
        <f t="shared" si="30"/>
        <v>0.63365393015468008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6"/>
        <v>1579.893779632175</v>
      </c>
      <c r="AH233" s="17">
        <v>1346.2337561503921</v>
      </c>
      <c r="AI233" s="15">
        <f t="shared" si="31"/>
        <v>6.4822134047165632</v>
      </c>
      <c r="AJ233" s="17">
        <f t="shared" si="32"/>
        <v>1</v>
      </c>
      <c r="AK233" s="15">
        <f t="shared" si="34"/>
        <v>0.63365393015468008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27"/>
        <v>7023.4</v>
      </c>
      <c r="M234" s="15"/>
      <c r="N234" s="15"/>
      <c r="O234" s="15"/>
      <c r="P234" s="15">
        <f t="shared" si="28"/>
        <v>206655884.88333333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29"/>
        <v>9.2987954997459781</v>
      </c>
      <c r="W234" s="15">
        <v>4.3851100000000001</v>
      </c>
      <c r="X234" s="15"/>
      <c r="Y234" s="15">
        <f t="shared" si="30"/>
        <v>0.47157828130748669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6"/>
        <v>1175.7894298319259</v>
      </c>
      <c r="AH234" s="17">
        <v>938.46289019243318</v>
      </c>
      <c r="AI234" s="15">
        <f t="shared" si="31"/>
        <v>5.2568237321193845</v>
      </c>
      <c r="AJ234" s="17">
        <f t="shared" si="32"/>
        <v>1.3299999999999998</v>
      </c>
      <c r="AK234" s="15">
        <f t="shared" si="34"/>
        <v>0.47157828130748669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27"/>
        <v>7023.4</v>
      </c>
      <c r="M235" s="15"/>
      <c r="N235" s="15"/>
      <c r="O235" s="15"/>
      <c r="P235" s="15">
        <f t="shared" si="28"/>
        <v>206655884.88333333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29"/>
        <v>13.192555857592346</v>
      </c>
      <c r="W235" s="15">
        <v>4.2218</v>
      </c>
      <c r="X235" s="15"/>
      <c r="Y235" s="15">
        <f t="shared" si="30"/>
        <v>0.32001380517713285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6"/>
        <v>797.89266054478162</v>
      </c>
      <c r="AH235" s="17">
        <v>661.47716895796475</v>
      </c>
      <c r="AI235" s="15">
        <f t="shared" si="31"/>
        <v>4.7303796685404098</v>
      </c>
      <c r="AJ235" s="17">
        <f t="shared" si="32"/>
        <v>1.67</v>
      </c>
      <c r="AK235" s="15">
        <f t="shared" si="34"/>
        <v>0.32001380517713285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27"/>
        <v>7023.4</v>
      </c>
      <c r="M236" s="15"/>
      <c r="N236" s="15"/>
      <c r="O236" s="15"/>
      <c r="P236" s="15">
        <f t="shared" si="28"/>
        <v>206655884.88333333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29"/>
        <v>17.840429325891449</v>
      </c>
      <c r="W236" s="15">
        <v>3.94509</v>
      </c>
      <c r="X236" s="15"/>
      <c r="Y236" s="15">
        <f t="shared" si="30"/>
        <v>0.22113201021875475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6"/>
        <v>551.34998900249275</v>
      </c>
      <c r="AH236" s="17">
        <v>489.14599198211556</v>
      </c>
      <c r="AI236" s="15">
        <f t="shared" si="31"/>
        <v>4.4601073314728632</v>
      </c>
      <c r="AJ236" s="17">
        <f t="shared" si="32"/>
        <v>1.9999999999999998</v>
      </c>
      <c r="AK236" s="15">
        <f t="shared" si="34"/>
        <v>0.22113201021875475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27"/>
        <v>7023.4</v>
      </c>
      <c r="M237" s="15"/>
      <c r="N237" s="15"/>
      <c r="O237" s="15"/>
      <c r="P237" s="15">
        <f t="shared" si="28"/>
        <v>206655884.88333333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29"/>
        <v>26.421797868568689</v>
      </c>
      <c r="W237" s="15">
        <v>3.7131099999999999</v>
      </c>
      <c r="X237" s="15"/>
      <c r="Y237" s="15">
        <f t="shared" si="30"/>
        <v>0.14053207198353096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6"/>
        <v>350.38959880104164</v>
      </c>
      <c r="AH237" s="17">
        <v>330.2793603754389</v>
      </c>
      <c r="AI237" s="15">
        <f t="shared" si="31"/>
        <v>4.2274876589709907</v>
      </c>
      <c r="AJ237" s="17">
        <f t="shared" si="32"/>
        <v>2.5</v>
      </c>
      <c r="AK237" s="15">
        <f t="shared" si="34"/>
        <v>0.14053207198353096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7"/>
        <v>6456.4400000000005</v>
      </c>
      <c r="M238" s="15"/>
      <c r="N238" s="15"/>
      <c r="O238" s="15"/>
      <c r="P238" s="15">
        <f t="shared" si="28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9"/>
        <v>3.6875184446391609</v>
      </c>
      <c r="W238" s="15">
        <v>3.8020399999999999</v>
      </c>
      <c r="X238" s="15"/>
      <c r="Y238" s="15">
        <f t="shared" si="30"/>
        <v>1.0310565376363956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6"/>
        <v>2363.2189085092814</v>
      </c>
      <c r="AH238" s="17">
        <v>2175.4811048233278</v>
      </c>
      <c r="AI238" s="15">
        <f t="shared" si="31"/>
        <v>40.97242716265734</v>
      </c>
      <c r="AJ238" s="17">
        <f t="shared" si="32"/>
        <v>0.30000000000000004</v>
      </c>
      <c r="AK238" s="15">
        <f t="shared" si="34"/>
        <v>1.0310565376363956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7"/>
        <v>6456.4400000000005</v>
      </c>
      <c r="M239" s="15"/>
      <c r="N239" s="15"/>
      <c r="O239" s="15"/>
      <c r="P239" s="15">
        <f t="shared" si="28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9"/>
        <v>4.1518828485211703</v>
      </c>
      <c r="W239" s="15">
        <v>3.6684199999999998</v>
      </c>
      <c r="X239" s="15"/>
      <c r="Y239" s="15">
        <f t="shared" si="30"/>
        <v>0.88355575863770541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6"/>
        <v>2025.1417835160837</v>
      </c>
      <c r="AH239" s="17">
        <v>1932.165957634702</v>
      </c>
      <c r="AI239" s="15">
        <f t="shared" si="31"/>
        <v>16.607531394084681</v>
      </c>
      <c r="AJ239" s="17">
        <f t="shared" si="32"/>
        <v>0.5</v>
      </c>
      <c r="AK239" s="15">
        <f t="shared" si="34"/>
        <v>0.88355575863770541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7"/>
        <v>6456.4400000000005</v>
      </c>
      <c r="M240" s="15"/>
      <c r="N240" s="15"/>
      <c r="O240" s="15"/>
      <c r="P240" s="15">
        <f t="shared" si="28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9"/>
        <v>5.046600717157312</v>
      </c>
      <c r="W240" s="15">
        <v>3.6254400000000002</v>
      </c>
      <c r="X240" s="15"/>
      <c r="Y240" s="15">
        <f t="shared" si="30"/>
        <v>0.71839247905512249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6"/>
        <v>1646.5815678020824</v>
      </c>
      <c r="AH240" s="17">
        <v>1589.6099472911669</v>
      </c>
      <c r="AI240" s="15">
        <f t="shared" si="31"/>
        <v>8.9717346082796681</v>
      </c>
      <c r="AJ240" s="17">
        <f t="shared" si="32"/>
        <v>0.74999999999999989</v>
      </c>
      <c r="AK240" s="15">
        <f t="shared" si="34"/>
        <v>0.71839247905512249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7"/>
        <v>6456.4400000000005</v>
      </c>
      <c r="M241" s="15"/>
      <c r="N241" s="15"/>
      <c r="O241" s="15"/>
      <c r="P241" s="15">
        <f t="shared" si="28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9"/>
        <v>6.4822134047165605</v>
      </c>
      <c r="W241" s="15">
        <v>4.1016000000000004</v>
      </c>
      <c r="X241" s="15"/>
      <c r="Y241" s="15">
        <f t="shared" si="30"/>
        <v>0.63274683258894437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6"/>
        <v>1450.2786457292002</v>
      </c>
      <c r="AH241" s="17">
        <v>1237.5597961898284</v>
      </c>
      <c r="AI241" s="15">
        <f t="shared" si="31"/>
        <v>6.4822134047165605</v>
      </c>
      <c r="AJ241" s="17">
        <f t="shared" si="32"/>
        <v>1</v>
      </c>
      <c r="AK241" s="15">
        <f t="shared" si="34"/>
        <v>0.63274683258894437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7"/>
        <v>6456.4400000000005</v>
      </c>
      <c r="M242" s="15"/>
      <c r="N242" s="15"/>
      <c r="O242" s="15"/>
      <c r="P242" s="15">
        <f t="shared" si="28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9"/>
        <v>9.2987954997459763</v>
      </c>
      <c r="W242" s="15">
        <v>4.38232</v>
      </c>
      <c r="X242" s="15"/>
      <c r="Y242" s="15">
        <f t="shared" si="30"/>
        <v>0.47127824244760685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6"/>
        <v>1080.1867919622916</v>
      </c>
      <c r="AH242" s="17">
        <v>862.70600318279378</v>
      </c>
      <c r="AI242" s="15">
        <f t="shared" si="31"/>
        <v>5.2568237321193818</v>
      </c>
      <c r="AJ242" s="17">
        <f t="shared" si="32"/>
        <v>1.33</v>
      </c>
      <c r="AK242" s="15">
        <f t="shared" si="34"/>
        <v>0.47127824244760685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7"/>
        <v>6456.4400000000005</v>
      </c>
      <c r="M243" s="15"/>
      <c r="N243" s="15"/>
      <c r="O243" s="15"/>
      <c r="P243" s="15">
        <f t="shared" si="28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9"/>
        <v>13.192555857592346</v>
      </c>
      <c r="W243" s="15">
        <v>4.2182500000000003</v>
      </c>
      <c r="X243" s="15"/>
      <c r="Y243" s="15">
        <f t="shared" si="30"/>
        <v>0.31974471402919152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6"/>
        <v>732.86645931355486</v>
      </c>
      <c r="AH243" s="17">
        <v>608.07979792507365</v>
      </c>
      <c r="AI243" s="15">
        <f t="shared" si="31"/>
        <v>4.7303796685404098</v>
      </c>
      <c r="AJ243" s="17">
        <f t="shared" si="32"/>
        <v>1.67</v>
      </c>
      <c r="AK243" s="15">
        <f t="shared" si="34"/>
        <v>0.31974471402919152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7"/>
        <v>6456.4400000000005</v>
      </c>
      <c r="M244" s="15"/>
      <c r="N244" s="15"/>
      <c r="O244" s="15"/>
      <c r="P244" s="15">
        <f t="shared" si="28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9"/>
        <v>17.840429325891453</v>
      </c>
      <c r="W244" s="15">
        <v>3.94746</v>
      </c>
      <c r="X244" s="15"/>
      <c r="Y244" s="15">
        <f t="shared" si="30"/>
        <v>0.22126485455544118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6"/>
        <v>507.14705642880614</v>
      </c>
      <c r="AH244" s="17">
        <v>449.65995792251766</v>
      </c>
      <c r="AI244" s="15">
        <f t="shared" si="31"/>
        <v>4.4601073314728632</v>
      </c>
      <c r="AJ244" s="17">
        <f t="shared" si="32"/>
        <v>2</v>
      </c>
      <c r="AK244" s="15">
        <f t="shared" si="34"/>
        <v>0.22126485455544118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27"/>
        <v>6456.4400000000005</v>
      </c>
      <c r="M245" s="25"/>
      <c r="N245" s="25"/>
      <c r="O245" s="25"/>
      <c r="P245" s="25">
        <f t="shared" si="28"/>
        <v>200082503.39666668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29"/>
        <v>26.421797868568685</v>
      </c>
      <c r="W245" s="25">
        <v>3.7196199999999999</v>
      </c>
      <c r="X245" s="25"/>
      <c r="Y245" s="25">
        <f t="shared" si="30"/>
        <v>0.14077845945619211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6"/>
        <v>322.6693252538247</v>
      </c>
      <c r="AH245" s="47">
        <v>303.61774546550089</v>
      </c>
      <c r="AI245" s="25">
        <f t="shared" si="31"/>
        <v>4.2274876589709898</v>
      </c>
      <c r="AJ245" s="47">
        <f t="shared" si="32"/>
        <v>2.5</v>
      </c>
      <c r="AK245" s="25">
        <f t="shared" si="34"/>
        <v>0.14077845945619211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27"/>
        <v>18131.148799999999</v>
      </c>
      <c r="M246" s="15"/>
      <c r="N246" s="15"/>
      <c r="O246" s="15"/>
      <c r="P246" s="15">
        <f t="shared" si="28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9"/>
        <v>3.6875184446391609</v>
      </c>
      <c r="W246" s="15">
        <v>3.8124899999999999</v>
      </c>
      <c r="X246" s="15"/>
      <c r="Y246" s="15">
        <f t="shared" si="30"/>
        <v>1.0338904217665732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26"/>
        <v>6654.6954833802956</v>
      </c>
      <c r="AH246" s="17">
        <v>6109.2446647285724</v>
      </c>
      <c r="AI246" s="15">
        <f t="shared" si="31"/>
        <v>40.97242716265734</v>
      </c>
      <c r="AJ246" s="17">
        <f t="shared" si="32"/>
        <v>0.30000000000000004</v>
      </c>
      <c r="AK246" s="15">
        <f t="shared" si="34"/>
        <v>1.0338904217665732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27"/>
        <v>18131.148799999999</v>
      </c>
      <c r="M247" s="15"/>
      <c r="N247" s="15"/>
      <c r="O247" s="15"/>
      <c r="P247" s="15">
        <f t="shared" si="28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9"/>
        <v>4.1518828485211712</v>
      </c>
      <c r="W247" s="15">
        <v>3.7187700000000001</v>
      </c>
      <c r="X247" s="15"/>
      <c r="Y247" s="15">
        <f t="shared" si="30"/>
        <v>0.89568278674446744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6"/>
        <v>5765.1140488422261</v>
      </c>
      <c r="AH247" s="17">
        <v>5425.9605113916132</v>
      </c>
      <c r="AI247" s="15">
        <f t="shared" si="31"/>
        <v>16.607531394084685</v>
      </c>
      <c r="AJ247" s="17">
        <f t="shared" si="32"/>
        <v>0.5</v>
      </c>
      <c r="AK247" s="15">
        <f t="shared" si="34"/>
        <v>0.89568278674446744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27"/>
        <v>18131.148799999999</v>
      </c>
      <c r="M248" s="15"/>
      <c r="N248" s="15"/>
      <c r="O248" s="15"/>
      <c r="P248" s="15">
        <f t="shared" si="28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9"/>
        <v>5.0466007171573128</v>
      </c>
      <c r="W248" s="15">
        <v>3.6337199999999998</v>
      </c>
      <c r="X248" s="15"/>
      <c r="Y248" s="15">
        <f t="shared" si="30"/>
        <v>0.72003318741785238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6"/>
        <v>4634.5352460140357</v>
      </c>
      <c r="AH248" s="17">
        <v>4463.9854917410057</v>
      </c>
      <c r="AI248" s="15">
        <f t="shared" si="31"/>
        <v>8.9717346082796663</v>
      </c>
      <c r="AJ248" s="17">
        <f t="shared" si="32"/>
        <v>0.75000000000000011</v>
      </c>
      <c r="AK248" s="15">
        <f t="shared" si="34"/>
        <v>0.72003318741785238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27"/>
        <v>18131.148799999999</v>
      </c>
      <c r="M249" s="15"/>
      <c r="N249" s="15"/>
      <c r="O249" s="15"/>
      <c r="P249" s="15">
        <f t="shared" si="28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9"/>
        <v>6.4822134047165623</v>
      </c>
      <c r="W249" s="15">
        <v>4.1364299999999998</v>
      </c>
      <c r="X249" s="15"/>
      <c r="Y249" s="15">
        <f t="shared" si="30"/>
        <v>0.63811999725128876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6"/>
        <v>4107.2962609586411</v>
      </c>
      <c r="AH249" s="17">
        <v>3475.34877016056</v>
      </c>
      <c r="AI249" s="15">
        <f t="shared" si="31"/>
        <v>6.4822134047165632</v>
      </c>
      <c r="AJ249" s="17">
        <f t="shared" si="32"/>
        <v>1</v>
      </c>
      <c r="AK249" s="15">
        <f t="shared" si="34"/>
        <v>0.63811999725128876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27"/>
        <v>18131.148799999999</v>
      </c>
      <c r="M250" s="15"/>
      <c r="N250" s="15"/>
      <c r="O250" s="15"/>
      <c r="P250" s="15">
        <f t="shared" si="28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9"/>
        <v>9.2987954997459781</v>
      </c>
      <c r="W250" s="15">
        <v>4.4176000000000002</v>
      </c>
      <c r="X250" s="15"/>
      <c r="Y250" s="15">
        <f t="shared" si="30"/>
        <v>0.47507228222415249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6"/>
        <v>3057.8302151154048</v>
      </c>
      <c r="AH250" s="17">
        <v>2422.6742468543816</v>
      </c>
      <c r="AI250" s="15">
        <f t="shared" si="31"/>
        <v>5.2568237321193836</v>
      </c>
      <c r="AJ250" s="17">
        <f t="shared" si="32"/>
        <v>1.33</v>
      </c>
      <c r="AK250" s="15">
        <f t="shared" si="34"/>
        <v>0.47507228222415249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27"/>
        <v>18131.148799999999</v>
      </c>
      <c r="M251" s="15"/>
      <c r="N251" s="15"/>
      <c r="O251" s="15"/>
      <c r="P251" s="15">
        <f t="shared" si="28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9"/>
        <v>13.192555857592346</v>
      </c>
      <c r="W251" s="15">
        <v>4.2557099999999997</v>
      </c>
      <c r="X251" s="15"/>
      <c r="Y251" s="15">
        <f t="shared" si="30"/>
        <v>0.32258419414239803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6"/>
        <v>2076.3318187059872</v>
      </c>
      <c r="AH251" s="17">
        <v>1707.6260754306461</v>
      </c>
      <c r="AI251" s="15">
        <f t="shared" si="31"/>
        <v>4.7303796685404098</v>
      </c>
      <c r="AJ251" s="17">
        <f t="shared" si="32"/>
        <v>1.67</v>
      </c>
      <c r="AK251" s="15">
        <f t="shared" si="34"/>
        <v>0.32258419414239803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27"/>
        <v>18131.148799999999</v>
      </c>
      <c r="M252" s="15"/>
      <c r="N252" s="15"/>
      <c r="O252" s="15"/>
      <c r="P252" s="15">
        <f t="shared" si="28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9"/>
        <v>17.840429325891449</v>
      </c>
      <c r="W252" s="15">
        <v>3.98861</v>
      </c>
      <c r="X252" s="15"/>
      <c r="Y252" s="15">
        <f t="shared" si="30"/>
        <v>0.22357141339706507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6"/>
        <v>1439.0303301236174</v>
      </c>
      <c r="AH252" s="17">
        <v>1262.7472115430339</v>
      </c>
      <c r="AI252" s="15">
        <f t="shared" si="31"/>
        <v>4.4601073314728632</v>
      </c>
      <c r="AJ252" s="17">
        <f t="shared" si="32"/>
        <v>1.9999999999999998</v>
      </c>
      <c r="AK252" s="15">
        <f t="shared" si="34"/>
        <v>0.22357141339706507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27"/>
        <v>18131.148799999999</v>
      </c>
      <c r="M253" s="15"/>
      <c r="N253" s="15"/>
      <c r="O253" s="15"/>
      <c r="P253" s="15">
        <f t="shared" si="28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9"/>
        <v>26.421797868568689</v>
      </c>
      <c r="W253" s="15">
        <v>3.7609900000000001</v>
      </c>
      <c r="X253" s="15"/>
      <c r="Y253" s="15">
        <f t="shared" si="30"/>
        <v>0.14234421210503867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6"/>
        <v>916.20675212580227</v>
      </c>
      <c r="AH253" s="17">
        <v>852.62753488850217</v>
      </c>
      <c r="AI253" s="15">
        <f t="shared" si="31"/>
        <v>4.2274876589709898</v>
      </c>
      <c r="AJ253" s="17">
        <f t="shared" si="32"/>
        <v>2.5</v>
      </c>
      <c r="AK253" s="15">
        <f t="shared" si="34"/>
        <v>0.14234421210503867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7"/>
        <v>12891.42</v>
      </c>
      <c r="M254" s="15"/>
      <c r="N254" s="15"/>
      <c r="O254" s="15"/>
      <c r="P254" s="15">
        <f t="shared" si="28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9"/>
        <v>3.6875184446391605</v>
      </c>
      <c r="W254" s="15">
        <v>3.8402500000000002</v>
      </c>
      <c r="X254" s="15"/>
      <c r="Y254" s="15">
        <f t="shared" si="30"/>
        <v>1.0414185197047292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6"/>
        <v>4766.0040543186387</v>
      </c>
      <c r="AH254" s="17">
        <v>4343.7313170015586</v>
      </c>
      <c r="AI254" s="15">
        <f t="shared" si="31"/>
        <v>40.972427162657333</v>
      </c>
      <c r="AJ254" s="17">
        <f t="shared" si="32"/>
        <v>0.30000000000000004</v>
      </c>
      <c r="AK254" s="15">
        <f t="shared" si="34"/>
        <v>1.0414185197047292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7"/>
        <v>12891.42</v>
      </c>
      <c r="M255" s="15"/>
      <c r="N255" s="15"/>
      <c r="O255" s="15"/>
      <c r="P255" s="15">
        <f t="shared" si="28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9"/>
        <v>4.1518828485211694</v>
      </c>
      <c r="W255" s="15">
        <v>3.7458999999999998</v>
      </c>
      <c r="X255" s="15"/>
      <c r="Y255" s="15">
        <f t="shared" si="30"/>
        <v>0.90221717150189484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6"/>
        <v>4128.95547361025</v>
      </c>
      <c r="AH255" s="17">
        <v>3857.9097567035624</v>
      </c>
      <c r="AI255" s="15">
        <f t="shared" si="31"/>
        <v>16.607531394084674</v>
      </c>
      <c r="AJ255" s="17">
        <f t="shared" si="32"/>
        <v>0.5</v>
      </c>
      <c r="AK255" s="15">
        <f t="shared" si="34"/>
        <v>0.90221717150189484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7"/>
        <v>12891.42</v>
      </c>
      <c r="M256" s="15"/>
      <c r="N256" s="15"/>
      <c r="O256" s="15"/>
      <c r="P256" s="15">
        <f t="shared" si="28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9"/>
        <v>5.0466007171573111</v>
      </c>
      <c r="W256" s="15">
        <v>3.6374900000000001</v>
      </c>
      <c r="X256" s="15"/>
      <c r="Y256" s="15">
        <f t="shared" si="30"/>
        <v>0.72078022492117311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6"/>
        <v>3298.6176155394246</v>
      </c>
      <c r="AH256" s="17">
        <v>3173.9363281790424</v>
      </c>
      <c r="AI256" s="15">
        <f t="shared" si="31"/>
        <v>8.9717346082796627</v>
      </c>
      <c r="AJ256" s="17">
        <f t="shared" si="32"/>
        <v>0.75000000000000011</v>
      </c>
      <c r="AK256" s="15">
        <f t="shared" si="34"/>
        <v>0.72078022492117311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7"/>
        <v>12891.42</v>
      </c>
      <c r="M257" s="15"/>
      <c r="N257" s="15"/>
      <c r="O257" s="15"/>
      <c r="P257" s="15">
        <f t="shared" si="28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9"/>
        <v>6.4822134047165605</v>
      </c>
      <c r="W257" s="15">
        <v>4.13056</v>
      </c>
      <c r="X257" s="15"/>
      <c r="Y257" s="15">
        <f t="shared" si="30"/>
        <v>0.63721444236848779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6"/>
        <v>2916.1826473564797</v>
      </c>
      <c r="AH257" s="17">
        <v>2471.0061748885573</v>
      </c>
      <c r="AI257" s="15">
        <f t="shared" si="31"/>
        <v>6.4822134047165587</v>
      </c>
      <c r="AJ257" s="17">
        <f t="shared" si="32"/>
        <v>1</v>
      </c>
      <c r="AK257" s="15">
        <f t="shared" si="34"/>
        <v>0.63721444236848779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7"/>
        <v>12891.42</v>
      </c>
      <c r="M258" s="15"/>
      <c r="N258" s="15"/>
      <c r="O258" s="15"/>
      <c r="P258" s="15">
        <f t="shared" si="28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9"/>
        <v>9.2987954997459763</v>
      </c>
      <c r="W258" s="15">
        <v>4.41153</v>
      </c>
      <c r="X258" s="15"/>
      <c r="Y258" s="15">
        <f t="shared" si="30"/>
        <v>0.47441950950749628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6"/>
        <v>2171.1591094055702</v>
      </c>
      <c r="AH258" s="17">
        <v>1722.544532830899</v>
      </c>
      <c r="AI258" s="15">
        <f t="shared" si="31"/>
        <v>5.2568237321193818</v>
      </c>
      <c r="AJ258" s="17">
        <f t="shared" si="32"/>
        <v>1.33</v>
      </c>
      <c r="AK258" s="15">
        <f t="shared" si="34"/>
        <v>0.47441950950749628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7"/>
        <v>12891.42</v>
      </c>
      <c r="M259" s="15"/>
      <c r="N259" s="15"/>
      <c r="O259" s="15"/>
      <c r="P259" s="15">
        <f t="shared" si="28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9"/>
        <v>13.192555857592341</v>
      </c>
      <c r="W259" s="15">
        <v>4.2466999999999997</v>
      </c>
      <c r="X259" s="15"/>
      <c r="Y259" s="15">
        <f t="shared" si="30"/>
        <v>0.32190123322889064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6"/>
        <v>1473.1662186054127</v>
      </c>
      <c r="AH259" s="17">
        <v>1214.1384522379599</v>
      </c>
      <c r="AI259" s="15">
        <f t="shared" si="31"/>
        <v>4.7303796685404071</v>
      </c>
      <c r="AJ259" s="17">
        <f t="shared" si="32"/>
        <v>1.67</v>
      </c>
      <c r="AK259" s="15">
        <f t="shared" si="34"/>
        <v>0.32190123322889064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7"/>
        <v>12891.42</v>
      </c>
      <c r="M260" s="15"/>
      <c r="N260" s="15"/>
      <c r="O260" s="15"/>
      <c r="P260" s="15">
        <f t="shared" si="28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9"/>
        <v>17.840429325891449</v>
      </c>
      <c r="W260" s="15">
        <v>3.9796999999999998</v>
      </c>
      <c r="X260" s="15"/>
      <c r="Y260" s="15">
        <f t="shared" si="30"/>
        <v>0.22307198595407918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6"/>
        <v>1020.878704714688</v>
      </c>
      <c r="AH260" s="17">
        <v>897.82533017599519</v>
      </c>
      <c r="AI260" s="15">
        <f t="shared" si="31"/>
        <v>4.4601073314728614</v>
      </c>
      <c r="AJ260" s="17">
        <f t="shared" si="32"/>
        <v>2</v>
      </c>
      <c r="AK260" s="15">
        <f t="shared" si="34"/>
        <v>0.22307198595407918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7"/>
        <v>12891.42</v>
      </c>
      <c r="M261" s="15"/>
      <c r="N261" s="15"/>
      <c r="O261" s="15"/>
      <c r="P261" s="15">
        <f t="shared" si="28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9"/>
        <v>26.421797868568678</v>
      </c>
      <c r="W261" s="15">
        <v>3.7533099999999999</v>
      </c>
      <c r="X261" s="15"/>
      <c r="Y261" s="15">
        <f t="shared" si="30"/>
        <v>0.14205354301286707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6"/>
        <v>650.10151934076168</v>
      </c>
      <c r="AH261" s="17">
        <v>606.22632228424141</v>
      </c>
      <c r="AI261" s="15">
        <f t="shared" si="31"/>
        <v>4.227487658970988</v>
      </c>
      <c r="AJ261" s="17">
        <f t="shared" si="32"/>
        <v>2.5</v>
      </c>
      <c r="AK261" s="15">
        <f t="shared" si="34"/>
        <v>0.14205354301286707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7"/>
        <v>10789.875</v>
      </c>
      <c r="M262" s="15"/>
      <c r="N262" s="15"/>
      <c r="O262" s="15"/>
      <c r="P262" s="15">
        <f t="shared" si="28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9"/>
        <v>3.6875184446391609</v>
      </c>
      <c r="W262" s="15">
        <v>3.85961</v>
      </c>
      <c r="X262" s="15"/>
      <c r="Y262" s="15">
        <f t="shared" si="30"/>
        <v>1.0466686629353739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ref="AG262:AG293" si="35">W262*S262</f>
        <v>4009.165534018885</v>
      </c>
      <c r="AH262" s="17">
        <v>3635.621052144154</v>
      </c>
      <c r="AI262" s="15">
        <f t="shared" si="31"/>
        <v>40.97242716265734</v>
      </c>
      <c r="AJ262" s="17">
        <f t="shared" si="32"/>
        <v>0.30000000000000004</v>
      </c>
      <c r="AK262" s="15">
        <f t="shared" si="34"/>
        <v>1.0466686629353739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6">2*C263*F263+(E263-2*F263)*H263</f>
        <v>10789.875</v>
      </c>
      <c r="M263" s="15"/>
      <c r="N263" s="15"/>
      <c r="O263" s="15"/>
      <c r="P263" s="15">
        <f t="shared" ref="P263:P293" si="37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38">L263*T263/(S263*1000)</f>
        <v>4.1518828485211712</v>
      </c>
      <c r="W263" s="15">
        <v>3.7637399999999999</v>
      </c>
      <c r="X263" s="15"/>
      <c r="Y263" s="15">
        <f t="shared" ref="Y263:Y293" si="39">AK263</f>
        <v>0.90651401721042757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35"/>
        <v>3472.3163906641685</v>
      </c>
      <c r="AH263" s="17">
        <v>3228.9975841382748</v>
      </c>
      <c r="AI263" s="15">
        <f t="shared" ref="AI263:AI293" si="40">(PI()^2*U263*P263/K263^2)/(S263*1000)</f>
        <v>16.607531394084681</v>
      </c>
      <c r="AJ263" s="17">
        <f t="shared" ref="AJ263:AJ293" si="41">(V263/AI263)^0.5</f>
        <v>0.5</v>
      </c>
      <c r="AK263" s="15">
        <f t="shared" ref="AK263:AK293" si="42">W263/V263</f>
        <v>0.90651401721042757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6"/>
        <v>10789.875</v>
      </c>
      <c r="M264" s="15"/>
      <c r="N264" s="15"/>
      <c r="O264" s="15"/>
      <c r="P264" s="15">
        <f t="shared" si="37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38"/>
        <v>5.046600717157312</v>
      </c>
      <c r="W264" s="15">
        <v>3.6415899999999999</v>
      </c>
      <c r="X264" s="15"/>
      <c r="Y264" s="15">
        <f t="shared" si="39"/>
        <v>0.72159265297518183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5"/>
        <v>2763.9925569148095</v>
      </c>
      <c r="AH264" s="17">
        <v>2656.5247458395461</v>
      </c>
      <c r="AI264" s="15">
        <f t="shared" si="40"/>
        <v>8.9717346082796645</v>
      </c>
      <c r="AJ264" s="17">
        <f t="shared" si="41"/>
        <v>0.75000000000000011</v>
      </c>
      <c r="AK264" s="15">
        <f t="shared" si="42"/>
        <v>0.72159265297518183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6"/>
        <v>10789.875</v>
      </c>
      <c r="M265" s="15"/>
      <c r="N265" s="15"/>
      <c r="O265" s="15"/>
      <c r="P265" s="15">
        <f t="shared" si="37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38"/>
        <v>6.4822134047165623</v>
      </c>
      <c r="W265" s="15">
        <v>4.1323100000000004</v>
      </c>
      <c r="X265" s="15"/>
      <c r="Y265" s="15">
        <f t="shared" si="39"/>
        <v>0.63748441188209959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5"/>
        <v>2441.8238771230112</v>
      </c>
      <c r="AH265" s="17">
        <v>2068.1854870352267</v>
      </c>
      <c r="AI265" s="15">
        <f t="shared" si="40"/>
        <v>6.4822134047165605</v>
      </c>
      <c r="AJ265" s="17">
        <f t="shared" si="41"/>
        <v>1</v>
      </c>
      <c r="AK265" s="15">
        <f t="shared" si="42"/>
        <v>0.63748441188209959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6"/>
        <v>10789.875</v>
      </c>
      <c r="M266" s="15"/>
      <c r="N266" s="15"/>
      <c r="O266" s="15"/>
      <c r="P266" s="15">
        <f t="shared" si="37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38"/>
        <v>9.2987954997459763</v>
      </c>
      <c r="W266" s="15">
        <v>4.4120100000000004</v>
      </c>
      <c r="X266" s="15"/>
      <c r="Y266" s="15">
        <f t="shared" si="39"/>
        <v>0.47447112909629291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5"/>
        <v>1817.4168817905413</v>
      </c>
      <c r="AH266" s="17">
        <v>1441.7372322970468</v>
      </c>
      <c r="AI266" s="15">
        <f t="shared" si="40"/>
        <v>5.2568237321193809</v>
      </c>
      <c r="AJ266" s="17">
        <f t="shared" si="41"/>
        <v>1.3300000000000003</v>
      </c>
      <c r="AK266" s="15">
        <f t="shared" si="42"/>
        <v>0.47447112909629291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6"/>
        <v>10789.875</v>
      </c>
      <c r="M267" s="15"/>
      <c r="N267" s="15"/>
      <c r="O267" s="15"/>
      <c r="P267" s="15">
        <f t="shared" si="37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38"/>
        <v>13.192555857592344</v>
      </c>
      <c r="W267" s="15">
        <v>4.2454799999999997</v>
      </c>
      <c r="X267" s="15"/>
      <c r="Y267" s="15">
        <f t="shared" si="39"/>
        <v>0.32180875683438676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5"/>
        <v>1232.6580723526924</v>
      </c>
      <c r="AH267" s="17">
        <v>1016.210947462813</v>
      </c>
      <c r="AI267" s="15">
        <f t="shared" si="40"/>
        <v>4.7303796685404089</v>
      </c>
      <c r="AJ267" s="17">
        <f t="shared" si="41"/>
        <v>1.67</v>
      </c>
      <c r="AK267" s="15">
        <f t="shared" si="42"/>
        <v>0.32180875683438676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6"/>
        <v>10789.875</v>
      </c>
      <c r="M268" s="15"/>
      <c r="N268" s="15"/>
      <c r="O268" s="15"/>
      <c r="P268" s="15">
        <f t="shared" si="37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38"/>
        <v>17.840429325891456</v>
      </c>
      <c r="W268" s="15">
        <v>3.9789400000000001</v>
      </c>
      <c r="X268" s="15"/>
      <c r="Y268" s="15">
        <f t="shared" si="39"/>
        <v>0.22302938608239906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5"/>
        <v>854.29301499031794</v>
      </c>
      <c r="AH268" s="17">
        <v>751.46283996896477</v>
      </c>
      <c r="AI268" s="15">
        <f t="shared" si="40"/>
        <v>4.4601073314728632</v>
      </c>
      <c r="AJ268" s="17">
        <f t="shared" si="41"/>
        <v>2</v>
      </c>
      <c r="AK268" s="15">
        <f t="shared" si="42"/>
        <v>0.22302938608239906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6"/>
        <v>10789.875</v>
      </c>
      <c r="M269" s="15"/>
      <c r="N269" s="15"/>
      <c r="O269" s="15"/>
      <c r="P269" s="15">
        <f t="shared" si="37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38"/>
        <v>26.421797868568682</v>
      </c>
      <c r="W269" s="15">
        <v>3.75298</v>
      </c>
      <c r="X269" s="15"/>
      <c r="Y269" s="15">
        <f t="shared" si="39"/>
        <v>0.1420410533253128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5"/>
        <v>544.07484963820309</v>
      </c>
      <c r="AH269" s="17">
        <v>507.39997914556182</v>
      </c>
      <c r="AI269" s="15">
        <f t="shared" si="40"/>
        <v>4.2274876589709898</v>
      </c>
      <c r="AJ269" s="17">
        <f t="shared" si="41"/>
        <v>2.5</v>
      </c>
      <c r="AK269" s="15">
        <f t="shared" si="42"/>
        <v>0.1420410533253128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6"/>
        <v>8214.7431679999991</v>
      </c>
      <c r="M270" s="15"/>
      <c r="N270" s="15"/>
      <c r="O270" s="15"/>
      <c r="P270" s="15">
        <f t="shared" si="37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38"/>
        <v>3.6389507021946921</v>
      </c>
      <c r="W270" s="15">
        <v>3.84172</v>
      </c>
      <c r="X270" s="15"/>
      <c r="Y270" s="15">
        <f t="shared" si="39"/>
        <v>1.0557219139250815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5"/>
        <v>3078.7319548020014</v>
      </c>
      <c r="AH270" s="17">
        <v>2804.879544008154</v>
      </c>
      <c r="AI270" s="15">
        <f t="shared" si="40"/>
        <v>40.432785579941019</v>
      </c>
      <c r="AJ270" s="47">
        <f t="shared" si="41"/>
        <v>0.30000000000000004</v>
      </c>
      <c r="AK270" s="15">
        <f t="shared" si="42"/>
        <v>1.0557219139250815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6"/>
        <v>8214.7431679999991</v>
      </c>
      <c r="M271" s="15"/>
      <c r="N271" s="15"/>
      <c r="O271" s="15"/>
      <c r="P271" s="15">
        <f t="shared" si="37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38"/>
        <v>4.0420822917637169</v>
      </c>
      <c r="W271" s="15">
        <v>3.6959</v>
      </c>
      <c r="X271" s="15"/>
      <c r="Y271" s="15">
        <f t="shared" si="39"/>
        <v>0.91435545672360263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5"/>
        <v>2666.4743106415253</v>
      </c>
      <c r="AH271" s="17">
        <v>2525.1386907777101</v>
      </c>
      <c r="AI271" s="15">
        <f t="shared" si="40"/>
        <v>16.168329167054871</v>
      </c>
      <c r="AJ271" s="17">
        <f t="shared" si="41"/>
        <v>0.49999999999999994</v>
      </c>
      <c r="AK271" s="15">
        <f>W271/V271</f>
        <v>0.91435545672360263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6"/>
        <v>8214.7431679999991</v>
      </c>
      <c r="M272" s="15"/>
      <c r="N272" s="15"/>
      <c r="O272" s="15"/>
      <c r="P272" s="15">
        <f t="shared" si="37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38"/>
        <v>4.7799636575602573</v>
      </c>
      <c r="W272" s="15">
        <v>3.4711699999999999</v>
      </c>
      <c r="X272" s="15"/>
      <c r="Y272" s="15">
        <f t="shared" si="39"/>
        <v>0.72619171371937186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5"/>
        <v>2117.7448387217196</v>
      </c>
      <c r="AH272" s="17">
        <v>2135.33388901322</v>
      </c>
      <c r="AI272" s="15">
        <f t="shared" si="40"/>
        <v>8.4977131689960128</v>
      </c>
      <c r="AJ272" s="17">
        <f t="shared" si="41"/>
        <v>0.75</v>
      </c>
      <c r="AK272" s="15">
        <f t="shared" si="42"/>
        <v>0.72619171371937186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6"/>
        <v>8214.7431679999991</v>
      </c>
      <c r="M273" s="15"/>
      <c r="N273" s="15"/>
      <c r="O273" s="15"/>
      <c r="P273" s="15">
        <f t="shared" si="37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38"/>
        <v>5.9384940805820268</v>
      </c>
      <c r="W273" s="15">
        <v>3.79291</v>
      </c>
      <c r="X273" s="15"/>
      <c r="Y273" s="15">
        <f t="shared" si="39"/>
        <v>0.63869896113936353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5"/>
        <v>1862.5955142370406</v>
      </c>
      <c r="AH273" s="17">
        <v>1718.7553355681105</v>
      </c>
      <c r="AI273" s="15">
        <f t="shared" si="40"/>
        <v>5.9384940805820277</v>
      </c>
      <c r="AJ273" s="17">
        <f t="shared" si="41"/>
        <v>1</v>
      </c>
      <c r="AK273" s="15">
        <f t="shared" si="42"/>
        <v>0.63869896113936353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6"/>
        <v>8214.7431679999991</v>
      </c>
      <c r="M274" s="15"/>
      <c r="N274" s="15"/>
      <c r="O274" s="15"/>
      <c r="P274" s="15">
        <f t="shared" si="37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38"/>
        <v>8.2455223846913253</v>
      </c>
      <c r="W274" s="15">
        <v>3.9167100000000001</v>
      </c>
      <c r="X274" s="15"/>
      <c r="Y274" s="15">
        <f t="shared" si="39"/>
        <v>0.47501053508408175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5"/>
        <v>1385.2417894725445</v>
      </c>
      <c r="AH274" s="17">
        <v>1237.8619461624439</v>
      </c>
      <c r="AI274" s="15">
        <f t="shared" si="40"/>
        <v>4.6613841283799671</v>
      </c>
      <c r="AJ274" s="17">
        <f t="shared" si="41"/>
        <v>1.33</v>
      </c>
      <c r="AK274" s="15">
        <f t="shared" si="42"/>
        <v>0.47501053508408175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6"/>
        <v>8214.7431679999991</v>
      </c>
      <c r="M275" s="15"/>
      <c r="N275" s="15"/>
      <c r="O275" s="15"/>
      <c r="P275" s="15">
        <f t="shared" si="37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38"/>
        <v>11.492867109739169</v>
      </c>
      <c r="W275" s="15">
        <v>3.7013799999999999</v>
      </c>
      <c r="X275" s="15"/>
      <c r="Y275" s="15">
        <f t="shared" si="39"/>
        <v>0.32205888788737613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5"/>
        <v>939.19902238310783</v>
      </c>
      <c r="AH275" s="17">
        <v>888.10027026159901</v>
      </c>
      <c r="AI275" s="15">
        <f t="shared" si="40"/>
        <v>4.1209319479863638</v>
      </c>
      <c r="AJ275" s="17">
        <f t="shared" si="41"/>
        <v>1.67</v>
      </c>
      <c r="AK275" s="15">
        <f t="shared" si="42"/>
        <v>0.32205888788737613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6"/>
        <v>8214.7431679999991</v>
      </c>
      <c r="M276" s="15"/>
      <c r="N276" s="15"/>
      <c r="O276" s="15"/>
      <c r="P276" s="15">
        <f t="shared" si="37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38"/>
        <v>15.401128906837329</v>
      </c>
      <c r="W276" s="15">
        <v>3.4378600000000001</v>
      </c>
      <c r="X276" s="15"/>
      <c r="Y276" s="15">
        <f t="shared" si="39"/>
        <v>0.22322129895775125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5"/>
        <v>650.96550240067177</v>
      </c>
      <c r="AH276" s="17">
        <v>662.73183271056735</v>
      </c>
      <c r="AI276" s="15">
        <f t="shared" si="40"/>
        <v>3.8502822267093331</v>
      </c>
      <c r="AJ276" s="17">
        <f t="shared" si="41"/>
        <v>1.9999999999999998</v>
      </c>
      <c r="AK276" s="15">
        <f t="shared" si="42"/>
        <v>0.22322129895775125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6"/>
        <v>8214.7431679999991</v>
      </c>
      <c r="M277" s="15"/>
      <c r="N277" s="15"/>
      <c r="O277" s="15"/>
      <c r="P277" s="15">
        <f t="shared" si="37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38"/>
        <v>22.642589771535768</v>
      </c>
      <c r="W277" s="15">
        <v>3.21983</v>
      </c>
      <c r="X277" s="15"/>
      <c r="Y277" s="15">
        <f t="shared" si="39"/>
        <v>0.14220237315996784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5"/>
        <v>414.69537055317738</v>
      </c>
      <c r="AH277" s="17">
        <v>450.77963648270901</v>
      </c>
      <c r="AI277" s="15">
        <f t="shared" si="40"/>
        <v>3.6228143634457233</v>
      </c>
      <c r="AJ277" s="17">
        <f t="shared" si="41"/>
        <v>2.5</v>
      </c>
      <c r="AK277" s="15">
        <f t="shared" si="42"/>
        <v>0.14220237315996784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6"/>
        <v>5956.734199999999</v>
      </c>
      <c r="M278" s="15"/>
      <c r="N278" s="15"/>
      <c r="O278" s="15"/>
      <c r="P278" s="15">
        <f t="shared" si="37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38"/>
        <v>3.5792088609326687</v>
      </c>
      <c r="W278" s="15">
        <v>3.8184499999999999</v>
      </c>
      <c r="X278" s="15"/>
      <c r="Y278" s="15">
        <f t="shared" si="39"/>
        <v>1.06684190511447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5"/>
        <v>2255.9872500769234</v>
      </c>
      <c r="AH278" s="17">
        <v>2067.8430712119402</v>
      </c>
      <c r="AI278" s="15">
        <f t="shared" si="40"/>
        <v>39.768987343696317</v>
      </c>
      <c r="AJ278" s="17">
        <f t="shared" si="41"/>
        <v>0.3</v>
      </c>
      <c r="AK278" s="15">
        <f t="shared" si="42"/>
        <v>1.06684190511447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6"/>
        <v>5956.734199999999</v>
      </c>
      <c r="M279" s="15"/>
      <c r="N279" s="15"/>
      <c r="O279" s="15"/>
      <c r="P279" s="15">
        <f t="shared" si="37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38"/>
        <v>3.9140050932422641</v>
      </c>
      <c r="W279" s="15">
        <v>3.6184699999999999</v>
      </c>
      <c r="X279" s="15"/>
      <c r="Y279" s="15">
        <f t="shared" si="39"/>
        <v>0.92449292062687372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5"/>
        <v>1954.9703022743743</v>
      </c>
      <c r="AH279" s="17">
        <v>1890.963876434048</v>
      </c>
      <c r="AI279" s="15">
        <f t="shared" si="40"/>
        <v>15.656020372969053</v>
      </c>
      <c r="AJ279" s="17">
        <f t="shared" si="41"/>
        <v>0.5</v>
      </c>
      <c r="AK279" s="15">
        <f t="shared" si="42"/>
        <v>0.92449292062687372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6"/>
        <v>5956.734199999999</v>
      </c>
      <c r="M280" s="15"/>
      <c r="N280" s="15"/>
      <c r="O280" s="15"/>
      <c r="P280" s="15">
        <f t="shared" si="37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38"/>
        <v>4.4861762487719279</v>
      </c>
      <c r="W280" s="15">
        <v>3.2624900000000001</v>
      </c>
      <c r="X280" s="15"/>
      <c r="Y280" s="15">
        <f t="shared" si="39"/>
        <v>0.7272317936445527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5"/>
        <v>1537.8339062680964</v>
      </c>
      <c r="AH280" s="17">
        <v>1649.7885578004339</v>
      </c>
      <c r="AI280" s="15">
        <f t="shared" si="40"/>
        <v>7.9754244422612048</v>
      </c>
      <c r="AJ280" s="17">
        <f t="shared" si="41"/>
        <v>0.75</v>
      </c>
      <c r="AK280" s="15">
        <f t="shared" si="42"/>
        <v>0.7272317936445527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6"/>
        <v>5956.734199999999</v>
      </c>
      <c r="M281" s="15"/>
      <c r="N281" s="15"/>
      <c r="O281" s="15"/>
      <c r="P281" s="15">
        <f t="shared" si="37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38"/>
        <v>5.3450417358764319</v>
      </c>
      <c r="W281" s="15">
        <v>3.4287899999999998</v>
      </c>
      <c r="X281" s="15"/>
      <c r="Y281" s="15">
        <f t="shared" si="39"/>
        <v>0.64148984599795222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5"/>
        <v>1356.5204991361009</v>
      </c>
      <c r="AH281" s="17">
        <v>1384.6930686849744</v>
      </c>
      <c r="AI281" s="15">
        <f t="shared" si="40"/>
        <v>5.3450417358764311</v>
      </c>
      <c r="AJ281" s="17">
        <f t="shared" si="41"/>
        <v>1</v>
      </c>
      <c r="AK281" s="15">
        <f t="shared" si="42"/>
        <v>0.64148984599795222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6"/>
        <v>5956.734199999999</v>
      </c>
      <c r="M282" s="15"/>
      <c r="N282" s="15"/>
      <c r="O282" s="15"/>
      <c r="P282" s="15">
        <f t="shared" si="37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38"/>
        <v>7.0673815389772709</v>
      </c>
      <c r="W282" s="15">
        <v>3.36747</v>
      </c>
      <c r="X282" s="15"/>
      <c r="Y282" s="15">
        <f t="shared" si="39"/>
        <v>0.47648057224986196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5"/>
        <v>1007.5851827264947</v>
      </c>
      <c r="AH282" s="17">
        <v>1047.2396604996427</v>
      </c>
      <c r="AI282" s="15">
        <f t="shared" si="40"/>
        <v>3.9953539142841707</v>
      </c>
      <c r="AJ282" s="17">
        <f t="shared" si="41"/>
        <v>1.33</v>
      </c>
      <c r="AK282" s="15">
        <f t="shared" si="42"/>
        <v>0.47648057224986196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6"/>
        <v>5956.734199999999</v>
      </c>
      <c r="M283" s="15"/>
      <c r="N283" s="15"/>
      <c r="O283" s="15"/>
      <c r="P283" s="15">
        <f t="shared" si="37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38"/>
        <v>9.5577977063610788</v>
      </c>
      <c r="W283" s="15">
        <v>3.0855199999999998</v>
      </c>
      <c r="X283" s="15"/>
      <c r="Y283" s="15">
        <f t="shared" si="39"/>
        <v>0.32282750637696261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5"/>
        <v>682.66416501741185</v>
      </c>
      <c r="AH283" s="17">
        <v>774.36690657034842</v>
      </c>
      <c r="AI283" s="15">
        <f t="shared" si="40"/>
        <v>3.4270851254476957</v>
      </c>
      <c r="AJ283" s="17">
        <f t="shared" si="41"/>
        <v>1.67</v>
      </c>
      <c r="AK283" s="15">
        <f t="shared" si="42"/>
        <v>0.32282750637696261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6"/>
        <v>5956.734199999999</v>
      </c>
      <c r="M284" s="15"/>
      <c r="N284" s="15"/>
      <c r="O284" s="15"/>
      <c r="P284" s="15">
        <f t="shared" si="37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38"/>
        <v>12.603472341119186</v>
      </c>
      <c r="W284" s="15">
        <v>2.82138</v>
      </c>
      <c r="X284" s="15"/>
      <c r="Y284" s="15">
        <f t="shared" si="39"/>
        <v>0.2238573564203547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5"/>
        <v>473.37786367330432</v>
      </c>
      <c r="AH284" s="17">
        <v>587.23834536877882</v>
      </c>
      <c r="AI284" s="15">
        <f t="shared" si="40"/>
        <v>3.1508680852797957</v>
      </c>
      <c r="AJ284" s="17">
        <f t="shared" si="41"/>
        <v>2</v>
      </c>
      <c r="AK284" s="15">
        <f t="shared" si="42"/>
        <v>0.2238573564203547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6"/>
        <v>5956.734199999999</v>
      </c>
      <c r="M285" s="15"/>
      <c r="N285" s="15"/>
      <c r="O285" s="15"/>
      <c r="P285" s="15">
        <f t="shared" si="37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38"/>
        <v>18.291684640866546</v>
      </c>
      <c r="W285" s="15">
        <v>2.6092399999999998</v>
      </c>
      <c r="X285" s="15"/>
      <c r="Y285" s="15">
        <f t="shared" si="39"/>
        <v>0.14264623796162224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5"/>
        <v>301.64553207940332</v>
      </c>
      <c r="AH285" s="17">
        <v>404.62332413956238</v>
      </c>
      <c r="AI285" s="15">
        <f t="shared" si="40"/>
        <v>2.9266695425386469</v>
      </c>
      <c r="AJ285" s="17">
        <f t="shared" si="41"/>
        <v>2.5</v>
      </c>
      <c r="AK285" s="15">
        <f t="shared" si="42"/>
        <v>0.14264623796162224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6"/>
        <v>4372.38</v>
      </c>
      <c r="M286" s="15"/>
      <c r="N286" s="15"/>
      <c r="O286" s="15"/>
      <c r="P286" s="15">
        <f t="shared" si="37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38"/>
        <v>3.5247992661699814</v>
      </c>
      <c r="W286" s="15">
        <v>3.8026800000000001</v>
      </c>
      <c r="X286" s="15"/>
      <c r="Y286" s="15">
        <f t="shared" si="39"/>
        <v>1.0788359032234938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5"/>
        <v>1674.5635869204009</v>
      </c>
      <c r="AH286" s="17">
        <v>1541.2741945736698</v>
      </c>
      <c r="AI286" s="15">
        <f t="shared" si="40"/>
        <v>39.164436290777559</v>
      </c>
      <c r="AJ286" s="17">
        <f t="shared" si="41"/>
        <v>0.30000000000000004</v>
      </c>
      <c r="AK286" s="15">
        <f t="shared" si="42"/>
        <v>1.0788359032234938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6"/>
        <v>4372.38</v>
      </c>
      <c r="M287" s="15"/>
      <c r="N287" s="15"/>
      <c r="O287" s="15"/>
      <c r="P287" s="15">
        <f t="shared" si="37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38"/>
        <v>3.8035956888898257</v>
      </c>
      <c r="W287" s="15">
        <v>3.55504</v>
      </c>
      <c r="X287" s="15"/>
      <c r="Y287" s="15">
        <f t="shared" si="39"/>
        <v>0.93465244226250221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5"/>
        <v>1450.7627541524005</v>
      </c>
      <c r="AH287" s="17">
        <v>1428.3016898637995</v>
      </c>
      <c r="AI287" s="15">
        <f t="shared" si="40"/>
        <v>15.214382755559306</v>
      </c>
      <c r="AJ287" s="17">
        <f t="shared" si="41"/>
        <v>0.49999999999999994</v>
      </c>
      <c r="AK287" s="15">
        <f t="shared" si="42"/>
        <v>0.93465244226250221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6"/>
        <v>4372.38</v>
      </c>
      <c r="M288" s="15"/>
      <c r="N288" s="15"/>
      <c r="O288" s="15"/>
      <c r="P288" s="15">
        <f t="shared" si="37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38"/>
        <v>4.2501812715537932</v>
      </c>
      <c r="W288" s="15">
        <v>3.14615</v>
      </c>
      <c r="X288" s="15"/>
      <c r="Y288" s="15">
        <f t="shared" si="39"/>
        <v>0.74023901546435023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5"/>
        <v>1148.9952245847855</v>
      </c>
      <c r="AH288" s="17">
        <v>1278.2236339801821</v>
      </c>
      <c r="AI288" s="15">
        <f t="shared" si="40"/>
        <v>7.5558778160956326</v>
      </c>
      <c r="AJ288" s="17">
        <f t="shared" si="41"/>
        <v>0.75</v>
      </c>
      <c r="AK288" s="15">
        <f t="shared" si="42"/>
        <v>0.74023901546435023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6"/>
        <v>4372.38</v>
      </c>
      <c r="M289" s="15"/>
      <c r="N289" s="15"/>
      <c r="O289" s="15"/>
      <c r="P289" s="15">
        <f t="shared" si="37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38"/>
        <v>4.882643851644163</v>
      </c>
      <c r="W289" s="15">
        <v>3.1505000000000001</v>
      </c>
      <c r="X289" s="15"/>
      <c r="Y289" s="15">
        <f t="shared" si="39"/>
        <v>0.64524468622447506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5"/>
        <v>1001.5455112097304</v>
      </c>
      <c r="AH289" s="17">
        <v>1112.6517344021763</v>
      </c>
      <c r="AI289" s="15">
        <f t="shared" si="40"/>
        <v>4.8826438516441639</v>
      </c>
      <c r="AJ289" s="17">
        <f t="shared" si="41"/>
        <v>0.99999999999999989</v>
      </c>
      <c r="AK289" s="15">
        <f t="shared" si="42"/>
        <v>0.64524468622447506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6"/>
        <v>4372.38</v>
      </c>
      <c r="M290" s="15"/>
      <c r="N290" s="15"/>
      <c r="O290" s="15"/>
      <c r="P290" s="15">
        <f t="shared" si="37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38"/>
        <v>6.132432893471532</v>
      </c>
      <c r="W290" s="15">
        <v>2.9350100000000001</v>
      </c>
      <c r="X290" s="15"/>
      <c r="Y290" s="15">
        <f t="shared" si="39"/>
        <v>0.47860450346298195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5"/>
        <v>742.88746939227292</v>
      </c>
      <c r="AH290" s="17">
        <v>885.89345278992414</v>
      </c>
      <c r="AI290" s="15">
        <f t="shared" si="40"/>
        <v>3.4668058643628976</v>
      </c>
      <c r="AJ290" s="17">
        <f t="shared" si="41"/>
        <v>1.3300000000000003</v>
      </c>
      <c r="AK290" s="15">
        <f t="shared" si="42"/>
        <v>0.47860450346298195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6"/>
        <v>4372.38</v>
      </c>
      <c r="M291" s="15"/>
      <c r="N291" s="15"/>
      <c r="O291" s="15"/>
      <c r="P291" s="15">
        <f t="shared" si="37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38"/>
        <v>7.9820336197556756</v>
      </c>
      <c r="W291" s="15">
        <v>2.5866799999999999</v>
      </c>
      <c r="X291" s="15"/>
      <c r="Y291" s="15">
        <f t="shared" si="39"/>
        <v>0.32406277938969347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5"/>
        <v>503.00859344850733</v>
      </c>
      <c r="AH291" s="17">
        <v>680.61378951775089</v>
      </c>
      <c r="AI291" s="15">
        <f t="shared" si="40"/>
        <v>2.8620723653611377</v>
      </c>
      <c r="AJ291" s="17">
        <f t="shared" si="41"/>
        <v>1.67</v>
      </c>
      <c r="AK291" s="15">
        <f t="shared" si="42"/>
        <v>0.32406277938969347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6"/>
        <v>4372.38</v>
      </c>
      <c r="M292" s="15"/>
      <c r="N292" s="15"/>
      <c r="O292" s="15"/>
      <c r="P292" s="15">
        <f t="shared" si="37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38"/>
        <v>10.294746250927696</v>
      </c>
      <c r="W292" s="15">
        <v>2.3145799999999999</v>
      </c>
      <c r="X292" s="15"/>
      <c r="Y292" s="15">
        <f t="shared" si="39"/>
        <v>0.22483118510972766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5"/>
        <v>348.98181888827526</v>
      </c>
      <c r="AH292" s="17">
        <v>527.71404147143915</v>
      </c>
      <c r="AI292" s="15">
        <f t="shared" si="40"/>
        <v>2.5736865627319245</v>
      </c>
      <c r="AJ292" s="17">
        <f t="shared" si="41"/>
        <v>1.9999999999999998</v>
      </c>
      <c r="AK292" s="15">
        <f t="shared" si="42"/>
        <v>0.22483118510972766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36"/>
        <v>4372.38</v>
      </c>
      <c r="M293" s="15"/>
      <c r="N293" s="15"/>
      <c r="O293" s="15"/>
      <c r="P293" s="15">
        <f t="shared" si="37"/>
        <v>80673246.275399998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38"/>
        <v>14.672935841690373</v>
      </c>
      <c r="W293" s="15">
        <v>2.1029100000000001</v>
      </c>
      <c r="X293" s="15"/>
      <c r="Y293" s="15">
        <f t="shared" si="39"/>
        <v>0.14331896647601899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35"/>
        <v>222.45896883734767</v>
      </c>
      <c r="AH293" s="17">
        <v>370.25188473625445</v>
      </c>
      <c r="AI293" s="15">
        <f t="shared" si="40"/>
        <v>2.3476697346704594</v>
      </c>
      <c r="AJ293" s="17">
        <f t="shared" si="41"/>
        <v>2.5</v>
      </c>
      <c r="AK293" s="15">
        <f t="shared" si="42"/>
        <v>0.14331896647601899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J4:AJ5"/>
    <mergeCell ref="AK4:AK5"/>
    <mergeCell ref="AI4:AI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N297"/>
  <sheetViews>
    <sheetView tabSelected="1" topLeftCell="S1" zoomScaleNormal="100" workbookViewId="0">
      <pane ySplit="5" topLeftCell="A6" activePane="bottomLeft" state="frozen"/>
      <selection pane="bottomLeft" activeCell="Y8" sqref="Y8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0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0" s="1" customFormat="1" ht="14.65" customHeight="1">
      <c r="I2" s="58" t="s">
        <v>0</v>
      </c>
      <c r="J2" s="5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E2" s="1" t="s">
        <v>656</v>
      </c>
    </row>
    <row r="3" spans="1:40" s="1" customFormat="1" ht="15.4" customHeight="1">
      <c r="I3" s="60" t="s">
        <v>1</v>
      </c>
      <c r="J3" s="61"/>
      <c r="K3" s="13" t="s">
        <v>633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0" ht="29.25" customHeight="1">
      <c r="A4" s="25"/>
      <c r="B4" s="57" t="s">
        <v>26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26" t="s">
        <v>27</v>
      </c>
      <c r="T4" s="62" t="s">
        <v>30</v>
      </c>
      <c r="U4" s="62"/>
      <c r="V4" s="62" t="s">
        <v>515</v>
      </c>
      <c r="W4" s="62"/>
      <c r="X4" s="62"/>
      <c r="Y4" s="62"/>
      <c r="Z4" s="62"/>
      <c r="AA4" s="62"/>
      <c r="AB4" s="62"/>
      <c r="AC4" s="62"/>
      <c r="AD4" s="62"/>
      <c r="AE4" s="57" t="s">
        <v>3</v>
      </c>
      <c r="AF4" s="57" t="s">
        <v>4</v>
      </c>
      <c r="AG4" s="57" t="s">
        <v>224</v>
      </c>
      <c r="AH4" s="57" t="s">
        <v>225</v>
      </c>
      <c r="AI4" s="57" t="s">
        <v>223</v>
      </c>
      <c r="AJ4" s="57" t="s">
        <v>525</v>
      </c>
      <c r="AK4" s="57" t="s">
        <v>526</v>
      </c>
      <c r="AL4" s="57" t="s">
        <v>624</v>
      </c>
    </row>
    <row r="5" spans="1:40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630</v>
      </c>
      <c r="T5" s="29" t="s">
        <v>631</v>
      </c>
      <c r="U5" s="29" t="s">
        <v>632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57"/>
      <c r="AF5" s="57"/>
      <c r="AG5" s="57"/>
      <c r="AH5" s="57"/>
      <c r="AI5" s="57"/>
      <c r="AJ5" s="57"/>
      <c r="AK5" s="57"/>
      <c r="AL5" s="57"/>
    </row>
    <row r="6" spans="1:40">
      <c r="A6" s="15">
        <v>1</v>
      </c>
      <c r="B6" s="20" t="s">
        <v>645</v>
      </c>
      <c r="C6" s="20">
        <v>220</v>
      </c>
      <c r="D6" s="15">
        <v>220</v>
      </c>
      <c r="E6" s="15">
        <v>600</v>
      </c>
      <c r="F6" s="15">
        <v>19</v>
      </c>
      <c r="G6" s="15">
        <v>19</v>
      </c>
      <c r="H6" s="15">
        <v>12</v>
      </c>
      <c r="I6" s="15">
        <v>24</v>
      </c>
      <c r="J6" s="15">
        <v>24</v>
      </c>
      <c r="K6" s="15">
        <v>25000</v>
      </c>
      <c r="L6" s="15">
        <v>15598</v>
      </c>
      <c r="M6" s="15"/>
      <c r="N6" s="15"/>
      <c r="O6" s="15"/>
      <c r="P6" s="15">
        <f>(H6*(E6-2*F6)^3)/12 + (C6*F6^3)/6 + 2*C6*F6*(E6/2 - F6/2)^2</f>
        <v>883258314.66666663</v>
      </c>
      <c r="Q6" s="15"/>
      <c r="R6" s="15"/>
      <c r="S6" s="63">
        <v>923.1000918113939</v>
      </c>
      <c r="T6" s="15">
        <v>235</v>
      </c>
      <c r="U6" s="15">
        <v>210000</v>
      </c>
      <c r="V6" s="15">
        <f>L6*T6/(S6*1000)</f>
        <v>3.9708911661000403</v>
      </c>
      <c r="W6" s="15">
        <v>2.1417700000000002</v>
      </c>
      <c r="X6" s="15"/>
      <c r="Y6" s="15"/>
      <c r="Z6" s="15"/>
      <c r="AA6" s="16"/>
      <c r="AB6" s="15"/>
      <c r="AC6" s="17"/>
      <c r="AD6" s="15"/>
      <c r="AE6" s="15" t="s">
        <v>635</v>
      </c>
      <c r="AF6" s="22" t="s">
        <v>5</v>
      </c>
      <c r="AG6" s="17">
        <f>W6*S6</f>
        <v>1977.0680836388892</v>
      </c>
      <c r="AH6" s="17"/>
      <c r="AI6" s="15">
        <f>(PI()^2*U6*P6/K6^2)/(S6*1000)</f>
        <v>3.1730576524617149</v>
      </c>
      <c r="AJ6" s="17">
        <f>(V6/AI6)^0.5</f>
        <v>1.1186777765280893</v>
      </c>
      <c r="AK6" s="66">
        <f>W6/V6</f>
        <v>0.53936759039999371</v>
      </c>
      <c r="AL6" s="65"/>
      <c r="AM6" s="5">
        <v>2.5107300000000001</v>
      </c>
      <c r="AN6" s="5">
        <v>0.63228376074227222</v>
      </c>
    </row>
    <row r="7" spans="1:40">
      <c r="A7" s="15">
        <v>2</v>
      </c>
      <c r="B7" s="20" t="s">
        <v>645</v>
      </c>
      <c r="C7" s="20">
        <v>220</v>
      </c>
      <c r="D7" s="15">
        <v>220</v>
      </c>
      <c r="E7" s="15">
        <v>600</v>
      </c>
      <c r="F7" s="15">
        <v>19</v>
      </c>
      <c r="G7" s="15">
        <v>19</v>
      </c>
      <c r="H7" s="15">
        <v>12</v>
      </c>
      <c r="I7" s="15">
        <v>24</v>
      </c>
      <c r="J7" s="15">
        <v>24</v>
      </c>
      <c r="K7" s="15">
        <v>25000</v>
      </c>
      <c r="L7" s="15">
        <v>15598</v>
      </c>
      <c r="M7" s="15"/>
      <c r="N7" s="15"/>
      <c r="O7" s="15"/>
      <c r="P7" s="15">
        <f t="shared" ref="P7:P27" si="0">(H7*(E7-2*F7)^3)/12 + (C7*F7^3)/6 + 2*C7*F7*(E7/2 - F7/2)^2</f>
        <v>883258314.66666663</v>
      </c>
      <c r="Q7" s="15"/>
      <c r="R7" s="15"/>
      <c r="S7" s="63">
        <v>923.1000918113939</v>
      </c>
      <c r="T7" s="15">
        <v>235</v>
      </c>
      <c r="U7" s="15">
        <v>210000</v>
      </c>
      <c r="V7" s="15">
        <f t="shared" ref="V7:V16" si="1">L7*T7/(S7*1000)</f>
        <v>3.9708911661000403</v>
      </c>
      <c r="W7" s="15">
        <v>2.2062300000000001</v>
      </c>
      <c r="X7" s="15"/>
      <c r="Y7" s="15"/>
      <c r="Z7" s="15"/>
      <c r="AA7" s="16"/>
      <c r="AB7" s="15"/>
      <c r="AC7" s="17"/>
      <c r="AD7" s="15"/>
      <c r="AE7" s="15" t="s">
        <v>636</v>
      </c>
      <c r="AF7" s="22" t="s">
        <v>5</v>
      </c>
      <c r="AG7" s="17">
        <f t="shared" ref="AG7:AG14" si="2">W7*S7</f>
        <v>2036.5711155570516</v>
      </c>
      <c r="AH7" s="17"/>
      <c r="AI7" s="15">
        <f t="shared" ref="AI7:AI27" si="3">(PI()^2*U7*P7/K7^2)/(S7*1000)</f>
        <v>3.1730576524617149</v>
      </c>
      <c r="AJ7" s="17">
        <f t="shared" ref="AJ7:AJ27" si="4">(V7/AI7)^0.5</f>
        <v>1.1186777765280893</v>
      </c>
      <c r="AK7" s="15">
        <f t="shared" ref="AK7:AK70" si="5">W7/V7</f>
        <v>0.55560072228492241</v>
      </c>
      <c r="AM7" s="5">
        <v>2.5541200000000002</v>
      </c>
      <c r="AN7" s="5">
        <v>0.64321077893164624</v>
      </c>
    </row>
    <row r="8" spans="1:40">
      <c r="A8" s="15">
        <v>3</v>
      </c>
      <c r="B8" s="20" t="s">
        <v>645</v>
      </c>
      <c r="C8" s="20">
        <v>220</v>
      </c>
      <c r="D8" s="15">
        <v>220</v>
      </c>
      <c r="E8" s="15">
        <v>600</v>
      </c>
      <c r="F8" s="15">
        <v>19</v>
      </c>
      <c r="G8" s="15">
        <v>19</v>
      </c>
      <c r="H8" s="15">
        <v>12</v>
      </c>
      <c r="I8" s="15">
        <v>24</v>
      </c>
      <c r="J8" s="15">
        <v>24</v>
      </c>
      <c r="K8" s="15">
        <v>25000</v>
      </c>
      <c r="L8" s="15">
        <v>15598</v>
      </c>
      <c r="M8" s="15"/>
      <c r="N8" s="15"/>
      <c r="O8" s="15"/>
      <c r="P8" s="15">
        <f t="shared" si="0"/>
        <v>883258314.66666663</v>
      </c>
      <c r="Q8" s="15"/>
      <c r="R8" s="15"/>
      <c r="S8" s="63">
        <v>923.1000918113939</v>
      </c>
      <c r="T8" s="15">
        <v>235</v>
      </c>
      <c r="U8" s="15">
        <v>210000</v>
      </c>
      <c r="V8" s="15">
        <f t="shared" si="1"/>
        <v>3.9708911661000403</v>
      </c>
      <c r="W8" s="15">
        <v>2.2621199999999999</v>
      </c>
      <c r="X8" s="15"/>
      <c r="Y8" s="15"/>
      <c r="Z8" s="15"/>
      <c r="AA8" s="16"/>
      <c r="AB8" s="15"/>
      <c r="AC8" s="17"/>
      <c r="AD8" s="15"/>
      <c r="AE8" s="15" t="s">
        <v>637</v>
      </c>
      <c r="AF8" s="22" t="s">
        <v>5</v>
      </c>
      <c r="AG8" s="17">
        <f t="shared" si="2"/>
        <v>2088.1631796883903</v>
      </c>
      <c r="AH8" s="17"/>
      <c r="AI8" s="15">
        <f t="shared" si="3"/>
        <v>3.1730576524617149</v>
      </c>
      <c r="AJ8" s="17">
        <f t="shared" si="4"/>
        <v>1.1186777765280893</v>
      </c>
      <c r="AK8" s="15">
        <f t="shared" si="5"/>
        <v>0.56967564845694629</v>
      </c>
      <c r="AM8" s="5">
        <v>2.7298399999999998</v>
      </c>
      <c r="AN8" s="5">
        <v>0.68746281018854438</v>
      </c>
    </row>
    <row r="9" spans="1:40">
      <c r="A9" s="15">
        <v>4</v>
      </c>
      <c r="B9" s="20" t="s">
        <v>645</v>
      </c>
      <c r="C9" s="20">
        <v>220</v>
      </c>
      <c r="D9" s="15">
        <v>220</v>
      </c>
      <c r="E9" s="15">
        <v>600</v>
      </c>
      <c r="F9" s="15">
        <v>19</v>
      </c>
      <c r="G9" s="15">
        <v>19</v>
      </c>
      <c r="H9" s="15">
        <v>12</v>
      </c>
      <c r="I9" s="15">
        <v>24</v>
      </c>
      <c r="J9" s="15">
        <v>24</v>
      </c>
      <c r="K9" s="15">
        <v>25000</v>
      </c>
      <c r="L9" s="15">
        <v>15598</v>
      </c>
      <c r="M9" s="15"/>
      <c r="N9" s="15"/>
      <c r="O9" s="15"/>
      <c r="P9" s="15">
        <f t="shared" si="0"/>
        <v>883258314.66666663</v>
      </c>
      <c r="Q9" s="15"/>
      <c r="R9" s="15"/>
      <c r="S9" s="63">
        <v>923.1000918113939</v>
      </c>
      <c r="T9" s="15">
        <v>235</v>
      </c>
      <c r="U9" s="15">
        <v>210000</v>
      </c>
      <c r="V9" s="15">
        <f t="shared" si="1"/>
        <v>3.9708911661000403</v>
      </c>
      <c r="W9" s="15">
        <v>2.30558</v>
      </c>
      <c r="X9" s="15"/>
      <c r="Y9" s="15"/>
      <c r="Z9" s="15"/>
      <c r="AA9" s="16"/>
      <c r="AB9" s="15"/>
      <c r="AC9" s="17"/>
      <c r="AD9" s="15"/>
      <c r="AE9" s="15" t="s">
        <v>638</v>
      </c>
      <c r="AF9" s="22" t="s">
        <v>5</v>
      </c>
      <c r="AG9" s="17">
        <f t="shared" si="2"/>
        <v>2128.2811096785135</v>
      </c>
      <c r="AH9" s="17"/>
      <c r="AI9" s="15">
        <f t="shared" si="3"/>
        <v>3.1730576524617149</v>
      </c>
      <c r="AJ9" s="17">
        <f t="shared" si="4"/>
        <v>1.1186777765280893</v>
      </c>
      <c r="AK9" s="15">
        <f t="shared" si="5"/>
        <v>0.58062029493102318</v>
      </c>
      <c r="AM9" s="5">
        <v>2.8574600000000001</v>
      </c>
      <c r="AN9" s="5">
        <v>0.71960169152820619</v>
      </c>
    </row>
    <row r="10" spans="1:40">
      <c r="A10" s="15">
        <v>5</v>
      </c>
      <c r="B10" s="20" t="s">
        <v>645</v>
      </c>
      <c r="C10" s="20">
        <v>220</v>
      </c>
      <c r="D10" s="15">
        <v>220</v>
      </c>
      <c r="E10" s="15">
        <v>600</v>
      </c>
      <c r="F10" s="15">
        <v>19</v>
      </c>
      <c r="G10" s="15">
        <v>19</v>
      </c>
      <c r="H10" s="15">
        <v>12</v>
      </c>
      <c r="I10" s="15">
        <v>24</v>
      </c>
      <c r="J10" s="15">
        <v>24</v>
      </c>
      <c r="K10" s="15">
        <v>25000</v>
      </c>
      <c r="L10" s="15">
        <v>15598</v>
      </c>
      <c r="M10" s="15"/>
      <c r="N10" s="15"/>
      <c r="O10" s="15"/>
      <c r="P10" s="15">
        <f t="shared" si="0"/>
        <v>883258314.66666663</v>
      </c>
      <c r="Q10" s="15"/>
      <c r="R10" s="15"/>
      <c r="S10" s="63">
        <v>923.1000918113939</v>
      </c>
      <c r="T10" s="15">
        <v>235</v>
      </c>
      <c r="U10" s="15">
        <v>210000</v>
      </c>
      <c r="V10" s="15">
        <f t="shared" si="1"/>
        <v>3.9708911661000403</v>
      </c>
      <c r="W10" s="15">
        <v>2.34233</v>
      </c>
      <c r="X10" s="15"/>
      <c r="Y10" s="15"/>
      <c r="Z10" s="15"/>
      <c r="AA10" s="16"/>
      <c r="AB10" s="15"/>
      <c r="AC10" s="17"/>
      <c r="AD10" s="15"/>
      <c r="AE10" s="15" t="s">
        <v>639</v>
      </c>
      <c r="AF10" s="22" t="s">
        <v>5</v>
      </c>
      <c r="AG10" s="17">
        <f t="shared" si="2"/>
        <v>2162.2050380525825</v>
      </c>
      <c r="AH10" s="17"/>
      <c r="AI10" s="15">
        <f t="shared" si="3"/>
        <v>3.1730576524617149</v>
      </c>
      <c r="AJ10" s="17">
        <f t="shared" si="4"/>
        <v>1.1186777765280893</v>
      </c>
      <c r="AK10" s="15">
        <f t="shared" si="5"/>
        <v>0.58987514440001365</v>
      </c>
      <c r="AM10" s="5">
        <v>2.9439899999999999</v>
      </c>
      <c r="AN10" s="5">
        <v>0.74139276974730128</v>
      </c>
    </row>
    <row r="11" spans="1:40">
      <c r="A11" s="15">
        <v>6</v>
      </c>
      <c r="B11" s="20" t="s">
        <v>645</v>
      </c>
      <c r="C11" s="20">
        <v>220</v>
      </c>
      <c r="D11" s="15">
        <v>220</v>
      </c>
      <c r="E11" s="15">
        <v>600</v>
      </c>
      <c r="F11" s="15">
        <v>19</v>
      </c>
      <c r="G11" s="15">
        <v>19</v>
      </c>
      <c r="H11" s="15">
        <v>12</v>
      </c>
      <c r="I11" s="15">
        <v>24</v>
      </c>
      <c r="J11" s="15">
        <v>24</v>
      </c>
      <c r="K11" s="15">
        <v>25000</v>
      </c>
      <c r="L11" s="15">
        <v>15598</v>
      </c>
      <c r="M11" s="15"/>
      <c r="N11" s="15"/>
      <c r="O11" s="15"/>
      <c r="P11" s="15">
        <f t="shared" si="0"/>
        <v>883258314.66666663</v>
      </c>
      <c r="Q11" s="15"/>
      <c r="R11" s="15"/>
      <c r="S11" s="63">
        <v>923.1000918113939</v>
      </c>
      <c r="T11" s="15">
        <v>235</v>
      </c>
      <c r="U11" s="15">
        <v>210000</v>
      </c>
      <c r="V11" s="15">
        <f t="shared" si="1"/>
        <v>3.9708911661000403</v>
      </c>
      <c r="W11" s="15">
        <v>2.37216</v>
      </c>
      <c r="X11" s="15"/>
      <c r="Y11" s="15"/>
      <c r="Z11" s="15"/>
      <c r="AA11" s="16"/>
      <c r="AB11" s="15"/>
      <c r="AC11" s="17"/>
      <c r="AD11" s="15"/>
      <c r="AE11" s="15" t="s">
        <v>640</v>
      </c>
      <c r="AF11" s="22" t="s">
        <v>5</v>
      </c>
      <c r="AG11" s="17">
        <f t="shared" si="2"/>
        <v>2189.7411137913164</v>
      </c>
      <c r="AH11" s="17"/>
      <c r="AI11" s="15">
        <f t="shared" si="3"/>
        <v>3.1730576524617149</v>
      </c>
      <c r="AJ11" s="17">
        <f t="shared" si="4"/>
        <v>1.1186777765280893</v>
      </c>
      <c r="AK11" s="15">
        <f t="shared" si="5"/>
        <v>0.59738731200980921</v>
      </c>
      <c r="AM11" s="5">
        <v>3.0171199999999998</v>
      </c>
      <c r="AN11" s="5">
        <v>0.75980929060899582</v>
      </c>
    </row>
    <row r="12" spans="1:40">
      <c r="A12" s="15">
        <v>7</v>
      </c>
      <c r="B12" s="20" t="s">
        <v>645</v>
      </c>
      <c r="C12" s="20">
        <v>220</v>
      </c>
      <c r="D12" s="15">
        <v>220</v>
      </c>
      <c r="E12" s="15">
        <v>600</v>
      </c>
      <c r="F12" s="15">
        <v>19</v>
      </c>
      <c r="G12" s="15">
        <v>19</v>
      </c>
      <c r="H12" s="15">
        <v>12</v>
      </c>
      <c r="I12" s="15">
        <v>24</v>
      </c>
      <c r="J12" s="15">
        <v>24</v>
      </c>
      <c r="K12" s="15">
        <v>25000</v>
      </c>
      <c r="L12" s="15">
        <v>15598</v>
      </c>
      <c r="M12" s="15"/>
      <c r="N12" s="15"/>
      <c r="O12" s="15"/>
      <c r="P12" s="15">
        <f t="shared" si="0"/>
        <v>883258314.66666663</v>
      </c>
      <c r="Q12" s="15"/>
      <c r="R12" s="15"/>
      <c r="S12" s="64">
        <v>923.1000918113939</v>
      </c>
      <c r="T12" s="15">
        <v>235</v>
      </c>
      <c r="U12" s="15">
        <v>210000</v>
      </c>
      <c r="V12" s="15">
        <f t="shared" si="1"/>
        <v>3.9708911661000403</v>
      </c>
      <c r="W12" s="15">
        <v>2.3960599999999999</v>
      </c>
      <c r="X12" s="15"/>
      <c r="Y12" s="15"/>
      <c r="Z12" s="15"/>
      <c r="AA12" s="16"/>
      <c r="AB12" s="15"/>
      <c r="AC12" s="17"/>
      <c r="AD12" s="15"/>
      <c r="AE12" s="15" t="s">
        <v>641</v>
      </c>
      <c r="AF12" s="22" t="s">
        <v>5</v>
      </c>
      <c r="AG12" s="17">
        <f t="shared" si="2"/>
        <v>2211.8032059856082</v>
      </c>
      <c r="AH12" s="17"/>
      <c r="AI12" s="15">
        <f t="shared" si="3"/>
        <v>3.1730576524617149</v>
      </c>
      <c r="AJ12" s="17">
        <f t="shared" si="4"/>
        <v>1.1186777765280893</v>
      </c>
      <c r="AK12" s="15">
        <f t="shared" si="5"/>
        <v>0.60340611207263561</v>
      </c>
      <c r="AM12" s="5">
        <v>3.0834100000000002</v>
      </c>
      <c r="AN12" s="5">
        <v>0.77650327622258453</v>
      </c>
    </row>
    <row r="13" spans="1:40">
      <c r="A13" s="15">
        <v>8</v>
      </c>
      <c r="B13" s="20" t="s">
        <v>645</v>
      </c>
      <c r="C13" s="20">
        <v>220</v>
      </c>
      <c r="D13" s="15">
        <v>220</v>
      </c>
      <c r="E13" s="15">
        <v>600</v>
      </c>
      <c r="F13" s="15">
        <v>19</v>
      </c>
      <c r="G13" s="15">
        <v>19</v>
      </c>
      <c r="H13" s="15">
        <v>12</v>
      </c>
      <c r="I13" s="15">
        <v>24</v>
      </c>
      <c r="J13" s="15">
        <v>24</v>
      </c>
      <c r="K13" s="15">
        <v>25000</v>
      </c>
      <c r="L13" s="15">
        <v>15598</v>
      </c>
      <c r="M13" s="15"/>
      <c r="N13" s="15"/>
      <c r="O13" s="15"/>
      <c r="P13" s="15">
        <f t="shared" si="0"/>
        <v>883258314.66666663</v>
      </c>
      <c r="Q13" s="15"/>
      <c r="R13" s="15"/>
      <c r="S13" s="64">
        <v>923.1000918113939</v>
      </c>
      <c r="T13" s="15">
        <v>235</v>
      </c>
      <c r="U13" s="15">
        <v>210000</v>
      </c>
      <c r="V13" s="15">
        <f t="shared" si="1"/>
        <v>3.9708911661000403</v>
      </c>
      <c r="W13" s="15">
        <v>2.4148399999999999</v>
      </c>
      <c r="X13" s="15"/>
      <c r="Y13" s="15"/>
      <c r="Z13" s="15"/>
      <c r="AA13" s="16"/>
      <c r="AB13" s="15"/>
      <c r="AC13" s="17"/>
      <c r="AD13" s="15"/>
      <c r="AE13" s="15" t="s">
        <v>642</v>
      </c>
      <c r="AF13" s="22" t="s">
        <v>5</v>
      </c>
      <c r="AG13" s="17">
        <f t="shared" si="2"/>
        <v>2229.1390257098265</v>
      </c>
      <c r="AH13" s="17"/>
      <c r="AI13" s="15">
        <f t="shared" si="3"/>
        <v>3.1730576524617149</v>
      </c>
      <c r="AJ13" s="17">
        <f t="shared" si="4"/>
        <v>1.1186777765280893</v>
      </c>
      <c r="AK13" s="15">
        <f t="shared" si="5"/>
        <v>0.60813552902576873</v>
      </c>
      <c r="AL13" s="65"/>
      <c r="AM13" s="5">
        <v>3.1315400000000002</v>
      </c>
      <c r="AN13" s="5">
        <v>0.78862398111897936</v>
      </c>
    </row>
    <row r="14" spans="1:40">
      <c r="A14" s="15">
        <v>9</v>
      </c>
      <c r="B14" s="20" t="s">
        <v>645</v>
      </c>
      <c r="C14" s="20">
        <v>220</v>
      </c>
      <c r="D14" s="15">
        <v>220</v>
      </c>
      <c r="E14" s="15">
        <v>600</v>
      </c>
      <c r="F14" s="15">
        <v>19</v>
      </c>
      <c r="G14" s="15">
        <v>19</v>
      </c>
      <c r="H14" s="15">
        <v>12</v>
      </c>
      <c r="I14" s="15">
        <v>24</v>
      </c>
      <c r="J14" s="15">
        <v>24</v>
      </c>
      <c r="K14" s="15">
        <v>25000</v>
      </c>
      <c r="L14" s="15">
        <v>15598</v>
      </c>
      <c r="M14" s="15"/>
      <c r="N14" s="15"/>
      <c r="O14" s="15"/>
      <c r="P14" s="15">
        <f t="shared" si="0"/>
        <v>883258314.66666663</v>
      </c>
      <c r="Q14" s="15"/>
      <c r="R14" s="15"/>
      <c r="S14" s="64">
        <v>923.1000918113939</v>
      </c>
      <c r="T14" s="15">
        <v>235</v>
      </c>
      <c r="U14" s="15">
        <v>210000</v>
      </c>
      <c r="V14" s="15">
        <f t="shared" si="1"/>
        <v>3.9708911661000403</v>
      </c>
      <c r="W14" s="15">
        <v>2.4304299999999999</v>
      </c>
      <c r="X14" s="15"/>
      <c r="Y14" s="15"/>
      <c r="Z14" s="15"/>
      <c r="AA14" s="16"/>
      <c r="AB14" s="15"/>
      <c r="AC14" s="17"/>
      <c r="AD14" s="15"/>
      <c r="AE14" s="15" t="s">
        <v>643</v>
      </c>
      <c r="AF14" s="22" t="s">
        <v>5</v>
      </c>
      <c r="AG14" s="74">
        <f t="shared" si="2"/>
        <v>2243.5301561411661</v>
      </c>
      <c r="AH14" s="74"/>
      <c r="AI14" s="15">
        <f t="shared" si="3"/>
        <v>3.1730576524617149</v>
      </c>
      <c r="AJ14" s="17">
        <f t="shared" si="4"/>
        <v>1.1186777765280893</v>
      </c>
      <c r="AK14" s="15">
        <f t="shared" si="5"/>
        <v>0.61206159986172959</v>
      </c>
      <c r="AL14" s="65"/>
      <c r="AM14" s="5">
        <v>3.1946699999999999</v>
      </c>
      <c r="AN14" s="5">
        <v>0.80452217559455397</v>
      </c>
    </row>
    <row r="15" spans="1:40">
      <c r="A15" s="15">
        <v>10</v>
      </c>
      <c r="B15" s="20" t="s">
        <v>645</v>
      </c>
      <c r="C15" s="20">
        <v>220</v>
      </c>
      <c r="D15" s="15">
        <v>220</v>
      </c>
      <c r="E15" s="15">
        <v>600</v>
      </c>
      <c r="F15" s="15">
        <v>19</v>
      </c>
      <c r="G15" s="15">
        <v>19</v>
      </c>
      <c r="H15" s="15">
        <v>12</v>
      </c>
      <c r="I15" s="15">
        <v>24</v>
      </c>
      <c r="J15" s="15">
        <v>24</v>
      </c>
      <c r="K15" s="15">
        <v>25000</v>
      </c>
      <c r="L15" s="15">
        <v>15598</v>
      </c>
      <c r="M15" s="15"/>
      <c r="N15" s="15"/>
      <c r="O15" s="15"/>
      <c r="P15" s="15">
        <f t="shared" si="0"/>
        <v>883258314.66666663</v>
      </c>
      <c r="Q15" s="15"/>
      <c r="R15" s="15"/>
      <c r="S15" s="64">
        <v>923.1000918113939</v>
      </c>
      <c r="T15" s="15">
        <v>235</v>
      </c>
      <c r="U15" s="15">
        <v>210000</v>
      </c>
      <c r="V15" s="15">
        <f t="shared" si="1"/>
        <v>3.9708911661000403</v>
      </c>
      <c r="W15" s="15">
        <v>2.44245</v>
      </c>
      <c r="X15" s="15"/>
      <c r="Y15" s="15"/>
      <c r="Z15" s="15"/>
      <c r="AA15" s="16"/>
      <c r="AB15" s="15"/>
      <c r="AC15" s="17"/>
      <c r="AD15" s="15"/>
      <c r="AE15" s="15" t="s">
        <v>644</v>
      </c>
      <c r="AF15" s="22" t="s">
        <v>5</v>
      </c>
      <c r="AG15" s="17">
        <f>W15*S15</f>
        <v>2254.625819244739</v>
      </c>
      <c r="AH15" s="17"/>
      <c r="AI15" s="15">
        <f t="shared" si="3"/>
        <v>3.1730576524617149</v>
      </c>
      <c r="AJ15" s="17">
        <f t="shared" si="4"/>
        <v>1.1186777765280893</v>
      </c>
      <c r="AK15" s="15">
        <f>W15/V15</f>
        <v>0.61508862817784571</v>
      </c>
      <c r="AL15" s="65"/>
      <c r="AM15" s="5">
        <v>3.2378499999999999</v>
      </c>
      <c r="AN15" s="5">
        <v>0.81539630892981951</v>
      </c>
    </row>
    <row r="16" spans="1:40">
      <c r="A16" s="67">
        <v>11</v>
      </c>
      <c r="B16" s="68" t="s">
        <v>645</v>
      </c>
      <c r="C16" s="68">
        <v>220</v>
      </c>
      <c r="D16" s="67">
        <v>220</v>
      </c>
      <c r="E16" s="67">
        <v>600</v>
      </c>
      <c r="F16" s="67">
        <v>19</v>
      </c>
      <c r="G16" s="67">
        <v>19</v>
      </c>
      <c r="H16" s="67">
        <v>12</v>
      </c>
      <c r="I16" s="67">
        <v>24</v>
      </c>
      <c r="J16" s="67">
        <v>24</v>
      </c>
      <c r="K16" s="67">
        <v>25000</v>
      </c>
      <c r="L16" s="67">
        <v>15598</v>
      </c>
      <c r="M16" s="67"/>
      <c r="N16" s="67"/>
      <c r="O16" s="67"/>
      <c r="P16" s="67">
        <f t="shared" si="0"/>
        <v>883258314.66666663</v>
      </c>
      <c r="Q16" s="67"/>
      <c r="R16" s="67"/>
      <c r="S16" s="69">
        <v>923.1000918113939</v>
      </c>
      <c r="T16" s="67">
        <v>235</v>
      </c>
      <c r="U16" s="67">
        <v>210000</v>
      </c>
      <c r="V16" s="67">
        <f t="shared" si="1"/>
        <v>3.9708911661000403</v>
      </c>
      <c r="W16" s="67">
        <v>2.4498500000000001</v>
      </c>
      <c r="X16" s="67"/>
      <c r="Y16" s="67"/>
      <c r="Z16" s="67"/>
      <c r="AA16" s="70"/>
      <c r="AB16" s="67"/>
      <c r="AC16" s="71"/>
      <c r="AD16" s="67"/>
      <c r="AE16" s="67" t="s">
        <v>634</v>
      </c>
      <c r="AF16" s="72" t="s">
        <v>5</v>
      </c>
      <c r="AG16" s="71">
        <f>W16*S16</f>
        <v>2261.4567599241436</v>
      </c>
      <c r="AH16" s="71"/>
      <c r="AI16" s="67">
        <f t="shared" si="3"/>
        <v>3.1730576524617149</v>
      </c>
      <c r="AJ16" s="71">
        <f t="shared" si="4"/>
        <v>1.1186777765280893</v>
      </c>
      <c r="AK16" s="67">
        <f>W16/V16</f>
        <v>0.61695218970357446</v>
      </c>
      <c r="AL16" s="73"/>
      <c r="AM16" s="5">
        <v>3.2551399999999999</v>
      </c>
      <c r="AN16" s="5">
        <v>0.81975049525142085</v>
      </c>
    </row>
    <row r="17" spans="1:40">
      <c r="A17" s="15">
        <v>12</v>
      </c>
      <c r="B17" s="20" t="s">
        <v>645</v>
      </c>
      <c r="C17" s="20">
        <v>220</v>
      </c>
      <c r="D17" s="15">
        <v>220</v>
      </c>
      <c r="E17" s="15">
        <v>600</v>
      </c>
      <c r="F17" s="15">
        <v>19</v>
      </c>
      <c r="G17" s="15">
        <v>19</v>
      </c>
      <c r="H17" s="15">
        <v>12</v>
      </c>
      <c r="I17" s="15">
        <v>24</v>
      </c>
      <c r="J17" s="15">
        <v>24</v>
      </c>
      <c r="K17" s="15">
        <v>25000</v>
      </c>
      <c r="L17" s="15">
        <v>15598</v>
      </c>
      <c r="M17" s="15"/>
      <c r="N17" s="15"/>
      <c r="O17" s="15"/>
      <c r="P17" s="15">
        <f t="shared" si="0"/>
        <v>883258314.66666663</v>
      </c>
      <c r="Q17" s="15"/>
      <c r="R17" s="15"/>
      <c r="S17" s="64">
        <v>923.1000918113939</v>
      </c>
      <c r="T17" s="15">
        <v>235</v>
      </c>
      <c r="U17" s="15">
        <v>210000</v>
      </c>
      <c r="V17" s="15">
        <f t="shared" ref="V17:V27" si="6">L17*T17/(S17*1000)</f>
        <v>3.9708911661000403</v>
      </c>
      <c r="W17" s="15">
        <v>2.4577100000000001</v>
      </c>
      <c r="X17" s="15"/>
      <c r="Y17" s="15"/>
      <c r="Z17" s="15"/>
      <c r="AA17" s="16"/>
      <c r="AB17" s="15"/>
      <c r="AC17" s="17"/>
      <c r="AD17" s="15"/>
      <c r="AE17" s="15" t="s">
        <v>646</v>
      </c>
      <c r="AF17" s="22" t="s">
        <v>5</v>
      </c>
      <c r="AG17" s="17">
        <f>W17*S17</f>
        <v>2268.7123266457811</v>
      </c>
      <c r="AH17" s="17"/>
      <c r="AI17" s="15">
        <f t="shared" si="3"/>
        <v>3.1730576524617149</v>
      </c>
      <c r="AJ17" s="17">
        <f t="shared" si="4"/>
        <v>1.1186777765280893</v>
      </c>
      <c r="AK17" s="66">
        <f>W17/V17</f>
        <v>0.61893159424306465</v>
      </c>
      <c r="AL17" s="65"/>
      <c r="AM17" s="5">
        <v>4.6354600000000001</v>
      </c>
      <c r="AN17" s="5">
        <v>0.66017786411569002</v>
      </c>
    </row>
    <row r="18" spans="1:40">
      <c r="A18" s="15">
        <v>13</v>
      </c>
      <c r="B18" s="20" t="s">
        <v>645</v>
      </c>
      <c r="C18" s="20">
        <v>220</v>
      </c>
      <c r="D18" s="15">
        <v>220</v>
      </c>
      <c r="E18" s="15">
        <v>600</v>
      </c>
      <c r="F18" s="15">
        <v>19</v>
      </c>
      <c r="G18" s="15">
        <v>19</v>
      </c>
      <c r="H18" s="15">
        <v>12</v>
      </c>
      <c r="I18" s="15">
        <v>24</v>
      </c>
      <c r="J18" s="15">
        <v>24</v>
      </c>
      <c r="K18" s="15">
        <v>25000</v>
      </c>
      <c r="L18" s="15">
        <v>15598</v>
      </c>
      <c r="M18" s="15"/>
      <c r="N18" s="15"/>
      <c r="O18" s="15"/>
      <c r="P18" s="15">
        <f t="shared" si="0"/>
        <v>883258314.66666663</v>
      </c>
      <c r="Q18" s="15"/>
      <c r="R18" s="15"/>
      <c r="S18" s="64">
        <v>923.1000918113939</v>
      </c>
      <c r="T18" s="15">
        <v>235</v>
      </c>
      <c r="U18" s="15">
        <v>210000</v>
      </c>
      <c r="V18" s="15">
        <f t="shared" si="6"/>
        <v>3.9708911661000403</v>
      </c>
      <c r="W18" s="15">
        <v>2.4636300000000002</v>
      </c>
      <c r="X18" s="15"/>
      <c r="Y18" s="15"/>
      <c r="Z18" s="15"/>
      <c r="AA18" s="16"/>
      <c r="AB18" s="15"/>
      <c r="AC18" s="17"/>
      <c r="AD18" s="15"/>
      <c r="AE18" s="15" t="s">
        <v>647</v>
      </c>
      <c r="AF18" s="22" t="s">
        <v>5</v>
      </c>
      <c r="AG18" s="17">
        <f>W18*S18</f>
        <v>2274.1770791893045</v>
      </c>
      <c r="AH18" s="17"/>
      <c r="AI18" s="15">
        <f t="shared" si="3"/>
        <v>3.1730576524617149</v>
      </c>
      <c r="AJ18" s="17">
        <f t="shared" si="4"/>
        <v>1.1186777765280893</v>
      </c>
      <c r="AK18" s="15">
        <f>W18/V18</f>
        <v>0.62042244346364761</v>
      </c>
      <c r="AL18" s="65"/>
      <c r="AM18" s="5">
        <v>5.0210699999999999</v>
      </c>
      <c r="AN18" s="5">
        <v>0.71509607852842383</v>
      </c>
    </row>
    <row r="19" spans="1:40">
      <c r="A19" s="15">
        <v>14</v>
      </c>
      <c r="B19" s="20" t="s">
        <v>645</v>
      </c>
      <c r="C19" s="20">
        <v>220</v>
      </c>
      <c r="D19" s="15">
        <v>220</v>
      </c>
      <c r="E19" s="15">
        <v>600</v>
      </c>
      <c r="F19" s="15">
        <v>19</v>
      </c>
      <c r="G19" s="15">
        <v>19</v>
      </c>
      <c r="H19" s="15">
        <v>12</v>
      </c>
      <c r="I19" s="15">
        <v>24</v>
      </c>
      <c r="J19" s="15">
        <v>24</v>
      </c>
      <c r="K19" s="15">
        <v>25000</v>
      </c>
      <c r="L19" s="15">
        <v>15598</v>
      </c>
      <c r="M19" s="15"/>
      <c r="N19" s="15"/>
      <c r="O19" s="15"/>
      <c r="P19" s="15">
        <f t="shared" si="0"/>
        <v>883258314.66666663</v>
      </c>
      <c r="Q19" s="15"/>
      <c r="R19" s="15"/>
      <c r="S19" s="64">
        <v>923.1000918113939</v>
      </c>
      <c r="T19" s="15">
        <v>235</v>
      </c>
      <c r="U19" s="15">
        <v>210000</v>
      </c>
      <c r="V19" s="15">
        <f t="shared" si="6"/>
        <v>3.9708911661000403</v>
      </c>
      <c r="W19" s="15">
        <v>2.4674900000000002</v>
      </c>
      <c r="X19" s="15"/>
      <c r="Y19" s="15"/>
      <c r="Z19" s="15"/>
      <c r="AA19" s="16"/>
      <c r="AB19" s="15"/>
      <c r="AC19" s="17"/>
      <c r="AD19" s="15"/>
      <c r="AE19" s="15" t="s">
        <v>648</v>
      </c>
      <c r="AF19" s="22" t="s">
        <v>5</v>
      </c>
      <c r="AG19" s="17">
        <f>W19*S19</f>
        <v>2277.7402455436963</v>
      </c>
      <c r="AH19" s="17"/>
      <c r="AI19" s="15">
        <f t="shared" si="3"/>
        <v>3.1730576524617149</v>
      </c>
      <c r="AJ19" s="17">
        <f t="shared" si="4"/>
        <v>1.1186777765280893</v>
      </c>
      <c r="AK19" s="15">
        <f>W19/V19</f>
        <v>0.6213945174486899</v>
      </c>
      <c r="AL19" s="65"/>
      <c r="AM19" s="5">
        <v>5.2905300000000004</v>
      </c>
      <c r="AN19" s="5">
        <v>0.75347231891548661</v>
      </c>
    </row>
    <row r="20" spans="1:40">
      <c r="A20" s="15">
        <v>15</v>
      </c>
      <c r="B20" s="20" t="s">
        <v>645</v>
      </c>
      <c r="C20" s="20">
        <v>220</v>
      </c>
      <c r="D20" s="15">
        <v>220</v>
      </c>
      <c r="E20" s="15">
        <v>600</v>
      </c>
      <c r="F20" s="15">
        <v>19</v>
      </c>
      <c r="G20" s="15">
        <v>19</v>
      </c>
      <c r="H20" s="15">
        <v>12</v>
      </c>
      <c r="I20" s="15">
        <v>24</v>
      </c>
      <c r="J20" s="15">
        <v>24</v>
      </c>
      <c r="K20" s="15">
        <v>25000</v>
      </c>
      <c r="L20" s="15">
        <v>15598</v>
      </c>
      <c r="M20" s="15"/>
      <c r="N20" s="15"/>
      <c r="O20" s="15"/>
      <c r="P20" s="15">
        <f t="shared" si="0"/>
        <v>883258314.66666663</v>
      </c>
      <c r="Q20" s="15"/>
      <c r="R20" s="15"/>
      <c r="S20" s="64">
        <v>923.1000918113939</v>
      </c>
      <c r="T20" s="15">
        <v>235</v>
      </c>
      <c r="U20" s="15">
        <v>210000</v>
      </c>
      <c r="V20" s="15">
        <f t="shared" si="6"/>
        <v>3.9708911661000403</v>
      </c>
      <c r="W20" s="15">
        <v>2.4698899999999999</v>
      </c>
      <c r="X20" s="15"/>
      <c r="Y20" s="15"/>
      <c r="Z20" s="15"/>
      <c r="AA20" s="16"/>
      <c r="AB20" s="15"/>
      <c r="AC20" s="17"/>
      <c r="AD20" s="15"/>
      <c r="AE20" s="15" t="s">
        <v>649</v>
      </c>
      <c r="AF20" s="22" t="s">
        <v>5</v>
      </c>
      <c r="AG20" s="17">
        <f>W20*S20</f>
        <v>2279.9556857640437</v>
      </c>
      <c r="AH20" s="17"/>
      <c r="AI20" s="15">
        <f t="shared" si="3"/>
        <v>3.1730576524617149</v>
      </c>
      <c r="AJ20" s="17">
        <f t="shared" si="4"/>
        <v>1.1186777765280893</v>
      </c>
      <c r="AK20" s="15">
        <f>W20/V20</f>
        <v>0.62199891578135857</v>
      </c>
      <c r="AL20" s="65"/>
      <c r="AM20" s="5">
        <v>5.4884300000000001</v>
      </c>
      <c r="AN20" s="5">
        <v>0.78165705124161933</v>
      </c>
    </row>
    <row r="21" spans="1:40">
      <c r="A21" s="15">
        <v>16</v>
      </c>
      <c r="B21" s="20" t="s">
        <v>645</v>
      </c>
      <c r="C21" s="20">
        <v>220</v>
      </c>
      <c r="D21" s="15">
        <v>220</v>
      </c>
      <c r="E21" s="15">
        <v>600</v>
      </c>
      <c r="F21" s="15">
        <v>19</v>
      </c>
      <c r="G21" s="15">
        <v>19</v>
      </c>
      <c r="H21" s="15">
        <v>12</v>
      </c>
      <c r="I21" s="15">
        <v>24</v>
      </c>
      <c r="J21" s="15">
        <v>24</v>
      </c>
      <c r="K21" s="15">
        <v>25000</v>
      </c>
      <c r="L21" s="15">
        <v>15598</v>
      </c>
      <c r="M21" s="15"/>
      <c r="N21" s="15"/>
      <c r="O21" s="15"/>
      <c r="P21" s="15">
        <f t="shared" si="0"/>
        <v>883258314.66666663</v>
      </c>
      <c r="Q21" s="15"/>
      <c r="R21" s="15"/>
      <c r="S21" s="64">
        <v>923.1000918113939</v>
      </c>
      <c r="T21" s="15">
        <v>235</v>
      </c>
      <c r="U21" s="15">
        <v>210000</v>
      </c>
      <c r="V21" s="15">
        <f t="shared" si="6"/>
        <v>3.9708911661000403</v>
      </c>
      <c r="W21" s="15">
        <v>2.4713500000000002</v>
      </c>
      <c r="X21" s="15"/>
      <c r="Y21" s="15"/>
      <c r="Z21" s="15"/>
      <c r="AA21" s="16"/>
      <c r="AB21" s="15"/>
      <c r="AC21" s="17"/>
      <c r="AD21" s="15"/>
      <c r="AE21" s="15" t="s">
        <v>650</v>
      </c>
      <c r="AF21" s="22" t="s">
        <v>5</v>
      </c>
      <c r="AG21" s="17">
        <f>W21*S21</f>
        <v>2281.3034118980886</v>
      </c>
      <c r="AH21" s="17"/>
      <c r="AI21" s="15">
        <f t="shared" si="3"/>
        <v>3.1730576524617149</v>
      </c>
      <c r="AJ21" s="17">
        <f t="shared" si="4"/>
        <v>1.1186777765280893</v>
      </c>
      <c r="AK21" s="15">
        <f>W21/V21</f>
        <v>0.62236659143373219</v>
      </c>
      <c r="AL21" s="65"/>
      <c r="AM21" s="5">
        <v>5.6434699999999998</v>
      </c>
      <c r="AN21" s="5">
        <v>0.80373770257988919</v>
      </c>
    </row>
    <row r="22" spans="1:40">
      <c r="A22" s="15">
        <v>17</v>
      </c>
      <c r="B22" s="20" t="s">
        <v>645</v>
      </c>
      <c r="C22" s="20">
        <v>220</v>
      </c>
      <c r="D22" s="15">
        <v>220</v>
      </c>
      <c r="E22" s="15">
        <v>600</v>
      </c>
      <c r="F22" s="15">
        <v>19</v>
      </c>
      <c r="G22" s="15">
        <v>19</v>
      </c>
      <c r="H22" s="15">
        <v>12</v>
      </c>
      <c r="I22" s="15">
        <v>24</v>
      </c>
      <c r="J22" s="15">
        <v>24</v>
      </c>
      <c r="K22" s="15">
        <v>25000</v>
      </c>
      <c r="L22" s="15">
        <v>15598</v>
      </c>
      <c r="M22" s="15"/>
      <c r="N22" s="15"/>
      <c r="O22" s="15"/>
      <c r="P22" s="15">
        <f t="shared" si="0"/>
        <v>883258314.66666663</v>
      </c>
      <c r="Q22" s="15"/>
      <c r="R22" s="15"/>
      <c r="S22" s="64">
        <v>923.1000918113939</v>
      </c>
      <c r="T22" s="15">
        <v>235</v>
      </c>
      <c r="U22" s="15">
        <v>210000</v>
      </c>
      <c r="V22" s="15">
        <f t="shared" si="6"/>
        <v>3.9708911661000403</v>
      </c>
      <c r="W22" s="15">
        <v>2.4745900000000001</v>
      </c>
      <c r="X22" s="15"/>
      <c r="Y22" s="15"/>
      <c r="Z22" s="15"/>
      <c r="AA22" s="16"/>
      <c r="AB22" s="15"/>
      <c r="AC22" s="17"/>
      <c r="AD22" s="15"/>
      <c r="AE22" s="15" t="s">
        <v>651</v>
      </c>
      <c r="AF22" s="22" t="s">
        <v>5</v>
      </c>
      <c r="AG22" s="17">
        <f>W22*S22</f>
        <v>2284.2942561955574</v>
      </c>
      <c r="AH22" s="17"/>
      <c r="AI22" s="15">
        <f t="shared" si="3"/>
        <v>3.1730576524617149</v>
      </c>
      <c r="AJ22" s="17">
        <f t="shared" si="4"/>
        <v>1.1186777765280893</v>
      </c>
      <c r="AK22" s="15">
        <f>W22/V22</f>
        <v>0.62318252918283501</v>
      </c>
      <c r="AL22" s="65"/>
      <c r="AM22" s="5">
        <v>5.7721400000000003</v>
      </c>
      <c r="AN22" s="5">
        <v>0.82206276325903771</v>
      </c>
    </row>
    <row r="23" spans="1:40">
      <c r="A23" s="15">
        <v>18</v>
      </c>
      <c r="B23" s="20" t="s">
        <v>645</v>
      </c>
      <c r="C23" s="20">
        <v>220</v>
      </c>
      <c r="D23" s="15">
        <v>220</v>
      </c>
      <c r="E23" s="15">
        <v>600</v>
      </c>
      <c r="F23" s="15">
        <v>19</v>
      </c>
      <c r="G23" s="15">
        <v>19</v>
      </c>
      <c r="H23" s="15">
        <v>12</v>
      </c>
      <c r="I23" s="15">
        <v>24</v>
      </c>
      <c r="J23" s="15">
        <v>24</v>
      </c>
      <c r="K23" s="15">
        <v>25000</v>
      </c>
      <c r="L23" s="15">
        <v>15598</v>
      </c>
      <c r="M23" s="15"/>
      <c r="N23" s="15"/>
      <c r="O23" s="15"/>
      <c r="P23" s="15">
        <f t="shared" si="0"/>
        <v>883258314.66666663</v>
      </c>
      <c r="Q23" s="15"/>
      <c r="R23" s="15"/>
      <c r="S23" s="64">
        <v>923.1000918113939</v>
      </c>
      <c r="T23" s="15">
        <v>235</v>
      </c>
      <c r="U23" s="15">
        <v>210000</v>
      </c>
      <c r="V23" s="15">
        <f t="shared" si="6"/>
        <v>3.9708911661000403</v>
      </c>
      <c r="W23" s="15">
        <v>2.4775700000000001</v>
      </c>
      <c r="X23" s="15"/>
      <c r="Y23" s="15"/>
      <c r="Z23" s="15"/>
      <c r="AA23" s="16"/>
      <c r="AB23" s="15"/>
      <c r="AC23" s="17"/>
      <c r="AD23" s="15"/>
      <c r="AE23" s="15" t="s">
        <v>652</v>
      </c>
      <c r="AF23" s="22" t="s">
        <v>5</v>
      </c>
      <c r="AG23" s="17">
        <f>W23*S23</f>
        <v>2287.0450944691552</v>
      </c>
      <c r="AH23" s="17"/>
      <c r="AI23" s="15">
        <f t="shared" si="3"/>
        <v>3.1730576524617149</v>
      </c>
      <c r="AJ23" s="17">
        <f t="shared" si="4"/>
        <v>1.1186777765280893</v>
      </c>
      <c r="AK23" s="15">
        <f>W23/V23</f>
        <v>0.62393299044589867</v>
      </c>
      <c r="AL23" s="65"/>
      <c r="AM23" s="5">
        <v>5.85555</v>
      </c>
      <c r="AN23" s="5">
        <v>0.83394193720205301</v>
      </c>
    </row>
    <row r="24" spans="1:40">
      <c r="A24" s="15">
        <v>19</v>
      </c>
      <c r="B24" s="20" t="s">
        <v>645</v>
      </c>
      <c r="C24" s="20">
        <v>220</v>
      </c>
      <c r="D24" s="15">
        <v>220</v>
      </c>
      <c r="E24" s="15">
        <v>600</v>
      </c>
      <c r="F24" s="15">
        <v>19</v>
      </c>
      <c r="G24" s="15">
        <v>19</v>
      </c>
      <c r="H24" s="15">
        <v>12</v>
      </c>
      <c r="I24" s="15">
        <v>24</v>
      </c>
      <c r="J24" s="15">
        <v>24</v>
      </c>
      <c r="K24" s="15">
        <v>25000</v>
      </c>
      <c r="L24" s="15">
        <v>15598</v>
      </c>
      <c r="M24" s="15"/>
      <c r="N24" s="15"/>
      <c r="O24" s="15"/>
      <c r="P24" s="15">
        <f t="shared" si="0"/>
        <v>883258314.66666663</v>
      </c>
      <c r="Q24" s="15"/>
      <c r="R24" s="15"/>
      <c r="S24" s="64">
        <v>923.1000918113939</v>
      </c>
      <c r="T24" s="15">
        <v>235</v>
      </c>
      <c r="U24" s="15">
        <v>210000</v>
      </c>
      <c r="V24" s="15">
        <f t="shared" si="6"/>
        <v>3.9708911661000403</v>
      </c>
      <c r="W24" s="15">
        <v>2.4797799999999999</v>
      </c>
      <c r="X24" s="15"/>
      <c r="Y24" s="15"/>
      <c r="Z24" s="15"/>
      <c r="AA24" s="16"/>
      <c r="AB24" s="15"/>
      <c r="AC24" s="17"/>
      <c r="AD24" s="15"/>
      <c r="AE24" s="15" t="s">
        <v>653</v>
      </c>
      <c r="AF24" s="22" t="s">
        <v>5</v>
      </c>
      <c r="AG24" s="17">
        <f>W24*S24</f>
        <v>2289.0851456720584</v>
      </c>
      <c r="AH24" s="17"/>
      <c r="AI24" s="15">
        <f t="shared" si="3"/>
        <v>3.1730576524617149</v>
      </c>
      <c r="AJ24" s="17">
        <f t="shared" si="4"/>
        <v>1.1186777765280893</v>
      </c>
      <c r="AK24" s="15">
        <f>W24/V24</f>
        <v>0.62448954057723116</v>
      </c>
      <c r="AL24" s="65"/>
      <c r="AM24" s="5">
        <v>5.9238799999999996</v>
      </c>
      <c r="AN24" s="5">
        <v>0.84367343169343567</v>
      </c>
    </row>
    <row r="25" spans="1:40">
      <c r="A25" s="15">
        <v>20</v>
      </c>
      <c r="B25" s="20" t="s">
        <v>645</v>
      </c>
      <c r="C25" s="20">
        <v>220</v>
      </c>
      <c r="D25" s="15">
        <v>220</v>
      </c>
      <c r="E25" s="15">
        <v>600</v>
      </c>
      <c r="F25" s="15">
        <v>19</v>
      </c>
      <c r="G25" s="15">
        <v>19</v>
      </c>
      <c r="H25" s="15">
        <v>12</v>
      </c>
      <c r="I25" s="15">
        <v>24</v>
      </c>
      <c r="J25" s="15">
        <v>24</v>
      </c>
      <c r="K25" s="15">
        <v>25000</v>
      </c>
      <c r="L25" s="15">
        <v>15598</v>
      </c>
      <c r="M25" s="15"/>
      <c r="N25" s="15"/>
      <c r="O25" s="15"/>
      <c r="P25" s="15">
        <f t="shared" si="0"/>
        <v>883258314.66666663</v>
      </c>
      <c r="Q25" s="15"/>
      <c r="R25" s="15"/>
      <c r="S25" s="64">
        <v>923.1000918113939</v>
      </c>
      <c r="T25" s="15">
        <v>235</v>
      </c>
      <c r="U25" s="15">
        <v>210000</v>
      </c>
      <c r="V25" s="15">
        <f t="shared" si="6"/>
        <v>3.9708911661000403</v>
      </c>
      <c r="W25" s="15">
        <v>2.4814699999999998</v>
      </c>
      <c r="X25" s="15"/>
      <c r="Y25" s="15"/>
      <c r="Z25" s="15"/>
      <c r="AA25" s="16"/>
      <c r="AB25" s="15"/>
      <c r="AC25" s="17"/>
      <c r="AD25" s="15"/>
      <c r="AE25" s="15" t="s">
        <v>654</v>
      </c>
      <c r="AF25" s="22" t="s">
        <v>5</v>
      </c>
      <c r="AG25" s="17">
        <f>W25*S25</f>
        <v>2290.6451848272195</v>
      </c>
      <c r="AH25" s="17"/>
      <c r="AI25" s="15">
        <f t="shared" si="3"/>
        <v>3.1730576524617149</v>
      </c>
      <c r="AJ25" s="17">
        <f t="shared" si="4"/>
        <v>1.1186777765280893</v>
      </c>
      <c r="AK25" s="15">
        <f>W25/V25</f>
        <v>0.62491513773648544</v>
      </c>
      <c r="AL25" s="65"/>
      <c r="AM25" s="5">
        <v>5.9803800000000003</v>
      </c>
      <c r="AN25" s="5">
        <v>0.85172010868396886</v>
      </c>
    </row>
    <row r="26" spans="1:40">
      <c r="A26" s="15">
        <v>21</v>
      </c>
      <c r="B26" s="20" t="s">
        <v>645</v>
      </c>
      <c r="C26" s="20">
        <v>220</v>
      </c>
      <c r="D26" s="15">
        <v>220</v>
      </c>
      <c r="E26" s="15">
        <v>600</v>
      </c>
      <c r="F26" s="15">
        <v>19</v>
      </c>
      <c r="G26" s="15">
        <v>19</v>
      </c>
      <c r="H26" s="15">
        <v>12</v>
      </c>
      <c r="I26" s="15">
        <v>24</v>
      </c>
      <c r="J26" s="15">
        <v>24</v>
      </c>
      <c r="K26" s="15">
        <v>25000</v>
      </c>
      <c r="L26" s="15">
        <v>15598</v>
      </c>
      <c r="M26" s="15"/>
      <c r="N26" s="15"/>
      <c r="O26" s="15"/>
      <c r="P26" s="15">
        <f t="shared" si="0"/>
        <v>883258314.66666663</v>
      </c>
      <c r="Q26" s="15"/>
      <c r="R26" s="15"/>
      <c r="S26" s="64">
        <v>923.1000918113939</v>
      </c>
      <c r="T26" s="15">
        <v>235</v>
      </c>
      <c r="U26" s="15">
        <v>210000</v>
      </c>
      <c r="V26" s="15">
        <f t="shared" si="6"/>
        <v>3.9708911661000403</v>
      </c>
      <c r="W26" s="15">
        <v>2.4825699999999999</v>
      </c>
      <c r="X26" s="15"/>
      <c r="Y26" s="15"/>
      <c r="Z26" s="15"/>
      <c r="AA26" s="16"/>
      <c r="AB26" s="15"/>
      <c r="AC26" s="17"/>
      <c r="AD26" s="15"/>
      <c r="AE26" s="15" t="s">
        <v>655</v>
      </c>
      <c r="AF26" s="22" t="s">
        <v>5</v>
      </c>
      <c r="AG26" s="17">
        <f>W26*S26</f>
        <v>2291.660594928212</v>
      </c>
      <c r="AH26" s="17"/>
      <c r="AI26" s="15">
        <f t="shared" si="3"/>
        <v>3.1730576524617149</v>
      </c>
      <c r="AJ26" s="17">
        <f t="shared" si="4"/>
        <v>1.1186777765280893</v>
      </c>
      <c r="AK26" s="15">
        <f>W26/V26</f>
        <v>0.62519215363895864</v>
      </c>
      <c r="AL26" s="65"/>
      <c r="AM26" s="5">
        <v>6.0457099999999997</v>
      </c>
      <c r="AN26" s="5">
        <v>0.86102434599001354</v>
      </c>
    </row>
    <row r="27" spans="1:40">
      <c r="A27" s="15"/>
      <c r="B27" s="20"/>
      <c r="C27" s="20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4"/>
      <c r="T27" s="15"/>
      <c r="U27" s="15"/>
      <c r="V27" s="15"/>
      <c r="W27" s="15"/>
      <c r="X27" s="15"/>
      <c r="Y27" s="15"/>
      <c r="Z27" s="15"/>
      <c r="AA27" s="16"/>
      <c r="AB27" s="15"/>
      <c r="AC27" s="17"/>
      <c r="AD27" s="15"/>
      <c r="AE27" s="15"/>
      <c r="AF27" s="22"/>
      <c r="AG27" s="17"/>
      <c r="AH27" s="17"/>
      <c r="AI27" s="15"/>
      <c r="AJ27" s="17"/>
      <c r="AK27" s="66"/>
      <c r="AL27" s="65"/>
    </row>
    <row r="28" spans="1:40">
      <c r="A28" s="15"/>
      <c r="B28" s="20"/>
      <c r="C28" s="20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6"/>
      <c r="AB28" s="15"/>
      <c r="AC28" s="17"/>
      <c r="AD28" s="15"/>
      <c r="AE28" s="15"/>
      <c r="AF28" s="22"/>
      <c r="AG28" s="17"/>
      <c r="AH28" s="17"/>
      <c r="AI28" s="15"/>
      <c r="AJ28" s="17"/>
      <c r="AK28" s="15"/>
      <c r="AL28" s="65"/>
    </row>
    <row r="29" spans="1:40">
      <c r="A29" s="15"/>
      <c r="B29" s="20"/>
      <c r="C29" s="20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6"/>
      <c r="AB29" s="15"/>
      <c r="AC29" s="17"/>
      <c r="AD29" s="15"/>
      <c r="AE29" s="15"/>
      <c r="AF29" s="22"/>
      <c r="AG29" s="17"/>
      <c r="AH29" s="17"/>
      <c r="AI29" s="15"/>
      <c r="AJ29" s="17"/>
      <c r="AK29" s="15"/>
      <c r="AL29" s="65"/>
    </row>
    <row r="30" spans="1:40">
      <c r="A30" s="15"/>
      <c r="B30" s="20"/>
      <c r="C30" s="20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6"/>
      <c r="AB30" s="15"/>
      <c r="AC30" s="17"/>
      <c r="AD30" s="15"/>
      <c r="AE30" s="15"/>
      <c r="AF30" s="22"/>
      <c r="AG30" s="17"/>
      <c r="AH30" s="17"/>
      <c r="AI30" s="15"/>
      <c r="AJ30" s="17"/>
      <c r="AK30" s="15"/>
      <c r="AL30" s="65"/>
    </row>
    <row r="31" spans="1:40">
      <c r="A31" s="15"/>
      <c r="B31" s="20"/>
      <c r="C31" s="20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6"/>
      <c r="AB31" s="15"/>
      <c r="AC31" s="17"/>
      <c r="AD31" s="15"/>
      <c r="AE31" s="15"/>
      <c r="AF31" s="30"/>
      <c r="AG31" s="17"/>
      <c r="AH31" s="17"/>
      <c r="AI31" s="15"/>
      <c r="AJ31" s="17"/>
      <c r="AK31" s="15"/>
      <c r="AL31" s="65"/>
    </row>
    <row r="32" spans="1:40">
      <c r="A32" s="15"/>
      <c r="B32" s="20"/>
      <c r="C32" s="20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6"/>
      <c r="AB32" s="15"/>
      <c r="AC32" s="17"/>
      <c r="AD32" s="15"/>
      <c r="AE32" s="15"/>
      <c r="AF32" s="22"/>
      <c r="AG32" s="17"/>
      <c r="AH32" s="17"/>
      <c r="AI32" s="15"/>
      <c r="AJ32" s="17"/>
      <c r="AK32" s="15"/>
      <c r="AL32" s="65"/>
    </row>
    <row r="33" spans="1:38">
      <c r="A33" s="15"/>
      <c r="B33" s="20"/>
      <c r="C33" s="20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6"/>
      <c r="AB33" s="15"/>
      <c r="AC33" s="17"/>
      <c r="AD33" s="15"/>
      <c r="AE33" s="15"/>
      <c r="AF33" s="22"/>
      <c r="AG33" s="17"/>
      <c r="AH33" s="17"/>
      <c r="AI33" s="15"/>
      <c r="AJ33" s="17"/>
      <c r="AK33" s="15"/>
      <c r="AL33" s="65"/>
    </row>
    <row r="34" spans="1:38">
      <c r="A34" s="15"/>
      <c r="B34" s="20"/>
      <c r="C34" s="20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6"/>
      <c r="AB34" s="15"/>
      <c r="AC34" s="17"/>
      <c r="AD34" s="15"/>
      <c r="AE34" s="15"/>
      <c r="AF34" s="22"/>
      <c r="AG34" s="17"/>
      <c r="AH34" s="17"/>
      <c r="AI34" s="15"/>
      <c r="AJ34" s="17"/>
      <c r="AK34" s="15"/>
      <c r="AL34" s="65"/>
    </row>
    <row r="35" spans="1:38">
      <c r="A35" s="15"/>
      <c r="B35" s="20"/>
      <c r="C35" s="20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6"/>
      <c r="AB35" s="15"/>
      <c r="AC35" s="17"/>
      <c r="AD35" s="15"/>
      <c r="AE35" s="15"/>
      <c r="AF35" s="22"/>
      <c r="AG35" s="17"/>
      <c r="AH35" s="17"/>
      <c r="AI35" s="15"/>
      <c r="AJ35" s="17"/>
      <c r="AK35" s="15"/>
      <c r="AL35" s="65"/>
    </row>
    <row r="36" spans="1:38">
      <c r="A36" s="15"/>
      <c r="B36" s="20"/>
      <c r="C36" s="20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6"/>
      <c r="AB36" s="15"/>
      <c r="AC36" s="17"/>
      <c r="AD36" s="15"/>
      <c r="AE36" s="15"/>
      <c r="AF36" s="22"/>
      <c r="AG36" s="17"/>
      <c r="AH36" s="17"/>
      <c r="AI36" s="15"/>
      <c r="AJ36" s="17"/>
      <c r="AK36" s="15"/>
      <c r="AL36" s="65"/>
    </row>
    <row r="37" spans="1:38">
      <c r="A37" s="15"/>
      <c r="B37" s="20"/>
      <c r="C37" s="20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6"/>
      <c r="AB37" s="15"/>
      <c r="AC37" s="17"/>
      <c r="AD37" s="15"/>
      <c r="AE37" s="15"/>
      <c r="AF37" s="22"/>
      <c r="AG37" s="17"/>
      <c r="AH37" s="17"/>
      <c r="AI37" s="15"/>
      <c r="AJ37" s="17"/>
      <c r="AK37" s="15"/>
      <c r="AL37" s="65"/>
    </row>
    <row r="38" spans="1:38">
      <c r="A38" s="15"/>
      <c r="B38" s="20"/>
      <c r="C38" s="20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6"/>
      <c r="AB38" s="15"/>
      <c r="AC38" s="17"/>
      <c r="AD38" s="15"/>
      <c r="AE38" s="15"/>
      <c r="AF38" s="22"/>
      <c r="AG38" s="17"/>
      <c r="AH38" s="17"/>
      <c r="AI38" s="15"/>
      <c r="AJ38" s="17"/>
      <c r="AK38" s="15"/>
      <c r="AL38" s="65"/>
    </row>
    <row r="39" spans="1:38">
      <c r="A39" s="15"/>
      <c r="B39" s="20"/>
      <c r="C39" s="20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6"/>
      <c r="AB39" s="15"/>
      <c r="AC39" s="17"/>
      <c r="AD39" s="15"/>
      <c r="AE39" s="15"/>
      <c r="AF39" s="30"/>
      <c r="AG39" s="17"/>
      <c r="AH39" s="17"/>
      <c r="AI39" s="15"/>
      <c r="AJ39" s="17"/>
      <c r="AK39" s="15"/>
      <c r="AL39" s="65"/>
    </row>
    <row r="40" spans="1:38">
      <c r="A40" s="15"/>
      <c r="B40" s="20"/>
      <c r="C40" s="20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6"/>
      <c r="AB40" s="15"/>
      <c r="AC40" s="17"/>
      <c r="AD40" s="15"/>
      <c r="AE40" s="15"/>
      <c r="AF40" s="22"/>
      <c r="AG40" s="17"/>
      <c r="AH40" s="17"/>
      <c r="AI40" s="15"/>
      <c r="AJ40" s="17"/>
      <c r="AK40" s="15"/>
      <c r="AL40" s="65"/>
    </row>
    <row r="41" spans="1:38">
      <c r="A41" s="15"/>
      <c r="B41" s="20"/>
      <c r="C41" s="20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6"/>
      <c r="AB41" s="15"/>
      <c r="AC41" s="17"/>
      <c r="AD41" s="15"/>
      <c r="AE41" s="15"/>
      <c r="AF41" s="22"/>
      <c r="AG41" s="17"/>
      <c r="AH41" s="17"/>
      <c r="AI41" s="15"/>
      <c r="AJ41" s="17"/>
      <c r="AK41" s="15"/>
      <c r="AL41" s="65"/>
    </row>
    <row r="42" spans="1:38">
      <c r="A42" s="15"/>
      <c r="B42" s="20"/>
      <c r="C42" s="20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6"/>
      <c r="AB42" s="15"/>
      <c r="AC42" s="17"/>
      <c r="AD42" s="15"/>
      <c r="AE42" s="15"/>
      <c r="AF42" s="22"/>
      <c r="AG42" s="17"/>
      <c r="AH42" s="17"/>
      <c r="AI42" s="15"/>
      <c r="AJ42" s="17"/>
      <c r="AK42" s="15"/>
      <c r="AL42" s="65"/>
    </row>
    <row r="43" spans="1:38">
      <c r="A43" s="15"/>
      <c r="B43" s="20"/>
      <c r="C43" s="20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6"/>
      <c r="AB43" s="15"/>
      <c r="AC43" s="17"/>
      <c r="AD43" s="15"/>
      <c r="AE43" s="15"/>
      <c r="AF43" s="22"/>
      <c r="AG43" s="17"/>
      <c r="AH43" s="17"/>
      <c r="AI43" s="15"/>
      <c r="AJ43" s="17"/>
      <c r="AK43" s="15"/>
      <c r="AL43" s="65"/>
    </row>
    <row r="44" spans="1:38">
      <c r="A44" s="15"/>
      <c r="B44" s="20"/>
      <c r="C44" s="2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6"/>
      <c r="AB44" s="15"/>
      <c r="AC44" s="17"/>
      <c r="AD44" s="15"/>
      <c r="AE44" s="15"/>
      <c r="AF44" s="22"/>
      <c r="AG44" s="17"/>
      <c r="AH44" s="17"/>
      <c r="AI44" s="15"/>
      <c r="AJ44" s="17"/>
      <c r="AK44" s="15"/>
      <c r="AL44" s="65"/>
    </row>
    <row r="45" spans="1:38">
      <c r="A45" s="15"/>
      <c r="B45" s="20"/>
      <c r="C45" s="20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6"/>
      <c r="AB45" s="15"/>
      <c r="AC45" s="17"/>
      <c r="AD45" s="15"/>
      <c r="AE45" s="15"/>
      <c r="AF45" s="22"/>
      <c r="AG45" s="17"/>
      <c r="AH45" s="17"/>
      <c r="AI45" s="15"/>
      <c r="AJ45" s="17"/>
      <c r="AK45" s="15"/>
      <c r="AL45" s="65"/>
    </row>
    <row r="46" spans="1:38">
      <c r="A46" s="15"/>
      <c r="B46" s="20"/>
      <c r="C46" s="20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6"/>
      <c r="AB46" s="15"/>
      <c r="AC46" s="17"/>
      <c r="AD46" s="15"/>
      <c r="AE46" s="15"/>
      <c r="AF46" s="22"/>
      <c r="AG46" s="17"/>
      <c r="AH46" s="17"/>
      <c r="AI46" s="15"/>
      <c r="AJ46" s="17"/>
      <c r="AK46" s="15"/>
      <c r="AL46" s="65"/>
    </row>
    <row r="47" spans="1:38">
      <c r="A47" s="15"/>
      <c r="B47" s="20"/>
      <c r="C47" s="20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6"/>
      <c r="AB47" s="15"/>
      <c r="AC47" s="17"/>
      <c r="AD47" s="15"/>
      <c r="AE47" s="15"/>
      <c r="AF47" s="30"/>
      <c r="AG47" s="17"/>
      <c r="AH47" s="17"/>
      <c r="AI47" s="15"/>
      <c r="AJ47" s="17"/>
      <c r="AK47" s="15"/>
      <c r="AL47" s="65"/>
    </row>
    <row r="48" spans="1:38">
      <c r="A48" s="15"/>
      <c r="B48" s="20"/>
      <c r="C48" s="20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6"/>
      <c r="AB48" s="15"/>
      <c r="AC48" s="17"/>
      <c r="AD48" s="15"/>
      <c r="AE48" s="15"/>
      <c r="AF48" s="22"/>
      <c r="AG48" s="17"/>
      <c r="AH48" s="17"/>
      <c r="AI48" s="15"/>
      <c r="AJ48" s="17"/>
      <c r="AK48" s="15"/>
      <c r="AL48" s="65"/>
    </row>
    <row r="49" spans="1:38">
      <c r="A49" s="15"/>
      <c r="B49" s="20"/>
      <c r="C49" s="20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6"/>
      <c r="AB49" s="15"/>
      <c r="AC49" s="17"/>
      <c r="AD49" s="15"/>
      <c r="AE49" s="15"/>
      <c r="AF49" s="22"/>
      <c r="AG49" s="17"/>
      <c r="AH49" s="17"/>
      <c r="AI49" s="15"/>
      <c r="AJ49" s="17"/>
      <c r="AK49" s="15"/>
      <c r="AL49" s="65"/>
    </row>
    <row r="50" spans="1:38">
      <c r="A50" s="15"/>
      <c r="B50" s="20"/>
      <c r="C50" s="20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6"/>
      <c r="AB50" s="15"/>
      <c r="AC50" s="17"/>
      <c r="AD50" s="15"/>
      <c r="AE50" s="15"/>
      <c r="AF50" s="22"/>
      <c r="AG50" s="17"/>
      <c r="AH50" s="17"/>
      <c r="AI50" s="15"/>
      <c r="AJ50" s="17"/>
      <c r="AK50" s="15"/>
      <c r="AL50" s="65"/>
    </row>
    <row r="51" spans="1:38">
      <c r="A51" s="15"/>
      <c r="B51" s="20"/>
      <c r="C51" s="20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6"/>
      <c r="AB51" s="15"/>
      <c r="AC51" s="17"/>
      <c r="AD51" s="15"/>
      <c r="AE51" s="15"/>
      <c r="AF51" s="22"/>
      <c r="AG51" s="17"/>
      <c r="AH51" s="17"/>
      <c r="AI51" s="15"/>
      <c r="AJ51" s="17"/>
      <c r="AK51" s="15"/>
      <c r="AL51" s="65"/>
    </row>
    <row r="52" spans="1:38" ht="13.5" customHeight="1">
      <c r="A52" s="15"/>
      <c r="B52" s="20"/>
      <c r="C52" s="20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6"/>
      <c r="AB52" s="15"/>
      <c r="AC52" s="17"/>
      <c r="AD52" s="15"/>
      <c r="AE52" s="15"/>
      <c r="AF52" s="22"/>
      <c r="AG52" s="17"/>
      <c r="AH52" s="17"/>
      <c r="AI52" s="15"/>
      <c r="AJ52" s="17"/>
      <c r="AK52" s="15"/>
      <c r="AL52" s="65"/>
    </row>
    <row r="53" spans="1:38">
      <c r="A53" s="15"/>
      <c r="B53" s="20"/>
      <c r="C53" s="20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6"/>
      <c r="AB53" s="15"/>
      <c r="AC53" s="17"/>
      <c r="AD53" s="15"/>
      <c r="AE53" s="15"/>
      <c r="AF53" s="22"/>
      <c r="AG53" s="17"/>
      <c r="AH53" s="17"/>
      <c r="AI53" s="15"/>
      <c r="AJ53" s="17"/>
      <c r="AK53" s="15"/>
      <c r="AL53" s="65"/>
    </row>
    <row r="54" spans="1:38">
      <c r="A54" s="15"/>
      <c r="B54" s="20"/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6"/>
      <c r="AB54" s="15"/>
      <c r="AC54" s="17"/>
      <c r="AD54" s="15"/>
      <c r="AE54" s="15"/>
      <c r="AF54" s="22"/>
      <c r="AG54" s="17"/>
      <c r="AH54" s="17"/>
      <c r="AI54" s="15"/>
      <c r="AJ54" s="17"/>
      <c r="AK54" s="15"/>
      <c r="AL54" s="65"/>
    </row>
    <row r="55" spans="1:38">
      <c r="A55" s="15"/>
      <c r="B55" s="20"/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6"/>
      <c r="AB55" s="15"/>
      <c r="AC55" s="17"/>
      <c r="AD55" s="15"/>
      <c r="AE55" s="15"/>
      <c r="AF55" s="22"/>
      <c r="AG55" s="17"/>
      <c r="AH55" s="17"/>
      <c r="AI55" s="15"/>
      <c r="AJ55" s="17"/>
      <c r="AK55" s="15"/>
      <c r="AL55" s="65"/>
    </row>
    <row r="56" spans="1:38">
      <c r="A56" s="15"/>
      <c r="B56" s="20"/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6"/>
      <c r="AB56" s="15"/>
      <c r="AC56" s="17"/>
      <c r="AD56" s="15"/>
      <c r="AE56" s="15"/>
      <c r="AF56" s="22"/>
      <c r="AG56" s="17"/>
      <c r="AH56" s="17"/>
      <c r="AI56" s="15"/>
      <c r="AJ56" s="17"/>
      <c r="AK56" s="15"/>
      <c r="AL56" s="65"/>
    </row>
    <row r="57" spans="1:38">
      <c r="A57" s="15"/>
      <c r="B57" s="20"/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6"/>
      <c r="AB57" s="15"/>
      <c r="AC57" s="17"/>
      <c r="AD57" s="15"/>
      <c r="AE57" s="15"/>
      <c r="AF57" s="22"/>
      <c r="AG57" s="17"/>
      <c r="AH57" s="17"/>
      <c r="AI57" s="15"/>
      <c r="AJ57" s="17"/>
      <c r="AK57" s="15"/>
      <c r="AL57" s="65"/>
    </row>
    <row r="58" spans="1:38">
      <c r="A58" s="15"/>
      <c r="B58" s="20"/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6"/>
      <c r="AB58" s="15"/>
      <c r="AC58" s="17"/>
      <c r="AD58" s="15"/>
      <c r="AE58" s="15"/>
      <c r="AF58" s="22"/>
      <c r="AG58" s="17"/>
      <c r="AH58" s="17"/>
      <c r="AI58" s="15"/>
      <c r="AJ58" s="17"/>
      <c r="AK58" s="15"/>
      <c r="AL58" s="65"/>
    </row>
    <row r="59" spans="1:38">
      <c r="A59" s="15"/>
      <c r="B59" s="20"/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6"/>
      <c r="AB59" s="15"/>
      <c r="AC59" s="17"/>
      <c r="AD59" s="15"/>
      <c r="AE59" s="15"/>
      <c r="AF59" s="22"/>
      <c r="AG59" s="17"/>
      <c r="AH59" s="17"/>
      <c r="AI59" s="15"/>
      <c r="AJ59" s="17"/>
      <c r="AK59" s="15"/>
      <c r="AL59" s="65"/>
    </row>
    <row r="60" spans="1:38">
      <c r="A60" s="15"/>
      <c r="B60" s="20"/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6"/>
      <c r="AB60" s="15"/>
      <c r="AC60" s="17"/>
      <c r="AD60" s="15"/>
      <c r="AE60" s="15"/>
      <c r="AF60" s="22"/>
      <c r="AG60" s="17"/>
      <c r="AH60" s="17"/>
      <c r="AI60" s="15"/>
      <c r="AJ60" s="17"/>
      <c r="AK60" s="15"/>
      <c r="AL60" s="65"/>
    </row>
    <row r="61" spans="1:38">
      <c r="A61" s="15"/>
      <c r="B61" s="20"/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6"/>
      <c r="AB61" s="15"/>
      <c r="AC61" s="17"/>
      <c r="AD61" s="15"/>
      <c r="AE61" s="15"/>
      <c r="AF61" s="22"/>
      <c r="AG61" s="17"/>
      <c r="AH61" s="17"/>
      <c r="AI61" s="15"/>
      <c r="AJ61" s="17"/>
      <c r="AK61" s="15"/>
      <c r="AL61" s="65"/>
    </row>
    <row r="62" spans="1:38">
      <c r="A62" s="15"/>
      <c r="B62" s="20"/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6"/>
      <c r="AB62" s="15"/>
      <c r="AC62" s="17"/>
      <c r="AD62" s="15"/>
      <c r="AE62" s="15"/>
      <c r="AF62" s="22"/>
      <c r="AG62" s="17"/>
      <c r="AH62" s="17"/>
      <c r="AI62" s="15"/>
      <c r="AJ62" s="17"/>
      <c r="AK62" s="15"/>
      <c r="AL62" s="65"/>
    </row>
    <row r="63" spans="1:38">
      <c r="A63" s="15"/>
      <c r="B63" s="20"/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6"/>
      <c r="AB63" s="15"/>
      <c r="AC63" s="17"/>
      <c r="AD63" s="15"/>
      <c r="AE63" s="15"/>
      <c r="AF63" s="22"/>
      <c r="AG63" s="17"/>
      <c r="AH63" s="17"/>
      <c r="AI63" s="15"/>
      <c r="AJ63" s="17"/>
      <c r="AK63" s="15"/>
      <c r="AL63" s="65"/>
    </row>
    <row r="64" spans="1:38">
      <c r="A64" s="15"/>
      <c r="B64" s="20"/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6"/>
      <c r="AB64" s="15"/>
      <c r="AC64" s="17"/>
      <c r="AD64" s="15"/>
      <c r="AE64" s="15"/>
      <c r="AF64" s="22"/>
      <c r="AG64" s="17"/>
      <c r="AH64" s="17"/>
      <c r="AI64" s="15"/>
      <c r="AJ64" s="17"/>
      <c r="AK64" s="15"/>
      <c r="AL64" s="65"/>
    </row>
    <row r="65" spans="1:38">
      <c r="A65" s="15"/>
      <c r="B65" s="20"/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6"/>
      <c r="AB65" s="15"/>
      <c r="AC65" s="17"/>
      <c r="AD65" s="15"/>
      <c r="AE65" s="15"/>
      <c r="AF65" s="22"/>
      <c r="AG65" s="17"/>
      <c r="AH65" s="17"/>
      <c r="AI65" s="15"/>
      <c r="AJ65" s="17"/>
      <c r="AK65" s="15"/>
      <c r="AL65" s="65"/>
    </row>
    <row r="66" spans="1:38">
      <c r="A66" s="15"/>
      <c r="B66" s="20"/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6"/>
      <c r="AB66" s="15"/>
      <c r="AC66" s="17"/>
      <c r="AD66" s="15"/>
      <c r="AE66" s="15"/>
      <c r="AF66" s="22"/>
      <c r="AG66" s="17"/>
      <c r="AH66" s="17"/>
      <c r="AI66" s="15"/>
      <c r="AJ66" s="17"/>
      <c r="AK66" s="15"/>
      <c r="AL66" s="65"/>
    </row>
    <row r="67" spans="1:38">
      <c r="A67" s="15"/>
      <c r="B67" s="20"/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6"/>
      <c r="AB67" s="15"/>
      <c r="AC67" s="17"/>
      <c r="AD67" s="15"/>
      <c r="AE67" s="15"/>
      <c r="AF67" s="22"/>
      <c r="AG67" s="17"/>
      <c r="AH67" s="17"/>
      <c r="AI67" s="15"/>
      <c r="AJ67" s="17"/>
      <c r="AK67" s="15"/>
      <c r="AL67" s="65"/>
    </row>
    <row r="68" spans="1:38">
      <c r="A68" s="15"/>
      <c r="B68" s="20"/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6"/>
      <c r="AB68" s="15"/>
      <c r="AC68" s="17"/>
      <c r="AD68" s="15"/>
      <c r="AE68" s="15"/>
      <c r="AF68" s="22"/>
      <c r="AG68" s="17"/>
      <c r="AH68" s="17"/>
      <c r="AI68" s="15"/>
      <c r="AJ68" s="17"/>
      <c r="AK68" s="15"/>
      <c r="AL68" s="65"/>
    </row>
    <row r="69" spans="1:38">
      <c r="A69" s="15"/>
      <c r="B69" s="20"/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6"/>
      <c r="AB69" s="15"/>
      <c r="AC69" s="17"/>
      <c r="AD69" s="15"/>
      <c r="AE69" s="15"/>
      <c r="AF69" s="22"/>
      <c r="AG69" s="17"/>
      <c r="AH69" s="17"/>
      <c r="AI69" s="15"/>
      <c r="AJ69" s="17"/>
      <c r="AK69" s="15"/>
      <c r="AL69" s="65"/>
    </row>
    <row r="70" spans="1:38">
      <c r="A70" s="15"/>
      <c r="B70" s="20"/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6"/>
      <c r="AB70" s="15"/>
      <c r="AC70" s="17"/>
      <c r="AD70" s="15"/>
      <c r="AE70" s="15"/>
      <c r="AF70" s="22"/>
      <c r="AG70" s="17"/>
      <c r="AH70" s="17"/>
      <c r="AI70" s="15"/>
      <c r="AJ70" s="17"/>
      <c r="AK70" s="15"/>
      <c r="AL70" s="65"/>
    </row>
    <row r="71" spans="1:38">
      <c r="A71" s="15"/>
      <c r="B71" s="20"/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6"/>
      <c r="AB71" s="15"/>
      <c r="AC71" s="17"/>
      <c r="AD71" s="15"/>
      <c r="AE71" s="15"/>
      <c r="AF71" s="22"/>
      <c r="AG71" s="17"/>
      <c r="AH71" s="17"/>
      <c r="AI71" s="15"/>
      <c r="AJ71" s="17"/>
      <c r="AK71" s="15"/>
      <c r="AL71" s="65"/>
    </row>
    <row r="72" spans="1:38">
      <c r="A72" s="15"/>
      <c r="B72" s="20"/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6"/>
      <c r="AB72" s="15"/>
      <c r="AC72" s="17"/>
      <c r="AD72" s="15"/>
      <c r="AE72" s="15"/>
      <c r="AF72" s="22"/>
      <c r="AG72" s="17"/>
      <c r="AH72" s="17"/>
      <c r="AI72" s="15"/>
      <c r="AJ72" s="17"/>
      <c r="AK72" s="15"/>
      <c r="AL72" s="65"/>
    </row>
    <row r="73" spans="1:38">
      <c r="A73" s="15"/>
      <c r="B73" s="20"/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6"/>
      <c r="AB73" s="15"/>
      <c r="AC73" s="17"/>
      <c r="AD73" s="15"/>
      <c r="AE73" s="15"/>
      <c r="AF73" s="22"/>
      <c r="AG73" s="17"/>
      <c r="AH73" s="17"/>
      <c r="AI73" s="15"/>
      <c r="AJ73" s="17"/>
      <c r="AK73" s="15"/>
      <c r="AL73" s="65"/>
    </row>
    <row r="74" spans="1:38">
      <c r="A74" s="15"/>
      <c r="B74" s="20"/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6"/>
      <c r="AB74" s="15"/>
      <c r="AC74" s="17"/>
      <c r="AD74" s="15"/>
      <c r="AE74" s="15"/>
      <c r="AF74" s="22"/>
      <c r="AG74" s="17"/>
      <c r="AH74" s="17"/>
      <c r="AI74" s="15"/>
      <c r="AJ74" s="17"/>
      <c r="AK74" s="15"/>
      <c r="AL74" s="65"/>
    </row>
    <row r="75" spans="1:38">
      <c r="A75" s="15"/>
      <c r="B75" s="20"/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6"/>
      <c r="AB75" s="15"/>
      <c r="AC75" s="17"/>
      <c r="AD75" s="15"/>
      <c r="AE75" s="15"/>
      <c r="AF75" s="22"/>
      <c r="AG75" s="17"/>
      <c r="AH75" s="17"/>
      <c r="AI75" s="15"/>
      <c r="AJ75" s="17"/>
      <c r="AK75" s="15"/>
      <c r="AL75" s="65"/>
    </row>
    <row r="76" spans="1:38">
      <c r="A76" s="15"/>
      <c r="B76" s="20"/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6"/>
      <c r="AB76" s="15"/>
      <c r="AC76" s="17"/>
      <c r="AD76" s="15"/>
      <c r="AE76" s="15"/>
      <c r="AF76" s="22"/>
      <c r="AG76" s="17"/>
      <c r="AH76" s="17"/>
      <c r="AI76" s="15"/>
      <c r="AJ76" s="17"/>
      <c r="AK76" s="15"/>
      <c r="AL76" s="65"/>
    </row>
    <row r="77" spans="1:38">
      <c r="A77" s="15"/>
      <c r="B77" s="20"/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6"/>
      <c r="AB77" s="15"/>
      <c r="AC77" s="17"/>
      <c r="AD77" s="15"/>
      <c r="AE77" s="15"/>
      <c r="AF77" s="22"/>
      <c r="AG77" s="17"/>
      <c r="AH77" s="17"/>
      <c r="AI77" s="15"/>
      <c r="AJ77" s="17"/>
      <c r="AK77" s="15"/>
      <c r="AL77" s="65"/>
    </row>
    <row r="78" spans="1:38">
      <c r="A78" s="15"/>
      <c r="B78" s="20"/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6"/>
      <c r="AB78" s="15"/>
      <c r="AC78" s="17"/>
      <c r="AD78" s="15"/>
      <c r="AE78" s="15"/>
      <c r="AF78" s="22"/>
      <c r="AG78" s="17"/>
      <c r="AH78" s="17"/>
      <c r="AI78" s="15"/>
      <c r="AJ78" s="17"/>
      <c r="AK78" s="15"/>
      <c r="AL78" s="65"/>
    </row>
    <row r="79" spans="1:38">
      <c r="A79" s="15"/>
      <c r="B79" s="20"/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6"/>
      <c r="AB79" s="15"/>
      <c r="AC79" s="17"/>
      <c r="AD79" s="15"/>
      <c r="AE79" s="15"/>
      <c r="AF79" s="22"/>
      <c r="AG79" s="17"/>
      <c r="AH79" s="17"/>
      <c r="AI79" s="15"/>
      <c r="AJ79" s="17"/>
      <c r="AK79" s="15"/>
      <c r="AL79" s="65"/>
    </row>
    <row r="80" spans="1:38">
      <c r="A80" s="15"/>
      <c r="B80" s="20"/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6"/>
      <c r="AB80" s="15"/>
      <c r="AC80" s="17"/>
      <c r="AD80" s="15"/>
      <c r="AE80" s="15"/>
      <c r="AF80" s="22"/>
      <c r="AG80" s="17"/>
      <c r="AH80" s="17"/>
      <c r="AI80" s="15"/>
      <c r="AJ80" s="17"/>
      <c r="AK80" s="15"/>
      <c r="AL80" s="65"/>
    </row>
    <row r="81" spans="1:38">
      <c r="A81" s="15"/>
      <c r="B81" s="20"/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6"/>
      <c r="AB81" s="15"/>
      <c r="AC81" s="17"/>
      <c r="AD81" s="15"/>
      <c r="AE81" s="15"/>
      <c r="AF81" s="22"/>
      <c r="AG81" s="17"/>
      <c r="AH81" s="17"/>
      <c r="AI81" s="15"/>
      <c r="AJ81" s="17"/>
      <c r="AK81" s="15"/>
      <c r="AL81" s="65"/>
    </row>
    <row r="82" spans="1:38">
      <c r="A82" s="15"/>
      <c r="B82" s="20"/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6"/>
      <c r="AB82" s="15"/>
      <c r="AC82" s="17"/>
      <c r="AD82" s="15"/>
      <c r="AE82" s="15"/>
      <c r="AF82" s="22"/>
      <c r="AG82" s="17"/>
      <c r="AH82" s="17"/>
      <c r="AI82" s="15"/>
      <c r="AJ82" s="17"/>
      <c r="AK82" s="15"/>
      <c r="AL82" s="65"/>
    </row>
    <row r="83" spans="1:38">
      <c r="A83" s="15"/>
      <c r="B83" s="20"/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6"/>
      <c r="AB83" s="15"/>
      <c r="AC83" s="17"/>
      <c r="AD83" s="15"/>
      <c r="AE83" s="15"/>
      <c r="AF83" s="22"/>
      <c r="AG83" s="17"/>
      <c r="AH83" s="17"/>
      <c r="AI83" s="15"/>
      <c r="AJ83" s="17"/>
      <c r="AK83" s="15"/>
      <c r="AL83" s="65"/>
    </row>
    <row r="84" spans="1:38">
      <c r="A84" s="15"/>
      <c r="B84" s="20"/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6"/>
      <c r="AB84" s="15"/>
      <c r="AC84" s="17"/>
      <c r="AD84" s="15"/>
      <c r="AE84" s="15"/>
      <c r="AF84" s="22"/>
      <c r="AG84" s="17"/>
      <c r="AH84" s="17"/>
      <c r="AI84" s="15"/>
      <c r="AJ84" s="17"/>
      <c r="AK84" s="15"/>
      <c r="AL84" s="65"/>
    </row>
    <row r="85" spans="1:38">
      <c r="A85" s="15"/>
      <c r="B85" s="20"/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6"/>
      <c r="AB85" s="15"/>
      <c r="AC85" s="17"/>
      <c r="AD85" s="15"/>
      <c r="AE85" s="15"/>
      <c r="AF85" s="22"/>
      <c r="AG85" s="17"/>
      <c r="AH85" s="17"/>
      <c r="AI85" s="15"/>
      <c r="AJ85" s="17"/>
      <c r="AK85" s="15"/>
      <c r="AL85" s="65"/>
    </row>
    <row r="86" spans="1:38">
      <c r="A86" s="15"/>
      <c r="B86" s="20"/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6"/>
      <c r="AB86" s="15"/>
      <c r="AC86" s="17"/>
      <c r="AD86" s="15"/>
      <c r="AE86" s="15"/>
      <c r="AF86" s="22"/>
      <c r="AG86" s="17"/>
      <c r="AH86" s="17"/>
      <c r="AI86" s="15"/>
      <c r="AJ86" s="17"/>
      <c r="AK86" s="15"/>
      <c r="AL86" s="65"/>
    </row>
    <row r="87" spans="1:38">
      <c r="A87" s="15"/>
      <c r="B87" s="20"/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6"/>
      <c r="AB87" s="15"/>
      <c r="AC87" s="17"/>
      <c r="AD87" s="15"/>
      <c r="AE87" s="15"/>
      <c r="AF87" s="30"/>
      <c r="AG87" s="17"/>
      <c r="AH87" s="17"/>
      <c r="AI87" s="15"/>
      <c r="AJ87" s="17"/>
      <c r="AK87" s="15"/>
      <c r="AL87" s="65"/>
    </row>
    <row r="88" spans="1:38">
      <c r="A88" s="15"/>
      <c r="B88" s="20"/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6"/>
      <c r="AB88" s="15"/>
      <c r="AC88" s="17"/>
      <c r="AD88" s="15"/>
      <c r="AE88" s="15"/>
      <c r="AF88" s="22"/>
      <c r="AG88" s="17"/>
      <c r="AH88" s="17"/>
      <c r="AI88" s="15"/>
      <c r="AJ88" s="17"/>
      <c r="AK88" s="15"/>
      <c r="AL88" s="65"/>
    </row>
    <row r="89" spans="1:38">
      <c r="A89" s="15"/>
      <c r="B89" s="20"/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6"/>
      <c r="AB89" s="15"/>
      <c r="AC89" s="17"/>
      <c r="AD89" s="15"/>
      <c r="AE89" s="15"/>
      <c r="AF89" s="22"/>
      <c r="AG89" s="17"/>
      <c r="AH89" s="17"/>
      <c r="AI89" s="15"/>
      <c r="AJ89" s="17"/>
      <c r="AK89" s="15"/>
      <c r="AL89" s="65"/>
    </row>
    <row r="90" spans="1:38">
      <c r="A90" s="15"/>
      <c r="B90" s="20"/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6"/>
      <c r="AB90" s="15"/>
      <c r="AC90" s="17"/>
      <c r="AD90" s="15"/>
      <c r="AE90" s="15"/>
      <c r="AF90" s="22"/>
      <c r="AG90" s="17"/>
      <c r="AH90" s="17"/>
      <c r="AI90" s="15"/>
      <c r="AJ90" s="17"/>
      <c r="AK90" s="15"/>
      <c r="AL90" s="65"/>
    </row>
    <row r="91" spans="1:38">
      <c r="A91" s="15"/>
      <c r="B91" s="20"/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6"/>
      <c r="AB91" s="15"/>
      <c r="AC91" s="17"/>
      <c r="AD91" s="15"/>
      <c r="AE91" s="15"/>
      <c r="AF91" s="22"/>
      <c r="AG91" s="17"/>
      <c r="AH91" s="17"/>
      <c r="AI91" s="15"/>
      <c r="AJ91" s="17"/>
      <c r="AK91" s="15"/>
      <c r="AL91" s="65"/>
    </row>
    <row r="92" spans="1:38">
      <c r="A92" s="15"/>
      <c r="B92" s="20"/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6"/>
      <c r="AB92" s="15"/>
      <c r="AC92" s="17"/>
      <c r="AD92" s="15"/>
      <c r="AE92" s="15"/>
      <c r="AF92" s="22"/>
      <c r="AG92" s="17"/>
      <c r="AH92" s="17"/>
      <c r="AI92" s="15"/>
      <c r="AJ92" s="17"/>
      <c r="AK92" s="15"/>
      <c r="AL92" s="65"/>
    </row>
    <row r="93" spans="1:38">
      <c r="A93" s="15"/>
      <c r="B93" s="20"/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6"/>
      <c r="AB93" s="15"/>
      <c r="AC93" s="17"/>
      <c r="AD93" s="15"/>
      <c r="AE93" s="15"/>
      <c r="AF93" s="22"/>
      <c r="AG93" s="17"/>
      <c r="AH93" s="17"/>
      <c r="AI93" s="15"/>
      <c r="AJ93" s="17"/>
      <c r="AK93" s="15"/>
      <c r="AL93" s="65"/>
    </row>
    <row r="94" spans="1:38">
      <c r="A94" s="15"/>
      <c r="B94" s="20"/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6"/>
      <c r="AB94" s="15"/>
      <c r="AC94" s="17"/>
      <c r="AD94" s="15"/>
      <c r="AE94" s="15"/>
      <c r="AF94" s="22"/>
      <c r="AG94" s="17"/>
      <c r="AH94" s="17"/>
      <c r="AI94" s="15"/>
      <c r="AJ94" s="17"/>
      <c r="AK94" s="15"/>
      <c r="AL94" s="65"/>
    </row>
    <row r="95" spans="1:38">
      <c r="A95" s="15"/>
      <c r="B95" s="20"/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6"/>
      <c r="AB95" s="15"/>
      <c r="AC95" s="17"/>
      <c r="AD95" s="15"/>
      <c r="AE95" s="15"/>
      <c r="AF95" s="22"/>
      <c r="AG95" s="17"/>
      <c r="AH95" s="17"/>
      <c r="AI95" s="15"/>
      <c r="AJ95" s="17"/>
      <c r="AK95" s="15"/>
      <c r="AL95" s="65"/>
    </row>
    <row r="96" spans="1:38">
      <c r="A96" s="15"/>
      <c r="B96" s="20"/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6"/>
      <c r="AB96" s="15"/>
      <c r="AC96" s="17"/>
      <c r="AD96" s="15"/>
      <c r="AE96" s="15"/>
      <c r="AF96" s="22"/>
      <c r="AG96" s="17"/>
      <c r="AH96" s="17"/>
      <c r="AI96" s="15"/>
      <c r="AJ96" s="17"/>
      <c r="AK96" s="15"/>
      <c r="AL96" s="65"/>
    </row>
    <row r="97" spans="1:38">
      <c r="A97" s="15"/>
      <c r="B97" s="20"/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6"/>
      <c r="AB97" s="15"/>
      <c r="AC97" s="17"/>
      <c r="AD97" s="15"/>
      <c r="AE97" s="15"/>
      <c r="AF97" s="22"/>
      <c r="AG97" s="17"/>
      <c r="AH97" s="17"/>
      <c r="AI97" s="15"/>
      <c r="AJ97" s="17"/>
      <c r="AK97" s="15"/>
      <c r="AL97" s="65"/>
    </row>
    <row r="98" spans="1:38">
      <c r="A98" s="15"/>
      <c r="B98" s="20"/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6"/>
      <c r="AB98" s="15"/>
      <c r="AC98" s="17"/>
      <c r="AD98" s="15"/>
      <c r="AE98" s="15"/>
      <c r="AF98" s="22"/>
      <c r="AG98" s="17"/>
      <c r="AH98" s="17"/>
      <c r="AI98" s="15"/>
      <c r="AJ98" s="17"/>
      <c r="AK98" s="15"/>
      <c r="AL98" s="65"/>
    </row>
    <row r="99" spans="1:38">
      <c r="A99" s="15"/>
      <c r="B99" s="20"/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6"/>
      <c r="AB99" s="15"/>
      <c r="AC99" s="17"/>
      <c r="AD99" s="15"/>
      <c r="AE99" s="15"/>
      <c r="AF99" s="22"/>
      <c r="AG99" s="17"/>
      <c r="AH99" s="17"/>
      <c r="AI99" s="15"/>
      <c r="AJ99" s="17"/>
      <c r="AK99" s="15"/>
      <c r="AL99" s="65"/>
    </row>
    <row r="100" spans="1:38">
      <c r="A100" s="31"/>
      <c r="B100" s="32"/>
      <c r="C100" s="32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3"/>
      <c r="AB100" s="31"/>
      <c r="AC100" s="34"/>
      <c r="AD100" s="31"/>
      <c r="AE100" s="31"/>
      <c r="AF100" s="35"/>
      <c r="AG100" s="34"/>
      <c r="AH100" s="34"/>
      <c r="AI100" s="31"/>
      <c r="AJ100" s="34"/>
      <c r="AK100" s="31"/>
      <c r="AL100" s="65"/>
    </row>
    <row r="101" spans="1:38" ht="13.5" thickBot="1">
      <c r="A101" s="42"/>
      <c r="B101" s="45"/>
      <c r="C101" s="45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1"/>
      <c r="AB101" s="42"/>
      <c r="AC101" s="43"/>
      <c r="AD101" s="42"/>
      <c r="AE101" s="42"/>
      <c r="AF101" s="44"/>
      <c r="AG101" s="43"/>
      <c r="AH101" s="43"/>
      <c r="AI101" s="42"/>
      <c r="AJ101" s="43"/>
      <c r="AK101" s="42"/>
      <c r="AL101" s="65"/>
    </row>
    <row r="102" spans="1:38">
      <c r="A102" s="36"/>
      <c r="B102" s="37"/>
      <c r="C102" s="37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8"/>
      <c r="AB102" s="36"/>
      <c r="AC102" s="39"/>
      <c r="AD102" s="36"/>
      <c r="AE102" s="36"/>
      <c r="AF102" s="54"/>
      <c r="AG102" s="39"/>
      <c r="AH102" s="39"/>
      <c r="AI102" s="36"/>
      <c r="AJ102" s="39"/>
      <c r="AK102" s="36"/>
      <c r="AL102" s="65"/>
    </row>
    <row r="103" spans="1:38">
      <c r="A103" s="15"/>
      <c r="B103" s="20"/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6"/>
      <c r="AB103" s="15"/>
      <c r="AC103" s="17"/>
      <c r="AD103" s="15"/>
      <c r="AE103" s="15"/>
      <c r="AF103" s="30"/>
      <c r="AG103" s="17"/>
      <c r="AH103" s="17"/>
      <c r="AI103" s="15"/>
      <c r="AJ103" s="17"/>
      <c r="AK103" s="15"/>
      <c r="AL103" s="65"/>
    </row>
    <row r="104" spans="1:38">
      <c r="A104" s="15"/>
      <c r="B104" s="20"/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6"/>
      <c r="AB104" s="15"/>
      <c r="AC104" s="17"/>
      <c r="AD104" s="15"/>
      <c r="AE104" s="15"/>
      <c r="AF104" s="22"/>
      <c r="AG104" s="17"/>
      <c r="AH104" s="17"/>
      <c r="AI104" s="15"/>
      <c r="AJ104" s="17"/>
      <c r="AK104" s="15"/>
      <c r="AL104" s="65"/>
    </row>
    <row r="105" spans="1:38">
      <c r="A105" s="15"/>
      <c r="B105" s="20"/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6"/>
      <c r="AB105" s="15"/>
      <c r="AC105" s="17"/>
      <c r="AD105" s="15"/>
      <c r="AE105" s="15"/>
      <c r="AF105" s="22"/>
      <c r="AG105" s="17"/>
      <c r="AH105" s="17"/>
      <c r="AI105" s="15"/>
      <c r="AJ105" s="17"/>
      <c r="AK105" s="15"/>
      <c r="AL105" s="65"/>
    </row>
    <row r="106" spans="1:38">
      <c r="A106" s="15"/>
      <c r="B106" s="20"/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6"/>
      <c r="AB106" s="15"/>
      <c r="AC106" s="17"/>
      <c r="AD106" s="15"/>
      <c r="AE106" s="15"/>
      <c r="AF106" s="22"/>
      <c r="AG106" s="17"/>
      <c r="AH106" s="17"/>
      <c r="AI106" s="15"/>
      <c r="AJ106" s="17"/>
      <c r="AK106" s="15"/>
      <c r="AL106" s="65"/>
    </row>
    <row r="107" spans="1:38">
      <c r="A107" s="15"/>
      <c r="B107" s="20"/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6"/>
      <c r="AB107" s="15"/>
      <c r="AC107" s="17"/>
      <c r="AD107" s="15"/>
      <c r="AE107" s="15"/>
      <c r="AF107" s="22"/>
      <c r="AG107" s="17"/>
      <c r="AH107" s="17"/>
      <c r="AI107" s="15"/>
      <c r="AJ107" s="17"/>
      <c r="AK107" s="15"/>
      <c r="AL107" s="65"/>
    </row>
    <row r="108" spans="1:38">
      <c r="A108" s="15"/>
      <c r="B108" s="20"/>
      <c r="C108" s="20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6"/>
      <c r="AB108" s="15"/>
      <c r="AC108" s="17"/>
      <c r="AD108" s="15"/>
      <c r="AE108" s="15"/>
      <c r="AF108" s="22"/>
      <c r="AG108" s="17"/>
      <c r="AH108" s="17"/>
      <c r="AI108" s="15"/>
      <c r="AJ108" s="17"/>
      <c r="AK108" s="15"/>
      <c r="AL108" s="65"/>
    </row>
    <row r="109" spans="1:38">
      <c r="A109" s="15"/>
      <c r="B109" s="20"/>
      <c r="C109" s="20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6"/>
      <c r="AB109" s="15"/>
      <c r="AC109" s="17"/>
      <c r="AD109" s="15"/>
      <c r="AE109" s="15"/>
      <c r="AF109" s="22"/>
      <c r="AG109" s="17"/>
      <c r="AH109" s="17"/>
      <c r="AI109" s="15"/>
      <c r="AJ109" s="17"/>
      <c r="AK109" s="15"/>
      <c r="AL109" s="65"/>
    </row>
    <row r="110" spans="1:38">
      <c r="A110" s="15"/>
      <c r="B110" s="20"/>
      <c r="C110" s="20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6"/>
      <c r="AB110" s="15"/>
      <c r="AC110" s="17"/>
      <c r="AD110" s="15"/>
      <c r="AE110" s="15"/>
      <c r="AF110" s="22"/>
      <c r="AG110" s="17"/>
      <c r="AH110" s="17"/>
      <c r="AI110" s="15"/>
      <c r="AJ110" s="17"/>
      <c r="AK110" s="15"/>
      <c r="AL110" s="65"/>
    </row>
    <row r="111" spans="1:38">
      <c r="A111" s="15"/>
      <c r="B111" s="20"/>
      <c r="C111" s="20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6"/>
      <c r="AB111" s="15"/>
      <c r="AC111" s="17"/>
      <c r="AD111" s="15"/>
      <c r="AE111" s="15"/>
      <c r="AF111" s="22"/>
      <c r="AG111" s="17"/>
      <c r="AH111" s="17"/>
      <c r="AI111" s="15"/>
      <c r="AJ111" s="17"/>
      <c r="AK111" s="15"/>
      <c r="AL111" s="65"/>
    </row>
    <row r="112" spans="1:38">
      <c r="A112" s="15"/>
      <c r="B112" s="20"/>
      <c r="C112" s="20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6"/>
      <c r="AB112" s="15"/>
      <c r="AC112" s="17"/>
      <c r="AD112" s="15"/>
      <c r="AE112" s="15"/>
      <c r="AF112" s="22"/>
      <c r="AG112" s="17"/>
      <c r="AH112" s="17"/>
      <c r="AI112" s="15"/>
      <c r="AJ112" s="17"/>
      <c r="AK112" s="15"/>
      <c r="AL112" s="65"/>
    </row>
    <row r="113" spans="1:38">
      <c r="A113" s="15"/>
      <c r="B113" s="20"/>
      <c r="C113" s="20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6"/>
      <c r="AB113" s="15"/>
      <c r="AC113" s="17"/>
      <c r="AD113" s="15"/>
      <c r="AE113" s="15"/>
      <c r="AF113" s="22"/>
      <c r="AG113" s="17"/>
      <c r="AH113" s="17"/>
      <c r="AI113" s="15"/>
      <c r="AJ113" s="17"/>
      <c r="AK113" s="15"/>
      <c r="AL113" s="65"/>
    </row>
    <row r="114" spans="1:38">
      <c r="A114" s="15"/>
      <c r="B114" s="20"/>
      <c r="C114" s="20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6"/>
      <c r="AB114" s="15"/>
      <c r="AC114" s="17"/>
      <c r="AD114" s="15"/>
      <c r="AE114" s="15"/>
      <c r="AF114" s="22"/>
      <c r="AG114" s="17"/>
      <c r="AH114" s="17"/>
      <c r="AI114" s="15"/>
      <c r="AJ114" s="17"/>
      <c r="AK114" s="15"/>
      <c r="AL114" s="65"/>
    </row>
    <row r="115" spans="1:38">
      <c r="A115" s="15"/>
      <c r="B115" s="20"/>
      <c r="C115" s="20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6"/>
      <c r="AB115" s="15"/>
      <c r="AC115" s="17"/>
      <c r="AD115" s="15"/>
      <c r="AE115" s="15"/>
      <c r="AF115" s="22"/>
      <c r="AG115" s="17"/>
      <c r="AH115" s="17"/>
      <c r="AI115" s="15"/>
      <c r="AJ115" s="17"/>
      <c r="AK115" s="15"/>
      <c r="AL115" s="65"/>
    </row>
    <row r="116" spans="1:38">
      <c r="A116" s="15"/>
      <c r="B116" s="20"/>
      <c r="C116" s="20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6"/>
      <c r="AB116" s="15"/>
      <c r="AC116" s="17"/>
      <c r="AD116" s="15"/>
      <c r="AE116" s="15"/>
      <c r="AF116" s="22"/>
      <c r="AG116" s="17"/>
      <c r="AH116" s="17"/>
      <c r="AI116" s="15"/>
      <c r="AJ116" s="17"/>
      <c r="AK116" s="15"/>
      <c r="AL116" s="65"/>
    </row>
    <row r="117" spans="1:38">
      <c r="A117" s="15"/>
      <c r="B117" s="20"/>
      <c r="C117" s="20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6"/>
      <c r="AB117" s="15"/>
      <c r="AC117" s="17"/>
      <c r="AD117" s="15"/>
      <c r="AE117" s="15"/>
      <c r="AF117" s="22"/>
      <c r="AG117" s="17"/>
      <c r="AH117" s="17"/>
      <c r="AI117" s="15"/>
      <c r="AJ117" s="17"/>
      <c r="AK117" s="15"/>
      <c r="AL117" s="65"/>
    </row>
    <row r="118" spans="1:38">
      <c r="A118" s="15"/>
      <c r="B118" s="20"/>
      <c r="C118" s="20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6"/>
      <c r="AB118" s="15"/>
      <c r="AC118" s="17"/>
      <c r="AD118" s="15"/>
      <c r="AE118" s="15"/>
      <c r="AF118" s="22"/>
      <c r="AG118" s="17"/>
      <c r="AH118" s="17"/>
      <c r="AI118" s="15"/>
      <c r="AJ118" s="17"/>
      <c r="AK118" s="15"/>
      <c r="AL118" s="65"/>
    </row>
    <row r="119" spans="1:38">
      <c r="A119" s="15"/>
      <c r="B119" s="20"/>
      <c r="C119" s="20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6"/>
      <c r="AB119" s="15"/>
      <c r="AC119" s="17"/>
      <c r="AD119" s="15"/>
      <c r="AE119" s="15"/>
      <c r="AF119" s="22"/>
      <c r="AG119" s="17"/>
      <c r="AH119" s="17"/>
      <c r="AI119" s="15"/>
      <c r="AJ119" s="17"/>
      <c r="AK119" s="15"/>
      <c r="AL119" s="65"/>
    </row>
    <row r="120" spans="1:38">
      <c r="A120" s="15"/>
      <c r="B120" s="20"/>
      <c r="C120" s="20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6"/>
      <c r="AB120" s="15"/>
      <c r="AC120" s="17"/>
      <c r="AD120" s="15"/>
      <c r="AE120" s="15"/>
      <c r="AF120" s="22"/>
      <c r="AG120" s="17"/>
      <c r="AH120" s="17"/>
      <c r="AI120" s="15"/>
      <c r="AJ120" s="17"/>
      <c r="AK120" s="15"/>
      <c r="AL120" s="65"/>
    </row>
    <row r="121" spans="1:38">
      <c r="A121" s="15"/>
      <c r="B121" s="20"/>
      <c r="C121" s="20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6"/>
      <c r="AB121" s="15"/>
      <c r="AC121" s="17"/>
      <c r="AD121" s="15"/>
      <c r="AE121" s="15"/>
      <c r="AF121" s="22"/>
      <c r="AG121" s="17"/>
      <c r="AH121" s="17"/>
      <c r="AI121" s="15"/>
      <c r="AJ121" s="17"/>
      <c r="AK121" s="15"/>
      <c r="AL121" s="65"/>
    </row>
    <row r="122" spans="1:38">
      <c r="A122" s="15"/>
      <c r="B122" s="20"/>
      <c r="C122" s="20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6"/>
      <c r="AB122" s="15"/>
      <c r="AC122" s="17"/>
      <c r="AD122" s="15"/>
      <c r="AE122" s="15"/>
      <c r="AF122" s="22"/>
      <c r="AG122" s="17"/>
      <c r="AH122" s="17"/>
      <c r="AI122" s="15"/>
      <c r="AJ122" s="17"/>
      <c r="AK122" s="15"/>
      <c r="AL122" s="65"/>
    </row>
    <row r="123" spans="1:38">
      <c r="A123" s="15"/>
      <c r="B123" s="20"/>
      <c r="C123" s="20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6"/>
      <c r="AB123" s="15"/>
      <c r="AC123" s="17"/>
      <c r="AD123" s="15"/>
      <c r="AE123" s="15"/>
      <c r="AF123" s="22"/>
      <c r="AG123" s="17"/>
      <c r="AH123" s="17"/>
      <c r="AI123" s="15"/>
      <c r="AJ123" s="17"/>
      <c r="AK123" s="15"/>
      <c r="AL123" s="65"/>
    </row>
    <row r="124" spans="1:38">
      <c r="A124" s="15"/>
      <c r="B124" s="20"/>
      <c r="C124" s="20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6"/>
      <c r="AB124" s="15"/>
      <c r="AC124" s="17"/>
      <c r="AD124" s="15"/>
      <c r="AE124" s="15"/>
      <c r="AF124" s="22"/>
      <c r="AG124" s="17"/>
      <c r="AH124" s="17"/>
      <c r="AI124" s="15"/>
      <c r="AJ124" s="17"/>
      <c r="AK124" s="15"/>
      <c r="AL124" s="65"/>
    </row>
    <row r="125" spans="1:38">
      <c r="A125" s="15"/>
      <c r="B125" s="20"/>
      <c r="C125" s="20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6"/>
      <c r="AB125" s="15"/>
      <c r="AC125" s="17"/>
      <c r="AD125" s="15"/>
      <c r="AE125" s="15"/>
      <c r="AF125" s="22"/>
      <c r="AG125" s="17"/>
      <c r="AH125" s="17"/>
      <c r="AI125" s="15"/>
      <c r="AJ125" s="17"/>
      <c r="AK125" s="15"/>
      <c r="AL125" s="65"/>
    </row>
    <row r="126" spans="1:38">
      <c r="A126" s="15"/>
      <c r="B126" s="20"/>
      <c r="C126" s="20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6"/>
      <c r="AB126" s="15"/>
      <c r="AC126" s="17"/>
      <c r="AD126" s="15"/>
      <c r="AE126" s="15"/>
      <c r="AF126" s="22"/>
      <c r="AG126" s="17"/>
      <c r="AH126" s="17"/>
      <c r="AI126" s="15"/>
      <c r="AJ126" s="17"/>
      <c r="AK126" s="15"/>
      <c r="AL126" s="65"/>
    </row>
    <row r="127" spans="1:38">
      <c r="A127" s="15"/>
      <c r="B127" s="20"/>
      <c r="C127" s="20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6"/>
      <c r="AB127" s="15"/>
      <c r="AC127" s="17"/>
      <c r="AD127" s="15"/>
      <c r="AE127" s="15"/>
      <c r="AF127" s="22"/>
      <c r="AG127" s="17"/>
      <c r="AH127" s="17"/>
      <c r="AI127" s="15"/>
      <c r="AJ127" s="17"/>
      <c r="AK127" s="15"/>
      <c r="AL127" s="65"/>
    </row>
    <row r="128" spans="1:38">
      <c r="A128" s="15"/>
      <c r="B128" s="20"/>
      <c r="C128" s="20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6"/>
      <c r="AB128" s="15"/>
      <c r="AC128" s="17"/>
      <c r="AD128" s="15"/>
      <c r="AE128" s="15"/>
      <c r="AF128" s="22"/>
      <c r="AG128" s="17"/>
      <c r="AH128" s="17"/>
      <c r="AI128" s="15"/>
      <c r="AJ128" s="17"/>
      <c r="AK128" s="15"/>
      <c r="AL128" s="65"/>
    </row>
    <row r="129" spans="1:38">
      <c r="A129" s="15"/>
      <c r="B129" s="20"/>
      <c r="C129" s="20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6"/>
      <c r="AB129" s="15"/>
      <c r="AC129" s="17"/>
      <c r="AD129" s="15"/>
      <c r="AE129" s="15"/>
      <c r="AF129" s="22"/>
      <c r="AG129" s="17"/>
      <c r="AH129" s="17"/>
      <c r="AI129" s="15"/>
      <c r="AJ129" s="17"/>
      <c r="AK129" s="15"/>
      <c r="AL129" s="65"/>
    </row>
    <row r="130" spans="1:38">
      <c r="A130" s="15"/>
      <c r="B130" s="20"/>
      <c r="C130" s="20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6"/>
      <c r="AB130" s="15"/>
      <c r="AC130" s="17"/>
      <c r="AD130" s="15"/>
      <c r="AE130" s="15"/>
      <c r="AF130" s="22"/>
      <c r="AG130" s="17"/>
      <c r="AH130" s="17"/>
      <c r="AI130" s="15"/>
      <c r="AJ130" s="17"/>
      <c r="AK130" s="15"/>
      <c r="AL130" s="65"/>
    </row>
    <row r="131" spans="1:38">
      <c r="A131" s="15"/>
      <c r="B131" s="20"/>
      <c r="C131" s="20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6"/>
      <c r="AB131" s="15"/>
      <c r="AC131" s="17"/>
      <c r="AD131" s="15"/>
      <c r="AE131" s="15"/>
      <c r="AF131" s="22"/>
      <c r="AG131" s="17"/>
      <c r="AH131" s="17"/>
      <c r="AI131" s="15"/>
      <c r="AJ131" s="17"/>
      <c r="AK131" s="15"/>
      <c r="AL131" s="65"/>
    </row>
    <row r="132" spans="1:38">
      <c r="A132" s="15"/>
      <c r="B132" s="20"/>
      <c r="C132" s="20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6"/>
      <c r="AB132" s="15"/>
      <c r="AC132" s="17"/>
      <c r="AD132" s="15"/>
      <c r="AE132" s="15"/>
      <c r="AF132" s="22"/>
      <c r="AG132" s="17"/>
      <c r="AH132" s="17"/>
      <c r="AI132" s="15"/>
      <c r="AJ132" s="17"/>
      <c r="AK132" s="15"/>
      <c r="AL132" s="65"/>
    </row>
    <row r="133" spans="1:38">
      <c r="A133" s="15"/>
      <c r="B133" s="20"/>
      <c r="C133" s="20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6"/>
      <c r="AB133" s="15"/>
      <c r="AC133" s="17"/>
      <c r="AD133" s="15"/>
      <c r="AE133" s="15"/>
      <c r="AF133" s="22"/>
      <c r="AG133" s="17"/>
      <c r="AH133" s="17"/>
      <c r="AI133" s="15"/>
      <c r="AJ133" s="17"/>
      <c r="AK133" s="15"/>
      <c r="AL133" s="65"/>
    </row>
    <row r="134" spans="1:38">
      <c r="A134" s="15"/>
      <c r="B134" s="20"/>
      <c r="C134" s="20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6"/>
      <c r="AB134" s="15"/>
      <c r="AC134" s="17"/>
      <c r="AD134" s="15"/>
      <c r="AE134" s="15"/>
      <c r="AF134" s="22"/>
      <c r="AG134" s="17"/>
      <c r="AH134" s="17"/>
      <c r="AI134" s="15"/>
      <c r="AJ134" s="17"/>
      <c r="AK134" s="15"/>
      <c r="AL134" s="65"/>
    </row>
    <row r="135" spans="1:38">
      <c r="A135" s="15"/>
      <c r="B135" s="20"/>
      <c r="C135" s="20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6"/>
      <c r="AB135" s="15"/>
      <c r="AC135" s="17"/>
      <c r="AD135" s="15"/>
      <c r="AE135" s="15"/>
      <c r="AF135" s="22"/>
      <c r="AG135" s="17"/>
      <c r="AH135" s="17"/>
      <c r="AI135" s="15"/>
      <c r="AJ135" s="17"/>
      <c r="AK135" s="15"/>
      <c r="AL135" s="65"/>
    </row>
    <row r="136" spans="1:38">
      <c r="A136" s="15"/>
      <c r="B136" s="20"/>
      <c r="C136" s="20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6"/>
      <c r="AB136" s="15"/>
      <c r="AC136" s="17"/>
      <c r="AD136" s="15"/>
      <c r="AE136" s="15"/>
      <c r="AF136" s="22"/>
      <c r="AG136" s="17"/>
      <c r="AH136" s="17"/>
      <c r="AI136" s="15"/>
      <c r="AJ136" s="17"/>
      <c r="AK136" s="15"/>
      <c r="AL136" s="65"/>
    </row>
    <row r="137" spans="1:38">
      <c r="A137" s="15"/>
      <c r="B137" s="20"/>
      <c r="C137" s="20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6"/>
      <c r="AB137" s="15"/>
      <c r="AC137" s="17"/>
      <c r="AD137" s="15"/>
      <c r="AE137" s="15"/>
      <c r="AF137" s="22"/>
      <c r="AG137" s="17"/>
      <c r="AH137" s="17"/>
      <c r="AI137" s="15"/>
      <c r="AJ137" s="17"/>
      <c r="AK137" s="15"/>
      <c r="AL137" s="65"/>
    </row>
    <row r="138" spans="1:38">
      <c r="A138" s="15"/>
      <c r="B138" s="20"/>
      <c r="C138" s="20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6"/>
      <c r="AB138" s="15"/>
      <c r="AC138" s="17"/>
      <c r="AD138" s="15"/>
      <c r="AE138" s="15"/>
      <c r="AF138" s="22"/>
      <c r="AG138" s="17"/>
      <c r="AH138" s="17"/>
      <c r="AI138" s="15"/>
      <c r="AJ138" s="17"/>
      <c r="AK138" s="15"/>
      <c r="AL138" s="65"/>
    </row>
    <row r="139" spans="1:38">
      <c r="A139" s="15"/>
      <c r="B139" s="20"/>
      <c r="C139" s="20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6"/>
      <c r="AB139" s="15"/>
      <c r="AC139" s="17"/>
      <c r="AD139" s="15"/>
      <c r="AE139" s="15"/>
      <c r="AF139" s="22"/>
      <c r="AG139" s="17"/>
      <c r="AH139" s="17"/>
      <c r="AI139" s="15"/>
      <c r="AJ139" s="17"/>
      <c r="AK139" s="15"/>
      <c r="AL139" s="65"/>
    </row>
    <row r="140" spans="1:38">
      <c r="A140" s="15"/>
      <c r="B140" s="20"/>
      <c r="C140" s="20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6"/>
      <c r="AB140" s="15"/>
      <c r="AC140" s="17"/>
      <c r="AD140" s="15"/>
      <c r="AE140" s="15"/>
      <c r="AF140" s="22"/>
      <c r="AG140" s="17"/>
      <c r="AH140" s="17"/>
      <c r="AI140" s="15"/>
      <c r="AJ140" s="17"/>
      <c r="AK140" s="15"/>
      <c r="AL140" s="65"/>
    </row>
    <row r="141" spans="1:38">
      <c r="A141" s="15"/>
      <c r="B141" s="20"/>
      <c r="C141" s="20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6"/>
      <c r="AB141" s="15"/>
      <c r="AC141" s="17"/>
      <c r="AD141" s="15"/>
      <c r="AE141" s="15"/>
      <c r="AF141" s="22"/>
      <c r="AG141" s="17"/>
      <c r="AH141" s="17"/>
      <c r="AI141" s="15"/>
      <c r="AJ141" s="17"/>
      <c r="AK141" s="15"/>
      <c r="AL141" s="65"/>
    </row>
    <row r="142" spans="1:38">
      <c r="A142" s="15"/>
      <c r="B142" s="20"/>
      <c r="C142" s="20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6"/>
      <c r="AB142" s="15"/>
      <c r="AC142" s="17"/>
      <c r="AD142" s="15"/>
      <c r="AE142" s="15"/>
      <c r="AF142" s="22"/>
      <c r="AG142" s="17"/>
      <c r="AH142" s="17"/>
      <c r="AI142" s="15"/>
      <c r="AJ142" s="17"/>
      <c r="AK142" s="15"/>
      <c r="AL142" s="65"/>
    </row>
    <row r="143" spans="1:38">
      <c r="A143" s="15"/>
      <c r="B143" s="20"/>
      <c r="C143" s="20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6"/>
      <c r="AB143" s="15"/>
      <c r="AC143" s="17"/>
      <c r="AD143" s="15"/>
      <c r="AE143" s="15"/>
      <c r="AF143" s="22"/>
      <c r="AG143" s="17"/>
      <c r="AH143" s="17"/>
      <c r="AI143" s="15"/>
      <c r="AJ143" s="17"/>
      <c r="AK143" s="15"/>
      <c r="AL143" s="65"/>
    </row>
    <row r="144" spans="1:38">
      <c r="A144" s="15"/>
      <c r="B144" s="20"/>
      <c r="C144" s="20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6"/>
      <c r="AB144" s="15"/>
      <c r="AC144" s="17"/>
      <c r="AD144" s="15"/>
      <c r="AE144" s="15"/>
      <c r="AF144" s="22"/>
      <c r="AG144" s="17"/>
      <c r="AH144" s="17"/>
      <c r="AI144" s="15"/>
      <c r="AJ144" s="17"/>
      <c r="AK144" s="15"/>
      <c r="AL144" s="65"/>
    </row>
    <row r="145" spans="1:38">
      <c r="A145" s="15"/>
      <c r="B145" s="20"/>
      <c r="C145" s="20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6"/>
      <c r="AB145" s="15"/>
      <c r="AC145" s="17"/>
      <c r="AD145" s="15"/>
      <c r="AE145" s="15"/>
      <c r="AF145" s="22"/>
      <c r="AG145" s="17"/>
      <c r="AH145" s="17"/>
      <c r="AI145" s="15"/>
      <c r="AJ145" s="17"/>
      <c r="AK145" s="15"/>
      <c r="AL145" s="65"/>
    </row>
    <row r="146" spans="1:38">
      <c r="A146" s="15"/>
      <c r="B146" s="20"/>
      <c r="C146" s="20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6"/>
      <c r="AB146" s="15"/>
      <c r="AC146" s="17"/>
      <c r="AD146" s="15"/>
      <c r="AE146" s="15"/>
      <c r="AF146" s="22"/>
      <c r="AG146" s="17"/>
      <c r="AH146" s="17"/>
      <c r="AI146" s="15"/>
      <c r="AJ146" s="17"/>
      <c r="AK146" s="15"/>
      <c r="AL146" s="65"/>
    </row>
    <row r="147" spans="1:38">
      <c r="A147" s="15"/>
      <c r="B147" s="20"/>
      <c r="C147" s="20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6"/>
      <c r="AB147" s="15"/>
      <c r="AC147" s="17"/>
      <c r="AD147" s="15"/>
      <c r="AE147" s="15"/>
      <c r="AF147" s="22"/>
      <c r="AG147" s="17"/>
      <c r="AH147" s="17"/>
      <c r="AI147" s="15"/>
      <c r="AJ147" s="17"/>
      <c r="AK147" s="15"/>
      <c r="AL147" s="65"/>
    </row>
    <row r="148" spans="1:38">
      <c r="A148" s="15"/>
      <c r="B148" s="20"/>
      <c r="C148" s="20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6"/>
      <c r="AB148" s="15"/>
      <c r="AC148" s="17"/>
      <c r="AD148" s="15"/>
      <c r="AE148" s="15"/>
      <c r="AF148" s="22"/>
      <c r="AG148" s="17"/>
      <c r="AH148" s="17"/>
      <c r="AI148" s="15"/>
      <c r="AJ148" s="17"/>
      <c r="AK148" s="15"/>
      <c r="AL148" s="65"/>
    </row>
    <row r="149" spans="1:38">
      <c r="A149" s="15"/>
      <c r="B149" s="20"/>
      <c r="C149" s="20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6"/>
      <c r="AB149" s="15"/>
      <c r="AC149" s="17"/>
      <c r="AD149" s="15"/>
      <c r="AE149" s="15"/>
      <c r="AF149" s="22"/>
      <c r="AG149" s="17"/>
      <c r="AH149" s="17"/>
      <c r="AI149" s="15"/>
      <c r="AJ149" s="17"/>
      <c r="AK149" s="15"/>
      <c r="AL149" s="65"/>
    </row>
    <row r="150" spans="1:38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65"/>
    </row>
    <row r="151" spans="1:38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  <c r="AL151" s="65"/>
    </row>
    <row r="152" spans="1:38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  <c r="AL152" s="65"/>
    </row>
    <row r="153" spans="1:38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  <c r="AL153" s="65"/>
    </row>
    <row r="154" spans="1:38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  <c r="AL154" s="65"/>
    </row>
    <row r="155" spans="1:38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  <c r="AL155" s="65"/>
    </row>
    <row r="156" spans="1:38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  <c r="AL156" s="65"/>
    </row>
    <row r="157" spans="1:38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  <c r="AL157" s="65"/>
    </row>
    <row r="158" spans="1:38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2"/>
      <c r="AG158" s="17"/>
      <c r="AH158" s="17"/>
      <c r="AI158" s="15"/>
      <c r="AJ158" s="17"/>
      <c r="AK158" s="15"/>
      <c r="AL158" s="65"/>
    </row>
    <row r="159" spans="1:38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  <c r="AL159" s="65"/>
    </row>
    <row r="160" spans="1:38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  <c r="AL160" s="6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  <c r="AL161" s="6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  <c r="AL162" s="6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  <c r="AL163" s="6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  <c r="AL164" s="6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  <c r="AL165" s="6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65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  <c r="AL167" s="6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  <c r="AL168" s="6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  <c r="AL169" s="6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  <c r="AL170" s="6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  <c r="AL171" s="6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  <c r="AL172" s="6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  <c r="AL173" s="6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17"/>
      <c r="AK174" s="15"/>
      <c r="AL174" s="65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  <c r="AL175" s="6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  <c r="AL176" s="6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  <c r="AL177" s="6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  <c r="AL178" s="6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  <c r="AL179" s="6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  <c r="AL180" s="6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  <c r="AL181" s="6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65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  <c r="AL183" s="6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  <c r="AL184" s="6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  <c r="AL185" s="6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  <c r="AL186" s="6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  <c r="AL187" s="6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  <c r="AL188" s="6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  <c r="AL189" s="6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2"/>
      <c r="AG190" s="17"/>
      <c r="AH190" s="17"/>
      <c r="AI190" s="15"/>
      <c r="AJ190" s="17"/>
      <c r="AK190" s="15"/>
      <c r="AL190" s="65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  <c r="AL191" s="6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  <c r="AL192" s="65"/>
    </row>
    <row r="193" spans="1:38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  <c r="AL193" s="65"/>
    </row>
    <row r="194" spans="1:38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  <c r="AL194" s="65"/>
    </row>
    <row r="195" spans="1:38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  <c r="AL195" s="65"/>
    </row>
    <row r="196" spans="1:38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  <c r="AL196" s="65"/>
    </row>
    <row r="197" spans="1:38" ht="13.5" thickBot="1">
      <c r="A197" s="42"/>
      <c r="B197" s="45"/>
      <c r="C197" s="45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1"/>
      <c r="AB197" s="42"/>
      <c r="AC197" s="43"/>
      <c r="AD197" s="42"/>
      <c r="AE197" s="42"/>
      <c r="AF197" s="44"/>
      <c r="AG197" s="43"/>
      <c r="AH197" s="43"/>
      <c r="AI197" s="42"/>
      <c r="AJ197" s="43"/>
      <c r="AK197" s="42"/>
      <c r="AL197" s="65"/>
    </row>
    <row r="198" spans="1:38">
      <c r="A198" s="49"/>
      <c r="B198" s="50"/>
      <c r="C198" s="50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51"/>
      <c r="AB198" s="49"/>
      <c r="AC198" s="52"/>
      <c r="AD198" s="49"/>
      <c r="AE198" s="49"/>
      <c r="AF198" s="55"/>
      <c r="AG198" s="52"/>
      <c r="AH198" s="52"/>
      <c r="AI198" s="49"/>
      <c r="AJ198" s="52"/>
      <c r="AK198" s="49"/>
      <c r="AL198" s="65"/>
    </row>
    <row r="199" spans="1:38">
      <c r="A199" s="25"/>
      <c r="B199" s="27"/>
      <c r="C199" s="27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46"/>
      <c r="AB199" s="25"/>
      <c r="AC199" s="47"/>
      <c r="AD199" s="25"/>
      <c r="AE199" s="25"/>
      <c r="AF199" s="48"/>
      <c r="AG199" s="47"/>
      <c r="AH199" s="47"/>
      <c r="AI199" s="25"/>
      <c r="AJ199" s="47"/>
      <c r="AK199" s="25"/>
      <c r="AL199" s="65"/>
    </row>
    <row r="200" spans="1:38">
      <c r="A200" s="25"/>
      <c r="B200" s="27"/>
      <c r="C200" s="27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46"/>
      <c r="AB200" s="25"/>
      <c r="AC200" s="47"/>
      <c r="AD200" s="25"/>
      <c r="AE200" s="25"/>
      <c r="AF200" s="48"/>
      <c r="AG200" s="47"/>
      <c r="AH200" s="47"/>
      <c r="AI200" s="25"/>
      <c r="AJ200" s="47"/>
      <c r="AK200" s="25"/>
      <c r="AL200" s="65"/>
    </row>
    <row r="201" spans="1:38">
      <c r="A201" s="25"/>
      <c r="B201" s="27"/>
      <c r="C201" s="27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46"/>
      <c r="AB201" s="25"/>
      <c r="AC201" s="47"/>
      <c r="AD201" s="25"/>
      <c r="AE201" s="25"/>
      <c r="AF201" s="48"/>
      <c r="AG201" s="47"/>
      <c r="AH201" s="47"/>
      <c r="AI201" s="25"/>
      <c r="AJ201" s="47"/>
      <c r="AK201" s="25"/>
      <c r="AL201" s="65"/>
    </row>
    <row r="202" spans="1:38">
      <c r="A202" s="25"/>
      <c r="B202" s="27"/>
      <c r="C202" s="27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46"/>
      <c r="AB202" s="25"/>
      <c r="AC202" s="47"/>
      <c r="AD202" s="25"/>
      <c r="AE202" s="25"/>
      <c r="AF202" s="48"/>
      <c r="AG202" s="47"/>
      <c r="AH202" s="47"/>
      <c r="AI202" s="25"/>
      <c r="AJ202" s="47"/>
      <c r="AK202" s="25"/>
      <c r="AL202" s="65"/>
    </row>
    <row r="203" spans="1:38">
      <c r="A203" s="25"/>
      <c r="B203" s="27"/>
      <c r="C203" s="27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46"/>
      <c r="AB203" s="25"/>
      <c r="AC203" s="47"/>
      <c r="AD203" s="25"/>
      <c r="AE203" s="25"/>
      <c r="AF203" s="48"/>
      <c r="AG203" s="47"/>
      <c r="AH203" s="47"/>
      <c r="AI203" s="25"/>
      <c r="AJ203" s="47"/>
      <c r="AK203" s="25"/>
      <c r="AL203" s="65"/>
    </row>
    <row r="204" spans="1:38">
      <c r="A204" s="25"/>
      <c r="B204" s="27"/>
      <c r="C204" s="27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46"/>
      <c r="AB204" s="25"/>
      <c r="AC204" s="47"/>
      <c r="AD204" s="25"/>
      <c r="AE204" s="25"/>
      <c r="AF204" s="48"/>
      <c r="AG204" s="47"/>
      <c r="AH204" s="47"/>
      <c r="AI204" s="25"/>
      <c r="AJ204" s="47"/>
      <c r="AK204" s="25"/>
      <c r="AL204" s="65"/>
    </row>
    <row r="205" spans="1:38">
      <c r="A205" s="25"/>
      <c r="B205" s="27"/>
      <c r="C205" s="27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46"/>
      <c r="AB205" s="25"/>
      <c r="AC205" s="47"/>
      <c r="AD205" s="25"/>
      <c r="AE205" s="25"/>
      <c r="AF205" s="48"/>
      <c r="AG205" s="47"/>
      <c r="AH205" s="47"/>
      <c r="AI205" s="25"/>
      <c r="AJ205" s="47"/>
      <c r="AK205" s="25"/>
      <c r="AL205" s="65"/>
    </row>
    <row r="206" spans="1:38">
      <c r="A206" s="15"/>
      <c r="B206" s="20"/>
      <c r="C206" s="20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6"/>
      <c r="AB206" s="15"/>
      <c r="AC206" s="17"/>
      <c r="AD206" s="15"/>
      <c r="AE206" s="15"/>
      <c r="AF206" s="22"/>
      <c r="AG206" s="17"/>
      <c r="AH206" s="17"/>
      <c r="AI206" s="15"/>
      <c r="AJ206" s="17"/>
      <c r="AK206" s="15"/>
      <c r="AL206" s="65"/>
    </row>
    <row r="207" spans="1:38">
      <c r="A207" s="15"/>
      <c r="B207" s="20"/>
      <c r="C207" s="20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6"/>
      <c r="AB207" s="15"/>
      <c r="AC207" s="17"/>
      <c r="AD207" s="15"/>
      <c r="AE207" s="15"/>
      <c r="AF207" s="22"/>
      <c r="AG207" s="17"/>
      <c r="AH207" s="17"/>
      <c r="AI207" s="15"/>
      <c r="AJ207" s="17"/>
      <c r="AK207" s="15"/>
      <c r="AL207" s="65"/>
    </row>
    <row r="208" spans="1:38">
      <c r="A208" s="15"/>
      <c r="B208" s="20"/>
      <c r="C208" s="20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6"/>
      <c r="AB208" s="15"/>
      <c r="AC208" s="17"/>
      <c r="AD208" s="15"/>
      <c r="AE208" s="15"/>
      <c r="AF208" s="22"/>
      <c r="AG208" s="17"/>
      <c r="AH208" s="17"/>
      <c r="AI208" s="15"/>
      <c r="AJ208" s="17"/>
      <c r="AK208" s="15"/>
      <c r="AL208" s="65"/>
    </row>
    <row r="209" spans="1:38">
      <c r="A209" s="15"/>
      <c r="B209" s="20"/>
      <c r="C209" s="20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6"/>
      <c r="AB209" s="15"/>
      <c r="AC209" s="17"/>
      <c r="AD209" s="15"/>
      <c r="AE209" s="15"/>
      <c r="AF209" s="22"/>
      <c r="AG209" s="17"/>
      <c r="AH209" s="17"/>
      <c r="AI209" s="15"/>
      <c r="AJ209" s="17"/>
      <c r="AK209" s="15"/>
      <c r="AL209" s="65"/>
    </row>
    <row r="210" spans="1:38">
      <c r="A210" s="15"/>
      <c r="B210" s="20"/>
      <c r="C210" s="20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6"/>
      <c r="AB210" s="15"/>
      <c r="AC210" s="17"/>
      <c r="AD210" s="15"/>
      <c r="AE210" s="15"/>
      <c r="AF210" s="22"/>
      <c r="AG210" s="17"/>
      <c r="AH210" s="17"/>
      <c r="AI210" s="15"/>
      <c r="AJ210" s="17"/>
      <c r="AK210" s="15"/>
      <c r="AL210" s="65"/>
    </row>
    <row r="211" spans="1:38">
      <c r="A211" s="15"/>
      <c r="B211" s="20"/>
      <c r="C211" s="20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6"/>
      <c r="AB211" s="15"/>
      <c r="AC211" s="17"/>
      <c r="AD211" s="15"/>
      <c r="AE211" s="15"/>
      <c r="AF211" s="22"/>
      <c r="AG211" s="17"/>
      <c r="AH211" s="17"/>
      <c r="AI211" s="15"/>
      <c r="AJ211" s="17"/>
      <c r="AK211" s="15"/>
      <c r="AL211" s="65"/>
    </row>
    <row r="212" spans="1:38">
      <c r="A212" s="15"/>
      <c r="B212" s="20"/>
      <c r="C212" s="20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6"/>
      <c r="AB212" s="15"/>
      <c r="AC212" s="17"/>
      <c r="AD212" s="15"/>
      <c r="AE212" s="15"/>
      <c r="AF212" s="22"/>
      <c r="AG212" s="17"/>
      <c r="AH212" s="17"/>
      <c r="AI212" s="15"/>
      <c r="AJ212" s="17"/>
      <c r="AK212" s="15"/>
      <c r="AL212" s="65"/>
    </row>
    <row r="213" spans="1:38">
      <c r="A213" s="15"/>
      <c r="B213" s="20"/>
      <c r="C213" s="20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6"/>
      <c r="AB213" s="15"/>
      <c r="AC213" s="17"/>
      <c r="AD213" s="15"/>
      <c r="AE213" s="15"/>
      <c r="AF213" s="22"/>
      <c r="AG213" s="17"/>
      <c r="AH213" s="17"/>
      <c r="AI213" s="15"/>
      <c r="AJ213" s="17"/>
      <c r="AK213" s="15"/>
      <c r="AL213" s="65"/>
    </row>
    <row r="214" spans="1:38">
      <c r="A214" s="25"/>
      <c r="B214" s="27"/>
      <c r="C214" s="27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46"/>
      <c r="AB214" s="25"/>
      <c r="AC214" s="47"/>
      <c r="AD214" s="25"/>
      <c r="AE214" s="25"/>
      <c r="AF214" s="48"/>
      <c r="AG214" s="47"/>
      <c r="AH214" s="47"/>
      <c r="AI214" s="25"/>
      <c r="AJ214" s="47"/>
      <c r="AK214" s="25"/>
      <c r="AL214" s="65"/>
    </row>
    <row r="215" spans="1:38">
      <c r="A215" s="25"/>
      <c r="B215" s="27"/>
      <c r="C215" s="27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46"/>
      <c r="AB215" s="25"/>
      <c r="AC215" s="47"/>
      <c r="AD215" s="25"/>
      <c r="AE215" s="25"/>
      <c r="AF215" s="48"/>
      <c r="AG215" s="47"/>
      <c r="AH215" s="47"/>
      <c r="AI215" s="25"/>
      <c r="AJ215" s="47"/>
      <c r="AK215" s="25"/>
      <c r="AL215" s="65"/>
    </row>
    <row r="216" spans="1:38">
      <c r="A216" s="25"/>
      <c r="B216" s="27"/>
      <c r="C216" s="27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46"/>
      <c r="AB216" s="25"/>
      <c r="AC216" s="47"/>
      <c r="AD216" s="25"/>
      <c r="AE216" s="25"/>
      <c r="AF216" s="48"/>
      <c r="AG216" s="47"/>
      <c r="AH216" s="47"/>
      <c r="AI216" s="25"/>
      <c r="AJ216" s="47"/>
      <c r="AK216" s="25"/>
      <c r="AL216" s="65"/>
    </row>
    <row r="217" spans="1:38">
      <c r="A217" s="25"/>
      <c r="B217" s="27"/>
      <c r="C217" s="27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46"/>
      <c r="AB217" s="25"/>
      <c r="AC217" s="47"/>
      <c r="AD217" s="25"/>
      <c r="AE217" s="25"/>
      <c r="AF217" s="48"/>
      <c r="AG217" s="47"/>
      <c r="AH217" s="47"/>
      <c r="AI217" s="25"/>
      <c r="AJ217" s="47"/>
      <c r="AK217" s="25"/>
      <c r="AL217" s="65"/>
    </row>
    <row r="218" spans="1:38">
      <c r="A218" s="25"/>
      <c r="B218" s="27"/>
      <c r="C218" s="27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46"/>
      <c r="AB218" s="25"/>
      <c r="AC218" s="47"/>
      <c r="AD218" s="25"/>
      <c r="AE218" s="25"/>
      <c r="AF218" s="48"/>
      <c r="AG218" s="47"/>
      <c r="AH218" s="47"/>
      <c r="AI218" s="25"/>
      <c r="AJ218" s="47"/>
      <c r="AK218" s="25"/>
      <c r="AL218" s="65"/>
    </row>
    <row r="219" spans="1:38">
      <c r="A219" s="25"/>
      <c r="B219" s="27"/>
      <c r="C219" s="27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46"/>
      <c r="AB219" s="25"/>
      <c r="AC219" s="47"/>
      <c r="AD219" s="25"/>
      <c r="AE219" s="25"/>
      <c r="AF219" s="48"/>
      <c r="AG219" s="47"/>
      <c r="AH219" s="47"/>
      <c r="AI219" s="25"/>
      <c r="AJ219" s="47"/>
      <c r="AK219" s="25"/>
      <c r="AL219" s="65"/>
    </row>
    <row r="220" spans="1:38">
      <c r="A220" s="25"/>
      <c r="B220" s="27"/>
      <c r="C220" s="27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46"/>
      <c r="AB220" s="25"/>
      <c r="AC220" s="47"/>
      <c r="AD220" s="25"/>
      <c r="AE220" s="25"/>
      <c r="AF220" s="48"/>
      <c r="AG220" s="47"/>
      <c r="AH220" s="47"/>
      <c r="AI220" s="25"/>
      <c r="AJ220" s="47"/>
      <c r="AK220" s="25"/>
      <c r="AL220" s="65"/>
    </row>
    <row r="221" spans="1:38">
      <c r="A221" s="25"/>
      <c r="B221" s="27"/>
      <c r="C221" s="27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46"/>
      <c r="AB221" s="25"/>
      <c r="AC221" s="47"/>
      <c r="AD221" s="25"/>
      <c r="AE221" s="25"/>
      <c r="AF221" s="48"/>
      <c r="AG221" s="47"/>
      <c r="AH221" s="47"/>
      <c r="AI221" s="25"/>
      <c r="AJ221" s="47"/>
      <c r="AK221" s="25"/>
      <c r="AL221" s="65"/>
    </row>
    <row r="222" spans="1:38">
      <c r="A222" s="15"/>
      <c r="B222" s="20"/>
      <c r="C222" s="20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6"/>
      <c r="AB222" s="15"/>
      <c r="AC222" s="17"/>
      <c r="AD222" s="15"/>
      <c r="AE222" s="15"/>
      <c r="AF222" s="22"/>
      <c r="AG222" s="17"/>
      <c r="AH222" s="17"/>
      <c r="AI222" s="15"/>
      <c r="AJ222" s="17"/>
      <c r="AK222" s="15"/>
      <c r="AL222" s="65"/>
    </row>
    <row r="223" spans="1:38">
      <c r="A223" s="15"/>
      <c r="B223" s="20"/>
      <c r="C223" s="20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6"/>
      <c r="AB223" s="15"/>
      <c r="AC223" s="17"/>
      <c r="AD223" s="15"/>
      <c r="AE223" s="15"/>
      <c r="AF223" s="22"/>
      <c r="AG223" s="17"/>
      <c r="AH223" s="17"/>
      <c r="AI223" s="15"/>
      <c r="AJ223" s="17"/>
      <c r="AK223" s="15"/>
      <c r="AL223" s="65"/>
    </row>
    <row r="224" spans="1:38">
      <c r="A224" s="15"/>
      <c r="B224" s="20"/>
      <c r="C224" s="20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6"/>
      <c r="AB224" s="15"/>
      <c r="AC224" s="17"/>
      <c r="AD224" s="15"/>
      <c r="AE224" s="15"/>
      <c r="AF224" s="22"/>
      <c r="AG224" s="17"/>
      <c r="AH224" s="17"/>
      <c r="AI224" s="15"/>
      <c r="AJ224" s="17"/>
      <c r="AK224" s="15"/>
      <c r="AL224" s="65"/>
    </row>
    <row r="225" spans="1:38">
      <c r="A225" s="15"/>
      <c r="B225" s="20"/>
      <c r="C225" s="20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6"/>
      <c r="AB225" s="15"/>
      <c r="AC225" s="17"/>
      <c r="AD225" s="15"/>
      <c r="AE225" s="15"/>
      <c r="AF225" s="22"/>
      <c r="AG225" s="17"/>
      <c r="AH225" s="17"/>
      <c r="AI225" s="15"/>
      <c r="AJ225" s="17"/>
      <c r="AK225" s="15"/>
      <c r="AL225" s="65"/>
    </row>
    <row r="226" spans="1:38">
      <c r="A226" s="15"/>
      <c r="B226" s="20"/>
      <c r="C226" s="20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6"/>
      <c r="AB226" s="15"/>
      <c r="AC226" s="17"/>
      <c r="AD226" s="15"/>
      <c r="AE226" s="15"/>
      <c r="AF226" s="22"/>
      <c r="AG226" s="17"/>
      <c r="AH226" s="17"/>
      <c r="AI226" s="15"/>
      <c r="AJ226" s="17"/>
      <c r="AK226" s="15"/>
      <c r="AL226" s="65"/>
    </row>
    <row r="227" spans="1:38">
      <c r="A227" s="15"/>
      <c r="B227" s="20"/>
      <c r="C227" s="20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6"/>
      <c r="AB227" s="15"/>
      <c r="AC227" s="17"/>
      <c r="AD227" s="15"/>
      <c r="AE227" s="15"/>
      <c r="AF227" s="22"/>
      <c r="AG227" s="17"/>
      <c r="AH227" s="17"/>
      <c r="AI227" s="15"/>
      <c r="AJ227" s="17"/>
      <c r="AK227" s="15"/>
      <c r="AL227" s="65"/>
    </row>
    <row r="228" spans="1:38">
      <c r="A228" s="15"/>
      <c r="B228" s="20"/>
      <c r="C228" s="20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6"/>
      <c r="AB228" s="15"/>
      <c r="AC228" s="17"/>
      <c r="AD228" s="15"/>
      <c r="AE228" s="15"/>
      <c r="AF228" s="22"/>
      <c r="AG228" s="17"/>
      <c r="AH228" s="17"/>
      <c r="AI228" s="15"/>
      <c r="AJ228" s="17"/>
      <c r="AK228" s="15"/>
      <c r="AL228" s="65"/>
    </row>
    <row r="229" spans="1:38">
      <c r="A229" s="15"/>
      <c r="B229" s="20"/>
      <c r="C229" s="20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6"/>
      <c r="AB229" s="15"/>
      <c r="AC229" s="17"/>
      <c r="AD229" s="15"/>
      <c r="AE229" s="15"/>
      <c r="AF229" s="22"/>
      <c r="AG229" s="17"/>
      <c r="AH229" s="17"/>
      <c r="AI229" s="15"/>
      <c r="AJ229" s="17"/>
      <c r="AK229" s="15"/>
      <c r="AL229" s="65"/>
    </row>
    <row r="230" spans="1:38">
      <c r="A230" s="25"/>
      <c r="B230" s="27"/>
      <c r="C230" s="27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46"/>
      <c r="AB230" s="25"/>
      <c r="AC230" s="47"/>
      <c r="AD230" s="25"/>
      <c r="AE230" s="25"/>
      <c r="AF230" s="48"/>
      <c r="AG230" s="47"/>
      <c r="AH230" s="47"/>
      <c r="AI230" s="25"/>
      <c r="AJ230" s="47"/>
      <c r="AK230" s="25"/>
      <c r="AL230" s="65"/>
    </row>
    <row r="231" spans="1:38">
      <c r="A231" s="25"/>
      <c r="B231" s="27"/>
      <c r="C231" s="27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46"/>
      <c r="AB231" s="25"/>
      <c r="AC231" s="47"/>
      <c r="AD231" s="25"/>
      <c r="AE231" s="25"/>
      <c r="AF231" s="48"/>
      <c r="AG231" s="47"/>
      <c r="AH231" s="47"/>
      <c r="AI231" s="25"/>
      <c r="AJ231" s="47"/>
      <c r="AK231" s="25"/>
      <c r="AL231" s="65"/>
    </row>
    <row r="232" spans="1:38">
      <c r="A232" s="25"/>
      <c r="B232" s="27"/>
      <c r="C232" s="27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46"/>
      <c r="AB232" s="25"/>
      <c r="AC232" s="47"/>
      <c r="AD232" s="25"/>
      <c r="AE232" s="25"/>
      <c r="AF232" s="48"/>
      <c r="AG232" s="47"/>
      <c r="AH232" s="47"/>
      <c r="AI232" s="25"/>
      <c r="AJ232" s="47"/>
      <c r="AK232" s="25"/>
      <c r="AL232" s="65"/>
    </row>
    <row r="233" spans="1:38">
      <c r="A233" s="25"/>
      <c r="B233" s="27"/>
      <c r="C233" s="27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46"/>
      <c r="AB233" s="25"/>
      <c r="AC233" s="47"/>
      <c r="AD233" s="25"/>
      <c r="AE233" s="25"/>
      <c r="AF233" s="48"/>
      <c r="AG233" s="47"/>
      <c r="AH233" s="47"/>
      <c r="AI233" s="25"/>
      <c r="AJ233" s="47"/>
      <c r="AK233" s="25"/>
      <c r="AL233" s="65"/>
    </row>
    <row r="234" spans="1:38">
      <c r="A234" s="25"/>
      <c r="B234" s="27"/>
      <c r="C234" s="27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46"/>
      <c r="AB234" s="25"/>
      <c r="AC234" s="47"/>
      <c r="AD234" s="25"/>
      <c r="AE234" s="25"/>
      <c r="AF234" s="48"/>
      <c r="AG234" s="47"/>
      <c r="AH234" s="47"/>
      <c r="AI234" s="25"/>
      <c r="AJ234" s="47"/>
      <c r="AK234" s="25"/>
      <c r="AL234" s="65"/>
    </row>
    <row r="235" spans="1:38">
      <c r="A235" s="25"/>
      <c r="B235" s="27"/>
      <c r="C235" s="27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46"/>
      <c r="AB235" s="25"/>
      <c r="AC235" s="47"/>
      <c r="AD235" s="25"/>
      <c r="AE235" s="25"/>
      <c r="AF235" s="48"/>
      <c r="AG235" s="47"/>
      <c r="AH235" s="47"/>
      <c r="AI235" s="25"/>
      <c r="AJ235" s="47"/>
      <c r="AK235" s="25"/>
      <c r="AL235" s="65"/>
    </row>
    <row r="236" spans="1:38">
      <c r="A236" s="25"/>
      <c r="B236" s="27"/>
      <c r="C236" s="27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46"/>
      <c r="AB236" s="25"/>
      <c r="AC236" s="47"/>
      <c r="AD236" s="25"/>
      <c r="AE236" s="25"/>
      <c r="AF236" s="48"/>
      <c r="AG236" s="47"/>
      <c r="AH236" s="47"/>
      <c r="AI236" s="25"/>
      <c r="AJ236" s="47"/>
      <c r="AK236" s="25"/>
      <c r="AL236" s="65"/>
    </row>
    <row r="237" spans="1:38">
      <c r="A237" s="25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46"/>
      <c r="AB237" s="25"/>
      <c r="AC237" s="47"/>
      <c r="AD237" s="25"/>
      <c r="AE237" s="25"/>
      <c r="AF237" s="48"/>
      <c r="AG237" s="47"/>
      <c r="AH237" s="47"/>
      <c r="AI237" s="25"/>
      <c r="AJ237" s="47"/>
      <c r="AK237" s="25"/>
      <c r="AL237" s="65"/>
    </row>
    <row r="238" spans="1:38">
      <c r="A238" s="15"/>
      <c r="B238" s="20"/>
      <c r="C238" s="20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6"/>
      <c r="AB238" s="15"/>
      <c r="AC238" s="17"/>
      <c r="AD238" s="15"/>
      <c r="AE238" s="15"/>
      <c r="AF238" s="22"/>
      <c r="AG238" s="17"/>
      <c r="AH238" s="17"/>
      <c r="AI238" s="15"/>
      <c r="AJ238" s="17"/>
      <c r="AK238" s="15"/>
      <c r="AL238" s="65"/>
    </row>
    <row r="239" spans="1:38">
      <c r="A239" s="15"/>
      <c r="B239" s="20"/>
      <c r="C239" s="20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6"/>
      <c r="AB239" s="15"/>
      <c r="AC239" s="17"/>
      <c r="AD239" s="15"/>
      <c r="AE239" s="15"/>
      <c r="AF239" s="22"/>
      <c r="AG239" s="17"/>
      <c r="AH239" s="17"/>
      <c r="AI239" s="15"/>
      <c r="AJ239" s="17"/>
      <c r="AK239" s="15"/>
      <c r="AL239" s="65"/>
    </row>
    <row r="240" spans="1:38">
      <c r="A240" s="15"/>
      <c r="B240" s="20"/>
      <c r="C240" s="20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6"/>
      <c r="AB240" s="15"/>
      <c r="AC240" s="17"/>
      <c r="AD240" s="15"/>
      <c r="AE240" s="15"/>
      <c r="AF240" s="22"/>
      <c r="AG240" s="17"/>
      <c r="AH240" s="17"/>
      <c r="AI240" s="15"/>
      <c r="AJ240" s="17"/>
      <c r="AK240" s="15"/>
      <c r="AL240" s="65"/>
    </row>
    <row r="241" spans="1:38">
      <c r="A241" s="15"/>
      <c r="B241" s="20"/>
      <c r="C241" s="20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6"/>
      <c r="AB241" s="15"/>
      <c r="AC241" s="17"/>
      <c r="AD241" s="15"/>
      <c r="AE241" s="15"/>
      <c r="AF241" s="22"/>
      <c r="AG241" s="17"/>
      <c r="AH241" s="17"/>
      <c r="AI241" s="15"/>
      <c r="AJ241" s="17"/>
      <c r="AK241" s="15"/>
      <c r="AL241" s="65"/>
    </row>
    <row r="242" spans="1:38">
      <c r="A242" s="15"/>
      <c r="B242" s="20"/>
      <c r="C242" s="20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6"/>
      <c r="AB242" s="15"/>
      <c r="AC242" s="17"/>
      <c r="AD242" s="15"/>
      <c r="AE242" s="15"/>
      <c r="AF242" s="22"/>
      <c r="AG242" s="17"/>
      <c r="AH242" s="17"/>
      <c r="AI242" s="15"/>
      <c r="AJ242" s="17"/>
      <c r="AK242" s="15"/>
      <c r="AL242" s="65"/>
    </row>
    <row r="243" spans="1:38">
      <c r="A243" s="15"/>
      <c r="B243" s="20"/>
      <c r="C243" s="20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6"/>
      <c r="AB243" s="15"/>
      <c r="AC243" s="17"/>
      <c r="AD243" s="15"/>
      <c r="AE243" s="15"/>
      <c r="AF243" s="22"/>
      <c r="AG243" s="17"/>
      <c r="AH243" s="17"/>
      <c r="AI243" s="15"/>
      <c r="AJ243" s="17"/>
      <c r="AK243" s="15"/>
      <c r="AL243" s="65"/>
    </row>
    <row r="244" spans="1:38">
      <c r="A244" s="15"/>
      <c r="B244" s="20"/>
      <c r="C244" s="20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6"/>
      <c r="AB244" s="15"/>
      <c r="AC244" s="17"/>
      <c r="AD244" s="15"/>
      <c r="AE244" s="15"/>
      <c r="AF244" s="22"/>
      <c r="AG244" s="17"/>
      <c r="AH244" s="17"/>
      <c r="AI244" s="15"/>
      <c r="AJ244" s="17"/>
      <c r="AK244" s="15"/>
      <c r="AL244" s="65"/>
    </row>
    <row r="245" spans="1:38">
      <c r="A245" s="15"/>
      <c r="B245" s="20"/>
      <c r="C245" s="20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6"/>
      <c r="AB245" s="15"/>
      <c r="AC245" s="17"/>
      <c r="AD245" s="15"/>
      <c r="AE245" s="15"/>
      <c r="AF245" s="22"/>
      <c r="AG245" s="17"/>
      <c r="AH245" s="17"/>
      <c r="AI245" s="15"/>
      <c r="AJ245" s="17"/>
      <c r="AK245" s="15"/>
      <c r="AL245" s="65"/>
    </row>
    <row r="246" spans="1:38">
      <c r="A246" s="25"/>
      <c r="B246" s="27"/>
      <c r="C246" s="27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46"/>
      <c r="AB246" s="25"/>
      <c r="AC246" s="47"/>
      <c r="AD246" s="25"/>
      <c r="AE246" s="25"/>
      <c r="AF246" s="48"/>
      <c r="AG246" s="47"/>
      <c r="AH246" s="47"/>
      <c r="AI246" s="25"/>
      <c r="AJ246" s="47"/>
      <c r="AK246" s="25"/>
      <c r="AL246" s="65"/>
    </row>
    <row r="247" spans="1:38">
      <c r="A247" s="25"/>
      <c r="B247" s="27"/>
      <c r="C247" s="27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46"/>
      <c r="AB247" s="25"/>
      <c r="AC247" s="47"/>
      <c r="AD247" s="25"/>
      <c r="AE247" s="25"/>
      <c r="AF247" s="48"/>
      <c r="AG247" s="47"/>
      <c r="AH247" s="47"/>
      <c r="AI247" s="25"/>
      <c r="AJ247" s="47"/>
      <c r="AK247" s="25"/>
      <c r="AL247" s="65"/>
    </row>
    <row r="248" spans="1:38">
      <c r="A248" s="25"/>
      <c r="B248" s="27"/>
      <c r="C248" s="27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46"/>
      <c r="AB248" s="25"/>
      <c r="AC248" s="47"/>
      <c r="AD248" s="25"/>
      <c r="AE248" s="25"/>
      <c r="AF248" s="48"/>
      <c r="AG248" s="47"/>
      <c r="AH248" s="47"/>
      <c r="AI248" s="25"/>
      <c r="AJ248" s="47"/>
      <c r="AK248" s="25"/>
      <c r="AL248" s="65"/>
    </row>
    <row r="249" spans="1:38">
      <c r="A249" s="25"/>
      <c r="B249" s="27"/>
      <c r="C249" s="27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46"/>
      <c r="AB249" s="25"/>
      <c r="AC249" s="47"/>
      <c r="AD249" s="25"/>
      <c r="AE249" s="25"/>
      <c r="AF249" s="48"/>
      <c r="AG249" s="47"/>
      <c r="AH249" s="47"/>
      <c r="AI249" s="25"/>
      <c r="AJ249" s="47"/>
      <c r="AK249" s="25"/>
      <c r="AL249" s="65"/>
    </row>
    <row r="250" spans="1:38">
      <c r="A250" s="25"/>
      <c r="B250" s="27"/>
      <c r="C250" s="27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46"/>
      <c r="AB250" s="25"/>
      <c r="AC250" s="47"/>
      <c r="AD250" s="25"/>
      <c r="AE250" s="25"/>
      <c r="AF250" s="48"/>
      <c r="AG250" s="47"/>
      <c r="AH250" s="47"/>
      <c r="AI250" s="25"/>
      <c r="AJ250" s="47"/>
      <c r="AK250" s="25"/>
      <c r="AL250" s="65"/>
    </row>
    <row r="251" spans="1:38">
      <c r="A251" s="25"/>
      <c r="B251" s="27"/>
      <c r="C251" s="27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46"/>
      <c r="AB251" s="25"/>
      <c r="AC251" s="47"/>
      <c r="AD251" s="25"/>
      <c r="AE251" s="25"/>
      <c r="AF251" s="48"/>
      <c r="AG251" s="47"/>
      <c r="AH251" s="47"/>
      <c r="AI251" s="25"/>
      <c r="AJ251" s="47"/>
      <c r="AK251" s="25"/>
      <c r="AL251" s="65"/>
    </row>
    <row r="252" spans="1:38">
      <c r="A252" s="25"/>
      <c r="B252" s="27"/>
      <c r="C252" s="27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46"/>
      <c r="AB252" s="25"/>
      <c r="AC252" s="47"/>
      <c r="AD252" s="25"/>
      <c r="AE252" s="25"/>
      <c r="AF252" s="48"/>
      <c r="AG252" s="47"/>
      <c r="AH252" s="47"/>
      <c r="AI252" s="25"/>
      <c r="AJ252" s="47"/>
      <c r="AK252" s="25"/>
      <c r="AL252" s="65"/>
    </row>
    <row r="253" spans="1:38">
      <c r="A253" s="25"/>
      <c r="B253" s="27"/>
      <c r="C253" s="27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46"/>
      <c r="AB253" s="25"/>
      <c r="AC253" s="47"/>
      <c r="AD253" s="25"/>
      <c r="AE253" s="25"/>
      <c r="AF253" s="48"/>
      <c r="AG253" s="47"/>
      <c r="AH253" s="47"/>
      <c r="AI253" s="25"/>
      <c r="AJ253" s="47"/>
      <c r="AK253" s="25"/>
      <c r="AL253" s="65"/>
    </row>
    <row r="254" spans="1:38">
      <c r="A254" s="15"/>
      <c r="B254" s="20"/>
      <c r="C254" s="20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6"/>
      <c r="AB254" s="15"/>
      <c r="AC254" s="17"/>
      <c r="AD254" s="15"/>
      <c r="AE254" s="15"/>
      <c r="AF254" s="22"/>
      <c r="AG254" s="17"/>
      <c r="AH254" s="17"/>
      <c r="AI254" s="15"/>
      <c r="AJ254" s="17"/>
      <c r="AK254" s="15"/>
      <c r="AL254" s="65"/>
    </row>
    <row r="255" spans="1:38">
      <c r="A255" s="15"/>
      <c r="B255" s="20"/>
      <c r="C255" s="20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6"/>
      <c r="AB255" s="15"/>
      <c r="AC255" s="17"/>
      <c r="AD255" s="15"/>
      <c r="AE255" s="15"/>
      <c r="AF255" s="22"/>
      <c r="AG255" s="17"/>
      <c r="AH255" s="17"/>
      <c r="AI255" s="15"/>
      <c r="AJ255" s="17"/>
      <c r="AK255" s="15"/>
      <c r="AL255" s="65"/>
    </row>
    <row r="256" spans="1:38">
      <c r="A256" s="15"/>
      <c r="B256" s="20"/>
      <c r="C256" s="20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6"/>
      <c r="AB256" s="15"/>
      <c r="AC256" s="17"/>
      <c r="AD256" s="15"/>
      <c r="AE256" s="15"/>
      <c r="AF256" s="22"/>
      <c r="AG256" s="17"/>
      <c r="AH256" s="17"/>
      <c r="AI256" s="15"/>
      <c r="AJ256" s="17"/>
      <c r="AK256" s="15"/>
      <c r="AL256" s="65"/>
    </row>
    <row r="257" spans="1:38">
      <c r="A257" s="15"/>
      <c r="B257" s="20"/>
      <c r="C257" s="20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6"/>
      <c r="AB257" s="15"/>
      <c r="AC257" s="17"/>
      <c r="AD257" s="15"/>
      <c r="AE257" s="15"/>
      <c r="AF257" s="22"/>
      <c r="AG257" s="17"/>
      <c r="AH257" s="17"/>
      <c r="AI257" s="15"/>
      <c r="AJ257" s="17"/>
      <c r="AK257" s="15"/>
      <c r="AL257" s="65"/>
    </row>
    <row r="258" spans="1:38">
      <c r="A258" s="15"/>
      <c r="B258" s="20"/>
      <c r="C258" s="20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6"/>
      <c r="AB258" s="15"/>
      <c r="AC258" s="17"/>
      <c r="AD258" s="15"/>
      <c r="AE258" s="15"/>
      <c r="AF258" s="22"/>
      <c r="AG258" s="17"/>
      <c r="AH258" s="17"/>
      <c r="AI258" s="15"/>
      <c r="AJ258" s="17"/>
      <c r="AK258" s="15"/>
      <c r="AL258" s="65"/>
    </row>
    <row r="259" spans="1:38">
      <c r="A259" s="15"/>
      <c r="B259" s="20"/>
      <c r="C259" s="20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6"/>
      <c r="AB259" s="15"/>
      <c r="AC259" s="17"/>
      <c r="AD259" s="15"/>
      <c r="AE259" s="15"/>
      <c r="AF259" s="22"/>
      <c r="AG259" s="17"/>
      <c r="AH259" s="17"/>
      <c r="AI259" s="15"/>
      <c r="AJ259" s="17"/>
      <c r="AK259" s="15"/>
      <c r="AL259" s="65"/>
    </row>
    <row r="260" spans="1:38">
      <c r="A260" s="15"/>
      <c r="B260" s="20"/>
      <c r="C260" s="20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6"/>
      <c r="AB260" s="15"/>
      <c r="AC260" s="17"/>
      <c r="AD260" s="15"/>
      <c r="AE260" s="15"/>
      <c r="AF260" s="22"/>
      <c r="AG260" s="17"/>
      <c r="AH260" s="17"/>
      <c r="AI260" s="15"/>
      <c r="AJ260" s="17"/>
      <c r="AK260" s="15"/>
      <c r="AL260" s="65"/>
    </row>
    <row r="261" spans="1:38">
      <c r="A261" s="15"/>
      <c r="B261" s="20"/>
      <c r="C261" s="20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6"/>
      <c r="AB261" s="15"/>
      <c r="AC261" s="17"/>
      <c r="AD261" s="15"/>
      <c r="AE261" s="15"/>
      <c r="AF261" s="22"/>
      <c r="AG261" s="17"/>
      <c r="AH261" s="17"/>
      <c r="AI261" s="15"/>
      <c r="AJ261" s="17"/>
      <c r="AK261" s="15"/>
      <c r="AL261" s="65"/>
    </row>
    <row r="262" spans="1:38">
      <c r="A262" s="15"/>
      <c r="B262" s="20"/>
      <c r="C262" s="20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6"/>
      <c r="AB262" s="15"/>
      <c r="AC262" s="17"/>
      <c r="AD262" s="15"/>
      <c r="AE262" s="15"/>
      <c r="AF262" s="22"/>
      <c r="AG262" s="17"/>
      <c r="AH262" s="17"/>
      <c r="AI262" s="15"/>
      <c r="AJ262" s="17"/>
      <c r="AK262" s="15"/>
      <c r="AL262" s="65"/>
    </row>
    <row r="263" spans="1:38">
      <c r="A263" s="15"/>
      <c r="B263" s="20"/>
      <c r="C263" s="20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6"/>
      <c r="AB263" s="15"/>
      <c r="AC263" s="17"/>
      <c r="AD263" s="15"/>
      <c r="AE263" s="15"/>
      <c r="AF263" s="22"/>
      <c r="AG263" s="17"/>
      <c r="AH263" s="17"/>
      <c r="AI263" s="15"/>
      <c r="AJ263" s="17"/>
      <c r="AK263" s="15"/>
      <c r="AL263" s="65"/>
    </row>
    <row r="264" spans="1:38">
      <c r="A264" s="15"/>
      <c r="B264" s="20"/>
      <c r="C264" s="20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6"/>
      <c r="AB264" s="15"/>
      <c r="AC264" s="17"/>
      <c r="AD264" s="15"/>
      <c r="AE264" s="15"/>
      <c r="AF264" s="22"/>
      <c r="AG264" s="17"/>
      <c r="AH264" s="17"/>
      <c r="AI264" s="15"/>
      <c r="AJ264" s="17"/>
      <c r="AK264" s="15"/>
      <c r="AL264" s="65"/>
    </row>
    <row r="265" spans="1:38">
      <c r="A265" s="15"/>
      <c r="B265" s="20"/>
      <c r="C265" s="20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6"/>
      <c r="AB265" s="15"/>
      <c r="AC265" s="17"/>
      <c r="AD265" s="15"/>
      <c r="AE265" s="15"/>
      <c r="AF265" s="22"/>
      <c r="AG265" s="17"/>
      <c r="AH265" s="17"/>
      <c r="AI265" s="15"/>
      <c r="AJ265" s="17"/>
      <c r="AK265" s="15"/>
      <c r="AL265" s="65"/>
    </row>
    <row r="266" spans="1:38">
      <c r="A266" s="15"/>
      <c r="B266" s="20"/>
      <c r="C266" s="20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6"/>
      <c r="AB266" s="15"/>
      <c r="AC266" s="17"/>
      <c r="AD266" s="15"/>
      <c r="AE266" s="15"/>
      <c r="AF266" s="22"/>
      <c r="AG266" s="17"/>
      <c r="AH266" s="17"/>
      <c r="AI266" s="15"/>
      <c r="AJ266" s="17"/>
      <c r="AK266" s="15"/>
      <c r="AL266" s="65"/>
    </row>
    <row r="267" spans="1:38">
      <c r="A267" s="15"/>
      <c r="B267" s="20"/>
      <c r="C267" s="20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6"/>
      <c r="AB267" s="15"/>
      <c r="AC267" s="17"/>
      <c r="AD267" s="15"/>
      <c r="AE267" s="15"/>
      <c r="AF267" s="22"/>
      <c r="AG267" s="17"/>
      <c r="AH267" s="17"/>
      <c r="AI267" s="15"/>
      <c r="AJ267" s="17"/>
      <c r="AK267" s="15"/>
      <c r="AL267" s="65"/>
    </row>
    <row r="268" spans="1:38">
      <c r="A268" s="15"/>
      <c r="B268" s="20"/>
      <c r="C268" s="20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6"/>
      <c r="AB268" s="15"/>
      <c r="AC268" s="17"/>
      <c r="AD268" s="15"/>
      <c r="AE268" s="15"/>
      <c r="AF268" s="22"/>
      <c r="AG268" s="17"/>
      <c r="AH268" s="17"/>
      <c r="AI268" s="15"/>
      <c r="AJ268" s="17"/>
      <c r="AK268" s="15"/>
      <c r="AL268" s="65"/>
    </row>
    <row r="269" spans="1:38">
      <c r="A269" s="15"/>
      <c r="B269" s="20"/>
      <c r="C269" s="20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6"/>
      <c r="AB269" s="15"/>
      <c r="AC269" s="17"/>
      <c r="AD269" s="15"/>
      <c r="AE269" s="15"/>
      <c r="AF269" s="22"/>
      <c r="AG269" s="17"/>
      <c r="AH269" s="17"/>
      <c r="AI269" s="15"/>
      <c r="AJ269" s="17"/>
      <c r="AK269" s="15"/>
      <c r="AL269" s="65"/>
    </row>
    <row r="270" spans="1:38">
      <c r="A270" s="15"/>
      <c r="B270" s="20"/>
      <c r="C270" s="20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6"/>
      <c r="AB270" s="15"/>
      <c r="AC270" s="17"/>
      <c r="AD270" s="15"/>
      <c r="AE270" s="15"/>
      <c r="AF270" s="22"/>
      <c r="AG270" s="17"/>
      <c r="AH270" s="17"/>
      <c r="AI270" s="15"/>
      <c r="AJ270" s="17"/>
      <c r="AK270" s="15"/>
      <c r="AL270" s="65"/>
    </row>
    <row r="271" spans="1:38">
      <c r="A271" s="15"/>
      <c r="B271" s="20"/>
      <c r="C271" s="20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6"/>
      <c r="AB271" s="15"/>
      <c r="AC271" s="17"/>
      <c r="AD271" s="15"/>
      <c r="AE271" s="15"/>
      <c r="AF271" s="22"/>
      <c r="AG271" s="17"/>
      <c r="AH271" s="17"/>
      <c r="AI271" s="15"/>
      <c r="AJ271" s="17"/>
      <c r="AK271" s="15"/>
      <c r="AL271" s="65"/>
    </row>
    <row r="272" spans="1:38">
      <c r="A272" s="15"/>
      <c r="B272" s="20"/>
      <c r="C272" s="20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6"/>
      <c r="AB272" s="15"/>
      <c r="AC272" s="17"/>
      <c r="AD272" s="15"/>
      <c r="AE272" s="15"/>
      <c r="AF272" s="22"/>
      <c r="AG272" s="17"/>
      <c r="AH272" s="17"/>
      <c r="AI272" s="15"/>
      <c r="AJ272" s="17"/>
      <c r="AK272" s="15"/>
      <c r="AL272" s="65"/>
    </row>
    <row r="273" spans="1:38">
      <c r="A273" s="15"/>
      <c r="B273" s="20"/>
      <c r="C273" s="20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6"/>
      <c r="AB273" s="15"/>
      <c r="AC273" s="17"/>
      <c r="AD273" s="15"/>
      <c r="AE273" s="15"/>
      <c r="AF273" s="22"/>
      <c r="AG273" s="17"/>
      <c r="AH273" s="17"/>
      <c r="AI273" s="15"/>
      <c r="AJ273" s="17"/>
      <c r="AK273" s="15"/>
      <c r="AL273" s="65"/>
    </row>
    <row r="274" spans="1:38">
      <c r="A274" s="15"/>
      <c r="B274" s="20"/>
      <c r="C274" s="20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6"/>
      <c r="AB274" s="15"/>
      <c r="AC274" s="17"/>
      <c r="AD274" s="15"/>
      <c r="AE274" s="15"/>
      <c r="AF274" s="22"/>
      <c r="AG274" s="17"/>
      <c r="AH274" s="17"/>
      <c r="AI274" s="15"/>
      <c r="AJ274" s="17"/>
      <c r="AK274" s="15"/>
      <c r="AL274" s="65"/>
    </row>
    <row r="275" spans="1:38">
      <c r="A275" s="15"/>
      <c r="B275" s="20"/>
      <c r="C275" s="20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6"/>
      <c r="AB275" s="15"/>
      <c r="AC275" s="17"/>
      <c r="AD275" s="15"/>
      <c r="AE275" s="15"/>
      <c r="AF275" s="22"/>
      <c r="AG275" s="17"/>
      <c r="AH275" s="17"/>
      <c r="AI275" s="15"/>
      <c r="AJ275" s="17"/>
      <c r="AK275" s="15"/>
      <c r="AL275" s="65"/>
    </row>
    <row r="276" spans="1:38">
      <c r="A276" s="15"/>
      <c r="B276" s="20"/>
      <c r="C276" s="20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6"/>
      <c r="AB276" s="15"/>
      <c r="AC276" s="17"/>
      <c r="AD276" s="15"/>
      <c r="AE276" s="15"/>
      <c r="AF276" s="22"/>
      <c r="AG276" s="17"/>
      <c r="AH276" s="17"/>
      <c r="AI276" s="15"/>
      <c r="AJ276" s="17"/>
      <c r="AK276" s="15"/>
      <c r="AL276" s="65"/>
    </row>
    <row r="277" spans="1:38">
      <c r="A277" s="15"/>
      <c r="B277" s="20"/>
      <c r="C277" s="20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6"/>
      <c r="AB277" s="15"/>
      <c r="AC277" s="17"/>
      <c r="AD277" s="15"/>
      <c r="AE277" s="15"/>
      <c r="AF277" s="22"/>
      <c r="AG277" s="17"/>
      <c r="AH277" s="17"/>
      <c r="AI277" s="15"/>
      <c r="AJ277" s="17"/>
      <c r="AK277" s="15"/>
      <c r="AL277" s="65"/>
    </row>
    <row r="278" spans="1:38">
      <c r="A278" s="15"/>
      <c r="B278" s="20"/>
      <c r="C278" s="20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6"/>
      <c r="AB278" s="15"/>
      <c r="AC278" s="17"/>
      <c r="AD278" s="15"/>
      <c r="AE278" s="15"/>
      <c r="AF278" s="22"/>
      <c r="AG278" s="17"/>
      <c r="AH278" s="17"/>
      <c r="AI278" s="15"/>
      <c r="AJ278" s="17"/>
      <c r="AK278" s="15"/>
      <c r="AL278" s="65"/>
    </row>
    <row r="279" spans="1:38">
      <c r="A279" s="15"/>
      <c r="B279" s="20"/>
      <c r="C279" s="20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6"/>
      <c r="AB279" s="15"/>
      <c r="AC279" s="17"/>
      <c r="AD279" s="15"/>
      <c r="AE279" s="15"/>
      <c r="AF279" s="22"/>
      <c r="AG279" s="17"/>
      <c r="AH279" s="17"/>
      <c r="AI279" s="15"/>
      <c r="AJ279" s="17"/>
      <c r="AK279" s="15"/>
      <c r="AL279" s="65"/>
    </row>
    <row r="280" spans="1:38">
      <c r="A280" s="15"/>
      <c r="B280" s="20"/>
      <c r="C280" s="20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6"/>
      <c r="AB280" s="15"/>
      <c r="AC280" s="17"/>
      <c r="AD280" s="15"/>
      <c r="AE280" s="15"/>
      <c r="AF280" s="22"/>
      <c r="AG280" s="17"/>
      <c r="AH280" s="17"/>
      <c r="AI280" s="15"/>
      <c r="AJ280" s="17"/>
      <c r="AK280" s="15"/>
      <c r="AL280" s="65"/>
    </row>
    <row r="281" spans="1:38">
      <c r="A281" s="15"/>
      <c r="B281" s="20"/>
      <c r="C281" s="20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6"/>
      <c r="AB281" s="15"/>
      <c r="AC281" s="17"/>
      <c r="AD281" s="15"/>
      <c r="AE281" s="15"/>
      <c r="AF281" s="22"/>
      <c r="AG281" s="17"/>
      <c r="AH281" s="17"/>
      <c r="AI281" s="15"/>
      <c r="AJ281" s="17"/>
      <c r="AK281" s="15"/>
      <c r="AL281" s="65"/>
    </row>
    <row r="282" spans="1:38">
      <c r="A282" s="15"/>
      <c r="B282" s="20"/>
      <c r="C282" s="20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6"/>
      <c r="AB282" s="15"/>
      <c r="AC282" s="17"/>
      <c r="AD282" s="15"/>
      <c r="AE282" s="15"/>
      <c r="AF282" s="22"/>
      <c r="AG282" s="17"/>
      <c r="AH282" s="17"/>
      <c r="AI282" s="15"/>
      <c r="AJ282" s="17"/>
      <c r="AK282" s="15"/>
      <c r="AL282" s="65"/>
    </row>
    <row r="283" spans="1:38">
      <c r="A283" s="15"/>
      <c r="B283" s="20"/>
      <c r="C283" s="20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6"/>
      <c r="AB283" s="15"/>
      <c r="AC283" s="17"/>
      <c r="AD283" s="15"/>
      <c r="AE283" s="15"/>
      <c r="AF283" s="22"/>
      <c r="AG283" s="17"/>
      <c r="AH283" s="17"/>
      <c r="AI283" s="15"/>
      <c r="AJ283" s="17"/>
      <c r="AK283" s="15"/>
      <c r="AL283" s="65"/>
    </row>
    <row r="284" spans="1:38">
      <c r="A284" s="15"/>
      <c r="B284" s="20"/>
      <c r="C284" s="20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6"/>
      <c r="AB284" s="15"/>
      <c r="AC284" s="17"/>
      <c r="AD284" s="15"/>
      <c r="AE284" s="15"/>
      <c r="AF284" s="22"/>
      <c r="AG284" s="17"/>
      <c r="AH284" s="17"/>
      <c r="AI284" s="15"/>
      <c r="AJ284" s="17"/>
      <c r="AK284" s="15"/>
      <c r="AL284" s="65"/>
    </row>
    <row r="285" spans="1:38">
      <c r="A285" s="15"/>
      <c r="B285" s="20"/>
      <c r="C285" s="20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6"/>
      <c r="AB285" s="15"/>
      <c r="AC285" s="17"/>
      <c r="AD285" s="15"/>
      <c r="AE285" s="15"/>
      <c r="AF285" s="22"/>
      <c r="AG285" s="17"/>
      <c r="AH285" s="17"/>
      <c r="AI285" s="15"/>
      <c r="AJ285" s="17"/>
      <c r="AK285" s="15"/>
      <c r="AL285" s="65"/>
    </row>
    <row r="286" spans="1:38">
      <c r="A286" s="15"/>
      <c r="B286" s="20"/>
      <c r="C286" s="20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6"/>
      <c r="AB286" s="15"/>
      <c r="AC286" s="17"/>
      <c r="AD286" s="15"/>
      <c r="AE286" s="15"/>
      <c r="AF286" s="22"/>
      <c r="AG286" s="17"/>
      <c r="AH286" s="17"/>
      <c r="AI286" s="15"/>
      <c r="AJ286" s="17"/>
      <c r="AK286" s="15"/>
      <c r="AL286" s="65"/>
    </row>
    <row r="287" spans="1:38">
      <c r="A287" s="15"/>
      <c r="B287" s="20"/>
      <c r="C287" s="20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6"/>
      <c r="AB287" s="15"/>
      <c r="AC287" s="17"/>
      <c r="AD287" s="15"/>
      <c r="AE287" s="15"/>
      <c r="AF287" s="22"/>
      <c r="AG287" s="17"/>
      <c r="AH287" s="17"/>
      <c r="AI287" s="15"/>
      <c r="AJ287" s="17"/>
      <c r="AK287" s="15"/>
      <c r="AL287" s="65"/>
    </row>
    <row r="288" spans="1:38">
      <c r="A288" s="15"/>
      <c r="B288" s="20"/>
      <c r="C288" s="20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6"/>
      <c r="AB288" s="15"/>
      <c r="AC288" s="17"/>
      <c r="AD288" s="15"/>
      <c r="AE288" s="15"/>
      <c r="AF288" s="22"/>
      <c r="AG288" s="17"/>
      <c r="AH288" s="17"/>
      <c r="AI288" s="15"/>
      <c r="AJ288" s="17"/>
      <c r="AK288" s="15"/>
      <c r="AL288" s="65"/>
    </row>
    <row r="289" spans="1:38">
      <c r="A289" s="15"/>
      <c r="B289" s="20"/>
      <c r="C289" s="20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6"/>
      <c r="AB289" s="15"/>
      <c r="AC289" s="17"/>
      <c r="AD289" s="15"/>
      <c r="AE289" s="15"/>
      <c r="AF289" s="22"/>
      <c r="AG289" s="17"/>
      <c r="AH289" s="17"/>
      <c r="AI289" s="15"/>
      <c r="AJ289" s="17"/>
      <c r="AK289" s="15"/>
      <c r="AL289" s="65"/>
    </row>
    <row r="290" spans="1:38">
      <c r="A290" s="15"/>
      <c r="B290" s="20"/>
      <c r="C290" s="20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6"/>
      <c r="AB290" s="15"/>
      <c r="AC290" s="17"/>
      <c r="AD290" s="15"/>
      <c r="AE290" s="15"/>
      <c r="AF290" s="22"/>
      <c r="AG290" s="17"/>
      <c r="AH290" s="17"/>
      <c r="AI290" s="15"/>
      <c r="AJ290" s="17"/>
      <c r="AK290" s="15"/>
      <c r="AL290" s="65"/>
    </row>
    <row r="291" spans="1:38">
      <c r="A291" s="15"/>
      <c r="B291" s="20"/>
      <c r="C291" s="20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6"/>
      <c r="AB291" s="15"/>
      <c r="AC291" s="17"/>
      <c r="AD291" s="15"/>
      <c r="AE291" s="15"/>
      <c r="AF291" s="22"/>
      <c r="AG291" s="17"/>
      <c r="AH291" s="17"/>
      <c r="AI291" s="15"/>
      <c r="AJ291" s="17"/>
      <c r="AK291" s="15"/>
      <c r="AL291" s="65"/>
    </row>
    <row r="292" spans="1:38">
      <c r="A292" s="15"/>
      <c r="B292" s="20"/>
      <c r="C292" s="20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6"/>
      <c r="AB292" s="15"/>
      <c r="AC292" s="17"/>
      <c r="AD292" s="15"/>
      <c r="AE292" s="15"/>
      <c r="AF292" s="22"/>
      <c r="AG292" s="17"/>
      <c r="AH292" s="17"/>
      <c r="AI292" s="15"/>
      <c r="AJ292" s="17"/>
      <c r="AK292" s="15"/>
      <c r="AL292" s="65"/>
    </row>
    <row r="293" spans="1:38" ht="13.5" thickBot="1">
      <c r="A293" s="42"/>
      <c r="B293" s="45"/>
      <c r="C293" s="45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1"/>
      <c r="AB293" s="42"/>
      <c r="AC293" s="43"/>
      <c r="AD293" s="42"/>
      <c r="AE293" s="42"/>
      <c r="AF293" s="44"/>
      <c r="AG293" s="43"/>
      <c r="AH293" s="43"/>
      <c r="AI293" s="42"/>
      <c r="AJ293" s="43"/>
      <c r="AK293" s="42"/>
      <c r="AL293" s="65"/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Local and Global</vt:lpstr>
      <vt:lpstr>Global Only</vt:lpstr>
      <vt:lpstr>HR_Local and Global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2026-06-21T12:54:55Z</dcterms:modified>
</cp:coreProperties>
</file>