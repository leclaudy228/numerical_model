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23B8A41B-EF69-4DF4-AD59-C7644A49D714}" xr6:coauthVersionLast="47" xr6:coauthVersionMax="47" xr10:uidLastSave="{00000000-0000-0000-0000-000000000000}"/>
  <bookViews>
    <workbookView xWindow="-120" yWindow="-120" windowWidth="29040" windowHeight="15720" tabRatio="353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1" l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<sst xmlns="http://schemas.openxmlformats.org/spreadsheetml/2006/main" count="372" uniqueCount="191">
  <si>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</si>
  <si>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</si>
  <si>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</si>
  <si>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</si>
  <si>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</si>
  <si>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</si>
  <si>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</si>
  <si>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</si>
  <si>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</si>
  <si>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</si>
  <si>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</si>
  <si>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</si>
  <si>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</si>
  <si>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</si>
  <si>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</si>
  <si>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</si>
  <si>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</si>
  <si>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</si>
  <si>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</si>
  <si>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</si>
  <si>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</si>
  <si>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</si>
  <si>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</si>
  <si>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</si>
  <si>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</si>
  <si>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</si>
  <si>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</si>
  <si>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</si>
  <si>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</si>
  <si>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</si>
  <si>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</si>
  <si>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</si>
  <si>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</si>
  <si>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</si>
  <si>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</si>
  <si>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</si>
  <si>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</si>
  <si>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</si>
  <si>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</si>
  <si>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</si>
  <si>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</si>
  <si>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</si>
  <si>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</si>
  <si>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</si>
  <si>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</si>
  <si>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</si>
  <si>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</si>
  <si>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</si>
  <si>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</si>
  <si>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</si>
  <si>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</si>
  <si>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</si>
  <si>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</si>
  <si>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</si>
  <si>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</si>
  <si>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</si>
  <si>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</si>
  <si>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</si>
  <si>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</si>
  <si>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</si>
  <si>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</si>
  <si>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</si>
  <si>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</si>
  <si>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</si>
  <si>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</si>
  <si>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</si>
  <si>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</si>
  <si>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</si>
  <si>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</si>
  <si>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</si>
  <si>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</si>
  <si>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</si>
  <si>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</si>
  <si>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</si>
  <si>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</si>
  <si>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</si>
  <si>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</si>
  <si>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</si>
  <si>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</si>
  <si>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</si>
  <si>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</si>
  <si>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</si>
  <si>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</si>
  <si>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</si>
  <si>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</si>
  <si>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</si>
  <si>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</si>
  <si>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</si>
  <si>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</si>
  <si>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</si>
  <si>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</si>
  <si>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</si>
  <si>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</si>
  <si>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S_2</t>
  </si>
  <si>
    <t>HEB-100-1</t>
  </si>
  <si>
    <t>HEB-100-2</t>
  </si>
  <si>
    <t>HEB-100-3</t>
  </si>
  <si>
    <t>HEB-100-4</t>
  </si>
  <si>
    <t>HEB-100-5</t>
  </si>
  <si>
    <t>HEB-100-6</t>
  </si>
  <si>
    <t>HEB-100-7</t>
  </si>
  <si>
    <t>HEB-100-8</t>
  </si>
  <si>
    <t>HEB-140-1</t>
  </si>
  <si>
    <t>HEB-140-2</t>
  </si>
  <si>
    <t>HEB-140-3</t>
  </si>
  <si>
    <t>HEB-140-4</t>
  </si>
  <si>
    <t>HEB-140-5</t>
  </si>
  <si>
    <t>HEB-140-6</t>
  </si>
  <si>
    <t>HEB-140-7</t>
  </si>
  <si>
    <t>HEB-140-8</t>
  </si>
  <si>
    <t>HEB-180-1</t>
  </si>
  <si>
    <t>HEB-180-2</t>
  </si>
  <si>
    <t>HEB-180-3</t>
  </si>
  <si>
    <t>HEB-180-4</t>
  </si>
  <si>
    <t>HEB-180-5</t>
  </si>
  <si>
    <t>HEB-180-6</t>
  </si>
  <si>
    <t>HEB-180-7</t>
  </si>
  <si>
    <t>HEB-180-8</t>
  </si>
  <si>
    <t>HEB-220-1</t>
  </si>
  <si>
    <t>HEB-220-2</t>
  </si>
  <si>
    <t>HEB-220-3</t>
  </si>
  <si>
    <t>HEB-220-4</t>
  </si>
  <si>
    <t>HEB-220-5</t>
  </si>
  <si>
    <t>HEB-220-6</t>
  </si>
  <si>
    <t>HEB-220-7</t>
  </si>
  <si>
    <t>HEB-220-8</t>
  </si>
  <si>
    <t>HEB-260-1</t>
  </si>
  <si>
    <t>HEB-260-2</t>
  </si>
  <si>
    <t>HEB-260-3</t>
  </si>
  <si>
    <t>HEB-260-4</t>
  </si>
  <si>
    <t>HEB-260-5</t>
  </si>
  <si>
    <t>HEB-260-6</t>
  </si>
  <si>
    <t>HEB-260-7</t>
  </si>
  <si>
    <t>HEB-260-8</t>
  </si>
  <si>
    <t>HEB-300-1</t>
  </si>
  <si>
    <t>HEB-300-2</t>
  </si>
  <si>
    <t>HEB-300-3</t>
  </si>
  <si>
    <t>HEB-300-4</t>
  </si>
  <si>
    <t>HEB-300-5</t>
  </si>
  <si>
    <t>HEB-300-6</t>
  </si>
  <si>
    <t>HEB-300-7</t>
  </si>
  <si>
    <t>HEB-300-8</t>
  </si>
  <si>
    <t>HEB-340-1</t>
  </si>
  <si>
    <t>HEB-340-2</t>
  </si>
  <si>
    <t>HEB-340-3</t>
  </si>
  <si>
    <t>HEB-340-4</t>
  </si>
  <si>
    <t>HEB-340-5</t>
  </si>
  <si>
    <t>HEB-340-6</t>
  </si>
  <si>
    <t>HEB-340-7</t>
  </si>
  <si>
    <t>HEB-340-8</t>
  </si>
  <si>
    <t>HEB-400-1</t>
  </si>
  <si>
    <t>HEB-400-2</t>
  </si>
  <si>
    <t>HEB-400-3</t>
  </si>
  <si>
    <t>HEB-400-4</t>
  </si>
  <si>
    <t>HEB-400-5</t>
  </si>
  <si>
    <t>HEB-400-6</t>
  </si>
  <si>
    <t>HEB-400-7</t>
  </si>
  <si>
    <t>HEB-400-8</t>
  </si>
  <si>
    <t>HEB-500-1</t>
  </si>
  <si>
    <t>HEB-500-2</t>
  </si>
  <si>
    <t>HEB-500-3</t>
  </si>
  <si>
    <t>HEB-500-4</t>
  </si>
  <si>
    <t>HEB-500-5</t>
  </si>
  <si>
    <t>HEB-500-6</t>
  </si>
  <si>
    <t>HEB-500-7</t>
  </si>
  <si>
    <t>HEB-500-8</t>
  </si>
  <si>
    <t>HEB-600-1</t>
  </si>
  <si>
    <t>HEB-600-2</t>
  </si>
  <si>
    <t>HEB-600-3</t>
  </si>
  <si>
    <t>HEB-600-4</t>
  </si>
  <si>
    <t>HEB-600-5</t>
  </si>
  <si>
    <t>HEB-600-6</t>
  </si>
  <si>
    <t>HEB-600-7</t>
  </si>
  <si>
    <t>HEB-600-8</t>
  </si>
  <si>
    <t>HEB-700-1</t>
  </si>
  <si>
    <t>HEB-700-2</t>
  </si>
  <si>
    <t>HEB-700-3</t>
  </si>
  <si>
    <t>HEB-700-4</t>
  </si>
  <si>
    <t>HEB-700-5</t>
  </si>
  <si>
    <t>HEB-700-6</t>
  </si>
  <si>
    <t>HEB-700-7</t>
  </si>
  <si>
    <t>HEB-700-8</t>
  </si>
  <si>
    <t>HEB-900-1</t>
  </si>
  <si>
    <t>HEB-900-2</t>
  </si>
  <si>
    <t>HEB-900-3</t>
  </si>
  <si>
    <t>HEB-900-4</t>
  </si>
  <si>
    <t>HEB-900-5</t>
  </si>
  <si>
    <t>HEB-900-6</t>
  </si>
  <si>
    <t>HEB-900-7</t>
  </si>
  <si>
    <t>HEB-900-8</t>
  </si>
  <si>
    <t>Parametric_study_HR_355_v2_beam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</si>
</sst>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666750</xdr:colOff>
          <xdr:row>1</xdr:row>
          <xdr:rowOff>371475</xdr:rowOff>
        </xdr:from>
        <xdr:to>
          <xdr:col>47</xdr:col>
          <xdr:colOff>238125</xdr:colOff>
          <xdr:row>1</xdr:row>
          <xdr:rowOff>942975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tabSelected="1" workbookViewId="0">
      <selection activeCell="J20" sqref="J20"/>
    </sheetView>
  </sheetViews>
  <sheetFormatPr defaultColWidth="9.140625" defaultRowHeight="15" x14ac:dyDescent="0.25"/>
  <cols>
    <col min="1" max="1" width="35.7109375" customWidth="1"/>
    <col min="2" max="2" width="33" bestFit="1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93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zoomScale="80" zoomScaleNormal="80" workbookViewId="0">
      <pane ySplit="2" topLeftCell="A82" activePane="bottomLeft" state="frozen"/>
      <selection pane="bottomLeft" activeCell="Q103" sqref="Q103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88</v>
      </c>
      <c r="AI1" s="110"/>
      <c r="AJ1" s="111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3">
        <v>193</v>
      </c>
      <c r="B4" s="94" t="s">
        <v>94</v>
      </c>
      <c r="C4" s="95">
        <v>100</v>
      </c>
      <c r="D4" s="95">
        <v>100</v>
      </c>
      <c r="E4" s="95">
        <v>100</v>
      </c>
      <c r="F4" s="95">
        <v>10</v>
      </c>
      <c r="G4" s="95">
        <v>10</v>
      </c>
      <c r="H4" s="95">
        <v>6</v>
      </c>
      <c r="I4" s="95">
        <v>12</v>
      </c>
      <c r="J4" s="95">
        <v>12</v>
      </c>
      <c r="K4" s="95">
        <v>957.01034280263218</v>
      </c>
      <c r="L4" s="95">
        <v>0</v>
      </c>
      <c r="M4" s="95">
        <v>1</v>
      </c>
      <c r="N4" s="95">
        <v>2</v>
      </c>
      <c r="O4" s="95">
        <v>3</v>
      </c>
      <c r="P4" s="95">
        <v>200</v>
      </c>
      <c r="Q4" s="95">
        <v>0</v>
      </c>
      <c r="R4" s="95">
        <v>0</v>
      </c>
      <c r="S4" s="95">
        <v>0</v>
      </c>
      <c r="T4" s="95">
        <v>3</v>
      </c>
      <c r="U4" s="95" t="s">
        <v>48</v>
      </c>
      <c r="V4" s="95">
        <v>1</v>
      </c>
      <c r="W4" s="95">
        <v>1</v>
      </c>
      <c r="X4" s="95">
        <v>0</v>
      </c>
      <c r="Y4" s="95">
        <f>W4</f>
        <v>1</v>
      </c>
      <c r="Z4" s="95">
        <f>IF(X4=90,0,(1-Y4)/(TAN(X4/180*PI())+1))</f>
        <v>0</v>
      </c>
      <c r="AA4" s="95">
        <f>IF(X4=90,1-W4,Z4*TAN(X4/180*PI()))</f>
        <v>0</v>
      </c>
      <c r="AB4" s="96">
        <f>AH4/3.5</f>
        <v>238.75134815390757</v>
      </c>
      <c r="AC4" s="96">
        <f t="shared" ref="AC4:AC9" si="0">Z4*AI4/3.5</f>
        <v>0</v>
      </c>
      <c r="AD4" s="96">
        <f t="shared" ref="AD4:AD9" si="1">AA4*AJ4/3.5</f>
        <v>0</v>
      </c>
      <c r="AE4" s="95">
        <v>20</v>
      </c>
      <c r="AF4" s="95">
        <v>355</v>
      </c>
      <c r="AG4" s="95">
        <v>210000</v>
      </c>
      <c r="AH4" s="96">
        <v>835.62971853867646</v>
      </c>
      <c r="AI4" s="96">
        <v>0</v>
      </c>
      <c r="AJ4" s="97">
        <v>0</v>
      </c>
      <c r="AK4" s="98">
        <f t="shared" ref="AK4:AK36" si="2">K4/1000</f>
        <v>0.9570103428026322</v>
      </c>
      <c r="AL4" s="98">
        <f t="shared" ref="AL4:AL36" si="3">C4/200</f>
        <v>0.5</v>
      </c>
      <c r="AM4" s="99"/>
      <c r="AN4" s="98">
        <v>0.94914779479631584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194</v>
      </c>
      <c r="B5" s="67" t="s">
        <v>95</v>
      </c>
      <c r="C5" s="28">
        <v>100</v>
      </c>
      <c r="D5" s="19">
        <v>100</v>
      </c>
      <c r="E5" s="28">
        <v>100</v>
      </c>
      <c r="F5" s="28">
        <v>10</v>
      </c>
      <c r="G5" s="19">
        <v>10</v>
      </c>
      <c r="H5" s="28">
        <v>6</v>
      </c>
      <c r="I5" s="19">
        <v>12</v>
      </c>
      <c r="J5" s="19">
        <v>12</v>
      </c>
      <c r="K5" s="19">
        <v>1595.0172380043869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4">W5</f>
        <v>1</v>
      </c>
      <c r="Z5" s="19">
        <f t="shared" ref="Z5:Z68" si="5">IF(X5=90,0,(1-Y5)/(TAN(X5/180*PI())+1))</f>
        <v>0</v>
      </c>
      <c r="AA5" s="19">
        <f t="shared" ref="AA5:AA68" si="6">IF(X5=90,1-W5,Z5*TAN(X5/180*PI()))</f>
        <v>0</v>
      </c>
      <c r="AB5" s="29">
        <f t="shared" ref="AB5:AB68" si="7">AH5/3.5</f>
        <v>212.04837229778374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742.16930304224309</v>
      </c>
      <c r="AI5" s="29">
        <v>0</v>
      </c>
      <c r="AJ5" s="30">
        <v>0</v>
      </c>
      <c r="AK5" s="57">
        <f t="shared" si="2"/>
        <v>1.5950172380043868</v>
      </c>
      <c r="AL5" s="57">
        <f t="shared" si="3"/>
        <v>0.5</v>
      </c>
      <c r="AM5" s="60"/>
      <c r="AN5" s="57">
        <v>0.842991030261521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195</v>
      </c>
      <c r="B6" s="67" t="s">
        <v>96</v>
      </c>
      <c r="C6" s="28">
        <v>100</v>
      </c>
      <c r="D6" s="19">
        <v>100</v>
      </c>
      <c r="E6" s="28">
        <v>100</v>
      </c>
      <c r="F6" s="28">
        <v>10</v>
      </c>
      <c r="G6" s="19">
        <v>10</v>
      </c>
      <c r="H6" s="28">
        <v>6</v>
      </c>
      <c r="I6" s="19">
        <v>12</v>
      </c>
      <c r="J6" s="19">
        <v>12</v>
      </c>
      <c r="K6" s="19">
        <v>2392.5258570065803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4"/>
        <v>1</v>
      </c>
      <c r="Z6" s="19">
        <f t="shared" si="5"/>
        <v>0</v>
      </c>
      <c r="AA6" s="19">
        <f t="shared" si="6"/>
        <v>0</v>
      </c>
      <c r="AB6" s="29">
        <f t="shared" si="7"/>
        <v>174.45406310961698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610.58922088365944</v>
      </c>
      <c r="AI6" s="29">
        <v>0</v>
      </c>
      <c r="AJ6" s="30">
        <v>0</v>
      </c>
      <c r="AK6" s="57">
        <f t="shared" si="2"/>
        <v>2.3925258570065804</v>
      </c>
      <c r="AL6" s="57">
        <f t="shared" si="3"/>
        <v>0.5</v>
      </c>
      <c r="AM6" s="60"/>
      <c r="AN6" s="57">
        <v>0.69353614366612837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196</v>
      </c>
      <c r="B7" s="67" t="s">
        <v>97</v>
      </c>
      <c r="C7" s="28">
        <v>100</v>
      </c>
      <c r="D7" s="19">
        <v>100</v>
      </c>
      <c r="E7" s="28">
        <v>100</v>
      </c>
      <c r="F7" s="28">
        <v>10</v>
      </c>
      <c r="G7" s="19">
        <v>10</v>
      </c>
      <c r="H7" s="28">
        <v>6</v>
      </c>
      <c r="I7" s="19">
        <v>12</v>
      </c>
      <c r="J7" s="19">
        <v>12</v>
      </c>
      <c r="K7" s="19">
        <v>3190.0344760087737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4"/>
        <v>1</v>
      </c>
      <c r="Z7" s="19">
        <f t="shared" si="5"/>
        <v>0</v>
      </c>
      <c r="AA7" s="19">
        <f t="shared" si="6"/>
        <v>0</v>
      </c>
      <c r="AB7" s="29">
        <f t="shared" si="7"/>
        <v>135.81780559081977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475.36231956786924</v>
      </c>
      <c r="AI7" s="29">
        <v>0</v>
      </c>
      <c r="AJ7" s="30">
        <v>0</v>
      </c>
      <c r="AK7" s="57">
        <f t="shared" si="2"/>
        <v>3.1900344760087735</v>
      </c>
      <c r="AL7" s="57">
        <f t="shared" si="3"/>
        <v>0.5</v>
      </c>
      <c r="AM7" s="60"/>
      <c r="AN7" s="57">
        <v>0.53993902722384057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197</v>
      </c>
      <c r="B8" s="67" t="s">
        <v>98</v>
      </c>
      <c r="C8" s="28">
        <v>100</v>
      </c>
      <c r="D8" s="19">
        <v>100</v>
      </c>
      <c r="E8" s="28">
        <v>100</v>
      </c>
      <c r="F8" s="28">
        <v>10</v>
      </c>
      <c r="G8" s="19">
        <v>10</v>
      </c>
      <c r="H8" s="28">
        <v>6</v>
      </c>
      <c r="I8" s="19">
        <v>12</v>
      </c>
      <c r="J8" s="19">
        <v>12</v>
      </c>
      <c r="K8" s="19">
        <v>4242.7458530916692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4"/>
        <v>1</v>
      </c>
      <c r="Z8" s="19">
        <f t="shared" si="5"/>
        <v>0</v>
      </c>
      <c r="AA8" s="19">
        <f t="shared" si="6"/>
        <v>0</v>
      </c>
      <c r="AB8" s="29">
        <f t="shared" si="7"/>
        <v>94.678929117652999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331.37625191178552</v>
      </c>
      <c r="AI8" s="29">
        <v>0</v>
      </c>
      <c r="AJ8" s="30">
        <v>0</v>
      </c>
      <c r="AK8" s="57">
        <f t="shared" si="2"/>
        <v>4.2427458530916695</v>
      </c>
      <c r="AL8" s="57">
        <f t="shared" si="3"/>
        <v>0.5</v>
      </c>
      <c r="AM8" s="60"/>
      <c r="AN8" s="57">
        <v>0.37639283497476772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198</v>
      </c>
      <c r="B9" s="67" t="s">
        <v>99</v>
      </c>
      <c r="C9" s="28">
        <v>100</v>
      </c>
      <c r="D9" s="19">
        <v>100</v>
      </c>
      <c r="E9" s="28">
        <v>100</v>
      </c>
      <c r="F9" s="28">
        <v>10</v>
      </c>
      <c r="G9" s="19">
        <v>10</v>
      </c>
      <c r="H9" s="28">
        <v>6</v>
      </c>
      <c r="I9" s="19">
        <v>12</v>
      </c>
      <c r="J9" s="19">
        <v>12</v>
      </c>
      <c r="K9" s="19">
        <v>5327.3575749346519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4"/>
        <v>1</v>
      </c>
      <c r="Z9" s="19">
        <f t="shared" si="5"/>
        <v>0</v>
      </c>
      <c r="AA9" s="19">
        <f t="shared" si="6"/>
        <v>0</v>
      </c>
      <c r="AB9" s="29">
        <f t="shared" si="7"/>
        <v>66.734604689456575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233.57111641309803</v>
      </c>
      <c r="AI9" s="29">
        <v>0</v>
      </c>
      <c r="AJ9" s="30">
        <v>0</v>
      </c>
      <c r="AK9" s="57">
        <f t="shared" si="2"/>
        <v>5.327357574934652</v>
      </c>
      <c r="AL9" s="57">
        <f t="shared" si="3"/>
        <v>0.5</v>
      </c>
      <c r="AM9" s="60"/>
      <c r="AN9" s="57">
        <v>0.26530113177316905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199</v>
      </c>
      <c r="B10" s="67" t="s">
        <v>100</v>
      </c>
      <c r="C10" s="28">
        <v>100</v>
      </c>
      <c r="D10" s="19">
        <v>100</v>
      </c>
      <c r="E10" s="28">
        <v>100</v>
      </c>
      <c r="F10" s="28">
        <v>10</v>
      </c>
      <c r="G10" s="19">
        <v>10</v>
      </c>
      <c r="H10" s="28">
        <v>6</v>
      </c>
      <c r="I10" s="19">
        <v>12</v>
      </c>
      <c r="J10" s="19">
        <v>12</v>
      </c>
      <c r="K10" s="19">
        <v>6380.0689520175474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4"/>
        <v>1</v>
      </c>
      <c r="Z10" s="19">
        <f t="shared" si="5"/>
        <v>0</v>
      </c>
      <c r="AA10" s="19">
        <f t="shared" si="6"/>
        <v>0</v>
      </c>
      <c r="AB10" s="29">
        <f t="shared" si="7"/>
        <v>49.348588193575218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172.72005867751326</v>
      </c>
      <c r="AI10" s="29">
        <v>0</v>
      </c>
      <c r="AJ10" s="30">
        <v>0</v>
      </c>
      <c r="AK10" s="57">
        <f t="shared" si="2"/>
        <v>6.3800689520175471</v>
      </c>
      <c r="AL10" s="57">
        <f t="shared" si="3"/>
        <v>0.5</v>
      </c>
      <c r="AM10" s="60"/>
      <c r="AN10" s="57">
        <v>0.19618361957918362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200</v>
      </c>
      <c r="B11" s="67" t="s">
        <v>101</v>
      </c>
      <c r="C11" s="28">
        <v>100</v>
      </c>
      <c r="D11" s="19">
        <v>100</v>
      </c>
      <c r="E11" s="28">
        <v>100</v>
      </c>
      <c r="F11" s="28">
        <v>10</v>
      </c>
      <c r="G11" s="19">
        <v>10</v>
      </c>
      <c r="H11" s="28">
        <v>6</v>
      </c>
      <c r="I11" s="19">
        <v>12</v>
      </c>
      <c r="J11" s="19">
        <v>12</v>
      </c>
      <c r="K11" s="19">
        <v>7975.0861900219343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4"/>
        <v>1</v>
      </c>
      <c r="Z11" s="19">
        <f t="shared" si="5"/>
        <v>0</v>
      </c>
      <c r="AA11" s="19">
        <f t="shared" si="6"/>
        <v>0</v>
      </c>
      <c r="AB11" s="29">
        <f t="shared" si="7"/>
        <v>33.320972493220154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116.62340372627054</v>
      </c>
      <c r="AI11" s="29">
        <v>0</v>
      </c>
      <c r="AJ11" s="30">
        <v>0</v>
      </c>
      <c r="AK11" s="57">
        <f t="shared" si="2"/>
        <v>7.9750861900219343</v>
      </c>
      <c r="AL11" s="57">
        <f t="shared" si="3"/>
        <v>0.5</v>
      </c>
      <c r="AM11" s="60"/>
      <c r="AN11" s="57">
        <v>0.13246638315114781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201</v>
      </c>
      <c r="B12" s="67" t="s">
        <v>102</v>
      </c>
      <c r="C12" s="28">
        <v>140</v>
      </c>
      <c r="D12" s="19">
        <v>140</v>
      </c>
      <c r="E12" s="28">
        <v>140</v>
      </c>
      <c r="F12" s="28">
        <v>12</v>
      </c>
      <c r="G12" s="19">
        <v>12</v>
      </c>
      <c r="H12" s="28">
        <v>7</v>
      </c>
      <c r="I12" s="19">
        <v>12</v>
      </c>
      <c r="J12" s="19">
        <v>12</v>
      </c>
      <c r="K12" s="19">
        <v>1361.2911110846781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4"/>
        <v>1</v>
      </c>
      <c r="Z12" s="19">
        <f t="shared" si="5"/>
        <v>0</v>
      </c>
      <c r="AA12" s="19">
        <f t="shared" si="6"/>
        <v>0</v>
      </c>
      <c r="AB12" s="29">
        <f t="shared" si="7"/>
        <v>401.64138084600899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1405.7448329610315</v>
      </c>
      <c r="AI12" s="29">
        <v>0</v>
      </c>
      <c r="AJ12" s="30">
        <v>0</v>
      </c>
      <c r="AK12" s="57">
        <f t="shared" si="2"/>
        <v>1.3612911110846782</v>
      </c>
      <c r="AL12" s="57">
        <f t="shared" si="3"/>
        <v>0.7</v>
      </c>
      <c r="AM12" s="60"/>
      <c r="AN12" s="57">
        <v>0.94914779479631584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202</v>
      </c>
      <c r="B13" s="67" t="s">
        <v>103</v>
      </c>
      <c r="C13" s="28">
        <v>140</v>
      </c>
      <c r="D13" s="19">
        <v>140</v>
      </c>
      <c r="E13" s="28">
        <v>140</v>
      </c>
      <c r="F13" s="28">
        <v>12</v>
      </c>
      <c r="G13" s="19">
        <v>12</v>
      </c>
      <c r="H13" s="28">
        <v>7</v>
      </c>
      <c r="I13" s="19">
        <v>12</v>
      </c>
      <c r="J13" s="19">
        <v>12</v>
      </c>
      <c r="K13" s="19">
        <v>2268.8185184744634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4"/>
        <v>1</v>
      </c>
      <c r="Z13" s="19">
        <f t="shared" si="5"/>
        <v>0</v>
      </c>
      <c r="AA13" s="19">
        <f t="shared" si="6"/>
        <v>0</v>
      </c>
      <c r="AB13" s="29">
        <f t="shared" si="7"/>
        <v>356.7200843654652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1248.5202952791283</v>
      </c>
      <c r="AI13" s="29">
        <v>0</v>
      </c>
      <c r="AJ13" s="30">
        <v>0</v>
      </c>
      <c r="AK13" s="57">
        <f t="shared" si="2"/>
        <v>2.2688185184744634</v>
      </c>
      <c r="AL13" s="57">
        <f t="shared" si="3"/>
        <v>0.7</v>
      </c>
      <c r="AM13" s="60"/>
      <c r="AN13" s="57">
        <v>0.842991030261521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203</v>
      </c>
      <c r="B14" s="67" t="s">
        <v>104</v>
      </c>
      <c r="C14" s="28">
        <v>140</v>
      </c>
      <c r="D14" s="19">
        <v>140</v>
      </c>
      <c r="E14" s="28">
        <v>140</v>
      </c>
      <c r="F14" s="28">
        <v>12</v>
      </c>
      <c r="G14" s="19">
        <v>12</v>
      </c>
      <c r="H14" s="28">
        <v>7</v>
      </c>
      <c r="I14" s="19">
        <v>12</v>
      </c>
      <c r="J14" s="19">
        <v>12</v>
      </c>
      <c r="K14" s="19">
        <v>3403.2277777116951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4"/>
        <v>1</v>
      </c>
      <c r="Z14" s="19">
        <f t="shared" si="5"/>
        <v>0</v>
      </c>
      <c r="AA14" s="19">
        <f t="shared" si="6"/>
        <v>0</v>
      </c>
      <c r="AB14" s="29">
        <f t="shared" si="7"/>
        <v>293.47675455375884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1027.1686409381559</v>
      </c>
      <c r="AI14" s="29">
        <v>0</v>
      </c>
      <c r="AJ14" s="30">
        <v>0</v>
      </c>
      <c r="AK14" s="57">
        <f t="shared" si="2"/>
        <v>3.4032277777116953</v>
      </c>
      <c r="AL14" s="57">
        <f t="shared" si="3"/>
        <v>0.7</v>
      </c>
      <c r="AM14" s="60"/>
      <c r="AN14" s="57">
        <v>0.69353614366612826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204</v>
      </c>
      <c r="B15" s="67" t="s">
        <v>105</v>
      </c>
      <c r="C15" s="28">
        <v>140</v>
      </c>
      <c r="D15" s="19">
        <v>140</v>
      </c>
      <c r="E15" s="28">
        <v>140</v>
      </c>
      <c r="F15" s="28">
        <v>12</v>
      </c>
      <c r="G15" s="19">
        <v>12</v>
      </c>
      <c r="H15" s="28">
        <v>7</v>
      </c>
      <c r="I15" s="19">
        <v>12</v>
      </c>
      <c r="J15" s="19">
        <v>12</v>
      </c>
      <c r="K15" s="19">
        <v>4537.6370369489268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4"/>
        <v>1</v>
      </c>
      <c r="Z15" s="19">
        <f t="shared" si="5"/>
        <v>0</v>
      </c>
      <c r="AA15" s="19">
        <f t="shared" si="6"/>
        <v>0</v>
      </c>
      <c r="AB15" s="29">
        <f t="shared" si="7"/>
        <v>228.48059876004035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799.68209566014127</v>
      </c>
      <c r="AI15" s="29">
        <v>0</v>
      </c>
      <c r="AJ15" s="30">
        <v>0</v>
      </c>
      <c r="AK15" s="57">
        <f t="shared" si="2"/>
        <v>4.5376370369489267</v>
      </c>
      <c r="AL15" s="57">
        <f t="shared" si="3"/>
        <v>0.7</v>
      </c>
      <c r="AM15" s="60"/>
      <c r="AN15" s="57">
        <v>0.53993902722384057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205</v>
      </c>
      <c r="B16" s="67" t="s">
        <v>106</v>
      </c>
      <c r="C16" s="28">
        <v>140</v>
      </c>
      <c r="D16" s="19">
        <v>140</v>
      </c>
      <c r="E16" s="28">
        <v>140</v>
      </c>
      <c r="F16" s="28">
        <v>12</v>
      </c>
      <c r="G16" s="19">
        <v>12</v>
      </c>
      <c r="H16" s="28">
        <v>7</v>
      </c>
      <c r="I16" s="19">
        <v>12</v>
      </c>
      <c r="J16" s="19">
        <v>12</v>
      </c>
      <c r="K16" s="19">
        <v>6035.0572591420732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4"/>
        <v>1</v>
      </c>
      <c r="Z16" s="19">
        <f t="shared" si="5"/>
        <v>0</v>
      </c>
      <c r="AA16" s="19">
        <f t="shared" si="6"/>
        <v>0</v>
      </c>
      <c r="AB16" s="29">
        <f t="shared" si="7"/>
        <v>159.27439204792265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557.46037216772925</v>
      </c>
      <c r="AI16" s="29">
        <v>0</v>
      </c>
      <c r="AJ16" s="30">
        <v>0</v>
      </c>
      <c r="AK16" s="57">
        <f t="shared" si="2"/>
        <v>6.0350572591420732</v>
      </c>
      <c r="AL16" s="57">
        <f t="shared" si="3"/>
        <v>0.7</v>
      </c>
      <c r="AM16" s="60"/>
      <c r="AN16" s="57">
        <v>0.37639283497476755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206</v>
      </c>
      <c r="B17" s="67" t="s">
        <v>107</v>
      </c>
      <c r="C17" s="28">
        <v>140</v>
      </c>
      <c r="D17" s="19">
        <v>140</v>
      </c>
      <c r="E17" s="28">
        <v>140</v>
      </c>
      <c r="F17" s="28">
        <v>12</v>
      </c>
      <c r="G17" s="19">
        <v>12</v>
      </c>
      <c r="H17" s="28">
        <v>7</v>
      </c>
      <c r="I17" s="19">
        <v>12</v>
      </c>
      <c r="J17" s="19">
        <v>12</v>
      </c>
      <c r="K17" s="19">
        <v>7577.8538517047073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4"/>
        <v>1</v>
      </c>
      <c r="Z17" s="19">
        <f t="shared" si="5"/>
        <v>0</v>
      </c>
      <c r="AA17" s="19">
        <f t="shared" si="6"/>
        <v>0</v>
      </c>
      <c r="AB17" s="29">
        <f t="shared" si="7"/>
        <v>112.26482692113419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392.92689422396967</v>
      </c>
      <c r="AI17" s="29">
        <v>0</v>
      </c>
      <c r="AJ17" s="30">
        <v>0</v>
      </c>
      <c r="AK17" s="57">
        <f t="shared" si="2"/>
        <v>7.5778538517047069</v>
      </c>
      <c r="AL17" s="57">
        <f t="shared" si="3"/>
        <v>0.7</v>
      </c>
      <c r="AM17" s="60"/>
      <c r="AN17" s="57">
        <v>0.265301131773169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207</v>
      </c>
      <c r="B18" s="67" t="s">
        <v>108</v>
      </c>
      <c r="C18" s="28">
        <v>140</v>
      </c>
      <c r="D18" s="19">
        <v>140</v>
      </c>
      <c r="E18" s="28">
        <v>140</v>
      </c>
      <c r="F18" s="28">
        <v>12</v>
      </c>
      <c r="G18" s="19">
        <v>12</v>
      </c>
      <c r="H18" s="28">
        <v>7</v>
      </c>
      <c r="I18" s="19">
        <v>12</v>
      </c>
      <c r="J18" s="19">
        <v>12</v>
      </c>
      <c r="K18" s="19">
        <v>9075.2740738978537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4"/>
        <v>1</v>
      </c>
      <c r="Z18" s="19">
        <f t="shared" si="5"/>
        <v>0</v>
      </c>
      <c r="AA18" s="19">
        <f t="shared" si="6"/>
        <v>0</v>
      </c>
      <c r="AB18" s="29">
        <f t="shared" si="7"/>
        <v>83.017060461127343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290.55971161394569</v>
      </c>
      <c r="AI18" s="29">
        <v>0</v>
      </c>
      <c r="AJ18" s="30">
        <v>0</v>
      </c>
      <c r="AK18" s="57">
        <f t="shared" si="2"/>
        <v>9.0752740738978535</v>
      </c>
      <c r="AL18" s="57">
        <f t="shared" si="3"/>
        <v>0.7</v>
      </c>
      <c r="AM18" s="60"/>
      <c r="AN18" s="57">
        <v>0.19618361957918362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208</v>
      </c>
      <c r="B19" s="67" t="s">
        <v>109</v>
      </c>
      <c r="C19" s="28">
        <v>140</v>
      </c>
      <c r="D19" s="19">
        <v>140</v>
      </c>
      <c r="E19" s="28">
        <v>140</v>
      </c>
      <c r="F19" s="28">
        <v>12</v>
      </c>
      <c r="G19" s="19">
        <v>12</v>
      </c>
      <c r="H19" s="28">
        <v>7</v>
      </c>
      <c r="I19" s="19">
        <v>12</v>
      </c>
      <c r="J19" s="19">
        <v>12</v>
      </c>
      <c r="K19" s="19">
        <v>11344.092592372317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4"/>
        <v>1</v>
      </c>
      <c r="Z19" s="19">
        <f t="shared" si="5"/>
        <v>0</v>
      </c>
      <c r="AA19" s="19">
        <f t="shared" si="6"/>
        <v>0</v>
      </c>
      <c r="AB19" s="29">
        <f t="shared" si="7"/>
        <v>56.054474694239708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196.19066142983897</v>
      </c>
      <c r="AI19" s="29">
        <v>0</v>
      </c>
      <c r="AJ19" s="30">
        <v>0</v>
      </c>
      <c r="AK19" s="57">
        <f t="shared" si="2"/>
        <v>11.344092592372316</v>
      </c>
      <c r="AL19" s="57">
        <f t="shared" si="3"/>
        <v>0.7</v>
      </c>
      <c r="AM19" s="60"/>
      <c r="AN19" s="57">
        <v>0.13246638315114781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209</v>
      </c>
      <c r="B20" s="67" t="s">
        <v>110</v>
      </c>
      <c r="C20" s="28">
        <v>180</v>
      </c>
      <c r="D20" s="19">
        <v>180</v>
      </c>
      <c r="E20" s="28">
        <v>180</v>
      </c>
      <c r="F20" s="28">
        <v>14</v>
      </c>
      <c r="G20" s="19">
        <v>14</v>
      </c>
      <c r="H20" s="28">
        <v>8.5</v>
      </c>
      <c r="I20" s="19">
        <v>15</v>
      </c>
      <c r="J20" s="19">
        <v>15</v>
      </c>
      <c r="K20" s="19">
        <v>1759.1170105243204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4"/>
        <v>1</v>
      </c>
      <c r="Z20" s="19">
        <f t="shared" si="5"/>
        <v>0</v>
      </c>
      <c r="AA20" s="19">
        <f t="shared" si="6"/>
        <v>0</v>
      </c>
      <c r="AB20" s="29">
        <f t="shared" si="7"/>
        <v>609.58610343167038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2133.5513620108463</v>
      </c>
      <c r="AI20" s="29">
        <v>0</v>
      </c>
      <c r="AJ20" s="30">
        <v>0</v>
      </c>
      <c r="AK20" s="57">
        <f t="shared" si="2"/>
        <v>1.7591170105243203</v>
      </c>
      <c r="AL20" s="57">
        <f t="shared" si="3"/>
        <v>0.9</v>
      </c>
      <c r="AM20" s="60"/>
      <c r="AN20" s="57">
        <v>0.94914779479631584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210</v>
      </c>
      <c r="B21" s="67" t="s">
        <v>111</v>
      </c>
      <c r="C21" s="28">
        <v>180</v>
      </c>
      <c r="D21" s="19">
        <v>180</v>
      </c>
      <c r="E21" s="28">
        <v>180</v>
      </c>
      <c r="F21" s="28">
        <v>14</v>
      </c>
      <c r="G21" s="19">
        <v>14</v>
      </c>
      <c r="H21" s="28">
        <v>8.5</v>
      </c>
      <c r="I21" s="19">
        <v>15</v>
      </c>
      <c r="J21" s="19">
        <v>15</v>
      </c>
      <c r="K21" s="19">
        <v>2931.8616842072011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4"/>
        <v>1</v>
      </c>
      <c r="Z21" s="19">
        <f t="shared" si="5"/>
        <v>0</v>
      </c>
      <c r="AA21" s="19">
        <f t="shared" si="6"/>
        <v>0</v>
      </c>
      <c r="AB21" s="29">
        <f t="shared" si="7"/>
        <v>541.40737636676079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1894.9258172836626</v>
      </c>
      <c r="AI21" s="29">
        <v>0</v>
      </c>
      <c r="AJ21" s="30">
        <v>0</v>
      </c>
      <c r="AK21" s="57">
        <f t="shared" si="2"/>
        <v>2.9318616842072012</v>
      </c>
      <c r="AL21" s="57">
        <f t="shared" si="3"/>
        <v>0.9</v>
      </c>
      <c r="AM21" s="60"/>
      <c r="AN21" s="57">
        <v>0.842991030261521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211</v>
      </c>
      <c r="B22" s="67" t="s">
        <v>112</v>
      </c>
      <c r="C22" s="28">
        <v>180</v>
      </c>
      <c r="D22" s="19">
        <v>180</v>
      </c>
      <c r="E22" s="28">
        <v>180</v>
      </c>
      <c r="F22" s="28">
        <v>14</v>
      </c>
      <c r="G22" s="19">
        <v>14</v>
      </c>
      <c r="H22" s="28">
        <v>8.5</v>
      </c>
      <c r="I22" s="19">
        <v>15</v>
      </c>
      <c r="J22" s="19">
        <v>15</v>
      </c>
      <c r="K22" s="19">
        <v>4397.7925263108009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4"/>
        <v>1</v>
      </c>
      <c r="Z22" s="19">
        <f t="shared" si="5"/>
        <v>0</v>
      </c>
      <c r="AA22" s="19">
        <f t="shared" si="6"/>
        <v>0</v>
      </c>
      <c r="AB22" s="29">
        <f t="shared" si="7"/>
        <v>445.42061597181237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1558.9721559013433</v>
      </c>
      <c r="AI22" s="29">
        <v>0</v>
      </c>
      <c r="AJ22" s="30">
        <v>0</v>
      </c>
      <c r="AK22" s="57">
        <f t="shared" si="2"/>
        <v>4.3977925263108011</v>
      </c>
      <c r="AL22" s="57">
        <f t="shared" si="3"/>
        <v>0.9</v>
      </c>
      <c r="AM22" s="60"/>
      <c r="AN22" s="57">
        <v>0.69353614366612837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212</v>
      </c>
      <c r="B23" s="67" t="s">
        <v>113</v>
      </c>
      <c r="C23" s="28">
        <v>180</v>
      </c>
      <c r="D23" s="19">
        <v>180</v>
      </c>
      <c r="E23" s="28">
        <v>180</v>
      </c>
      <c r="F23" s="28">
        <v>14</v>
      </c>
      <c r="G23" s="19">
        <v>14</v>
      </c>
      <c r="H23" s="28">
        <v>8.5</v>
      </c>
      <c r="I23" s="19">
        <v>15</v>
      </c>
      <c r="J23" s="19">
        <v>15</v>
      </c>
      <c r="K23" s="19">
        <v>5863.7233684144021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4"/>
        <v>1</v>
      </c>
      <c r="Z23" s="19">
        <f t="shared" si="5"/>
        <v>0</v>
      </c>
      <c r="AA23" s="19">
        <f t="shared" si="6"/>
        <v>0</v>
      </c>
      <c r="AB23" s="29">
        <f t="shared" si="7"/>
        <v>346.77352621010925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1213.7073417353824</v>
      </c>
      <c r="AI23" s="29">
        <v>0</v>
      </c>
      <c r="AJ23" s="30">
        <v>0</v>
      </c>
      <c r="AK23" s="57">
        <f t="shared" si="2"/>
        <v>5.8637233684144023</v>
      </c>
      <c r="AL23" s="57">
        <f t="shared" si="3"/>
        <v>0.9</v>
      </c>
      <c r="AM23" s="60"/>
      <c r="AN23" s="57">
        <v>0.53993902722384057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213</v>
      </c>
      <c r="B24" s="67" t="s">
        <v>114</v>
      </c>
      <c r="C24" s="28">
        <v>180</v>
      </c>
      <c r="D24" s="19">
        <v>180</v>
      </c>
      <c r="E24" s="28">
        <v>180</v>
      </c>
      <c r="F24" s="28">
        <v>14</v>
      </c>
      <c r="G24" s="19">
        <v>14</v>
      </c>
      <c r="H24" s="28">
        <v>8.5</v>
      </c>
      <c r="I24" s="19">
        <v>15</v>
      </c>
      <c r="J24" s="19">
        <v>15</v>
      </c>
      <c r="K24" s="19">
        <v>7798.7520799911545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4"/>
        <v>1</v>
      </c>
      <c r="Z24" s="19">
        <f t="shared" si="5"/>
        <v>0</v>
      </c>
      <c r="AA24" s="19">
        <f t="shared" si="6"/>
        <v>0</v>
      </c>
      <c r="AB24" s="29">
        <f t="shared" si="7"/>
        <v>241.73668515039466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846.07839802638136</v>
      </c>
      <c r="AI24" s="29">
        <v>0</v>
      </c>
      <c r="AJ24" s="30">
        <v>0</v>
      </c>
      <c r="AK24" s="57">
        <f t="shared" si="2"/>
        <v>7.7987520799911545</v>
      </c>
      <c r="AL24" s="57">
        <f t="shared" si="3"/>
        <v>0.9</v>
      </c>
      <c r="AM24" s="60"/>
      <c r="AN24" s="57">
        <v>0.37639283497476772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214</v>
      </c>
      <c r="B25" s="67" t="s">
        <v>115</v>
      </c>
      <c r="C25" s="28">
        <v>180</v>
      </c>
      <c r="D25" s="19">
        <v>180</v>
      </c>
      <c r="E25" s="28">
        <v>180</v>
      </c>
      <c r="F25" s="28">
        <v>14</v>
      </c>
      <c r="G25" s="19">
        <v>14</v>
      </c>
      <c r="H25" s="28">
        <v>8.5</v>
      </c>
      <c r="I25" s="19">
        <v>15</v>
      </c>
      <c r="J25" s="19">
        <v>15</v>
      </c>
      <c r="K25" s="19">
        <v>9792.4180252520509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4"/>
        <v>1</v>
      </c>
      <c r="Z25" s="19">
        <f t="shared" si="5"/>
        <v>0</v>
      </c>
      <c r="AA25" s="19">
        <f t="shared" si="6"/>
        <v>0</v>
      </c>
      <c r="AB25" s="29">
        <f t="shared" si="7"/>
        <v>170.38851487646733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596.35980206763566</v>
      </c>
      <c r="AI25" s="29">
        <v>0</v>
      </c>
      <c r="AJ25" s="30">
        <v>0</v>
      </c>
      <c r="AK25" s="57">
        <f t="shared" si="2"/>
        <v>9.7924180252520507</v>
      </c>
      <c r="AL25" s="57">
        <f t="shared" si="3"/>
        <v>0.9</v>
      </c>
      <c r="AM25" s="60"/>
      <c r="AN25" s="57">
        <v>0.265301131773169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215</v>
      </c>
      <c r="B26" s="67" t="s">
        <v>116</v>
      </c>
      <c r="C26" s="28">
        <v>180</v>
      </c>
      <c r="D26" s="19">
        <v>180</v>
      </c>
      <c r="E26" s="28">
        <v>180</v>
      </c>
      <c r="F26" s="28">
        <v>14</v>
      </c>
      <c r="G26" s="19">
        <v>14</v>
      </c>
      <c r="H26" s="28">
        <v>8.5</v>
      </c>
      <c r="I26" s="19">
        <v>15</v>
      </c>
      <c r="J26" s="19">
        <v>15</v>
      </c>
      <c r="K26" s="19">
        <v>11727.446736828804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4"/>
        <v>1</v>
      </c>
      <c r="Z26" s="19">
        <f t="shared" si="5"/>
        <v>0</v>
      </c>
      <c r="AA26" s="19">
        <f t="shared" si="6"/>
        <v>0</v>
      </c>
      <c r="AB26" s="29">
        <f t="shared" si="7"/>
        <v>125.99808888778962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440.99331110726365</v>
      </c>
      <c r="AI26" s="29">
        <v>0</v>
      </c>
      <c r="AJ26" s="30">
        <v>0</v>
      </c>
      <c r="AK26" s="57">
        <f t="shared" si="2"/>
        <v>11.727446736828805</v>
      </c>
      <c r="AL26" s="57">
        <f t="shared" si="3"/>
        <v>0.9</v>
      </c>
      <c r="AM26" s="60"/>
      <c r="AN26" s="57">
        <v>0.19618361957918362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216</v>
      </c>
      <c r="B27" s="67" t="s">
        <v>117</v>
      </c>
      <c r="C27" s="28">
        <v>180</v>
      </c>
      <c r="D27" s="19">
        <v>180</v>
      </c>
      <c r="E27" s="28">
        <v>180</v>
      </c>
      <c r="F27" s="28">
        <v>14</v>
      </c>
      <c r="G27" s="19">
        <v>14</v>
      </c>
      <c r="H27" s="28">
        <v>8.5</v>
      </c>
      <c r="I27" s="19">
        <v>15</v>
      </c>
      <c r="J27" s="19">
        <v>15</v>
      </c>
      <c r="K27" s="19">
        <v>14659.308421036005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4"/>
        <v>1</v>
      </c>
      <c r="Z27" s="19">
        <f t="shared" si="5"/>
        <v>0</v>
      </c>
      <c r="AA27" s="19">
        <f t="shared" si="6"/>
        <v>0</v>
      </c>
      <c r="AB27" s="29">
        <f t="shared" si="7"/>
        <v>85.07596686575404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297.76588403013915</v>
      </c>
      <c r="AI27" s="29">
        <v>0</v>
      </c>
      <c r="AJ27" s="30">
        <v>0</v>
      </c>
      <c r="AK27" s="57">
        <f t="shared" si="2"/>
        <v>14.659308421036005</v>
      </c>
      <c r="AL27" s="57">
        <f t="shared" si="3"/>
        <v>0.9</v>
      </c>
      <c r="AM27" s="60"/>
      <c r="AN27" s="57">
        <v>0.13246638315114781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217</v>
      </c>
      <c r="B28" s="67" t="s">
        <v>118</v>
      </c>
      <c r="C28" s="28">
        <v>220</v>
      </c>
      <c r="D28" s="19">
        <v>220</v>
      </c>
      <c r="E28" s="28">
        <v>220</v>
      </c>
      <c r="F28" s="28">
        <v>16</v>
      </c>
      <c r="G28" s="19">
        <v>16</v>
      </c>
      <c r="H28" s="28">
        <v>9.5</v>
      </c>
      <c r="I28" s="19">
        <v>18</v>
      </c>
      <c r="J28" s="19">
        <v>18</v>
      </c>
      <c r="K28" s="19">
        <v>2163.948941218146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4"/>
        <v>1</v>
      </c>
      <c r="Z28" s="19">
        <f t="shared" si="5"/>
        <v>0</v>
      </c>
      <c r="AA28" s="19">
        <f t="shared" si="6"/>
        <v>0</v>
      </c>
      <c r="AB28" s="29">
        <f t="shared" si="7"/>
        <v>849.68524145418871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2973.8983450896603</v>
      </c>
      <c r="AI28" s="29">
        <v>0</v>
      </c>
      <c r="AJ28" s="30">
        <v>0</v>
      </c>
      <c r="AK28" s="57">
        <f t="shared" si="2"/>
        <v>2.1639489412181461</v>
      </c>
      <c r="AL28" s="57">
        <f t="shared" si="3"/>
        <v>1.1000000000000001</v>
      </c>
      <c r="AM28" s="60"/>
      <c r="AN28" s="57">
        <v>0.94914779479631584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218</v>
      </c>
      <c r="B29" s="67" t="s">
        <v>119</v>
      </c>
      <c r="C29" s="28">
        <v>220</v>
      </c>
      <c r="D29" s="19">
        <v>220</v>
      </c>
      <c r="E29" s="28">
        <v>220</v>
      </c>
      <c r="F29" s="28">
        <v>16</v>
      </c>
      <c r="G29" s="19">
        <v>16</v>
      </c>
      <c r="H29" s="28">
        <v>9.5</v>
      </c>
      <c r="I29" s="19">
        <v>18</v>
      </c>
      <c r="J29" s="19">
        <v>18</v>
      </c>
      <c r="K29" s="19">
        <v>3606.5815686969104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4"/>
        <v>1</v>
      </c>
      <c r="Z29" s="19">
        <f t="shared" si="5"/>
        <v>0</v>
      </c>
      <c r="AA29" s="19">
        <f t="shared" si="6"/>
        <v>0</v>
      </c>
      <c r="AB29" s="29">
        <f t="shared" si="7"/>
        <v>754.65279592751574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2641.2847857463053</v>
      </c>
      <c r="AI29" s="29">
        <v>0</v>
      </c>
      <c r="AJ29" s="30">
        <v>0</v>
      </c>
      <c r="AK29" s="57">
        <f t="shared" si="2"/>
        <v>3.6065815686969103</v>
      </c>
      <c r="AL29" s="57">
        <f t="shared" si="3"/>
        <v>1.1000000000000001</v>
      </c>
      <c r="AM29" s="60"/>
      <c r="AN29" s="57">
        <v>0.842991030261521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219</v>
      </c>
      <c r="B30" s="67" t="s">
        <v>120</v>
      </c>
      <c r="C30" s="28">
        <v>220</v>
      </c>
      <c r="D30" s="19">
        <v>220</v>
      </c>
      <c r="E30" s="28">
        <v>220</v>
      </c>
      <c r="F30" s="28">
        <v>16</v>
      </c>
      <c r="G30" s="19">
        <v>16</v>
      </c>
      <c r="H30" s="28">
        <v>9.5</v>
      </c>
      <c r="I30" s="19">
        <v>18</v>
      </c>
      <c r="J30" s="19">
        <v>18</v>
      </c>
      <c r="K30" s="19">
        <v>5409.8723530453653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4"/>
        <v>1</v>
      </c>
      <c r="Z30" s="19">
        <f t="shared" si="5"/>
        <v>0</v>
      </c>
      <c r="AA30" s="19">
        <f t="shared" si="6"/>
        <v>0</v>
      </c>
      <c r="AB30" s="29">
        <f t="shared" si="7"/>
        <v>620.85950040543526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2173.0082514190235</v>
      </c>
      <c r="AI30" s="29">
        <v>0</v>
      </c>
      <c r="AJ30" s="30">
        <v>0</v>
      </c>
      <c r="AK30" s="57">
        <f t="shared" si="2"/>
        <v>5.4098723530453654</v>
      </c>
      <c r="AL30" s="57">
        <f t="shared" si="3"/>
        <v>1.1000000000000001</v>
      </c>
      <c r="AM30" s="60"/>
      <c r="AN30" s="57">
        <v>0.69353614366612837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220</v>
      </c>
      <c r="B31" s="67" t="s">
        <v>121</v>
      </c>
      <c r="C31" s="28">
        <v>220</v>
      </c>
      <c r="D31" s="19">
        <v>220</v>
      </c>
      <c r="E31" s="28">
        <v>220</v>
      </c>
      <c r="F31" s="28">
        <v>16</v>
      </c>
      <c r="G31" s="19">
        <v>16</v>
      </c>
      <c r="H31" s="28">
        <v>9.5</v>
      </c>
      <c r="I31" s="19">
        <v>18</v>
      </c>
      <c r="J31" s="19">
        <v>18</v>
      </c>
      <c r="K31" s="19">
        <v>7213.1631373938208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4"/>
        <v>1</v>
      </c>
      <c r="Z31" s="19">
        <f t="shared" si="5"/>
        <v>0</v>
      </c>
      <c r="AA31" s="19">
        <f t="shared" si="6"/>
        <v>0</v>
      </c>
      <c r="AB31" s="29">
        <f t="shared" si="7"/>
        <v>483.35804521958687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1691.753158268554</v>
      </c>
      <c r="AI31" s="29">
        <v>0</v>
      </c>
      <c r="AJ31" s="30">
        <v>0</v>
      </c>
      <c r="AK31" s="57">
        <f t="shared" si="2"/>
        <v>7.2131631373938205</v>
      </c>
      <c r="AL31" s="57">
        <f t="shared" si="3"/>
        <v>1.1000000000000001</v>
      </c>
      <c r="AM31" s="60"/>
      <c r="AN31" s="57">
        <v>0.53993902722384057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221</v>
      </c>
      <c r="B32" s="67" t="s">
        <v>122</v>
      </c>
      <c r="C32" s="28">
        <v>220</v>
      </c>
      <c r="D32" s="19">
        <v>220</v>
      </c>
      <c r="E32" s="28">
        <v>220</v>
      </c>
      <c r="F32" s="28">
        <v>16</v>
      </c>
      <c r="G32" s="19">
        <v>16</v>
      </c>
      <c r="H32" s="28">
        <v>9.5</v>
      </c>
      <c r="I32" s="19">
        <v>18</v>
      </c>
      <c r="J32" s="19">
        <v>18</v>
      </c>
      <c r="K32" s="19">
        <v>9593.5069727337832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4"/>
        <v>1</v>
      </c>
      <c r="Z32" s="19">
        <f t="shared" si="5"/>
        <v>0</v>
      </c>
      <c r="AA32" s="19">
        <f t="shared" si="6"/>
        <v>0</v>
      </c>
      <c r="AB32" s="29">
        <f t="shared" si="7"/>
        <v>336.95009209371176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1179.3253223279912</v>
      </c>
      <c r="AI32" s="29">
        <v>0</v>
      </c>
      <c r="AJ32" s="30">
        <v>0</v>
      </c>
      <c r="AK32" s="57">
        <f t="shared" si="2"/>
        <v>9.5935069727337829</v>
      </c>
      <c r="AL32" s="57">
        <f t="shared" si="3"/>
        <v>1.1000000000000001</v>
      </c>
      <c r="AM32" s="60"/>
      <c r="AN32" s="57">
        <v>0.37639283497476766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222</v>
      </c>
      <c r="B33" s="67" t="s">
        <v>123</v>
      </c>
      <c r="C33" s="28">
        <v>220</v>
      </c>
      <c r="D33" s="19">
        <v>220</v>
      </c>
      <c r="E33" s="28">
        <v>220</v>
      </c>
      <c r="F33" s="28">
        <v>16</v>
      </c>
      <c r="G33" s="19">
        <v>16</v>
      </c>
      <c r="H33" s="28">
        <v>9.5</v>
      </c>
      <c r="I33" s="19">
        <v>18</v>
      </c>
      <c r="J33" s="19">
        <v>18</v>
      </c>
      <c r="K33" s="19">
        <v>12045.98243944768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4"/>
        <v>1</v>
      </c>
      <c r="Z33" s="19">
        <f t="shared" si="5"/>
        <v>0</v>
      </c>
      <c r="AA33" s="19">
        <f t="shared" si="6"/>
        <v>0</v>
      </c>
      <c r="AB33" s="29">
        <f t="shared" si="7"/>
        <v>237.49984717304187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831.24946510564655</v>
      </c>
      <c r="AI33" s="29">
        <v>0</v>
      </c>
      <c r="AJ33" s="30">
        <v>0</v>
      </c>
      <c r="AK33" s="57">
        <f t="shared" si="2"/>
        <v>12.04598243944768</v>
      </c>
      <c r="AL33" s="57">
        <f t="shared" si="3"/>
        <v>1.1000000000000001</v>
      </c>
      <c r="AM33" s="60"/>
      <c r="AN33" s="57">
        <v>0.26530113177316905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223</v>
      </c>
      <c r="B34" s="67" t="s">
        <v>124</v>
      </c>
      <c r="C34" s="28">
        <v>220</v>
      </c>
      <c r="D34" s="19">
        <v>220</v>
      </c>
      <c r="E34" s="28">
        <v>220</v>
      </c>
      <c r="F34" s="28">
        <v>16</v>
      </c>
      <c r="G34" s="19">
        <v>16</v>
      </c>
      <c r="H34" s="28">
        <v>9.5</v>
      </c>
      <c r="I34" s="19">
        <v>18</v>
      </c>
      <c r="J34" s="19">
        <v>18</v>
      </c>
      <c r="K34" s="19">
        <v>14426.326274787642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4"/>
        <v>1</v>
      </c>
      <c r="Z34" s="19">
        <f t="shared" si="5"/>
        <v>0</v>
      </c>
      <c r="AA34" s="19">
        <f t="shared" si="6"/>
        <v>0</v>
      </c>
      <c r="AB34" s="29">
        <f t="shared" si="7"/>
        <v>175.62525782116728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614.68840237408551</v>
      </c>
      <c r="AI34" s="29">
        <v>0</v>
      </c>
      <c r="AJ34" s="30">
        <v>0</v>
      </c>
      <c r="AK34" s="57">
        <f t="shared" si="2"/>
        <v>14.426326274787641</v>
      </c>
      <c r="AL34" s="57">
        <f t="shared" si="3"/>
        <v>1.1000000000000001</v>
      </c>
      <c r="AM34" s="60"/>
      <c r="AN34" s="57">
        <v>0.19618361957918362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224</v>
      </c>
      <c r="B35" s="67" t="s">
        <v>125</v>
      </c>
      <c r="C35" s="28">
        <v>220</v>
      </c>
      <c r="D35" s="19">
        <v>220</v>
      </c>
      <c r="E35" s="28">
        <v>220</v>
      </c>
      <c r="F35" s="28">
        <v>16</v>
      </c>
      <c r="G35" s="19">
        <v>16</v>
      </c>
      <c r="H35" s="28">
        <v>9.5</v>
      </c>
      <c r="I35" s="19">
        <v>18</v>
      </c>
      <c r="J35" s="19">
        <v>18</v>
      </c>
      <c r="K35" s="19">
        <v>18032.907843484551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4"/>
        <v>1</v>
      </c>
      <c r="Z35" s="19">
        <f t="shared" si="5"/>
        <v>0</v>
      </c>
      <c r="AA35" s="19">
        <f t="shared" si="6"/>
        <v>0</v>
      </c>
      <c r="AB35" s="29">
        <f t="shared" si="7"/>
        <v>118.58504162304889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415.04764568067111</v>
      </c>
      <c r="AI35" s="29">
        <v>0</v>
      </c>
      <c r="AJ35" s="30">
        <v>0</v>
      </c>
      <c r="AK35" s="57">
        <f t="shared" si="2"/>
        <v>18.032907843484551</v>
      </c>
      <c r="AL35" s="57">
        <f t="shared" si="3"/>
        <v>1.1000000000000001</v>
      </c>
      <c r="AM35" s="60"/>
      <c r="AN35" s="57">
        <v>0.13246638315114789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225</v>
      </c>
      <c r="B36" s="67" t="s">
        <v>126</v>
      </c>
      <c r="C36" s="28">
        <v>260</v>
      </c>
      <c r="D36" s="19">
        <v>260</v>
      </c>
      <c r="E36" s="28">
        <v>260</v>
      </c>
      <c r="F36" s="28">
        <v>17.5</v>
      </c>
      <c r="G36" s="19">
        <v>17.5</v>
      </c>
      <c r="H36" s="28">
        <v>10</v>
      </c>
      <c r="I36" s="19">
        <v>24</v>
      </c>
      <c r="J36" s="19">
        <v>24</v>
      </c>
      <c r="K36" s="19">
        <v>2577.5535734277123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4"/>
        <v>1</v>
      </c>
      <c r="Z36" s="19">
        <f t="shared" si="5"/>
        <v>0</v>
      </c>
      <c r="AA36" s="19">
        <f t="shared" si="6"/>
        <v>0</v>
      </c>
      <c r="AB36" s="29">
        <f t="shared" si="7"/>
        <v>1092.67250062373</v>
      </c>
      <c r="AC36" s="29">
        <f t="shared" ref="AC36:AC99" si="8">Z36*AI36/3.5</f>
        <v>0</v>
      </c>
      <c r="AD36" s="29">
        <f t="shared" ref="AD36:AD99" si="9">AA36*AJ36/3.5</f>
        <v>0</v>
      </c>
      <c r="AE36" s="28">
        <v>20</v>
      </c>
      <c r="AF36" s="46">
        <v>355</v>
      </c>
      <c r="AG36" s="28">
        <v>210000</v>
      </c>
      <c r="AH36" s="29">
        <v>3824.3537521830553</v>
      </c>
      <c r="AI36" s="29">
        <v>0</v>
      </c>
      <c r="AJ36" s="30">
        <v>0</v>
      </c>
      <c r="AK36" s="57">
        <f t="shared" si="2"/>
        <v>2.5775535734277124</v>
      </c>
      <c r="AL36" s="57">
        <f t="shared" si="3"/>
        <v>1.3</v>
      </c>
      <c r="AM36" s="60"/>
      <c r="AN36" s="57">
        <v>0.94914779479631584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226</v>
      </c>
      <c r="B37" s="67" t="s">
        <v>127</v>
      </c>
      <c r="C37" s="28">
        <v>260</v>
      </c>
      <c r="D37" s="19">
        <v>260</v>
      </c>
      <c r="E37" s="28">
        <v>260</v>
      </c>
      <c r="F37" s="28">
        <v>17.5</v>
      </c>
      <c r="G37" s="19">
        <v>17.5</v>
      </c>
      <c r="H37" s="28">
        <v>10</v>
      </c>
      <c r="I37" s="19">
        <v>24</v>
      </c>
      <c r="J37" s="19">
        <v>24</v>
      </c>
      <c r="K37" s="19">
        <v>4295.9226223795204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4"/>
        <v>1</v>
      </c>
      <c r="Z37" s="19">
        <f t="shared" si="5"/>
        <v>0</v>
      </c>
      <c r="AA37" s="19">
        <f t="shared" si="6"/>
        <v>0</v>
      </c>
      <c r="AB37" s="29">
        <f t="shared" si="7"/>
        <v>970.46331676606678</v>
      </c>
      <c r="AC37" s="29">
        <f t="shared" si="8"/>
        <v>0</v>
      </c>
      <c r="AD37" s="29">
        <f t="shared" si="9"/>
        <v>0</v>
      </c>
      <c r="AE37" s="28">
        <v>20</v>
      </c>
      <c r="AF37" s="46">
        <v>355</v>
      </c>
      <c r="AG37" s="28">
        <v>210000</v>
      </c>
      <c r="AH37" s="29">
        <v>3396.6216086812337</v>
      </c>
      <c r="AI37" s="29">
        <v>0</v>
      </c>
      <c r="AJ37" s="30">
        <v>0</v>
      </c>
      <c r="AK37" s="57">
        <f t="shared" ref="AK37:AK99" si="10">K37/1000</f>
        <v>4.2959226223795204</v>
      </c>
      <c r="AL37" s="57">
        <f t="shared" ref="AL37:AL99" si="11">C37/200</f>
        <v>1.3</v>
      </c>
      <c r="AM37" s="60"/>
      <c r="AN37" s="57">
        <v>0.842991030261521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227</v>
      </c>
      <c r="B38" s="67" t="s">
        <v>128</v>
      </c>
      <c r="C38" s="28">
        <v>260</v>
      </c>
      <c r="D38" s="19">
        <v>260</v>
      </c>
      <c r="E38" s="28">
        <v>260</v>
      </c>
      <c r="F38" s="28">
        <v>17.5</v>
      </c>
      <c r="G38" s="19">
        <v>17.5</v>
      </c>
      <c r="H38" s="28">
        <v>10</v>
      </c>
      <c r="I38" s="19">
        <v>24</v>
      </c>
      <c r="J38" s="19">
        <v>24</v>
      </c>
      <c r="K38" s="19">
        <v>6443.883933569281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4"/>
        <v>1</v>
      </c>
      <c r="Z38" s="19">
        <f t="shared" si="5"/>
        <v>0</v>
      </c>
      <c r="AA38" s="19">
        <f t="shared" si="6"/>
        <v>0</v>
      </c>
      <c r="AB38" s="29">
        <f t="shared" si="7"/>
        <v>798.40871624764225</v>
      </c>
      <c r="AC38" s="29">
        <f t="shared" si="8"/>
        <v>0</v>
      </c>
      <c r="AD38" s="29">
        <f t="shared" si="9"/>
        <v>0</v>
      </c>
      <c r="AE38" s="28">
        <v>20</v>
      </c>
      <c r="AF38" s="46">
        <v>355</v>
      </c>
      <c r="AG38" s="28">
        <v>210000</v>
      </c>
      <c r="AH38" s="29">
        <v>2794.4305068667477</v>
      </c>
      <c r="AI38" s="29">
        <v>0</v>
      </c>
      <c r="AJ38" s="30">
        <v>0</v>
      </c>
      <c r="AK38" s="57">
        <f t="shared" si="10"/>
        <v>6.443883933569281</v>
      </c>
      <c r="AL38" s="57">
        <f t="shared" si="11"/>
        <v>1.3</v>
      </c>
      <c r="AM38" s="60"/>
      <c r="AN38" s="57">
        <v>0.69353614366612837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228</v>
      </c>
      <c r="B39" s="67" t="s">
        <v>129</v>
      </c>
      <c r="C39" s="28">
        <v>260</v>
      </c>
      <c r="D39" s="19">
        <v>260</v>
      </c>
      <c r="E39" s="28">
        <v>260</v>
      </c>
      <c r="F39" s="28">
        <v>17.5</v>
      </c>
      <c r="G39" s="19">
        <v>17.5</v>
      </c>
      <c r="H39" s="28">
        <v>10</v>
      </c>
      <c r="I39" s="19">
        <v>24</v>
      </c>
      <c r="J39" s="19">
        <v>24</v>
      </c>
      <c r="K39" s="19">
        <v>8591.8452447590407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4"/>
        <v>1</v>
      </c>
      <c r="Z39" s="19">
        <f t="shared" si="5"/>
        <v>0</v>
      </c>
      <c r="AA39" s="19">
        <f t="shared" si="6"/>
        <v>0</v>
      </c>
      <c r="AB39" s="29">
        <f t="shared" si="7"/>
        <v>621.58552155475979</v>
      </c>
      <c r="AC39" s="29">
        <f t="shared" si="8"/>
        <v>0</v>
      </c>
      <c r="AD39" s="29">
        <f t="shared" si="9"/>
        <v>0</v>
      </c>
      <c r="AE39" s="28">
        <v>20</v>
      </c>
      <c r="AF39" s="46">
        <v>355</v>
      </c>
      <c r="AG39" s="28">
        <v>210000</v>
      </c>
      <c r="AH39" s="29">
        <v>2175.5493254416592</v>
      </c>
      <c r="AI39" s="29">
        <v>0</v>
      </c>
      <c r="AJ39" s="30">
        <v>0</v>
      </c>
      <c r="AK39" s="57">
        <f t="shared" si="10"/>
        <v>8.5918452447590408</v>
      </c>
      <c r="AL39" s="57">
        <f t="shared" si="11"/>
        <v>1.3</v>
      </c>
      <c r="AM39" s="60"/>
      <c r="AN39" s="57">
        <v>0.53993902722384057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229</v>
      </c>
      <c r="B40" s="67" t="s">
        <v>130</v>
      </c>
      <c r="C40" s="28">
        <v>260</v>
      </c>
      <c r="D40" s="19">
        <v>260</v>
      </c>
      <c r="E40" s="28">
        <v>260</v>
      </c>
      <c r="F40" s="28">
        <v>17.5</v>
      </c>
      <c r="G40" s="19">
        <v>17.5</v>
      </c>
      <c r="H40" s="28">
        <v>10</v>
      </c>
      <c r="I40" s="19">
        <v>24</v>
      </c>
      <c r="J40" s="19">
        <v>24</v>
      </c>
      <c r="K40" s="19">
        <v>11427.154175529526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4"/>
        <v>1</v>
      </c>
      <c r="Z40" s="19">
        <f t="shared" si="5"/>
        <v>0</v>
      </c>
      <c r="AA40" s="19">
        <f t="shared" si="6"/>
        <v>0</v>
      </c>
      <c r="AB40" s="29">
        <f t="shared" si="7"/>
        <v>433.30880866345223</v>
      </c>
      <c r="AC40" s="29">
        <f t="shared" si="8"/>
        <v>0</v>
      </c>
      <c r="AD40" s="29">
        <f t="shared" si="9"/>
        <v>0</v>
      </c>
      <c r="AE40" s="28">
        <v>20</v>
      </c>
      <c r="AF40" s="46">
        <v>355</v>
      </c>
      <c r="AG40" s="28">
        <v>210000</v>
      </c>
      <c r="AH40" s="29">
        <v>1516.5808303220829</v>
      </c>
      <c r="AI40" s="29">
        <v>0</v>
      </c>
      <c r="AJ40" s="30">
        <v>0</v>
      </c>
      <c r="AK40" s="57">
        <f t="shared" si="10"/>
        <v>11.427154175529525</v>
      </c>
      <c r="AL40" s="57">
        <f t="shared" si="11"/>
        <v>1.3</v>
      </c>
      <c r="AM40" s="60"/>
      <c r="AN40" s="57">
        <v>0.37639283497476772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230</v>
      </c>
      <c r="B41" s="67" t="s">
        <v>131</v>
      </c>
      <c r="C41" s="28">
        <v>260</v>
      </c>
      <c r="D41" s="19">
        <v>260</v>
      </c>
      <c r="E41" s="28">
        <v>260</v>
      </c>
      <c r="F41" s="28">
        <v>17.5</v>
      </c>
      <c r="G41" s="19">
        <v>17.5</v>
      </c>
      <c r="H41" s="28">
        <v>10</v>
      </c>
      <c r="I41" s="19">
        <v>24</v>
      </c>
      <c r="J41" s="19">
        <v>24</v>
      </c>
      <c r="K41" s="19">
        <v>14348.381558747598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4"/>
        <v>1</v>
      </c>
      <c r="Z41" s="19">
        <f t="shared" si="5"/>
        <v>0</v>
      </c>
      <c r="AA41" s="19">
        <f t="shared" si="6"/>
        <v>0</v>
      </c>
      <c r="AB41" s="29">
        <f t="shared" si="7"/>
        <v>305.41845291344043</v>
      </c>
      <c r="AC41" s="29">
        <f t="shared" si="8"/>
        <v>0</v>
      </c>
      <c r="AD41" s="29">
        <f t="shared" si="9"/>
        <v>0</v>
      </c>
      <c r="AE41" s="28">
        <v>20</v>
      </c>
      <c r="AF41" s="46">
        <v>355</v>
      </c>
      <c r="AG41" s="28">
        <v>210000</v>
      </c>
      <c r="AH41" s="29">
        <v>1068.9645851970415</v>
      </c>
      <c r="AI41" s="29">
        <v>0</v>
      </c>
      <c r="AJ41" s="30">
        <v>0</v>
      </c>
      <c r="AK41" s="57">
        <f t="shared" si="10"/>
        <v>14.348381558747599</v>
      </c>
      <c r="AL41" s="57">
        <f t="shared" si="11"/>
        <v>1.3</v>
      </c>
      <c r="AM41" s="60"/>
      <c r="AN41" s="57">
        <v>0.26530113177316905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231</v>
      </c>
      <c r="B42" s="67" t="s">
        <v>132</v>
      </c>
      <c r="C42" s="28">
        <v>260</v>
      </c>
      <c r="D42" s="19">
        <v>260</v>
      </c>
      <c r="E42" s="28">
        <v>260</v>
      </c>
      <c r="F42" s="28">
        <v>17.5</v>
      </c>
      <c r="G42" s="19">
        <v>17.5</v>
      </c>
      <c r="H42" s="28">
        <v>10</v>
      </c>
      <c r="I42" s="19">
        <v>24</v>
      </c>
      <c r="J42" s="19">
        <v>24</v>
      </c>
      <c r="K42" s="19">
        <v>17183.690489518081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4"/>
        <v>1</v>
      </c>
      <c r="Z42" s="19">
        <f t="shared" si="5"/>
        <v>0</v>
      </c>
      <c r="AA42" s="19">
        <f t="shared" si="6"/>
        <v>0</v>
      </c>
      <c r="AB42" s="29">
        <f t="shared" si="7"/>
        <v>225.84938548269301</v>
      </c>
      <c r="AC42" s="29">
        <f t="shared" si="8"/>
        <v>0</v>
      </c>
      <c r="AD42" s="29">
        <f t="shared" si="9"/>
        <v>0</v>
      </c>
      <c r="AE42" s="28">
        <v>20</v>
      </c>
      <c r="AF42" s="46">
        <v>355</v>
      </c>
      <c r="AG42" s="28">
        <v>210000</v>
      </c>
      <c r="AH42" s="29">
        <v>790.47284918942557</v>
      </c>
      <c r="AI42" s="29">
        <v>0</v>
      </c>
      <c r="AJ42" s="30">
        <v>0</v>
      </c>
      <c r="AK42" s="57">
        <f t="shared" si="10"/>
        <v>17.183690489518082</v>
      </c>
      <c r="AL42" s="57">
        <f t="shared" si="11"/>
        <v>1.3</v>
      </c>
      <c r="AM42" s="60"/>
      <c r="AN42" s="57">
        <v>0.19618361957918362</v>
      </c>
      <c r="AO42" s="57"/>
      <c r="AP42" s="57"/>
      <c r="AU42" s="15"/>
      <c r="AV42" s="15"/>
      <c r="AW42" s="16"/>
    </row>
    <row r="43" spans="1:58" ht="21" x14ac:dyDescent="0.35">
      <c r="A43" s="28">
        <v>232</v>
      </c>
      <c r="B43" s="67" t="s">
        <v>133</v>
      </c>
      <c r="C43" s="28">
        <v>260</v>
      </c>
      <c r="D43" s="19">
        <v>260</v>
      </c>
      <c r="E43" s="28">
        <v>260</v>
      </c>
      <c r="F43" s="28">
        <v>17.5</v>
      </c>
      <c r="G43" s="19">
        <v>17.5</v>
      </c>
      <c r="H43" s="28">
        <v>10</v>
      </c>
      <c r="I43" s="19">
        <v>24</v>
      </c>
      <c r="J43" s="19">
        <v>24</v>
      </c>
      <c r="K43" s="19">
        <v>21479.613111897605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4"/>
        <v>1</v>
      </c>
      <c r="Z43" s="19">
        <f t="shared" si="5"/>
        <v>0</v>
      </c>
      <c r="AA43" s="19">
        <f t="shared" si="6"/>
        <v>0</v>
      </c>
      <c r="AB43" s="29">
        <f t="shared" si="7"/>
        <v>152.49719266050352</v>
      </c>
      <c r="AC43" s="29">
        <f t="shared" si="8"/>
        <v>0</v>
      </c>
      <c r="AD43" s="29">
        <f t="shared" si="9"/>
        <v>0</v>
      </c>
      <c r="AE43" s="28">
        <v>20</v>
      </c>
      <c r="AF43" s="46">
        <v>355</v>
      </c>
      <c r="AG43" s="28">
        <v>210000</v>
      </c>
      <c r="AH43" s="29">
        <v>533.7401743117623</v>
      </c>
      <c r="AI43" s="29">
        <v>0</v>
      </c>
      <c r="AJ43" s="30">
        <v>0</v>
      </c>
      <c r="AK43" s="57">
        <f t="shared" si="10"/>
        <v>21.479613111897603</v>
      </c>
      <c r="AL43" s="57">
        <f t="shared" si="11"/>
        <v>1.3</v>
      </c>
      <c r="AM43" s="60"/>
      <c r="AN43" s="57">
        <v>0.13246638315114781</v>
      </c>
      <c r="AO43" s="57"/>
      <c r="AP43" s="57"/>
      <c r="AU43" s="15"/>
      <c r="AV43" s="15"/>
      <c r="AW43" s="16"/>
    </row>
    <row r="44" spans="1:58" ht="21" x14ac:dyDescent="0.35">
      <c r="A44" s="28">
        <v>233</v>
      </c>
      <c r="B44" s="67" t="s">
        <v>134</v>
      </c>
      <c r="C44" s="28">
        <v>300</v>
      </c>
      <c r="D44" s="19">
        <v>300</v>
      </c>
      <c r="E44" s="28">
        <v>300</v>
      </c>
      <c r="F44" s="28">
        <v>19</v>
      </c>
      <c r="G44" s="19">
        <v>19</v>
      </c>
      <c r="H44" s="28">
        <v>11</v>
      </c>
      <c r="I44" s="19">
        <v>27</v>
      </c>
      <c r="J44" s="19">
        <v>27</v>
      </c>
      <c r="K44" s="19">
        <v>2983.0539760123752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4"/>
        <v>1</v>
      </c>
      <c r="Z44" s="19">
        <f t="shared" si="5"/>
        <v>0</v>
      </c>
      <c r="AA44" s="19">
        <f t="shared" si="6"/>
        <v>0</v>
      </c>
      <c r="AB44" s="29">
        <f t="shared" si="7"/>
        <v>1374.9382073927852</v>
      </c>
      <c r="AC44" s="29">
        <f t="shared" si="8"/>
        <v>0</v>
      </c>
      <c r="AD44" s="29">
        <f t="shared" si="9"/>
        <v>0</v>
      </c>
      <c r="AE44" s="28">
        <v>20</v>
      </c>
      <c r="AF44" s="46">
        <v>355</v>
      </c>
      <c r="AG44" s="28">
        <v>210000</v>
      </c>
      <c r="AH44" s="29">
        <v>4812.2837258747486</v>
      </c>
      <c r="AI44" s="29">
        <v>0</v>
      </c>
      <c r="AJ44" s="30">
        <v>0</v>
      </c>
      <c r="AK44" s="57">
        <f t="shared" si="10"/>
        <v>2.9830539760123753</v>
      </c>
      <c r="AL44" s="57">
        <f t="shared" si="11"/>
        <v>1.5</v>
      </c>
      <c r="AM44" s="60"/>
      <c r="AN44" s="57">
        <v>0.94914779479631584</v>
      </c>
      <c r="AO44" s="57"/>
      <c r="AP44" s="57"/>
      <c r="AU44" s="15"/>
      <c r="AV44" s="15"/>
      <c r="AW44" s="16"/>
    </row>
    <row r="45" spans="1:58" ht="21" x14ac:dyDescent="0.35">
      <c r="A45" s="28">
        <v>234</v>
      </c>
      <c r="B45" s="67" t="s">
        <v>135</v>
      </c>
      <c r="C45" s="28">
        <v>300</v>
      </c>
      <c r="D45" s="19">
        <v>300</v>
      </c>
      <c r="E45" s="28">
        <v>300</v>
      </c>
      <c r="F45" s="28">
        <v>19</v>
      </c>
      <c r="G45" s="19">
        <v>19</v>
      </c>
      <c r="H45" s="28">
        <v>11</v>
      </c>
      <c r="I45" s="19">
        <v>27</v>
      </c>
      <c r="J45" s="19">
        <v>27</v>
      </c>
      <c r="K45" s="19">
        <v>4971.7566266872918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4"/>
        <v>1</v>
      </c>
      <c r="Z45" s="19">
        <f t="shared" si="5"/>
        <v>0</v>
      </c>
      <c r="AA45" s="19">
        <f t="shared" si="6"/>
        <v>0</v>
      </c>
      <c r="AB45" s="29">
        <f t="shared" si="7"/>
        <v>1221.1592149826399</v>
      </c>
      <c r="AC45" s="29">
        <f t="shared" si="8"/>
        <v>0</v>
      </c>
      <c r="AD45" s="29">
        <f t="shared" si="9"/>
        <v>0</v>
      </c>
      <c r="AE45" s="28">
        <v>20</v>
      </c>
      <c r="AF45" s="46">
        <v>355</v>
      </c>
      <c r="AG45" s="28">
        <v>210000</v>
      </c>
      <c r="AH45" s="29">
        <v>4274.0572524392401</v>
      </c>
      <c r="AI45" s="29">
        <v>0</v>
      </c>
      <c r="AJ45" s="30">
        <v>0</v>
      </c>
      <c r="AK45" s="57">
        <f t="shared" si="10"/>
        <v>4.9717566266872915</v>
      </c>
      <c r="AL45" s="57">
        <f t="shared" si="11"/>
        <v>1.5</v>
      </c>
      <c r="AM45" s="60"/>
      <c r="AN45" s="57">
        <v>0.842991030261521</v>
      </c>
      <c r="AO45" s="57"/>
      <c r="AP45" s="57"/>
      <c r="AU45" s="15"/>
      <c r="AV45" s="15"/>
      <c r="AW45" s="16"/>
    </row>
    <row r="46" spans="1:58" ht="21" x14ac:dyDescent="0.35">
      <c r="A46" s="28">
        <v>235</v>
      </c>
      <c r="B46" s="67" t="s">
        <v>136</v>
      </c>
      <c r="C46" s="28">
        <v>300</v>
      </c>
      <c r="D46" s="19">
        <v>300</v>
      </c>
      <c r="E46" s="28">
        <v>300</v>
      </c>
      <c r="F46" s="28">
        <v>19</v>
      </c>
      <c r="G46" s="19">
        <v>19</v>
      </c>
      <c r="H46" s="28">
        <v>11</v>
      </c>
      <c r="I46" s="19">
        <v>27</v>
      </c>
      <c r="J46" s="19">
        <v>27</v>
      </c>
      <c r="K46" s="19">
        <v>7457.6349400309382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4"/>
        <v>1</v>
      </c>
      <c r="Z46" s="19">
        <f t="shared" si="5"/>
        <v>0</v>
      </c>
      <c r="AA46" s="19">
        <f t="shared" si="6"/>
        <v>0</v>
      </c>
      <c r="AB46" s="29">
        <f t="shared" si="7"/>
        <v>1004.6584392465924</v>
      </c>
      <c r="AC46" s="29">
        <f t="shared" si="8"/>
        <v>0</v>
      </c>
      <c r="AD46" s="29">
        <f t="shared" si="9"/>
        <v>0</v>
      </c>
      <c r="AE46" s="28">
        <v>20</v>
      </c>
      <c r="AF46" s="46">
        <v>355</v>
      </c>
      <c r="AG46" s="28">
        <v>210000</v>
      </c>
      <c r="AH46" s="29">
        <v>3516.3045373630735</v>
      </c>
      <c r="AI46" s="29">
        <v>0</v>
      </c>
      <c r="AJ46" s="30">
        <v>0</v>
      </c>
      <c r="AK46" s="57">
        <f t="shared" si="10"/>
        <v>7.4576349400309381</v>
      </c>
      <c r="AL46" s="57">
        <f t="shared" si="11"/>
        <v>1.5</v>
      </c>
      <c r="AM46" s="60"/>
      <c r="AN46" s="57">
        <v>0.69353614366612826</v>
      </c>
      <c r="AO46" s="57"/>
      <c r="AP46" s="57"/>
      <c r="AU46" s="15"/>
      <c r="AV46" s="15"/>
      <c r="AW46" s="16"/>
    </row>
    <row r="47" spans="1:58" ht="21" x14ac:dyDescent="0.35">
      <c r="A47" s="28">
        <v>236</v>
      </c>
      <c r="B47" s="67" t="s">
        <v>137</v>
      </c>
      <c r="C47" s="28">
        <v>300</v>
      </c>
      <c r="D47" s="19">
        <v>300</v>
      </c>
      <c r="E47" s="28">
        <v>300</v>
      </c>
      <c r="F47" s="28">
        <v>19</v>
      </c>
      <c r="G47" s="19">
        <v>19</v>
      </c>
      <c r="H47" s="28">
        <v>11</v>
      </c>
      <c r="I47" s="19">
        <v>27</v>
      </c>
      <c r="J47" s="19">
        <v>27</v>
      </c>
      <c r="K47" s="19">
        <v>9943.5132533745837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4"/>
        <v>1</v>
      </c>
      <c r="Z47" s="19">
        <f t="shared" si="5"/>
        <v>0</v>
      </c>
      <c r="AA47" s="19">
        <f t="shared" si="6"/>
        <v>0</v>
      </c>
      <c r="AB47" s="29">
        <f t="shared" si="7"/>
        <v>782.15721751939043</v>
      </c>
      <c r="AC47" s="29">
        <f t="shared" si="8"/>
        <v>0</v>
      </c>
      <c r="AD47" s="29">
        <f t="shared" si="9"/>
        <v>0</v>
      </c>
      <c r="AE47" s="28">
        <v>20</v>
      </c>
      <c r="AF47" s="46">
        <v>355</v>
      </c>
      <c r="AG47" s="28">
        <v>210000</v>
      </c>
      <c r="AH47" s="29">
        <v>2737.5502613178664</v>
      </c>
      <c r="AI47" s="29">
        <v>0</v>
      </c>
      <c r="AJ47" s="30">
        <v>0</v>
      </c>
      <c r="AK47" s="57">
        <f t="shared" si="10"/>
        <v>9.9435132533745829</v>
      </c>
      <c r="AL47" s="57">
        <f t="shared" si="11"/>
        <v>1.5</v>
      </c>
      <c r="AM47" s="60"/>
      <c r="AN47" s="57">
        <v>0.53993902722384057</v>
      </c>
      <c r="AO47" s="57"/>
      <c r="AP47" s="57"/>
      <c r="AU47" s="15"/>
      <c r="AV47" s="15"/>
      <c r="AW47" s="16"/>
    </row>
    <row r="48" spans="1:58" ht="21" x14ac:dyDescent="0.35">
      <c r="A48" s="28">
        <v>237</v>
      </c>
      <c r="B48" s="67" t="s">
        <v>138</v>
      </c>
      <c r="C48" s="28">
        <v>300</v>
      </c>
      <c r="D48" s="19">
        <v>300</v>
      </c>
      <c r="E48" s="28">
        <v>300</v>
      </c>
      <c r="F48" s="28">
        <v>19</v>
      </c>
      <c r="G48" s="19">
        <v>19</v>
      </c>
      <c r="H48" s="28">
        <v>11</v>
      </c>
      <c r="I48" s="19">
        <v>27</v>
      </c>
      <c r="J48" s="19">
        <v>27</v>
      </c>
      <c r="K48" s="61">
        <v>13224.872626988197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4"/>
        <v>1</v>
      </c>
      <c r="Z48" s="19">
        <f t="shared" si="5"/>
        <v>0</v>
      </c>
      <c r="AA48" s="19">
        <f t="shared" si="6"/>
        <v>0</v>
      </c>
      <c r="AB48" s="29">
        <f t="shared" si="7"/>
        <v>545.24373615254831</v>
      </c>
      <c r="AC48" s="29">
        <f t="shared" si="8"/>
        <v>0</v>
      </c>
      <c r="AD48" s="29">
        <f t="shared" si="9"/>
        <v>0</v>
      </c>
      <c r="AE48" s="28">
        <v>20</v>
      </c>
      <c r="AF48" s="46">
        <v>355</v>
      </c>
      <c r="AG48" s="28">
        <v>210000</v>
      </c>
      <c r="AH48" s="29">
        <v>1908.3530765339192</v>
      </c>
      <c r="AI48" s="29">
        <v>0</v>
      </c>
      <c r="AJ48" s="30">
        <v>0</v>
      </c>
      <c r="AK48" s="57">
        <f t="shared" si="10"/>
        <v>13.224872626988198</v>
      </c>
      <c r="AL48" s="57">
        <f t="shared" si="11"/>
        <v>1.5</v>
      </c>
      <c r="AM48" s="60"/>
      <c r="AN48" s="57">
        <v>0.37639283497476766</v>
      </c>
      <c r="AO48" s="57"/>
      <c r="AP48" s="57"/>
      <c r="AU48" s="15"/>
      <c r="AV48" s="15"/>
      <c r="AW48" s="16"/>
    </row>
    <row r="49" spans="1:56" ht="21" x14ac:dyDescent="0.35">
      <c r="A49" s="28">
        <v>238</v>
      </c>
      <c r="B49" s="67" t="s">
        <v>139</v>
      </c>
      <c r="C49" s="28">
        <v>300</v>
      </c>
      <c r="D49" s="19">
        <v>300</v>
      </c>
      <c r="E49" s="28">
        <v>300</v>
      </c>
      <c r="F49" s="28">
        <v>19</v>
      </c>
      <c r="G49" s="19">
        <v>19</v>
      </c>
      <c r="H49" s="28">
        <v>11</v>
      </c>
      <c r="I49" s="19">
        <v>27</v>
      </c>
      <c r="J49" s="19">
        <v>27</v>
      </c>
      <c r="K49" s="19">
        <v>16605.667133135554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4"/>
        <v>1</v>
      </c>
      <c r="Z49" s="19">
        <f t="shared" si="5"/>
        <v>0</v>
      </c>
      <c r="AA49" s="19">
        <f t="shared" si="6"/>
        <v>0</v>
      </c>
      <c r="AB49" s="29">
        <f t="shared" si="7"/>
        <v>384.31597748984638</v>
      </c>
      <c r="AC49" s="29">
        <f t="shared" si="8"/>
        <v>0</v>
      </c>
      <c r="AD49" s="29">
        <f t="shared" si="9"/>
        <v>0</v>
      </c>
      <c r="AE49" s="28">
        <v>20</v>
      </c>
      <c r="AF49" s="46">
        <v>355</v>
      </c>
      <c r="AG49" s="28">
        <v>210000</v>
      </c>
      <c r="AH49" s="29">
        <v>1345.1059212144623</v>
      </c>
      <c r="AI49" s="29">
        <v>0</v>
      </c>
      <c r="AJ49" s="30">
        <v>0</v>
      </c>
      <c r="AK49" s="57">
        <f t="shared" si="10"/>
        <v>16.605667133135555</v>
      </c>
      <c r="AL49" s="57">
        <f t="shared" si="11"/>
        <v>1.5</v>
      </c>
      <c r="AM49" s="60"/>
      <c r="AN49" s="57">
        <v>0.26530113177316905</v>
      </c>
      <c r="AO49" s="57"/>
      <c r="AP49" s="57"/>
      <c r="AU49" s="15"/>
      <c r="AV49" s="15"/>
      <c r="AW49" s="16"/>
    </row>
    <row r="50" spans="1:56" ht="21" x14ac:dyDescent="0.35">
      <c r="A50" s="81">
        <v>239</v>
      </c>
      <c r="B50" s="67" t="s">
        <v>140</v>
      </c>
      <c r="C50" s="81">
        <v>300</v>
      </c>
      <c r="D50" s="82">
        <v>300</v>
      </c>
      <c r="E50" s="81">
        <v>300</v>
      </c>
      <c r="F50" s="81">
        <v>19</v>
      </c>
      <c r="G50" s="82">
        <v>19</v>
      </c>
      <c r="H50" s="81">
        <v>11</v>
      </c>
      <c r="I50" s="82">
        <v>27</v>
      </c>
      <c r="J50" s="82">
        <v>27</v>
      </c>
      <c r="K50" s="82">
        <v>19887.026506749167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4"/>
        <v>1</v>
      </c>
      <c r="Z50" s="82">
        <f t="shared" si="5"/>
        <v>0</v>
      </c>
      <c r="AA50" s="82">
        <f t="shared" si="6"/>
        <v>0</v>
      </c>
      <c r="AB50" s="84">
        <f t="shared" si="7"/>
        <v>284.19215184703273</v>
      </c>
      <c r="AC50" s="84">
        <f t="shared" si="8"/>
        <v>0</v>
      </c>
      <c r="AD50" s="84">
        <f t="shared" si="9"/>
        <v>0</v>
      </c>
      <c r="AE50" s="81">
        <v>20</v>
      </c>
      <c r="AF50" s="46">
        <v>355</v>
      </c>
      <c r="AG50" s="81">
        <v>210000</v>
      </c>
      <c r="AH50" s="84">
        <v>994.67253146461462</v>
      </c>
      <c r="AI50" s="84">
        <v>0</v>
      </c>
      <c r="AJ50" s="85">
        <v>0</v>
      </c>
      <c r="AK50" s="57">
        <f t="shared" si="10"/>
        <v>19.887026506749166</v>
      </c>
      <c r="AL50" s="57">
        <f t="shared" si="11"/>
        <v>1.5</v>
      </c>
      <c r="AM50" s="60"/>
      <c r="AN50" s="57">
        <v>0.19618361957918362</v>
      </c>
      <c r="AO50" s="57"/>
      <c r="AP50" s="57"/>
      <c r="AU50" s="15"/>
      <c r="AV50" s="15"/>
      <c r="AW50" s="16"/>
    </row>
    <row r="51" spans="1:56" s="89" customFormat="1" ht="21.75" thickBot="1" x14ac:dyDescent="0.4">
      <c r="A51" s="31">
        <v>240</v>
      </c>
      <c r="B51" s="67" t="s">
        <v>141</v>
      </c>
      <c r="C51" s="31">
        <v>300</v>
      </c>
      <c r="D51" s="32">
        <v>300</v>
      </c>
      <c r="E51" s="31">
        <v>300</v>
      </c>
      <c r="F51" s="31">
        <v>19</v>
      </c>
      <c r="G51" s="32">
        <v>19</v>
      </c>
      <c r="H51" s="31">
        <v>11</v>
      </c>
      <c r="I51" s="32">
        <v>27</v>
      </c>
      <c r="J51" s="32">
        <v>27</v>
      </c>
      <c r="K51" s="32">
        <v>24858.78313343646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4"/>
        <v>1</v>
      </c>
      <c r="Z51" s="32">
        <f t="shared" si="5"/>
        <v>0</v>
      </c>
      <c r="AA51" s="32">
        <f t="shared" si="6"/>
        <v>0</v>
      </c>
      <c r="AB51" s="33">
        <f t="shared" si="7"/>
        <v>191.89118110813314</v>
      </c>
      <c r="AC51" s="33">
        <f t="shared" si="8"/>
        <v>0</v>
      </c>
      <c r="AD51" s="33">
        <f t="shared" si="9"/>
        <v>0</v>
      </c>
      <c r="AE51" s="31">
        <v>20</v>
      </c>
      <c r="AF51" s="46">
        <v>355</v>
      </c>
      <c r="AG51" s="31">
        <v>210000</v>
      </c>
      <c r="AH51" s="33">
        <v>671.61913387846596</v>
      </c>
      <c r="AI51" s="33">
        <v>0</v>
      </c>
      <c r="AJ51" s="51">
        <v>0</v>
      </c>
      <c r="AK51" s="57">
        <f t="shared" si="10"/>
        <v>24.858783133436461</v>
      </c>
      <c r="AL51" s="57">
        <f t="shared" si="11"/>
        <v>1.5</v>
      </c>
      <c r="AM51" s="60"/>
      <c r="AN51" s="57">
        <v>0.13246638315114781</v>
      </c>
      <c r="AO51" s="88"/>
      <c r="AP51" s="88"/>
      <c r="AU51" s="90"/>
      <c r="AV51" s="90"/>
      <c r="AW51" s="91"/>
      <c r="BD51" s="92"/>
    </row>
    <row r="52" spans="1:56" ht="21" x14ac:dyDescent="0.35">
      <c r="A52" s="46">
        <v>241</v>
      </c>
      <c r="B52" s="67" t="s">
        <v>142</v>
      </c>
      <c r="C52" s="46">
        <v>300</v>
      </c>
      <c r="D52" s="47">
        <v>300</v>
      </c>
      <c r="E52" s="46">
        <v>340</v>
      </c>
      <c r="F52" s="46">
        <v>21.5</v>
      </c>
      <c r="G52" s="47">
        <v>21.5</v>
      </c>
      <c r="H52" s="46">
        <v>12</v>
      </c>
      <c r="I52" s="47">
        <v>27</v>
      </c>
      <c r="J52" s="47">
        <v>27</v>
      </c>
      <c r="K52" s="47">
        <v>3360.5179307417707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4"/>
        <v>1</v>
      </c>
      <c r="Z52" s="47">
        <f t="shared" si="5"/>
        <v>0</v>
      </c>
      <c r="AA52" s="47">
        <f t="shared" si="6"/>
        <v>0</v>
      </c>
      <c r="AB52" s="49">
        <f t="shared" si="7"/>
        <v>1585.0008854862638</v>
      </c>
      <c r="AC52" s="49">
        <f t="shared" si="8"/>
        <v>0</v>
      </c>
      <c r="AD52" s="49">
        <f t="shared" si="9"/>
        <v>0</v>
      </c>
      <c r="AE52" s="46">
        <v>20</v>
      </c>
      <c r="AF52" s="46">
        <v>355</v>
      </c>
      <c r="AG52" s="46">
        <v>210000</v>
      </c>
      <c r="AH52" s="49">
        <v>5547.5030992019229</v>
      </c>
      <c r="AI52" s="49">
        <v>0</v>
      </c>
      <c r="AJ52" s="87">
        <v>0</v>
      </c>
      <c r="AK52" s="57">
        <f t="shared" si="10"/>
        <v>3.3605179307417705</v>
      </c>
      <c r="AL52" s="57">
        <f t="shared" si="11"/>
        <v>1.5</v>
      </c>
      <c r="AM52" s="60"/>
      <c r="AN52" s="57">
        <v>0.94914779479631584</v>
      </c>
      <c r="AO52" s="57"/>
      <c r="AP52" s="57"/>
      <c r="AU52" s="15"/>
      <c r="AV52" s="15"/>
      <c r="AW52" s="16"/>
    </row>
    <row r="53" spans="1:56" ht="21" x14ac:dyDescent="0.35">
      <c r="A53" s="28">
        <v>242</v>
      </c>
      <c r="B53" s="67" t="s">
        <v>143</v>
      </c>
      <c r="C53" s="28">
        <v>300</v>
      </c>
      <c r="D53" s="19">
        <v>300</v>
      </c>
      <c r="E53" s="28">
        <v>340</v>
      </c>
      <c r="F53" s="28">
        <v>21.5</v>
      </c>
      <c r="G53" s="47">
        <v>21.5</v>
      </c>
      <c r="H53" s="28">
        <v>12</v>
      </c>
      <c r="I53" s="19">
        <v>27</v>
      </c>
      <c r="J53" s="19">
        <v>27</v>
      </c>
      <c r="K53" s="61">
        <v>5600.863217902951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4"/>
        <v>1</v>
      </c>
      <c r="Z53" s="19">
        <f t="shared" si="5"/>
        <v>0</v>
      </c>
      <c r="AA53" s="19">
        <f t="shared" si="6"/>
        <v>0</v>
      </c>
      <c r="AB53" s="29">
        <f t="shared" si="7"/>
        <v>1407.7275812543191</v>
      </c>
      <c r="AC53" s="29">
        <f t="shared" si="8"/>
        <v>0</v>
      </c>
      <c r="AD53" s="29">
        <f t="shared" si="9"/>
        <v>0</v>
      </c>
      <c r="AE53" s="28">
        <v>20</v>
      </c>
      <c r="AF53" s="46">
        <v>355</v>
      </c>
      <c r="AG53" s="28">
        <v>210000</v>
      </c>
      <c r="AH53" s="29">
        <v>4927.0465343901169</v>
      </c>
      <c r="AI53" s="29">
        <v>0</v>
      </c>
      <c r="AJ53" s="30">
        <v>0</v>
      </c>
      <c r="AK53" s="57">
        <f t="shared" si="10"/>
        <v>5.6008632179029512</v>
      </c>
      <c r="AL53" s="57">
        <f t="shared" si="11"/>
        <v>1.5</v>
      </c>
      <c r="AM53" s="60"/>
      <c r="AN53" s="57">
        <v>0.842991030261521</v>
      </c>
      <c r="AO53" s="57"/>
      <c r="AP53" s="57"/>
      <c r="AU53" s="15"/>
      <c r="AV53" s="15"/>
      <c r="AW53" s="16"/>
    </row>
    <row r="54" spans="1:56" ht="21" x14ac:dyDescent="0.35">
      <c r="A54" s="28">
        <v>243</v>
      </c>
      <c r="B54" s="67" t="s">
        <v>144</v>
      </c>
      <c r="C54" s="28">
        <v>300</v>
      </c>
      <c r="D54" s="19">
        <v>300</v>
      </c>
      <c r="E54" s="28">
        <v>340</v>
      </c>
      <c r="F54" s="28">
        <v>21.5</v>
      </c>
      <c r="G54" s="47">
        <v>21.5</v>
      </c>
      <c r="H54" s="28">
        <v>12</v>
      </c>
      <c r="I54" s="19">
        <v>27</v>
      </c>
      <c r="J54" s="19">
        <v>27</v>
      </c>
      <c r="K54" s="61">
        <v>8401.2948268544278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4"/>
        <v>1</v>
      </c>
      <c r="Z54" s="19">
        <f t="shared" si="5"/>
        <v>0</v>
      </c>
      <c r="AA54" s="19">
        <f t="shared" si="6"/>
        <v>0</v>
      </c>
      <c r="AB54" s="29">
        <f t="shared" si="7"/>
        <v>1158.1498770309406</v>
      </c>
      <c r="AC54" s="29">
        <f t="shared" si="8"/>
        <v>0</v>
      </c>
      <c r="AD54" s="29">
        <f t="shared" si="9"/>
        <v>0</v>
      </c>
      <c r="AE54" s="28">
        <v>20</v>
      </c>
      <c r="AF54" s="46">
        <v>355</v>
      </c>
      <c r="AG54" s="28">
        <v>210000</v>
      </c>
      <c r="AH54" s="29">
        <v>4053.5245696082925</v>
      </c>
      <c r="AI54" s="29">
        <v>0</v>
      </c>
      <c r="AJ54" s="30">
        <v>0</v>
      </c>
      <c r="AK54" s="57">
        <f t="shared" si="10"/>
        <v>8.4012948268544285</v>
      </c>
      <c r="AL54" s="57">
        <f t="shared" si="11"/>
        <v>1.5</v>
      </c>
      <c r="AM54" s="60"/>
      <c r="AN54" s="57">
        <v>0.69353614366612815</v>
      </c>
      <c r="AO54" s="57"/>
      <c r="AP54" s="57"/>
      <c r="AU54" s="15"/>
      <c r="AV54" s="15"/>
      <c r="AW54" s="16"/>
    </row>
    <row r="55" spans="1:56" ht="21" x14ac:dyDescent="0.35">
      <c r="A55" s="28">
        <v>244</v>
      </c>
      <c r="B55" s="67" t="s">
        <v>145</v>
      </c>
      <c r="C55" s="28">
        <v>300</v>
      </c>
      <c r="D55" s="19">
        <v>300</v>
      </c>
      <c r="E55" s="28">
        <v>340</v>
      </c>
      <c r="F55" s="28">
        <v>21.5</v>
      </c>
      <c r="G55" s="47">
        <v>21.5</v>
      </c>
      <c r="H55" s="28">
        <v>12</v>
      </c>
      <c r="I55" s="19">
        <v>27</v>
      </c>
      <c r="J55" s="19">
        <v>27</v>
      </c>
      <c r="K55" s="19">
        <v>11201.726435805902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4"/>
        <v>1</v>
      </c>
      <c r="Z55" s="19">
        <f t="shared" si="5"/>
        <v>0</v>
      </c>
      <c r="AA55" s="19">
        <f t="shared" si="6"/>
        <v>0</v>
      </c>
      <c r="AB55" s="29">
        <f t="shared" si="7"/>
        <v>901.65498034163591</v>
      </c>
      <c r="AC55" s="29">
        <f t="shared" si="8"/>
        <v>0</v>
      </c>
      <c r="AD55" s="29">
        <f t="shared" si="9"/>
        <v>0</v>
      </c>
      <c r="AE55" s="28">
        <v>20</v>
      </c>
      <c r="AF55" s="46">
        <v>355</v>
      </c>
      <c r="AG55" s="28">
        <v>210000</v>
      </c>
      <c r="AH55" s="29">
        <v>3155.7924311957258</v>
      </c>
      <c r="AI55" s="29">
        <v>0</v>
      </c>
      <c r="AJ55" s="30">
        <v>0</v>
      </c>
      <c r="AK55" s="57">
        <f t="shared" si="10"/>
        <v>11.201726435805902</v>
      </c>
      <c r="AL55" s="57">
        <f t="shared" si="11"/>
        <v>1.5</v>
      </c>
      <c r="AM55" s="60"/>
      <c r="AN55" s="57">
        <v>0.53993902722384057</v>
      </c>
      <c r="AO55" s="57"/>
      <c r="AP55" s="57"/>
      <c r="AU55" s="15"/>
      <c r="AV55" s="15"/>
      <c r="AW55" s="16"/>
    </row>
    <row r="56" spans="1:56" ht="21" x14ac:dyDescent="0.35">
      <c r="A56" s="28">
        <v>245</v>
      </c>
      <c r="B56" s="67" t="s">
        <v>146</v>
      </c>
      <c r="C56" s="28">
        <v>300</v>
      </c>
      <c r="D56" s="19">
        <v>300</v>
      </c>
      <c r="E56" s="28">
        <v>340</v>
      </c>
      <c r="F56" s="28">
        <v>21.5</v>
      </c>
      <c r="G56" s="47">
        <v>21.5</v>
      </c>
      <c r="H56" s="28">
        <v>12</v>
      </c>
      <c r="I56" s="19">
        <v>27</v>
      </c>
      <c r="J56" s="19">
        <v>27</v>
      </c>
      <c r="K56" s="61">
        <v>14898.296159621852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4"/>
        <v>1</v>
      </c>
      <c r="Z56" s="19">
        <f t="shared" si="5"/>
        <v>0</v>
      </c>
      <c r="AA56" s="19">
        <f t="shared" si="6"/>
        <v>0</v>
      </c>
      <c r="AB56" s="29">
        <f t="shared" si="7"/>
        <v>628.54592298106388</v>
      </c>
      <c r="AC56" s="29">
        <f t="shared" si="8"/>
        <v>0</v>
      </c>
      <c r="AD56" s="29">
        <f t="shared" si="9"/>
        <v>0</v>
      </c>
      <c r="AE56" s="28">
        <v>20</v>
      </c>
      <c r="AF56" s="46">
        <v>355</v>
      </c>
      <c r="AG56" s="28">
        <v>210000</v>
      </c>
      <c r="AH56" s="29">
        <v>2199.9107304337235</v>
      </c>
      <c r="AI56" s="29">
        <v>0</v>
      </c>
      <c r="AJ56" s="30">
        <v>0</v>
      </c>
      <c r="AK56" s="57">
        <f t="shared" si="10"/>
        <v>14.898296159621852</v>
      </c>
      <c r="AL56" s="57">
        <f t="shared" si="11"/>
        <v>1.5</v>
      </c>
      <c r="AM56" s="60"/>
      <c r="AN56" s="57">
        <v>0.37639283497476755</v>
      </c>
      <c r="AO56" s="57"/>
      <c r="AP56" s="57"/>
      <c r="AU56" s="15"/>
      <c r="AV56" s="15"/>
      <c r="AW56" s="16"/>
    </row>
    <row r="57" spans="1:56" ht="21" x14ac:dyDescent="0.35">
      <c r="A57" s="28">
        <v>246</v>
      </c>
      <c r="B57" s="67" t="s">
        <v>147</v>
      </c>
      <c r="C57" s="28">
        <v>300</v>
      </c>
      <c r="D57" s="19">
        <v>300</v>
      </c>
      <c r="E57" s="28">
        <v>340</v>
      </c>
      <c r="F57" s="28">
        <v>21.5</v>
      </c>
      <c r="G57" s="47">
        <v>21.5</v>
      </c>
      <c r="H57" s="28">
        <v>12</v>
      </c>
      <c r="I57" s="19">
        <v>27</v>
      </c>
      <c r="J57" s="19">
        <v>27</v>
      </c>
      <c r="K57" s="61">
        <v>18706.883147795856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4"/>
        <v>1</v>
      </c>
      <c r="Z57" s="19">
        <f t="shared" si="5"/>
        <v>0</v>
      </c>
      <c r="AA57" s="19">
        <f t="shared" si="6"/>
        <v>0</v>
      </c>
      <c r="AB57" s="29">
        <f t="shared" si="7"/>
        <v>443.03166597065041</v>
      </c>
      <c r="AC57" s="29">
        <f t="shared" si="8"/>
        <v>0</v>
      </c>
      <c r="AD57" s="29">
        <f t="shared" si="9"/>
        <v>0</v>
      </c>
      <c r="AE57" s="28">
        <v>20</v>
      </c>
      <c r="AF57" s="46">
        <v>355</v>
      </c>
      <c r="AG57" s="28">
        <v>210000</v>
      </c>
      <c r="AH57" s="29">
        <v>1550.6108308972764</v>
      </c>
      <c r="AI57" s="29">
        <v>0</v>
      </c>
      <c r="AJ57" s="30">
        <v>0</v>
      </c>
      <c r="AK57" s="57">
        <f t="shared" si="10"/>
        <v>18.706883147795857</v>
      </c>
      <c r="AL57" s="57">
        <f t="shared" si="11"/>
        <v>1.5</v>
      </c>
      <c r="AM57" s="60"/>
      <c r="AN57" s="57">
        <v>0.265301131773169</v>
      </c>
      <c r="AO57" s="57"/>
      <c r="AP57" s="57"/>
      <c r="AU57" s="15"/>
      <c r="AV57" s="15"/>
      <c r="AW57" s="16"/>
    </row>
    <row r="58" spans="1:56" ht="21" x14ac:dyDescent="0.35">
      <c r="A58" s="28">
        <v>247</v>
      </c>
      <c r="B58" s="67" t="s">
        <v>148</v>
      </c>
      <c r="C58" s="28">
        <v>300</v>
      </c>
      <c r="D58" s="19">
        <v>300</v>
      </c>
      <c r="E58" s="28">
        <v>340</v>
      </c>
      <c r="F58" s="28">
        <v>21.5</v>
      </c>
      <c r="G58" s="47">
        <v>21.5</v>
      </c>
      <c r="H58" s="28">
        <v>12</v>
      </c>
      <c r="I58" s="19">
        <v>27</v>
      </c>
      <c r="J58" s="19">
        <v>27</v>
      </c>
      <c r="K58" s="19">
        <v>22403.452871611804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4"/>
        <v>1</v>
      </c>
      <c r="Z58" s="19">
        <f t="shared" si="5"/>
        <v>0</v>
      </c>
      <c r="AA58" s="19">
        <f t="shared" si="6"/>
        <v>0</v>
      </c>
      <c r="AB58" s="29">
        <f t="shared" si="7"/>
        <v>327.61095000767034</v>
      </c>
      <c r="AC58" s="29">
        <f t="shared" si="8"/>
        <v>0</v>
      </c>
      <c r="AD58" s="29">
        <f t="shared" si="9"/>
        <v>0</v>
      </c>
      <c r="AE58" s="28">
        <v>20</v>
      </c>
      <c r="AF58" s="46">
        <v>355</v>
      </c>
      <c r="AG58" s="28">
        <v>210000</v>
      </c>
      <c r="AH58" s="29">
        <v>1146.6383250268461</v>
      </c>
      <c r="AI58" s="29">
        <v>0</v>
      </c>
      <c r="AJ58" s="30">
        <v>0</v>
      </c>
      <c r="AK58" s="57">
        <f t="shared" si="10"/>
        <v>22.403452871611805</v>
      </c>
      <c r="AL58" s="57">
        <f t="shared" si="11"/>
        <v>1.5</v>
      </c>
      <c r="AM58" s="60"/>
      <c r="AN58" s="57">
        <v>0.19618361957918362</v>
      </c>
      <c r="AO58" s="57"/>
      <c r="AP58" s="57"/>
      <c r="AU58" s="15"/>
      <c r="AV58" s="15"/>
      <c r="AW58" s="16"/>
    </row>
    <row r="59" spans="1:56" ht="21" x14ac:dyDescent="0.35">
      <c r="A59" s="28">
        <v>248</v>
      </c>
      <c r="B59" s="67" t="s">
        <v>149</v>
      </c>
      <c r="C59" s="28">
        <v>300</v>
      </c>
      <c r="D59" s="19">
        <v>300</v>
      </c>
      <c r="E59" s="28">
        <v>340</v>
      </c>
      <c r="F59" s="28">
        <v>21.5</v>
      </c>
      <c r="G59" s="47">
        <v>21.5</v>
      </c>
      <c r="H59" s="28">
        <v>12</v>
      </c>
      <c r="I59" s="19">
        <v>27</v>
      </c>
      <c r="J59" s="19">
        <v>27</v>
      </c>
      <c r="K59" s="19">
        <v>28004.316089514756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4"/>
        <v>1</v>
      </c>
      <c r="Z59" s="19">
        <f t="shared" si="5"/>
        <v>0</v>
      </c>
      <c r="AA59" s="19">
        <f t="shared" si="6"/>
        <v>0</v>
      </c>
      <c r="AB59" s="29">
        <f t="shared" si="7"/>
        <v>221.20826255176476</v>
      </c>
      <c r="AC59" s="29">
        <f t="shared" si="8"/>
        <v>0</v>
      </c>
      <c r="AD59" s="29">
        <f t="shared" si="9"/>
        <v>0</v>
      </c>
      <c r="AE59" s="28">
        <v>20</v>
      </c>
      <c r="AF59" s="46">
        <v>355</v>
      </c>
      <c r="AG59" s="28">
        <v>210000</v>
      </c>
      <c r="AH59" s="29">
        <v>774.22891893117662</v>
      </c>
      <c r="AI59" s="29">
        <v>0</v>
      </c>
      <c r="AJ59" s="30">
        <v>0</v>
      </c>
      <c r="AK59" s="57">
        <f t="shared" si="10"/>
        <v>28.004316089514756</v>
      </c>
      <c r="AL59" s="57">
        <f t="shared" si="11"/>
        <v>1.5</v>
      </c>
      <c r="AM59" s="60"/>
      <c r="AN59" s="57">
        <v>0.13246638315114781</v>
      </c>
      <c r="AO59" s="57"/>
      <c r="AP59" s="57"/>
      <c r="AU59" s="15"/>
      <c r="AV59" s="15"/>
      <c r="AW59" s="16"/>
    </row>
    <row r="60" spans="1:56" ht="21" x14ac:dyDescent="0.35">
      <c r="A60" s="28">
        <v>249</v>
      </c>
      <c r="B60" s="67" t="s">
        <v>150</v>
      </c>
      <c r="C60" s="28">
        <v>300</v>
      </c>
      <c r="D60" s="19">
        <v>300</v>
      </c>
      <c r="E60" s="28">
        <v>400</v>
      </c>
      <c r="F60" s="28">
        <v>24</v>
      </c>
      <c r="G60" s="47">
        <v>24</v>
      </c>
      <c r="H60" s="28">
        <v>13.5</v>
      </c>
      <c r="I60" s="19">
        <v>27</v>
      </c>
      <c r="J60" s="19">
        <v>27</v>
      </c>
      <c r="K60" s="19">
        <v>3915.1919470107682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4"/>
        <v>1</v>
      </c>
      <c r="Z60" s="19">
        <f t="shared" si="5"/>
        <v>0</v>
      </c>
      <c r="AA60" s="19">
        <f t="shared" si="6"/>
        <v>0</v>
      </c>
      <c r="AB60" s="29">
        <f t="shared" si="7"/>
        <v>1843.7765402595312</v>
      </c>
      <c r="AC60" s="29">
        <f t="shared" si="8"/>
        <v>0</v>
      </c>
      <c r="AD60" s="29">
        <f t="shared" si="9"/>
        <v>0</v>
      </c>
      <c r="AE60" s="28">
        <v>20</v>
      </c>
      <c r="AF60" s="46">
        <v>355</v>
      </c>
      <c r="AG60" s="28">
        <v>210000</v>
      </c>
      <c r="AH60" s="29">
        <v>6453.2178909083595</v>
      </c>
      <c r="AI60" s="29">
        <v>0</v>
      </c>
      <c r="AJ60" s="30">
        <v>0</v>
      </c>
      <c r="AK60" s="57">
        <f t="shared" si="10"/>
        <v>3.9151919470107681</v>
      </c>
      <c r="AL60" s="57">
        <f t="shared" si="11"/>
        <v>1.5</v>
      </c>
      <c r="AM60" s="60"/>
      <c r="AN60" s="57">
        <v>0.94914779479631584</v>
      </c>
      <c r="AO60" s="57"/>
      <c r="AP60" s="57"/>
      <c r="AU60" s="15"/>
      <c r="AV60" s="15"/>
      <c r="AW60" s="16"/>
    </row>
    <row r="61" spans="1:56" ht="21" x14ac:dyDescent="0.35">
      <c r="A61" s="28">
        <v>250</v>
      </c>
      <c r="B61" s="67" t="s">
        <v>151</v>
      </c>
      <c r="C61" s="28">
        <v>300</v>
      </c>
      <c r="D61" s="19">
        <v>300</v>
      </c>
      <c r="E61" s="28">
        <v>400</v>
      </c>
      <c r="F61" s="28">
        <v>24</v>
      </c>
      <c r="G61" s="47">
        <v>24</v>
      </c>
      <c r="H61" s="28">
        <v>13.5</v>
      </c>
      <c r="I61" s="19">
        <v>27</v>
      </c>
      <c r="J61" s="19">
        <v>27</v>
      </c>
      <c r="K61" s="19">
        <v>6525.3199116846135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4"/>
        <v>1</v>
      </c>
      <c r="Z61" s="19">
        <f t="shared" si="5"/>
        <v>0</v>
      </c>
      <c r="AA61" s="19">
        <f t="shared" si="6"/>
        <v>0</v>
      </c>
      <c r="AB61" s="29">
        <f t="shared" si="7"/>
        <v>1637.5606557448205</v>
      </c>
      <c r="AC61" s="29">
        <f t="shared" si="8"/>
        <v>0</v>
      </c>
      <c r="AD61" s="29">
        <f t="shared" si="9"/>
        <v>0</v>
      </c>
      <c r="AE61" s="28">
        <v>20</v>
      </c>
      <c r="AF61" s="46">
        <v>355</v>
      </c>
      <c r="AG61" s="28">
        <v>210000</v>
      </c>
      <c r="AH61" s="29">
        <v>5731.4622951068714</v>
      </c>
      <c r="AI61" s="29">
        <v>0</v>
      </c>
      <c r="AJ61" s="30">
        <v>0</v>
      </c>
      <c r="AK61" s="57">
        <f t="shared" si="10"/>
        <v>6.5253199116846137</v>
      </c>
      <c r="AL61" s="57">
        <f t="shared" si="11"/>
        <v>1.5</v>
      </c>
      <c r="AM61" s="60"/>
      <c r="AN61" s="57">
        <v>0.842991030261521</v>
      </c>
      <c r="AO61" s="57"/>
      <c r="AP61" s="57"/>
      <c r="AU61" s="15"/>
      <c r="AV61" s="15"/>
      <c r="AW61" s="16"/>
    </row>
    <row r="62" spans="1:56" ht="21" x14ac:dyDescent="0.35">
      <c r="A62" s="28">
        <v>251</v>
      </c>
      <c r="B62" s="67" t="s">
        <v>152</v>
      </c>
      <c r="C62" s="28">
        <v>300</v>
      </c>
      <c r="D62" s="19">
        <v>300</v>
      </c>
      <c r="E62" s="28">
        <v>400</v>
      </c>
      <c r="F62" s="28">
        <v>24</v>
      </c>
      <c r="G62" s="47">
        <v>24</v>
      </c>
      <c r="H62" s="28">
        <v>13.5</v>
      </c>
      <c r="I62" s="19">
        <v>27</v>
      </c>
      <c r="J62" s="19">
        <v>27</v>
      </c>
      <c r="K62" s="19">
        <v>9787.9798675269212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4"/>
        <v>1</v>
      </c>
      <c r="Z62" s="19">
        <f t="shared" si="5"/>
        <v>0</v>
      </c>
      <c r="AA62" s="19">
        <f t="shared" si="6"/>
        <v>0</v>
      </c>
      <c r="AB62" s="29">
        <f t="shared" si="7"/>
        <v>1347.2355712400743</v>
      </c>
      <c r="AC62" s="29">
        <f t="shared" si="8"/>
        <v>0</v>
      </c>
      <c r="AD62" s="29">
        <f t="shared" si="9"/>
        <v>0</v>
      </c>
      <c r="AE62" s="28">
        <v>20</v>
      </c>
      <c r="AF62" s="46">
        <v>355</v>
      </c>
      <c r="AG62" s="28">
        <v>210000</v>
      </c>
      <c r="AH62" s="29">
        <v>4715.3244993402595</v>
      </c>
      <c r="AI62" s="29">
        <v>0</v>
      </c>
      <c r="AJ62" s="30">
        <v>0</v>
      </c>
      <c r="AK62" s="57">
        <f t="shared" si="10"/>
        <v>9.7879798675269214</v>
      </c>
      <c r="AL62" s="57">
        <f t="shared" si="11"/>
        <v>1.5</v>
      </c>
      <c r="AM62" s="60"/>
      <c r="AN62" s="57">
        <v>0.69353614366612826</v>
      </c>
      <c r="AO62" s="57"/>
      <c r="AP62" s="57"/>
      <c r="AU62" s="15"/>
      <c r="AV62" s="15"/>
      <c r="AW62" s="16"/>
    </row>
    <row r="63" spans="1:56" ht="21" x14ac:dyDescent="0.35">
      <c r="A63" s="28">
        <v>252</v>
      </c>
      <c r="B63" s="67" t="s">
        <v>153</v>
      </c>
      <c r="C63" s="28">
        <v>300</v>
      </c>
      <c r="D63" s="19">
        <v>300</v>
      </c>
      <c r="E63" s="28">
        <v>400</v>
      </c>
      <c r="F63" s="28">
        <v>24</v>
      </c>
      <c r="G63" s="47">
        <v>24</v>
      </c>
      <c r="H63" s="28">
        <v>13.5</v>
      </c>
      <c r="I63" s="19">
        <v>27</v>
      </c>
      <c r="J63" s="19">
        <v>27</v>
      </c>
      <c r="K63" s="19">
        <v>13050.639823369227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4"/>
        <v>1</v>
      </c>
      <c r="Z63" s="19">
        <f t="shared" si="5"/>
        <v>0</v>
      </c>
      <c r="AA63" s="19">
        <f t="shared" si="6"/>
        <v>0</v>
      </c>
      <c r="AB63" s="29">
        <f t="shared" si="7"/>
        <v>1048.8639567239438</v>
      </c>
      <c r="AC63" s="29">
        <f t="shared" si="8"/>
        <v>0</v>
      </c>
      <c r="AD63" s="29">
        <f t="shared" si="9"/>
        <v>0</v>
      </c>
      <c r="AE63" s="28">
        <v>20</v>
      </c>
      <c r="AF63" s="46">
        <v>355</v>
      </c>
      <c r="AG63" s="28">
        <v>210000</v>
      </c>
      <c r="AH63" s="29">
        <v>3671.0238485338032</v>
      </c>
      <c r="AI63" s="29">
        <v>0</v>
      </c>
      <c r="AJ63" s="30">
        <v>0</v>
      </c>
      <c r="AK63" s="57">
        <f t="shared" si="10"/>
        <v>13.050639823369227</v>
      </c>
      <c r="AL63" s="57">
        <f t="shared" si="11"/>
        <v>1.5</v>
      </c>
      <c r="AM63" s="60"/>
      <c r="AN63" s="57">
        <v>0.53993902722384057</v>
      </c>
      <c r="AO63" s="57"/>
      <c r="AP63" s="57"/>
      <c r="AU63" s="15"/>
      <c r="AV63" s="15"/>
      <c r="AW63" s="16"/>
    </row>
    <row r="64" spans="1:56" ht="21" x14ac:dyDescent="0.35">
      <c r="A64" s="28">
        <v>253</v>
      </c>
      <c r="B64" s="67" t="s">
        <v>154</v>
      </c>
      <c r="C64" s="28">
        <v>300</v>
      </c>
      <c r="D64" s="19">
        <v>300</v>
      </c>
      <c r="E64" s="28">
        <v>400</v>
      </c>
      <c r="F64" s="28">
        <v>24</v>
      </c>
      <c r="G64" s="47">
        <v>24</v>
      </c>
      <c r="H64" s="28">
        <v>13.5</v>
      </c>
      <c r="I64" s="19">
        <v>27</v>
      </c>
      <c r="J64" s="19">
        <v>27</v>
      </c>
      <c r="K64" s="61">
        <v>17357.350965081074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4"/>
        <v>1</v>
      </c>
      <c r="Z64" s="19">
        <f t="shared" si="5"/>
        <v>0</v>
      </c>
      <c r="AA64" s="19">
        <f t="shared" si="6"/>
        <v>0</v>
      </c>
      <c r="AB64" s="29">
        <f t="shared" si="7"/>
        <v>731.16566550858465</v>
      </c>
      <c r="AC64" s="29">
        <f t="shared" si="8"/>
        <v>0</v>
      </c>
      <c r="AD64" s="29">
        <f t="shared" si="9"/>
        <v>0</v>
      </c>
      <c r="AE64" s="28">
        <v>20</v>
      </c>
      <c r="AF64" s="46">
        <v>355</v>
      </c>
      <c r="AG64" s="28">
        <v>210000</v>
      </c>
      <c r="AH64" s="29">
        <v>2559.0798292800464</v>
      </c>
      <c r="AI64" s="29">
        <v>0</v>
      </c>
      <c r="AJ64" s="30">
        <v>0</v>
      </c>
      <c r="AK64" s="57">
        <f t="shared" si="10"/>
        <v>17.357350965081075</v>
      </c>
      <c r="AL64" s="57">
        <f t="shared" si="11"/>
        <v>1.5</v>
      </c>
      <c r="AM64" s="60"/>
      <c r="AN64" s="57">
        <v>0.37639283497476766</v>
      </c>
      <c r="AO64" s="57"/>
      <c r="AP64" s="57"/>
      <c r="AU64" s="15"/>
      <c r="AV64" s="15"/>
      <c r="AW64" s="16"/>
    </row>
    <row r="65" spans="1:49" ht="21" x14ac:dyDescent="0.35">
      <c r="A65" s="28">
        <v>254</v>
      </c>
      <c r="B65" s="67" t="s">
        <v>155</v>
      </c>
      <c r="C65" s="28">
        <v>300</v>
      </c>
      <c r="D65" s="19">
        <v>300</v>
      </c>
      <c r="E65" s="28">
        <v>400</v>
      </c>
      <c r="F65" s="28">
        <v>24</v>
      </c>
      <c r="G65" s="47">
        <v>24</v>
      </c>
      <c r="H65" s="28">
        <v>13.5</v>
      </c>
      <c r="I65" s="19">
        <v>27</v>
      </c>
      <c r="J65" s="19">
        <v>27</v>
      </c>
      <c r="K65" s="19">
        <v>21794.568505026607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4"/>
        <v>1</v>
      </c>
      <c r="Z65" s="19">
        <f t="shared" si="5"/>
        <v>0</v>
      </c>
      <c r="AA65" s="19">
        <f t="shared" si="6"/>
        <v>0</v>
      </c>
      <c r="AB65" s="29">
        <f t="shared" si="7"/>
        <v>515.36336653728733</v>
      </c>
      <c r="AC65" s="29">
        <f t="shared" si="8"/>
        <v>0</v>
      </c>
      <c r="AD65" s="29">
        <f t="shared" si="9"/>
        <v>0</v>
      </c>
      <c r="AE65" s="28">
        <v>20</v>
      </c>
      <c r="AF65" s="46">
        <v>355</v>
      </c>
      <c r="AG65" s="28">
        <v>210000</v>
      </c>
      <c r="AH65" s="29">
        <v>1803.7717828805055</v>
      </c>
      <c r="AI65" s="29">
        <v>0</v>
      </c>
      <c r="AJ65" s="30">
        <v>0</v>
      </c>
      <c r="AK65" s="57">
        <f t="shared" si="10"/>
        <v>21.794568505026607</v>
      </c>
      <c r="AL65" s="57">
        <f t="shared" si="11"/>
        <v>1.5</v>
      </c>
      <c r="AM65" s="60"/>
      <c r="AN65" s="57">
        <v>0.26530113177316905</v>
      </c>
      <c r="AO65" s="57"/>
      <c r="AP65" s="57"/>
      <c r="AU65" s="15"/>
      <c r="AV65" s="15"/>
      <c r="AW65" s="16"/>
    </row>
    <row r="66" spans="1:49" ht="21" x14ac:dyDescent="0.35">
      <c r="A66" s="28">
        <v>255</v>
      </c>
      <c r="B66" s="67" t="s">
        <v>156</v>
      </c>
      <c r="C66" s="28">
        <v>300</v>
      </c>
      <c r="D66" s="19">
        <v>300</v>
      </c>
      <c r="E66" s="28">
        <v>400</v>
      </c>
      <c r="F66" s="28">
        <v>24</v>
      </c>
      <c r="G66" s="47">
        <v>24</v>
      </c>
      <c r="H66" s="28">
        <v>13.5</v>
      </c>
      <c r="I66" s="19">
        <v>27</v>
      </c>
      <c r="J66" s="19">
        <v>27</v>
      </c>
      <c r="K66" s="19">
        <v>26101.279646738454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4"/>
        <v>1</v>
      </c>
      <c r="Z66" s="19">
        <f t="shared" si="5"/>
        <v>0</v>
      </c>
      <c r="AA66" s="19">
        <f t="shared" si="6"/>
        <v>0</v>
      </c>
      <c r="AB66" s="29">
        <f t="shared" si="7"/>
        <v>381.09845204973897</v>
      </c>
      <c r="AC66" s="29">
        <f t="shared" si="8"/>
        <v>0</v>
      </c>
      <c r="AD66" s="29">
        <f t="shared" si="9"/>
        <v>0</v>
      </c>
      <c r="AE66" s="28">
        <v>20</v>
      </c>
      <c r="AF66" s="46">
        <v>355</v>
      </c>
      <c r="AG66" s="28">
        <v>210000</v>
      </c>
      <c r="AH66" s="29">
        <v>1333.8445821740863</v>
      </c>
      <c r="AI66" s="29">
        <v>0</v>
      </c>
      <c r="AJ66" s="30">
        <v>0</v>
      </c>
      <c r="AK66" s="57">
        <f t="shared" si="10"/>
        <v>26.101279646738455</v>
      </c>
      <c r="AL66" s="57">
        <f t="shared" si="11"/>
        <v>1.5</v>
      </c>
      <c r="AM66" s="60"/>
      <c r="AN66" s="57">
        <v>0.19618361957918362</v>
      </c>
      <c r="AO66" s="57"/>
      <c r="AP66" s="57"/>
      <c r="AU66" s="15"/>
      <c r="AV66" s="15"/>
      <c r="AW66" s="16"/>
    </row>
    <row r="67" spans="1:49" ht="21" x14ac:dyDescent="0.35">
      <c r="A67" s="28">
        <v>256</v>
      </c>
      <c r="B67" s="67" t="s">
        <v>157</v>
      </c>
      <c r="C67" s="28">
        <v>300</v>
      </c>
      <c r="D67" s="19">
        <v>300</v>
      </c>
      <c r="E67" s="28">
        <v>400</v>
      </c>
      <c r="F67" s="28">
        <v>24</v>
      </c>
      <c r="G67" s="47">
        <v>24</v>
      </c>
      <c r="H67" s="28">
        <v>13.5</v>
      </c>
      <c r="I67" s="19">
        <v>27</v>
      </c>
      <c r="J67" s="19">
        <v>27</v>
      </c>
      <c r="K67" s="61">
        <v>32626.59955842307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4"/>
        <v>1</v>
      </c>
      <c r="Z67" s="19">
        <f t="shared" si="5"/>
        <v>0</v>
      </c>
      <c r="AA67" s="19">
        <f t="shared" si="6"/>
        <v>0</v>
      </c>
      <c r="AB67" s="29">
        <f t="shared" si="7"/>
        <v>257.32389725409365</v>
      </c>
      <c r="AC67" s="29">
        <f t="shared" si="8"/>
        <v>0</v>
      </c>
      <c r="AD67" s="29">
        <f t="shared" si="9"/>
        <v>0</v>
      </c>
      <c r="AE67" s="28">
        <v>20</v>
      </c>
      <c r="AF67" s="46">
        <v>355</v>
      </c>
      <c r="AG67" s="28">
        <v>210000</v>
      </c>
      <c r="AH67" s="29">
        <v>900.63364038932787</v>
      </c>
      <c r="AI67" s="29">
        <v>0</v>
      </c>
      <c r="AJ67" s="30">
        <v>0</v>
      </c>
      <c r="AK67" s="57">
        <f t="shared" si="10"/>
        <v>32.626599558423067</v>
      </c>
      <c r="AL67" s="57">
        <f t="shared" si="11"/>
        <v>1.5</v>
      </c>
      <c r="AM67" s="60"/>
      <c r="AN67" s="57">
        <v>0.13246638315114781</v>
      </c>
      <c r="AO67" s="57"/>
      <c r="AP67" s="57"/>
      <c r="AU67" s="15"/>
      <c r="AV67" s="15"/>
      <c r="AW67" s="16"/>
    </row>
    <row r="68" spans="1:49" ht="21" x14ac:dyDescent="0.35">
      <c r="A68" s="28">
        <v>257</v>
      </c>
      <c r="B68" s="67" t="s">
        <v>158</v>
      </c>
      <c r="C68" s="28">
        <v>300</v>
      </c>
      <c r="D68" s="19">
        <v>300</v>
      </c>
      <c r="E68" s="28">
        <v>500</v>
      </c>
      <c r="F68" s="28">
        <v>28</v>
      </c>
      <c r="G68" s="47">
        <v>28</v>
      </c>
      <c r="H68" s="28">
        <v>14.5</v>
      </c>
      <c r="I68" s="19">
        <v>27</v>
      </c>
      <c r="J68" s="19">
        <v>27</v>
      </c>
      <c r="K68" s="61">
        <v>4855.3045430321881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4"/>
        <v>1</v>
      </c>
      <c r="Z68" s="19">
        <f t="shared" si="5"/>
        <v>0</v>
      </c>
      <c r="AA68" s="19">
        <f t="shared" si="6"/>
        <v>0</v>
      </c>
      <c r="AB68" s="29">
        <f t="shared" si="7"/>
        <v>2237.1386404840741</v>
      </c>
      <c r="AC68" s="29">
        <f t="shared" si="8"/>
        <v>0</v>
      </c>
      <c r="AD68" s="29">
        <f t="shared" si="9"/>
        <v>0</v>
      </c>
      <c r="AE68" s="28">
        <v>20</v>
      </c>
      <c r="AF68" s="46">
        <v>355</v>
      </c>
      <c r="AG68" s="28">
        <v>210000</v>
      </c>
      <c r="AH68" s="29">
        <v>7829.9852416942595</v>
      </c>
      <c r="AI68" s="29">
        <v>0</v>
      </c>
      <c r="AJ68" s="30">
        <v>0</v>
      </c>
      <c r="AK68" s="57">
        <f t="shared" si="10"/>
        <v>4.8553045430321884</v>
      </c>
      <c r="AL68" s="57">
        <f t="shared" si="11"/>
        <v>1.5</v>
      </c>
      <c r="AM68" s="60"/>
      <c r="AN68" s="57">
        <v>0.94914779479631584</v>
      </c>
      <c r="AO68" s="57"/>
      <c r="AP68" s="57"/>
    </row>
    <row r="69" spans="1:49" ht="21" x14ac:dyDescent="0.35">
      <c r="A69" s="28">
        <v>258</v>
      </c>
      <c r="B69" s="67" t="s">
        <v>159</v>
      </c>
      <c r="C69" s="28">
        <v>300</v>
      </c>
      <c r="D69" s="19">
        <v>300</v>
      </c>
      <c r="E69" s="28">
        <v>500</v>
      </c>
      <c r="F69" s="28">
        <v>28</v>
      </c>
      <c r="G69" s="47">
        <v>28</v>
      </c>
      <c r="H69" s="28">
        <v>14.5</v>
      </c>
      <c r="I69" s="19">
        <v>27</v>
      </c>
      <c r="J69" s="19">
        <v>27</v>
      </c>
      <c r="K69" s="61">
        <v>8092.1742383869805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1986.9274497806041</v>
      </c>
      <c r="AC69" s="29">
        <f t="shared" si="8"/>
        <v>0</v>
      </c>
      <c r="AD69" s="29">
        <f t="shared" si="9"/>
        <v>0</v>
      </c>
      <c r="AE69" s="28">
        <v>20</v>
      </c>
      <c r="AF69" s="46">
        <v>355</v>
      </c>
      <c r="AG69" s="28">
        <v>210000</v>
      </c>
      <c r="AH69" s="29">
        <v>6954.2460742321146</v>
      </c>
      <c r="AI69" s="29">
        <v>0</v>
      </c>
      <c r="AJ69" s="30">
        <v>0</v>
      </c>
      <c r="AK69" s="57">
        <f t="shared" si="10"/>
        <v>8.0921742383869812</v>
      </c>
      <c r="AL69" s="57">
        <f t="shared" si="11"/>
        <v>1.5</v>
      </c>
      <c r="AM69" s="60"/>
      <c r="AN69" s="57">
        <v>0.842991030261521</v>
      </c>
      <c r="AO69" s="57"/>
      <c r="AP69" s="57"/>
    </row>
    <row r="70" spans="1:49" ht="21" x14ac:dyDescent="0.35">
      <c r="A70" s="28">
        <v>259</v>
      </c>
      <c r="B70" s="67" t="s">
        <v>160</v>
      </c>
      <c r="C70" s="28">
        <v>300</v>
      </c>
      <c r="D70" s="19">
        <v>300</v>
      </c>
      <c r="E70" s="28">
        <v>500</v>
      </c>
      <c r="F70" s="28">
        <v>28</v>
      </c>
      <c r="G70" s="47">
        <v>28</v>
      </c>
      <c r="H70" s="28">
        <v>14.5</v>
      </c>
      <c r="I70" s="19">
        <v>27</v>
      </c>
      <c r="J70" s="19">
        <v>27</v>
      </c>
      <c r="K70" s="61">
        <v>12138.261357580472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1634.6627090892252</v>
      </c>
      <c r="AC70" s="29">
        <f t="shared" si="8"/>
        <v>0</v>
      </c>
      <c r="AD70" s="29">
        <f t="shared" si="9"/>
        <v>0</v>
      </c>
      <c r="AE70" s="28">
        <v>20</v>
      </c>
      <c r="AF70" s="46">
        <v>355</v>
      </c>
      <c r="AG70" s="28">
        <v>210000</v>
      </c>
      <c r="AH70" s="29">
        <v>5721.3194818122884</v>
      </c>
      <c r="AI70" s="29">
        <v>0</v>
      </c>
      <c r="AJ70" s="30">
        <v>0</v>
      </c>
      <c r="AK70" s="57">
        <f t="shared" si="10"/>
        <v>12.138261357580472</v>
      </c>
      <c r="AL70" s="57">
        <f t="shared" si="11"/>
        <v>1.5</v>
      </c>
      <c r="AM70" s="60"/>
      <c r="AN70" s="57">
        <v>0.69353614366612826</v>
      </c>
      <c r="AO70" s="57"/>
      <c r="AP70" s="57"/>
    </row>
    <row r="71" spans="1:49" ht="21" x14ac:dyDescent="0.35">
      <c r="A71" s="28">
        <v>260</v>
      </c>
      <c r="B71" s="67" t="s">
        <v>161</v>
      </c>
      <c r="C71" s="28">
        <v>300</v>
      </c>
      <c r="D71" s="19">
        <v>300</v>
      </c>
      <c r="E71" s="28">
        <v>500</v>
      </c>
      <c r="F71" s="28">
        <v>28</v>
      </c>
      <c r="G71" s="47">
        <v>28</v>
      </c>
      <c r="H71" s="28">
        <v>14.5</v>
      </c>
      <c r="I71" s="19">
        <v>27</v>
      </c>
      <c r="J71" s="19">
        <v>27</v>
      </c>
      <c r="K71" s="61">
        <v>16184.348476773961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1272.6347444836572</v>
      </c>
      <c r="AC71" s="29">
        <f t="shared" si="8"/>
        <v>0</v>
      </c>
      <c r="AD71" s="29">
        <f t="shared" si="9"/>
        <v>0</v>
      </c>
      <c r="AE71" s="28">
        <v>20</v>
      </c>
      <c r="AF71" s="46">
        <v>355</v>
      </c>
      <c r="AG71" s="28">
        <v>210000</v>
      </c>
      <c r="AH71" s="29">
        <v>4454.2216056928</v>
      </c>
      <c r="AI71" s="29">
        <v>0</v>
      </c>
      <c r="AJ71" s="30">
        <v>0</v>
      </c>
      <c r="AK71" s="57">
        <f t="shared" si="10"/>
        <v>16.184348476773962</v>
      </c>
      <c r="AL71" s="57">
        <f t="shared" si="11"/>
        <v>1.5</v>
      </c>
      <c r="AM71" s="60"/>
      <c r="AN71" s="57">
        <v>0.53993902722384057</v>
      </c>
      <c r="AO71" s="57"/>
      <c r="AP71" s="57"/>
    </row>
    <row r="72" spans="1:49" ht="21" x14ac:dyDescent="0.35">
      <c r="A72" s="28">
        <v>261</v>
      </c>
      <c r="B72" s="67" t="s">
        <v>162</v>
      </c>
      <c r="C72" s="28">
        <v>300</v>
      </c>
      <c r="D72" s="19">
        <v>300</v>
      </c>
      <c r="E72" s="28">
        <v>500</v>
      </c>
      <c r="F72" s="28">
        <v>28</v>
      </c>
      <c r="G72" s="47">
        <v>28</v>
      </c>
      <c r="H72" s="28">
        <v>14.5</v>
      </c>
      <c r="I72" s="19">
        <v>27</v>
      </c>
      <c r="J72" s="19">
        <v>27</v>
      </c>
      <c r="K72" s="19">
        <v>21525.18347410937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887.15683662742754</v>
      </c>
      <c r="AC72" s="29">
        <f t="shared" si="8"/>
        <v>0</v>
      </c>
      <c r="AD72" s="29">
        <f t="shared" si="9"/>
        <v>0</v>
      </c>
      <c r="AE72" s="28">
        <v>20</v>
      </c>
      <c r="AF72" s="46">
        <v>355</v>
      </c>
      <c r="AG72" s="28">
        <v>210000</v>
      </c>
      <c r="AH72" s="29">
        <v>3105.0489281959963</v>
      </c>
      <c r="AI72" s="29">
        <v>0</v>
      </c>
      <c r="AJ72" s="30">
        <v>0</v>
      </c>
      <c r="AK72" s="57">
        <f t="shared" si="10"/>
        <v>21.525183474109369</v>
      </c>
      <c r="AL72" s="57">
        <f t="shared" si="11"/>
        <v>1.5</v>
      </c>
      <c r="AM72" s="60"/>
      <c r="AN72" s="57">
        <v>0.37639283497476766</v>
      </c>
      <c r="AO72" s="57"/>
      <c r="AP72" s="57"/>
    </row>
    <row r="73" spans="1:49" ht="21" x14ac:dyDescent="0.35">
      <c r="A73" s="28">
        <v>262</v>
      </c>
      <c r="B73" s="67" t="s">
        <v>163</v>
      </c>
      <c r="C73" s="28">
        <v>300</v>
      </c>
      <c r="D73" s="19">
        <v>300</v>
      </c>
      <c r="E73" s="28">
        <v>500</v>
      </c>
      <c r="F73" s="28">
        <v>28</v>
      </c>
      <c r="G73" s="47">
        <v>28</v>
      </c>
      <c r="H73" s="28">
        <v>14.5</v>
      </c>
      <c r="I73" s="19">
        <v>27</v>
      </c>
      <c r="J73" s="19">
        <v>27</v>
      </c>
      <c r="K73" s="61">
        <v>27027.861956212513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625.31400958612596</v>
      </c>
      <c r="AC73" s="29">
        <f t="shared" si="8"/>
        <v>0</v>
      </c>
      <c r="AD73" s="29">
        <f t="shared" si="9"/>
        <v>0</v>
      </c>
      <c r="AE73" s="28">
        <v>20</v>
      </c>
      <c r="AF73" s="46">
        <v>355</v>
      </c>
      <c r="AG73" s="28">
        <v>210000</v>
      </c>
      <c r="AH73" s="29">
        <v>2188.5990335514407</v>
      </c>
      <c r="AI73" s="29">
        <v>0</v>
      </c>
      <c r="AJ73" s="30">
        <v>0</v>
      </c>
      <c r="AK73" s="57">
        <f t="shared" si="10"/>
        <v>27.027861956212512</v>
      </c>
      <c r="AL73" s="57">
        <f t="shared" si="11"/>
        <v>1.5</v>
      </c>
      <c r="AM73" s="60"/>
      <c r="AN73" s="57">
        <v>0.26530113177316905</v>
      </c>
      <c r="AO73" s="57"/>
      <c r="AP73" s="57"/>
    </row>
    <row r="74" spans="1:49" ht="21" x14ac:dyDescent="0.35">
      <c r="A74" s="28">
        <v>263</v>
      </c>
      <c r="B74" s="67" t="s">
        <v>164</v>
      </c>
      <c r="C74" s="28">
        <v>300</v>
      </c>
      <c r="D74" s="19">
        <v>300</v>
      </c>
      <c r="E74" s="28">
        <v>500</v>
      </c>
      <c r="F74" s="28">
        <v>28</v>
      </c>
      <c r="G74" s="47">
        <v>28</v>
      </c>
      <c r="H74" s="28">
        <v>14.5</v>
      </c>
      <c r="I74" s="19">
        <v>27</v>
      </c>
      <c r="J74" s="19">
        <v>27</v>
      </c>
      <c r="K74" s="19">
        <v>32368.696953547922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462.40423082350839</v>
      </c>
      <c r="AC74" s="29">
        <f t="shared" si="8"/>
        <v>0</v>
      </c>
      <c r="AD74" s="29">
        <f t="shared" si="9"/>
        <v>0</v>
      </c>
      <c r="AE74" s="28">
        <v>20</v>
      </c>
      <c r="AF74" s="46">
        <v>355</v>
      </c>
      <c r="AG74" s="28">
        <v>210000</v>
      </c>
      <c r="AH74" s="29">
        <v>1618.4148078822793</v>
      </c>
      <c r="AI74" s="29">
        <v>0</v>
      </c>
      <c r="AJ74" s="30">
        <v>0</v>
      </c>
      <c r="AK74" s="57">
        <f t="shared" si="10"/>
        <v>32.368696953547925</v>
      </c>
      <c r="AL74" s="57">
        <f t="shared" si="11"/>
        <v>1.5</v>
      </c>
      <c r="AM74" s="60"/>
      <c r="AN74" s="57">
        <v>0.19618361957918362</v>
      </c>
      <c r="AO74" s="57"/>
      <c r="AP74" s="57"/>
    </row>
    <row r="75" spans="1:49" ht="21" x14ac:dyDescent="0.35">
      <c r="A75" s="28">
        <v>264</v>
      </c>
      <c r="B75" s="67" t="s">
        <v>165</v>
      </c>
      <c r="C75" s="28">
        <v>300</v>
      </c>
      <c r="D75" s="19">
        <v>300</v>
      </c>
      <c r="E75" s="28">
        <v>500</v>
      </c>
      <c r="F75" s="28">
        <v>28</v>
      </c>
      <c r="G75" s="47">
        <v>28</v>
      </c>
      <c r="H75" s="28">
        <v>14.5</v>
      </c>
      <c r="I75" s="19">
        <v>27</v>
      </c>
      <c r="J75" s="19">
        <v>27</v>
      </c>
      <c r="K75" s="61">
        <v>40460.871191934901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312.22288661187491</v>
      </c>
      <c r="AC75" s="29">
        <f t="shared" si="8"/>
        <v>0</v>
      </c>
      <c r="AD75" s="29">
        <f t="shared" si="9"/>
        <v>0</v>
      </c>
      <c r="AE75" s="28">
        <v>20</v>
      </c>
      <c r="AF75" s="46">
        <v>355</v>
      </c>
      <c r="AG75" s="28">
        <v>210000</v>
      </c>
      <c r="AH75" s="29">
        <v>1092.7801031415622</v>
      </c>
      <c r="AI75" s="29">
        <v>0</v>
      </c>
      <c r="AJ75" s="30">
        <v>0</v>
      </c>
      <c r="AK75" s="57">
        <f t="shared" si="10"/>
        <v>40.460871191934899</v>
      </c>
      <c r="AL75" s="57">
        <f t="shared" si="11"/>
        <v>1.5</v>
      </c>
      <c r="AM75" s="60"/>
      <c r="AN75" s="57">
        <v>0.13246638315114781</v>
      </c>
      <c r="AO75" s="57"/>
      <c r="AP75" s="57"/>
    </row>
    <row r="76" spans="1:49" ht="21" x14ac:dyDescent="0.35">
      <c r="A76" s="28">
        <v>265</v>
      </c>
      <c r="B76" s="67" t="s">
        <v>166</v>
      </c>
      <c r="C76" s="28">
        <v>300</v>
      </c>
      <c r="D76" s="19">
        <v>300</v>
      </c>
      <c r="E76" s="28">
        <v>600</v>
      </c>
      <c r="F76" s="28">
        <v>30</v>
      </c>
      <c r="G76" s="47">
        <v>30</v>
      </c>
      <c r="H76" s="28">
        <v>15.5</v>
      </c>
      <c r="I76" s="19">
        <v>27</v>
      </c>
      <c r="J76" s="19">
        <v>27</v>
      </c>
      <c r="K76" s="19">
        <v>5763.0462741378396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2538.6584882332832</v>
      </c>
      <c r="AC76" s="29">
        <f t="shared" si="8"/>
        <v>0</v>
      </c>
      <c r="AD76" s="29">
        <f t="shared" si="9"/>
        <v>0</v>
      </c>
      <c r="AE76" s="28">
        <v>20</v>
      </c>
      <c r="AF76" s="46">
        <v>355</v>
      </c>
      <c r="AG76" s="28">
        <v>210000</v>
      </c>
      <c r="AH76" s="29">
        <v>8885.3047088164913</v>
      </c>
      <c r="AI76" s="29">
        <v>0</v>
      </c>
      <c r="AJ76" s="30">
        <v>0</v>
      </c>
      <c r="AK76" s="57">
        <f t="shared" si="10"/>
        <v>5.7630462741378397</v>
      </c>
      <c r="AL76" s="57">
        <f t="shared" si="11"/>
        <v>1.5</v>
      </c>
      <c r="AM76" s="60"/>
      <c r="AN76" s="57">
        <v>0.94914779479631584</v>
      </c>
      <c r="AO76" s="57"/>
      <c r="AP76" s="57"/>
    </row>
    <row r="77" spans="1:49" ht="21" x14ac:dyDescent="0.35">
      <c r="A77" s="28">
        <v>266</v>
      </c>
      <c r="B77" s="67" t="s">
        <v>167</v>
      </c>
      <c r="C77" s="28">
        <v>300</v>
      </c>
      <c r="D77" s="19">
        <v>300</v>
      </c>
      <c r="E77" s="28">
        <v>600</v>
      </c>
      <c r="F77" s="28">
        <v>30</v>
      </c>
      <c r="G77" s="47">
        <v>30</v>
      </c>
      <c r="H77" s="28">
        <v>15.5</v>
      </c>
      <c r="I77" s="19">
        <v>27</v>
      </c>
      <c r="J77" s="19">
        <v>27</v>
      </c>
      <c r="K77" s="19">
        <v>9605.0771235630673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2254.7240231824821</v>
      </c>
      <c r="AC77" s="29">
        <f t="shared" si="8"/>
        <v>0</v>
      </c>
      <c r="AD77" s="29">
        <f t="shared" si="9"/>
        <v>0</v>
      </c>
      <c r="AE77" s="28">
        <v>20</v>
      </c>
      <c r="AF77" s="46">
        <v>355</v>
      </c>
      <c r="AG77" s="28">
        <v>210000</v>
      </c>
      <c r="AH77" s="29">
        <v>7891.5340811386877</v>
      </c>
      <c r="AI77" s="29">
        <v>0</v>
      </c>
      <c r="AJ77" s="30">
        <v>0</v>
      </c>
      <c r="AK77" s="57">
        <f t="shared" si="10"/>
        <v>9.605077123563067</v>
      </c>
      <c r="AL77" s="57">
        <f t="shared" si="11"/>
        <v>1.5</v>
      </c>
      <c r="AM77" s="60"/>
      <c r="AN77" s="57">
        <v>0.84299103026152089</v>
      </c>
      <c r="AO77" s="57"/>
      <c r="AP77" s="57"/>
    </row>
    <row r="78" spans="1:49" ht="21" x14ac:dyDescent="0.35">
      <c r="A78" s="28">
        <v>267</v>
      </c>
      <c r="B78" s="67" t="s">
        <v>168</v>
      </c>
      <c r="C78" s="28">
        <v>300</v>
      </c>
      <c r="D78" s="19">
        <v>300</v>
      </c>
      <c r="E78" s="28">
        <v>600</v>
      </c>
      <c r="F78" s="28">
        <v>30</v>
      </c>
      <c r="G78" s="47">
        <v>30</v>
      </c>
      <c r="H78" s="28">
        <v>15.5</v>
      </c>
      <c r="I78" s="19">
        <v>27</v>
      </c>
      <c r="J78" s="19">
        <v>27</v>
      </c>
      <c r="K78" s="19">
        <v>14407.615685344599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1854.9813081454029</v>
      </c>
      <c r="AC78" s="29">
        <f t="shared" si="8"/>
        <v>0</v>
      </c>
      <c r="AD78" s="29">
        <f t="shared" si="9"/>
        <v>0</v>
      </c>
      <c r="AE78" s="28">
        <v>20</v>
      </c>
      <c r="AF78" s="46">
        <v>355</v>
      </c>
      <c r="AG78" s="28">
        <v>210000</v>
      </c>
      <c r="AH78" s="29">
        <v>6492.4345785089099</v>
      </c>
      <c r="AI78" s="29">
        <v>0</v>
      </c>
      <c r="AJ78" s="30">
        <v>0</v>
      </c>
      <c r="AK78" s="57">
        <f t="shared" si="10"/>
        <v>14.407615685344599</v>
      </c>
      <c r="AL78" s="57">
        <f t="shared" si="11"/>
        <v>1.5</v>
      </c>
      <c r="AM78" s="60"/>
      <c r="AN78" s="57">
        <v>0.69353614366612826</v>
      </c>
      <c r="AO78" s="57"/>
      <c r="AP78" s="57"/>
    </row>
    <row r="79" spans="1:49" ht="21" x14ac:dyDescent="0.35">
      <c r="A79" s="28">
        <v>268</v>
      </c>
      <c r="B79" s="67" t="s">
        <v>169</v>
      </c>
      <c r="C79" s="28">
        <v>300</v>
      </c>
      <c r="D79" s="19">
        <v>300</v>
      </c>
      <c r="E79" s="28">
        <v>600</v>
      </c>
      <c r="F79" s="28">
        <v>30</v>
      </c>
      <c r="G79" s="47">
        <v>30</v>
      </c>
      <c r="H79" s="28">
        <v>15.5</v>
      </c>
      <c r="I79" s="19">
        <v>27</v>
      </c>
      <c r="J79" s="19">
        <v>27</v>
      </c>
      <c r="K79" s="19">
        <v>19210.154247126135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1444.159489286257</v>
      </c>
      <c r="AC79" s="29">
        <f t="shared" si="8"/>
        <v>0</v>
      </c>
      <c r="AD79" s="29">
        <f t="shared" si="9"/>
        <v>0</v>
      </c>
      <c r="AE79" s="28">
        <v>20</v>
      </c>
      <c r="AF79" s="46">
        <v>355</v>
      </c>
      <c r="AG79" s="28">
        <v>210000</v>
      </c>
      <c r="AH79" s="29">
        <v>5054.5582125018991</v>
      </c>
      <c r="AI79" s="29">
        <v>0</v>
      </c>
      <c r="AJ79" s="30">
        <v>0</v>
      </c>
      <c r="AK79" s="57">
        <f t="shared" si="10"/>
        <v>19.210154247126134</v>
      </c>
      <c r="AL79" s="57">
        <f t="shared" si="11"/>
        <v>1.5</v>
      </c>
      <c r="AM79" s="60"/>
      <c r="AN79" s="57">
        <v>0.53993902722384046</v>
      </c>
      <c r="AO79" s="57"/>
      <c r="AP79" s="57"/>
    </row>
    <row r="80" spans="1:49" ht="21" x14ac:dyDescent="0.35">
      <c r="A80" s="28">
        <v>269</v>
      </c>
      <c r="B80" s="67" t="s">
        <v>170</v>
      </c>
      <c r="C80" s="28">
        <v>300</v>
      </c>
      <c r="D80" s="19">
        <v>300</v>
      </c>
      <c r="E80" s="28">
        <v>600</v>
      </c>
      <c r="F80" s="28">
        <v>30</v>
      </c>
      <c r="G80" s="47">
        <v>30</v>
      </c>
      <c r="H80" s="28">
        <v>15.5</v>
      </c>
      <c r="I80" s="19">
        <v>27</v>
      </c>
      <c r="J80" s="19">
        <v>27</v>
      </c>
      <c r="K80" s="19">
        <v>25549.505148677759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1006.7271616260115</v>
      </c>
      <c r="AC80" s="29">
        <f t="shared" si="8"/>
        <v>0</v>
      </c>
      <c r="AD80" s="29">
        <f t="shared" si="9"/>
        <v>0</v>
      </c>
      <c r="AE80" s="28">
        <v>20</v>
      </c>
      <c r="AF80" s="46">
        <v>355</v>
      </c>
      <c r="AG80" s="28">
        <v>210000</v>
      </c>
      <c r="AH80" s="29">
        <v>3523.5450656910402</v>
      </c>
      <c r="AI80" s="29">
        <v>0</v>
      </c>
      <c r="AJ80" s="30">
        <v>0</v>
      </c>
      <c r="AK80" s="57">
        <f t="shared" si="10"/>
        <v>25.54950514867776</v>
      </c>
      <c r="AL80" s="57">
        <f t="shared" si="11"/>
        <v>1.5</v>
      </c>
      <c r="AM80" s="60"/>
      <c r="AN80" s="57">
        <v>0.37639283497476755</v>
      </c>
      <c r="AO80" s="57"/>
      <c r="AP80" s="57"/>
    </row>
    <row r="81" spans="1:42" ht="21" x14ac:dyDescent="0.35">
      <c r="A81" s="28">
        <v>270</v>
      </c>
      <c r="B81" s="67" t="s">
        <v>171</v>
      </c>
      <c r="C81" s="28">
        <v>300</v>
      </c>
      <c r="D81" s="19">
        <v>300</v>
      </c>
      <c r="E81" s="28">
        <v>600</v>
      </c>
      <c r="F81" s="28">
        <v>30</v>
      </c>
      <c r="G81" s="47">
        <v>30</v>
      </c>
      <c r="H81" s="28">
        <v>15.5</v>
      </c>
      <c r="I81" s="19">
        <v>27</v>
      </c>
      <c r="J81" s="19">
        <v>27</v>
      </c>
      <c r="K81" s="19">
        <v>32080.957592700641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709.59335712135885</v>
      </c>
      <c r="AC81" s="29">
        <f t="shared" si="8"/>
        <v>0</v>
      </c>
      <c r="AD81" s="29">
        <f t="shared" si="9"/>
        <v>0</v>
      </c>
      <c r="AE81" s="28">
        <v>20</v>
      </c>
      <c r="AF81" s="46">
        <v>355</v>
      </c>
      <c r="AG81" s="28">
        <v>210000</v>
      </c>
      <c r="AH81" s="29">
        <v>2483.5767499247559</v>
      </c>
      <c r="AI81" s="29">
        <v>0</v>
      </c>
      <c r="AJ81" s="30">
        <v>0</v>
      </c>
      <c r="AK81" s="57">
        <f t="shared" si="10"/>
        <v>32.080957592700642</v>
      </c>
      <c r="AL81" s="57">
        <f t="shared" si="11"/>
        <v>1.5</v>
      </c>
      <c r="AM81" s="60"/>
      <c r="AN81" s="57">
        <v>0.265301131773169</v>
      </c>
      <c r="AO81" s="57"/>
      <c r="AP81" s="57"/>
    </row>
    <row r="82" spans="1:42" ht="21" x14ac:dyDescent="0.35">
      <c r="A82" s="28">
        <v>271</v>
      </c>
      <c r="B82" s="67" t="s">
        <v>172</v>
      </c>
      <c r="C82" s="28">
        <v>300</v>
      </c>
      <c r="D82" s="19">
        <v>300</v>
      </c>
      <c r="E82" s="28">
        <v>600</v>
      </c>
      <c r="F82" s="28">
        <v>30</v>
      </c>
      <c r="G82" s="47">
        <v>30</v>
      </c>
      <c r="H82" s="28">
        <v>15.5</v>
      </c>
      <c r="I82" s="19">
        <v>27</v>
      </c>
      <c r="J82" s="19">
        <v>27</v>
      </c>
      <c r="K82" s="19">
        <v>38420.308494252269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524.72672204216849</v>
      </c>
      <c r="AC82" s="29">
        <f t="shared" si="8"/>
        <v>0</v>
      </c>
      <c r="AD82" s="29">
        <f t="shared" si="9"/>
        <v>0</v>
      </c>
      <c r="AE82" s="28">
        <v>20</v>
      </c>
      <c r="AF82" s="46">
        <v>355</v>
      </c>
      <c r="AG82" s="28">
        <v>210000</v>
      </c>
      <c r="AH82" s="29">
        <v>1836.5435271475897</v>
      </c>
      <c r="AI82" s="29">
        <v>0</v>
      </c>
      <c r="AJ82" s="30">
        <v>0</v>
      </c>
      <c r="AK82" s="57">
        <f t="shared" si="10"/>
        <v>38.420308494252268</v>
      </c>
      <c r="AL82" s="57">
        <f t="shared" si="11"/>
        <v>1.5</v>
      </c>
      <c r="AM82" s="60"/>
      <c r="AN82" s="57">
        <v>0.19618361957918354</v>
      </c>
      <c r="AO82" s="57"/>
      <c r="AP82" s="57"/>
    </row>
    <row r="83" spans="1:42" ht="21" x14ac:dyDescent="0.35">
      <c r="A83" s="28">
        <v>272</v>
      </c>
      <c r="B83" s="67" t="s">
        <v>173</v>
      </c>
      <c r="C83" s="28">
        <v>300</v>
      </c>
      <c r="D83" s="19">
        <v>300</v>
      </c>
      <c r="E83" s="28">
        <v>600</v>
      </c>
      <c r="F83" s="28">
        <v>30</v>
      </c>
      <c r="G83" s="47">
        <v>30</v>
      </c>
      <c r="H83" s="28">
        <v>15.5</v>
      </c>
      <c r="I83" s="19">
        <v>27</v>
      </c>
      <c r="J83" s="19">
        <v>27</v>
      </c>
      <c r="K83" s="19">
        <v>48025.385617815329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354.3040502605707</v>
      </c>
      <c r="AC83" s="29">
        <f t="shared" si="8"/>
        <v>0</v>
      </c>
      <c r="AD83" s="29">
        <f t="shared" si="9"/>
        <v>0</v>
      </c>
      <c r="AE83" s="28">
        <v>20</v>
      </c>
      <c r="AF83" s="46">
        <v>355</v>
      </c>
      <c r="AG83" s="28">
        <v>210000</v>
      </c>
      <c r="AH83" s="29">
        <v>1240.0641759119974</v>
      </c>
      <c r="AI83" s="29">
        <v>0</v>
      </c>
      <c r="AJ83" s="30">
        <v>0</v>
      </c>
      <c r="AK83" s="57">
        <f t="shared" si="10"/>
        <v>48.025385617815331</v>
      </c>
      <c r="AL83" s="57">
        <f t="shared" si="11"/>
        <v>1.5</v>
      </c>
      <c r="AM83" s="60"/>
      <c r="AN83" s="57">
        <v>0.13246638315114781</v>
      </c>
      <c r="AO83" s="57"/>
      <c r="AP83" s="57"/>
    </row>
    <row r="84" spans="1:42" ht="21" x14ac:dyDescent="0.35">
      <c r="A84" s="28">
        <v>273</v>
      </c>
      <c r="B84" s="67" t="s">
        <v>174</v>
      </c>
      <c r="C84" s="28">
        <v>300</v>
      </c>
      <c r="D84" s="19">
        <v>300</v>
      </c>
      <c r="E84" s="28">
        <v>700</v>
      </c>
      <c r="F84" s="28">
        <v>32</v>
      </c>
      <c r="G84" s="47">
        <v>32</v>
      </c>
      <c r="H84" s="28">
        <v>17</v>
      </c>
      <c r="I84" s="19">
        <v>27</v>
      </c>
      <c r="J84" s="19">
        <v>27</v>
      </c>
      <c r="K84" s="19">
        <v>6626.4331564496615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3105.4393116605811</v>
      </c>
      <c r="AC84" s="29">
        <f t="shared" si="8"/>
        <v>0</v>
      </c>
      <c r="AD84" s="29">
        <f t="shared" si="9"/>
        <v>0</v>
      </c>
      <c r="AE84" s="28">
        <v>20</v>
      </c>
      <c r="AF84" s="46">
        <v>355</v>
      </c>
      <c r="AG84" s="28">
        <v>210000</v>
      </c>
      <c r="AH84" s="29">
        <v>10869.037590812033</v>
      </c>
      <c r="AI84" s="29">
        <v>0</v>
      </c>
      <c r="AJ84" s="30">
        <v>0</v>
      </c>
      <c r="AK84" s="57">
        <f t="shared" si="10"/>
        <v>6.6264331564496617</v>
      </c>
      <c r="AL84" s="57">
        <f t="shared" si="11"/>
        <v>1.5</v>
      </c>
      <c r="AM84" s="60"/>
      <c r="AN84" s="57">
        <v>1.0201588463968434</v>
      </c>
      <c r="AO84" s="57"/>
      <c r="AP84" s="57"/>
    </row>
    <row r="85" spans="1:42" ht="21" x14ac:dyDescent="0.35">
      <c r="A85" s="28">
        <v>274</v>
      </c>
      <c r="B85" s="67" t="s">
        <v>175</v>
      </c>
      <c r="C85" s="28">
        <v>300</v>
      </c>
      <c r="D85" s="19">
        <v>300</v>
      </c>
      <c r="E85" s="28">
        <v>700</v>
      </c>
      <c r="F85" s="28">
        <v>32</v>
      </c>
      <c r="G85" s="47">
        <v>32</v>
      </c>
      <c r="H85" s="28">
        <v>17</v>
      </c>
      <c r="I85" s="19">
        <v>27</v>
      </c>
      <c r="J85" s="19">
        <v>27</v>
      </c>
      <c r="K85" s="19">
        <v>11044.055260749436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2939.0222148719727</v>
      </c>
      <c r="AC85" s="29">
        <f t="shared" si="8"/>
        <v>0</v>
      </c>
      <c r="AD85" s="29">
        <f t="shared" si="9"/>
        <v>0</v>
      </c>
      <c r="AE85" s="28">
        <v>20</v>
      </c>
      <c r="AF85" s="46">
        <v>355</v>
      </c>
      <c r="AG85" s="28">
        <v>210000</v>
      </c>
      <c r="AH85" s="29">
        <v>10286.577752051904</v>
      </c>
      <c r="AI85" s="29">
        <v>0</v>
      </c>
      <c r="AJ85" s="30">
        <v>0</v>
      </c>
      <c r="AK85" s="57">
        <f t="shared" si="10"/>
        <v>11.044055260749435</v>
      </c>
      <c r="AL85" s="57">
        <f t="shared" si="11"/>
        <v>1.5</v>
      </c>
      <c r="AM85" s="60"/>
      <c r="AN85" s="57">
        <v>0.96548964940332838</v>
      </c>
      <c r="AO85" s="57"/>
      <c r="AP85" s="57"/>
    </row>
    <row r="86" spans="1:42" ht="21" x14ac:dyDescent="0.35">
      <c r="A86" s="28">
        <v>275</v>
      </c>
      <c r="B86" s="67" t="s">
        <v>176</v>
      </c>
      <c r="C86" s="28">
        <v>300</v>
      </c>
      <c r="D86" s="19">
        <v>300</v>
      </c>
      <c r="E86" s="28">
        <v>700</v>
      </c>
      <c r="F86" s="28">
        <v>32</v>
      </c>
      <c r="G86" s="47">
        <v>32</v>
      </c>
      <c r="H86" s="28">
        <v>17</v>
      </c>
      <c r="I86" s="19">
        <v>27</v>
      </c>
      <c r="J86" s="19">
        <v>27</v>
      </c>
      <c r="K86" s="19">
        <v>16566.082891124155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2728.5504653573526</v>
      </c>
      <c r="AC86" s="29">
        <f t="shared" si="8"/>
        <v>0</v>
      </c>
      <c r="AD86" s="29">
        <f t="shared" si="9"/>
        <v>0</v>
      </c>
      <c r="AE86" s="28">
        <v>20</v>
      </c>
      <c r="AF86" s="46">
        <v>355</v>
      </c>
      <c r="AG86" s="28">
        <v>210000</v>
      </c>
      <c r="AH86" s="29">
        <v>9549.9266287507344</v>
      </c>
      <c r="AI86" s="29">
        <v>0</v>
      </c>
      <c r="AJ86" s="30">
        <v>0</v>
      </c>
      <c r="AK86" s="57">
        <f t="shared" si="10"/>
        <v>16.566082891124154</v>
      </c>
      <c r="AL86" s="57">
        <f t="shared" si="11"/>
        <v>1.5</v>
      </c>
      <c r="AM86" s="60"/>
      <c r="AN86" s="57">
        <v>0.89634818642972236</v>
      </c>
      <c r="AO86" s="57"/>
      <c r="AP86" s="57"/>
    </row>
    <row r="87" spans="1:42" ht="21" x14ac:dyDescent="0.35">
      <c r="A87" s="28">
        <v>276</v>
      </c>
      <c r="B87" s="67" t="s">
        <v>177</v>
      </c>
      <c r="C87" s="28">
        <v>300</v>
      </c>
      <c r="D87" s="19">
        <v>300</v>
      </c>
      <c r="E87" s="28">
        <v>700</v>
      </c>
      <c r="F87" s="28">
        <v>32</v>
      </c>
      <c r="G87" s="47">
        <v>32</v>
      </c>
      <c r="H87" s="28">
        <v>17</v>
      </c>
      <c r="I87" s="19">
        <v>27</v>
      </c>
      <c r="J87" s="19">
        <v>27</v>
      </c>
      <c r="K87" s="19">
        <v>22088.110521498871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2504.5616011805828</v>
      </c>
      <c r="AC87" s="29">
        <f t="shared" si="8"/>
        <v>0</v>
      </c>
      <c r="AD87" s="29">
        <f t="shared" si="9"/>
        <v>0</v>
      </c>
      <c r="AE87" s="28">
        <v>20</v>
      </c>
      <c r="AF87" s="46">
        <v>355</v>
      </c>
      <c r="AG87" s="28">
        <v>210000</v>
      </c>
      <c r="AH87" s="29">
        <v>8765.9656041320395</v>
      </c>
      <c r="AI87" s="29">
        <v>0</v>
      </c>
      <c r="AJ87" s="30">
        <v>0</v>
      </c>
      <c r="AK87" s="57">
        <f t="shared" si="10"/>
        <v>22.088110521498869</v>
      </c>
      <c r="AL87" s="57">
        <f t="shared" si="11"/>
        <v>1.5</v>
      </c>
      <c r="AM87" s="60"/>
      <c r="AN87" s="57">
        <v>0.82276625538817716</v>
      </c>
      <c r="AO87" s="57"/>
      <c r="AP87" s="57"/>
    </row>
    <row r="88" spans="1:42" ht="21" x14ac:dyDescent="0.35">
      <c r="A88" s="28">
        <v>277</v>
      </c>
      <c r="B88" s="67" t="s">
        <v>178</v>
      </c>
      <c r="C88" s="28">
        <v>300</v>
      </c>
      <c r="D88" s="19">
        <v>300</v>
      </c>
      <c r="E88" s="28">
        <v>700</v>
      </c>
      <c r="F88" s="28">
        <v>32</v>
      </c>
      <c r="G88" s="47">
        <v>32</v>
      </c>
      <c r="H88" s="28">
        <v>17</v>
      </c>
      <c r="I88" s="19">
        <v>27</v>
      </c>
      <c r="J88" s="19">
        <v>27</v>
      </c>
      <c r="K88" s="19">
        <v>29377.186993593503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2182.2307051556245</v>
      </c>
      <c r="AC88" s="29">
        <f t="shared" si="8"/>
        <v>0</v>
      </c>
      <c r="AD88" s="29">
        <f t="shared" si="9"/>
        <v>0</v>
      </c>
      <c r="AE88" s="28">
        <v>20</v>
      </c>
      <c r="AF88" s="46">
        <v>355</v>
      </c>
      <c r="AG88" s="28">
        <v>210000</v>
      </c>
      <c r="AH88" s="29">
        <v>7637.8074680446853</v>
      </c>
      <c r="AI88" s="29">
        <v>0</v>
      </c>
      <c r="AJ88" s="30">
        <v>0</v>
      </c>
      <c r="AK88" s="57">
        <f t="shared" si="10"/>
        <v>29.377186993593504</v>
      </c>
      <c r="AL88" s="57">
        <f t="shared" si="11"/>
        <v>1.5</v>
      </c>
      <c r="AM88" s="60"/>
      <c r="AN88" s="57">
        <v>0.71687826916601294</v>
      </c>
      <c r="AO88" s="57"/>
      <c r="AP88" s="57"/>
    </row>
    <row r="89" spans="1:42" ht="21" x14ac:dyDescent="0.35">
      <c r="A89" s="28">
        <v>278</v>
      </c>
      <c r="B89" s="67" t="s">
        <v>179</v>
      </c>
      <c r="C89" s="28">
        <v>300</v>
      </c>
      <c r="D89" s="19">
        <v>300</v>
      </c>
      <c r="E89" s="28">
        <v>700</v>
      </c>
      <c r="F89" s="28">
        <v>32</v>
      </c>
      <c r="G89" s="47">
        <v>32</v>
      </c>
      <c r="H89" s="28">
        <v>17</v>
      </c>
      <c r="I89" s="19">
        <v>27</v>
      </c>
      <c r="J89" s="19">
        <v>27</v>
      </c>
      <c r="K89" s="19">
        <v>36887.14457090311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1835.7420577438875</v>
      </c>
      <c r="AC89" s="29">
        <f t="shared" si="8"/>
        <v>0</v>
      </c>
      <c r="AD89" s="29">
        <f t="shared" si="9"/>
        <v>0</v>
      </c>
      <c r="AE89" s="28">
        <v>20</v>
      </c>
      <c r="AF89" s="46">
        <v>355</v>
      </c>
      <c r="AG89" s="28">
        <v>210000</v>
      </c>
      <c r="AH89" s="29">
        <v>6425.0972021036059</v>
      </c>
      <c r="AI89" s="29">
        <v>0</v>
      </c>
      <c r="AJ89" s="30">
        <v>0</v>
      </c>
      <c r="AK89" s="57">
        <f t="shared" si="10"/>
        <v>36.887144570903111</v>
      </c>
      <c r="AL89" s="57">
        <f t="shared" si="11"/>
        <v>1.5</v>
      </c>
      <c r="AM89" s="60"/>
      <c r="AN89" s="57">
        <v>0.60305429021852341</v>
      </c>
      <c r="AO89" s="57"/>
      <c r="AP89" s="57"/>
    </row>
    <row r="90" spans="1:42" ht="21" x14ac:dyDescent="0.35">
      <c r="A90" s="28">
        <v>279</v>
      </c>
      <c r="B90" s="67" t="s">
        <v>180</v>
      </c>
      <c r="C90" s="28">
        <v>300</v>
      </c>
      <c r="D90" s="19">
        <v>300</v>
      </c>
      <c r="E90" s="28">
        <v>700</v>
      </c>
      <c r="F90" s="28">
        <v>32</v>
      </c>
      <c r="G90" s="47">
        <v>32</v>
      </c>
      <c r="H90" s="28">
        <v>17</v>
      </c>
      <c r="I90" s="19">
        <v>27</v>
      </c>
      <c r="J90" s="19">
        <v>27</v>
      </c>
      <c r="K90" s="19">
        <v>44176.221042997742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1520.7588774237888</v>
      </c>
      <c r="AC90" s="29">
        <f t="shared" si="8"/>
        <v>0</v>
      </c>
      <c r="AD90" s="29">
        <f t="shared" si="9"/>
        <v>0</v>
      </c>
      <c r="AE90" s="28">
        <v>20</v>
      </c>
      <c r="AF90" s="46">
        <v>355</v>
      </c>
      <c r="AG90" s="28">
        <v>210000</v>
      </c>
      <c r="AH90" s="29">
        <v>5322.6560709832611</v>
      </c>
      <c r="AI90" s="29">
        <v>0</v>
      </c>
      <c r="AJ90" s="30">
        <v>0</v>
      </c>
      <c r="AK90" s="57">
        <f t="shared" si="10"/>
        <v>44.176221042997739</v>
      </c>
      <c r="AL90" s="57">
        <f t="shared" si="11"/>
        <v>1.5</v>
      </c>
      <c r="AM90" s="60"/>
      <c r="AN90" s="57">
        <v>0.49958008073608684</v>
      </c>
      <c r="AO90" s="57"/>
      <c r="AP90" s="57"/>
    </row>
    <row r="91" spans="1:42" ht="21" x14ac:dyDescent="0.35">
      <c r="A91" s="28">
        <v>280</v>
      </c>
      <c r="B91" s="67" t="s">
        <v>181</v>
      </c>
      <c r="C91" s="28">
        <v>300</v>
      </c>
      <c r="D91" s="19">
        <v>300</v>
      </c>
      <c r="E91" s="28">
        <v>700</v>
      </c>
      <c r="F91" s="28">
        <v>32</v>
      </c>
      <c r="G91" s="47">
        <v>32</v>
      </c>
      <c r="H91" s="28">
        <v>17</v>
      </c>
      <c r="I91" s="19">
        <v>27</v>
      </c>
      <c r="J91" s="19">
        <v>27</v>
      </c>
      <c r="K91" s="19">
        <v>55220.276303747181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1134.1395971997256</v>
      </c>
      <c r="AC91" s="29">
        <f t="shared" si="8"/>
        <v>0</v>
      </c>
      <c r="AD91" s="29">
        <f t="shared" si="9"/>
        <v>0</v>
      </c>
      <c r="AE91" s="28">
        <v>20</v>
      </c>
      <c r="AF91" s="46">
        <v>355</v>
      </c>
      <c r="AG91" s="28">
        <v>210000</v>
      </c>
      <c r="AH91" s="29">
        <v>3969.4885901990392</v>
      </c>
      <c r="AI91" s="29">
        <v>0</v>
      </c>
      <c r="AJ91" s="30">
        <v>0</v>
      </c>
      <c r="AK91" s="57">
        <f t="shared" si="10"/>
        <v>55.220276303747184</v>
      </c>
      <c r="AL91" s="57">
        <f t="shared" si="11"/>
        <v>1.5</v>
      </c>
      <c r="AM91" s="60"/>
      <c r="AN91" s="57">
        <v>0.37257290419034633</v>
      </c>
      <c r="AO91" s="57"/>
      <c r="AP91" s="57"/>
    </row>
    <row r="92" spans="1:42" ht="21" x14ac:dyDescent="0.35">
      <c r="A92" s="28">
        <v>281</v>
      </c>
      <c r="B92" s="67" t="s">
        <v>182</v>
      </c>
      <c r="C92" s="28">
        <v>300</v>
      </c>
      <c r="D92" s="19">
        <v>300</v>
      </c>
      <c r="E92" s="28">
        <v>900</v>
      </c>
      <c r="F92" s="28">
        <v>35</v>
      </c>
      <c r="G92" s="47">
        <v>35</v>
      </c>
      <c r="H92" s="28">
        <v>18.5</v>
      </c>
      <c r="I92" s="19">
        <v>30</v>
      </c>
      <c r="J92" s="19">
        <v>30</v>
      </c>
      <c r="K92" s="19">
        <v>8339.4932140776891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3776.8153878154867</v>
      </c>
      <c r="AC92" s="29">
        <f t="shared" si="8"/>
        <v>0</v>
      </c>
      <c r="AD92" s="29">
        <f t="shared" si="9"/>
        <v>0</v>
      </c>
      <c r="AE92" s="28">
        <v>20</v>
      </c>
      <c r="AF92" s="46">
        <v>355</v>
      </c>
      <c r="AG92" s="28">
        <v>210000</v>
      </c>
      <c r="AH92" s="29">
        <v>13218.853857354203</v>
      </c>
      <c r="AI92" s="29">
        <v>0</v>
      </c>
      <c r="AJ92" s="30">
        <v>0</v>
      </c>
      <c r="AK92" s="57">
        <f t="shared" si="10"/>
        <v>8.3394932140776898</v>
      </c>
      <c r="AL92" s="57">
        <f t="shared" si="11"/>
        <v>1.5</v>
      </c>
      <c r="AM92" s="60"/>
      <c r="AN92" s="57">
        <v>1.0242389781016388</v>
      </c>
      <c r="AO92" s="57"/>
      <c r="AP92" s="57"/>
    </row>
    <row r="93" spans="1:42" ht="21" x14ac:dyDescent="0.35">
      <c r="A93" s="28">
        <v>282</v>
      </c>
      <c r="B93" s="67" t="s">
        <v>183</v>
      </c>
      <c r="C93" s="28">
        <v>300</v>
      </c>
      <c r="D93" s="19">
        <v>300</v>
      </c>
      <c r="E93" s="28">
        <v>900</v>
      </c>
      <c r="F93" s="28">
        <v>35</v>
      </c>
      <c r="G93" s="47">
        <v>35</v>
      </c>
      <c r="H93" s="28">
        <v>18.5</v>
      </c>
      <c r="I93" s="19">
        <v>30</v>
      </c>
      <c r="J93" s="19">
        <v>30</v>
      </c>
      <c r="K93" s="19">
        <v>13899.155356796147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3584.7599611769901</v>
      </c>
      <c r="AC93" s="29">
        <f t="shared" si="8"/>
        <v>0</v>
      </c>
      <c r="AD93" s="29">
        <f t="shared" si="9"/>
        <v>0</v>
      </c>
      <c r="AE93" s="28">
        <v>20</v>
      </c>
      <c r="AF93" s="46">
        <v>355</v>
      </c>
      <c r="AG93" s="28">
        <v>210000</v>
      </c>
      <c r="AH93" s="29">
        <v>12546.659864119465</v>
      </c>
      <c r="AI93" s="29">
        <v>0</v>
      </c>
      <c r="AJ93" s="30">
        <v>0</v>
      </c>
      <c r="AK93" s="57">
        <f t="shared" si="10"/>
        <v>13.899155356796147</v>
      </c>
      <c r="AL93" s="57">
        <f t="shared" si="11"/>
        <v>1.5</v>
      </c>
      <c r="AM93" s="60"/>
      <c r="AN93" s="57">
        <v>0.97215524254132968</v>
      </c>
      <c r="AO93" s="57"/>
      <c r="AP93" s="57"/>
    </row>
    <row r="94" spans="1:42" ht="21" x14ac:dyDescent="0.35">
      <c r="A94" s="28">
        <v>283</v>
      </c>
      <c r="B94" s="67" t="s">
        <v>184</v>
      </c>
      <c r="C94" s="28">
        <v>300</v>
      </c>
      <c r="D94" s="19">
        <v>300</v>
      </c>
      <c r="E94" s="28">
        <v>900</v>
      </c>
      <c r="F94" s="28">
        <v>35</v>
      </c>
      <c r="G94" s="47">
        <v>35</v>
      </c>
      <c r="H94" s="28">
        <v>18.5</v>
      </c>
      <c r="I94" s="19">
        <v>30</v>
      </c>
      <c r="J94" s="19">
        <v>30</v>
      </c>
      <c r="K94" s="19">
        <v>20848.733035194222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3343.4766334687056</v>
      </c>
      <c r="AC94" s="29">
        <f t="shared" si="8"/>
        <v>0</v>
      </c>
      <c r="AD94" s="29">
        <f t="shared" si="9"/>
        <v>0</v>
      </c>
      <c r="AE94" s="28">
        <v>20</v>
      </c>
      <c r="AF94" s="46">
        <v>355</v>
      </c>
      <c r="AG94" s="28">
        <v>210000</v>
      </c>
      <c r="AH94" s="29">
        <v>11702.16821714047</v>
      </c>
      <c r="AI94" s="29">
        <v>0</v>
      </c>
      <c r="AJ94" s="30">
        <v>0</v>
      </c>
      <c r="AK94" s="57">
        <f t="shared" si="10"/>
        <v>20.848733035194222</v>
      </c>
      <c r="AL94" s="57">
        <f t="shared" si="11"/>
        <v>1.5</v>
      </c>
      <c r="AM94" s="60"/>
      <c r="AN94" s="57">
        <v>0.9067213349687816</v>
      </c>
      <c r="AO94" s="57"/>
      <c r="AP94" s="57"/>
    </row>
    <row r="95" spans="1:42" ht="21" x14ac:dyDescent="0.35">
      <c r="A95" s="28">
        <v>284</v>
      </c>
      <c r="B95" s="67" t="s">
        <v>185</v>
      </c>
      <c r="C95" s="28">
        <v>300</v>
      </c>
      <c r="D95" s="19">
        <v>300</v>
      </c>
      <c r="E95" s="28">
        <v>900</v>
      </c>
      <c r="F95" s="28">
        <v>35</v>
      </c>
      <c r="G95" s="47">
        <v>35</v>
      </c>
      <c r="H95" s="28">
        <v>18.5</v>
      </c>
      <c r="I95" s="19">
        <v>30</v>
      </c>
      <c r="J95" s="19">
        <v>30</v>
      </c>
      <c r="K95" s="19">
        <v>27798.310713592295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3088.7692519683906</v>
      </c>
      <c r="AC95" s="29">
        <f t="shared" si="8"/>
        <v>0</v>
      </c>
      <c r="AD95" s="29">
        <f t="shared" si="9"/>
        <v>0</v>
      </c>
      <c r="AE95" s="28">
        <v>20</v>
      </c>
      <c r="AF95" s="46">
        <v>355</v>
      </c>
      <c r="AG95" s="28">
        <v>210000</v>
      </c>
      <c r="AH95" s="29">
        <v>10810.692381889367</v>
      </c>
      <c r="AI95" s="29">
        <v>0</v>
      </c>
      <c r="AJ95" s="30">
        <v>0</v>
      </c>
      <c r="AK95" s="57">
        <f t="shared" si="10"/>
        <v>27.798310713592294</v>
      </c>
      <c r="AL95" s="57">
        <f t="shared" si="11"/>
        <v>1.5</v>
      </c>
      <c r="AM95" s="60"/>
      <c r="AN95" s="57">
        <v>0.83764694256282368</v>
      </c>
      <c r="AO95" s="57"/>
      <c r="AP95" s="57"/>
    </row>
    <row r="96" spans="1:42" ht="21" x14ac:dyDescent="0.35">
      <c r="A96" s="28">
        <v>285</v>
      </c>
      <c r="B96" s="67" t="s">
        <v>186</v>
      </c>
      <c r="C96" s="28">
        <v>300</v>
      </c>
      <c r="D96" s="19">
        <v>300</v>
      </c>
      <c r="E96" s="28">
        <v>900</v>
      </c>
      <c r="F96" s="28">
        <v>35</v>
      </c>
      <c r="G96" s="47">
        <v>35</v>
      </c>
      <c r="H96" s="28">
        <v>18.5</v>
      </c>
      <c r="I96" s="19">
        <v>30</v>
      </c>
      <c r="J96" s="19">
        <v>30</v>
      </c>
      <c r="K96" s="19">
        <v>36971.753249077752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2723.0171244636658</v>
      </c>
      <c r="AC96" s="29">
        <f t="shared" si="8"/>
        <v>0</v>
      </c>
      <c r="AD96" s="29">
        <f t="shared" si="9"/>
        <v>0</v>
      </c>
      <c r="AE96" s="28">
        <v>20</v>
      </c>
      <c r="AF96" s="46">
        <v>355</v>
      </c>
      <c r="AG96" s="28">
        <v>210000</v>
      </c>
      <c r="AH96" s="29">
        <v>9530.5599356228304</v>
      </c>
      <c r="AI96" s="29">
        <v>0</v>
      </c>
      <c r="AJ96" s="30">
        <v>0</v>
      </c>
      <c r="AK96" s="57">
        <f t="shared" si="10"/>
        <v>36.97175324907775</v>
      </c>
      <c r="AL96" s="57">
        <f t="shared" si="11"/>
        <v>1.5</v>
      </c>
      <c r="AM96" s="60"/>
      <c r="AN96" s="57">
        <v>0.73845819573593185</v>
      </c>
      <c r="AO96" s="57"/>
      <c r="AP96" s="57"/>
    </row>
    <row r="97" spans="1:42" ht="21" x14ac:dyDescent="0.35">
      <c r="A97" s="28">
        <v>286</v>
      </c>
      <c r="B97" s="67" t="s">
        <v>187</v>
      </c>
      <c r="C97" s="28">
        <v>300</v>
      </c>
      <c r="D97" s="19">
        <v>300</v>
      </c>
      <c r="E97" s="28">
        <v>900</v>
      </c>
      <c r="F97" s="28">
        <v>35</v>
      </c>
      <c r="G97" s="47">
        <v>35</v>
      </c>
      <c r="H97" s="28">
        <v>18.5</v>
      </c>
      <c r="I97" s="19">
        <v>30</v>
      </c>
      <c r="J97" s="19">
        <v>30</v>
      </c>
      <c r="K97" s="19">
        <v>46423.178891699128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2324.0112143288688</v>
      </c>
      <c r="AC97" s="29">
        <f t="shared" si="8"/>
        <v>0</v>
      </c>
      <c r="AD97" s="29">
        <f t="shared" si="9"/>
        <v>0</v>
      </c>
      <c r="AE97" s="28">
        <v>20</v>
      </c>
      <c r="AF97" s="46">
        <v>355</v>
      </c>
      <c r="AG97" s="28">
        <v>210000</v>
      </c>
      <c r="AH97" s="29">
        <v>8134.0392501510414</v>
      </c>
      <c r="AI97" s="29">
        <v>0</v>
      </c>
      <c r="AJ97" s="30">
        <v>0</v>
      </c>
      <c r="AK97" s="57">
        <f t="shared" si="10"/>
        <v>46.423178891699131</v>
      </c>
      <c r="AL97" s="57">
        <f t="shared" si="11"/>
        <v>1.5</v>
      </c>
      <c r="AM97" s="60"/>
      <c r="AN97" s="57">
        <v>0.63025131674168</v>
      </c>
      <c r="AO97" s="57"/>
      <c r="AP97" s="57"/>
    </row>
    <row r="98" spans="1:42" ht="21" x14ac:dyDescent="0.35">
      <c r="A98" s="28">
        <v>287</v>
      </c>
      <c r="B98" s="67" t="s">
        <v>188</v>
      </c>
      <c r="C98" s="28">
        <v>300</v>
      </c>
      <c r="D98" s="19">
        <v>300</v>
      </c>
      <c r="E98" s="28">
        <v>900</v>
      </c>
      <c r="F98" s="28">
        <v>35</v>
      </c>
      <c r="G98" s="47">
        <v>35</v>
      </c>
      <c r="H98" s="28">
        <v>18.5</v>
      </c>
      <c r="I98" s="19">
        <v>30</v>
      </c>
      <c r="J98" s="19">
        <v>30</v>
      </c>
      <c r="K98" s="19">
        <v>55596.621427184589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1950.4965893073336</v>
      </c>
      <c r="AC98" s="29">
        <f t="shared" si="8"/>
        <v>0</v>
      </c>
      <c r="AD98" s="29">
        <f t="shared" si="9"/>
        <v>0</v>
      </c>
      <c r="AE98" s="28">
        <v>20</v>
      </c>
      <c r="AF98" s="46">
        <v>355</v>
      </c>
      <c r="AG98" s="28">
        <v>210000</v>
      </c>
      <c r="AH98" s="29">
        <v>6826.7380625756678</v>
      </c>
      <c r="AI98" s="29">
        <v>0</v>
      </c>
      <c r="AJ98" s="30">
        <v>0</v>
      </c>
      <c r="AK98" s="57">
        <f t="shared" si="10"/>
        <v>55.596621427184587</v>
      </c>
      <c r="AL98" s="57">
        <f t="shared" si="11"/>
        <v>1.5</v>
      </c>
      <c r="AM98" s="60"/>
      <c r="AN98" s="57">
        <v>0.52895744914299081</v>
      </c>
      <c r="AO98" s="57"/>
      <c r="AP98" s="57"/>
    </row>
    <row r="99" spans="1:42" ht="21" x14ac:dyDescent="0.35">
      <c r="A99" s="28">
        <v>288</v>
      </c>
      <c r="B99" s="67" t="s">
        <v>189</v>
      </c>
      <c r="C99" s="81">
        <v>300</v>
      </c>
      <c r="D99" s="82">
        <v>300</v>
      </c>
      <c r="E99" s="81">
        <v>900</v>
      </c>
      <c r="F99" s="81">
        <v>35</v>
      </c>
      <c r="G99" s="82">
        <v>35</v>
      </c>
      <c r="H99" s="81">
        <v>18.5</v>
      </c>
      <c r="I99" s="82">
        <v>30</v>
      </c>
      <c r="J99" s="82">
        <v>30</v>
      </c>
      <c r="K99" s="82">
        <v>69495.776783980735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2"/>
        <v>1</v>
      </c>
      <c r="Z99" s="82">
        <f t="shared" si="13"/>
        <v>0</v>
      </c>
      <c r="AA99" s="82">
        <f t="shared" si="14"/>
        <v>0</v>
      </c>
      <c r="AB99" s="84">
        <f t="shared" si="15"/>
        <v>1475.168883937268</v>
      </c>
      <c r="AC99" s="84">
        <f t="shared" si="8"/>
        <v>0</v>
      </c>
      <c r="AD99" s="84">
        <f t="shared" si="9"/>
        <v>0</v>
      </c>
      <c r="AE99" s="81">
        <v>20</v>
      </c>
      <c r="AF99" s="46">
        <v>355</v>
      </c>
      <c r="AG99" s="81">
        <v>210000</v>
      </c>
      <c r="AH99" s="84">
        <v>5163.0910937804383</v>
      </c>
      <c r="AI99" s="84">
        <v>0</v>
      </c>
      <c r="AJ99" s="85">
        <v>0</v>
      </c>
      <c r="AK99" s="57">
        <f t="shared" si="10"/>
        <v>69.49577678398073</v>
      </c>
      <c r="AL99" s="57">
        <f t="shared" si="11"/>
        <v>1.5</v>
      </c>
      <c r="AM99" s="60"/>
      <c r="AN99" s="57">
        <v>0.40005277331947198</v>
      </c>
      <c r="AO99" s="57"/>
      <c r="AP99" s="57"/>
    </row>
    <row r="100" spans="1:42" ht="21" x14ac:dyDescent="0.35">
      <c r="A100" s="93"/>
      <c r="B100" s="100"/>
      <c r="C100" s="28"/>
      <c r="D100" s="19"/>
      <c r="E100" s="101"/>
      <c r="F100" s="101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1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0"/>
      <c r="C101" s="28"/>
      <c r="D101" s="19"/>
      <c r="E101" s="101"/>
      <c r="F101" s="101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1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0"/>
      <c r="C102" s="28"/>
      <c r="D102" s="19"/>
      <c r="E102" s="101"/>
      <c r="F102" s="101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1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0"/>
      <c r="C103" s="28"/>
      <c r="D103" s="19"/>
      <c r="E103" s="101"/>
      <c r="F103" s="101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1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0"/>
      <c r="C104" s="28"/>
      <c r="D104" s="19"/>
      <c r="E104" s="101"/>
      <c r="F104" s="101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1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0"/>
      <c r="C105" s="28"/>
      <c r="D105" s="19"/>
      <c r="E105" s="101"/>
      <c r="F105" s="101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1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0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666750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942975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2026-09-07T01:48:57Z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