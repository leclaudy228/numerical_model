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8_{53878A1E-0144-44CA-B5B8-8874073F683B}" xr6:coauthVersionLast="47" xr6:coauthVersionMax="47" xr10:uidLastSave="{00000000-0000-0000-0000-000000000000}"/>
  <bookViews>
    <workbookView xWindow="19090" yWindow="-1280" windowWidth="25820" windowHeight="13900" activeTab="3" xr2:uid="{D3DB94A6-31C2-435D-A5CF-06B63334352D}"/>
  </bookViews>
  <sheets>
    <sheet name="15" sheetId="1" r:id="rId1"/>
    <sheet name="17" sheetId="2" r:id="rId2"/>
    <sheet name="19" sheetId="3" r:id="rId3"/>
    <sheet name="Sheet5" sheetId="5" r:id="rId4"/>
    <sheet name="All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3" i="5"/>
  <c r="S9" i="5"/>
  <c r="S8" i="5"/>
  <c r="Y9" i="5"/>
  <c r="T9" i="5"/>
  <c r="E154" i="3" l="1"/>
  <c r="E4" i="4"/>
  <c r="D9" i="4"/>
  <c r="E9" i="4" s="1"/>
  <c r="E6" i="4"/>
  <c r="E5" i="4"/>
  <c r="E3" i="4"/>
  <c r="E2" i="4"/>
  <c r="I154" i="2"/>
  <c r="I154" i="1"/>
  <c r="L126" i="1"/>
  <c r="E154" i="1"/>
  <c r="D154" i="2"/>
  <c r="D154" i="1"/>
  <c r="E12" i="4" l="1"/>
  <c r="E13" i="4" s="1"/>
</calcChain>
</file>

<file path=xl/sharedStrings.xml><?xml version="1.0" encoding="utf-8"?>
<sst xmlns="http://schemas.openxmlformats.org/spreadsheetml/2006/main" count="54" uniqueCount="36">
  <si>
    <t>X</t>
  </si>
  <si>
    <t>LPF</t>
  </si>
  <si>
    <t>U_15__15</t>
  </si>
  <si>
    <t>RF_15__15</t>
  </si>
  <si>
    <t>U_17__17</t>
  </si>
  <si>
    <t>RF_17__17</t>
  </si>
  <si>
    <t>U_19__19</t>
  </si>
  <si>
    <t>RF_19__19</t>
  </si>
  <si>
    <t>nu</t>
  </si>
  <si>
    <t>ex</t>
  </si>
  <si>
    <r>
      <t>Pu_</t>
    </r>
    <r>
      <rPr>
        <vertAlign val="subscript"/>
        <sz val="12"/>
        <color theme="1"/>
        <rFont val="Aptos Narrow"/>
        <family val="2"/>
        <scheme val="minor"/>
      </rPr>
      <t>exp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</si>
  <si>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</si>
  <si>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  <r>
      <rPr>
        <sz val="11"/>
        <color theme="1"/>
        <rFont val="Aptos Narrow"/>
        <family val="2"/>
        <scheme val="minor"/>
      </rPr>
      <t>/Pu</t>
    </r>
    <r>
      <rPr>
        <vertAlign val="subscript"/>
        <sz val="11"/>
        <color theme="1"/>
        <rFont val="Aptos Narrow"/>
        <family val="2"/>
        <scheme val="minor"/>
      </rPr>
      <t>_exp</t>
    </r>
  </si>
  <si>
    <t>Mean</t>
  </si>
  <si>
    <t>COV</t>
  </si>
  <si>
    <t>I-235-1</t>
  </si>
  <si>
    <t>I-235-2</t>
  </si>
  <si>
    <t>I-235-3</t>
  </si>
  <si>
    <t>I-235-4</t>
  </si>
  <si>
    <t>I-235-5</t>
  </si>
  <si>
    <t>I-235-6</t>
  </si>
  <si>
    <t>I-235-7</t>
  </si>
  <si>
    <t>I-345-1</t>
  </si>
  <si>
    <t>I-345-2</t>
  </si>
  <si>
    <t>I-345-3</t>
  </si>
  <si>
    <t>I-345-4</t>
  </si>
  <si>
    <t>I-345-5</t>
  </si>
  <si>
    <t>I-345-6</t>
  </si>
  <si>
    <t>I-345-7</t>
  </si>
  <si>
    <t>I-345-8</t>
  </si>
  <si>
    <t>Min</t>
  </si>
  <si>
    <t>Max</t>
  </si>
  <si>
    <t>U_20__20</t>
  </si>
  <si>
    <t>RF_20__20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</si>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</sst>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1" fillId="0" borderId="3" xfId="0" applyFont="1" applyBorder="1" applyAlignment="1">
      <alignment vertical="top"/>
    </xf>
    <xf numFmtId="0" fontId="0" fillId="0" borderId="3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Sheet5!$D$2</c:f>
              <c:strCache>
                <c:ptCount val="1"/>
                <c:pt idx="0">
                  <c:v>RF_20__20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Sheet5!$C$3:$C$132</c:f>
              <c:numCache>
                <c:formatCode>General</c:formatCode>
                <c:ptCount val="130"/>
                <c:pt idx="0">
                  <c:v>1.54305</c:v>
                </c:pt>
                <c:pt idx="1">
                  <c:v>14.548400000000001</c:v>
                </c:pt>
                <c:pt idx="2">
                  <c:v>27.748100000000001</c:v>
                </c:pt>
                <c:pt idx="3">
                  <c:v>41.105899999999998</c:v>
                </c:pt>
                <c:pt idx="4">
                  <c:v>54.558199999999999</c:v>
                </c:pt>
                <c:pt idx="5">
                  <c:v>68.244500000000002</c:v>
                </c:pt>
                <c:pt idx="6">
                  <c:v>83.028300000000002</c:v>
                </c:pt>
                <c:pt idx="7">
                  <c:v>86.995099999999994</c:v>
                </c:pt>
                <c:pt idx="8">
                  <c:v>91.024199999999993</c:v>
                </c:pt>
                <c:pt idx="9">
                  <c:v>95.124200000000002</c:v>
                </c:pt>
                <c:pt idx="10">
                  <c:v>99.216399999999993</c:v>
                </c:pt>
                <c:pt idx="11">
                  <c:v>103.30200000000001</c:v>
                </c:pt>
                <c:pt idx="12">
                  <c:v>107.387</c:v>
                </c:pt>
                <c:pt idx="13">
                  <c:v>113.514</c:v>
                </c:pt>
                <c:pt idx="14">
                  <c:v>119.584</c:v>
                </c:pt>
                <c:pt idx="15">
                  <c:v>125.604</c:v>
                </c:pt>
                <c:pt idx="16">
                  <c:v>131.58199999999999</c:v>
                </c:pt>
                <c:pt idx="17">
                  <c:v>137.523</c:v>
                </c:pt>
                <c:pt idx="18">
                  <c:v>146.37299999999999</c:v>
                </c:pt>
                <c:pt idx="19">
                  <c:v>155.15199999999999</c:v>
                </c:pt>
                <c:pt idx="20">
                  <c:v>163.875</c:v>
                </c:pt>
                <c:pt idx="21">
                  <c:v>172.55099999999999</c:v>
                </c:pt>
                <c:pt idx="22">
                  <c:v>181.19900000000001</c:v>
                </c:pt>
                <c:pt idx="23">
                  <c:v>189.84</c:v>
                </c:pt>
                <c:pt idx="24">
                  <c:v>198.46799999999999</c:v>
                </c:pt>
                <c:pt idx="25">
                  <c:v>207.06399999999999</c:v>
                </c:pt>
                <c:pt idx="26">
                  <c:v>215.62200000000001</c:v>
                </c:pt>
                <c:pt idx="27">
                  <c:v>224.14</c:v>
                </c:pt>
                <c:pt idx="28">
                  <c:v>232.63300000000001</c:v>
                </c:pt>
                <c:pt idx="29">
                  <c:v>241.10300000000001</c:v>
                </c:pt>
                <c:pt idx="30">
                  <c:v>249.55</c:v>
                </c:pt>
                <c:pt idx="31">
                  <c:v>257.96800000000002</c:v>
                </c:pt>
                <c:pt idx="32">
                  <c:v>266.36099999999999</c:v>
                </c:pt>
                <c:pt idx="33">
                  <c:v>274.73200000000003</c:v>
                </c:pt>
                <c:pt idx="34">
                  <c:v>283.08199999999999</c:v>
                </c:pt>
                <c:pt idx="35">
                  <c:v>291.41500000000002</c:v>
                </c:pt>
                <c:pt idx="36">
                  <c:v>299.74200000000002</c:v>
                </c:pt>
                <c:pt idx="37">
                  <c:v>308.11200000000002</c:v>
                </c:pt>
                <c:pt idx="38">
                  <c:v>310.23599999999999</c:v>
                </c:pt>
                <c:pt idx="39">
                  <c:v>310.77699999999999</c:v>
                </c:pt>
                <c:pt idx="40">
                  <c:v>311.08600000000001</c:v>
                </c:pt>
                <c:pt idx="41">
                  <c:v>311.26400000000001</c:v>
                </c:pt>
                <c:pt idx="42">
                  <c:v>311.548</c:v>
                </c:pt>
                <c:pt idx="43">
                  <c:v>311.56599999999997</c:v>
                </c:pt>
                <c:pt idx="44">
                  <c:v>311.59500000000003</c:v>
                </c:pt>
                <c:pt idx="45">
                  <c:v>311.536</c:v>
                </c:pt>
                <c:pt idx="46">
                  <c:v>311.529</c:v>
                </c:pt>
                <c:pt idx="47">
                  <c:v>311.52</c:v>
                </c:pt>
                <c:pt idx="48">
                  <c:v>311.50799999999998</c:v>
                </c:pt>
                <c:pt idx="49">
                  <c:v>311.48899999999998</c:v>
                </c:pt>
                <c:pt idx="50">
                  <c:v>311.46300000000002</c:v>
                </c:pt>
                <c:pt idx="51">
                  <c:v>311.423</c:v>
                </c:pt>
                <c:pt idx="52">
                  <c:v>311.36099999999999</c:v>
                </c:pt>
                <c:pt idx="53">
                  <c:v>311.26799999999997</c:v>
                </c:pt>
                <c:pt idx="54">
                  <c:v>311.125</c:v>
                </c:pt>
                <c:pt idx="55">
                  <c:v>310.90699999999998</c:v>
                </c:pt>
                <c:pt idx="56">
                  <c:v>310.57299999999998</c:v>
                </c:pt>
                <c:pt idx="57">
                  <c:v>310.06599999999997</c:v>
                </c:pt>
                <c:pt idx="58">
                  <c:v>309.29500000000002</c:v>
                </c:pt>
                <c:pt idx="59">
                  <c:v>308.12900000000002</c:v>
                </c:pt>
                <c:pt idx="60">
                  <c:v>306.36900000000003</c:v>
                </c:pt>
                <c:pt idx="61">
                  <c:v>303.73099999999999</c:v>
                </c:pt>
                <c:pt idx="62">
                  <c:v>302.29300000000001</c:v>
                </c:pt>
                <c:pt idx="63">
                  <c:v>302.19</c:v>
                </c:pt>
                <c:pt idx="64">
                  <c:v>302.185</c:v>
                </c:pt>
                <c:pt idx="65">
                  <c:v>302.17599999999999</c:v>
                </c:pt>
                <c:pt idx="66">
                  <c:v>302.16500000000002</c:v>
                </c:pt>
                <c:pt idx="67">
                  <c:v>302.16000000000003</c:v>
                </c:pt>
                <c:pt idx="68">
                  <c:v>302.16800000000001</c:v>
                </c:pt>
                <c:pt idx="69">
                  <c:v>302.18700000000001</c:v>
                </c:pt>
                <c:pt idx="70">
                  <c:v>302.22199999999998</c:v>
                </c:pt>
                <c:pt idx="71">
                  <c:v>302.27999999999997</c:v>
                </c:pt>
                <c:pt idx="72">
                  <c:v>302.37200000000001</c:v>
                </c:pt>
                <c:pt idx="73">
                  <c:v>302.51600000000002</c:v>
                </c:pt>
                <c:pt idx="74">
                  <c:v>302.73899999999998</c:v>
                </c:pt>
                <c:pt idx="75">
                  <c:v>303.08100000000002</c:v>
                </c:pt>
                <c:pt idx="76">
                  <c:v>303.60000000000002</c:v>
                </c:pt>
                <c:pt idx="77">
                  <c:v>304.38600000000002</c:v>
                </c:pt>
                <c:pt idx="78">
                  <c:v>305.56599999999997</c:v>
                </c:pt>
                <c:pt idx="79">
                  <c:v>306.22199999999998</c:v>
                </c:pt>
                <c:pt idx="80">
                  <c:v>306.58300000000003</c:v>
                </c:pt>
                <c:pt idx="81">
                  <c:v>306.77999999999997</c:v>
                </c:pt>
                <c:pt idx="82">
                  <c:v>306.88400000000001</c:v>
                </c:pt>
                <c:pt idx="83">
                  <c:v>306.93799999999999</c:v>
                </c:pt>
                <c:pt idx="84">
                  <c:v>306.964</c:v>
                </c:pt>
                <c:pt idx="85">
                  <c:v>306.81400000000002</c:v>
                </c:pt>
                <c:pt idx="86">
                  <c:v>306.745</c:v>
                </c:pt>
                <c:pt idx="87">
                  <c:v>306.678</c:v>
                </c:pt>
                <c:pt idx="88">
                  <c:v>306.57799999999997</c:v>
                </c:pt>
                <c:pt idx="89">
                  <c:v>306.43099999999998</c:v>
                </c:pt>
                <c:pt idx="90">
                  <c:v>306.21300000000002</c:v>
                </c:pt>
                <c:pt idx="91">
                  <c:v>305.88900000000001</c:v>
                </c:pt>
                <c:pt idx="92">
                  <c:v>305.40600000000001</c:v>
                </c:pt>
                <c:pt idx="93">
                  <c:v>304.68799999999999</c:v>
                </c:pt>
                <c:pt idx="94">
                  <c:v>303.62099999999998</c:v>
                </c:pt>
                <c:pt idx="95">
                  <c:v>302.03300000000002</c:v>
                </c:pt>
                <c:pt idx="96">
                  <c:v>299.66300000000001</c:v>
                </c:pt>
                <c:pt idx="97">
                  <c:v>296.12099999999998</c:v>
                </c:pt>
                <c:pt idx="98">
                  <c:v>290.81700000000001</c:v>
                </c:pt>
                <c:pt idx="99">
                  <c:v>282.85899999999998</c:v>
                </c:pt>
                <c:pt idx="100">
                  <c:v>270.86599999999999</c:v>
                </c:pt>
                <c:pt idx="101">
                  <c:v>252.572</c:v>
                </c:pt>
                <c:pt idx="102">
                  <c:v>247.86</c:v>
                </c:pt>
                <c:pt idx="103">
                  <c:v>243.041</c:v>
                </c:pt>
                <c:pt idx="104">
                  <c:v>238.09899999999999</c:v>
                </c:pt>
                <c:pt idx="105">
                  <c:v>233.09899999999999</c:v>
                </c:pt>
                <c:pt idx="106">
                  <c:v>228.09</c:v>
                </c:pt>
                <c:pt idx="107">
                  <c:v>223.08</c:v>
                </c:pt>
                <c:pt idx="108">
                  <c:v>218.06800000000001</c:v>
                </c:pt>
                <c:pt idx="109">
                  <c:v>213.054</c:v>
                </c:pt>
                <c:pt idx="110">
                  <c:v>208.04300000000001</c:v>
                </c:pt>
                <c:pt idx="111">
                  <c:v>203.03299999999999</c:v>
                </c:pt>
                <c:pt idx="112">
                  <c:v>198.02799999999999</c:v>
                </c:pt>
                <c:pt idx="113">
                  <c:v>193.02600000000001</c:v>
                </c:pt>
                <c:pt idx="114">
                  <c:v>188.03</c:v>
                </c:pt>
                <c:pt idx="115">
                  <c:v>183.03700000000001</c:v>
                </c:pt>
                <c:pt idx="116">
                  <c:v>178.047</c:v>
                </c:pt>
                <c:pt idx="117">
                  <c:v>173.05799999999999</c:v>
                </c:pt>
                <c:pt idx="118">
                  <c:v>168.07</c:v>
                </c:pt>
                <c:pt idx="119">
                  <c:v>163.084</c:v>
                </c:pt>
                <c:pt idx="120">
                  <c:v>158.09899999999999</c:v>
                </c:pt>
                <c:pt idx="121">
                  <c:v>153.11500000000001</c:v>
                </c:pt>
                <c:pt idx="122">
                  <c:v>148.131</c:v>
                </c:pt>
                <c:pt idx="123">
                  <c:v>143.14500000000001</c:v>
                </c:pt>
                <c:pt idx="124">
                  <c:v>138.15899999999999</c:v>
                </c:pt>
                <c:pt idx="125">
                  <c:v>133.172</c:v>
                </c:pt>
                <c:pt idx="126">
                  <c:v>128.185</c:v>
                </c:pt>
                <c:pt idx="127">
                  <c:v>123.19799999999999</c:v>
                </c:pt>
                <c:pt idx="128">
                  <c:v>118.21</c:v>
                </c:pt>
                <c:pt idx="129">
                  <c:v>113.22199999999999</c:v>
                </c:pt>
              </c:numCache>
            </c:numRef>
          </c:xVal>
          <c:yVal>
            <c:numRef>
              <c:f>Sheet5!$D$3:$D$132</c:f>
              <c:numCache>
                <c:formatCode>General</c:formatCode>
                <c:ptCount val="130"/>
                <c:pt idx="0">
                  <c:v>-2.6298099999999996E-6</c:v>
                </c:pt>
                <c:pt idx="1">
                  <c:v>71.042899999999989</c:v>
                </c:pt>
                <c:pt idx="2">
                  <c:v>115.393</c:v>
                </c:pt>
                <c:pt idx="3">
                  <c:v>140.499</c:v>
                </c:pt>
                <c:pt idx="4">
                  <c:v>157.095</c:v>
                </c:pt>
                <c:pt idx="5">
                  <c:v>165.13200000000001</c:v>
                </c:pt>
                <c:pt idx="6">
                  <c:v>164.71700000000001</c:v>
                </c:pt>
                <c:pt idx="7">
                  <c:v>163.38</c:v>
                </c:pt>
                <c:pt idx="8">
                  <c:v>161.047</c:v>
                </c:pt>
                <c:pt idx="9">
                  <c:v>157.922</c:v>
                </c:pt>
                <c:pt idx="10">
                  <c:v>154.809</c:v>
                </c:pt>
                <c:pt idx="11">
                  <c:v>151.81900000000002</c:v>
                </c:pt>
                <c:pt idx="12">
                  <c:v>148.90899999999999</c:v>
                </c:pt>
                <c:pt idx="13">
                  <c:v>144.53399999999999</c:v>
                </c:pt>
                <c:pt idx="14">
                  <c:v>140.178</c:v>
                </c:pt>
                <c:pt idx="15">
                  <c:v>136.15700000000001</c:v>
                </c:pt>
                <c:pt idx="16">
                  <c:v>132.52199999999999</c:v>
                </c:pt>
                <c:pt idx="17">
                  <c:v>129.22399999999999</c:v>
                </c:pt>
                <c:pt idx="18">
                  <c:v>124.78700000000001</c:v>
                </c:pt>
                <c:pt idx="19">
                  <c:v>120.827</c:v>
                </c:pt>
                <c:pt idx="20">
                  <c:v>117.276</c:v>
                </c:pt>
                <c:pt idx="21">
                  <c:v>114.054</c:v>
                </c:pt>
                <c:pt idx="22">
                  <c:v>111.06700000000001</c:v>
                </c:pt>
                <c:pt idx="23">
                  <c:v>108.27</c:v>
                </c:pt>
                <c:pt idx="24">
                  <c:v>105.636</c:v>
                </c:pt>
                <c:pt idx="25">
                  <c:v>103.154</c:v>
                </c:pt>
                <c:pt idx="26">
                  <c:v>100.81</c:v>
                </c:pt>
                <c:pt idx="27">
                  <c:v>98.582700000000003</c:v>
                </c:pt>
                <c:pt idx="28">
                  <c:v>96.465899999999991</c:v>
                </c:pt>
                <c:pt idx="29">
                  <c:v>94.452699999999993</c:v>
                </c:pt>
                <c:pt idx="30">
                  <c:v>92.532399999999996</c:v>
                </c:pt>
                <c:pt idx="31">
                  <c:v>90.700299999999999</c:v>
                </c:pt>
                <c:pt idx="32">
                  <c:v>88.945800000000006</c:v>
                </c:pt>
                <c:pt idx="33">
                  <c:v>87.25930000000001</c:v>
                </c:pt>
                <c:pt idx="34">
                  <c:v>85.634600000000006</c:v>
                </c:pt>
                <c:pt idx="35">
                  <c:v>84.061800000000005</c:v>
                </c:pt>
                <c:pt idx="36">
                  <c:v>82.526399999999995</c:v>
                </c:pt>
                <c:pt idx="37">
                  <c:v>80.982600000000005</c:v>
                </c:pt>
                <c:pt idx="38">
                  <c:v>80.565399999999997</c:v>
                </c:pt>
                <c:pt idx="39">
                  <c:v>80.447500000000005</c:v>
                </c:pt>
                <c:pt idx="40">
                  <c:v>80.374499999999998</c:v>
                </c:pt>
                <c:pt idx="41">
                  <c:v>80.327800000000011</c:v>
                </c:pt>
                <c:pt idx="42">
                  <c:v>80.223399999999998</c:v>
                </c:pt>
                <c:pt idx="43">
                  <c:v>80.209500000000006</c:v>
                </c:pt>
                <c:pt idx="44">
                  <c:v>80.169600000000003</c:v>
                </c:pt>
                <c:pt idx="45">
                  <c:v>79.885899999999992</c:v>
                </c:pt>
                <c:pt idx="46">
                  <c:v>79.867999999999995</c:v>
                </c:pt>
                <c:pt idx="47">
                  <c:v>79.845399999999998</c:v>
                </c:pt>
                <c:pt idx="48">
                  <c:v>79.814800000000005</c:v>
                </c:pt>
                <c:pt idx="49">
                  <c:v>79.77239999999999</c:v>
                </c:pt>
                <c:pt idx="50">
                  <c:v>79.712299999999999</c:v>
                </c:pt>
                <c:pt idx="51">
                  <c:v>79.625799999999998</c:v>
                </c:pt>
                <c:pt idx="52">
                  <c:v>79.500199999999992</c:v>
                </c:pt>
                <c:pt idx="53">
                  <c:v>79.316100000000006</c:v>
                </c:pt>
                <c:pt idx="54">
                  <c:v>79.0458</c:v>
                </c:pt>
                <c:pt idx="55">
                  <c:v>78.647199999999998</c:v>
                </c:pt>
                <c:pt idx="56">
                  <c:v>78.057500000000005</c:v>
                </c:pt>
                <c:pt idx="57">
                  <c:v>77.181200000000004</c:v>
                </c:pt>
                <c:pt idx="58">
                  <c:v>75.876199999999997</c:v>
                </c:pt>
                <c:pt idx="59">
                  <c:v>73.917300000000012</c:v>
                </c:pt>
                <c:pt idx="60">
                  <c:v>70.957700000000003</c:v>
                </c:pt>
                <c:pt idx="61">
                  <c:v>66.422399999999996</c:v>
                </c:pt>
                <c:pt idx="62">
                  <c:v>63.718800000000002</c:v>
                </c:pt>
                <c:pt idx="63">
                  <c:v>63.665700000000001</c:v>
                </c:pt>
                <c:pt idx="64">
                  <c:v>63.664000000000001</c:v>
                </c:pt>
                <c:pt idx="65">
                  <c:v>63.667500000000004</c:v>
                </c:pt>
                <c:pt idx="66">
                  <c:v>63.681400000000004</c:v>
                </c:pt>
                <c:pt idx="67">
                  <c:v>63.721900000000005</c:v>
                </c:pt>
                <c:pt idx="68">
                  <c:v>63.7759</c:v>
                </c:pt>
                <c:pt idx="69">
                  <c:v>63.849499999999999</c:v>
                </c:pt>
                <c:pt idx="70">
                  <c:v>63.952500000000001</c:v>
                </c:pt>
                <c:pt idx="71">
                  <c:v>64.099199999999996</c:v>
                </c:pt>
                <c:pt idx="72">
                  <c:v>64.310199999999995</c:v>
                </c:pt>
                <c:pt idx="73">
                  <c:v>64.616199999999992</c:v>
                </c:pt>
                <c:pt idx="74">
                  <c:v>65.062899999999999</c:v>
                </c:pt>
                <c:pt idx="75">
                  <c:v>65.717800000000011</c:v>
                </c:pt>
                <c:pt idx="76">
                  <c:v>66.681200000000004</c:v>
                </c:pt>
                <c:pt idx="77">
                  <c:v>68.103100000000012</c:v>
                </c:pt>
                <c:pt idx="78">
                  <c:v>70.211600000000004</c:v>
                </c:pt>
                <c:pt idx="79">
                  <c:v>71.398499999999999</c:v>
                </c:pt>
                <c:pt idx="80">
                  <c:v>72.07480000000001</c:v>
                </c:pt>
                <c:pt idx="81">
                  <c:v>72.463800000000006</c:v>
                </c:pt>
                <c:pt idx="82">
                  <c:v>72.689499999999995</c:v>
                </c:pt>
                <c:pt idx="83">
                  <c:v>72.822000000000003</c:v>
                </c:pt>
                <c:pt idx="84">
                  <c:v>72.900600000000011</c:v>
                </c:pt>
                <c:pt idx="85">
                  <c:v>72.890100000000004</c:v>
                </c:pt>
                <c:pt idx="86">
                  <c:v>72.817800000000005</c:v>
                </c:pt>
                <c:pt idx="87">
                  <c:v>72.742000000000004</c:v>
                </c:pt>
                <c:pt idx="88">
                  <c:v>72.624600000000001</c:v>
                </c:pt>
                <c:pt idx="89">
                  <c:v>72.443200000000004</c:v>
                </c:pt>
                <c:pt idx="90">
                  <c:v>72.164100000000005</c:v>
                </c:pt>
                <c:pt idx="91">
                  <c:v>71.736100000000008</c:v>
                </c:pt>
                <c:pt idx="92">
                  <c:v>71.083399999999997</c:v>
                </c:pt>
                <c:pt idx="93">
                  <c:v>70.085100000000011</c:v>
                </c:pt>
                <c:pt idx="94">
                  <c:v>68.556200000000004</c:v>
                </c:pt>
                <c:pt idx="95">
                  <c:v>66.213499999999996</c:v>
                </c:pt>
                <c:pt idx="96">
                  <c:v>62.614000000000004</c:v>
                </c:pt>
                <c:pt idx="97">
                  <c:v>57.048699999999997</c:v>
                </c:pt>
                <c:pt idx="98">
                  <c:v>48.358900000000006</c:v>
                </c:pt>
                <c:pt idx="99">
                  <c:v>34.572300000000006</c:v>
                </c:pt>
                <c:pt idx="100">
                  <c:v>12.255600000000001</c:v>
                </c:pt>
                <c:pt idx="101">
                  <c:v>-23.142400000000002</c:v>
                </c:pt>
                <c:pt idx="102">
                  <c:v>-30.4358</c:v>
                </c:pt>
                <c:pt idx="103">
                  <c:v>-35.169199999999996</c:v>
                </c:pt>
                <c:pt idx="104">
                  <c:v>-37.6907</c:v>
                </c:pt>
                <c:pt idx="105">
                  <c:v>-39.151300000000006</c:v>
                </c:pt>
                <c:pt idx="106">
                  <c:v>-40.332999999999998</c:v>
                </c:pt>
                <c:pt idx="107">
                  <c:v>-41.413300000000007</c:v>
                </c:pt>
                <c:pt idx="108">
                  <c:v>-42.3292</c:v>
                </c:pt>
                <c:pt idx="109">
                  <c:v>-43.053400000000003</c:v>
                </c:pt>
                <c:pt idx="110">
                  <c:v>-43.661800000000007</c:v>
                </c:pt>
                <c:pt idx="111">
                  <c:v>-44.2209</c:v>
                </c:pt>
                <c:pt idx="112">
                  <c:v>-44.791699999999999</c:v>
                </c:pt>
                <c:pt idx="113">
                  <c:v>-45.307699999999997</c:v>
                </c:pt>
                <c:pt idx="114">
                  <c:v>-45.784400000000005</c:v>
                </c:pt>
                <c:pt idx="115">
                  <c:v>-46.305199999999999</c:v>
                </c:pt>
                <c:pt idx="116">
                  <c:v>-46.859200000000001</c:v>
                </c:pt>
                <c:pt idx="117">
                  <c:v>-47.436300000000003</c:v>
                </c:pt>
                <c:pt idx="118">
                  <c:v>-48.041400000000003</c:v>
                </c:pt>
                <c:pt idx="119">
                  <c:v>-48.674500000000002</c:v>
                </c:pt>
                <c:pt idx="120">
                  <c:v>-49.331800000000001</c:v>
                </c:pt>
                <c:pt idx="121">
                  <c:v>-50.044000000000004</c:v>
                </c:pt>
                <c:pt idx="122">
                  <c:v>-50.797600000000003</c:v>
                </c:pt>
                <c:pt idx="123">
                  <c:v>-51.582000000000001</c:v>
                </c:pt>
                <c:pt idx="124">
                  <c:v>-52.393300000000004</c:v>
                </c:pt>
                <c:pt idx="125">
                  <c:v>-53.2515</c:v>
                </c:pt>
                <c:pt idx="126">
                  <c:v>-54.164300000000004</c:v>
                </c:pt>
                <c:pt idx="127">
                  <c:v>-55.135100000000001</c:v>
                </c:pt>
                <c:pt idx="128">
                  <c:v>-56.158300000000004</c:v>
                </c:pt>
                <c:pt idx="129">
                  <c:v>-57.231200000000001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4-47A3-8434-61CB6242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845327"/>
        <c:axId val="1310389423"/>
      </c:scatterChart>
      <c:valAx>
        <c:axId val="1500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89423"/>
        <c:crosses val="autoZero"/>
        <c:crossBetween val="midCat"/>
      </c:valAx>
      <c:valAx>
        <c:axId val="13103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Sheet5!$H$3:$H$205</c:f>
              <c:numCache>
                <c:formatCode>General</c:formatCode>
                <c:ptCount val="203"/>
                <c:pt idx="0">
                  <c:v>0.59175199999999994</c:v>
                </c:pt>
                <c:pt idx="1">
                  <c:v>0.83806400000000003</c:v>
                </c:pt>
                <c:pt idx="2">
                  <c:v>1.0848500000000001</c:v>
                </c:pt>
                <c:pt idx="3">
                  <c:v>1.3321099999999999</c:v>
                </c:pt>
                <c:pt idx="4">
                  <c:v>1.57979</c:v>
                </c:pt>
                <c:pt idx="5">
                  <c:v>1.82785</c:v>
                </c:pt>
                <c:pt idx="6">
                  <c:v>2.0762200000000002</c:v>
                </c:pt>
                <c:pt idx="7">
                  <c:v>2.3248199999999999</c:v>
                </c:pt>
                <c:pt idx="8">
                  <c:v>2.57355</c:v>
                </c:pt>
                <c:pt idx="9">
                  <c:v>2.8222800000000001</c:v>
                </c:pt>
                <c:pt idx="10">
                  <c:v>3.0709200000000001</c:v>
                </c:pt>
                <c:pt idx="11">
                  <c:v>3.3193299999999999</c:v>
                </c:pt>
                <c:pt idx="12">
                  <c:v>3.5674299999999999</c:v>
                </c:pt>
                <c:pt idx="13">
                  <c:v>3.8151099999999998</c:v>
                </c:pt>
                <c:pt idx="14">
                  <c:v>4.06229</c:v>
                </c:pt>
                <c:pt idx="15">
                  <c:v>4.3089000000000004</c:v>
                </c:pt>
                <c:pt idx="16">
                  <c:v>4.5548900000000003</c:v>
                </c:pt>
                <c:pt idx="17">
                  <c:v>4.8002200000000004</c:v>
                </c:pt>
                <c:pt idx="18">
                  <c:v>5.0448599999999999</c:v>
                </c:pt>
                <c:pt idx="19">
                  <c:v>5.2887899999999997</c:v>
                </c:pt>
                <c:pt idx="20">
                  <c:v>5.532</c:v>
                </c:pt>
                <c:pt idx="21">
                  <c:v>5.7745100000000003</c:v>
                </c:pt>
                <c:pt idx="22">
                  <c:v>6.0163500000000001</c:v>
                </c:pt>
                <c:pt idx="23">
                  <c:v>6.2574500000000004</c:v>
                </c:pt>
                <c:pt idx="24">
                  <c:v>6.4978400000000001</c:v>
                </c:pt>
                <c:pt idx="25">
                  <c:v>6.7376100000000001</c:v>
                </c:pt>
                <c:pt idx="26">
                  <c:v>6.9766300000000001</c:v>
                </c:pt>
                <c:pt idx="27">
                  <c:v>7.2149000000000001</c:v>
                </c:pt>
                <c:pt idx="28">
                  <c:v>7.4524400000000002</c:v>
                </c:pt>
                <c:pt idx="29">
                  <c:v>7.6892800000000001</c:v>
                </c:pt>
                <c:pt idx="30">
                  <c:v>7.92544</c:v>
                </c:pt>
                <c:pt idx="31">
                  <c:v>8.1609099999999994</c:v>
                </c:pt>
                <c:pt idx="32">
                  <c:v>8.3955800000000007</c:v>
                </c:pt>
                <c:pt idx="33">
                  <c:v>8.6294500000000003</c:v>
                </c:pt>
                <c:pt idx="34">
                  <c:v>8.8625900000000009</c:v>
                </c:pt>
                <c:pt idx="35">
                  <c:v>9.0949000000000009</c:v>
                </c:pt>
                <c:pt idx="36">
                  <c:v>9.3265600000000006</c:v>
                </c:pt>
                <c:pt idx="37">
                  <c:v>9.5576399999999992</c:v>
                </c:pt>
                <c:pt idx="38">
                  <c:v>9.7882300000000004</c:v>
                </c:pt>
                <c:pt idx="39">
                  <c:v>10.0183</c:v>
                </c:pt>
                <c:pt idx="40">
                  <c:v>10.247999999999999</c:v>
                </c:pt>
                <c:pt idx="41">
                  <c:v>10.4772</c:v>
                </c:pt>
                <c:pt idx="42">
                  <c:v>10.706200000000001</c:v>
                </c:pt>
                <c:pt idx="43">
                  <c:v>10.934900000000001</c:v>
                </c:pt>
                <c:pt idx="44">
                  <c:v>11.163500000000001</c:v>
                </c:pt>
                <c:pt idx="45">
                  <c:v>11.392099999999999</c:v>
                </c:pt>
                <c:pt idx="46">
                  <c:v>11.620699999999999</c:v>
                </c:pt>
                <c:pt idx="47">
                  <c:v>11.849299999999999</c:v>
                </c:pt>
                <c:pt idx="48">
                  <c:v>12.0778</c:v>
                </c:pt>
                <c:pt idx="49">
                  <c:v>12.3062</c:v>
                </c:pt>
                <c:pt idx="50">
                  <c:v>12.534599999999999</c:v>
                </c:pt>
                <c:pt idx="51">
                  <c:v>12.763</c:v>
                </c:pt>
                <c:pt idx="52">
                  <c:v>12.9915</c:v>
                </c:pt>
                <c:pt idx="53">
                  <c:v>13.22</c:v>
                </c:pt>
                <c:pt idx="54">
                  <c:v>13.448499999999999</c:v>
                </c:pt>
                <c:pt idx="55">
                  <c:v>13.6768</c:v>
                </c:pt>
                <c:pt idx="56">
                  <c:v>13.904999999999999</c:v>
                </c:pt>
                <c:pt idx="57">
                  <c:v>14.132999999999999</c:v>
                </c:pt>
                <c:pt idx="58">
                  <c:v>14.3607</c:v>
                </c:pt>
                <c:pt idx="59">
                  <c:v>14.588100000000001</c:v>
                </c:pt>
                <c:pt idx="60">
                  <c:v>14.8154</c:v>
                </c:pt>
                <c:pt idx="61">
                  <c:v>15.042400000000001</c:v>
                </c:pt>
                <c:pt idx="62">
                  <c:v>15.2692</c:v>
                </c:pt>
                <c:pt idx="63">
                  <c:v>15.495699999999999</c:v>
                </c:pt>
                <c:pt idx="64">
                  <c:v>15.722200000000001</c:v>
                </c:pt>
                <c:pt idx="65">
                  <c:v>15.948499999999999</c:v>
                </c:pt>
                <c:pt idx="66">
                  <c:v>16.174700000000001</c:v>
                </c:pt>
                <c:pt idx="67">
                  <c:v>16.4008</c:v>
                </c:pt>
                <c:pt idx="68">
                  <c:v>16.6266</c:v>
                </c:pt>
                <c:pt idx="69">
                  <c:v>16.8523</c:v>
                </c:pt>
                <c:pt idx="70">
                  <c:v>17.078099999999999</c:v>
                </c:pt>
                <c:pt idx="71">
                  <c:v>17.303999999999998</c:v>
                </c:pt>
                <c:pt idx="72">
                  <c:v>17.529900000000001</c:v>
                </c:pt>
                <c:pt idx="73">
                  <c:v>17.755800000000001</c:v>
                </c:pt>
                <c:pt idx="74">
                  <c:v>17.9816</c:v>
                </c:pt>
                <c:pt idx="75">
                  <c:v>18.2073</c:v>
                </c:pt>
                <c:pt idx="76">
                  <c:v>18.4329</c:v>
                </c:pt>
                <c:pt idx="77">
                  <c:v>18.6584</c:v>
                </c:pt>
                <c:pt idx="78">
                  <c:v>18.884</c:v>
                </c:pt>
                <c:pt idx="79">
                  <c:v>19.1096</c:v>
                </c:pt>
                <c:pt idx="80">
                  <c:v>19.3352</c:v>
                </c:pt>
                <c:pt idx="81">
                  <c:v>19.5609</c:v>
                </c:pt>
                <c:pt idx="82">
                  <c:v>19.7867</c:v>
                </c:pt>
                <c:pt idx="83">
                  <c:v>20.012599999999999</c:v>
                </c:pt>
                <c:pt idx="84">
                  <c:v>20.238499999999998</c:v>
                </c:pt>
                <c:pt idx="85">
                  <c:v>20.464500000000001</c:v>
                </c:pt>
                <c:pt idx="86">
                  <c:v>20.6905</c:v>
                </c:pt>
                <c:pt idx="87">
                  <c:v>20.916399999999999</c:v>
                </c:pt>
                <c:pt idx="88">
                  <c:v>21.142099999999999</c:v>
                </c:pt>
                <c:pt idx="89">
                  <c:v>21.367899999999999</c:v>
                </c:pt>
                <c:pt idx="90">
                  <c:v>21.593800000000002</c:v>
                </c:pt>
                <c:pt idx="91">
                  <c:v>21.819600000000001</c:v>
                </c:pt>
                <c:pt idx="92">
                  <c:v>22.045500000000001</c:v>
                </c:pt>
                <c:pt idx="93">
                  <c:v>22.2713</c:v>
                </c:pt>
                <c:pt idx="94">
                  <c:v>22.497199999999999</c:v>
                </c:pt>
                <c:pt idx="95">
                  <c:v>22.722999999999999</c:v>
                </c:pt>
                <c:pt idx="96">
                  <c:v>22.948899999999998</c:v>
                </c:pt>
                <c:pt idx="97">
                  <c:v>23.174800000000001</c:v>
                </c:pt>
                <c:pt idx="98">
                  <c:v>23.400500000000001</c:v>
                </c:pt>
                <c:pt idx="99">
                  <c:v>23.626300000000001</c:v>
                </c:pt>
                <c:pt idx="100">
                  <c:v>23.8522</c:v>
                </c:pt>
                <c:pt idx="101">
                  <c:v>24.077999999999999</c:v>
                </c:pt>
                <c:pt idx="102">
                  <c:v>24.303799999999999</c:v>
                </c:pt>
                <c:pt idx="103">
                  <c:v>24.529699999999998</c:v>
                </c:pt>
                <c:pt idx="104">
                  <c:v>24.755500000000001</c:v>
                </c:pt>
                <c:pt idx="105">
                  <c:v>24.981400000000001</c:v>
                </c:pt>
                <c:pt idx="106">
                  <c:v>25.2072</c:v>
                </c:pt>
                <c:pt idx="107">
                  <c:v>25.4331</c:v>
                </c:pt>
                <c:pt idx="108">
                  <c:v>25.658899999999999</c:v>
                </c:pt>
                <c:pt idx="109">
                  <c:v>25.884899999999998</c:v>
                </c:pt>
                <c:pt idx="110">
                  <c:v>26.111000000000001</c:v>
                </c:pt>
                <c:pt idx="111">
                  <c:v>26.3399</c:v>
                </c:pt>
                <c:pt idx="112">
                  <c:v>26.3964</c:v>
                </c:pt>
                <c:pt idx="113">
                  <c:v>26.4529</c:v>
                </c:pt>
                <c:pt idx="114">
                  <c:v>26.509399999999999</c:v>
                </c:pt>
                <c:pt idx="115">
                  <c:v>26.565899999999999</c:v>
                </c:pt>
                <c:pt idx="116">
                  <c:v>26.622399999999999</c:v>
                </c:pt>
                <c:pt idx="117">
                  <c:v>26.678899999999999</c:v>
                </c:pt>
                <c:pt idx="118">
                  <c:v>26.735499999999998</c:v>
                </c:pt>
                <c:pt idx="119">
                  <c:v>26.792000000000002</c:v>
                </c:pt>
                <c:pt idx="120">
                  <c:v>26.848500000000001</c:v>
                </c:pt>
                <c:pt idx="121">
                  <c:v>26.905100000000001</c:v>
                </c:pt>
                <c:pt idx="122">
                  <c:v>26.962399999999999</c:v>
                </c:pt>
                <c:pt idx="123">
                  <c:v>26.976600000000001</c:v>
                </c:pt>
                <c:pt idx="124">
                  <c:v>26.9907</c:v>
                </c:pt>
                <c:pt idx="125">
                  <c:v>27.004799999999999</c:v>
                </c:pt>
                <c:pt idx="126">
                  <c:v>27.018899999999999</c:v>
                </c:pt>
                <c:pt idx="127">
                  <c:v>27.033000000000001</c:v>
                </c:pt>
                <c:pt idx="128">
                  <c:v>27.0471</c:v>
                </c:pt>
                <c:pt idx="129">
                  <c:v>27.061299999999999</c:v>
                </c:pt>
                <c:pt idx="130">
                  <c:v>27.075399999999998</c:v>
                </c:pt>
                <c:pt idx="131">
                  <c:v>27.089500000000001</c:v>
                </c:pt>
                <c:pt idx="132">
                  <c:v>27.1036</c:v>
                </c:pt>
                <c:pt idx="133">
                  <c:v>27.110700000000001</c:v>
                </c:pt>
                <c:pt idx="134">
                  <c:v>27.117799999999999</c:v>
                </c:pt>
                <c:pt idx="135">
                  <c:v>27.1249</c:v>
                </c:pt>
                <c:pt idx="136">
                  <c:v>27.131900000000002</c:v>
                </c:pt>
                <c:pt idx="137">
                  <c:v>27.138999999999999</c:v>
                </c:pt>
                <c:pt idx="138">
                  <c:v>27.146000000000001</c:v>
                </c:pt>
                <c:pt idx="139">
                  <c:v>27.153099999999998</c:v>
                </c:pt>
                <c:pt idx="140">
                  <c:v>27.1602</c:v>
                </c:pt>
                <c:pt idx="141">
                  <c:v>27.167200000000001</c:v>
                </c:pt>
                <c:pt idx="142">
                  <c:v>27.174299999999999</c:v>
                </c:pt>
                <c:pt idx="143">
                  <c:v>27.1814</c:v>
                </c:pt>
                <c:pt idx="144">
                  <c:v>27.188400000000001</c:v>
                </c:pt>
                <c:pt idx="145">
                  <c:v>27.195499999999999</c:v>
                </c:pt>
                <c:pt idx="146">
                  <c:v>27.2026</c:v>
                </c:pt>
                <c:pt idx="147">
                  <c:v>27.209599999999998</c:v>
                </c:pt>
                <c:pt idx="148">
                  <c:v>27.216699999999999</c:v>
                </c:pt>
                <c:pt idx="149">
                  <c:v>27.223700000000001</c:v>
                </c:pt>
                <c:pt idx="150">
                  <c:v>27.230799999999999</c:v>
                </c:pt>
                <c:pt idx="151">
                  <c:v>27.2379</c:v>
                </c:pt>
                <c:pt idx="152">
                  <c:v>27.244900000000001</c:v>
                </c:pt>
                <c:pt idx="153">
                  <c:v>27.251999999999999</c:v>
                </c:pt>
                <c:pt idx="154">
                  <c:v>27.2591</c:v>
                </c:pt>
                <c:pt idx="155">
                  <c:v>27.266100000000002</c:v>
                </c:pt>
                <c:pt idx="156">
                  <c:v>27.266200000000001</c:v>
                </c:pt>
                <c:pt idx="157">
                  <c:v>27.266400000000001</c:v>
                </c:pt>
                <c:pt idx="158">
                  <c:v>27.266500000000001</c:v>
                </c:pt>
                <c:pt idx="159">
                  <c:v>27.2668</c:v>
                </c:pt>
                <c:pt idx="160">
                  <c:v>27.267099999999999</c:v>
                </c:pt>
                <c:pt idx="161">
                  <c:v>27.267700000000001</c:v>
                </c:pt>
                <c:pt idx="162">
                  <c:v>27.2682</c:v>
                </c:pt>
                <c:pt idx="163">
                  <c:v>27.268699999999999</c:v>
                </c:pt>
                <c:pt idx="164">
                  <c:v>27.268899999999999</c:v>
                </c:pt>
                <c:pt idx="165">
                  <c:v>27.268899999999999</c:v>
                </c:pt>
                <c:pt idx="166">
                  <c:v>27.268899999999999</c:v>
                </c:pt>
                <c:pt idx="167">
                  <c:v>27.268899999999999</c:v>
                </c:pt>
                <c:pt idx="168">
                  <c:v>27.268899999999999</c:v>
                </c:pt>
                <c:pt idx="169">
                  <c:v>27.268899999999999</c:v>
                </c:pt>
                <c:pt idx="170">
                  <c:v>27.268899999999999</c:v>
                </c:pt>
                <c:pt idx="171">
                  <c:v>27.268899999999999</c:v>
                </c:pt>
                <c:pt idx="172">
                  <c:v>27.268899999999999</c:v>
                </c:pt>
                <c:pt idx="173">
                  <c:v>27.268899999999999</c:v>
                </c:pt>
                <c:pt idx="174">
                  <c:v>27.268899999999999</c:v>
                </c:pt>
                <c:pt idx="175">
                  <c:v>27.268899999999999</c:v>
                </c:pt>
                <c:pt idx="176">
                  <c:v>27.268899999999999</c:v>
                </c:pt>
                <c:pt idx="177">
                  <c:v>27.268899999999999</c:v>
                </c:pt>
                <c:pt idx="178">
                  <c:v>27.268899999999999</c:v>
                </c:pt>
                <c:pt idx="179">
                  <c:v>27.268899999999999</c:v>
                </c:pt>
                <c:pt idx="180">
                  <c:v>27.268899999999999</c:v>
                </c:pt>
                <c:pt idx="181">
                  <c:v>27.268899999999999</c:v>
                </c:pt>
                <c:pt idx="182">
                  <c:v>27.268899999999999</c:v>
                </c:pt>
                <c:pt idx="183">
                  <c:v>27.268899999999999</c:v>
                </c:pt>
                <c:pt idx="184">
                  <c:v>27.268899999999999</c:v>
                </c:pt>
                <c:pt idx="185">
                  <c:v>27.268899999999999</c:v>
                </c:pt>
                <c:pt idx="186">
                  <c:v>27.268899999999999</c:v>
                </c:pt>
                <c:pt idx="187">
                  <c:v>27.268899999999999</c:v>
                </c:pt>
                <c:pt idx="188">
                  <c:v>27.268899999999999</c:v>
                </c:pt>
                <c:pt idx="189">
                  <c:v>27.268899999999999</c:v>
                </c:pt>
                <c:pt idx="190">
                  <c:v>27.268899999999999</c:v>
                </c:pt>
                <c:pt idx="191">
                  <c:v>27.268899999999999</c:v>
                </c:pt>
                <c:pt idx="192">
                  <c:v>27.268899999999999</c:v>
                </c:pt>
                <c:pt idx="193">
                  <c:v>27.268899999999999</c:v>
                </c:pt>
                <c:pt idx="194">
                  <c:v>27.268899999999999</c:v>
                </c:pt>
                <c:pt idx="195">
                  <c:v>27.268899999999999</c:v>
                </c:pt>
                <c:pt idx="196">
                  <c:v>27.268899999999999</c:v>
                </c:pt>
                <c:pt idx="197">
                  <c:v>27.268899999999999</c:v>
                </c:pt>
                <c:pt idx="198">
                  <c:v>27.268899999999999</c:v>
                </c:pt>
                <c:pt idx="199">
                  <c:v>27.268899999999999</c:v>
                </c:pt>
                <c:pt idx="200">
                  <c:v>27.268899999999999</c:v>
                </c:pt>
              </c:numCache>
            </c:numRef>
          </c:xVal>
          <c:yVal>
            <c:numRef>
              <c:f>Sheet5!$I$3:$I$205</c:f>
              <c:numCache>
                <c:formatCode>General</c:formatCode>
                <c:ptCount val="203"/>
                <c:pt idx="0">
                  <c:v>-1.37297E-5</c:v>
                </c:pt>
                <c:pt idx="1">
                  <c:v>32.328800000000001</c:v>
                </c:pt>
                <c:pt idx="2">
                  <c:v>63.215600000000002</c:v>
                </c:pt>
                <c:pt idx="3">
                  <c:v>92.660600000000002</c:v>
                </c:pt>
                <c:pt idx="4">
                  <c:v>120.673</c:v>
                </c:pt>
                <c:pt idx="5">
                  <c:v>147.27100000000002</c:v>
                </c:pt>
                <c:pt idx="6">
                  <c:v>172.483</c:v>
                </c:pt>
                <c:pt idx="7">
                  <c:v>196.345</c:v>
                </c:pt>
                <c:pt idx="8">
                  <c:v>218.90200000000002</c:v>
                </c:pt>
                <c:pt idx="9">
                  <c:v>240.20500000000001</c:v>
                </c:pt>
                <c:pt idx="10">
                  <c:v>260.31299999999999</c:v>
                </c:pt>
                <c:pt idx="11">
                  <c:v>279.28399999999999</c:v>
                </c:pt>
                <c:pt idx="12">
                  <c:v>297.185</c:v>
                </c:pt>
                <c:pt idx="13">
                  <c:v>314.07800000000003</c:v>
                </c:pt>
                <c:pt idx="14">
                  <c:v>330.02800000000002</c:v>
                </c:pt>
                <c:pt idx="15">
                  <c:v>345.09800000000001</c:v>
                </c:pt>
                <c:pt idx="16">
                  <c:v>359.346</c:v>
                </c:pt>
                <c:pt idx="17">
                  <c:v>372.83100000000002</c:v>
                </c:pt>
                <c:pt idx="18">
                  <c:v>385.60500000000002</c:v>
                </c:pt>
                <c:pt idx="19">
                  <c:v>397.72</c:v>
                </c:pt>
                <c:pt idx="20">
                  <c:v>409.22200000000004</c:v>
                </c:pt>
                <c:pt idx="21">
                  <c:v>420.13299999999998</c:v>
                </c:pt>
                <c:pt idx="22">
                  <c:v>430.48</c:v>
                </c:pt>
                <c:pt idx="23">
                  <c:v>440.26300000000003</c:v>
                </c:pt>
                <c:pt idx="24">
                  <c:v>449.50299999999999</c:v>
                </c:pt>
                <c:pt idx="25">
                  <c:v>458.18600000000004</c:v>
                </c:pt>
                <c:pt idx="26">
                  <c:v>466.35500000000002</c:v>
                </c:pt>
                <c:pt idx="27">
                  <c:v>474.01600000000002</c:v>
                </c:pt>
                <c:pt idx="28">
                  <c:v>481.15000000000003</c:v>
                </c:pt>
                <c:pt idx="29">
                  <c:v>487.78700000000003</c:v>
                </c:pt>
                <c:pt idx="30">
                  <c:v>493.98599999999999</c:v>
                </c:pt>
                <c:pt idx="31">
                  <c:v>499.733</c:v>
                </c:pt>
                <c:pt idx="32">
                  <c:v>505.11900000000003</c:v>
                </c:pt>
                <c:pt idx="33">
                  <c:v>510.185</c:v>
                </c:pt>
                <c:pt idx="34">
                  <c:v>514.95400000000006</c:v>
                </c:pt>
                <c:pt idx="35">
                  <c:v>519.46699999999998</c:v>
                </c:pt>
                <c:pt idx="36">
                  <c:v>523.745</c:v>
                </c:pt>
                <c:pt idx="37">
                  <c:v>527.82100000000003</c:v>
                </c:pt>
                <c:pt idx="38">
                  <c:v>531.72400000000005</c:v>
                </c:pt>
                <c:pt idx="39">
                  <c:v>535.46900000000005</c:v>
                </c:pt>
                <c:pt idx="40">
                  <c:v>539.06500000000005</c:v>
                </c:pt>
                <c:pt idx="41">
                  <c:v>542.52800000000002</c:v>
                </c:pt>
                <c:pt idx="42">
                  <c:v>545.87199999999996</c:v>
                </c:pt>
                <c:pt idx="43">
                  <c:v>549.1</c:v>
                </c:pt>
                <c:pt idx="44">
                  <c:v>552.20600000000002</c:v>
                </c:pt>
                <c:pt idx="45">
                  <c:v>555.17600000000004</c:v>
                </c:pt>
                <c:pt idx="46">
                  <c:v>558.00599999999997</c:v>
                </c:pt>
                <c:pt idx="47">
                  <c:v>560.69200000000001</c:v>
                </c:pt>
                <c:pt idx="48">
                  <c:v>563.23500000000001</c:v>
                </c:pt>
                <c:pt idx="49">
                  <c:v>565.63499999999999</c:v>
                </c:pt>
                <c:pt idx="50">
                  <c:v>567.90100000000007</c:v>
                </c:pt>
                <c:pt idx="51">
                  <c:v>570.03200000000004</c:v>
                </c:pt>
                <c:pt idx="52">
                  <c:v>572.04200000000003</c:v>
                </c:pt>
                <c:pt idx="53">
                  <c:v>573.91300000000001</c:v>
                </c:pt>
                <c:pt idx="54">
                  <c:v>575.678</c:v>
                </c:pt>
                <c:pt idx="55">
                  <c:v>577.35199999999998</c:v>
                </c:pt>
                <c:pt idx="56">
                  <c:v>578.92500000000007</c:v>
                </c:pt>
                <c:pt idx="57">
                  <c:v>580.39200000000005</c:v>
                </c:pt>
                <c:pt idx="58">
                  <c:v>581.76800000000003</c:v>
                </c:pt>
                <c:pt idx="59">
                  <c:v>583.07399999999996</c:v>
                </c:pt>
                <c:pt idx="60">
                  <c:v>584.31500000000005</c:v>
                </c:pt>
                <c:pt idx="61">
                  <c:v>585.49699999999996</c:v>
                </c:pt>
                <c:pt idx="62">
                  <c:v>586.61400000000003</c:v>
                </c:pt>
                <c:pt idx="63">
                  <c:v>587.67100000000005</c:v>
                </c:pt>
                <c:pt idx="64">
                  <c:v>588.67700000000002</c:v>
                </c:pt>
                <c:pt idx="65">
                  <c:v>589.63900000000001</c:v>
                </c:pt>
                <c:pt idx="66">
                  <c:v>590.55799999999999</c:v>
                </c:pt>
                <c:pt idx="67">
                  <c:v>591.44100000000003</c:v>
                </c:pt>
                <c:pt idx="68">
                  <c:v>592.28899999999999</c:v>
                </c:pt>
                <c:pt idx="69">
                  <c:v>593.09500000000003</c:v>
                </c:pt>
                <c:pt idx="70">
                  <c:v>593.86500000000001</c:v>
                </c:pt>
                <c:pt idx="71">
                  <c:v>594.59699999999998</c:v>
                </c:pt>
                <c:pt idx="72">
                  <c:v>595.29499999999996</c:v>
                </c:pt>
                <c:pt idx="73">
                  <c:v>595.96600000000001</c:v>
                </c:pt>
                <c:pt idx="74">
                  <c:v>596.61300000000006</c:v>
                </c:pt>
                <c:pt idx="75">
                  <c:v>597.23400000000004</c:v>
                </c:pt>
                <c:pt idx="76">
                  <c:v>597.83000000000004</c:v>
                </c:pt>
                <c:pt idx="77">
                  <c:v>598.39800000000002</c:v>
                </c:pt>
                <c:pt idx="78">
                  <c:v>598.94100000000003</c:v>
                </c:pt>
                <c:pt idx="79">
                  <c:v>599.45900000000006</c:v>
                </c:pt>
                <c:pt idx="80">
                  <c:v>599.95400000000006</c:v>
                </c:pt>
                <c:pt idx="81">
                  <c:v>600.42399999999998</c:v>
                </c:pt>
                <c:pt idx="82">
                  <c:v>600.86900000000003</c:v>
                </c:pt>
                <c:pt idx="83">
                  <c:v>601.28899999999999</c:v>
                </c:pt>
                <c:pt idx="84">
                  <c:v>601.68600000000004</c:v>
                </c:pt>
                <c:pt idx="85">
                  <c:v>602.05899999999997</c:v>
                </c:pt>
                <c:pt idx="86">
                  <c:v>602.41499999999996</c:v>
                </c:pt>
                <c:pt idx="87">
                  <c:v>602.75200000000007</c:v>
                </c:pt>
                <c:pt idx="88">
                  <c:v>603.072</c:v>
                </c:pt>
                <c:pt idx="89">
                  <c:v>603.37400000000002</c:v>
                </c:pt>
                <c:pt idx="90">
                  <c:v>603.66100000000006</c:v>
                </c:pt>
                <c:pt idx="91">
                  <c:v>603.93200000000002</c:v>
                </c:pt>
                <c:pt idx="92">
                  <c:v>604.18600000000004</c:v>
                </c:pt>
                <c:pt idx="93">
                  <c:v>604.42399999999998</c:v>
                </c:pt>
                <c:pt idx="94">
                  <c:v>604.64599999999996</c:v>
                </c:pt>
                <c:pt idx="95">
                  <c:v>604.85500000000002</c:v>
                </c:pt>
                <c:pt idx="96">
                  <c:v>605.04700000000003</c:v>
                </c:pt>
                <c:pt idx="97">
                  <c:v>605.22699999999998</c:v>
                </c:pt>
                <c:pt idx="98">
                  <c:v>605.39599999999996</c:v>
                </c:pt>
                <c:pt idx="99">
                  <c:v>605.55500000000006</c:v>
                </c:pt>
                <c:pt idx="100">
                  <c:v>605.69900000000007</c:v>
                </c:pt>
                <c:pt idx="101">
                  <c:v>605.83100000000002</c:v>
                </c:pt>
                <c:pt idx="102">
                  <c:v>605.94900000000007</c:v>
                </c:pt>
                <c:pt idx="103">
                  <c:v>606.05500000000006</c:v>
                </c:pt>
                <c:pt idx="104">
                  <c:v>606.15100000000007</c:v>
                </c:pt>
                <c:pt idx="105">
                  <c:v>606.23800000000006</c:v>
                </c:pt>
                <c:pt idx="106">
                  <c:v>606.31399999999996</c:v>
                </c:pt>
                <c:pt idx="107">
                  <c:v>606.38</c:v>
                </c:pt>
                <c:pt idx="108">
                  <c:v>606.43899999999996</c:v>
                </c:pt>
                <c:pt idx="109">
                  <c:v>606.48900000000003</c:v>
                </c:pt>
                <c:pt idx="110">
                  <c:v>606.53</c:v>
                </c:pt>
                <c:pt idx="111">
                  <c:v>606.56299999999999</c:v>
                </c:pt>
                <c:pt idx="112">
                  <c:v>606.56899999999996</c:v>
                </c:pt>
                <c:pt idx="113">
                  <c:v>606.57500000000005</c:v>
                </c:pt>
                <c:pt idx="114">
                  <c:v>606.58000000000004</c:v>
                </c:pt>
                <c:pt idx="115">
                  <c:v>606.58500000000004</c:v>
                </c:pt>
                <c:pt idx="116">
                  <c:v>606.58900000000006</c:v>
                </c:pt>
                <c:pt idx="117">
                  <c:v>606.59299999999996</c:v>
                </c:pt>
                <c:pt idx="118">
                  <c:v>606.6</c:v>
                </c:pt>
                <c:pt idx="119">
                  <c:v>606.59900000000005</c:v>
                </c:pt>
                <c:pt idx="120">
                  <c:v>606.60199999999998</c:v>
                </c:pt>
                <c:pt idx="121">
                  <c:v>606.60599999999999</c:v>
                </c:pt>
                <c:pt idx="122">
                  <c:v>606.60699999999997</c:v>
                </c:pt>
                <c:pt idx="123">
                  <c:v>606.60800000000006</c:v>
                </c:pt>
                <c:pt idx="124">
                  <c:v>606.60800000000006</c:v>
                </c:pt>
                <c:pt idx="125">
                  <c:v>606.60800000000006</c:v>
                </c:pt>
                <c:pt idx="126">
                  <c:v>606.60900000000004</c:v>
                </c:pt>
                <c:pt idx="127">
                  <c:v>606.60900000000004</c:v>
                </c:pt>
                <c:pt idx="128">
                  <c:v>606.60900000000004</c:v>
                </c:pt>
                <c:pt idx="129">
                  <c:v>606.61</c:v>
                </c:pt>
                <c:pt idx="130">
                  <c:v>606.61</c:v>
                </c:pt>
                <c:pt idx="131">
                  <c:v>606.61</c:v>
                </c:pt>
                <c:pt idx="132">
                  <c:v>606.61</c:v>
                </c:pt>
                <c:pt idx="133">
                  <c:v>606.61300000000006</c:v>
                </c:pt>
                <c:pt idx="134">
                  <c:v>606.61199999999997</c:v>
                </c:pt>
                <c:pt idx="135">
                  <c:v>606.61300000000006</c:v>
                </c:pt>
                <c:pt idx="136">
                  <c:v>606.61199999999997</c:v>
                </c:pt>
                <c:pt idx="137">
                  <c:v>606.61400000000003</c:v>
                </c:pt>
                <c:pt idx="138">
                  <c:v>606.61199999999997</c:v>
                </c:pt>
                <c:pt idx="139">
                  <c:v>606.61400000000003</c:v>
                </c:pt>
                <c:pt idx="140">
                  <c:v>606.61300000000006</c:v>
                </c:pt>
                <c:pt idx="141">
                  <c:v>606.61300000000006</c:v>
                </c:pt>
                <c:pt idx="142">
                  <c:v>606.61300000000006</c:v>
                </c:pt>
                <c:pt idx="143">
                  <c:v>606.61400000000003</c:v>
                </c:pt>
                <c:pt idx="144">
                  <c:v>606.61300000000006</c:v>
                </c:pt>
                <c:pt idx="145">
                  <c:v>606.61400000000003</c:v>
                </c:pt>
                <c:pt idx="146">
                  <c:v>606.61500000000001</c:v>
                </c:pt>
                <c:pt idx="147">
                  <c:v>606.61400000000003</c:v>
                </c:pt>
                <c:pt idx="148">
                  <c:v>606.61300000000006</c:v>
                </c:pt>
                <c:pt idx="149">
                  <c:v>606.61400000000003</c:v>
                </c:pt>
                <c:pt idx="150">
                  <c:v>606.61300000000006</c:v>
                </c:pt>
                <c:pt idx="151">
                  <c:v>606.61400000000003</c:v>
                </c:pt>
                <c:pt idx="152">
                  <c:v>606.61400000000003</c:v>
                </c:pt>
                <c:pt idx="153">
                  <c:v>606.61400000000003</c:v>
                </c:pt>
                <c:pt idx="154">
                  <c:v>606.61300000000006</c:v>
                </c:pt>
                <c:pt idx="155">
                  <c:v>606.61400000000003</c:v>
                </c:pt>
                <c:pt idx="156">
                  <c:v>606.61400000000003</c:v>
                </c:pt>
                <c:pt idx="157">
                  <c:v>606.61500000000001</c:v>
                </c:pt>
                <c:pt idx="158">
                  <c:v>606.61699999999996</c:v>
                </c:pt>
                <c:pt idx="159">
                  <c:v>606.61900000000003</c:v>
                </c:pt>
                <c:pt idx="160">
                  <c:v>606.62199999999996</c:v>
                </c:pt>
                <c:pt idx="161">
                  <c:v>606.625</c:v>
                </c:pt>
                <c:pt idx="162">
                  <c:v>606.62700000000007</c:v>
                </c:pt>
                <c:pt idx="163">
                  <c:v>606.62900000000002</c:v>
                </c:pt>
                <c:pt idx="164">
                  <c:v>606.63</c:v>
                </c:pt>
                <c:pt idx="165">
                  <c:v>606.63</c:v>
                </c:pt>
                <c:pt idx="166">
                  <c:v>606.63</c:v>
                </c:pt>
                <c:pt idx="167">
                  <c:v>606.63</c:v>
                </c:pt>
                <c:pt idx="168">
                  <c:v>606.63</c:v>
                </c:pt>
                <c:pt idx="169">
                  <c:v>606.63</c:v>
                </c:pt>
                <c:pt idx="170">
                  <c:v>606.63</c:v>
                </c:pt>
                <c:pt idx="171">
                  <c:v>606.63</c:v>
                </c:pt>
                <c:pt idx="172">
                  <c:v>606.63</c:v>
                </c:pt>
                <c:pt idx="173">
                  <c:v>606.63</c:v>
                </c:pt>
                <c:pt idx="174">
                  <c:v>606.63</c:v>
                </c:pt>
                <c:pt idx="175">
                  <c:v>606.63</c:v>
                </c:pt>
                <c:pt idx="176">
                  <c:v>606.63</c:v>
                </c:pt>
                <c:pt idx="177">
                  <c:v>606.63</c:v>
                </c:pt>
                <c:pt idx="178">
                  <c:v>606.63</c:v>
                </c:pt>
                <c:pt idx="179">
                  <c:v>606.63</c:v>
                </c:pt>
                <c:pt idx="180">
                  <c:v>606.63</c:v>
                </c:pt>
                <c:pt idx="181">
                  <c:v>606.63</c:v>
                </c:pt>
                <c:pt idx="182">
                  <c:v>606.63</c:v>
                </c:pt>
                <c:pt idx="183">
                  <c:v>606.63</c:v>
                </c:pt>
                <c:pt idx="184">
                  <c:v>606.63</c:v>
                </c:pt>
                <c:pt idx="185">
                  <c:v>606.63</c:v>
                </c:pt>
                <c:pt idx="186">
                  <c:v>606.63</c:v>
                </c:pt>
                <c:pt idx="187">
                  <c:v>606.63</c:v>
                </c:pt>
                <c:pt idx="188">
                  <c:v>606.63</c:v>
                </c:pt>
                <c:pt idx="189">
                  <c:v>606.63</c:v>
                </c:pt>
                <c:pt idx="190">
                  <c:v>606.63</c:v>
                </c:pt>
                <c:pt idx="191">
                  <c:v>606.63</c:v>
                </c:pt>
                <c:pt idx="192">
                  <c:v>606.63</c:v>
                </c:pt>
                <c:pt idx="193">
                  <c:v>606.63</c:v>
                </c:pt>
                <c:pt idx="194">
                  <c:v>606.63</c:v>
                </c:pt>
                <c:pt idx="195">
                  <c:v>606.63</c:v>
                </c:pt>
                <c:pt idx="196">
                  <c:v>606.63</c:v>
                </c:pt>
                <c:pt idx="197">
                  <c:v>606.63</c:v>
                </c:pt>
                <c:pt idx="198">
                  <c:v>606.63</c:v>
                </c:pt>
                <c:pt idx="199">
                  <c:v>606.63</c:v>
                </c:pt>
                <c:pt idx="200">
                  <c:v>606.63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7-49A5-AF97-44B9963CA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120719"/>
        <c:axId val="1621123599"/>
      </c:scatterChart>
      <c:valAx>
        <c:axId val="162112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23599"/>
        <c:crosses val="autoZero"/>
        <c:crossBetween val="midCat"/>
      </c:valAx>
      <c:valAx>
        <c:axId val="16211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2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Sheet5!$J$3:$J$203</c:f>
              <c:numCache>
                <c:formatCode>General</c:formatCode>
                <c:ptCount val="201"/>
                <c:pt idx="0">
                  <c:v>-5.6400199999999998E-2</c:v>
                </c:pt>
                <c:pt idx="1">
                  <c:v>0.109655</c:v>
                </c:pt>
                <c:pt idx="2">
                  <c:v>0.27115499999999998</c:v>
                </c:pt>
                <c:pt idx="3">
                  <c:v>0.42791699999999999</c:v>
                </c:pt>
                <c:pt idx="4">
                  <c:v>0.57977699999999999</c:v>
                </c:pt>
                <c:pt idx="5">
                  <c:v>0.72660199999999997</c:v>
                </c:pt>
                <c:pt idx="6">
                  <c:v>0.86829299999999998</c:v>
                </c:pt>
                <c:pt idx="7">
                  <c:v>1.0047900000000001</c:v>
                </c:pt>
                <c:pt idx="8">
                  <c:v>1.13608</c:v>
                </c:pt>
                <c:pt idx="9">
                  <c:v>1.2621899999999999</c:v>
                </c:pt>
                <c:pt idx="10">
                  <c:v>1.3831800000000001</c:v>
                </c:pt>
                <c:pt idx="11">
                  <c:v>1.49918</c:v>
                </c:pt>
                <c:pt idx="12">
                  <c:v>1.6103099999999999</c:v>
                </c:pt>
                <c:pt idx="13">
                  <c:v>1.71675</c:v>
                </c:pt>
                <c:pt idx="14">
                  <c:v>1.8186800000000001</c:v>
                </c:pt>
                <c:pt idx="15">
                  <c:v>1.9162999999999999</c:v>
                </c:pt>
                <c:pt idx="16">
                  <c:v>2.0098199999999999</c:v>
                </c:pt>
                <c:pt idx="17">
                  <c:v>2.09945</c:v>
                </c:pt>
                <c:pt idx="18">
                  <c:v>2.1853799999999999</c:v>
                </c:pt>
                <c:pt idx="19">
                  <c:v>2.26783</c:v>
                </c:pt>
                <c:pt idx="20">
                  <c:v>2.347</c:v>
                </c:pt>
                <c:pt idx="21">
                  <c:v>2.4229400000000001</c:v>
                </c:pt>
                <c:pt idx="22">
                  <c:v>2.4957400000000001</c:v>
                </c:pt>
                <c:pt idx="23">
                  <c:v>2.5653600000000001</c:v>
                </c:pt>
                <c:pt idx="24">
                  <c:v>2.6318700000000002</c:v>
                </c:pt>
                <c:pt idx="25">
                  <c:v>2.6951299999999998</c:v>
                </c:pt>
                <c:pt idx="26">
                  <c:v>2.7553800000000002</c:v>
                </c:pt>
                <c:pt idx="27">
                  <c:v>2.81263</c:v>
                </c:pt>
                <c:pt idx="28">
                  <c:v>2.8667400000000001</c:v>
                </c:pt>
                <c:pt idx="29">
                  <c:v>2.9178799999999998</c:v>
                </c:pt>
                <c:pt idx="30">
                  <c:v>2.9664100000000002</c:v>
                </c:pt>
                <c:pt idx="31">
                  <c:v>3.0122399999999998</c:v>
                </c:pt>
                <c:pt idx="32">
                  <c:v>3.0559099999999999</c:v>
                </c:pt>
                <c:pt idx="33">
                  <c:v>3.0976599999999999</c:v>
                </c:pt>
                <c:pt idx="34">
                  <c:v>3.1376400000000002</c:v>
                </c:pt>
                <c:pt idx="35">
                  <c:v>3.1760999999999999</c:v>
                </c:pt>
                <c:pt idx="36">
                  <c:v>3.2131500000000002</c:v>
                </c:pt>
                <c:pt idx="37">
                  <c:v>3.24898</c:v>
                </c:pt>
                <c:pt idx="38">
                  <c:v>3.2837900000000002</c:v>
                </c:pt>
                <c:pt idx="39">
                  <c:v>3.3176299999999999</c:v>
                </c:pt>
                <c:pt idx="40">
                  <c:v>3.3505699999999998</c:v>
                </c:pt>
                <c:pt idx="41">
                  <c:v>3.3827099999999999</c:v>
                </c:pt>
                <c:pt idx="42">
                  <c:v>3.41412</c:v>
                </c:pt>
                <c:pt idx="43">
                  <c:v>3.4448300000000001</c:v>
                </c:pt>
                <c:pt idx="44">
                  <c:v>3.4748100000000002</c:v>
                </c:pt>
                <c:pt idx="45">
                  <c:v>3.5039600000000002</c:v>
                </c:pt>
                <c:pt idx="46">
                  <c:v>3.5322499999999999</c:v>
                </c:pt>
                <c:pt idx="47">
                  <c:v>3.5596700000000001</c:v>
                </c:pt>
                <c:pt idx="48">
                  <c:v>3.5862699999999998</c:v>
                </c:pt>
                <c:pt idx="49">
                  <c:v>3.6119599999999998</c:v>
                </c:pt>
                <c:pt idx="50">
                  <c:v>3.6368399999999999</c:v>
                </c:pt>
                <c:pt idx="51">
                  <c:v>3.6609099999999999</c:v>
                </c:pt>
                <c:pt idx="52">
                  <c:v>3.6842700000000002</c:v>
                </c:pt>
                <c:pt idx="53">
                  <c:v>3.7068099999999999</c:v>
                </c:pt>
                <c:pt idx="54">
                  <c:v>3.72872</c:v>
                </c:pt>
                <c:pt idx="55">
                  <c:v>3.7501000000000002</c:v>
                </c:pt>
                <c:pt idx="56">
                  <c:v>3.7708900000000001</c:v>
                </c:pt>
                <c:pt idx="57">
                  <c:v>3.79108</c:v>
                </c:pt>
                <c:pt idx="58">
                  <c:v>3.8107600000000001</c:v>
                </c:pt>
                <c:pt idx="59">
                  <c:v>3.8300399999999999</c:v>
                </c:pt>
                <c:pt idx="60">
                  <c:v>3.8489800000000001</c:v>
                </c:pt>
                <c:pt idx="61">
                  <c:v>3.8675799999999998</c:v>
                </c:pt>
                <c:pt idx="62">
                  <c:v>3.8858199999999998</c:v>
                </c:pt>
                <c:pt idx="63">
                  <c:v>3.90374</c:v>
                </c:pt>
                <c:pt idx="64">
                  <c:v>3.9213900000000002</c:v>
                </c:pt>
                <c:pt idx="65">
                  <c:v>3.9388100000000001</c:v>
                </c:pt>
                <c:pt idx="66">
                  <c:v>3.956</c:v>
                </c:pt>
                <c:pt idx="67">
                  <c:v>3.9730300000000001</c:v>
                </c:pt>
                <c:pt idx="68">
                  <c:v>3.9898799999999999</c:v>
                </c:pt>
                <c:pt idx="69">
                  <c:v>4.0065200000000001</c:v>
                </c:pt>
                <c:pt idx="70">
                  <c:v>4.0229799999999996</c:v>
                </c:pt>
                <c:pt idx="71">
                  <c:v>4.0392599999999996</c:v>
                </c:pt>
                <c:pt idx="72">
                  <c:v>4.0553699999999999</c:v>
                </c:pt>
                <c:pt idx="73">
                  <c:v>4.0713600000000003</c:v>
                </c:pt>
                <c:pt idx="74">
                  <c:v>4.08725</c:v>
                </c:pt>
                <c:pt idx="75">
                  <c:v>4.10304</c:v>
                </c:pt>
                <c:pt idx="76">
                  <c:v>4.1187199999999997</c:v>
                </c:pt>
                <c:pt idx="77">
                  <c:v>4.13429</c:v>
                </c:pt>
                <c:pt idx="78">
                  <c:v>4.1497599999999997</c:v>
                </c:pt>
                <c:pt idx="79">
                  <c:v>4.1651300000000004</c:v>
                </c:pt>
                <c:pt idx="80">
                  <c:v>4.1804300000000003</c:v>
                </c:pt>
                <c:pt idx="81">
                  <c:v>4.1956300000000004</c:v>
                </c:pt>
                <c:pt idx="82">
                  <c:v>4.2107299999999999</c:v>
                </c:pt>
                <c:pt idx="83">
                  <c:v>4.2257400000000001</c:v>
                </c:pt>
                <c:pt idx="84">
                  <c:v>4.2406699999999997</c:v>
                </c:pt>
                <c:pt idx="85">
                  <c:v>4.2555199999999997</c:v>
                </c:pt>
                <c:pt idx="86">
                  <c:v>4.2703199999999999</c:v>
                </c:pt>
                <c:pt idx="87">
                  <c:v>4.2850799999999998</c:v>
                </c:pt>
                <c:pt idx="88">
                  <c:v>4.2997899999999998</c:v>
                </c:pt>
                <c:pt idx="89">
                  <c:v>4.3144600000000004</c:v>
                </c:pt>
                <c:pt idx="90">
                  <c:v>4.3291000000000004</c:v>
                </c:pt>
                <c:pt idx="91">
                  <c:v>4.3437000000000001</c:v>
                </c:pt>
                <c:pt idx="92">
                  <c:v>4.3582700000000001</c:v>
                </c:pt>
                <c:pt idx="93">
                  <c:v>4.3727999999999998</c:v>
                </c:pt>
                <c:pt idx="94">
                  <c:v>4.3872999999999998</c:v>
                </c:pt>
                <c:pt idx="95">
                  <c:v>4.4017600000000003</c:v>
                </c:pt>
                <c:pt idx="96">
                  <c:v>4.4161999999999999</c:v>
                </c:pt>
                <c:pt idx="97">
                  <c:v>4.4306099999999997</c:v>
                </c:pt>
                <c:pt idx="98">
                  <c:v>4.44503</c:v>
                </c:pt>
                <c:pt idx="99">
                  <c:v>4.4594399999999998</c:v>
                </c:pt>
                <c:pt idx="100">
                  <c:v>4.4738199999999999</c:v>
                </c:pt>
                <c:pt idx="101">
                  <c:v>4.4881799999999998</c:v>
                </c:pt>
                <c:pt idx="102">
                  <c:v>4.5025300000000001</c:v>
                </c:pt>
                <c:pt idx="103">
                  <c:v>4.5168600000000003</c:v>
                </c:pt>
                <c:pt idx="104">
                  <c:v>4.5311899999999996</c:v>
                </c:pt>
                <c:pt idx="105">
                  <c:v>4.5455300000000003</c:v>
                </c:pt>
                <c:pt idx="106">
                  <c:v>4.5598599999999996</c:v>
                </c:pt>
                <c:pt idx="107">
                  <c:v>4.5741899999999998</c:v>
                </c:pt>
                <c:pt idx="108">
                  <c:v>4.5885300000000004</c:v>
                </c:pt>
                <c:pt idx="109">
                  <c:v>4.6028799999999999</c:v>
                </c:pt>
                <c:pt idx="110">
                  <c:v>4.6172399999999998</c:v>
                </c:pt>
                <c:pt idx="111">
                  <c:v>4.6318000000000001</c:v>
                </c:pt>
                <c:pt idx="112">
                  <c:v>4.6353900000000001</c:v>
                </c:pt>
                <c:pt idx="113">
                  <c:v>4.6389800000000001</c:v>
                </c:pt>
                <c:pt idx="114">
                  <c:v>4.6425799999999997</c:v>
                </c:pt>
                <c:pt idx="115">
                  <c:v>4.6461699999999997</c:v>
                </c:pt>
                <c:pt idx="116">
                  <c:v>4.6497700000000002</c:v>
                </c:pt>
                <c:pt idx="117">
                  <c:v>4.6533699999999998</c:v>
                </c:pt>
                <c:pt idx="118">
                  <c:v>4.6569599999999998</c:v>
                </c:pt>
                <c:pt idx="119">
                  <c:v>4.6605699999999999</c:v>
                </c:pt>
                <c:pt idx="120">
                  <c:v>4.6641700000000004</c:v>
                </c:pt>
                <c:pt idx="121">
                  <c:v>4.6677900000000001</c:v>
                </c:pt>
                <c:pt idx="122">
                  <c:v>4.6714500000000001</c:v>
                </c:pt>
                <c:pt idx="123">
                  <c:v>4.6723400000000002</c:v>
                </c:pt>
                <c:pt idx="124">
                  <c:v>4.6732500000000003</c:v>
                </c:pt>
                <c:pt idx="125">
                  <c:v>4.67415</c:v>
                </c:pt>
                <c:pt idx="126">
                  <c:v>4.6750499999999997</c:v>
                </c:pt>
                <c:pt idx="127">
                  <c:v>4.6759500000000003</c:v>
                </c:pt>
                <c:pt idx="128">
                  <c:v>4.6768599999999996</c:v>
                </c:pt>
                <c:pt idx="129">
                  <c:v>4.6777600000000001</c:v>
                </c:pt>
                <c:pt idx="130">
                  <c:v>4.6786599999999998</c:v>
                </c:pt>
                <c:pt idx="131">
                  <c:v>4.67957</c:v>
                </c:pt>
                <c:pt idx="132">
                  <c:v>4.6804699999999997</c:v>
                </c:pt>
                <c:pt idx="133">
                  <c:v>4.68093</c:v>
                </c:pt>
                <c:pt idx="134">
                  <c:v>4.6813799999999999</c:v>
                </c:pt>
                <c:pt idx="135">
                  <c:v>4.6818299999999997</c:v>
                </c:pt>
                <c:pt idx="136">
                  <c:v>4.6822800000000004</c:v>
                </c:pt>
                <c:pt idx="137">
                  <c:v>4.6827300000000003</c:v>
                </c:pt>
                <c:pt idx="138">
                  <c:v>4.6831800000000001</c:v>
                </c:pt>
                <c:pt idx="139">
                  <c:v>4.6836399999999996</c:v>
                </c:pt>
                <c:pt idx="140">
                  <c:v>4.6840900000000003</c:v>
                </c:pt>
                <c:pt idx="141">
                  <c:v>4.6845400000000001</c:v>
                </c:pt>
                <c:pt idx="142">
                  <c:v>4.68499</c:v>
                </c:pt>
                <c:pt idx="143">
                  <c:v>4.6854399999999998</c:v>
                </c:pt>
                <c:pt idx="144">
                  <c:v>4.6859000000000002</c:v>
                </c:pt>
                <c:pt idx="145">
                  <c:v>4.68635</c:v>
                </c:pt>
                <c:pt idx="146">
                  <c:v>4.6868100000000004</c:v>
                </c:pt>
                <c:pt idx="147">
                  <c:v>4.6872499999999997</c:v>
                </c:pt>
                <c:pt idx="148">
                  <c:v>4.6877000000000004</c:v>
                </c:pt>
                <c:pt idx="149">
                  <c:v>4.6881599999999999</c:v>
                </c:pt>
                <c:pt idx="150">
                  <c:v>4.6886099999999997</c:v>
                </c:pt>
                <c:pt idx="151">
                  <c:v>4.6890599999999996</c:v>
                </c:pt>
                <c:pt idx="152">
                  <c:v>4.6895199999999999</c:v>
                </c:pt>
                <c:pt idx="153">
                  <c:v>4.6899699999999998</c:v>
                </c:pt>
                <c:pt idx="154">
                  <c:v>4.6904199999999996</c:v>
                </c:pt>
                <c:pt idx="155">
                  <c:v>4.6908700000000003</c:v>
                </c:pt>
                <c:pt idx="156">
                  <c:v>4.6908799999999999</c:v>
                </c:pt>
                <c:pt idx="157">
                  <c:v>4.6908899999999996</c:v>
                </c:pt>
                <c:pt idx="158">
                  <c:v>4.6909099999999997</c:v>
                </c:pt>
                <c:pt idx="159">
                  <c:v>4.6909400000000003</c:v>
                </c:pt>
                <c:pt idx="160">
                  <c:v>4.6909799999999997</c:v>
                </c:pt>
                <c:pt idx="161">
                  <c:v>4.6910299999999996</c:v>
                </c:pt>
                <c:pt idx="162">
                  <c:v>4.6910800000000004</c:v>
                </c:pt>
                <c:pt idx="163">
                  <c:v>4.6911300000000002</c:v>
                </c:pt>
                <c:pt idx="164">
                  <c:v>4.6911399999999999</c:v>
                </c:pt>
                <c:pt idx="165">
                  <c:v>4.6911500000000004</c:v>
                </c:pt>
                <c:pt idx="166">
                  <c:v>4.6911500000000004</c:v>
                </c:pt>
                <c:pt idx="167">
                  <c:v>4.6911500000000004</c:v>
                </c:pt>
                <c:pt idx="168">
                  <c:v>4.6911500000000004</c:v>
                </c:pt>
                <c:pt idx="169">
                  <c:v>4.6911500000000004</c:v>
                </c:pt>
                <c:pt idx="170">
                  <c:v>4.6911500000000004</c:v>
                </c:pt>
                <c:pt idx="171">
                  <c:v>4.6911500000000004</c:v>
                </c:pt>
                <c:pt idx="172">
                  <c:v>4.6911500000000004</c:v>
                </c:pt>
                <c:pt idx="173">
                  <c:v>4.6911500000000004</c:v>
                </c:pt>
                <c:pt idx="174">
                  <c:v>4.6911500000000004</c:v>
                </c:pt>
                <c:pt idx="175">
                  <c:v>4.6911500000000004</c:v>
                </c:pt>
                <c:pt idx="176">
                  <c:v>4.6911500000000004</c:v>
                </c:pt>
                <c:pt idx="177">
                  <c:v>4.6911500000000004</c:v>
                </c:pt>
                <c:pt idx="178">
                  <c:v>4.6911500000000004</c:v>
                </c:pt>
                <c:pt idx="179">
                  <c:v>4.6911500000000004</c:v>
                </c:pt>
                <c:pt idx="180">
                  <c:v>4.6911500000000004</c:v>
                </c:pt>
                <c:pt idx="181">
                  <c:v>4.6911500000000004</c:v>
                </c:pt>
                <c:pt idx="182">
                  <c:v>4.6911500000000004</c:v>
                </c:pt>
                <c:pt idx="183">
                  <c:v>4.6911500000000004</c:v>
                </c:pt>
                <c:pt idx="184">
                  <c:v>4.6911500000000004</c:v>
                </c:pt>
                <c:pt idx="185">
                  <c:v>4.6911500000000004</c:v>
                </c:pt>
                <c:pt idx="186">
                  <c:v>4.6911500000000004</c:v>
                </c:pt>
                <c:pt idx="187">
                  <c:v>4.6911500000000004</c:v>
                </c:pt>
                <c:pt idx="188">
                  <c:v>4.6911500000000004</c:v>
                </c:pt>
                <c:pt idx="189">
                  <c:v>4.6911500000000004</c:v>
                </c:pt>
                <c:pt idx="190">
                  <c:v>4.6911500000000004</c:v>
                </c:pt>
                <c:pt idx="191">
                  <c:v>4.6911500000000004</c:v>
                </c:pt>
                <c:pt idx="192">
                  <c:v>4.6911500000000004</c:v>
                </c:pt>
                <c:pt idx="193">
                  <c:v>4.6911500000000004</c:v>
                </c:pt>
                <c:pt idx="194">
                  <c:v>4.6911500000000004</c:v>
                </c:pt>
                <c:pt idx="195">
                  <c:v>4.6911500000000004</c:v>
                </c:pt>
                <c:pt idx="196">
                  <c:v>4.6911500000000004</c:v>
                </c:pt>
                <c:pt idx="197">
                  <c:v>4.6911500000000004</c:v>
                </c:pt>
                <c:pt idx="198">
                  <c:v>4.6911500000000004</c:v>
                </c:pt>
                <c:pt idx="199">
                  <c:v>4.6911500000000004</c:v>
                </c:pt>
                <c:pt idx="200">
                  <c:v>4.6911500000000004</c:v>
                </c:pt>
              </c:numCache>
            </c:numRef>
          </c:xVal>
          <c:yVal>
            <c:numRef>
              <c:f>Sheet5!$K$3:$K$203</c:f>
              <c:numCache>
                <c:formatCode>General</c:formatCode>
                <c:ptCount val="201"/>
                <c:pt idx="0">
                  <c:v>-1.37297E-5</c:v>
                </c:pt>
                <c:pt idx="1">
                  <c:v>32.328800000000001</c:v>
                </c:pt>
                <c:pt idx="2">
                  <c:v>63.215600000000002</c:v>
                </c:pt>
                <c:pt idx="3">
                  <c:v>92.660600000000002</c:v>
                </c:pt>
                <c:pt idx="4">
                  <c:v>120.673</c:v>
                </c:pt>
                <c:pt idx="5">
                  <c:v>147.27100000000002</c:v>
                </c:pt>
                <c:pt idx="6">
                  <c:v>172.483</c:v>
                </c:pt>
                <c:pt idx="7">
                  <c:v>196.345</c:v>
                </c:pt>
                <c:pt idx="8">
                  <c:v>218.90200000000002</c:v>
                </c:pt>
                <c:pt idx="9">
                  <c:v>240.20500000000001</c:v>
                </c:pt>
                <c:pt idx="10">
                  <c:v>260.31299999999999</c:v>
                </c:pt>
                <c:pt idx="11">
                  <c:v>279.28399999999999</c:v>
                </c:pt>
                <c:pt idx="12">
                  <c:v>297.185</c:v>
                </c:pt>
                <c:pt idx="13">
                  <c:v>314.07800000000003</c:v>
                </c:pt>
                <c:pt idx="14">
                  <c:v>330.02800000000002</c:v>
                </c:pt>
                <c:pt idx="15">
                  <c:v>345.09800000000001</c:v>
                </c:pt>
                <c:pt idx="16">
                  <c:v>359.346</c:v>
                </c:pt>
                <c:pt idx="17">
                  <c:v>372.83100000000002</c:v>
                </c:pt>
                <c:pt idx="18">
                  <c:v>385.60500000000002</c:v>
                </c:pt>
                <c:pt idx="19">
                  <c:v>397.72</c:v>
                </c:pt>
                <c:pt idx="20">
                  <c:v>409.22200000000004</c:v>
                </c:pt>
                <c:pt idx="21">
                  <c:v>420.13299999999998</c:v>
                </c:pt>
                <c:pt idx="22">
                  <c:v>430.48</c:v>
                </c:pt>
                <c:pt idx="23">
                  <c:v>440.26300000000003</c:v>
                </c:pt>
                <c:pt idx="24">
                  <c:v>449.50299999999999</c:v>
                </c:pt>
                <c:pt idx="25">
                  <c:v>458.18600000000004</c:v>
                </c:pt>
                <c:pt idx="26">
                  <c:v>466.35500000000002</c:v>
                </c:pt>
                <c:pt idx="27">
                  <c:v>474.01600000000002</c:v>
                </c:pt>
                <c:pt idx="28">
                  <c:v>481.15000000000003</c:v>
                </c:pt>
                <c:pt idx="29">
                  <c:v>487.78700000000003</c:v>
                </c:pt>
                <c:pt idx="30">
                  <c:v>493.98599999999999</c:v>
                </c:pt>
                <c:pt idx="31">
                  <c:v>499.733</c:v>
                </c:pt>
                <c:pt idx="32">
                  <c:v>505.11900000000003</c:v>
                </c:pt>
                <c:pt idx="33">
                  <c:v>510.185</c:v>
                </c:pt>
                <c:pt idx="34">
                  <c:v>514.95400000000006</c:v>
                </c:pt>
                <c:pt idx="35">
                  <c:v>519.46699999999998</c:v>
                </c:pt>
                <c:pt idx="36">
                  <c:v>523.745</c:v>
                </c:pt>
                <c:pt idx="37">
                  <c:v>527.82100000000003</c:v>
                </c:pt>
                <c:pt idx="38">
                  <c:v>531.72400000000005</c:v>
                </c:pt>
                <c:pt idx="39">
                  <c:v>535.46900000000005</c:v>
                </c:pt>
                <c:pt idx="40">
                  <c:v>539.06500000000005</c:v>
                </c:pt>
                <c:pt idx="41">
                  <c:v>542.52800000000002</c:v>
                </c:pt>
                <c:pt idx="42">
                  <c:v>545.87199999999996</c:v>
                </c:pt>
                <c:pt idx="43">
                  <c:v>549.1</c:v>
                </c:pt>
                <c:pt idx="44">
                  <c:v>552.20600000000002</c:v>
                </c:pt>
                <c:pt idx="45">
                  <c:v>555.17600000000004</c:v>
                </c:pt>
                <c:pt idx="46">
                  <c:v>558.00599999999997</c:v>
                </c:pt>
                <c:pt idx="47">
                  <c:v>560.69200000000001</c:v>
                </c:pt>
                <c:pt idx="48">
                  <c:v>563.23500000000001</c:v>
                </c:pt>
                <c:pt idx="49">
                  <c:v>565.63499999999999</c:v>
                </c:pt>
                <c:pt idx="50">
                  <c:v>567.90100000000007</c:v>
                </c:pt>
                <c:pt idx="51">
                  <c:v>570.03200000000004</c:v>
                </c:pt>
                <c:pt idx="52">
                  <c:v>572.04200000000003</c:v>
                </c:pt>
                <c:pt idx="53">
                  <c:v>573.91300000000001</c:v>
                </c:pt>
                <c:pt idx="54">
                  <c:v>575.678</c:v>
                </c:pt>
                <c:pt idx="55">
                  <c:v>577.35199999999998</c:v>
                </c:pt>
                <c:pt idx="56">
                  <c:v>578.92500000000007</c:v>
                </c:pt>
                <c:pt idx="57">
                  <c:v>580.39200000000005</c:v>
                </c:pt>
                <c:pt idx="58">
                  <c:v>581.76800000000003</c:v>
                </c:pt>
                <c:pt idx="59">
                  <c:v>583.07399999999996</c:v>
                </c:pt>
                <c:pt idx="60">
                  <c:v>584.31500000000005</c:v>
                </c:pt>
                <c:pt idx="61">
                  <c:v>585.49699999999996</c:v>
                </c:pt>
                <c:pt idx="62">
                  <c:v>586.61400000000003</c:v>
                </c:pt>
                <c:pt idx="63">
                  <c:v>587.67100000000005</c:v>
                </c:pt>
                <c:pt idx="64">
                  <c:v>588.67700000000002</c:v>
                </c:pt>
                <c:pt idx="65">
                  <c:v>589.63900000000001</c:v>
                </c:pt>
                <c:pt idx="66">
                  <c:v>590.55799999999999</c:v>
                </c:pt>
                <c:pt idx="67">
                  <c:v>591.44100000000003</c:v>
                </c:pt>
                <c:pt idx="68">
                  <c:v>592.28899999999999</c:v>
                </c:pt>
                <c:pt idx="69">
                  <c:v>593.09500000000003</c:v>
                </c:pt>
                <c:pt idx="70">
                  <c:v>593.86500000000001</c:v>
                </c:pt>
                <c:pt idx="71">
                  <c:v>594.59699999999998</c:v>
                </c:pt>
                <c:pt idx="72">
                  <c:v>595.29499999999996</c:v>
                </c:pt>
                <c:pt idx="73">
                  <c:v>595.96600000000001</c:v>
                </c:pt>
                <c:pt idx="74">
                  <c:v>596.61300000000006</c:v>
                </c:pt>
                <c:pt idx="75">
                  <c:v>597.23400000000004</c:v>
                </c:pt>
                <c:pt idx="76">
                  <c:v>597.83000000000004</c:v>
                </c:pt>
                <c:pt idx="77">
                  <c:v>598.39800000000002</c:v>
                </c:pt>
                <c:pt idx="78">
                  <c:v>598.94100000000003</c:v>
                </c:pt>
                <c:pt idx="79">
                  <c:v>599.45900000000006</c:v>
                </c:pt>
                <c:pt idx="80">
                  <c:v>599.95400000000006</c:v>
                </c:pt>
                <c:pt idx="81">
                  <c:v>600.42399999999998</c:v>
                </c:pt>
                <c:pt idx="82">
                  <c:v>600.86900000000003</c:v>
                </c:pt>
                <c:pt idx="83">
                  <c:v>601.28899999999999</c:v>
                </c:pt>
                <c:pt idx="84">
                  <c:v>601.68600000000004</c:v>
                </c:pt>
                <c:pt idx="85">
                  <c:v>602.05899999999997</c:v>
                </c:pt>
                <c:pt idx="86">
                  <c:v>602.41499999999996</c:v>
                </c:pt>
                <c:pt idx="87">
                  <c:v>602.75200000000007</c:v>
                </c:pt>
                <c:pt idx="88">
                  <c:v>603.072</c:v>
                </c:pt>
                <c:pt idx="89">
                  <c:v>603.37400000000002</c:v>
                </c:pt>
                <c:pt idx="90">
                  <c:v>603.66100000000006</c:v>
                </c:pt>
                <c:pt idx="91">
                  <c:v>603.93200000000002</c:v>
                </c:pt>
                <c:pt idx="92">
                  <c:v>604.18600000000004</c:v>
                </c:pt>
                <c:pt idx="93">
                  <c:v>604.42399999999998</c:v>
                </c:pt>
                <c:pt idx="94">
                  <c:v>604.64599999999996</c:v>
                </c:pt>
                <c:pt idx="95">
                  <c:v>604.85500000000002</c:v>
                </c:pt>
                <c:pt idx="96">
                  <c:v>605.04700000000003</c:v>
                </c:pt>
                <c:pt idx="97">
                  <c:v>605.22699999999998</c:v>
                </c:pt>
                <c:pt idx="98">
                  <c:v>605.39599999999996</c:v>
                </c:pt>
                <c:pt idx="99">
                  <c:v>605.55500000000006</c:v>
                </c:pt>
                <c:pt idx="100">
                  <c:v>605.69900000000007</c:v>
                </c:pt>
                <c:pt idx="101">
                  <c:v>605.83100000000002</c:v>
                </c:pt>
                <c:pt idx="102">
                  <c:v>605.94900000000007</c:v>
                </c:pt>
                <c:pt idx="103">
                  <c:v>606.05500000000006</c:v>
                </c:pt>
                <c:pt idx="104">
                  <c:v>606.15100000000007</c:v>
                </c:pt>
                <c:pt idx="105">
                  <c:v>606.23800000000006</c:v>
                </c:pt>
                <c:pt idx="106">
                  <c:v>606.31399999999996</c:v>
                </c:pt>
                <c:pt idx="107">
                  <c:v>606.38</c:v>
                </c:pt>
                <c:pt idx="108">
                  <c:v>606.43899999999996</c:v>
                </c:pt>
                <c:pt idx="109">
                  <c:v>606.48900000000003</c:v>
                </c:pt>
                <c:pt idx="110">
                  <c:v>606.53</c:v>
                </c:pt>
                <c:pt idx="111">
                  <c:v>606.56299999999999</c:v>
                </c:pt>
                <c:pt idx="112">
                  <c:v>606.56899999999996</c:v>
                </c:pt>
                <c:pt idx="113">
                  <c:v>606.57500000000005</c:v>
                </c:pt>
                <c:pt idx="114">
                  <c:v>606.58000000000004</c:v>
                </c:pt>
                <c:pt idx="115">
                  <c:v>606.58500000000004</c:v>
                </c:pt>
                <c:pt idx="116">
                  <c:v>606.58900000000006</c:v>
                </c:pt>
                <c:pt idx="117">
                  <c:v>606.59299999999996</c:v>
                </c:pt>
                <c:pt idx="118">
                  <c:v>606.6</c:v>
                </c:pt>
                <c:pt idx="119">
                  <c:v>606.59900000000005</c:v>
                </c:pt>
                <c:pt idx="120">
                  <c:v>606.60199999999998</c:v>
                </c:pt>
                <c:pt idx="121">
                  <c:v>606.60599999999999</c:v>
                </c:pt>
                <c:pt idx="122">
                  <c:v>606.60699999999997</c:v>
                </c:pt>
                <c:pt idx="123">
                  <c:v>606.60800000000006</c:v>
                </c:pt>
                <c:pt idx="124">
                  <c:v>606.60800000000006</c:v>
                </c:pt>
                <c:pt idx="125">
                  <c:v>606.60800000000006</c:v>
                </c:pt>
                <c:pt idx="126">
                  <c:v>606.60900000000004</c:v>
                </c:pt>
                <c:pt idx="127">
                  <c:v>606.60900000000004</c:v>
                </c:pt>
                <c:pt idx="128">
                  <c:v>606.60900000000004</c:v>
                </c:pt>
                <c:pt idx="129">
                  <c:v>606.61</c:v>
                </c:pt>
                <c:pt idx="130">
                  <c:v>606.61</c:v>
                </c:pt>
                <c:pt idx="131">
                  <c:v>606.61</c:v>
                </c:pt>
                <c:pt idx="132">
                  <c:v>606.61</c:v>
                </c:pt>
                <c:pt idx="133">
                  <c:v>606.61300000000006</c:v>
                </c:pt>
                <c:pt idx="134">
                  <c:v>606.61199999999997</c:v>
                </c:pt>
                <c:pt idx="135">
                  <c:v>606.61300000000006</c:v>
                </c:pt>
                <c:pt idx="136">
                  <c:v>606.61199999999997</c:v>
                </c:pt>
                <c:pt idx="137">
                  <c:v>606.61400000000003</c:v>
                </c:pt>
                <c:pt idx="138">
                  <c:v>606.61199999999997</c:v>
                </c:pt>
                <c:pt idx="139">
                  <c:v>606.61400000000003</c:v>
                </c:pt>
                <c:pt idx="140">
                  <c:v>606.61300000000006</c:v>
                </c:pt>
                <c:pt idx="141">
                  <c:v>606.61300000000006</c:v>
                </c:pt>
                <c:pt idx="142">
                  <c:v>606.61300000000006</c:v>
                </c:pt>
                <c:pt idx="143">
                  <c:v>606.61400000000003</c:v>
                </c:pt>
                <c:pt idx="144">
                  <c:v>606.61300000000006</c:v>
                </c:pt>
                <c:pt idx="145">
                  <c:v>606.61400000000003</c:v>
                </c:pt>
                <c:pt idx="146">
                  <c:v>606.61500000000001</c:v>
                </c:pt>
                <c:pt idx="147">
                  <c:v>606.61400000000003</c:v>
                </c:pt>
                <c:pt idx="148">
                  <c:v>606.61300000000006</c:v>
                </c:pt>
                <c:pt idx="149">
                  <c:v>606.61400000000003</c:v>
                </c:pt>
                <c:pt idx="150">
                  <c:v>606.61300000000006</c:v>
                </c:pt>
                <c:pt idx="151">
                  <c:v>606.61400000000003</c:v>
                </c:pt>
                <c:pt idx="152">
                  <c:v>606.61400000000003</c:v>
                </c:pt>
                <c:pt idx="153">
                  <c:v>606.61400000000003</c:v>
                </c:pt>
                <c:pt idx="154">
                  <c:v>606.61300000000006</c:v>
                </c:pt>
                <c:pt idx="155">
                  <c:v>606.61400000000003</c:v>
                </c:pt>
                <c:pt idx="156">
                  <c:v>606.61400000000003</c:v>
                </c:pt>
                <c:pt idx="157">
                  <c:v>606.61500000000001</c:v>
                </c:pt>
                <c:pt idx="158">
                  <c:v>606.61699999999996</c:v>
                </c:pt>
                <c:pt idx="159">
                  <c:v>606.61900000000003</c:v>
                </c:pt>
                <c:pt idx="160">
                  <c:v>606.62199999999996</c:v>
                </c:pt>
                <c:pt idx="161">
                  <c:v>606.625</c:v>
                </c:pt>
                <c:pt idx="162">
                  <c:v>606.62700000000007</c:v>
                </c:pt>
                <c:pt idx="163">
                  <c:v>606.62900000000002</c:v>
                </c:pt>
                <c:pt idx="164">
                  <c:v>606.63</c:v>
                </c:pt>
                <c:pt idx="165">
                  <c:v>606.63</c:v>
                </c:pt>
                <c:pt idx="166">
                  <c:v>606.63</c:v>
                </c:pt>
                <c:pt idx="167">
                  <c:v>606.63</c:v>
                </c:pt>
                <c:pt idx="168">
                  <c:v>606.63</c:v>
                </c:pt>
                <c:pt idx="169">
                  <c:v>606.63</c:v>
                </c:pt>
                <c:pt idx="170">
                  <c:v>606.63</c:v>
                </c:pt>
                <c:pt idx="171">
                  <c:v>606.63</c:v>
                </c:pt>
                <c:pt idx="172">
                  <c:v>606.63</c:v>
                </c:pt>
                <c:pt idx="173">
                  <c:v>606.63</c:v>
                </c:pt>
                <c:pt idx="174">
                  <c:v>606.63</c:v>
                </c:pt>
                <c:pt idx="175">
                  <c:v>606.63</c:v>
                </c:pt>
                <c:pt idx="176">
                  <c:v>606.63</c:v>
                </c:pt>
                <c:pt idx="177">
                  <c:v>606.63</c:v>
                </c:pt>
                <c:pt idx="178">
                  <c:v>606.63</c:v>
                </c:pt>
                <c:pt idx="179">
                  <c:v>606.63</c:v>
                </c:pt>
                <c:pt idx="180">
                  <c:v>606.63</c:v>
                </c:pt>
                <c:pt idx="181">
                  <c:v>606.63</c:v>
                </c:pt>
                <c:pt idx="182">
                  <c:v>606.63</c:v>
                </c:pt>
                <c:pt idx="183">
                  <c:v>606.63</c:v>
                </c:pt>
                <c:pt idx="184">
                  <c:v>606.63</c:v>
                </c:pt>
                <c:pt idx="185">
                  <c:v>606.63</c:v>
                </c:pt>
                <c:pt idx="186">
                  <c:v>606.63</c:v>
                </c:pt>
                <c:pt idx="187">
                  <c:v>606.63</c:v>
                </c:pt>
                <c:pt idx="188">
                  <c:v>606.63</c:v>
                </c:pt>
                <c:pt idx="189">
                  <c:v>606.63</c:v>
                </c:pt>
                <c:pt idx="190">
                  <c:v>606.63</c:v>
                </c:pt>
                <c:pt idx="191">
                  <c:v>606.63</c:v>
                </c:pt>
                <c:pt idx="192">
                  <c:v>606.63</c:v>
                </c:pt>
                <c:pt idx="193">
                  <c:v>606.63</c:v>
                </c:pt>
                <c:pt idx="194">
                  <c:v>606.63</c:v>
                </c:pt>
                <c:pt idx="195">
                  <c:v>606.63</c:v>
                </c:pt>
                <c:pt idx="196">
                  <c:v>606.63</c:v>
                </c:pt>
                <c:pt idx="197">
                  <c:v>606.63</c:v>
                </c:pt>
                <c:pt idx="198">
                  <c:v>606.63</c:v>
                </c:pt>
                <c:pt idx="199">
                  <c:v>606.63</c:v>
                </c:pt>
                <c:pt idx="200">
                  <c:v>606.63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2B-4083-AE36-3DF8DDFC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98784"/>
        <c:axId val="159795904"/>
      </c:scatterChart>
      <c:valAx>
        <c:axId val="15979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5904"/>
        <c:crosses val="autoZero"/>
        <c:crossBetween val="midCat"/>
      </c:valAx>
      <c:valAx>
        <c:axId val="1597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533399</xdr:colOff>
      <xdr:row>169</xdr:row>
      <xdr:rowOff>52387</xdr:rowOff>
    </xdr:from>
    <xdr:to>
      <xdr:col>26</xdr:col>
      <xdr:colOff>238124</xdr:colOff>
      <xdr:row>206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0AC8E-3410-9D6F-B8C8-EAB581894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492124</xdr:colOff>
      <xdr:row>17</xdr:row>
      <xdr:rowOff>31750</xdr:rowOff>
    </xdr:from>
    <xdr:to>
      <xdr:col>28</xdr:col>
      <xdr:colOff>266700</xdr:colOff>
      <xdr:row>32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9C000-06D0-E7E9-C876-7B0B5A177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25977</xdr:colOff>
      <xdr:row>23</xdr:row>
      <xdr:rowOff>149804</xdr:rowOff>
    </xdr:from>
    <xdr:to>
      <xdr:col>43</xdr:col>
      <xdr:colOff>111702</xdr:colOff>
      <xdr:row>52</xdr:row>
      <xdr:rowOff>64078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3A18C9-0DDE-D047-3BED-99E424EF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okou\Kokou_Case_study_1_Steel_Column\Numerical%20model_validation\Validation%203_1.xlsx" TargetMode="External"/><Relationship Id="rId1" Type="http://schemas.openxmlformats.org/officeDocument/2006/relationships/externalLinkPath" Target="Validation%203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1L3E10"/>
      <sheetName val="C1L3E30"/>
      <sheetName val="C1L3E60"/>
      <sheetName val="C2L2E10"/>
      <sheetName val="C2L2E30"/>
      <sheetName val="C2L2E80"/>
      <sheetName val="All"/>
    </sheetNames>
    <sheetDataSet>
      <sheetData sheetId="0"/>
      <sheetData sheetId="1"/>
      <sheetData sheetId="2"/>
      <sheetData sheetId="3">
        <row r="3">
          <cell r="A3">
            <v>0.32154127954450101</v>
          </cell>
          <cell r="B3">
            <v>3.9453578443275599</v>
          </cell>
          <cell r="U3">
            <v>4.7062900000000001E-3</v>
          </cell>
          <cell r="V3">
            <v>1.2123300000000001E-9</v>
          </cell>
        </row>
        <row r="4">
          <cell r="A4">
            <v>0.86760973672014596</v>
          </cell>
          <cell r="B4">
            <v>50.674552556661602</v>
          </cell>
          <cell r="U4">
            <v>0.14088500000000001</v>
          </cell>
          <cell r="V4">
            <v>12.2827</v>
          </cell>
        </row>
        <row r="5">
          <cell r="A5">
            <v>1.8851367157327801</v>
          </cell>
          <cell r="B5">
            <v>123.496744863505</v>
          </cell>
          <cell r="U5">
            <v>0.27729100000000001</v>
          </cell>
          <cell r="V5">
            <v>24.334800000000001</v>
          </cell>
        </row>
        <row r="6">
          <cell r="A6">
            <v>3.4923046366384898</v>
          </cell>
          <cell r="B6">
            <v>230.300884955752</v>
          </cell>
          <cell r="U6">
            <v>0.48231099999999999</v>
          </cell>
          <cell r="V6">
            <v>41.993699999999997</v>
          </cell>
        </row>
        <row r="7">
          <cell r="A7">
            <v>5.4943437865513198</v>
          </cell>
          <cell r="B7">
            <v>334.064131706132</v>
          </cell>
          <cell r="U7">
            <v>0.79071199999999997</v>
          </cell>
          <cell r="V7">
            <v>67.575800000000001</v>
          </cell>
        </row>
        <row r="8">
          <cell r="A8">
            <v>7.4207843223798902</v>
          </cell>
          <cell r="B8">
            <v>412.94233442941299</v>
          </cell>
          <cell r="U8">
            <v>1.25512</v>
          </cell>
          <cell r="V8">
            <v>104.02800000000001</v>
          </cell>
        </row>
        <row r="9">
          <cell r="A9">
            <v>10.118500209652799</v>
          </cell>
          <cell r="B9">
            <v>506.37635998499297</v>
          </cell>
          <cell r="U9">
            <v>1.9466300000000001</v>
          </cell>
          <cell r="V9">
            <v>154.154</v>
          </cell>
        </row>
        <row r="10">
          <cell r="A10">
            <v>12.927901485224901</v>
          </cell>
          <cell r="B10">
            <v>579.77834175622797</v>
          </cell>
          <cell r="U10">
            <v>2.6417299999999999</v>
          </cell>
          <cell r="V10">
            <v>200.12800000000001</v>
          </cell>
        </row>
        <row r="11">
          <cell r="A11">
            <v>15.6398472844437</v>
          </cell>
          <cell r="B11">
            <v>634.36541389887998</v>
          </cell>
          <cell r="U11">
            <v>3.3398599999999998</v>
          </cell>
          <cell r="V11">
            <v>242.42099999999999</v>
          </cell>
        </row>
        <row r="12">
          <cell r="A12">
            <v>19.0016374991724</v>
          </cell>
          <cell r="B12">
            <v>681.65886169531905</v>
          </cell>
          <cell r="U12">
            <v>4.0405800000000003</v>
          </cell>
          <cell r="V12">
            <v>281.44100000000003</v>
          </cell>
        </row>
        <row r="13">
          <cell r="A13">
            <v>22.1747313133096</v>
          </cell>
          <cell r="B13">
            <v>718.02952795003603</v>
          </cell>
          <cell r="U13">
            <v>4.7435400000000003</v>
          </cell>
          <cell r="V13">
            <v>317.541</v>
          </cell>
        </row>
        <row r="14">
          <cell r="A14">
            <v>25.483627215147902</v>
          </cell>
          <cell r="B14">
            <v>738.00966610023499</v>
          </cell>
          <cell r="U14">
            <v>5.4484199999999996</v>
          </cell>
          <cell r="V14">
            <v>351.02699999999999</v>
          </cell>
        </row>
        <row r="15">
          <cell r="A15">
            <v>29.580288217509299</v>
          </cell>
          <cell r="B15">
            <v>743.41032374815097</v>
          </cell>
          <cell r="U15">
            <v>6.1549800000000001</v>
          </cell>
          <cell r="V15">
            <v>382.16700000000003</v>
          </cell>
        </row>
        <row r="16">
          <cell r="A16">
            <v>32.882263368128299</v>
          </cell>
          <cell r="B16">
            <v>733.64853353342198</v>
          </cell>
          <cell r="U16">
            <v>6.8630100000000001</v>
          </cell>
          <cell r="V16">
            <v>411.19400000000002</v>
          </cell>
        </row>
        <row r="17">
          <cell r="A17">
            <v>35.720689426875197</v>
          </cell>
          <cell r="B17">
            <v>731.78452099838796</v>
          </cell>
          <cell r="U17">
            <v>7.5723399999999996</v>
          </cell>
          <cell r="V17">
            <v>438.31100000000004</v>
          </cell>
        </row>
        <row r="18">
          <cell r="A18">
            <v>37.626085229404303</v>
          </cell>
          <cell r="B18">
            <v>720.22298236709003</v>
          </cell>
          <cell r="U18">
            <v>8.2827999999999999</v>
          </cell>
          <cell r="V18">
            <v>463.69900000000001</v>
          </cell>
        </row>
        <row r="19">
          <cell r="A19">
            <v>40.505823935735798</v>
          </cell>
          <cell r="B19">
            <v>695.90007282678198</v>
          </cell>
          <cell r="U19">
            <v>8.9942799999999998</v>
          </cell>
          <cell r="V19">
            <v>487.51400000000001</v>
          </cell>
        </row>
        <row r="20">
          <cell r="A20">
            <v>45.063209233553202</v>
          </cell>
          <cell r="B20">
            <v>681.26339019707302</v>
          </cell>
          <cell r="U20">
            <v>9.7066599999999994</v>
          </cell>
          <cell r="V20">
            <v>509.89699999999999</v>
          </cell>
        </row>
        <row r="21">
          <cell r="A21">
            <v>49.479566570299902</v>
          </cell>
          <cell r="B21">
            <v>660.55904486571103</v>
          </cell>
          <cell r="U21">
            <v>10.4198</v>
          </cell>
          <cell r="V21">
            <v>530.97299999999996</v>
          </cell>
        </row>
        <row r="22">
          <cell r="A22">
            <v>55.939946593692703</v>
          </cell>
          <cell r="B22">
            <v>624.04219539646397</v>
          </cell>
          <cell r="U22">
            <v>11.133800000000001</v>
          </cell>
          <cell r="V22">
            <v>550.85</v>
          </cell>
        </row>
        <row r="23">
          <cell r="U23">
            <v>11.8483</v>
          </cell>
          <cell r="V23">
            <v>569.62900000000002</v>
          </cell>
        </row>
        <row r="24">
          <cell r="U24">
            <v>12.563499999999999</v>
          </cell>
          <cell r="V24">
            <v>587.39599999999996</v>
          </cell>
        </row>
        <row r="25">
          <cell r="U25">
            <v>13.2791</v>
          </cell>
          <cell r="V25">
            <v>604.23099999999999</v>
          </cell>
        </row>
        <row r="26">
          <cell r="U26">
            <v>13.9953</v>
          </cell>
          <cell r="V26">
            <v>620.20500000000004</v>
          </cell>
        </row>
        <row r="27">
          <cell r="U27">
            <v>14.7119</v>
          </cell>
          <cell r="V27">
            <v>635.38200000000006</v>
          </cell>
        </row>
        <row r="28">
          <cell r="U28">
            <v>15.428900000000001</v>
          </cell>
          <cell r="V28">
            <v>649.82000000000005</v>
          </cell>
        </row>
        <row r="29">
          <cell r="U29">
            <v>16.1463</v>
          </cell>
          <cell r="V29">
            <v>663.572</v>
          </cell>
        </row>
        <row r="30">
          <cell r="U30">
            <v>16.867599999999999</v>
          </cell>
          <cell r="V30">
            <v>675.904</v>
          </cell>
        </row>
        <row r="31">
          <cell r="U31">
            <v>17.591699999999999</v>
          </cell>
          <cell r="V31">
            <v>686.56500000000005</v>
          </cell>
        </row>
        <row r="32">
          <cell r="U32">
            <v>18.320499999999999</v>
          </cell>
          <cell r="V32">
            <v>695.322</v>
          </cell>
        </row>
        <row r="33">
          <cell r="U33">
            <v>19.048400000000001</v>
          </cell>
          <cell r="V33">
            <v>703.06600000000003</v>
          </cell>
        </row>
        <row r="34">
          <cell r="U34">
            <v>19.779199999999999</v>
          </cell>
          <cell r="V34">
            <v>709.48</v>
          </cell>
        </row>
        <row r="35">
          <cell r="U35">
            <v>20.508900000000001</v>
          </cell>
          <cell r="V35">
            <v>715.16800000000001</v>
          </cell>
        </row>
        <row r="36">
          <cell r="U36">
            <v>21.2393</v>
          </cell>
          <cell r="V36">
            <v>720.14700000000005</v>
          </cell>
        </row>
        <row r="37">
          <cell r="U37">
            <v>21.9712</v>
          </cell>
          <cell r="V37">
            <v>724.28399999999999</v>
          </cell>
        </row>
        <row r="38">
          <cell r="U38">
            <v>22.703199999999999</v>
          </cell>
          <cell r="V38">
            <v>727.82900000000006</v>
          </cell>
        </row>
        <row r="39">
          <cell r="U39">
            <v>23.436199999999999</v>
          </cell>
          <cell r="V39">
            <v>730.80200000000002</v>
          </cell>
        </row>
        <row r="40">
          <cell r="U40">
            <v>24.171299999999999</v>
          </cell>
          <cell r="V40">
            <v>733.05799999999999</v>
          </cell>
        </row>
        <row r="41">
          <cell r="U41">
            <v>24.905899999999999</v>
          </cell>
          <cell r="V41">
            <v>734.93700000000001</v>
          </cell>
        </row>
        <row r="42">
          <cell r="U42">
            <v>25.64</v>
          </cell>
          <cell r="V42">
            <v>736.51700000000005</v>
          </cell>
        </row>
        <row r="43">
          <cell r="U43">
            <v>26.376300000000001</v>
          </cell>
          <cell r="V43">
            <v>737.601</v>
          </cell>
        </row>
        <row r="44">
          <cell r="U44">
            <v>27.1127</v>
          </cell>
          <cell r="V44">
            <v>738.35900000000004</v>
          </cell>
        </row>
        <row r="45">
          <cell r="U45">
            <v>27.848600000000001</v>
          </cell>
          <cell r="V45">
            <v>738.90499999999997</v>
          </cell>
        </row>
        <row r="46">
          <cell r="U46">
            <v>28.584900000000001</v>
          </cell>
          <cell r="V46">
            <v>739.20799999999997</v>
          </cell>
        </row>
        <row r="47">
          <cell r="U47">
            <v>29.320699999999999</v>
          </cell>
          <cell r="V47">
            <v>739.35199999999998</v>
          </cell>
        </row>
        <row r="48">
          <cell r="U48">
            <v>30.057400000000001</v>
          </cell>
          <cell r="V48">
            <v>739.26700000000005</v>
          </cell>
        </row>
        <row r="49">
          <cell r="U49">
            <v>30.7943</v>
          </cell>
          <cell r="V49">
            <v>739.00800000000004</v>
          </cell>
        </row>
        <row r="50">
          <cell r="U50">
            <v>31.5318</v>
          </cell>
          <cell r="V50">
            <v>738.57299999999998</v>
          </cell>
        </row>
        <row r="51">
          <cell r="U51">
            <v>32.268900000000002</v>
          </cell>
          <cell r="V51">
            <v>738.02100000000007</v>
          </cell>
        </row>
        <row r="52">
          <cell r="U52">
            <v>33.005600000000001</v>
          </cell>
          <cell r="V52">
            <v>737.38900000000001</v>
          </cell>
        </row>
        <row r="53">
          <cell r="U53">
            <v>33.741399999999999</v>
          </cell>
          <cell r="V53">
            <v>736.71299999999997</v>
          </cell>
        </row>
        <row r="54">
          <cell r="U54">
            <v>34.476900000000001</v>
          </cell>
          <cell r="V54">
            <v>735.98800000000006</v>
          </cell>
        </row>
        <row r="55">
          <cell r="U55">
            <v>35.214100000000002</v>
          </cell>
          <cell r="V55">
            <v>735.1</v>
          </cell>
        </row>
        <row r="56">
          <cell r="U56">
            <v>35.951500000000003</v>
          </cell>
          <cell r="V56">
            <v>734.12200000000007</v>
          </cell>
        </row>
        <row r="57">
          <cell r="U57">
            <v>36.688600000000001</v>
          </cell>
          <cell r="V57">
            <v>733.08900000000006</v>
          </cell>
        </row>
        <row r="58">
          <cell r="U58">
            <v>37.4253</v>
          </cell>
          <cell r="V58">
            <v>732.01800000000003</v>
          </cell>
        </row>
        <row r="59">
          <cell r="U59">
            <v>38.161700000000003</v>
          </cell>
          <cell r="V59">
            <v>730.91499999999996</v>
          </cell>
        </row>
        <row r="60">
          <cell r="U60">
            <v>38.897799999999997</v>
          </cell>
          <cell r="V60">
            <v>729.78</v>
          </cell>
        </row>
        <row r="61">
          <cell r="U61">
            <v>39.633499999999998</v>
          </cell>
          <cell r="V61">
            <v>728.63200000000006</v>
          </cell>
        </row>
        <row r="62">
          <cell r="U62">
            <v>40.369100000000003</v>
          </cell>
          <cell r="V62">
            <v>727.45299999999997</v>
          </cell>
        </row>
        <row r="63">
          <cell r="U63">
            <v>41.104399999999998</v>
          </cell>
          <cell r="V63">
            <v>726.26</v>
          </cell>
        </row>
        <row r="64">
          <cell r="U64">
            <v>41.840800000000002</v>
          </cell>
          <cell r="V64">
            <v>725.01499999999999</v>
          </cell>
        </row>
        <row r="65">
          <cell r="U65">
            <v>42.577800000000003</v>
          </cell>
          <cell r="V65">
            <v>723.71400000000006</v>
          </cell>
        </row>
        <row r="66">
          <cell r="U66">
            <v>43.315100000000001</v>
          </cell>
          <cell r="V66">
            <v>722.37200000000007</v>
          </cell>
        </row>
        <row r="67">
          <cell r="U67">
            <v>44.051299999999998</v>
          </cell>
          <cell r="V67">
            <v>721.00800000000004</v>
          </cell>
        </row>
        <row r="68">
          <cell r="U68">
            <v>44.788800000000002</v>
          </cell>
          <cell r="V68">
            <v>719.63300000000004</v>
          </cell>
        </row>
        <row r="69">
          <cell r="U69">
            <v>45.524900000000002</v>
          </cell>
          <cell r="V69">
            <v>718.24400000000003</v>
          </cell>
        </row>
        <row r="70">
          <cell r="U70">
            <v>46.261600000000001</v>
          </cell>
          <cell r="V70">
            <v>716.83</v>
          </cell>
        </row>
        <row r="71">
          <cell r="U71">
            <v>46.997799999999998</v>
          </cell>
          <cell r="V71">
            <v>715.39200000000005</v>
          </cell>
        </row>
        <row r="72">
          <cell r="U72">
            <v>47.730400000000003</v>
          </cell>
          <cell r="V72">
            <v>713.93100000000004</v>
          </cell>
        </row>
        <row r="73">
          <cell r="U73">
            <v>48.4739</v>
          </cell>
          <cell r="V73">
            <v>712.38200000000006</v>
          </cell>
        </row>
        <row r="74">
          <cell r="U74">
            <v>49.223100000000002</v>
          </cell>
          <cell r="V74">
            <v>710.67600000000004</v>
          </cell>
        </row>
        <row r="75">
          <cell r="U75">
            <v>49.984099999999998</v>
          </cell>
          <cell r="V75">
            <v>708.64</v>
          </cell>
        </row>
        <row r="76">
          <cell r="U76">
            <v>50.761099999999999</v>
          </cell>
          <cell r="V76">
            <v>706.12</v>
          </cell>
        </row>
        <row r="77">
          <cell r="U77">
            <v>51.554600000000001</v>
          </cell>
          <cell r="V77">
            <v>703.11900000000003</v>
          </cell>
        </row>
        <row r="78">
          <cell r="U78">
            <v>52.365099999999998</v>
          </cell>
          <cell r="V78">
            <v>699.64099999999996</v>
          </cell>
        </row>
        <row r="79">
          <cell r="U79">
            <v>53.194499999999998</v>
          </cell>
          <cell r="V79">
            <v>695.69500000000005</v>
          </cell>
        </row>
        <row r="80">
          <cell r="U80">
            <v>54.054499999999997</v>
          </cell>
          <cell r="V80">
            <v>691.10599999999999</v>
          </cell>
        </row>
        <row r="81">
          <cell r="U81">
            <v>54.942300000000003</v>
          </cell>
          <cell r="V81">
            <v>685.81100000000004</v>
          </cell>
        </row>
        <row r="82">
          <cell r="U82">
            <v>55.833199999999998</v>
          </cell>
          <cell r="V82">
            <v>680.41399999999999</v>
          </cell>
        </row>
      </sheetData>
      <sheetData sheetId="4">
        <row r="3">
          <cell r="A3">
            <v>0.39149030079668101</v>
          </cell>
          <cell r="B3">
            <v>4.5512766755680598</v>
          </cell>
          <cell r="R3">
            <v>-2.8882399999999999E-2</v>
          </cell>
          <cell r="S3">
            <v>-4.3246799999999999E-8</v>
          </cell>
        </row>
        <row r="4">
          <cell r="A4">
            <v>2.9924569108202901</v>
          </cell>
          <cell r="B4">
            <v>82.205283252046996</v>
          </cell>
          <cell r="R4">
            <v>-1.53705E-2</v>
          </cell>
          <cell r="S4">
            <v>0.45313600000000004</v>
          </cell>
        </row>
        <row r="5">
          <cell r="A5">
            <v>6.2255070288879502</v>
          </cell>
          <cell r="B5">
            <v>176.238165647827</v>
          </cell>
          <cell r="R5">
            <v>-1.8582E-3</v>
          </cell>
          <cell r="S5">
            <v>0.905941</v>
          </cell>
        </row>
        <row r="6">
          <cell r="A6">
            <v>9.9689272394235608</v>
          </cell>
          <cell r="B6">
            <v>263.58652042460199</v>
          </cell>
          <cell r="R6">
            <v>1.8411E-2</v>
          </cell>
          <cell r="S6">
            <v>1.58453</v>
          </cell>
        </row>
        <row r="7">
          <cell r="A7">
            <v>13.335802087701101</v>
          </cell>
          <cell r="B7">
            <v>332.731180897314</v>
          </cell>
          <cell r="R7">
            <v>4.8816600000000002E-2</v>
          </cell>
          <cell r="S7">
            <v>2.6010200000000001</v>
          </cell>
        </row>
        <row r="8">
          <cell r="A8">
            <v>16.840032661708499</v>
          </cell>
          <cell r="B8">
            <v>392.16207269437001</v>
          </cell>
          <cell r="R8">
            <v>9.4428799999999993E-2</v>
          </cell>
          <cell r="S8">
            <v>4.12263</v>
          </cell>
        </row>
        <row r="9">
          <cell r="A9">
            <v>20.155849314766101</v>
          </cell>
          <cell r="B9">
            <v>441.88413920949802</v>
          </cell>
          <cell r="R9">
            <v>0.162856</v>
          </cell>
          <cell r="S9">
            <v>6.3980500000000005</v>
          </cell>
        </row>
        <row r="10">
          <cell r="A10">
            <v>23.422302650453499</v>
          </cell>
          <cell r="B10">
            <v>479.4673493258</v>
          </cell>
          <cell r="R10">
            <v>0.26551599999999997</v>
          </cell>
          <cell r="S10">
            <v>9.7955199999999998</v>
          </cell>
        </row>
        <row r="11">
          <cell r="A11">
            <v>27.431677443559199</v>
          </cell>
          <cell r="B11">
            <v>509.75552269768002</v>
          </cell>
          <cell r="R11">
            <v>0.41954900000000001</v>
          </cell>
          <cell r="S11">
            <v>14.8568</v>
          </cell>
        </row>
        <row r="12">
          <cell r="A12">
            <v>31.903753889612201</v>
          </cell>
          <cell r="B12">
            <v>528.50404961048605</v>
          </cell>
          <cell r="R12">
            <v>0.65069399999999999</v>
          </cell>
          <cell r="S12">
            <v>22.371099999999998</v>
          </cell>
        </row>
        <row r="13">
          <cell r="A13">
            <v>36.698916425749701</v>
          </cell>
          <cell r="B13">
            <v>535.715048661531</v>
          </cell>
          <cell r="R13">
            <v>0.99762300000000004</v>
          </cell>
          <cell r="S13">
            <v>33.4711</v>
          </cell>
        </row>
        <row r="14">
          <cell r="A14">
            <v>43.448979321607403</v>
          </cell>
          <cell r="B14">
            <v>544.110343610001</v>
          </cell>
          <cell r="R14">
            <v>1.51847</v>
          </cell>
          <cell r="S14">
            <v>49.746300000000005</v>
          </cell>
        </row>
        <row r="15">
          <cell r="A15">
            <v>48.149369937986897</v>
          </cell>
          <cell r="B15">
            <v>544.03901750049602</v>
          </cell>
          <cell r="R15">
            <v>2.3007300000000002</v>
          </cell>
          <cell r="S15">
            <v>73.350399999999993</v>
          </cell>
        </row>
        <row r="16">
          <cell r="A16">
            <v>52.615938031028598</v>
          </cell>
          <cell r="B16">
            <v>539.11539734733901</v>
          </cell>
          <cell r="R16">
            <v>3.4761799999999998</v>
          </cell>
          <cell r="S16">
            <v>107.04600000000001</v>
          </cell>
        </row>
        <row r="17">
          <cell r="A17">
            <v>57.291364509081198</v>
          </cell>
          <cell r="B17">
            <v>531.76068677862804</v>
          </cell>
          <cell r="R17">
            <v>4.8378899999999998</v>
          </cell>
          <cell r="S17">
            <v>143.642</v>
          </cell>
        </row>
        <row r="18">
          <cell r="A18">
            <v>61.547096859620801</v>
          </cell>
          <cell r="B18">
            <v>520.77046322247395</v>
          </cell>
          <cell r="R18">
            <v>6.2022700000000004</v>
          </cell>
          <cell r="S18">
            <v>177.93</v>
          </cell>
        </row>
        <row r="19">
          <cell r="A19">
            <v>65.125760819190901</v>
          </cell>
          <cell r="B19">
            <v>500.07882947498501</v>
          </cell>
          <cell r="R19">
            <v>7.5690099999999996</v>
          </cell>
          <cell r="S19">
            <v>210.119</v>
          </cell>
        </row>
        <row r="20">
          <cell r="A20">
            <v>70.213819433716594</v>
          </cell>
          <cell r="B20">
            <v>466.01072539889202</v>
          </cell>
          <cell r="R20">
            <v>8.9378399999999996</v>
          </cell>
          <cell r="S20">
            <v>240.38900000000001</v>
          </cell>
        </row>
        <row r="21">
          <cell r="R21">
            <v>10.3085</v>
          </cell>
          <cell r="S21">
            <v>268.904</v>
          </cell>
        </row>
        <row r="22">
          <cell r="R22">
            <v>11.6808</v>
          </cell>
          <cell r="S22">
            <v>295.80700000000002</v>
          </cell>
        </row>
        <row r="23">
          <cell r="R23">
            <v>13.054500000000001</v>
          </cell>
          <cell r="S23">
            <v>321.22500000000002</v>
          </cell>
        </row>
        <row r="24">
          <cell r="R24">
            <v>14.429500000000001</v>
          </cell>
          <cell r="S24">
            <v>345.27199999999999</v>
          </cell>
        </row>
        <row r="25">
          <cell r="R25">
            <v>15.805400000000001</v>
          </cell>
          <cell r="S25">
            <v>368.04900000000004</v>
          </cell>
        </row>
        <row r="26">
          <cell r="R26">
            <v>17.182300000000001</v>
          </cell>
          <cell r="S26">
            <v>389.64699999999999</v>
          </cell>
        </row>
        <row r="27">
          <cell r="R27">
            <v>18.559899999999999</v>
          </cell>
          <cell r="S27">
            <v>410.11599999999999</v>
          </cell>
        </row>
        <row r="28">
          <cell r="R28">
            <v>19.938600000000001</v>
          </cell>
          <cell r="S28">
            <v>429.31600000000003</v>
          </cell>
        </row>
        <row r="29">
          <cell r="R29">
            <v>21.319500000000001</v>
          </cell>
          <cell r="S29">
            <v>446.767</v>
          </cell>
        </row>
        <row r="30">
          <cell r="R30">
            <v>22.703399999999998</v>
          </cell>
          <cell r="S30">
            <v>462.17900000000003</v>
          </cell>
        </row>
        <row r="31">
          <cell r="R31">
            <v>24.090399999999999</v>
          </cell>
          <cell r="S31">
            <v>475.51499999999999</v>
          </cell>
        </row>
        <row r="32">
          <cell r="R32">
            <v>25.480899999999998</v>
          </cell>
          <cell r="S32">
            <v>486.86200000000002</v>
          </cell>
        </row>
        <row r="33">
          <cell r="R33">
            <v>26.8736</v>
          </cell>
          <cell r="S33">
            <v>496.42700000000002</v>
          </cell>
        </row>
        <row r="34">
          <cell r="R34">
            <v>28.2682</v>
          </cell>
          <cell r="S34">
            <v>504.41899999999998</v>
          </cell>
        </row>
        <row r="35">
          <cell r="R35">
            <v>29.664100000000001</v>
          </cell>
          <cell r="S35">
            <v>511.05099999999999</v>
          </cell>
        </row>
        <row r="36">
          <cell r="R36">
            <v>31.062100000000001</v>
          </cell>
          <cell r="S36">
            <v>516.43299999999999</v>
          </cell>
        </row>
        <row r="37">
          <cell r="R37">
            <v>32.461599999999997</v>
          </cell>
          <cell r="S37">
            <v>520.69799999999998</v>
          </cell>
        </row>
        <row r="38">
          <cell r="R38">
            <v>33.863100000000003</v>
          </cell>
          <cell r="S38">
            <v>523.99900000000002</v>
          </cell>
        </row>
        <row r="39">
          <cell r="R39">
            <v>35.267899999999997</v>
          </cell>
          <cell r="S39">
            <v>526.32000000000005</v>
          </cell>
        </row>
        <row r="40">
          <cell r="R40">
            <v>36.6753</v>
          </cell>
          <cell r="S40">
            <v>527.83199999999999</v>
          </cell>
        </row>
        <row r="41">
          <cell r="R41">
            <v>38.087800000000001</v>
          </cell>
          <cell r="S41">
            <v>528.48500000000001</v>
          </cell>
        </row>
        <row r="42">
          <cell r="R42">
            <v>39.5045</v>
          </cell>
          <cell r="S42">
            <v>528.48500000000001</v>
          </cell>
        </row>
        <row r="43">
          <cell r="R43">
            <v>40.925400000000003</v>
          </cell>
          <cell r="S43">
            <v>527.928</v>
          </cell>
        </row>
        <row r="44">
          <cell r="R44">
            <v>42.351599999999998</v>
          </cell>
          <cell r="S44">
            <v>526.81500000000005</v>
          </cell>
        </row>
        <row r="45">
          <cell r="R45">
            <v>43.781300000000002</v>
          </cell>
          <cell r="S45">
            <v>525.33199999999999</v>
          </cell>
        </row>
        <row r="46">
          <cell r="R46">
            <v>45.215800000000002</v>
          </cell>
          <cell r="S46">
            <v>523.50099999999998</v>
          </cell>
        </row>
        <row r="47">
          <cell r="R47">
            <v>46.658499999999997</v>
          </cell>
          <cell r="S47">
            <v>521.21900000000005</v>
          </cell>
        </row>
        <row r="48">
          <cell r="R48">
            <v>48.106900000000003</v>
          </cell>
          <cell r="S48">
            <v>518.63300000000004</v>
          </cell>
        </row>
        <row r="49">
          <cell r="R49">
            <v>49.5625</v>
          </cell>
          <cell r="S49">
            <v>515.76099999999997</v>
          </cell>
        </row>
        <row r="50">
          <cell r="R50">
            <v>51.027000000000001</v>
          </cell>
          <cell r="S50">
            <v>512.53899999999999</v>
          </cell>
        </row>
        <row r="51">
          <cell r="R51">
            <v>52.496400000000001</v>
          </cell>
          <cell r="S51">
            <v>509.12100000000004</v>
          </cell>
        </row>
        <row r="52">
          <cell r="R52">
            <v>53.971499999999999</v>
          </cell>
          <cell r="S52">
            <v>505.55900000000003</v>
          </cell>
        </row>
        <row r="53">
          <cell r="R53">
            <v>55.457299999999996</v>
          </cell>
          <cell r="S53">
            <v>501.72399999999999</v>
          </cell>
        </row>
        <row r="54">
          <cell r="R54">
            <v>56.948900000000002</v>
          </cell>
          <cell r="S54">
            <v>497.733</v>
          </cell>
        </row>
        <row r="55">
          <cell r="R55">
            <v>58.444400000000002</v>
          </cell>
          <cell r="S55">
            <v>493.66700000000003</v>
          </cell>
        </row>
        <row r="56">
          <cell r="R56">
            <v>59.950099999999999</v>
          </cell>
          <cell r="S56">
            <v>489.42</v>
          </cell>
        </row>
        <row r="57">
          <cell r="R57">
            <v>61.465400000000002</v>
          </cell>
          <cell r="S57">
            <v>485.00100000000003</v>
          </cell>
        </row>
        <row r="58">
          <cell r="R58">
            <v>62.983800000000002</v>
          </cell>
          <cell r="S58">
            <v>480.55500000000001</v>
          </cell>
        </row>
        <row r="59">
          <cell r="R59">
            <v>64.504499999999993</v>
          </cell>
          <cell r="S59">
            <v>476.10900000000004</v>
          </cell>
        </row>
        <row r="60">
          <cell r="R60">
            <v>66.033100000000005</v>
          </cell>
          <cell r="S60">
            <v>471.56900000000002</v>
          </cell>
        </row>
        <row r="61">
          <cell r="R61">
            <v>67.571799999999996</v>
          </cell>
          <cell r="S61">
            <v>466.91500000000002</v>
          </cell>
        </row>
        <row r="62">
          <cell r="R62">
            <v>69.115399999999994</v>
          </cell>
          <cell r="S62">
            <v>462.22</v>
          </cell>
        </row>
        <row r="63">
          <cell r="R63">
            <v>70.664400000000001</v>
          </cell>
          <cell r="S63">
            <v>457.49600000000004</v>
          </cell>
        </row>
        <row r="64">
          <cell r="R64">
            <v>72.219399999999993</v>
          </cell>
          <cell r="S64">
            <v>452.755</v>
          </cell>
        </row>
      </sheetData>
      <sheetData sheetId="5">
        <row r="3">
          <cell r="A3">
            <v>0.36822104031955699</v>
          </cell>
          <cell r="B3">
            <v>4.5516297751200598</v>
          </cell>
          <cell r="K3">
            <v>-2.8819000000000001E-2</v>
          </cell>
          <cell r="L3">
            <v>1.50563E-7</v>
          </cell>
        </row>
        <row r="4">
          <cell r="A4">
            <v>3.68135413678193</v>
          </cell>
          <cell r="B4">
            <v>42.741111822214499</v>
          </cell>
          <cell r="K4">
            <v>-6.3739900000000004E-3</v>
          </cell>
          <cell r="L4">
            <v>0.27268200000000004</v>
          </cell>
        </row>
        <row r="5">
          <cell r="A5">
            <v>6.7138437093107903</v>
          </cell>
          <cell r="B5">
            <v>74.865049764968205</v>
          </cell>
          <cell r="K5">
            <v>1.6071200000000001E-2</v>
          </cell>
          <cell r="L5">
            <v>0.54524400000000006</v>
          </cell>
        </row>
        <row r="6">
          <cell r="A6">
            <v>11.053790303003501</v>
          </cell>
          <cell r="B6">
            <v>125.7855361596</v>
          </cell>
          <cell r="K6">
            <v>4.97393E-2</v>
          </cell>
          <cell r="L6">
            <v>0.95386199999999999</v>
          </cell>
        </row>
        <row r="7">
          <cell r="A7">
            <v>15.4387217796217</v>
          </cell>
          <cell r="B7">
            <v>170.02855692626801</v>
          </cell>
          <cell r="K7">
            <v>0.100242</v>
          </cell>
          <cell r="L7">
            <v>1.5662799999999999</v>
          </cell>
        </row>
        <row r="8">
          <cell r="A8">
            <v>21.2213625228963</v>
          </cell>
          <cell r="B8">
            <v>220.92715114867599</v>
          </cell>
          <cell r="K8">
            <v>0.17599899999999999</v>
          </cell>
          <cell r="L8">
            <v>2.4837500000000001</v>
          </cell>
        </row>
        <row r="9">
          <cell r="A9">
            <v>26.7223710634917</v>
          </cell>
          <cell r="B9">
            <v>261.51135435746897</v>
          </cell>
          <cell r="K9">
            <v>0.28963899999999998</v>
          </cell>
          <cell r="L9">
            <v>3.8573600000000003</v>
          </cell>
        </row>
        <row r="10">
          <cell r="A10">
            <v>31.661810076578401</v>
          </cell>
          <cell r="B10">
            <v>288.75051309778598</v>
          </cell>
          <cell r="K10">
            <v>0.46010800000000002</v>
          </cell>
          <cell r="L10">
            <v>5.9119900000000003</v>
          </cell>
        </row>
        <row r="11">
          <cell r="A11">
            <v>37.111336702491499</v>
          </cell>
          <cell r="B11">
            <v>308.09118795930499</v>
          </cell>
          <cell r="K11">
            <v>0.71583399999999997</v>
          </cell>
          <cell r="L11">
            <v>8.9811399999999999</v>
          </cell>
        </row>
        <row r="12">
          <cell r="A12">
            <v>42.931052898726598</v>
          </cell>
          <cell r="B12">
            <v>318.32154127954402</v>
          </cell>
          <cell r="K12">
            <v>1.0994699999999999</v>
          </cell>
          <cell r="L12">
            <v>13.556100000000001</v>
          </cell>
        </row>
        <row r="13">
          <cell r="A13">
            <v>50.099397523889301</v>
          </cell>
          <cell r="B13">
            <v>324.28256791649102</v>
          </cell>
          <cell r="K13">
            <v>1.67503</v>
          </cell>
          <cell r="L13">
            <v>20.354800000000001</v>
          </cell>
        </row>
        <row r="14">
          <cell r="A14">
            <v>56.103149206629404</v>
          </cell>
          <cell r="B14">
            <v>325.405424491867</v>
          </cell>
          <cell r="K14">
            <v>2.5386000000000002</v>
          </cell>
          <cell r="L14">
            <v>30.4117</v>
          </cell>
        </row>
        <row r="15">
          <cell r="A15">
            <v>62.246233972590602</v>
          </cell>
          <cell r="B15">
            <v>325.31220621013802</v>
          </cell>
          <cell r="K15">
            <v>3.8344200000000002</v>
          </cell>
          <cell r="L15">
            <v>45.187599999999996</v>
          </cell>
        </row>
        <row r="16">
          <cell r="A16">
            <v>69.503418445037795</v>
          </cell>
          <cell r="B16">
            <v>313.062476551982</v>
          </cell>
          <cell r="K16">
            <v>5.1307700000000001</v>
          </cell>
          <cell r="L16">
            <v>59.603900000000003</v>
          </cell>
        </row>
        <row r="17">
          <cell r="A17">
            <v>75.455264493633095</v>
          </cell>
          <cell r="B17">
            <v>291.120870390395</v>
          </cell>
          <cell r="K17">
            <v>6.4275799999999998</v>
          </cell>
          <cell r="L17">
            <v>73.673100000000005</v>
          </cell>
        </row>
        <row r="18">
          <cell r="K18">
            <v>8.3735599999999994</v>
          </cell>
          <cell r="L18">
            <v>94.152199999999993</v>
          </cell>
        </row>
        <row r="19">
          <cell r="K19">
            <v>10.3203</v>
          </cell>
          <cell r="L19">
            <v>113.91500000000001</v>
          </cell>
        </row>
        <row r="20">
          <cell r="K20">
            <v>12.2676</v>
          </cell>
          <cell r="L20">
            <v>132.99700000000001</v>
          </cell>
        </row>
        <row r="21">
          <cell r="K21">
            <v>14.215400000000001</v>
          </cell>
          <cell r="L21">
            <v>151.429</v>
          </cell>
        </row>
        <row r="22">
          <cell r="K22">
            <v>16.1633</v>
          </cell>
          <cell r="L22">
            <v>169.24199999999999</v>
          </cell>
        </row>
        <row r="23">
          <cell r="K23">
            <v>18.1114</v>
          </cell>
          <cell r="L23">
            <v>186.46100000000001</v>
          </cell>
        </row>
        <row r="24">
          <cell r="K24">
            <v>20.0593</v>
          </cell>
          <cell r="L24">
            <v>203.11199999999999</v>
          </cell>
        </row>
        <row r="25">
          <cell r="K25">
            <v>22.007000000000001</v>
          </cell>
          <cell r="L25">
            <v>219.197</v>
          </cell>
        </row>
        <row r="26">
          <cell r="K26">
            <v>23.955300000000001</v>
          </cell>
          <cell r="L26">
            <v>234.48000000000002</v>
          </cell>
        </row>
        <row r="27">
          <cell r="K27">
            <v>26.210699999999999</v>
          </cell>
          <cell r="L27">
            <v>250.48000000000002</v>
          </cell>
        </row>
        <row r="28">
          <cell r="K28">
            <v>28.470199999999998</v>
          </cell>
          <cell r="L28">
            <v>264.387</v>
          </cell>
        </row>
        <row r="29">
          <cell r="K29">
            <v>30.7316</v>
          </cell>
          <cell r="L29">
            <v>276.29700000000003</v>
          </cell>
        </row>
        <row r="30">
          <cell r="K30">
            <v>32.993299999999998</v>
          </cell>
          <cell r="L30">
            <v>286.45600000000002</v>
          </cell>
        </row>
        <row r="31">
          <cell r="K31">
            <v>35.256300000000003</v>
          </cell>
          <cell r="L31">
            <v>295.03500000000003</v>
          </cell>
        </row>
        <row r="32">
          <cell r="K32">
            <v>37.520699999999998</v>
          </cell>
          <cell r="L32">
            <v>302.27300000000002</v>
          </cell>
        </row>
        <row r="33">
          <cell r="K33">
            <v>39.786799999999999</v>
          </cell>
          <cell r="L33">
            <v>308.24</v>
          </cell>
        </row>
        <row r="34">
          <cell r="K34">
            <v>42.059699999999999</v>
          </cell>
          <cell r="L34">
            <v>313.00600000000003</v>
          </cell>
        </row>
        <row r="35">
          <cell r="K35">
            <v>44.339300000000001</v>
          </cell>
          <cell r="L35">
            <v>316.67399999999998</v>
          </cell>
        </row>
        <row r="36">
          <cell r="K36">
            <v>46.6374</v>
          </cell>
          <cell r="L36">
            <v>319.14800000000002</v>
          </cell>
        </row>
        <row r="37">
          <cell r="K37">
            <v>48.963900000000002</v>
          </cell>
          <cell r="L37">
            <v>320.392</v>
          </cell>
        </row>
        <row r="38">
          <cell r="K38">
            <v>49.548900000000003</v>
          </cell>
          <cell r="L38">
            <v>320.55900000000003</v>
          </cell>
        </row>
        <row r="39">
          <cell r="K39">
            <v>50.136200000000002</v>
          </cell>
          <cell r="L39">
            <v>320.65600000000001</v>
          </cell>
        </row>
        <row r="40">
          <cell r="K40">
            <v>50.283499999999997</v>
          </cell>
          <cell r="L40">
            <v>320.67099999999999</v>
          </cell>
        </row>
        <row r="41">
          <cell r="K41">
            <v>50.320300000000003</v>
          </cell>
          <cell r="L41">
            <v>320.67400000000004</v>
          </cell>
        </row>
        <row r="42">
          <cell r="K42">
            <v>50.357199999999999</v>
          </cell>
          <cell r="L42">
            <v>320.67700000000002</v>
          </cell>
        </row>
        <row r="43">
          <cell r="K43">
            <v>50.393999999999998</v>
          </cell>
          <cell r="L43">
            <v>320.68</v>
          </cell>
        </row>
        <row r="44">
          <cell r="K44">
            <v>50.430900000000001</v>
          </cell>
          <cell r="L44">
            <v>320.68200000000002</v>
          </cell>
        </row>
        <row r="45">
          <cell r="K45">
            <v>50.467799999999997</v>
          </cell>
          <cell r="L45">
            <v>320.68400000000003</v>
          </cell>
        </row>
        <row r="46">
          <cell r="K46">
            <v>50.5047</v>
          </cell>
          <cell r="L46">
            <v>320.68599999999998</v>
          </cell>
        </row>
        <row r="47">
          <cell r="K47">
            <v>50.541600000000003</v>
          </cell>
          <cell r="L47">
            <v>320.68799999999999</v>
          </cell>
        </row>
        <row r="48">
          <cell r="K48">
            <v>50.578499999999998</v>
          </cell>
          <cell r="L48">
            <v>320.68900000000002</v>
          </cell>
        </row>
        <row r="49">
          <cell r="K49">
            <v>50.615400000000001</v>
          </cell>
          <cell r="L49">
            <v>320.69</v>
          </cell>
        </row>
        <row r="50">
          <cell r="K50">
            <v>50.652299999999997</v>
          </cell>
          <cell r="L50">
            <v>320.69100000000003</v>
          </cell>
        </row>
        <row r="51">
          <cell r="K51">
            <v>50.6616</v>
          </cell>
          <cell r="L51">
            <v>320.69200000000001</v>
          </cell>
        </row>
        <row r="52">
          <cell r="K52">
            <v>50.6708</v>
          </cell>
          <cell r="L52">
            <v>320.69200000000001</v>
          </cell>
        </row>
        <row r="53">
          <cell r="K53">
            <v>50.680100000000003</v>
          </cell>
          <cell r="L53">
            <v>320.69200000000001</v>
          </cell>
        </row>
        <row r="54">
          <cell r="K54">
            <v>50.689300000000003</v>
          </cell>
          <cell r="L54">
            <v>320.69200000000001</v>
          </cell>
        </row>
        <row r="55">
          <cell r="K55">
            <v>50.698500000000003</v>
          </cell>
          <cell r="L55">
            <v>320.69200000000001</v>
          </cell>
        </row>
        <row r="56">
          <cell r="K56">
            <v>50.707700000000003</v>
          </cell>
          <cell r="L56">
            <v>320.69200000000001</v>
          </cell>
        </row>
        <row r="57">
          <cell r="K57">
            <v>50.716999999999999</v>
          </cell>
          <cell r="L57">
            <v>320.69299999999998</v>
          </cell>
        </row>
        <row r="58">
          <cell r="K58">
            <v>50.726199999999999</v>
          </cell>
          <cell r="L58">
            <v>320.69200000000001</v>
          </cell>
        </row>
        <row r="59">
          <cell r="K59">
            <v>50.735399999999998</v>
          </cell>
          <cell r="L59">
            <v>320.69299999999998</v>
          </cell>
        </row>
        <row r="60">
          <cell r="K60">
            <v>50.744599999999998</v>
          </cell>
          <cell r="L60">
            <v>320.69299999999998</v>
          </cell>
        </row>
        <row r="61">
          <cell r="K61">
            <v>50.753900000000002</v>
          </cell>
          <cell r="L61">
            <v>320.69299999999998</v>
          </cell>
        </row>
        <row r="62">
          <cell r="K62">
            <v>50.756100000000004</v>
          </cell>
          <cell r="L62">
            <v>320.70100000000002</v>
          </cell>
        </row>
        <row r="63">
          <cell r="K63">
            <v>50.756100000000004</v>
          </cell>
          <cell r="L63">
            <v>320.70100000000002</v>
          </cell>
        </row>
        <row r="64">
          <cell r="K64">
            <v>50.756100000000004</v>
          </cell>
          <cell r="L64">
            <v>320.70100000000002</v>
          </cell>
        </row>
        <row r="65">
          <cell r="K65">
            <v>50.7562</v>
          </cell>
          <cell r="L65">
            <v>320.70100000000002</v>
          </cell>
        </row>
        <row r="66">
          <cell r="K66">
            <v>50.7562</v>
          </cell>
          <cell r="L66">
            <v>320.70100000000002</v>
          </cell>
        </row>
        <row r="67">
          <cell r="K67">
            <v>50.7562</v>
          </cell>
          <cell r="L67">
            <v>320.702</v>
          </cell>
        </row>
        <row r="68">
          <cell r="K68">
            <v>50.756300000000003</v>
          </cell>
          <cell r="L68">
            <v>320.702</v>
          </cell>
        </row>
        <row r="69">
          <cell r="K69">
            <v>50.756300000000003</v>
          </cell>
          <cell r="L69">
            <v>320.702</v>
          </cell>
        </row>
        <row r="70">
          <cell r="K70">
            <v>50.756399999999999</v>
          </cell>
          <cell r="L70">
            <v>320.702</v>
          </cell>
        </row>
        <row r="71">
          <cell r="K71">
            <v>50.756399999999999</v>
          </cell>
          <cell r="L71">
            <v>320.702</v>
          </cell>
        </row>
        <row r="72">
          <cell r="K72">
            <v>50.756399999999999</v>
          </cell>
          <cell r="L72">
            <v>320.702</v>
          </cell>
        </row>
        <row r="73">
          <cell r="K73">
            <v>50.756399999999999</v>
          </cell>
          <cell r="L73">
            <v>320.702</v>
          </cell>
        </row>
        <row r="74">
          <cell r="K74">
            <v>50.756500000000003</v>
          </cell>
          <cell r="L74">
            <v>320.702</v>
          </cell>
        </row>
        <row r="75">
          <cell r="K75">
            <v>50.756500000000003</v>
          </cell>
          <cell r="L75">
            <v>320.702</v>
          </cell>
        </row>
        <row r="76">
          <cell r="K76">
            <v>50.756500000000003</v>
          </cell>
          <cell r="L76">
            <v>320.702</v>
          </cell>
        </row>
        <row r="77">
          <cell r="K77">
            <v>50.756500000000003</v>
          </cell>
          <cell r="L77">
            <v>320.702</v>
          </cell>
        </row>
        <row r="78">
          <cell r="K78">
            <v>50.756500000000003</v>
          </cell>
          <cell r="L78">
            <v>320.702</v>
          </cell>
        </row>
        <row r="79">
          <cell r="K79">
            <v>50.756599999999999</v>
          </cell>
          <cell r="L79">
            <v>320.702</v>
          </cell>
        </row>
        <row r="80">
          <cell r="K80">
            <v>50.756599999999999</v>
          </cell>
          <cell r="L80">
            <v>320.702</v>
          </cell>
        </row>
        <row r="81">
          <cell r="K81">
            <v>50.756599999999999</v>
          </cell>
          <cell r="L81">
            <v>320.70300000000003</v>
          </cell>
        </row>
        <row r="82">
          <cell r="K82">
            <v>50.756599999999999</v>
          </cell>
          <cell r="L82">
            <v>320.70300000000003</v>
          </cell>
        </row>
        <row r="91">
          <cell r="Q91">
            <v>301.24200000000002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B74E-5EA1-42B4-9FBC-C5D180060E05}">
  <sheetPr codeName="Sheet1"/>
  <dimension ref="A1:L154"/>
  <sheetViews>
    <sheetView topLeftCell="A134" workbookViewId="0">
      <selection activeCell="I154" sqref="I154"/>
    </sheetView>
  </sheetViews>
  <sheetFormatPr defaultRowHeight="15" x14ac:dyDescent="0.25"/>
  <sheetData>
    <row r="1" spans="1:9" x14ac:dyDescent="0.25">
      <c r="E1">
        <v>-1</v>
      </c>
      <c r="F1">
        <v>-1E-3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0</v>
      </c>
      <c r="B3">
        <v>0</v>
      </c>
      <c r="C3">
        <v>-0.101703</v>
      </c>
      <c r="D3">
        <v>-1.8791600000000002E-8</v>
      </c>
      <c r="F3">
        <v>0</v>
      </c>
      <c r="G3">
        <v>0</v>
      </c>
      <c r="H3">
        <v>0.103021</v>
      </c>
      <c r="I3">
        <v>-1.3666900000000002E-4</v>
      </c>
    </row>
    <row r="4" spans="1:9" x14ac:dyDescent="0.25">
      <c r="A4">
        <v>0.5</v>
      </c>
      <c r="B4">
        <v>0.49309199999999997</v>
      </c>
      <c r="C4">
        <v>-8.0789599999999996E-3</v>
      </c>
      <c r="D4">
        <v>74.3977</v>
      </c>
      <c r="F4">
        <v>0.5</v>
      </c>
      <c r="G4">
        <v>0.49540899999999999</v>
      </c>
      <c r="H4">
        <v>7.4838299999999996E-2</v>
      </c>
      <c r="I4">
        <v>74.747399999999999</v>
      </c>
    </row>
    <row r="5" spans="1:9" x14ac:dyDescent="0.25">
      <c r="A5">
        <v>1</v>
      </c>
      <c r="B5">
        <v>0.97045700000000001</v>
      </c>
      <c r="C5">
        <v>8.9396100000000006E-2</v>
      </c>
      <c r="D5">
        <v>146.423</v>
      </c>
      <c r="F5">
        <v>1</v>
      </c>
      <c r="G5">
        <v>0.98020399999999996</v>
      </c>
      <c r="H5">
        <v>4.6637100000000001E-2</v>
      </c>
      <c r="I5">
        <v>147.893</v>
      </c>
    </row>
    <row r="6" spans="1:9" x14ac:dyDescent="0.25">
      <c r="A6">
        <v>1.5</v>
      </c>
      <c r="B6">
        <v>1.4292499999999999</v>
      </c>
      <c r="C6">
        <v>0.19089</v>
      </c>
      <c r="D6">
        <v>215.64500000000001</v>
      </c>
      <c r="F6">
        <v>1.5</v>
      </c>
      <c r="G6">
        <v>1.45187</v>
      </c>
      <c r="H6">
        <v>1.8540600000000001E-2</v>
      </c>
      <c r="I6">
        <v>219.05799999999999</v>
      </c>
    </row>
    <row r="7" spans="1:9" x14ac:dyDescent="0.25">
      <c r="A7">
        <v>2</v>
      </c>
      <c r="B7">
        <v>1.8662300000000001</v>
      </c>
      <c r="C7">
        <v>0.29680800000000002</v>
      </c>
      <c r="D7">
        <v>281.57600000000002</v>
      </c>
      <c r="F7">
        <v>2</v>
      </c>
      <c r="G7">
        <v>1.9073899999999999</v>
      </c>
      <c r="H7">
        <v>-9.5135900000000006E-3</v>
      </c>
      <c r="I7">
        <v>287.786</v>
      </c>
    </row>
    <row r="8" spans="1:9" x14ac:dyDescent="0.25">
      <c r="A8">
        <v>2.5</v>
      </c>
      <c r="B8">
        <v>2.2778999999999998</v>
      </c>
      <c r="C8">
        <v>0.40791300000000003</v>
      </c>
      <c r="D8">
        <v>343.69</v>
      </c>
      <c r="F8">
        <v>2.5</v>
      </c>
      <c r="G8">
        <v>2.34328</v>
      </c>
      <c r="H8">
        <v>-3.7923499999999999E-2</v>
      </c>
      <c r="I8">
        <v>353.55400000000003</v>
      </c>
    </row>
    <row r="9" spans="1:9" x14ac:dyDescent="0.25">
      <c r="A9">
        <v>3</v>
      </c>
      <c r="B9">
        <v>2.66093</v>
      </c>
      <c r="C9">
        <v>0.52540900000000001</v>
      </c>
      <c r="D9">
        <v>401.48099999999999</v>
      </c>
      <c r="F9">
        <v>3</v>
      </c>
      <c r="G9">
        <v>2.7558400000000001</v>
      </c>
      <c r="H9">
        <v>-6.7609100000000005E-2</v>
      </c>
      <c r="I9">
        <v>415.80099999999999</v>
      </c>
    </row>
    <row r="10" spans="1:9" x14ac:dyDescent="0.25">
      <c r="A10">
        <v>3.5</v>
      </c>
      <c r="B10">
        <v>3.01248</v>
      </c>
      <c r="C10">
        <v>0.65077200000000002</v>
      </c>
      <c r="D10">
        <v>454.52300000000002</v>
      </c>
      <c r="F10">
        <v>3.5</v>
      </c>
      <c r="G10">
        <v>3.1415600000000001</v>
      </c>
      <c r="H10">
        <v>-0.10017</v>
      </c>
      <c r="I10">
        <v>473.99900000000002</v>
      </c>
    </row>
    <row r="11" spans="1:9" x14ac:dyDescent="0.25">
      <c r="A11">
        <v>4</v>
      </c>
      <c r="B11">
        <v>3.3243499999999999</v>
      </c>
      <c r="C11">
        <v>0.79055600000000004</v>
      </c>
      <c r="D11">
        <v>501.57800000000003</v>
      </c>
      <c r="F11">
        <v>4</v>
      </c>
      <c r="G11">
        <v>3.4974599999999998</v>
      </c>
      <c r="H11">
        <v>-0.13805300000000001</v>
      </c>
      <c r="I11">
        <v>527.697</v>
      </c>
    </row>
    <row r="12" spans="1:9" x14ac:dyDescent="0.25">
      <c r="A12">
        <v>4.5</v>
      </c>
      <c r="B12">
        <v>3.5764300000000002</v>
      </c>
      <c r="C12">
        <v>0.95926699999999998</v>
      </c>
      <c r="D12">
        <v>539.61199999999997</v>
      </c>
      <c r="F12">
        <v>4.5</v>
      </c>
      <c r="G12">
        <v>3.80768</v>
      </c>
      <c r="H12">
        <v>-0.19664599999999999</v>
      </c>
      <c r="I12">
        <v>574.50200000000007</v>
      </c>
    </row>
    <row r="13" spans="1:9" x14ac:dyDescent="0.25">
      <c r="A13">
        <v>5</v>
      </c>
      <c r="B13">
        <v>3.77528</v>
      </c>
      <c r="C13">
        <v>1.1527000000000001</v>
      </c>
      <c r="D13">
        <v>569.61500000000001</v>
      </c>
      <c r="F13">
        <v>5</v>
      </c>
      <c r="G13">
        <v>4.0551199999999996</v>
      </c>
      <c r="H13">
        <v>-0.29122799999999999</v>
      </c>
      <c r="I13">
        <v>611.83699999999999</v>
      </c>
    </row>
    <row r="14" spans="1:9" x14ac:dyDescent="0.25">
      <c r="A14">
        <v>5.5</v>
      </c>
      <c r="B14">
        <v>3.93052</v>
      </c>
      <c r="C14">
        <v>1.3669100000000001</v>
      </c>
      <c r="D14">
        <v>593.03700000000003</v>
      </c>
      <c r="F14">
        <v>5.5</v>
      </c>
      <c r="G14">
        <v>4.2530700000000001</v>
      </c>
      <c r="H14">
        <v>-0.41071400000000002</v>
      </c>
      <c r="I14">
        <v>641.70299999999997</v>
      </c>
    </row>
    <row r="15" spans="1:9" x14ac:dyDescent="0.25">
      <c r="A15">
        <v>6</v>
      </c>
      <c r="B15">
        <v>4.0396900000000002</v>
      </c>
      <c r="C15">
        <v>1.6036600000000001</v>
      </c>
      <c r="D15">
        <v>609.50800000000004</v>
      </c>
      <c r="F15">
        <v>6</v>
      </c>
      <c r="G15">
        <v>4.4055999999999997</v>
      </c>
      <c r="H15">
        <v>-0.553817</v>
      </c>
      <c r="I15">
        <v>664.71699999999998</v>
      </c>
    </row>
    <row r="16" spans="1:9" x14ac:dyDescent="0.25">
      <c r="A16">
        <v>6.5</v>
      </c>
      <c r="B16">
        <v>4.1162900000000002</v>
      </c>
      <c r="C16">
        <v>1.8554999999999999</v>
      </c>
      <c r="D16">
        <v>621.06600000000003</v>
      </c>
      <c r="F16">
        <v>6.5</v>
      </c>
      <c r="G16">
        <v>4.5074199999999998</v>
      </c>
      <c r="H16">
        <v>-0.72812699999999997</v>
      </c>
      <c r="I16">
        <v>680.07900000000006</v>
      </c>
    </row>
    <row r="17" spans="1:9" x14ac:dyDescent="0.25">
      <c r="A17">
        <v>7</v>
      </c>
      <c r="B17">
        <v>4.1740599999999999</v>
      </c>
      <c r="C17">
        <v>2.1158000000000001</v>
      </c>
      <c r="D17">
        <v>629.78300000000002</v>
      </c>
      <c r="F17">
        <v>7</v>
      </c>
      <c r="G17">
        <v>4.5777099999999997</v>
      </c>
      <c r="H17">
        <v>-0.921319</v>
      </c>
      <c r="I17">
        <v>690.68600000000004</v>
      </c>
    </row>
    <row r="18" spans="1:9" x14ac:dyDescent="0.25">
      <c r="A18">
        <v>7.5</v>
      </c>
      <c r="B18">
        <v>4.2201199999999996</v>
      </c>
      <c r="C18">
        <v>2.3814199999999999</v>
      </c>
      <c r="D18">
        <v>636.73199999999997</v>
      </c>
      <c r="F18">
        <v>7.5</v>
      </c>
      <c r="G18">
        <v>4.6308299999999996</v>
      </c>
      <c r="H18">
        <v>-1.12429</v>
      </c>
      <c r="I18">
        <v>698.7</v>
      </c>
    </row>
    <row r="19" spans="1:9" x14ac:dyDescent="0.25">
      <c r="A19">
        <v>8</v>
      </c>
      <c r="B19">
        <v>4.2577499999999997</v>
      </c>
      <c r="C19">
        <v>2.6508699999999998</v>
      </c>
      <c r="D19">
        <v>642.40899999999999</v>
      </c>
      <c r="F19">
        <v>8</v>
      </c>
      <c r="G19">
        <v>4.6731699999999998</v>
      </c>
      <c r="H19">
        <v>-1.33335</v>
      </c>
      <c r="I19">
        <v>705.08699999999999</v>
      </c>
    </row>
    <row r="20" spans="1:9" x14ac:dyDescent="0.25">
      <c r="A20">
        <v>8.5</v>
      </c>
      <c r="B20">
        <v>4.2889499999999998</v>
      </c>
      <c r="C20">
        <v>2.9230999999999998</v>
      </c>
      <c r="D20">
        <v>647.11599999999999</v>
      </c>
      <c r="F20">
        <v>8.5</v>
      </c>
      <c r="G20">
        <v>4.7074199999999999</v>
      </c>
      <c r="H20">
        <v>-1.5470900000000001</v>
      </c>
      <c r="I20">
        <v>710.25599999999997</v>
      </c>
    </row>
    <row r="21" spans="1:9" x14ac:dyDescent="0.25">
      <c r="A21">
        <v>9</v>
      </c>
      <c r="B21">
        <v>4.31454</v>
      </c>
      <c r="C21">
        <v>3.1980400000000002</v>
      </c>
      <c r="D21">
        <v>650.97800000000007</v>
      </c>
      <c r="F21">
        <v>9</v>
      </c>
      <c r="G21">
        <v>4.7358099999999999</v>
      </c>
      <c r="H21">
        <v>-1.7641899999999999</v>
      </c>
      <c r="I21">
        <v>714.53899999999999</v>
      </c>
    </row>
    <row r="22" spans="1:9" x14ac:dyDescent="0.25">
      <c r="A22">
        <v>9.5</v>
      </c>
      <c r="B22">
        <v>4.3357900000000003</v>
      </c>
      <c r="C22">
        <v>3.4746899999999998</v>
      </c>
      <c r="D22">
        <v>654.18399999999997</v>
      </c>
      <c r="F22">
        <v>9.5</v>
      </c>
      <c r="G22">
        <v>4.7593399999999999</v>
      </c>
      <c r="H22">
        <v>-1.9839500000000001</v>
      </c>
      <c r="I22">
        <v>718.08799999999997</v>
      </c>
    </row>
    <row r="23" spans="1:9" x14ac:dyDescent="0.25">
      <c r="A23">
        <v>10</v>
      </c>
      <c r="B23">
        <v>4.3535700000000004</v>
      </c>
      <c r="C23">
        <v>3.7531599999999998</v>
      </c>
      <c r="D23">
        <v>656.86699999999996</v>
      </c>
      <c r="F23">
        <v>10</v>
      </c>
      <c r="G23">
        <v>4.7794499999999998</v>
      </c>
      <c r="H23">
        <v>-2.20567</v>
      </c>
      <c r="I23">
        <v>721.12300000000005</v>
      </c>
    </row>
    <row r="24" spans="1:9" x14ac:dyDescent="0.25">
      <c r="A24">
        <v>10.5</v>
      </c>
      <c r="B24">
        <v>4.36883</v>
      </c>
      <c r="C24">
        <v>4.0328799999999996</v>
      </c>
      <c r="D24">
        <v>659.17</v>
      </c>
      <c r="F24">
        <v>10.5</v>
      </c>
      <c r="G24">
        <v>4.7966199999999999</v>
      </c>
      <c r="H24">
        <v>-2.4291</v>
      </c>
      <c r="I24">
        <v>723.71500000000003</v>
      </c>
    </row>
    <row r="25" spans="1:9" x14ac:dyDescent="0.25">
      <c r="A25">
        <v>11</v>
      </c>
      <c r="B25">
        <v>4.3818999999999999</v>
      </c>
      <c r="C25">
        <v>4.3136700000000001</v>
      </c>
      <c r="D25">
        <v>661.14099999999996</v>
      </c>
      <c r="F25">
        <v>11</v>
      </c>
      <c r="G25">
        <v>4.8113900000000003</v>
      </c>
      <c r="H25">
        <v>-2.6539899999999998</v>
      </c>
      <c r="I25">
        <v>725.94299999999998</v>
      </c>
    </row>
    <row r="26" spans="1:9" x14ac:dyDescent="0.25">
      <c r="A26">
        <v>11.5</v>
      </c>
      <c r="B26">
        <v>4.3929099999999996</v>
      </c>
      <c r="C26">
        <v>4.5955599999999999</v>
      </c>
      <c r="D26">
        <v>662.80200000000002</v>
      </c>
      <c r="F26">
        <v>11.5</v>
      </c>
      <c r="G26">
        <v>4.8242399999999996</v>
      </c>
      <c r="H26">
        <v>-2.8800599999999998</v>
      </c>
      <c r="I26">
        <v>727.88099999999997</v>
      </c>
    </row>
    <row r="27" spans="1:9" x14ac:dyDescent="0.25">
      <c r="A27">
        <v>12</v>
      </c>
      <c r="B27">
        <v>4.40219</v>
      </c>
      <c r="C27">
        <v>4.8784700000000001</v>
      </c>
      <c r="D27">
        <v>664.202</v>
      </c>
      <c r="F27">
        <v>12</v>
      </c>
      <c r="G27">
        <v>4.8353700000000002</v>
      </c>
      <c r="H27">
        <v>-3.1072199999999999</v>
      </c>
      <c r="I27">
        <v>729.56100000000004</v>
      </c>
    </row>
    <row r="28" spans="1:9" x14ac:dyDescent="0.25">
      <c r="A28">
        <v>12.5</v>
      </c>
      <c r="B28">
        <v>4.40991</v>
      </c>
      <c r="C28">
        <v>5.16242</v>
      </c>
      <c r="D28">
        <v>665.36800000000005</v>
      </c>
      <c r="F28">
        <v>12.5</v>
      </c>
      <c r="G28">
        <v>4.84497</v>
      </c>
      <c r="H28">
        <v>-3.33548</v>
      </c>
      <c r="I28">
        <v>731.00800000000004</v>
      </c>
    </row>
    <row r="29" spans="1:9" x14ac:dyDescent="0.25">
      <c r="A29">
        <v>13</v>
      </c>
      <c r="B29">
        <v>4.4163300000000003</v>
      </c>
      <c r="C29">
        <v>5.4472300000000002</v>
      </c>
      <c r="D29">
        <v>666.33500000000004</v>
      </c>
      <c r="F29">
        <v>13</v>
      </c>
      <c r="G29">
        <v>4.8530699999999998</v>
      </c>
      <c r="H29">
        <v>-3.5647799999999998</v>
      </c>
      <c r="I29">
        <v>732.23199999999997</v>
      </c>
    </row>
    <row r="30" spans="1:9" x14ac:dyDescent="0.25">
      <c r="A30">
        <v>13.5</v>
      </c>
      <c r="B30">
        <v>4.4214799999999999</v>
      </c>
      <c r="C30">
        <v>5.7328700000000001</v>
      </c>
      <c r="D30">
        <v>667.11300000000006</v>
      </c>
      <c r="F30">
        <v>13.5</v>
      </c>
      <c r="G30">
        <v>4.8598999999999997</v>
      </c>
      <c r="H30">
        <v>-3.7949899999999999</v>
      </c>
      <c r="I30">
        <v>733.26200000000006</v>
      </c>
    </row>
    <row r="31" spans="1:9" x14ac:dyDescent="0.25">
      <c r="A31">
        <v>14</v>
      </c>
      <c r="B31">
        <v>4.4253299999999998</v>
      </c>
      <c r="C31">
        <v>6.0196399999999999</v>
      </c>
      <c r="D31">
        <v>667.69399999999996</v>
      </c>
      <c r="F31">
        <v>14</v>
      </c>
      <c r="G31">
        <v>4.8654900000000003</v>
      </c>
      <c r="H31">
        <v>-4.0260199999999999</v>
      </c>
      <c r="I31">
        <v>734.10500000000002</v>
      </c>
    </row>
    <row r="32" spans="1:9" x14ac:dyDescent="0.25">
      <c r="A32">
        <v>14.5</v>
      </c>
      <c r="B32">
        <v>4.4280400000000002</v>
      </c>
      <c r="C32">
        <v>6.30722</v>
      </c>
      <c r="D32">
        <v>668.10300000000007</v>
      </c>
      <c r="F32">
        <v>14.5</v>
      </c>
      <c r="G32">
        <v>4.8699399999999997</v>
      </c>
      <c r="H32">
        <v>-4.2578500000000004</v>
      </c>
      <c r="I32">
        <v>734.77700000000004</v>
      </c>
    </row>
    <row r="33" spans="1:9" x14ac:dyDescent="0.25">
      <c r="A33">
        <v>15</v>
      </c>
      <c r="B33">
        <v>4.4297800000000001</v>
      </c>
      <c r="C33">
        <v>6.5954699999999997</v>
      </c>
      <c r="D33">
        <v>668.36599999999999</v>
      </c>
      <c r="F33">
        <v>15</v>
      </c>
      <c r="G33">
        <v>4.8733899999999997</v>
      </c>
      <c r="H33">
        <v>-4.4903899999999997</v>
      </c>
      <c r="I33">
        <v>735.29700000000003</v>
      </c>
    </row>
    <row r="34" spans="1:9" x14ac:dyDescent="0.25">
      <c r="A34">
        <v>15.5</v>
      </c>
      <c r="B34">
        <v>4.4307600000000003</v>
      </c>
      <c r="C34">
        <v>6.8844500000000002</v>
      </c>
      <c r="D34">
        <v>668.51400000000001</v>
      </c>
      <c r="F34">
        <v>15.5</v>
      </c>
      <c r="G34">
        <v>4.8758699999999999</v>
      </c>
      <c r="H34">
        <v>-4.7235500000000004</v>
      </c>
      <c r="I34">
        <v>735.67200000000003</v>
      </c>
    </row>
    <row r="35" spans="1:9" x14ac:dyDescent="0.25">
      <c r="A35">
        <v>16</v>
      </c>
      <c r="B35">
        <v>4.4310200000000002</v>
      </c>
      <c r="C35">
        <v>7.1740199999999996</v>
      </c>
      <c r="D35">
        <v>668.553</v>
      </c>
      <c r="F35">
        <v>16</v>
      </c>
      <c r="G35">
        <v>4.8774499999999996</v>
      </c>
      <c r="H35">
        <v>-4.9574100000000003</v>
      </c>
      <c r="I35">
        <v>735.91</v>
      </c>
    </row>
    <row r="36" spans="1:9" x14ac:dyDescent="0.25">
      <c r="A36">
        <v>16.5</v>
      </c>
      <c r="B36">
        <v>4.4306799999999997</v>
      </c>
      <c r="C36">
        <v>7.4639699999999998</v>
      </c>
      <c r="D36">
        <v>668.50099999999998</v>
      </c>
      <c r="F36">
        <v>16.5</v>
      </c>
      <c r="G36">
        <v>4.87826</v>
      </c>
      <c r="H36">
        <v>-5.1918800000000003</v>
      </c>
      <c r="I36">
        <v>736.03200000000004</v>
      </c>
    </row>
    <row r="37" spans="1:9" x14ac:dyDescent="0.25">
      <c r="A37">
        <v>17</v>
      </c>
      <c r="B37">
        <v>4.4298599999999997</v>
      </c>
      <c r="C37">
        <v>7.75427</v>
      </c>
      <c r="D37">
        <v>668.37700000000007</v>
      </c>
      <c r="F37">
        <v>17</v>
      </c>
      <c r="G37">
        <v>4.8784099999999997</v>
      </c>
      <c r="H37">
        <v>-5.4268799999999997</v>
      </c>
      <c r="I37">
        <v>736.05500000000006</v>
      </c>
    </row>
    <row r="38" spans="1:9" x14ac:dyDescent="0.25">
      <c r="A38">
        <v>17.5</v>
      </c>
      <c r="B38">
        <v>4.4285500000000004</v>
      </c>
      <c r="C38">
        <v>8.0449900000000003</v>
      </c>
      <c r="D38">
        <v>668.18000000000006</v>
      </c>
      <c r="F38">
        <v>17.5</v>
      </c>
      <c r="G38">
        <v>4.8779899999999996</v>
      </c>
      <c r="H38">
        <v>-5.6623099999999997</v>
      </c>
      <c r="I38">
        <v>735.99199999999996</v>
      </c>
    </row>
    <row r="39" spans="1:9" x14ac:dyDescent="0.25">
      <c r="A39">
        <v>18</v>
      </c>
      <c r="B39">
        <v>4.4268099999999997</v>
      </c>
      <c r="C39">
        <v>8.3360500000000002</v>
      </c>
      <c r="D39">
        <v>667.91700000000003</v>
      </c>
      <c r="F39">
        <v>18</v>
      </c>
      <c r="G39">
        <v>4.8771199999999997</v>
      </c>
      <c r="H39">
        <v>-5.8980300000000003</v>
      </c>
      <c r="I39">
        <v>735.86</v>
      </c>
    </row>
    <row r="40" spans="1:9" x14ac:dyDescent="0.25">
      <c r="A40">
        <v>18.5</v>
      </c>
      <c r="B40">
        <v>4.4247399999999999</v>
      </c>
      <c r="C40">
        <v>8.6273099999999996</v>
      </c>
      <c r="D40">
        <v>667.60400000000004</v>
      </c>
      <c r="F40">
        <v>18.5</v>
      </c>
      <c r="G40">
        <v>4.8757999999999999</v>
      </c>
      <c r="H40">
        <v>-6.1340599999999998</v>
      </c>
      <c r="I40">
        <v>735.66100000000006</v>
      </c>
    </row>
    <row r="41" spans="1:9" x14ac:dyDescent="0.25">
      <c r="A41">
        <v>19</v>
      </c>
      <c r="B41">
        <v>4.4223999999999997</v>
      </c>
      <c r="C41">
        <v>8.9186800000000002</v>
      </c>
      <c r="D41">
        <v>667.25200000000007</v>
      </c>
      <c r="F41">
        <v>19</v>
      </c>
      <c r="G41">
        <v>4.8740300000000003</v>
      </c>
      <c r="H41">
        <v>-6.3704000000000001</v>
      </c>
      <c r="I41">
        <v>735.39400000000001</v>
      </c>
    </row>
    <row r="42" spans="1:9" x14ac:dyDescent="0.25">
      <c r="A42">
        <v>19.5</v>
      </c>
      <c r="B42">
        <v>4.4197699999999998</v>
      </c>
      <c r="C42">
        <v>9.2102699999999995</v>
      </c>
      <c r="D42">
        <v>666.85500000000002</v>
      </c>
      <c r="F42">
        <v>19.5</v>
      </c>
      <c r="G42">
        <v>4.8718599999999999</v>
      </c>
      <c r="H42">
        <v>-6.6070500000000001</v>
      </c>
      <c r="I42">
        <v>735.06600000000003</v>
      </c>
    </row>
    <row r="43" spans="1:9" x14ac:dyDescent="0.25">
      <c r="A43">
        <v>20</v>
      </c>
      <c r="B43">
        <v>4.4168900000000004</v>
      </c>
      <c r="C43">
        <v>9.5019899999999993</v>
      </c>
      <c r="D43">
        <v>666.42100000000005</v>
      </c>
      <c r="F43">
        <v>20</v>
      </c>
      <c r="G43">
        <v>4.8693999999999997</v>
      </c>
      <c r="H43">
        <v>-6.8440500000000002</v>
      </c>
      <c r="I43">
        <v>734.69500000000005</v>
      </c>
    </row>
    <row r="44" spans="1:9" x14ac:dyDescent="0.25">
      <c r="A44">
        <v>20.5</v>
      </c>
      <c r="B44">
        <v>4.4138000000000002</v>
      </c>
      <c r="C44">
        <v>9.7938100000000006</v>
      </c>
      <c r="D44">
        <v>665.95400000000006</v>
      </c>
      <c r="F44">
        <v>20.5</v>
      </c>
      <c r="G44">
        <v>4.8666700000000001</v>
      </c>
      <c r="H44">
        <v>-7.0812400000000002</v>
      </c>
      <c r="I44">
        <v>734.28300000000002</v>
      </c>
    </row>
    <row r="45" spans="1:9" x14ac:dyDescent="0.25">
      <c r="A45">
        <v>21</v>
      </c>
      <c r="B45">
        <v>4.4105100000000004</v>
      </c>
      <c r="C45">
        <v>10.085800000000001</v>
      </c>
      <c r="D45">
        <v>665.45799999999997</v>
      </c>
      <c r="F45">
        <v>21</v>
      </c>
      <c r="G45">
        <v>4.8636900000000001</v>
      </c>
      <c r="H45">
        <v>-7.3185399999999996</v>
      </c>
      <c r="I45">
        <v>733.83400000000006</v>
      </c>
    </row>
    <row r="46" spans="1:9" x14ac:dyDescent="0.25">
      <c r="A46">
        <v>21.5</v>
      </c>
      <c r="B46">
        <v>4.4070600000000004</v>
      </c>
      <c r="C46">
        <v>10.3779</v>
      </c>
      <c r="D46">
        <v>664.93700000000001</v>
      </c>
      <c r="F46">
        <v>21.5</v>
      </c>
      <c r="G46">
        <v>4.8604900000000004</v>
      </c>
      <c r="H46">
        <v>-7.556</v>
      </c>
      <c r="I46">
        <v>733.351</v>
      </c>
    </row>
    <row r="47" spans="1:9" x14ac:dyDescent="0.25">
      <c r="A47">
        <v>22</v>
      </c>
      <c r="B47">
        <v>4.4034300000000002</v>
      </c>
      <c r="C47">
        <v>10.67</v>
      </c>
      <c r="D47">
        <v>664.39</v>
      </c>
      <c r="F47">
        <v>22</v>
      </c>
      <c r="G47">
        <v>4.8571</v>
      </c>
      <c r="H47">
        <v>-7.7936699999999997</v>
      </c>
      <c r="I47">
        <v>732.83900000000006</v>
      </c>
    </row>
    <row r="48" spans="1:9" x14ac:dyDescent="0.25">
      <c r="A48">
        <v>22.5</v>
      </c>
      <c r="B48">
        <v>4.3996599999999999</v>
      </c>
      <c r="C48">
        <v>10.962400000000001</v>
      </c>
      <c r="D48">
        <v>663.82100000000003</v>
      </c>
      <c r="F48">
        <v>22.5</v>
      </c>
      <c r="G48">
        <v>4.85351</v>
      </c>
      <c r="H48">
        <v>-8.0314499999999995</v>
      </c>
      <c r="I48">
        <v>732.298</v>
      </c>
    </row>
    <row r="49" spans="1:9" x14ac:dyDescent="0.25">
      <c r="A49">
        <v>23</v>
      </c>
      <c r="B49">
        <v>4.3957699999999997</v>
      </c>
      <c r="C49">
        <v>11.2547</v>
      </c>
      <c r="D49">
        <v>663.23300000000006</v>
      </c>
      <c r="F49">
        <v>23</v>
      </c>
      <c r="G49">
        <v>4.8497399999999997</v>
      </c>
      <c r="H49">
        <v>-8.2694100000000006</v>
      </c>
      <c r="I49">
        <v>731.72800000000007</v>
      </c>
    </row>
    <row r="50" spans="1:9" x14ac:dyDescent="0.25">
      <c r="A50">
        <v>23.5</v>
      </c>
      <c r="B50">
        <v>4.39175</v>
      </c>
      <c r="C50">
        <v>11.5472</v>
      </c>
      <c r="D50">
        <v>662.62800000000004</v>
      </c>
      <c r="F50">
        <v>23.5</v>
      </c>
      <c r="G50">
        <v>4.8457999999999997</v>
      </c>
      <c r="H50">
        <v>-8.5075099999999999</v>
      </c>
      <c r="I50">
        <v>731.13499999999999</v>
      </c>
    </row>
    <row r="51" spans="1:9" x14ac:dyDescent="0.25">
      <c r="A51">
        <v>24</v>
      </c>
      <c r="B51">
        <v>4.3876200000000001</v>
      </c>
      <c r="C51">
        <v>11.8398</v>
      </c>
      <c r="D51">
        <v>662.00400000000002</v>
      </c>
      <c r="F51">
        <v>24</v>
      </c>
      <c r="G51">
        <v>4.8417399999999997</v>
      </c>
      <c r="H51">
        <v>-8.7457700000000003</v>
      </c>
      <c r="I51">
        <v>730.52100000000007</v>
      </c>
    </row>
    <row r="52" spans="1:9" x14ac:dyDescent="0.25">
      <c r="A52">
        <v>24.5</v>
      </c>
      <c r="B52">
        <v>4.3833599999999997</v>
      </c>
      <c r="C52">
        <v>12.1326</v>
      </c>
      <c r="D52">
        <v>661.36199999999997</v>
      </c>
      <c r="F52">
        <v>24.5</v>
      </c>
      <c r="G52">
        <v>4.8375599999999999</v>
      </c>
      <c r="H52">
        <v>-8.9841099999999994</v>
      </c>
      <c r="I52">
        <v>729.89099999999996</v>
      </c>
    </row>
    <row r="53" spans="1:9" x14ac:dyDescent="0.25">
      <c r="A53">
        <v>25</v>
      </c>
      <c r="B53">
        <v>4.3789800000000003</v>
      </c>
      <c r="C53">
        <v>12.4255</v>
      </c>
      <c r="D53">
        <v>660.7</v>
      </c>
      <c r="F53">
        <v>25</v>
      </c>
      <c r="G53">
        <v>4.8332699999999997</v>
      </c>
      <c r="H53">
        <v>-9.2224599999999999</v>
      </c>
      <c r="I53">
        <v>729.24400000000003</v>
      </c>
    </row>
    <row r="54" spans="1:9" x14ac:dyDescent="0.25">
      <c r="A54">
        <v>25.5</v>
      </c>
      <c r="B54">
        <v>4.3744800000000001</v>
      </c>
      <c r="C54">
        <v>12.718500000000001</v>
      </c>
      <c r="D54">
        <v>660.02200000000005</v>
      </c>
      <c r="F54">
        <v>25.5</v>
      </c>
      <c r="G54">
        <v>4.8288799999999998</v>
      </c>
      <c r="H54">
        <v>-9.4609799999999993</v>
      </c>
      <c r="I54">
        <v>728.58100000000002</v>
      </c>
    </row>
    <row r="55" spans="1:9" x14ac:dyDescent="0.25">
      <c r="A55">
        <v>26</v>
      </c>
      <c r="B55">
        <v>4.3698899999999998</v>
      </c>
      <c r="C55">
        <v>13.0116</v>
      </c>
      <c r="D55">
        <v>659.33</v>
      </c>
      <c r="F55">
        <v>26</v>
      </c>
      <c r="G55">
        <v>4.8243400000000003</v>
      </c>
      <c r="H55">
        <v>-9.6996400000000005</v>
      </c>
      <c r="I55">
        <v>727.89700000000005</v>
      </c>
    </row>
    <row r="56" spans="1:9" x14ac:dyDescent="0.25">
      <c r="A56">
        <v>26.5</v>
      </c>
      <c r="B56">
        <v>4.3652199999999999</v>
      </c>
      <c r="C56">
        <v>13.305</v>
      </c>
      <c r="D56">
        <v>658.625</v>
      </c>
      <c r="F56">
        <v>26.5</v>
      </c>
      <c r="G56">
        <v>4.8197000000000001</v>
      </c>
      <c r="H56">
        <v>-9.9383499999999998</v>
      </c>
      <c r="I56">
        <v>727.19600000000003</v>
      </c>
    </row>
    <row r="57" spans="1:9" x14ac:dyDescent="0.25">
      <c r="A57">
        <v>27</v>
      </c>
      <c r="B57">
        <v>4.3605200000000002</v>
      </c>
      <c r="C57">
        <v>13.5985</v>
      </c>
      <c r="D57">
        <v>657.91499999999996</v>
      </c>
      <c r="F57">
        <v>27</v>
      </c>
      <c r="G57">
        <v>4.8149699999999998</v>
      </c>
      <c r="H57">
        <v>-10.177199999999999</v>
      </c>
      <c r="I57">
        <v>726.48300000000006</v>
      </c>
    </row>
    <row r="58" spans="1:9" x14ac:dyDescent="0.25">
      <c r="A58">
        <v>27.5</v>
      </c>
      <c r="B58">
        <v>4.3557699999999997</v>
      </c>
      <c r="C58">
        <v>13.892099999999999</v>
      </c>
      <c r="D58">
        <v>657.19900000000007</v>
      </c>
      <c r="F58">
        <v>27.5</v>
      </c>
      <c r="G58">
        <v>4.8101500000000001</v>
      </c>
      <c r="H58">
        <v>-10.416</v>
      </c>
      <c r="I58">
        <v>725.755</v>
      </c>
    </row>
    <row r="59" spans="1:9" x14ac:dyDescent="0.25">
      <c r="A59">
        <v>28</v>
      </c>
      <c r="B59">
        <v>4.3509700000000002</v>
      </c>
      <c r="C59">
        <v>14.1859</v>
      </c>
      <c r="D59">
        <v>656.47500000000002</v>
      </c>
      <c r="F59">
        <v>28</v>
      </c>
      <c r="G59">
        <v>4.8052000000000001</v>
      </c>
      <c r="H59">
        <v>-10.6549</v>
      </c>
      <c r="I59">
        <v>725.00900000000001</v>
      </c>
    </row>
    <row r="60" spans="1:9" x14ac:dyDescent="0.25">
      <c r="A60">
        <v>28.5</v>
      </c>
      <c r="B60">
        <v>4.3460999999999999</v>
      </c>
      <c r="C60">
        <v>14.479699999999999</v>
      </c>
      <c r="D60">
        <v>655.74</v>
      </c>
      <c r="F60">
        <v>28.5</v>
      </c>
      <c r="G60">
        <v>4.8001800000000001</v>
      </c>
      <c r="H60">
        <v>-10.894</v>
      </c>
      <c r="I60">
        <v>724.25099999999998</v>
      </c>
    </row>
    <row r="61" spans="1:9" x14ac:dyDescent="0.25">
      <c r="A61">
        <v>29</v>
      </c>
      <c r="B61">
        <v>4.3411600000000004</v>
      </c>
      <c r="C61">
        <v>14.7735</v>
      </c>
      <c r="D61">
        <v>654.99400000000003</v>
      </c>
      <c r="F61">
        <v>29</v>
      </c>
      <c r="G61">
        <v>4.7950999999999997</v>
      </c>
      <c r="H61">
        <v>-11.133100000000001</v>
      </c>
      <c r="I61">
        <v>723.48400000000004</v>
      </c>
    </row>
    <row r="62" spans="1:9" x14ac:dyDescent="0.25">
      <c r="A62">
        <v>29.5</v>
      </c>
      <c r="B62">
        <v>4.3361200000000002</v>
      </c>
      <c r="C62">
        <v>15.067299999999999</v>
      </c>
      <c r="D62">
        <v>654.23300000000006</v>
      </c>
      <c r="F62">
        <v>29.5</v>
      </c>
      <c r="G62">
        <v>4.7899700000000003</v>
      </c>
      <c r="H62">
        <v>-11.3725</v>
      </c>
      <c r="I62">
        <v>722.71100000000001</v>
      </c>
    </row>
    <row r="63" spans="1:9" x14ac:dyDescent="0.25">
      <c r="A63">
        <v>30</v>
      </c>
      <c r="B63">
        <v>4.3309899999999999</v>
      </c>
      <c r="C63">
        <v>15.3611</v>
      </c>
      <c r="D63">
        <v>653.46</v>
      </c>
      <c r="F63">
        <v>30</v>
      </c>
      <c r="G63">
        <v>4.7847900000000001</v>
      </c>
      <c r="H63">
        <v>-11.611800000000001</v>
      </c>
      <c r="I63">
        <v>721.93000000000006</v>
      </c>
    </row>
    <row r="64" spans="1:9" x14ac:dyDescent="0.25">
      <c r="A64">
        <v>30.5</v>
      </c>
      <c r="B64">
        <v>4.3258299999999998</v>
      </c>
      <c r="C64">
        <v>15.6549</v>
      </c>
      <c r="D64">
        <v>652.68200000000002</v>
      </c>
      <c r="F64">
        <v>30.5</v>
      </c>
      <c r="G64">
        <v>4.77956</v>
      </c>
      <c r="H64">
        <v>-11.851100000000001</v>
      </c>
      <c r="I64">
        <v>721.14</v>
      </c>
    </row>
    <row r="65" spans="1:9" x14ac:dyDescent="0.25">
      <c r="A65">
        <v>31</v>
      </c>
      <c r="B65">
        <v>4.3206499999999997</v>
      </c>
      <c r="C65">
        <v>15.948600000000001</v>
      </c>
      <c r="D65">
        <v>651.899</v>
      </c>
      <c r="F65">
        <v>31</v>
      </c>
      <c r="G65">
        <v>4.7742199999999997</v>
      </c>
      <c r="H65">
        <v>-12.0906</v>
      </c>
      <c r="I65">
        <v>720.33500000000004</v>
      </c>
    </row>
    <row r="66" spans="1:9" x14ac:dyDescent="0.25">
      <c r="A66">
        <v>31.5</v>
      </c>
      <c r="B66">
        <v>4.3154599999999999</v>
      </c>
      <c r="C66">
        <v>16.2423</v>
      </c>
      <c r="D66">
        <v>651.11599999999999</v>
      </c>
      <c r="F66">
        <v>31.5</v>
      </c>
      <c r="G66">
        <v>4.7687799999999996</v>
      </c>
      <c r="H66">
        <v>-12.33</v>
      </c>
      <c r="I66">
        <v>719.51300000000003</v>
      </c>
    </row>
    <row r="67" spans="1:9" x14ac:dyDescent="0.25">
      <c r="A67">
        <v>32</v>
      </c>
      <c r="B67">
        <v>4.3102400000000003</v>
      </c>
      <c r="C67">
        <v>16.536000000000001</v>
      </c>
      <c r="D67">
        <v>650.32799999999997</v>
      </c>
      <c r="F67">
        <v>32</v>
      </c>
      <c r="G67">
        <v>4.7632199999999996</v>
      </c>
      <c r="H67">
        <v>-12.5695</v>
      </c>
      <c r="I67">
        <v>718.67500000000007</v>
      </c>
    </row>
    <row r="68" spans="1:9" x14ac:dyDescent="0.25">
      <c r="A68">
        <v>32.5</v>
      </c>
      <c r="B68">
        <v>4.3049799999999996</v>
      </c>
      <c r="C68">
        <v>16.829799999999999</v>
      </c>
      <c r="D68">
        <v>649.53499999999997</v>
      </c>
      <c r="F68">
        <v>32.5</v>
      </c>
      <c r="G68">
        <v>4.7576200000000002</v>
      </c>
      <c r="H68">
        <v>-12.808999999999999</v>
      </c>
      <c r="I68">
        <v>717.83</v>
      </c>
    </row>
    <row r="69" spans="1:9" x14ac:dyDescent="0.25">
      <c r="A69">
        <v>33</v>
      </c>
      <c r="B69">
        <v>4.29969</v>
      </c>
      <c r="C69">
        <v>17.1236</v>
      </c>
      <c r="D69">
        <v>648.73699999999997</v>
      </c>
      <c r="F69">
        <v>33</v>
      </c>
      <c r="G69">
        <v>4.7519900000000002</v>
      </c>
      <c r="H69">
        <v>-13.048500000000001</v>
      </c>
      <c r="I69">
        <v>716.98</v>
      </c>
    </row>
    <row r="70" spans="1:9" x14ac:dyDescent="0.25">
      <c r="A70">
        <v>33.5</v>
      </c>
      <c r="B70">
        <v>4.2943499999999997</v>
      </c>
      <c r="C70">
        <v>17.417400000000001</v>
      </c>
      <c r="D70">
        <v>647.93100000000004</v>
      </c>
      <c r="F70">
        <v>33.5</v>
      </c>
      <c r="G70">
        <v>4.7463100000000003</v>
      </c>
      <c r="H70">
        <v>-13.2881</v>
      </c>
      <c r="I70">
        <v>716.12400000000002</v>
      </c>
    </row>
    <row r="71" spans="1:9" x14ac:dyDescent="0.25">
      <c r="A71">
        <v>34</v>
      </c>
      <c r="B71">
        <v>4.2889799999999996</v>
      </c>
      <c r="C71">
        <v>17.711200000000002</v>
      </c>
      <c r="D71">
        <v>647.12099999999998</v>
      </c>
      <c r="F71">
        <v>34</v>
      </c>
      <c r="G71">
        <v>4.7406199999999998</v>
      </c>
      <c r="H71">
        <v>-13.527699999999999</v>
      </c>
      <c r="I71">
        <v>715.26499999999999</v>
      </c>
    </row>
    <row r="72" spans="1:9" x14ac:dyDescent="0.25">
      <c r="A72">
        <v>34.5</v>
      </c>
      <c r="B72">
        <v>4.2835999999999999</v>
      </c>
      <c r="C72">
        <v>18.004999999999999</v>
      </c>
      <c r="D72">
        <v>646.31000000000006</v>
      </c>
      <c r="F72">
        <v>34.5</v>
      </c>
      <c r="G72">
        <v>4.7349199999999998</v>
      </c>
      <c r="H72">
        <v>-13.7674</v>
      </c>
      <c r="I72">
        <v>714.404</v>
      </c>
    </row>
    <row r="73" spans="1:9" x14ac:dyDescent="0.25">
      <c r="A73">
        <v>35</v>
      </c>
      <c r="B73">
        <v>4.2782099999999996</v>
      </c>
      <c r="C73">
        <v>18.2988</v>
      </c>
      <c r="D73">
        <v>645.49599999999998</v>
      </c>
      <c r="F73">
        <v>35</v>
      </c>
      <c r="G73">
        <v>4.72919</v>
      </c>
      <c r="H73">
        <v>-14.007</v>
      </c>
      <c r="I73">
        <v>713.54</v>
      </c>
    </row>
    <row r="74" spans="1:9" x14ac:dyDescent="0.25">
      <c r="A74">
        <v>35.5</v>
      </c>
      <c r="B74">
        <v>4.2728200000000003</v>
      </c>
      <c r="C74">
        <v>18.592500000000001</v>
      </c>
      <c r="D74">
        <v>644.68399999999997</v>
      </c>
      <c r="F74">
        <v>35.5</v>
      </c>
      <c r="G74">
        <v>4.7234299999999996</v>
      </c>
      <c r="H74">
        <v>-14.246700000000001</v>
      </c>
      <c r="I74">
        <v>712.67100000000005</v>
      </c>
    </row>
    <row r="75" spans="1:9" x14ac:dyDescent="0.25">
      <c r="A75">
        <v>36</v>
      </c>
      <c r="B75">
        <v>4.2674300000000001</v>
      </c>
      <c r="C75">
        <v>18.886299999999999</v>
      </c>
      <c r="D75">
        <v>643.87</v>
      </c>
      <c r="F75">
        <v>36</v>
      </c>
      <c r="G75">
        <v>4.7176299999999998</v>
      </c>
      <c r="H75">
        <v>-14.4863</v>
      </c>
      <c r="I75">
        <v>711.79499999999996</v>
      </c>
    </row>
    <row r="76" spans="1:9" x14ac:dyDescent="0.25">
      <c r="A76">
        <v>36.5</v>
      </c>
      <c r="B76">
        <v>4.2620300000000002</v>
      </c>
      <c r="C76">
        <v>19.18</v>
      </c>
      <c r="D76">
        <v>643.05500000000006</v>
      </c>
      <c r="F76">
        <v>36.5</v>
      </c>
      <c r="G76">
        <v>4.7117699999999996</v>
      </c>
      <c r="H76">
        <v>-14.7258</v>
      </c>
      <c r="I76">
        <v>710.91200000000003</v>
      </c>
    </row>
    <row r="77" spans="1:9" x14ac:dyDescent="0.25">
      <c r="A77">
        <v>37</v>
      </c>
      <c r="B77">
        <v>4.2565900000000001</v>
      </c>
      <c r="C77">
        <v>19.4739</v>
      </c>
      <c r="D77">
        <v>642.23400000000004</v>
      </c>
      <c r="F77">
        <v>37</v>
      </c>
      <c r="G77">
        <v>4.7058499999999999</v>
      </c>
      <c r="H77">
        <v>-14.965299999999999</v>
      </c>
      <c r="I77">
        <v>710.01900000000001</v>
      </c>
    </row>
    <row r="78" spans="1:9" x14ac:dyDescent="0.25">
      <c r="A78">
        <v>37.5</v>
      </c>
      <c r="B78">
        <v>4.2511200000000002</v>
      </c>
      <c r="C78">
        <v>19.767700000000001</v>
      </c>
      <c r="D78">
        <v>641.40800000000002</v>
      </c>
      <c r="F78">
        <v>37.5</v>
      </c>
      <c r="G78">
        <v>4.6998899999999999</v>
      </c>
      <c r="H78">
        <v>-15.204700000000001</v>
      </c>
      <c r="I78">
        <v>709.12</v>
      </c>
    </row>
    <row r="79" spans="1:9" x14ac:dyDescent="0.25">
      <c r="A79">
        <v>38</v>
      </c>
      <c r="B79">
        <v>4.2456199999999997</v>
      </c>
      <c r="C79">
        <v>20.061499999999999</v>
      </c>
      <c r="D79">
        <v>640.57799999999997</v>
      </c>
      <c r="F79">
        <v>38</v>
      </c>
      <c r="G79">
        <v>4.6938700000000004</v>
      </c>
      <c r="H79">
        <v>-15.4442</v>
      </c>
      <c r="I79">
        <v>708.21199999999999</v>
      </c>
    </row>
    <row r="80" spans="1:9" x14ac:dyDescent="0.25">
      <c r="A80">
        <v>38.5</v>
      </c>
      <c r="B80">
        <v>4.2401099999999996</v>
      </c>
      <c r="C80">
        <v>20.3553</v>
      </c>
      <c r="D80">
        <v>639.74800000000005</v>
      </c>
      <c r="F80">
        <v>38.5</v>
      </c>
      <c r="G80">
        <v>4.6878000000000002</v>
      </c>
      <c r="H80">
        <v>-15.6837</v>
      </c>
      <c r="I80">
        <v>707.29499999999996</v>
      </c>
    </row>
    <row r="81" spans="1:9" x14ac:dyDescent="0.25">
      <c r="A81">
        <v>39</v>
      </c>
      <c r="B81">
        <v>4.2345600000000001</v>
      </c>
      <c r="C81">
        <v>20.6492</v>
      </c>
      <c r="D81">
        <v>638.91100000000006</v>
      </c>
      <c r="F81">
        <v>39</v>
      </c>
      <c r="G81">
        <v>4.6816599999999999</v>
      </c>
      <c r="H81">
        <v>-15.923299999999999</v>
      </c>
      <c r="I81">
        <v>706.37</v>
      </c>
    </row>
    <row r="82" spans="1:9" x14ac:dyDescent="0.25">
      <c r="A82">
        <v>39.5</v>
      </c>
      <c r="B82">
        <v>4.2290000000000001</v>
      </c>
      <c r="C82">
        <v>20.943200000000001</v>
      </c>
      <c r="D82">
        <v>638.07100000000003</v>
      </c>
      <c r="F82">
        <v>39.5</v>
      </c>
      <c r="G82">
        <v>4.6755199999999997</v>
      </c>
      <c r="H82">
        <v>-16.163</v>
      </c>
      <c r="I82">
        <v>705.44200000000001</v>
      </c>
    </row>
    <row r="83" spans="1:9" x14ac:dyDescent="0.25">
      <c r="A83">
        <v>40</v>
      </c>
      <c r="B83">
        <v>4.2234100000000003</v>
      </c>
      <c r="C83">
        <v>21.237200000000001</v>
      </c>
      <c r="D83">
        <v>637.22800000000007</v>
      </c>
      <c r="F83">
        <v>40</v>
      </c>
      <c r="G83">
        <v>4.6693499999999997</v>
      </c>
      <c r="H83">
        <v>-16.4026</v>
      </c>
      <c r="I83">
        <v>704.51099999999997</v>
      </c>
    </row>
    <row r="84" spans="1:9" x14ac:dyDescent="0.25">
      <c r="A84">
        <v>40.5</v>
      </c>
      <c r="B84">
        <v>4.2178100000000001</v>
      </c>
      <c r="C84">
        <v>21.531199999999998</v>
      </c>
      <c r="D84">
        <v>636.38400000000001</v>
      </c>
      <c r="F84">
        <v>40.5</v>
      </c>
      <c r="G84">
        <v>4.6631400000000003</v>
      </c>
      <c r="H84">
        <v>-16.642399999999999</v>
      </c>
      <c r="I84">
        <v>703.57500000000005</v>
      </c>
    </row>
    <row r="85" spans="1:9" x14ac:dyDescent="0.25">
      <c r="A85">
        <v>41</v>
      </c>
      <c r="B85">
        <v>4.2121899999999997</v>
      </c>
      <c r="C85">
        <v>21.825199999999999</v>
      </c>
      <c r="D85">
        <v>635.53499999999997</v>
      </c>
      <c r="F85">
        <v>41</v>
      </c>
      <c r="G85">
        <v>4.6569500000000001</v>
      </c>
      <c r="H85">
        <v>-16.882200000000001</v>
      </c>
      <c r="I85">
        <v>702.64</v>
      </c>
    </row>
    <row r="86" spans="1:9" x14ac:dyDescent="0.25">
      <c r="A86">
        <v>41.5</v>
      </c>
      <c r="B86">
        <v>4.20655</v>
      </c>
      <c r="C86">
        <v>22.1191</v>
      </c>
      <c r="D86">
        <v>634.68399999999997</v>
      </c>
      <c r="F86">
        <v>41.5</v>
      </c>
      <c r="G86">
        <v>4.65076</v>
      </c>
      <c r="H86">
        <v>-17.122</v>
      </c>
      <c r="I86">
        <v>701.70699999999999</v>
      </c>
    </row>
    <row r="87" spans="1:9" x14ac:dyDescent="0.25">
      <c r="A87">
        <v>42</v>
      </c>
      <c r="B87">
        <v>4.20092</v>
      </c>
      <c r="C87">
        <v>22.4131</v>
      </c>
      <c r="D87">
        <v>633.83500000000004</v>
      </c>
      <c r="F87">
        <v>42</v>
      </c>
      <c r="G87">
        <v>4.64459</v>
      </c>
      <c r="H87">
        <v>-17.361799999999999</v>
      </c>
      <c r="I87">
        <v>700.77499999999998</v>
      </c>
    </row>
    <row r="88" spans="1:9" x14ac:dyDescent="0.25">
      <c r="A88">
        <v>42.5</v>
      </c>
      <c r="B88">
        <v>4.1952699999999998</v>
      </c>
      <c r="C88">
        <v>22.707100000000001</v>
      </c>
      <c r="D88">
        <v>632.98199999999997</v>
      </c>
      <c r="F88">
        <v>42.5</v>
      </c>
      <c r="G88">
        <v>4.6383999999999999</v>
      </c>
      <c r="H88">
        <v>-17.601500000000001</v>
      </c>
      <c r="I88">
        <v>699.84199999999998</v>
      </c>
    </row>
    <row r="89" spans="1:9" x14ac:dyDescent="0.25">
      <c r="A89">
        <v>43</v>
      </c>
      <c r="B89">
        <v>4.1896100000000001</v>
      </c>
      <c r="C89">
        <v>23.001100000000001</v>
      </c>
      <c r="D89">
        <v>632.12900000000002</v>
      </c>
      <c r="F89">
        <v>43</v>
      </c>
      <c r="G89">
        <v>4.6321300000000001</v>
      </c>
      <c r="H89">
        <v>-17.8414</v>
      </c>
      <c r="I89">
        <v>698.89599999999996</v>
      </c>
    </row>
    <row r="90" spans="1:9" x14ac:dyDescent="0.25">
      <c r="A90">
        <v>43.5</v>
      </c>
      <c r="B90">
        <v>4.1839599999999999</v>
      </c>
      <c r="C90">
        <v>23.295100000000001</v>
      </c>
      <c r="D90">
        <v>631.27600000000007</v>
      </c>
      <c r="F90">
        <v>43.5</v>
      </c>
      <c r="G90">
        <v>4.6257599999999996</v>
      </c>
      <c r="H90">
        <v>-18.081299999999999</v>
      </c>
      <c r="I90">
        <v>697.93399999999997</v>
      </c>
    </row>
    <row r="91" spans="1:9" x14ac:dyDescent="0.25">
      <c r="A91">
        <v>44</v>
      </c>
      <c r="B91">
        <v>4.1783000000000001</v>
      </c>
      <c r="C91">
        <v>23.588999999999999</v>
      </c>
      <c r="D91">
        <v>630.42100000000005</v>
      </c>
      <c r="F91">
        <v>44</v>
      </c>
      <c r="G91">
        <v>4.6192599999999997</v>
      </c>
      <c r="H91">
        <v>-18.321400000000001</v>
      </c>
      <c r="I91">
        <v>696.95299999999997</v>
      </c>
    </row>
    <row r="92" spans="1:9" x14ac:dyDescent="0.25">
      <c r="A92">
        <v>44.5</v>
      </c>
      <c r="B92">
        <v>4.1726000000000001</v>
      </c>
      <c r="C92">
        <v>23.883099999999999</v>
      </c>
      <c r="D92">
        <v>629.56299999999999</v>
      </c>
      <c r="F92">
        <v>44.5</v>
      </c>
      <c r="G92">
        <v>4.61266</v>
      </c>
      <c r="H92">
        <v>-18.561800000000002</v>
      </c>
      <c r="I92">
        <v>695.95699999999999</v>
      </c>
    </row>
    <row r="93" spans="1:9" x14ac:dyDescent="0.25">
      <c r="A93">
        <v>45</v>
      </c>
      <c r="B93">
        <v>4.1669099999999997</v>
      </c>
      <c r="C93">
        <v>24.177099999999999</v>
      </c>
      <c r="D93">
        <v>628.70299999999997</v>
      </c>
      <c r="F93">
        <v>45</v>
      </c>
      <c r="G93">
        <v>4.6059799999999997</v>
      </c>
      <c r="H93">
        <v>-18.802299999999999</v>
      </c>
      <c r="I93">
        <v>694.95</v>
      </c>
    </row>
    <row r="94" spans="1:9" x14ac:dyDescent="0.25">
      <c r="A94">
        <v>45.5</v>
      </c>
      <c r="B94">
        <v>4.1611799999999999</v>
      </c>
      <c r="C94">
        <v>24.4712</v>
      </c>
      <c r="D94">
        <v>627.83799999999997</v>
      </c>
      <c r="F94">
        <v>45.5</v>
      </c>
      <c r="G94">
        <v>4.5992199999999999</v>
      </c>
      <c r="H94">
        <v>-19.042999999999999</v>
      </c>
      <c r="I94">
        <v>693.93100000000004</v>
      </c>
    </row>
    <row r="95" spans="1:9" x14ac:dyDescent="0.25">
      <c r="A95">
        <v>46</v>
      </c>
      <c r="B95">
        <v>4.1553899999999997</v>
      </c>
      <c r="C95">
        <v>24.7654</v>
      </c>
      <c r="D95">
        <v>626.96500000000003</v>
      </c>
      <c r="F95">
        <v>46</v>
      </c>
      <c r="G95">
        <v>4.59239</v>
      </c>
      <c r="H95">
        <v>-19.2837</v>
      </c>
      <c r="I95">
        <v>692.899</v>
      </c>
    </row>
    <row r="96" spans="1:9" x14ac:dyDescent="0.25">
      <c r="A96">
        <v>46.5</v>
      </c>
      <c r="B96">
        <v>4.1495300000000004</v>
      </c>
      <c r="C96">
        <v>25.059799999999999</v>
      </c>
      <c r="D96">
        <v>626.08100000000002</v>
      </c>
      <c r="F96">
        <v>46.5</v>
      </c>
      <c r="G96">
        <v>4.5854799999999996</v>
      </c>
      <c r="H96">
        <v>-19.5245</v>
      </c>
      <c r="I96">
        <v>691.85699999999997</v>
      </c>
    </row>
    <row r="97" spans="1:9" x14ac:dyDescent="0.25">
      <c r="A97">
        <v>47</v>
      </c>
      <c r="B97">
        <v>4.1436000000000002</v>
      </c>
      <c r="C97">
        <v>25.354399999999998</v>
      </c>
      <c r="D97">
        <v>625.18600000000004</v>
      </c>
      <c r="F97">
        <v>47</v>
      </c>
      <c r="G97">
        <v>4.5784700000000003</v>
      </c>
      <c r="H97">
        <v>-19.7652</v>
      </c>
      <c r="I97">
        <v>690.80000000000007</v>
      </c>
    </row>
    <row r="98" spans="1:9" x14ac:dyDescent="0.25">
      <c r="A98">
        <v>47.5</v>
      </c>
      <c r="B98">
        <v>4.1375799999999998</v>
      </c>
      <c r="C98">
        <v>25.649000000000001</v>
      </c>
      <c r="D98">
        <v>624.27800000000002</v>
      </c>
      <c r="F98">
        <v>47.5</v>
      </c>
      <c r="G98">
        <v>4.5713900000000001</v>
      </c>
      <c r="H98">
        <v>-20.005700000000001</v>
      </c>
      <c r="I98">
        <v>689.73099999999999</v>
      </c>
    </row>
    <row r="99" spans="1:9" x14ac:dyDescent="0.25">
      <c r="A99">
        <v>48</v>
      </c>
      <c r="B99">
        <v>4.1315</v>
      </c>
      <c r="C99">
        <v>25.9437</v>
      </c>
      <c r="D99">
        <v>623.36099999999999</v>
      </c>
      <c r="F99">
        <v>48</v>
      </c>
      <c r="G99">
        <v>4.56426</v>
      </c>
      <c r="H99">
        <v>-20.245899999999999</v>
      </c>
      <c r="I99">
        <v>688.65499999999997</v>
      </c>
    </row>
    <row r="100" spans="1:9" x14ac:dyDescent="0.25">
      <c r="A100">
        <v>48.5</v>
      </c>
      <c r="B100">
        <v>4.1253599999999997</v>
      </c>
      <c r="C100">
        <v>26.238399999999999</v>
      </c>
      <c r="D100">
        <v>622.43399999999997</v>
      </c>
      <c r="F100">
        <v>48.5</v>
      </c>
      <c r="G100">
        <v>4.5571000000000002</v>
      </c>
      <c r="H100">
        <v>-20.486000000000001</v>
      </c>
      <c r="I100">
        <v>687.57500000000005</v>
      </c>
    </row>
    <row r="101" spans="1:9" x14ac:dyDescent="0.25">
      <c r="A101">
        <v>49</v>
      </c>
      <c r="B101">
        <v>4.1191500000000003</v>
      </c>
      <c r="C101">
        <v>26.533200000000001</v>
      </c>
      <c r="D101">
        <v>621.49699999999996</v>
      </c>
      <c r="F101">
        <v>49</v>
      </c>
      <c r="G101">
        <v>4.5498900000000004</v>
      </c>
      <c r="H101">
        <v>-20.725899999999999</v>
      </c>
      <c r="I101">
        <v>686.48800000000006</v>
      </c>
    </row>
    <row r="102" spans="1:9" x14ac:dyDescent="0.25">
      <c r="A102">
        <v>49.5</v>
      </c>
      <c r="B102">
        <v>4.1128900000000002</v>
      </c>
      <c r="C102">
        <v>26.8278</v>
      </c>
      <c r="D102">
        <v>620.553</v>
      </c>
      <c r="F102">
        <v>49.5</v>
      </c>
      <c r="G102">
        <v>4.5426000000000002</v>
      </c>
      <c r="H102">
        <v>-20.965499999999999</v>
      </c>
      <c r="I102">
        <v>685.38800000000003</v>
      </c>
    </row>
    <row r="103" spans="1:9" x14ac:dyDescent="0.25">
      <c r="A103">
        <v>50</v>
      </c>
      <c r="B103">
        <v>4.1065899999999997</v>
      </c>
      <c r="C103">
        <v>27.122499999999999</v>
      </c>
      <c r="D103">
        <v>619.60199999999998</v>
      </c>
      <c r="F103">
        <v>50</v>
      </c>
      <c r="G103">
        <v>4.5352399999999999</v>
      </c>
      <c r="H103">
        <v>-21.204799999999999</v>
      </c>
      <c r="I103">
        <v>684.27800000000002</v>
      </c>
    </row>
    <row r="104" spans="1:9" x14ac:dyDescent="0.25">
      <c r="A104">
        <v>50.5</v>
      </c>
      <c r="B104">
        <v>4.1002400000000003</v>
      </c>
      <c r="C104">
        <v>27.417400000000001</v>
      </c>
      <c r="D104">
        <v>618.64400000000001</v>
      </c>
      <c r="F104">
        <v>50.5</v>
      </c>
      <c r="G104">
        <v>4.5278</v>
      </c>
      <c r="H104">
        <v>-21.443999999999999</v>
      </c>
      <c r="I104">
        <v>683.15499999999997</v>
      </c>
    </row>
    <row r="105" spans="1:9" x14ac:dyDescent="0.25">
      <c r="A105">
        <v>51</v>
      </c>
      <c r="B105">
        <v>4.0938600000000003</v>
      </c>
      <c r="C105">
        <v>27.712199999999999</v>
      </c>
      <c r="D105">
        <v>617.68100000000004</v>
      </c>
      <c r="F105">
        <v>51</v>
      </c>
      <c r="G105">
        <v>4.5202799999999996</v>
      </c>
      <c r="H105">
        <v>-21.6831</v>
      </c>
      <c r="I105">
        <v>682.01900000000001</v>
      </c>
    </row>
    <row r="106" spans="1:9" x14ac:dyDescent="0.25">
      <c r="A106">
        <v>51.5</v>
      </c>
      <c r="B106">
        <v>4.0874199999999998</v>
      </c>
      <c r="C106">
        <v>28.006799999999998</v>
      </c>
      <c r="D106">
        <v>616.71</v>
      </c>
      <c r="F106">
        <v>51.5</v>
      </c>
      <c r="G106">
        <v>4.5127100000000002</v>
      </c>
      <c r="H106">
        <v>-21.922000000000001</v>
      </c>
      <c r="I106">
        <v>680.87800000000004</v>
      </c>
    </row>
    <row r="107" spans="1:9" x14ac:dyDescent="0.25">
      <c r="A107">
        <v>52</v>
      </c>
      <c r="B107">
        <v>4.0809300000000004</v>
      </c>
      <c r="C107">
        <v>28.301400000000001</v>
      </c>
      <c r="D107">
        <v>615.73</v>
      </c>
      <c r="F107">
        <v>52</v>
      </c>
      <c r="G107">
        <v>4.5051300000000003</v>
      </c>
      <c r="H107">
        <v>-22.160799999999998</v>
      </c>
      <c r="I107">
        <v>679.73400000000004</v>
      </c>
    </row>
    <row r="108" spans="1:9" x14ac:dyDescent="0.25">
      <c r="A108">
        <v>52.5</v>
      </c>
      <c r="B108">
        <v>4.0743999999999998</v>
      </c>
      <c r="C108">
        <v>28.596</v>
      </c>
      <c r="D108">
        <v>614.745</v>
      </c>
      <c r="F108">
        <v>52.5</v>
      </c>
      <c r="G108">
        <v>4.4975199999999997</v>
      </c>
      <c r="H108">
        <v>-22.3993</v>
      </c>
      <c r="I108">
        <v>678.58600000000001</v>
      </c>
    </row>
    <row r="109" spans="1:9" x14ac:dyDescent="0.25">
      <c r="A109">
        <v>53</v>
      </c>
      <c r="B109">
        <v>4.0678099999999997</v>
      </c>
      <c r="C109">
        <v>28.890699999999999</v>
      </c>
      <c r="D109">
        <v>613.75099999999998</v>
      </c>
      <c r="F109">
        <v>53</v>
      </c>
      <c r="G109">
        <v>4.4898699999999998</v>
      </c>
      <c r="H109">
        <v>-22.637599999999999</v>
      </c>
      <c r="I109">
        <v>677.43200000000002</v>
      </c>
    </row>
    <row r="110" spans="1:9" x14ac:dyDescent="0.25">
      <c r="A110">
        <v>53.5</v>
      </c>
      <c r="B110">
        <v>4.0611899999999999</v>
      </c>
      <c r="C110">
        <v>29.185300000000002</v>
      </c>
      <c r="D110">
        <v>612.75200000000007</v>
      </c>
      <c r="F110">
        <v>53.5</v>
      </c>
      <c r="G110">
        <v>4.4821600000000004</v>
      </c>
      <c r="H110">
        <v>-22.875699999999998</v>
      </c>
      <c r="I110">
        <v>676.26800000000003</v>
      </c>
    </row>
    <row r="111" spans="1:9" x14ac:dyDescent="0.25">
      <c r="A111">
        <v>54</v>
      </c>
      <c r="B111">
        <v>4.0545299999999997</v>
      </c>
      <c r="C111">
        <v>29.4801</v>
      </c>
      <c r="D111">
        <v>611.74699999999996</v>
      </c>
      <c r="F111">
        <v>54</v>
      </c>
      <c r="G111">
        <v>4.4743899999999996</v>
      </c>
      <c r="H111">
        <v>-23.113499999999998</v>
      </c>
      <c r="I111">
        <v>675.096</v>
      </c>
    </row>
    <row r="112" spans="1:9" x14ac:dyDescent="0.25">
      <c r="A112">
        <v>54.5</v>
      </c>
      <c r="B112">
        <v>4.0478300000000003</v>
      </c>
      <c r="C112">
        <v>29.774799999999999</v>
      </c>
      <c r="D112">
        <v>610.73699999999997</v>
      </c>
      <c r="F112">
        <v>54.5</v>
      </c>
      <c r="G112">
        <v>4.4665600000000003</v>
      </c>
      <c r="H112">
        <v>-23.3506</v>
      </c>
      <c r="I112">
        <v>673.91399999999999</v>
      </c>
    </row>
    <row r="113" spans="1:12" x14ac:dyDescent="0.25">
      <c r="A113">
        <v>55</v>
      </c>
      <c r="B113">
        <v>4.04108</v>
      </c>
      <c r="C113">
        <v>30.069600000000001</v>
      </c>
      <c r="D113">
        <v>609.71900000000005</v>
      </c>
      <c r="F113">
        <v>55</v>
      </c>
      <c r="G113">
        <v>4.45871</v>
      </c>
      <c r="H113">
        <v>-23.587199999999999</v>
      </c>
      <c r="I113">
        <v>672.73</v>
      </c>
    </row>
    <row r="114" spans="1:12" x14ac:dyDescent="0.25">
      <c r="A114">
        <v>55.5</v>
      </c>
      <c r="B114">
        <v>4.0342799999999999</v>
      </c>
      <c r="C114">
        <v>30.364599999999999</v>
      </c>
      <c r="D114">
        <v>608.69200000000001</v>
      </c>
      <c r="F114">
        <v>55.5</v>
      </c>
      <c r="G114">
        <v>4.45085</v>
      </c>
      <c r="H114">
        <v>-23.823699999999999</v>
      </c>
      <c r="I114">
        <v>671.54399999999998</v>
      </c>
    </row>
    <row r="115" spans="1:12" x14ac:dyDescent="0.25">
      <c r="A115">
        <v>56</v>
      </c>
      <c r="B115">
        <v>4.0274099999999997</v>
      </c>
      <c r="C115">
        <v>30.659700000000001</v>
      </c>
      <c r="D115">
        <v>607.65499999999997</v>
      </c>
      <c r="F115">
        <v>56</v>
      </c>
      <c r="G115">
        <v>4.4429800000000004</v>
      </c>
      <c r="H115">
        <v>-24.060199999999998</v>
      </c>
      <c r="I115">
        <v>670.35699999999997</v>
      </c>
    </row>
    <row r="116" spans="1:12" x14ac:dyDescent="0.25">
      <c r="A116">
        <v>56.5</v>
      </c>
      <c r="B116">
        <v>4.0205000000000002</v>
      </c>
      <c r="C116">
        <v>30.954799999999999</v>
      </c>
      <c r="D116">
        <v>606.61300000000006</v>
      </c>
      <c r="F116">
        <v>56.5</v>
      </c>
      <c r="G116">
        <v>4.4350300000000002</v>
      </c>
      <c r="H116">
        <v>-24.296900000000001</v>
      </c>
      <c r="I116">
        <v>669.15800000000002</v>
      </c>
    </row>
    <row r="117" spans="1:12" x14ac:dyDescent="0.25">
      <c r="A117">
        <v>57</v>
      </c>
      <c r="B117">
        <v>4.0135300000000003</v>
      </c>
      <c r="C117">
        <v>31.2502</v>
      </c>
      <c r="D117">
        <v>605.56200000000001</v>
      </c>
      <c r="F117">
        <v>57</v>
      </c>
      <c r="G117">
        <v>4.4270100000000001</v>
      </c>
      <c r="H117">
        <v>-24.533799999999999</v>
      </c>
      <c r="I117">
        <v>667.94799999999998</v>
      </c>
    </row>
    <row r="118" spans="1:12" x14ac:dyDescent="0.25">
      <c r="A118">
        <v>57.5</v>
      </c>
      <c r="B118">
        <v>4.0065</v>
      </c>
      <c r="C118">
        <v>31.5459</v>
      </c>
      <c r="D118">
        <v>604.50099999999998</v>
      </c>
      <c r="F118">
        <v>57.5</v>
      </c>
      <c r="G118">
        <v>4.4188400000000003</v>
      </c>
      <c r="H118">
        <v>-24.771000000000001</v>
      </c>
      <c r="I118">
        <v>666.71500000000003</v>
      </c>
    </row>
    <row r="119" spans="1:12" x14ac:dyDescent="0.25">
      <c r="A119">
        <v>58</v>
      </c>
      <c r="B119">
        <v>3.9994200000000002</v>
      </c>
      <c r="C119">
        <v>31.841999999999999</v>
      </c>
      <c r="D119">
        <v>603.43299999999999</v>
      </c>
      <c r="F119">
        <v>58</v>
      </c>
      <c r="G119">
        <v>4.4105499999999997</v>
      </c>
      <c r="H119">
        <v>-25.008400000000002</v>
      </c>
      <c r="I119">
        <v>665.46299999999997</v>
      </c>
    </row>
    <row r="120" spans="1:12" x14ac:dyDescent="0.25">
      <c r="A120">
        <v>58.5</v>
      </c>
      <c r="B120">
        <v>3.9923199999999999</v>
      </c>
      <c r="C120">
        <v>32.138399999999997</v>
      </c>
      <c r="D120">
        <v>602.36099999999999</v>
      </c>
      <c r="F120">
        <v>58.5</v>
      </c>
      <c r="G120">
        <v>4.4021400000000002</v>
      </c>
      <c r="H120">
        <v>-25.246300000000002</v>
      </c>
      <c r="I120">
        <v>664.19500000000005</v>
      </c>
    </row>
    <row r="121" spans="1:12" x14ac:dyDescent="0.25">
      <c r="A121">
        <v>59</v>
      </c>
      <c r="B121">
        <v>3.98515</v>
      </c>
      <c r="C121">
        <v>32.435299999999998</v>
      </c>
      <c r="D121">
        <v>601.28</v>
      </c>
      <c r="F121">
        <v>59</v>
      </c>
      <c r="G121">
        <v>4.3935700000000004</v>
      </c>
      <c r="H121">
        <v>-25.484300000000001</v>
      </c>
      <c r="I121">
        <v>662.90200000000004</v>
      </c>
    </row>
    <row r="122" spans="1:12" x14ac:dyDescent="0.25">
      <c r="A122">
        <v>59.5</v>
      </c>
      <c r="B122">
        <v>3.9778699999999998</v>
      </c>
      <c r="C122">
        <v>32.732700000000001</v>
      </c>
      <c r="D122">
        <v>600.18100000000004</v>
      </c>
      <c r="F122">
        <v>59.5</v>
      </c>
      <c r="G122">
        <v>4.3847699999999996</v>
      </c>
      <c r="H122">
        <v>-25.722799999999999</v>
      </c>
      <c r="I122">
        <v>661.57299999999998</v>
      </c>
    </row>
    <row r="123" spans="1:12" x14ac:dyDescent="0.25">
      <c r="A123">
        <v>60</v>
      </c>
      <c r="B123">
        <v>3.9704700000000002</v>
      </c>
      <c r="C123">
        <v>33.030500000000004</v>
      </c>
      <c r="D123">
        <v>599.06399999999996</v>
      </c>
      <c r="F123">
        <v>60</v>
      </c>
      <c r="G123">
        <v>4.37568</v>
      </c>
      <c r="H123">
        <v>-25.9617</v>
      </c>
      <c r="I123">
        <v>660.20299999999997</v>
      </c>
    </row>
    <row r="124" spans="1:12" x14ac:dyDescent="0.25">
      <c r="A124">
        <v>60.5</v>
      </c>
      <c r="B124">
        <v>3.9629300000000001</v>
      </c>
      <c r="C124">
        <v>33.328899999999997</v>
      </c>
      <c r="D124">
        <v>597.92600000000004</v>
      </c>
      <c r="F124">
        <v>60.5</v>
      </c>
      <c r="G124">
        <v>4.3663800000000004</v>
      </c>
      <c r="H124">
        <v>-26.2012</v>
      </c>
      <c r="I124">
        <v>658.79899999999998</v>
      </c>
    </row>
    <row r="125" spans="1:12" x14ac:dyDescent="0.25">
      <c r="A125">
        <v>61</v>
      </c>
      <c r="B125">
        <v>3.95519</v>
      </c>
      <c r="C125">
        <v>33.628</v>
      </c>
      <c r="D125">
        <v>596.75900000000001</v>
      </c>
      <c r="F125">
        <v>61</v>
      </c>
      <c r="G125">
        <v>4.35677</v>
      </c>
      <c r="H125">
        <v>-26.441400000000002</v>
      </c>
      <c r="I125">
        <v>657.35</v>
      </c>
      <c r="J125" t="s">
        <v>8</v>
      </c>
      <c r="K125" t="s">
        <v>9</v>
      </c>
    </row>
    <row r="126" spans="1:12" x14ac:dyDescent="0.25">
      <c r="A126">
        <v>61.5</v>
      </c>
      <c r="B126">
        <v>3.94726</v>
      </c>
      <c r="C126">
        <v>33.927799999999998</v>
      </c>
      <c r="D126">
        <v>595.56200000000001</v>
      </c>
      <c r="F126">
        <v>61.5</v>
      </c>
      <c r="G126">
        <v>4.3469100000000003</v>
      </c>
      <c r="H126">
        <v>-26.682099999999998</v>
      </c>
      <c r="I126">
        <v>655.86099999999999</v>
      </c>
      <c r="J126">
        <v>697.65700000000004</v>
      </c>
      <c r="K126">
        <v>754.4</v>
      </c>
      <c r="L126">
        <f>J126/K126</f>
        <v>0.92478393425238603</v>
      </c>
    </row>
    <row r="127" spans="1:12" x14ac:dyDescent="0.25">
      <c r="A127">
        <v>62</v>
      </c>
      <c r="B127">
        <v>3.93913</v>
      </c>
      <c r="C127">
        <v>34.228200000000001</v>
      </c>
      <c r="D127">
        <v>594.33600000000001</v>
      </c>
      <c r="F127">
        <v>62</v>
      </c>
      <c r="G127">
        <v>4.3368099999999998</v>
      </c>
      <c r="H127">
        <v>-26.923500000000001</v>
      </c>
      <c r="I127">
        <v>654.33799999999997</v>
      </c>
    </row>
    <row r="128" spans="1:12" x14ac:dyDescent="0.25">
      <c r="A128">
        <v>62.5</v>
      </c>
      <c r="B128">
        <v>3.9308100000000001</v>
      </c>
      <c r="C128">
        <v>34.529299999999999</v>
      </c>
      <c r="D128">
        <v>593.08000000000004</v>
      </c>
      <c r="F128">
        <v>62.5</v>
      </c>
      <c r="G128">
        <v>4.3263800000000003</v>
      </c>
      <c r="H128">
        <v>-27.165800000000001</v>
      </c>
      <c r="I128">
        <v>652.76900000000001</v>
      </c>
    </row>
    <row r="129" spans="1:9" x14ac:dyDescent="0.25">
      <c r="A129">
        <v>63</v>
      </c>
      <c r="B129">
        <v>3.92231</v>
      </c>
      <c r="C129">
        <v>34.831299999999999</v>
      </c>
      <c r="D129">
        <v>591.798</v>
      </c>
      <c r="F129">
        <v>63</v>
      </c>
      <c r="G129">
        <v>4.3154300000000001</v>
      </c>
      <c r="H129">
        <v>-27.409500000000001</v>
      </c>
      <c r="I129">
        <v>651.11599999999999</v>
      </c>
    </row>
    <row r="130" spans="1:9" x14ac:dyDescent="0.25">
      <c r="A130">
        <v>63.5</v>
      </c>
      <c r="B130">
        <v>3.9136099999999998</v>
      </c>
      <c r="C130">
        <v>35.133899999999997</v>
      </c>
      <c r="D130">
        <v>590.48500000000001</v>
      </c>
      <c r="F130">
        <v>63.5</v>
      </c>
      <c r="G130">
        <v>4.3039399999999999</v>
      </c>
      <c r="H130">
        <v>-27.654800000000002</v>
      </c>
      <c r="I130">
        <v>649.38099999999997</v>
      </c>
    </row>
    <row r="131" spans="1:9" x14ac:dyDescent="0.25">
      <c r="A131">
        <v>64</v>
      </c>
      <c r="B131">
        <v>3.90456</v>
      </c>
      <c r="C131">
        <v>35.437600000000003</v>
      </c>
      <c r="D131">
        <v>589.12099999999998</v>
      </c>
      <c r="F131">
        <v>64</v>
      </c>
      <c r="G131">
        <v>4.2915400000000004</v>
      </c>
      <c r="H131">
        <v>-27.9026</v>
      </c>
      <c r="I131">
        <v>647.51</v>
      </c>
    </row>
    <row r="132" spans="1:9" x14ac:dyDescent="0.25">
      <c r="A132">
        <v>64.5</v>
      </c>
      <c r="B132">
        <v>3.8951099999999999</v>
      </c>
      <c r="C132">
        <v>35.742800000000003</v>
      </c>
      <c r="D132">
        <v>587.697</v>
      </c>
      <c r="F132">
        <v>64.5</v>
      </c>
      <c r="G132">
        <v>4.2775699999999999</v>
      </c>
      <c r="H132">
        <v>-28.1541</v>
      </c>
      <c r="I132">
        <v>645.40300000000002</v>
      </c>
    </row>
    <row r="133" spans="1:9" x14ac:dyDescent="0.25">
      <c r="A133">
        <v>65</v>
      </c>
      <c r="B133">
        <v>3.88531</v>
      </c>
      <c r="C133">
        <v>36.048999999999999</v>
      </c>
      <c r="D133">
        <v>586.21799999999996</v>
      </c>
      <c r="F133">
        <v>65</v>
      </c>
      <c r="G133">
        <v>4.2619400000000001</v>
      </c>
      <c r="H133">
        <v>-28.408300000000001</v>
      </c>
      <c r="I133">
        <v>643.04300000000001</v>
      </c>
    </row>
    <row r="134" spans="1:9" x14ac:dyDescent="0.25">
      <c r="A134">
        <v>65.5</v>
      </c>
      <c r="B134">
        <v>3.8750399999999998</v>
      </c>
      <c r="C134">
        <v>36.356200000000001</v>
      </c>
      <c r="D134">
        <v>584.66899999999998</v>
      </c>
      <c r="F134">
        <v>65.5</v>
      </c>
      <c r="G134">
        <v>4.2445700000000004</v>
      </c>
      <c r="H134">
        <v>-28.6648</v>
      </c>
      <c r="I134">
        <v>640.42200000000003</v>
      </c>
    </row>
    <row r="135" spans="1:9" x14ac:dyDescent="0.25">
      <c r="A135">
        <v>66</v>
      </c>
      <c r="B135">
        <v>3.8642500000000002</v>
      </c>
      <c r="C135">
        <v>36.664299999999997</v>
      </c>
      <c r="D135">
        <v>583.03800000000001</v>
      </c>
      <c r="F135">
        <v>66</v>
      </c>
      <c r="G135">
        <v>4.2255599999999998</v>
      </c>
      <c r="H135">
        <v>-28.923200000000001</v>
      </c>
      <c r="I135">
        <v>637.553</v>
      </c>
    </row>
    <row r="136" spans="1:9" x14ac:dyDescent="0.25">
      <c r="A136">
        <v>66.5</v>
      </c>
      <c r="B136">
        <v>3.8527</v>
      </c>
      <c r="C136">
        <v>36.9741</v>
      </c>
      <c r="D136">
        <v>581.29700000000003</v>
      </c>
      <c r="F136">
        <v>66.5</v>
      </c>
      <c r="G136">
        <v>4.2050799999999997</v>
      </c>
      <c r="H136">
        <v>-29.183299999999999</v>
      </c>
      <c r="I136">
        <v>634.46400000000006</v>
      </c>
    </row>
    <row r="137" spans="1:9" x14ac:dyDescent="0.25">
      <c r="A137">
        <v>67</v>
      </c>
      <c r="B137">
        <v>3.84036</v>
      </c>
      <c r="C137">
        <v>37.285200000000003</v>
      </c>
      <c r="D137">
        <v>579.43500000000006</v>
      </c>
      <c r="F137">
        <v>67</v>
      </c>
      <c r="G137">
        <v>4.1830100000000003</v>
      </c>
      <c r="H137">
        <v>-29.444700000000001</v>
      </c>
      <c r="I137">
        <v>631.13400000000001</v>
      </c>
    </row>
    <row r="138" spans="1:9" x14ac:dyDescent="0.25">
      <c r="A138">
        <v>67.5</v>
      </c>
      <c r="B138">
        <v>3.8268800000000001</v>
      </c>
      <c r="C138">
        <v>37.598500000000001</v>
      </c>
      <c r="D138">
        <v>577.40100000000007</v>
      </c>
      <c r="F138">
        <v>67.5</v>
      </c>
      <c r="G138">
        <v>4.1598699999999997</v>
      </c>
      <c r="H138">
        <v>-29.707100000000001</v>
      </c>
      <c r="I138">
        <v>627.64099999999996</v>
      </c>
    </row>
    <row r="139" spans="1:9" x14ac:dyDescent="0.25">
      <c r="A139">
        <v>68</v>
      </c>
      <c r="B139">
        <v>3.8119100000000001</v>
      </c>
      <c r="C139">
        <v>37.9146</v>
      </c>
      <c r="D139">
        <v>575.14200000000005</v>
      </c>
      <c r="F139">
        <v>68</v>
      </c>
      <c r="G139">
        <v>4.1357100000000004</v>
      </c>
      <c r="H139">
        <v>-29.970199999999998</v>
      </c>
      <c r="I139">
        <v>623.99599999999998</v>
      </c>
    </row>
    <row r="140" spans="1:9" x14ac:dyDescent="0.25">
      <c r="A140">
        <v>68.5</v>
      </c>
      <c r="B140">
        <v>3.7954300000000001</v>
      </c>
      <c r="C140">
        <v>38.2333</v>
      </c>
      <c r="D140">
        <v>572.65600000000006</v>
      </c>
      <c r="F140">
        <v>68.5</v>
      </c>
      <c r="G140">
        <v>4.1105299999999998</v>
      </c>
      <c r="H140">
        <v>-30.233000000000001</v>
      </c>
      <c r="I140">
        <v>620.197</v>
      </c>
    </row>
    <row r="141" spans="1:9" x14ac:dyDescent="0.25">
      <c r="A141">
        <v>69</v>
      </c>
      <c r="B141">
        <v>3.7777599999999998</v>
      </c>
      <c r="C141">
        <v>38.553699999999999</v>
      </c>
      <c r="D141">
        <v>569.98900000000003</v>
      </c>
      <c r="F141">
        <v>69</v>
      </c>
      <c r="G141">
        <v>4.08453</v>
      </c>
      <c r="H141">
        <v>-30.497299999999999</v>
      </c>
      <c r="I141">
        <v>616.274</v>
      </c>
    </row>
    <row r="142" spans="1:9" x14ac:dyDescent="0.25">
      <c r="A142">
        <v>69.5</v>
      </c>
      <c r="B142">
        <v>3.7587899999999999</v>
      </c>
      <c r="C142">
        <v>38.875700000000002</v>
      </c>
      <c r="D142">
        <v>567.12700000000007</v>
      </c>
      <c r="F142">
        <v>69.5</v>
      </c>
      <c r="G142">
        <v>4.0578700000000003</v>
      </c>
      <c r="H142">
        <v>-30.763500000000001</v>
      </c>
      <c r="I142">
        <v>612.25200000000007</v>
      </c>
    </row>
    <row r="143" spans="1:9" x14ac:dyDescent="0.25">
      <c r="A143">
        <v>70</v>
      </c>
      <c r="B143">
        <v>3.7387999999999999</v>
      </c>
      <c r="C143">
        <v>39.199100000000001</v>
      </c>
      <c r="D143">
        <v>564.11</v>
      </c>
      <c r="F143">
        <v>70</v>
      </c>
      <c r="G143">
        <v>4.03078</v>
      </c>
      <c r="H143">
        <v>-31.0303</v>
      </c>
      <c r="I143">
        <v>608.16399999999999</v>
      </c>
    </row>
    <row r="144" spans="1:9" x14ac:dyDescent="0.25">
      <c r="A144">
        <v>70.5</v>
      </c>
      <c r="B144">
        <v>3.7179000000000002</v>
      </c>
      <c r="C144">
        <v>39.523499999999999</v>
      </c>
      <c r="D144">
        <v>560.95799999999997</v>
      </c>
      <c r="F144">
        <v>70.5</v>
      </c>
      <c r="G144">
        <v>4.0035699999999999</v>
      </c>
      <c r="H144">
        <v>-31.2971</v>
      </c>
      <c r="I144">
        <v>604.05899999999997</v>
      </c>
    </row>
    <row r="145" spans="1:9" x14ac:dyDescent="0.25">
      <c r="A145">
        <v>71</v>
      </c>
      <c r="B145">
        <v>3.6957399999999998</v>
      </c>
      <c r="C145">
        <v>39.849299999999999</v>
      </c>
      <c r="D145">
        <v>557.61300000000006</v>
      </c>
      <c r="F145">
        <v>71</v>
      </c>
      <c r="G145">
        <v>3.9763500000000001</v>
      </c>
      <c r="H145">
        <v>-31.564399999999999</v>
      </c>
      <c r="I145">
        <v>599.952</v>
      </c>
    </row>
    <row r="146" spans="1:9" x14ac:dyDescent="0.25">
      <c r="A146">
        <v>71.5</v>
      </c>
      <c r="B146">
        <v>3.67238</v>
      </c>
      <c r="C146">
        <v>40.176600000000001</v>
      </c>
      <c r="D146">
        <v>554.08900000000006</v>
      </c>
      <c r="F146">
        <v>71.5</v>
      </c>
      <c r="G146">
        <v>3.9491299999999998</v>
      </c>
      <c r="H146">
        <v>-31.831900000000001</v>
      </c>
      <c r="I146">
        <v>595.84500000000003</v>
      </c>
    </row>
    <row r="147" spans="1:9" x14ac:dyDescent="0.25">
      <c r="A147">
        <v>72</v>
      </c>
      <c r="B147">
        <v>3.6480700000000001</v>
      </c>
      <c r="C147">
        <v>40.505099999999999</v>
      </c>
      <c r="D147">
        <v>550.42100000000005</v>
      </c>
      <c r="F147">
        <v>72</v>
      </c>
      <c r="G147">
        <v>3.9219599999999999</v>
      </c>
      <c r="H147">
        <v>-32.099699999999999</v>
      </c>
      <c r="I147">
        <v>591.745</v>
      </c>
    </row>
    <row r="148" spans="1:9" x14ac:dyDescent="0.25">
      <c r="A148">
        <v>72.5</v>
      </c>
      <c r="B148">
        <v>3.6228799999999999</v>
      </c>
      <c r="C148">
        <v>40.834800000000001</v>
      </c>
      <c r="D148">
        <v>546.62</v>
      </c>
      <c r="F148">
        <v>72.5</v>
      </c>
      <c r="G148">
        <v>3.8948</v>
      </c>
      <c r="H148">
        <v>-32.368099999999998</v>
      </c>
      <c r="I148">
        <v>587.64800000000002</v>
      </c>
    </row>
    <row r="149" spans="1:9" x14ac:dyDescent="0.25">
      <c r="A149">
        <v>73</v>
      </c>
      <c r="B149">
        <v>3.5970599999999999</v>
      </c>
      <c r="C149">
        <v>41.165300000000002</v>
      </c>
      <c r="D149">
        <v>542.72500000000002</v>
      </c>
      <c r="F149">
        <v>73</v>
      </c>
      <c r="G149">
        <v>3.8677999999999999</v>
      </c>
      <c r="H149">
        <v>-32.637300000000003</v>
      </c>
      <c r="I149">
        <v>583.57399999999996</v>
      </c>
    </row>
    <row r="150" spans="1:9" x14ac:dyDescent="0.25">
      <c r="A150">
        <v>73.5</v>
      </c>
      <c r="B150">
        <v>3.5708099999999998</v>
      </c>
      <c r="C150">
        <v>41.496299999999998</v>
      </c>
      <c r="D150">
        <v>538.76400000000001</v>
      </c>
      <c r="F150">
        <v>73.5</v>
      </c>
      <c r="G150">
        <v>3.8410099999999998</v>
      </c>
      <c r="H150">
        <v>-32.9071</v>
      </c>
      <c r="I150">
        <v>579.53200000000004</v>
      </c>
    </row>
    <row r="151" spans="1:9" x14ac:dyDescent="0.25">
      <c r="A151">
        <v>74</v>
      </c>
      <c r="B151">
        <v>3.54427</v>
      </c>
      <c r="C151">
        <v>41.827800000000003</v>
      </c>
      <c r="D151">
        <v>534.76</v>
      </c>
      <c r="F151">
        <v>74</v>
      </c>
      <c r="G151">
        <v>3.8145500000000001</v>
      </c>
      <c r="H151">
        <v>-33.177100000000003</v>
      </c>
      <c r="I151">
        <v>575.53899999999999</v>
      </c>
    </row>
    <row r="152" spans="1:9" x14ac:dyDescent="0.25">
      <c r="A152">
        <v>74.5</v>
      </c>
      <c r="B152">
        <v>3.51762</v>
      </c>
      <c r="C152">
        <v>42.159799999999997</v>
      </c>
      <c r="D152">
        <v>530.73800000000006</v>
      </c>
      <c r="F152">
        <v>74.5</v>
      </c>
      <c r="G152">
        <v>3.7884899999999999</v>
      </c>
      <c r="H152">
        <v>-33.447099999999999</v>
      </c>
      <c r="I152">
        <v>571.60800000000006</v>
      </c>
    </row>
    <row r="153" spans="1:9" x14ac:dyDescent="0.25">
      <c r="A153">
        <v>75</v>
      </c>
      <c r="B153">
        <v>3.4909400000000002</v>
      </c>
      <c r="C153">
        <v>42.492400000000004</v>
      </c>
      <c r="D153">
        <v>526.71299999999997</v>
      </c>
      <c r="F153">
        <v>75</v>
      </c>
      <c r="G153">
        <v>3.7628599999999999</v>
      </c>
      <c r="H153">
        <v>-33.717199999999998</v>
      </c>
      <c r="I153">
        <v>567.74099999999999</v>
      </c>
    </row>
    <row r="154" spans="1:9" x14ac:dyDescent="0.25">
      <c r="D154">
        <f>MAX(D3:D153)</f>
        <v>668.553</v>
      </c>
      <c r="E154">
        <f t="shared" ref="E154" si="0">MAX(E3:E153)</f>
        <v>0</v>
      </c>
      <c r="I154">
        <f>MAX(I3:I153)</f>
        <v>736.05500000000006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4C6E-0712-429F-88BC-C203CB9F1500}">
  <sheetPr codeName="Sheet2"/>
  <dimension ref="A1:I154"/>
  <sheetViews>
    <sheetView topLeftCell="A125" workbookViewId="0">
      <selection activeCell="I154" sqref="I154"/>
    </sheetView>
  </sheetViews>
  <sheetFormatPr defaultRowHeight="15" x14ac:dyDescent="0.25"/>
  <sheetData>
    <row r="1" spans="1:9" x14ac:dyDescent="0.25">
      <c r="F1">
        <v>-1E-3</v>
      </c>
    </row>
    <row r="2" spans="1:9" x14ac:dyDescent="0.25">
      <c r="A2" t="s">
        <v>0</v>
      </c>
      <c r="B2" t="s">
        <v>1</v>
      </c>
      <c r="C2" t="s">
        <v>4</v>
      </c>
      <c r="D2" t="s">
        <v>5</v>
      </c>
      <c r="F2" t="s">
        <v>0</v>
      </c>
      <c r="G2" t="s">
        <v>1</v>
      </c>
      <c r="H2" t="s">
        <v>4</v>
      </c>
      <c r="I2" t="s">
        <v>5</v>
      </c>
    </row>
    <row r="3" spans="1:9" x14ac:dyDescent="0.25">
      <c r="A3">
        <v>0</v>
      </c>
      <c r="B3">
        <v>0</v>
      </c>
      <c r="C3">
        <v>0.121228</v>
      </c>
      <c r="D3">
        <v>1.1573900000000001E-9</v>
      </c>
      <c r="F3">
        <v>0</v>
      </c>
      <c r="G3">
        <v>0</v>
      </c>
      <c r="H3">
        <v>-7.7959500000000001E-2</v>
      </c>
      <c r="I3">
        <v>-7.6879300000000001E-5</v>
      </c>
    </row>
    <row r="4" spans="1:9" x14ac:dyDescent="0.25">
      <c r="A4">
        <v>0.5</v>
      </c>
      <c r="B4">
        <v>0.49568200000000001</v>
      </c>
      <c r="C4">
        <v>0.175709</v>
      </c>
      <c r="D4">
        <v>80.498800000000003</v>
      </c>
      <c r="F4">
        <v>0.5</v>
      </c>
      <c r="G4">
        <v>0.49550499999999997</v>
      </c>
      <c r="H4">
        <v>-0.144979</v>
      </c>
      <c r="I4">
        <v>80.47</v>
      </c>
    </row>
    <row r="5" spans="1:9" x14ac:dyDescent="0.25">
      <c r="A5">
        <v>1</v>
      </c>
      <c r="B5">
        <v>0.98116700000000001</v>
      </c>
      <c r="C5">
        <v>0.23889099999999999</v>
      </c>
      <c r="D5">
        <v>159.34200000000001</v>
      </c>
      <c r="F5">
        <v>1</v>
      </c>
      <c r="G5">
        <v>0.98046100000000003</v>
      </c>
      <c r="H5">
        <v>-0.22036700000000001</v>
      </c>
      <c r="I5">
        <v>159.227</v>
      </c>
    </row>
    <row r="6" spans="1:9" x14ac:dyDescent="0.25">
      <c r="A6">
        <v>1.5</v>
      </c>
      <c r="B6">
        <v>1.45417</v>
      </c>
      <c r="C6">
        <v>0.31174299999999999</v>
      </c>
      <c r="D6">
        <v>236.15700000000001</v>
      </c>
      <c r="F6">
        <v>1.5</v>
      </c>
      <c r="G6">
        <v>1.4524900000000001</v>
      </c>
      <c r="H6">
        <v>-0.30501200000000001</v>
      </c>
      <c r="I6">
        <v>235.88400000000001</v>
      </c>
    </row>
    <row r="7" spans="1:9" x14ac:dyDescent="0.25">
      <c r="A7">
        <v>2</v>
      </c>
      <c r="B7">
        <v>1.9121300000000001</v>
      </c>
      <c r="C7">
        <v>0.39500800000000003</v>
      </c>
      <c r="D7">
        <v>310.53000000000003</v>
      </c>
      <c r="F7">
        <v>2</v>
      </c>
      <c r="G7">
        <v>1.9089400000000001</v>
      </c>
      <c r="H7">
        <v>-0.39967900000000001</v>
      </c>
      <c r="I7">
        <v>310.012</v>
      </c>
    </row>
    <row r="8" spans="1:9" x14ac:dyDescent="0.25">
      <c r="A8">
        <v>2.5</v>
      </c>
      <c r="B8">
        <v>2.35236</v>
      </c>
      <c r="C8">
        <v>0.48900900000000003</v>
      </c>
      <c r="D8">
        <v>382.024</v>
      </c>
      <c r="F8">
        <v>2.5</v>
      </c>
      <c r="G8">
        <v>2.34707</v>
      </c>
      <c r="H8">
        <v>-0.50490299999999999</v>
      </c>
      <c r="I8">
        <v>381.16399999999999</v>
      </c>
    </row>
    <row r="9" spans="1:9" x14ac:dyDescent="0.25">
      <c r="A9">
        <v>3</v>
      </c>
      <c r="B9">
        <v>2.7719499999999999</v>
      </c>
      <c r="C9">
        <v>0.59367499999999995</v>
      </c>
      <c r="D9">
        <v>450.16500000000002</v>
      </c>
      <c r="F9">
        <v>3</v>
      </c>
      <c r="G9">
        <v>2.7642699999999998</v>
      </c>
      <c r="H9">
        <v>-0.62091099999999999</v>
      </c>
      <c r="I9">
        <v>448.91800000000001</v>
      </c>
    </row>
    <row r="10" spans="1:9" x14ac:dyDescent="0.25">
      <c r="A10">
        <v>3.5</v>
      </c>
      <c r="B10">
        <v>3.1645099999999999</v>
      </c>
      <c r="C10">
        <v>0.71067899999999995</v>
      </c>
      <c r="D10">
        <v>513.91600000000005</v>
      </c>
      <c r="F10">
        <v>3.5</v>
      </c>
      <c r="G10">
        <v>3.1584099999999999</v>
      </c>
      <c r="H10">
        <v>-0.74774799999999997</v>
      </c>
      <c r="I10">
        <v>512.92499999999995</v>
      </c>
    </row>
    <row r="11" spans="1:9" x14ac:dyDescent="0.25">
      <c r="A11">
        <v>4</v>
      </c>
      <c r="B11">
        <v>3.5153400000000001</v>
      </c>
      <c r="C11">
        <v>0.83447499999999997</v>
      </c>
      <c r="D11">
        <v>570.89099999999996</v>
      </c>
      <c r="F11">
        <v>4</v>
      </c>
      <c r="G11">
        <v>3.5207299999999999</v>
      </c>
      <c r="H11">
        <v>-0.89070499999999997</v>
      </c>
      <c r="I11">
        <v>571.76700000000005</v>
      </c>
    </row>
    <row r="12" spans="1:9" x14ac:dyDescent="0.25">
      <c r="A12">
        <v>4.5</v>
      </c>
      <c r="B12">
        <v>3.81237</v>
      </c>
      <c r="C12">
        <v>0.96337899999999999</v>
      </c>
      <c r="D12">
        <v>619.12900000000002</v>
      </c>
      <c r="F12">
        <v>4.5</v>
      </c>
      <c r="G12">
        <v>3.8356599999999998</v>
      </c>
      <c r="H12">
        <v>-1.0546599999999999</v>
      </c>
      <c r="I12">
        <v>622.91200000000003</v>
      </c>
    </row>
    <row r="13" spans="1:9" x14ac:dyDescent="0.25">
      <c r="A13">
        <v>5</v>
      </c>
      <c r="B13">
        <v>4.0323799999999999</v>
      </c>
      <c r="C13">
        <v>1.0550299999999999</v>
      </c>
      <c r="D13">
        <v>654.85800000000006</v>
      </c>
      <c r="F13">
        <v>5</v>
      </c>
      <c r="G13">
        <v>4.0982200000000004</v>
      </c>
      <c r="H13">
        <v>-1.2374000000000001</v>
      </c>
      <c r="I13">
        <v>665.55100000000004</v>
      </c>
    </row>
    <row r="14" spans="1:9" x14ac:dyDescent="0.25">
      <c r="A14">
        <v>5.5</v>
      </c>
      <c r="B14">
        <v>4.1675500000000003</v>
      </c>
      <c r="C14">
        <v>1.0781499999999999</v>
      </c>
      <c r="D14">
        <v>676.81000000000006</v>
      </c>
      <c r="F14">
        <v>5.5</v>
      </c>
      <c r="G14">
        <v>4.2898100000000001</v>
      </c>
      <c r="H14">
        <v>-1.4420500000000001</v>
      </c>
      <c r="I14">
        <v>696.66499999999996</v>
      </c>
    </row>
    <row r="15" spans="1:9" x14ac:dyDescent="0.25">
      <c r="A15">
        <v>6</v>
      </c>
      <c r="B15">
        <v>4.2631699999999997</v>
      </c>
      <c r="C15">
        <v>1.07799</v>
      </c>
      <c r="D15">
        <v>692.33799999999997</v>
      </c>
      <c r="F15">
        <v>6</v>
      </c>
      <c r="G15">
        <v>4.4144899999999998</v>
      </c>
      <c r="H15">
        <v>-1.65974</v>
      </c>
      <c r="I15">
        <v>716.91399999999999</v>
      </c>
    </row>
    <row r="16" spans="1:9" x14ac:dyDescent="0.25">
      <c r="A16">
        <v>6.5</v>
      </c>
      <c r="B16">
        <v>4.3403099999999997</v>
      </c>
      <c r="C16">
        <v>1.0773200000000001</v>
      </c>
      <c r="D16">
        <v>704.86599999999999</v>
      </c>
      <c r="F16">
        <v>6.5</v>
      </c>
      <c r="G16">
        <v>4.5095700000000001</v>
      </c>
      <c r="H16">
        <v>-1.88045</v>
      </c>
      <c r="I16">
        <v>732.35400000000004</v>
      </c>
    </row>
    <row r="17" spans="1:9" x14ac:dyDescent="0.25">
      <c r="A17">
        <v>7</v>
      </c>
      <c r="B17">
        <v>4.3985500000000002</v>
      </c>
      <c r="C17">
        <v>1.0573900000000001</v>
      </c>
      <c r="D17">
        <v>714.32400000000007</v>
      </c>
      <c r="F17">
        <v>7</v>
      </c>
      <c r="G17">
        <v>4.5824499999999997</v>
      </c>
      <c r="H17">
        <v>-2.1008499999999999</v>
      </c>
      <c r="I17">
        <v>744.19</v>
      </c>
    </row>
    <row r="18" spans="1:9" x14ac:dyDescent="0.25">
      <c r="A18">
        <v>7.5</v>
      </c>
      <c r="B18">
        <v>4.4402299999999997</v>
      </c>
      <c r="C18">
        <v>1.0145200000000001</v>
      </c>
      <c r="D18">
        <v>721.09299999999996</v>
      </c>
      <c r="F18">
        <v>7.5</v>
      </c>
      <c r="G18">
        <v>4.6387200000000002</v>
      </c>
      <c r="H18">
        <v>-2.3202500000000001</v>
      </c>
      <c r="I18">
        <v>753.32799999999997</v>
      </c>
    </row>
    <row r="19" spans="1:9" x14ac:dyDescent="0.25">
      <c r="A19">
        <v>8</v>
      </c>
      <c r="B19">
        <v>4.4713900000000004</v>
      </c>
      <c r="C19">
        <v>0.95578099999999999</v>
      </c>
      <c r="D19">
        <v>726.154</v>
      </c>
      <c r="F19">
        <v>8</v>
      </c>
      <c r="G19">
        <v>4.68154</v>
      </c>
      <c r="H19">
        <v>-2.53722</v>
      </c>
      <c r="I19">
        <v>760.28100000000006</v>
      </c>
    </row>
    <row r="20" spans="1:9" x14ac:dyDescent="0.25">
      <c r="A20">
        <v>8.5</v>
      </c>
      <c r="B20">
        <v>4.4954999999999998</v>
      </c>
      <c r="C20">
        <v>0.884324</v>
      </c>
      <c r="D20">
        <v>730.07</v>
      </c>
      <c r="F20">
        <v>8.5</v>
      </c>
      <c r="G20">
        <v>4.7133099999999999</v>
      </c>
      <c r="H20">
        <v>-2.7496999999999998</v>
      </c>
      <c r="I20">
        <v>765.44200000000001</v>
      </c>
    </row>
    <row r="21" spans="1:9" x14ac:dyDescent="0.25">
      <c r="A21">
        <v>9</v>
      </c>
      <c r="B21">
        <v>4.5146199999999999</v>
      </c>
      <c r="C21">
        <v>0.80429700000000004</v>
      </c>
      <c r="D21">
        <v>733.17600000000004</v>
      </c>
      <c r="F21">
        <v>9</v>
      </c>
      <c r="G21">
        <v>4.7378299999999998</v>
      </c>
      <c r="H21">
        <v>-2.95702</v>
      </c>
      <c r="I21">
        <v>769.42399999999998</v>
      </c>
    </row>
    <row r="22" spans="1:9" x14ac:dyDescent="0.25">
      <c r="A22">
        <v>9.5</v>
      </c>
      <c r="B22">
        <v>4.5299899999999997</v>
      </c>
      <c r="C22">
        <v>0.71845599999999998</v>
      </c>
      <c r="D22">
        <v>735.67200000000003</v>
      </c>
      <c r="F22">
        <v>9.5</v>
      </c>
      <c r="G22">
        <v>4.7569800000000004</v>
      </c>
      <c r="H22">
        <v>-3.1594500000000001</v>
      </c>
      <c r="I22">
        <v>772.53399999999999</v>
      </c>
    </row>
    <row r="23" spans="1:9" x14ac:dyDescent="0.25">
      <c r="A23">
        <v>10</v>
      </c>
      <c r="B23">
        <v>4.54251</v>
      </c>
      <c r="C23">
        <v>0.62798100000000001</v>
      </c>
      <c r="D23">
        <v>737.70299999999997</v>
      </c>
      <c r="F23">
        <v>10</v>
      </c>
      <c r="G23">
        <v>4.7720700000000003</v>
      </c>
      <c r="H23">
        <v>-3.3576199999999998</v>
      </c>
      <c r="I23">
        <v>774.98400000000004</v>
      </c>
    </row>
    <row r="24" spans="1:9" x14ac:dyDescent="0.25">
      <c r="A24">
        <v>10.5</v>
      </c>
      <c r="B24">
        <v>4.55281</v>
      </c>
      <c r="C24">
        <v>0.53379399999999999</v>
      </c>
      <c r="D24">
        <v>739.37700000000007</v>
      </c>
      <c r="F24">
        <v>10.5</v>
      </c>
      <c r="G24">
        <v>4.7842399999999996</v>
      </c>
      <c r="H24">
        <v>-3.55145</v>
      </c>
      <c r="I24">
        <v>776.96</v>
      </c>
    </row>
    <row r="25" spans="1:9" x14ac:dyDescent="0.25">
      <c r="A25">
        <v>11</v>
      </c>
      <c r="B25">
        <v>4.5614299999999997</v>
      </c>
      <c r="C25">
        <v>0.43698799999999999</v>
      </c>
      <c r="D25">
        <v>740.77600000000007</v>
      </c>
      <c r="F25">
        <v>11</v>
      </c>
      <c r="G25">
        <v>4.7937099999999999</v>
      </c>
      <c r="H25">
        <v>-3.7422</v>
      </c>
      <c r="I25">
        <v>778.49900000000002</v>
      </c>
    </row>
    <row r="26" spans="1:9" x14ac:dyDescent="0.25">
      <c r="A26">
        <v>11.5</v>
      </c>
      <c r="B26">
        <v>4.5684699999999996</v>
      </c>
      <c r="C26">
        <v>0.33804200000000001</v>
      </c>
      <c r="D26">
        <v>741.92</v>
      </c>
      <c r="F26">
        <v>11.5</v>
      </c>
      <c r="G26">
        <v>4.8012300000000003</v>
      </c>
      <c r="H26">
        <v>-3.93065</v>
      </c>
      <c r="I26">
        <v>779.72</v>
      </c>
    </row>
    <row r="27" spans="1:9" x14ac:dyDescent="0.25">
      <c r="A27">
        <v>12</v>
      </c>
      <c r="B27">
        <v>4.57423</v>
      </c>
      <c r="C27">
        <v>0.237314</v>
      </c>
      <c r="D27">
        <v>742.85599999999999</v>
      </c>
      <c r="F27">
        <v>12</v>
      </c>
      <c r="G27">
        <v>4.80741</v>
      </c>
      <c r="H27">
        <v>-4.1173200000000003</v>
      </c>
      <c r="I27">
        <v>780.72400000000005</v>
      </c>
    </row>
    <row r="28" spans="1:9" x14ac:dyDescent="0.25">
      <c r="A28">
        <v>12.5</v>
      </c>
      <c r="B28">
        <v>4.5789200000000001</v>
      </c>
      <c r="C28">
        <v>0.13541500000000001</v>
      </c>
      <c r="D28">
        <v>743.61699999999996</v>
      </c>
      <c r="F28">
        <v>12.5</v>
      </c>
      <c r="G28">
        <v>4.8122299999999996</v>
      </c>
      <c r="H28">
        <v>-4.3052799999999998</v>
      </c>
      <c r="I28">
        <v>781.50700000000006</v>
      </c>
    </row>
    <row r="29" spans="1:9" x14ac:dyDescent="0.25">
      <c r="A29">
        <v>13</v>
      </c>
      <c r="B29">
        <v>4.5827999999999998</v>
      </c>
      <c r="C29">
        <v>3.2367899999999998E-2</v>
      </c>
      <c r="D29">
        <v>744.24700000000007</v>
      </c>
      <c r="F29">
        <v>13</v>
      </c>
      <c r="G29">
        <v>4.8159900000000002</v>
      </c>
      <c r="H29">
        <v>-4.4942399999999996</v>
      </c>
      <c r="I29">
        <v>782.11699999999996</v>
      </c>
    </row>
    <row r="30" spans="1:9" x14ac:dyDescent="0.25">
      <c r="A30">
        <v>13.5</v>
      </c>
      <c r="B30">
        <v>4.5858999999999996</v>
      </c>
      <c r="C30">
        <v>-7.2193099999999996E-2</v>
      </c>
      <c r="D30">
        <v>744.75</v>
      </c>
      <c r="F30">
        <v>13.5</v>
      </c>
      <c r="G30">
        <v>4.8188899999999997</v>
      </c>
      <c r="H30">
        <v>-4.6838899999999999</v>
      </c>
      <c r="I30">
        <v>782.58799999999997</v>
      </c>
    </row>
    <row r="31" spans="1:9" x14ac:dyDescent="0.25">
      <c r="A31">
        <v>14</v>
      </c>
      <c r="B31">
        <v>4.5882800000000001</v>
      </c>
      <c r="C31">
        <v>-0.177234</v>
      </c>
      <c r="D31">
        <v>745.13599999999997</v>
      </c>
      <c r="F31">
        <v>14</v>
      </c>
      <c r="G31">
        <v>4.8211399999999998</v>
      </c>
      <c r="H31">
        <v>-4.8739299999999997</v>
      </c>
      <c r="I31">
        <v>782.95400000000006</v>
      </c>
    </row>
    <row r="32" spans="1:9" x14ac:dyDescent="0.25">
      <c r="A32">
        <v>14.5</v>
      </c>
      <c r="B32">
        <v>4.5899799999999997</v>
      </c>
      <c r="C32">
        <v>-0.28184199999999998</v>
      </c>
      <c r="D32">
        <v>745.41200000000003</v>
      </c>
      <c r="F32">
        <v>14.5</v>
      </c>
      <c r="G32">
        <v>4.8228299999999997</v>
      </c>
      <c r="H32">
        <v>-5.0639099999999999</v>
      </c>
      <c r="I32">
        <v>783.22800000000007</v>
      </c>
    </row>
    <row r="33" spans="1:9" x14ac:dyDescent="0.25">
      <c r="A33">
        <v>15</v>
      </c>
      <c r="B33">
        <v>4.5911200000000001</v>
      </c>
      <c r="C33">
        <v>-0.38633400000000001</v>
      </c>
      <c r="D33">
        <v>745.59800000000007</v>
      </c>
      <c r="F33">
        <v>15</v>
      </c>
      <c r="G33">
        <v>4.8239299999999998</v>
      </c>
      <c r="H33">
        <v>-5.2536699999999996</v>
      </c>
      <c r="I33">
        <v>783.40600000000006</v>
      </c>
    </row>
    <row r="34" spans="1:9" x14ac:dyDescent="0.25">
      <c r="A34">
        <v>15.5</v>
      </c>
      <c r="B34">
        <v>4.5918599999999996</v>
      </c>
      <c r="C34">
        <v>-0.490892</v>
      </c>
      <c r="D34">
        <v>745.71900000000005</v>
      </c>
      <c r="F34">
        <v>15.5</v>
      </c>
      <c r="G34">
        <v>4.8245100000000001</v>
      </c>
      <c r="H34">
        <v>-5.4426600000000001</v>
      </c>
      <c r="I34">
        <v>783.50099999999998</v>
      </c>
    </row>
    <row r="35" spans="1:9" x14ac:dyDescent="0.25">
      <c r="A35">
        <v>16</v>
      </c>
      <c r="B35">
        <v>4.5922299999999998</v>
      </c>
      <c r="C35">
        <v>-0.59565800000000002</v>
      </c>
      <c r="D35">
        <v>745.77800000000002</v>
      </c>
      <c r="F35">
        <v>16</v>
      </c>
      <c r="G35">
        <v>4.8246599999999997</v>
      </c>
      <c r="H35">
        <v>-5.6316300000000004</v>
      </c>
      <c r="I35">
        <v>783.52499999999998</v>
      </c>
    </row>
    <row r="36" spans="1:9" x14ac:dyDescent="0.25">
      <c r="A36">
        <v>16.5</v>
      </c>
      <c r="B36">
        <v>4.5922099999999997</v>
      </c>
      <c r="C36">
        <v>-0.70057800000000003</v>
      </c>
      <c r="D36">
        <v>745.77499999999998</v>
      </c>
      <c r="F36">
        <v>16.5</v>
      </c>
      <c r="G36">
        <v>4.8244899999999999</v>
      </c>
      <c r="H36">
        <v>-5.8191499999999996</v>
      </c>
      <c r="I36">
        <v>783.49700000000007</v>
      </c>
    </row>
    <row r="37" spans="1:9" x14ac:dyDescent="0.25">
      <c r="A37">
        <v>17</v>
      </c>
      <c r="B37">
        <v>4.59178</v>
      </c>
      <c r="C37">
        <v>-0.80531600000000003</v>
      </c>
      <c r="D37">
        <v>745.70600000000002</v>
      </c>
      <c r="F37">
        <v>17</v>
      </c>
      <c r="G37">
        <v>4.8240100000000004</v>
      </c>
      <c r="H37">
        <v>-6.0060000000000002</v>
      </c>
      <c r="I37">
        <v>783.41899999999998</v>
      </c>
    </row>
    <row r="38" spans="1:9" x14ac:dyDescent="0.25">
      <c r="A38">
        <v>17.5</v>
      </c>
      <c r="B38">
        <v>4.5910500000000001</v>
      </c>
      <c r="C38">
        <v>-0.91043499999999999</v>
      </c>
      <c r="D38">
        <v>745.58600000000001</v>
      </c>
      <c r="F38">
        <v>17.5</v>
      </c>
      <c r="G38">
        <v>4.8231400000000004</v>
      </c>
      <c r="H38">
        <v>-6.19339</v>
      </c>
      <c r="I38">
        <v>783.27800000000002</v>
      </c>
    </row>
    <row r="39" spans="1:9" x14ac:dyDescent="0.25">
      <c r="A39">
        <v>18</v>
      </c>
      <c r="B39">
        <v>4.5900100000000004</v>
      </c>
      <c r="C39">
        <v>-1.01607</v>
      </c>
      <c r="D39">
        <v>745.41700000000003</v>
      </c>
      <c r="F39">
        <v>18</v>
      </c>
      <c r="G39">
        <v>4.8220400000000003</v>
      </c>
      <c r="H39">
        <v>-6.3796799999999996</v>
      </c>
      <c r="I39">
        <v>783.1</v>
      </c>
    </row>
    <row r="40" spans="1:9" x14ac:dyDescent="0.25">
      <c r="A40">
        <v>18.5</v>
      </c>
      <c r="B40">
        <v>4.5886899999999997</v>
      </c>
      <c r="C40">
        <v>-1.12233</v>
      </c>
      <c r="D40">
        <v>745.20400000000006</v>
      </c>
      <c r="F40">
        <v>18.5</v>
      </c>
      <c r="G40">
        <v>4.8205600000000004</v>
      </c>
      <c r="H40">
        <v>-6.5670900000000003</v>
      </c>
      <c r="I40">
        <v>782.85900000000004</v>
      </c>
    </row>
    <row r="41" spans="1:9" x14ac:dyDescent="0.25">
      <c r="A41">
        <v>19</v>
      </c>
      <c r="B41">
        <v>4.5871300000000002</v>
      </c>
      <c r="C41">
        <v>-1.2290700000000001</v>
      </c>
      <c r="D41">
        <v>744.95100000000002</v>
      </c>
      <c r="F41">
        <v>19</v>
      </c>
      <c r="G41">
        <v>4.8186900000000001</v>
      </c>
      <c r="H41">
        <v>-6.7559800000000001</v>
      </c>
      <c r="I41">
        <v>782.55600000000004</v>
      </c>
    </row>
    <row r="42" spans="1:9" x14ac:dyDescent="0.25">
      <c r="A42">
        <v>19.5</v>
      </c>
      <c r="B42">
        <v>4.5853599999999997</v>
      </c>
      <c r="C42">
        <v>-1.3366</v>
      </c>
      <c r="D42">
        <v>744.66200000000003</v>
      </c>
      <c r="F42">
        <v>19.5</v>
      </c>
      <c r="G42">
        <v>4.8163999999999998</v>
      </c>
      <c r="H42">
        <v>-6.9470599999999996</v>
      </c>
      <c r="I42">
        <v>782.18299999999999</v>
      </c>
    </row>
    <row r="43" spans="1:9" x14ac:dyDescent="0.25">
      <c r="A43">
        <v>20</v>
      </c>
      <c r="B43">
        <v>4.5833599999999999</v>
      </c>
      <c r="C43">
        <v>-1.4446699999999999</v>
      </c>
      <c r="D43">
        <v>744.33799999999997</v>
      </c>
      <c r="F43">
        <v>20</v>
      </c>
      <c r="G43">
        <v>4.8138300000000003</v>
      </c>
      <c r="H43">
        <v>-7.13802</v>
      </c>
      <c r="I43">
        <v>781.76499999999999</v>
      </c>
    </row>
    <row r="44" spans="1:9" x14ac:dyDescent="0.25">
      <c r="A44">
        <v>20.5</v>
      </c>
      <c r="B44">
        <v>4.58108</v>
      </c>
      <c r="C44">
        <v>-1.5530900000000001</v>
      </c>
      <c r="D44">
        <v>743.96699999999998</v>
      </c>
      <c r="F44">
        <v>20.5</v>
      </c>
      <c r="G44">
        <v>4.8107800000000003</v>
      </c>
      <c r="H44">
        <v>-7.3315299999999999</v>
      </c>
      <c r="I44">
        <v>781.27</v>
      </c>
    </row>
    <row r="45" spans="1:9" x14ac:dyDescent="0.25">
      <c r="A45">
        <v>21</v>
      </c>
      <c r="B45">
        <v>4.5785400000000003</v>
      </c>
      <c r="C45">
        <v>-1.66171</v>
      </c>
      <c r="D45">
        <v>743.55500000000006</v>
      </c>
      <c r="F45">
        <v>21</v>
      </c>
      <c r="G45">
        <v>4.8070700000000004</v>
      </c>
      <c r="H45">
        <v>-7.5301499999999999</v>
      </c>
      <c r="I45">
        <v>780.66800000000001</v>
      </c>
    </row>
    <row r="46" spans="1:9" x14ac:dyDescent="0.25">
      <c r="A46">
        <v>21.5</v>
      </c>
      <c r="B46">
        <v>4.5758200000000002</v>
      </c>
      <c r="C46">
        <v>-1.7711300000000001</v>
      </c>
      <c r="D46">
        <v>743.11300000000006</v>
      </c>
      <c r="F46">
        <v>21.5</v>
      </c>
      <c r="G46">
        <v>4.80274</v>
      </c>
      <c r="H46">
        <v>-7.7337600000000002</v>
      </c>
      <c r="I46">
        <v>779.96500000000003</v>
      </c>
    </row>
    <row r="47" spans="1:9" x14ac:dyDescent="0.25">
      <c r="A47">
        <v>22</v>
      </c>
      <c r="B47">
        <v>4.5729499999999996</v>
      </c>
      <c r="C47">
        <v>-1.88134</v>
      </c>
      <c r="D47">
        <v>742.64700000000005</v>
      </c>
      <c r="F47">
        <v>22</v>
      </c>
      <c r="G47">
        <v>4.7976599999999996</v>
      </c>
      <c r="H47">
        <v>-7.9429499999999997</v>
      </c>
      <c r="I47">
        <v>779.13900000000001</v>
      </c>
    </row>
    <row r="48" spans="1:9" x14ac:dyDescent="0.25">
      <c r="A48">
        <v>22.5</v>
      </c>
      <c r="B48">
        <v>4.5698999999999996</v>
      </c>
      <c r="C48">
        <v>-1.9921599999999999</v>
      </c>
      <c r="D48">
        <v>742.15200000000004</v>
      </c>
      <c r="F48">
        <v>22.5</v>
      </c>
      <c r="G48">
        <v>4.7917500000000004</v>
      </c>
      <c r="H48">
        <v>-8.1567500000000006</v>
      </c>
      <c r="I48">
        <v>778.18000000000006</v>
      </c>
    </row>
    <row r="49" spans="1:9" x14ac:dyDescent="0.25">
      <c r="A49">
        <v>23</v>
      </c>
      <c r="B49">
        <v>4.5667099999999996</v>
      </c>
      <c r="C49">
        <v>-2.1035200000000001</v>
      </c>
      <c r="D49">
        <v>741.63300000000004</v>
      </c>
      <c r="F49">
        <v>23</v>
      </c>
      <c r="G49">
        <v>4.7849000000000004</v>
      </c>
      <c r="H49">
        <v>-8.3741800000000008</v>
      </c>
      <c r="I49">
        <v>777.06700000000001</v>
      </c>
    </row>
    <row r="50" spans="1:9" x14ac:dyDescent="0.25">
      <c r="A50">
        <v>23.5</v>
      </c>
      <c r="B50">
        <v>4.5633499999999998</v>
      </c>
      <c r="C50">
        <v>-2.2149700000000001</v>
      </c>
      <c r="D50">
        <v>741.08699999999999</v>
      </c>
      <c r="F50">
        <v>23.5</v>
      </c>
      <c r="G50">
        <v>4.7771299999999997</v>
      </c>
      <c r="H50">
        <v>-8.5940499999999993</v>
      </c>
      <c r="I50">
        <v>775.81200000000001</v>
      </c>
    </row>
    <row r="51" spans="1:9" x14ac:dyDescent="0.25">
      <c r="A51">
        <v>24</v>
      </c>
      <c r="B51">
        <v>4.5598000000000001</v>
      </c>
      <c r="C51">
        <v>-2.3266</v>
      </c>
      <c r="D51">
        <v>740.51200000000006</v>
      </c>
      <c r="F51">
        <v>24</v>
      </c>
      <c r="G51">
        <v>4.76851</v>
      </c>
      <c r="H51">
        <v>-8.8154000000000003</v>
      </c>
      <c r="I51">
        <v>774.41</v>
      </c>
    </row>
    <row r="52" spans="1:9" x14ac:dyDescent="0.25">
      <c r="A52">
        <v>24.5</v>
      </c>
      <c r="B52">
        <v>4.5560400000000003</v>
      </c>
      <c r="C52">
        <v>-2.4383699999999999</v>
      </c>
      <c r="D52">
        <v>739.9</v>
      </c>
      <c r="F52">
        <v>24.5</v>
      </c>
      <c r="G52">
        <v>4.7590399999999997</v>
      </c>
      <c r="H52">
        <v>-9.0379299999999994</v>
      </c>
      <c r="I52">
        <v>772.87</v>
      </c>
    </row>
    <row r="53" spans="1:9" x14ac:dyDescent="0.25">
      <c r="A53">
        <v>25</v>
      </c>
      <c r="B53">
        <v>4.5520899999999997</v>
      </c>
      <c r="C53">
        <v>-2.5502199999999999</v>
      </c>
      <c r="D53">
        <v>739.26</v>
      </c>
      <c r="F53">
        <v>25</v>
      </c>
      <c r="G53">
        <v>4.7482499999999996</v>
      </c>
      <c r="H53">
        <v>-9.2625799999999998</v>
      </c>
      <c r="I53">
        <v>771.11800000000005</v>
      </c>
    </row>
    <row r="54" spans="1:9" x14ac:dyDescent="0.25">
      <c r="A54">
        <v>25.5</v>
      </c>
      <c r="B54">
        <v>4.54793</v>
      </c>
      <c r="C54">
        <v>-2.6624599999999998</v>
      </c>
      <c r="D54">
        <v>738.58400000000006</v>
      </c>
      <c r="F54">
        <v>25.5</v>
      </c>
      <c r="G54">
        <v>4.7356299999999996</v>
      </c>
      <c r="H54">
        <v>-9.48963</v>
      </c>
      <c r="I54">
        <v>769.07</v>
      </c>
    </row>
    <row r="55" spans="1:9" x14ac:dyDescent="0.25">
      <c r="A55">
        <v>26</v>
      </c>
      <c r="B55">
        <v>4.5435100000000004</v>
      </c>
      <c r="C55">
        <v>-2.7749199999999998</v>
      </c>
      <c r="D55">
        <v>737.86599999999999</v>
      </c>
      <c r="F55">
        <v>26</v>
      </c>
      <c r="G55">
        <v>4.7202000000000002</v>
      </c>
      <c r="H55">
        <v>-9.7193400000000008</v>
      </c>
      <c r="I55">
        <v>766.56200000000001</v>
      </c>
    </row>
    <row r="56" spans="1:9" x14ac:dyDescent="0.25">
      <c r="A56">
        <v>26.5</v>
      </c>
      <c r="B56">
        <v>4.5387000000000004</v>
      </c>
      <c r="C56">
        <v>-2.8881700000000001</v>
      </c>
      <c r="D56">
        <v>737.08600000000001</v>
      </c>
      <c r="F56">
        <v>26.5</v>
      </c>
      <c r="G56">
        <v>4.7028299999999996</v>
      </c>
      <c r="H56">
        <v>-9.9494600000000002</v>
      </c>
      <c r="I56">
        <v>763.74099999999999</v>
      </c>
    </row>
    <row r="57" spans="1:9" x14ac:dyDescent="0.25">
      <c r="A57">
        <v>27</v>
      </c>
      <c r="B57">
        <v>4.5333600000000001</v>
      </c>
      <c r="C57">
        <v>-3.0024799999999998</v>
      </c>
      <c r="D57">
        <v>736.21699999999998</v>
      </c>
      <c r="F57">
        <v>27</v>
      </c>
      <c r="G57">
        <v>4.68431</v>
      </c>
      <c r="H57">
        <v>-10.178699999999999</v>
      </c>
      <c r="I57">
        <v>760.73199999999997</v>
      </c>
    </row>
    <row r="58" spans="1:9" x14ac:dyDescent="0.25">
      <c r="A58">
        <v>27.5</v>
      </c>
      <c r="B58">
        <v>4.52738</v>
      </c>
      <c r="C58">
        <v>-3.1181399999999999</v>
      </c>
      <c r="D58">
        <v>735.24599999999998</v>
      </c>
      <c r="F58">
        <v>27.5</v>
      </c>
      <c r="G58">
        <v>4.6647699999999999</v>
      </c>
      <c r="H58">
        <v>-10.4071</v>
      </c>
      <c r="I58">
        <v>757.55799999999999</v>
      </c>
    </row>
    <row r="59" spans="1:9" x14ac:dyDescent="0.25">
      <c r="A59">
        <v>28</v>
      </c>
      <c r="B59">
        <v>4.5206799999999996</v>
      </c>
      <c r="C59">
        <v>-3.2339099999999998</v>
      </c>
      <c r="D59">
        <v>734.15899999999999</v>
      </c>
      <c r="F59">
        <v>28</v>
      </c>
      <c r="G59">
        <v>4.6446300000000003</v>
      </c>
      <c r="H59">
        <v>-10.635300000000001</v>
      </c>
      <c r="I59">
        <v>754.28800000000001</v>
      </c>
    </row>
    <row r="60" spans="1:9" x14ac:dyDescent="0.25">
      <c r="A60">
        <v>28.5</v>
      </c>
      <c r="B60">
        <v>4.5134999999999996</v>
      </c>
      <c r="C60">
        <v>-3.3494999999999999</v>
      </c>
      <c r="D60">
        <v>732.99300000000005</v>
      </c>
      <c r="F60">
        <v>28.5</v>
      </c>
      <c r="G60">
        <v>4.6238900000000003</v>
      </c>
      <c r="H60">
        <v>-10.863200000000001</v>
      </c>
      <c r="I60">
        <v>750.92</v>
      </c>
    </row>
    <row r="61" spans="1:9" x14ac:dyDescent="0.25">
      <c r="A61">
        <v>29</v>
      </c>
      <c r="B61">
        <v>4.5059800000000001</v>
      </c>
      <c r="C61">
        <v>-3.4652400000000001</v>
      </c>
      <c r="D61">
        <v>731.77100000000007</v>
      </c>
      <c r="F61">
        <v>29</v>
      </c>
      <c r="G61">
        <v>4.6028900000000004</v>
      </c>
      <c r="H61">
        <v>-11.0901</v>
      </c>
      <c r="I61">
        <v>747.50900000000001</v>
      </c>
    </row>
    <row r="62" spans="1:9" x14ac:dyDescent="0.25">
      <c r="A62">
        <v>29.5</v>
      </c>
      <c r="B62">
        <v>4.4981600000000004</v>
      </c>
      <c r="C62">
        <v>-3.58134</v>
      </c>
      <c r="D62">
        <v>730.50599999999997</v>
      </c>
      <c r="F62">
        <v>29.5</v>
      </c>
      <c r="G62">
        <v>4.5815400000000004</v>
      </c>
      <c r="H62">
        <v>-11.3163</v>
      </c>
      <c r="I62">
        <v>744.04100000000005</v>
      </c>
    </row>
    <row r="63" spans="1:9" x14ac:dyDescent="0.25">
      <c r="A63">
        <v>30</v>
      </c>
      <c r="B63">
        <v>4.4901200000000001</v>
      </c>
      <c r="C63">
        <v>-3.6977699999999998</v>
      </c>
      <c r="D63">
        <v>729.19900000000007</v>
      </c>
      <c r="F63">
        <v>30</v>
      </c>
      <c r="G63">
        <v>4.5601099999999999</v>
      </c>
      <c r="H63">
        <v>-11.5413</v>
      </c>
      <c r="I63">
        <v>740.56200000000001</v>
      </c>
    </row>
    <row r="64" spans="1:9" x14ac:dyDescent="0.25">
      <c r="A64">
        <v>30.5</v>
      </c>
      <c r="B64">
        <v>4.4817600000000004</v>
      </c>
      <c r="C64">
        <v>-3.81446</v>
      </c>
      <c r="D64">
        <v>727.84199999999998</v>
      </c>
      <c r="F64">
        <v>30.5</v>
      </c>
      <c r="G64">
        <v>4.5386499999999996</v>
      </c>
      <c r="H64">
        <v>-11.7651</v>
      </c>
      <c r="I64">
        <v>737.077</v>
      </c>
    </row>
    <row r="65" spans="1:9" x14ac:dyDescent="0.25">
      <c r="A65">
        <v>31</v>
      </c>
      <c r="B65">
        <v>4.4729999999999999</v>
      </c>
      <c r="C65">
        <v>-3.9309500000000002</v>
      </c>
      <c r="D65">
        <v>726.41800000000001</v>
      </c>
      <c r="F65">
        <v>31</v>
      </c>
      <c r="G65">
        <v>4.5171000000000001</v>
      </c>
      <c r="H65">
        <v>-11.9876</v>
      </c>
      <c r="I65">
        <v>733.577</v>
      </c>
    </row>
    <row r="66" spans="1:9" x14ac:dyDescent="0.25">
      <c r="A66">
        <v>31.5</v>
      </c>
      <c r="B66">
        <v>4.4637399999999996</v>
      </c>
      <c r="C66">
        <v>-4.0477800000000004</v>
      </c>
      <c r="D66">
        <v>724.91399999999999</v>
      </c>
      <c r="F66">
        <v>31.5</v>
      </c>
      <c r="G66">
        <v>4.4955400000000001</v>
      </c>
      <c r="H66">
        <v>-12.2089</v>
      </c>
      <c r="I66">
        <v>730.07600000000002</v>
      </c>
    </row>
    <row r="67" spans="1:9" x14ac:dyDescent="0.25">
      <c r="A67">
        <v>32</v>
      </c>
      <c r="B67">
        <v>4.4539299999999997</v>
      </c>
      <c r="C67">
        <v>-4.1654099999999996</v>
      </c>
      <c r="D67">
        <v>723.32</v>
      </c>
      <c r="F67">
        <v>32</v>
      </c>
      <c r="G67">
        <v>4.4740900000000003</v>
      </c>
      <c r="H67">
        <v>-12.429</v>
      </c>
      <c r="I67">
        <v>726.59199999999998</v>
      </c>
    </row>
    <row r="68" spans="1:9" x14ac:dyDescent="0.25">
      <c r="A68">
        <v>32.5</v>
      </c>
      <c r="B68">
        <v>4.4431799999999999</v>
      </c>
      <c r="C68">
        <v>-4.2844600000000002</v>
      </c>
      <c r="D68">
        <v>721.57400000000007</v>
      </c>
      <c r="F68">
        <v>32.5</v>
      </c>
      <c r="G68">
        <v>4.4528100000000004</v>
      </c>
      <c r="H68">
        <v>-12.6477</v>
      </c>
      <c r="I68">
        <v>723.13599999999997</v>
      </c>
    </row>
    <row r="69" spans="1:9" x14ac:dyDescent="0.25">
      <c r="A69">
        <v>33</v>
      </c>
      <c r="B69">
        <v>4.4313900000000004</v>
      </c>
      <c r="C69">
        <v>-4.40707</v>
      </c>
      <c r="D69">
        <v>719.65899999999999</v>
      </c>
      <c r="F69">
        <v>33</v>
      </c>
      <c r="G69">
        <v>4.4317000000000002</v>
      </c>
      <c r="H69">
        <v>-12.8653</v>
      </c>
      <c r="I69">
        <v>719.70799999999997</v>
      </c>
    </row>
    <row r="70" spans="1:9" x14ac:dyDescent="0.25">
      <c r="A70">
        <v>33.5</v>
      </c>
      <c r="B70">
        <v>4.41852</v>
      </c>
      <c r="C70">
        <v>-4.5336800000000004</v>
      </c>
      <c r="D70">
        <v>717.57</v>
      </c>
      <c r="F70">
        <v>33.5</v>
      </c>
      <c r="G70">
        <v>4.41073</v>
      </c>
      <c r="H70">
        <v>-13.081799999999999</v>
      </c>
      <c r="I70">
        <v>716.30200000000002</v>
      </c>
    </row>
    <row r="71" spans="1:9" x14ac:dyDescent="0.25">
      <c r="A71">
        <v>34</v>
      </c>
      <c r="B71">
        <v>4.4039799999999998</v>
      </c>
      <c r="C71">
        <v>-4.6657299999999999</v>
      </c>
      <c r="D71">
        <v>715.20699999999999</v>
      </c>
      <c r="F71">
        <v>34</v>
      </c>
      <c r="G71">
        <v>4.3899499999999998</v>
      </c>
      <c r="H71">
        <v>-13.2972</v>
      </c>
      <c r="I71">
        <v>712.92700000000002</v>
      </c>
    </row>
    <row r="72" spans="1:9" x14ac:dyDescent="0.25">
      <c r="A72">
        <v>34.5</v>
      </c>
      <c r="B72">
        <v>4.3879999999999999</v>
      </c>
      <c r="C72">
        <v>-4.8018900000000002</v>
      </c>
      <c r="D72">
        <v>712.61099999999999</v>
      </c>
      <c r="F72">
        <v>34.5</v>
      </c>
      <c r="G72">
        <v>4.3693299999999997</v>
      </c>
      <c r="H72">
        <v>-13.511200000000001</v>
      </c>
      <c r="I72">
        <v>709.58</v>
      </c>
    </row>
    <row r="73" spans="1:9" x14ac:dyDescent="0.25">
      <c r="A73">
        <v>35</v>
      </c>
      <c r="B73">
        <v>4.3702699999999997</v>
      </c>
      <c r="C73">
        <v>-4.9417900000000001</v>
      </c>
      <c r="D73">
        <v>709.73300000000006</v>
      </c>
      <c r="F73">
        <v>35</v>
      </c>
      <c r="G73">
        <v>4.3488899999999999</v>
      </c>
      <c r="H73">
        <v>-13.7242</v>
      </c>
      <c r="I73">
        <v>706.25900000000001</v>
      </c>
    </row>
    <row r="74" spans="1:9" x14ac:dyDescent="0.25">
      <c r="A74">
        <v>35.5</v>
      </c>
      <c r="B74">
        <v>4.3511800000000003</v>
      </c>
      <c r="C74">
        <v>-5.0844300000000002</v>
      </c>
      <c r="D74">
        <v>706.63200000000006</v>
      </c>
      <c r="F74">
        <v>35.5</v>
      </c>
      <c r="G74">
        <v>4.3285600000000004</v>
      </c>
      <c r="H74">
        <v>-13.936199999999999</v>
      </c>
      <c r="I74">
        <v>702.95900000000006</v>
      </c>
    </row>
    <row r="75" spans="1:9" x14ac:dyDescent="0.25">
      <c r="A75">
        <v>36</v>
      </c>
      <c r="B75">
        <v>4.3309100000000003</v>
      </c>
      <c r="C75">
        <v>-5.2287299999999997</v>
      </c>
      <c r="D75">
        <v>703.33900000000006</v>
      </c>
      <c r="F75">
        <v>36</v>
      </c>
      <c r="G75">
        <v>4.30837</v>
      </c>
      <c r="H75">
        <v>-14.147399999999999</v>
      </c>
      <c r="I75">
        <v>699.68000000000006</v>
      </c>
    </row>
    <row r="76" spans="1:9" x14ac:dyDescent="0.25">
      <c r="A76">
        <v>36.5</v>
      </c>
      <c r="B76">
        <v>4.3097200000000004</v>
      </c>
      <c r="C76">
        <v>-5.3740699999999997</v>
      </c>
      <c r="D76">
        <v>699.89800000000002</v>
      </c>
      <c r="F76">
        <v>36.5</v>
      </c>
      <c r="G76">
        <v>4.2883800000000001</v>
      </c>
      <c r="H76">
        <v>-14.357900000000001</v>
      </c>
      <c r="I76">
        <v>696.43299999999999</v>
      </c>
    </row>
    <row r="77" spans="1:9" x14ac:dyDescent="0.25">
      <c r="A77">
        <v>37</v>
      </c>
      <c r="B77">
        <v>4.2881999999999998</v>
      </c>
      <c r="C77">
        <v>-5.5199199999999999</v>
      </c>
      <c r="D77">
        <v>696.404</v>
      </c>
      <c r="F77">
        <v>37</v>
      </c>
      <c r="G77">
        <v>4.2685199999999996</v>
      </c>
      <c r="H77">
        <v>-14.5677</v>
      </c>
      <c r="I77">
        <v>693.20799999999997</v>
      </c>
    </row>
    <row r="78" spans="1:9" x14ac:dyDescent="0.25">
      <c r="A78">
        <v>37.5</v>
      </c>
      <c r="B78">
        <v>4.2662199999999997</v>
      </c>
      <c r="C78">
        <v>-5.6663100000000002</v>
      </c>
      <c r="D78">
        <v>692.83400000000006</v>
      </c>
      <c r="F78">
        <v>37.5</v>
      </c>
      <c r="G78">
        <v>4.2485799999999996</v>
      </c>
      <c r="H78">
        <v>-14.776899999999999</v>
      </c>
      <c r="I78">
        <v>689.97</v>
      </c>
    </row>
    <row r="79" spans="1:9" x14ac:dyDescent="0.25">
      <c r="A79">
        <v>38</v>
      </c>
      <c r="B79">
        <v>4.2438900000000004</v>
      </c>
      <c r="C79">
        <v>-5.8132799999999998</v>
      </c>
      <c r="D79">
        <v>689.20699999999999</v>
      </c>
      <c r="F79">
        <v>38</v>
      </c>
      <c r="G79">
        <v>4.2288300000000003</v>
      </c>
      <c r="H79">
        <v>-14.985799999999999</v>
      </c>
      <c r="I79">
        <v>686.76300000000003</v>
      </c>
    </row>
    <row r="80" spans="1:9" x14ac:dyDescent="0.25">
      <c r="A80">
        <v>38.5</v>
      </c>
      <c r="B80">
        <v>4.2214799999999997</v>
      </c>
      <c r="C80">
        <v>-5.9603999999999999</v>
      </c>
      <c r="D80">
        <v>685.56799999999998</v>
      </c>
      <c r="F80">
        <v>38.5</v>
      </c>
      <c r="G80">
        <v>4.2092999999999998</v>
      </c>
      <c r="H80">
        <v>-15.193899999999999</v>
      </c>
      <c r="I80">
        <v>683.59100000000001</v>
      </c>
    </row>
    <row r="81" spans="1:9" x14ac:dyDescent="0.25">
      <c r="A81">
        <v>39</v>
      </c>
      <c r="B81">
        <v>4.1990699999999999</v>
      </c>
      <c r="C81">
        <v>-6.1075299999999997</v>
      </c>
      <c r="D81">
        <v>681.92899999999997</v>
      </c>
      <c r="F81">
        <v>39</v>
      </c>
      <c r="G81">
        <v>4.18994</v>
      </c>
      <c r="H81">
        <v>-15.4011</v>
      </c>
      <c r="I81">
        <v>680.447</v>
      </c>
    </row>
    <row r="82" spans="1:9" x14ac:dyDescent="0.25">
      <c r="A82">
        <v>39.5</v>
      </c>
      <c r="B82">
        <v>4.1765999999999996</v>
      </c>
      <c r="C82">
        <v>-6.25495</v>
      </c>
      <c r="D82">
        <v>678.28</v>
      </c>
      <c r="F82">
        <v>39.5</v>
      </c>
      <c r="G82">
        <v>4.1708100000000004</v>
      </c>
      <c r="H82">
        <v>-15.6076</v>
      </c>
      <c r="I82">
        <v>677.34</v>
      </c>
    </row>
    <row r="83" spans="1:9" x14ac:dyDescent="0.25">
      <c r="A83">
        <v>40</v>
      </c>
      <c r="B83">
        <v>4.1542000000000003</v>
      </c>
      <c r="C83">
        <v>-6.4025299999999996</v>
      </c>
      <c r="D83">
        <v>674.64300000000003</v>
      </c>
      <c r="F83">
        <v>40</v>
      </c>
      <c r="G83">
        <v>4.1518800000000002</v>
      </c>
      <c r="H83">
        <v>-15.8134</v>
      </c>
      <c r="I83">
        <v>674.26499999999999</v>
      </c>
    </row>
    <row r="84" spans="1:9" x14ac:dyDescent="0.25">
      <c r="A84">
        <v>40.5</v>
      </c>
      <c r="B84">
        <v>4.13192</v>
      </c>
      <c r="C84">
        <v>-6.5498700000000003</v>
      </c>
      <c r="D84">
        <v>671.02300000000002</v>
      </c>
      <c r="F84">
        <v>40.5</v>
      </c>
      <c r="G84">
        <v>4.1331499999999997</v>
      </c>
      <c r="H84">
        <v>-16.018599999999999</v>
      </c>
      <c r="I84">
        <v>671.22300000000007</v>
      </c>
    </row>
    <row r="85" spans="1:9" x14ac:dyDescent="0.25">
      <c r="A85">
        <v>41</v>
      </c>
      <c r="B85">
        <v>4.1097400000000004</v>
      </c>
      <c r="C85">
        <v>-6.6970900000000002</v>
      </c>
      <c r="D85">
        <v>667.42100000000005</v>
      </c>
      <c r="F85">
        <v>41</v>
      </c>
      <c r="G85">
        <v>4.1146099999999999</v>
      </c>
      <c r="H85">
        <v>-16.223099999999999</v>
      </c>
      <c r="I85">
        <v>668.21299999999997</v>
      </c>
    </row>
    <row r="86" spans="1:9" x14ac:dyDescent="0.25">
      <c r="A86">
        <v>41.5</v>
      </c>
      <c r="B86">
        <v>4.0877299999999996</v>
      </c>
      <c r="C86">
        <v>-6.8442999999999996</v>
      </c>
      <c r="D86">
        <v>663.84800000000007</v>
      </c>
      <c r="F86">
        <v>41.5</v>
      </c>
      <c r="G86">
        <v>4.0962199999999998</v>
      </c>
      <c r="H86">
        <v>-16.426600000000001</v>
      </c>
      <c r="I86">
        <v>665.22699999999998</v>
      </c>
    </row>
    <row r="87" spans="1:9" x14ac:dyDescent="0.25">
      <c r="A87">
        <v>42</v>
      </c>
      <c r="B87">
        <v>4.0659000000000001</v>
      </c>
      <c r="C87">
        <v>-6.9915099999999999</v>
      </c>
      <c r="D87">
        <v>660.30200000000002</v>
      </c>
      <c r="F87">
        <v>42</v>
      </c>
      <c r="G87">
        <v>4.0780399999999997</v>
      </c>
      <c r="H87">
        <v>-16.6294</v>
      </c>
      <c r="I87">
        <v>662.274</v>
      </c>
    </row>
    <row r="88" spans="1:9" x14ac:dyDescent="0.25">
      <c r="A88">
        <v>42.5</v>
      </c>
      <c r="B88">
        <v>4.0441399999999996</v>
      </c>
      <c r="C88">
        <v>-7.1388299999999996</v>
      </c>
      <c r="D88">
        <v>656.76800000000003</v>
      </c>
      <c r="F88">
        <v>42.5</v>
      </c>
      <c r="G88">
        <v>4.0600699999999996</v>
      </c>
      <c r="H88">
        <v>-16.831399999999999</v>
      </c>
      <c r="I88">
        <v>659.35599999999999</v>
      </c>
    </row>
    <row r="89" spans="1:9" x14ac:dyDescent="0.25">
      <c r="A89">
        <v>43</v>
      </c>
      <c r="B89">
        <v>4.0225299999999997</v>
      </c>
      <c r="C89">
        <v>-7.28613</v>
      </c>
      <c r="D89">
        <v>653.26</v>
      </c>
      <c r="F89">
        <v>43</v>
      </c>
      <c r="G89">
        <v>4.0421100000000001</v>
      </c>
      <c r="H89">
        <v>-17.032699999999998</v>
      </c>
      <c r="I89">
        <v>656.43799999999999</v>
      </c>
    </row>
    <row r="90" spans="1:9" x14ac:dyDescent="0.25">
      <c r="A90">
        <v>43.5</v>
      </c>
      <c r="B90">
        <v>4.0010199999999996</v>
      </c>
      <c r="C90">
        <v>-7.43363</v>
      </c>
      <c r="D90">
        <v>649.76499999999999</v>
      </c>
      <c r="F90">
        <v>43.5</v>
      </c>
      <c r="G90">
        <v>4.0243200000000003</v>
      </c>
      <c r="H90">
        <v>-17.2331</v>
      </c>
      <c r="I90">
        <v>653.54899999999998</v>
      </c>
    </row>
    <row r="91" spans="1:9" x14ac:dyDescent="0.25">
      <c r="A91">
        <v>44</v>
      </c>
      <c r="B91">
        <v>3.9794</v>
      </c>
      <c r="C91">
        <v>-7.5809899999999999</v>
      </c>
      <c r="D91">
        <v>646.25400000000002</v>
      </c>
      <c r="F91">
        <v>44</v>
      </c>
      <c r="G91">
        <v>4.0067300000000001</v>
      </c>
      <c r="H91">
        <v>-17.433</v>
      </c>
      <c r="I91">
        <v>650.69299999999998</v>
      </c>
    </row>
    <row r="92" spans="1:9" x14ac:dyDescent="0.25">
      <c r="A92">
        <v>44.5</v>
      </c>
      <c r="B92">
        <v>3.9578700000000002</v>
      </c>
      <c r="C92">
        <v>-7.7283299999999997</v>
      </c>
      <c r="D92">
        <v>642.75800000000004</v>
      </c>
      <c r="F92">
        <v>44.5</v>
      </c>
      <c r="G92">
        <v>3.98936</v>
      </c>
      <c r="H92">
        <v>-17.632300000000001</v>
      </c>
      <c r="I92">
        <v>647.87199999999996</v>
      </c>
    </row>
    <row r="93" spans="1:9" x14ac:dyDescent="0.25">
      <c r="A93">
        <v>45</v>
      </c>
      <c r="B93">
        <v>3.9362300000000001</v>
      </c>
      <c r="C93">
        <v>-7.8758900000000001</v>
      </c>
      <c r="D93">
        <v>639.245</v>
      </c>
      <c r="F93">
        <v>45</v>
      </c>
      <c r="G93">
        <v>3.97221</v>
      </c>
      <c r="H93">
        <v>-17.8309</v>
      </c>
      <c r="I93">
        <v>645.08799999999997</v>
      </c>
    </row>
    <row r="94" spans="1:9" x14ac:dyDescent="0.25">
      <c r="A94">
        <v>45.5</v>
      </c>
      <c r="B94">
        <v>3.9148499999999999</v>
      </c>
      <c r="C94">
        <v>-8.0233399999999993</v>
      </c>
      <c r="D94">
        <v>635.77099999999996</v>
      </c>
      <c r="F94">
        <v>45.5</v>
      </c>
      <c r="G94">
        <v>3.9552800000000001</v>
      </c>
      <c r="H94">
        <v>-18.029</v>
      </c>
      <c r="I94">
        <v>642.33699999999999</v>
      </c>
    </row>
    <row r="95" spans="1:9" x14ac:dyDescent="0.25">
      <c r="A95">
        <v>46</v>
      </c>
      <c r="B95">
        <v>3.89377</v>
      </c>
      <c r="C95">
        <v>-8.1706299999999992</v>
      </c>
      <c r="D95">
        <v>632.34799999999996</v>
      </c>
      <c r="F95">
        <v>46</v>
      </c>
      <c r="G95">
        <v>3.9385599999999998</v>
      </c>
      <c r="H95">
        <v>-18.226400000000002</v>
      </c>
      <c r="I95">
        <v>639.62199999999996</v>
      </c>
    </row>
    <row r="96" spans="1:9" x14ac:dyDescent="0.25">
      <c r="A96">
        <v>46.5</v>
      </c>
      <c r="B96">
        <v>3.8729</v>
      </c>
      <c r="C96">
        <v>-8.3179300000000005</v>
      </c>
      <c r="D96">
        <v>628.95900000000006</v>
      </c>
      <c r="F96">
        <v>46.5</v>
      </c>
      <c r="G96">
        <v>3.9220299999999999</v>
      </c>
      <c r="H96">
        <v>-18.423100000000002</v>
      </c>
      <c r="I96">
        <v>636.93700000000001</v>
      </c>
    </row>
    <row r="97" spans="1:9" x14ac:dyDescent="0.25">
      <c r="A97">
        <v>47</v>
      </c>
      <c r="B97">
        <v>3.8520799999999999</v>
      </c>
      <c r="C97">
        <v>-8.4657199999999992</v>
      </c>
      <c r="D97">
        <v>625.57799999999997</v>
      </c>
      <c r="F97">
        <v>47</v>
      </c>
      <c r="G97">
        <v>3.9056799999999998</v>
      </c>
      <c r="H97">
        <v>-18.6188</v>
      </c>
      <c r="I97">
        <v>634.28200000000004</v>
      </c>
    </row>
    <row r="98" spans="1:9" x14ac:dyDescent="0.25">
      <c r="A98">
        <v>47.5</v>
      </c>
      <c r="B98">
        <v>3.83135</v>
      </c>
      <c r="C98">
        <v>-8.6139799999999997</v>
      </c>
      <c r="D98">
        <v>622.21199999999999</v>
      </c>
      <c r="F98">
        <v>47.5</v>
      </c>
      <c r="G98">
        <v>3.88951</v>
      </c>
      <c r="H98">
        <v>-18.813300000000002</v>
      </c>
      <c r="I98">
        <v>631.65700000000004</v>
      </c>
    </row>
    <row r="99" spans="1:9" x14ac:dyDescent="0.25">
      <c r="A99">
        <v>48</v>
      </c>
      <c r="B99">
        <v>3.81081</v>
      </c>
      <c r="C99">
        <v>-8.76248</v>
      </c>
      <c r="D99">
        <v>618.87599999999998</v>
      </c>
      <c r="F99">
        <v>48</v>
      </c>
      <c r="G99">
        <v>3.8735300000000001</v>
      </c>
      <c r="H99">
        <v>-19.007000000000001</v>
      </c>
      <c r="I99">
        <v>629.06100000000004</v>
      </c>
    </row>
    <row r="100" spans="1:9" x14ac:dyDescent="0.25">
      <c r="A100">
        <v>48.5</v>
      </c>
      <c r="B100">
        <v>3.7904900000000001</v>
      </c>
      <c r="C100">
        <v>-8.91099</v>
      </c>
      <c r="D100">
        <v>615.57600000000002</v>
      </c>
      <c r="F100">
        <v>48.5</v>
      </c>
      <c r="G100">
        <v>3.85771</v>
      </c>
      <c r="H100">
        <v>-19.1998</v>
      </c>
      <c r="I100">
        <v>626.49099999999999</v>
      </c>
    </row>
    <row r="101" spans="1:9" x14ac:dyDescent="0.25">
      <c r="A101">
        <v>49</v>
      </c>
      <c r="B101">
        <v>3.7704200000000001</v>
      </c>
      <c r="C101">
        <v>-9.0595700000000008</v>
      </c>
      <c r="D101">
        <v>612.31600000000003</v>
      </c>
      <c r="F101">
        <v>49</v>
      </c>
      <c r="G101">
        <v>3.84205</v>
      </c>
      <c r="H101">
        <v>-19.3916</v>
      </c>
      <c r="I101">
        <v>623.94900000000007</v>
      </c>
    </row>
    <row r="102" spans="1:9" x14ac:dyDescent="0.25">
      <c r="A102">
        <v>49.5</v>
      </c>
      <c r="B102">
        <v>3.7506200000000001</v>
      </c>
      <c r="C102">
        <v>-9.2081</v>
      </c>
      <c r="D102">
        <v>609.1</v>
      </c>
      <c r="F102">
        <v>49.5</v>
      </c>
      <c r="G102">
        <v>3.8265699999999998</v>
      </c>
      <c r="H102">
        <v>-19.5825</v>
      </c>
      <c r="I102">
        <v>621.43399999999997</v>
      </c>
    </row>
    <row r="103" spans="1:9" x14ac:dyDescent="0.25">
      <c r="A103">
        <v>50</v>
      </c>
      <c r="B103">
        <v>3.7311100000000001</v>
      </c>
      <c r="C103">
        <v>-9.3565500000000004</v>
      </c>
      <c r="D103">
        <v>605.93299999999999</v>
      </c>
      <c r="F103">
        <v>50</v>
      </c>
      <c r="G103">
        <v>3.8112300000000001</v>
      </c>
      <c r="H103">
        <v>-19.772600000000001</v>
      </c>
      <c r="I103">
        <v>618.94399999999996</v>
      </c>
    </row>
    <row r="104" spans="1:9" x14ac:dyDescent="0.25">
      <c r="A104">
        <v>50.5</v>
      </c>
      <c r="B104">
        <v>3.7118899999999999</v>
      </c>
      <c r="C104">
        <v>-9.5049299999999999</v>
      </c>
      <c r="D104">
        <v>602.81200000000001</v>
      </c>
      <c r="F104">
        <v>50.5</v>
      </c>
      <c r="G104">
        <v>3.7960600000000002</v>
      </c>
      <c r="H104">
        <v>-19.9621</v>
      </c>
      <c r="I104">
        <v>616.48</v>
      </c>
    </row>
    <row r="105" spans="1:9" x14ac:dyDescent="0.25">
      <c r="A105">
        <v>51</v>
      </c>
      <c r="B105">
        <v>3.6929500000000002</v>
      </c>
      <c r="C105">
        <v>-9.6532</v>
      </c>
      <c r="D105">
        <v>599.73400000000004</v>
      </c>
      <c r="F105">
        <v>51</v>
      </c>
      <c r="G105">
        <v>3.7810299999999999</v>
      </c>
      <c r="H105">
        <v>-20.151</v>
      </c>
      <c r="I105">
        <v>614.04</v>
      </c>
    </row>
    <row r="106" spans="1:9" x14ac:dyDescent="0.25">
      <c r="A106">
        <v>51.5</v>
      </c>
      <c r="B106">
        <v>3.6742900000000001</v>
      </c>
      <c r="C106">
        <v>-9.8014100000000006</v>
      </c>
      <c r="D106">
        <v>596.70500000000004</v>
      </c>
      <c r="F106">
        <v>51.5</v>
      </c>
      <c r="G106">
        <v>3.7661899999999999</v>
      </c>
      <c r="H106">
        <v>-20.339200000000002</v>
      </c>
      <c r="I106">
        <v>611.62900000000002</v>
      </c>
    </row>
    <row r="107" spans="1:9" x14ac:dyDescent="0.25">
      <c r="A107">
        <v>52</v>
      </c>
      <c r="B107">
        <v>3.6558999999999999</v>
      </c>
      <c r="C107">
        <v>-9.9497900000000001</v>
      </c>
      <c r="D107">
        <v>593.71900000000005</v>
      </c>
      <c r="F107">
        <v>52</v>
      </c>
      <c r="G107">
        <v>3.7515100000000001</v>
      </c>
      <c r="H107">
        <v>-20.526900000000001</v>
      </c>
      <c r="I107">
        <v>609.24599999999998</v>
      </c>
    </row>
    <row r="108" spans="1:9" x14ac:dyDescent="0.25">
      <c r="A108">
        <v>52.5</v>
      </c>
      <c r="B108">
        <v>3.6377700000000002</v>
      </c>
      <c r="C108">
        <v>-10.0982</v>
      </c>
      <c r="D108">
        <v>590.774</v>
      </c>
      <c r="F108">
        <v>52.5</v>
      </c>
      <c r="G108">
        <v>3.7370000000000001</v>
      </c>
      <c r="H108">
        <v>-20.713899999999999</v>
      </c>
      <c r="I108">
        <v>606.89</v>
      </c>
    </row>
    <row r="109" spans="1:9" x14ac:dyDescent="0.25">
      <c r="A109">
        <v>53</v>
      </c>
      <c r="B109">
        <v>3.6198800000000002</v>
      </c>
      <c r="C109">
        <v>-10.246499999999999</v>
      </c>
      <c r="D109">
        <v>587.86800000000005</v>
      </c>
      <c r="F109">
        <v>53</v>
      </c>
      <c r="G109">
        <v>3.7226400000000002</v>
      </c>
      <c r="H109">
        <v>-20.900400000000001</v>
      </c>
      <c r="I109">
        <v>604.55700000000002</v>
      </c>
    </row>
    <row r="110" spans="1:9" x14ac:dyDescent="0.25">
      <c r="A110">
        <v>53.5</v>
      </c>
      <c r="B110">
        <v>3.6022400000000001</v>
      </c>
      <c r="C110">
        <v>-10.3948</v>
      </c>
      <c r="D110">
        <v>585.00300000000004</v>
      </c>
      <c r="F110">
        <v>53.5</v>
      </c>
      <c r="G110">
        <v>3.7084600000000001</v>
      </c>
      <c r="H110">
        <v>-21.086600000000001</v>
      </c>
      <c r="I110">
        <v>602.25400000000002</v>
      </c>
    </row>
    <row r="111" spans="1:9" x14ac:dyDescent="0.25">
      <c r="A111">
        <v>54</v>
      </c>
      <c r="B111">
        <v>3.5848599999999999</v>
      </c>
      <c r="C111">
        <v>-10.542999999999999</v>
      </c>
      <c r="D111">
        <v>582.18100000000004</v>
      </c>
      <c r="F111">
        <v>54</v>
      </c>
      <c r="G111">
        <v>3.69442</v>
      </c>
      <c r="H111">
        <v>-21.272200000000002</v>
      </c>
      <c r="I111">
        <v>599.97299999999996</v>
      </c>
    </row>
    <row r="112" spans="1:9" x14ac:dyDescent="0.25">
      <c r="A112">
        <v>54.5</v>
      </c>
      <c r="B112">
        <v>3.56772</v>
      </c>
      <c r="C112">
        <v>-10.691000000000001</v>
      </c>
      <c r="D112">
        <v>579.39800000000002</v>
      </c>
      <c r="F112">
        <v>54.5</v>
      </c>
      <c r="G112">
        <v>3.68052</v>
      </c>
      <c r="H112">
        <v>-21.4574</v>
      </c>
      <c r="I112">
        <v>597.71699999999998</v>
      </c>
    </row>
    <row r="113" spans="1:9" x14ac:dyDescent="0.25">
      <c r="A113">
        <v>55</v>
      </c>
      <c r="B113">
        <v>3.5508099999999998</v>
      </c>
      <c r="C113">
        <v>-10.838900000000001</v>
      </c>
      <c r="D113">
        <v>576.65100000000007</v>
      </c>
      <c r="F113">
        <v>55</v>
      </c>
      <c r="G113">
        <v>3.6667999999999998</v>
      </c>
      <c r="H113">
        <v>-21.642199999999999</v>
      </c>
      <c r="I113">
        <v>595.48900000000003</v>
      </c>
    </row>
    <row r="114" spans="1:9" x14ac:dyDescent="0.25">
      <c r="A114">
        <v>55.5</v>
      </c>
      <c r="B114">
        <v>3.5341200000000002</v>
      </c>
      <c r="C114">
        <v>-10.986700000000001</v>
      </c>
      <c r="D114">
        <v>573.94100000000003</v>
      </c>
      <c r="F114">
        <v>55.5</v>
      </c>
      <c r="G114">
        <v>3.6532399999999998</v>
      </c>
      <c r="H114">
        <v>-21.826499999999999</v>
      </c>
      <c r="I114">
        <v>593.28700000000003</v>
      </c>
    </row>
    <row r="115" spans="1:9" x14ac:dyDescent="0.25">
      <c r="A115">
        <v>56</v>
      </c>
      <c r="B115">
        <v>3.5176699999999999</v>
      </c>
      <c r="C115">
        <v>-11.134399999999999</v>
      </c>
      <c r="D115">
        <v>571.26900000000001</v>
      </c>
      <c r="F115">
        <v>56</v>
      </c>
      <c r="G115">
        <v>3.6398299999999999</v>
      </c>
      <c r="H115">
        <v>-22.010200000000001</v>
      </c>
      <c r="I115">
        <v>591.10800000000006</v>
      </c>
    </row>
    <row r="116" spans="1:9" x14ac:dyDescent="0.25">
      <c r="A116">
        <v>56.5</v>
      </c>
      <c r="B116">
        <v>3.5013999999999998</v>
      </c>
      <c r="C116">
        <v>-11.282400000000001</v>
      </c>
      <c r="D116">
        <v>568.62700000000007</v>
      </c>
      <c r="F116">
        <v>56.5</v>
      </c>
      <c r="G116">
        <v>3.6265399999999999</v>
      </c>
      <c r="H116">
        <v>-22.1935</v>
      </c>
      <c r="I116">
        <v>588.95000000000005</v>
      </c>
    </row>
    <row r="117" spans="1:9" x14ac:dyDescent="0.25">
      <c r="A117">
        <v>57</v>
      </c>
      <c r="B117">
        <v>3.4852699999999999</v>
      </c>
      <c r="C117">
        <v>-11.4308</v>
      </c>
      <c r="D117">
        <v>566.00900000000001</v>
      </c>
      <c r="F117">
        <v>57</v>
      </c>
      <c r="G117">
        <v>3.6133899999999999</v>
      </c>
      <c r="H117">
        <v>-22.3764</v>
      </c>
      <c r="I117">
        <v>586.81500000000005</v>
      </c>
    </row>
    <row r="118" spans="1:9" x14ac:dyDescent="0.25">
      <c r="A118">
        <v>57.5</v>
      </c>
      <c r="B118">
        <v>3.4693000000000001</v>
      </c>
      <c r="C118">
        <v>-11.5794</v>
      </c>
      <c r="D118">
        <v>563.41499999999996</v>
      </c>
      <c r="F118">
        <v>57.5</v>
      </c>
      <c r="G118">
        <v>3.6004</v>
      </c>
      <c r="H118">
        <v>-22.558900000000001</v>
      </c>
      <c r="I118">
        <v>584.70600000000002</v>
      </c>
    </row>
    <row r="119" spans="1:9" x14ac:dyDescent="0.25">
      <c r="A119">
        <v>58</v>
      </c>
      <c r="B119">
        <v>3.4534899999999999</v>
      </c>
      <c r="C119">
        <v>-11.7281</v>
      </c>
      <c r="D119">
        <v>560.84699999999998</v>
      </c>
      <c r="F119">
        <v>58</v>
      </c>
      <c r="G119">
        <v>3.5875599999999999</v>
      </c>
      <c r="H119">
        <v>-22.7409</v>
      </c>
      <c r="I119">
        <v>582.62099999999998</v>
      </c>
    </row>
    <row r="120" spans="1:9" x14ac:dyDescent="0.25">
      <c r="A120">
        <v>58.5</v>
      </c>
      <c r="B120">
        <v>3.4378600000000001</v>
      </c>
      <c r="C120">
        <v>-11.877000000000001</v>
      </c>
      <c r="D120">
        <v>558.30899999999997</v>
      </c>
      <c r="F120">
        <v>58.5</v>
      </c>
      <c r="G120">
        <v>3.5748799999999998</v>
      </c>
      <c r="H120">
        <v>-22.922499999999999</v>
      </c>
      <c r="I120">
        <v>580.56000000000006</v>
      </c>
    </row>
    <row r="121" spans="1:9" x14ac:dyDescent="0.25">
      <c r="A121">
        <v>59</v>
      </c>
      <c r="B121">
        <v>3.4224399999999999</v>
      </c>
      <c r="C121">
        <v>-12.0258</v>
      </c>
      <c r="D121">
        <v>555.80399999999997</v>
      </c>
      <c r="F121">
        <v>59</v>
      </c>
      <c r="G121">
        <v>3.5623300000000002</v>
      </c>
      <c r="H121">
        <v>-23.103999999999999</v>
      </c>
      <c r="I121">
        <v>578.52200000000005</v>
      </c>
    </row>
    <row r="122" spans="1:9" x14ac:dyDescent="0.25">
      <c r="A122">
        <v>59.5</v>
      </c>
      <c r="B122">
        <v>3.4072100000000001</v>
      </c>
      <c r="C122">
        <v>-12.1746</v>
      </c>
      <c r="D122">
        <v>553.33000000000004</v>
      </c>
      <c r="F122">
        <v>59.5</v>
      </c>
      <c r="G122">
        <v>3.5499100000000001</v>
      </c>
      <c r="H122">
        <v>-23.285</v>
      </c>
      <c r="I122">
        <v>576.50599999999997</v>
      </c>
    </row>
    <row r="123" spans="1:9" x14ac:dyDescent="0.25">
      <c r="A123">
        <v>60</v>
      </c>
      <c r="B123">
        <v>3.3921600000000001</v>
      </c>
      <c r="C123">
        <v>-12.3233</v>
      </c>
      <c r="D123">
        <v>550.88700000000006</v>
      </c>
      <c r="F123">
        <v>60</v>
      </c>
      <c r="G123">
        <v>3.5376400000000001</v>
      </c>
      <c r="H123">
        <v>-23.465699999999998</v>
      </c>
      <c r="I123">
        <v>574.51300000000003</v>
      </c>
    </row>
    <row r="124" spans="1:9" x14ac:dyDescent="0.25">
      <c r="A124">
        <v>60.5</v>
      </c>
      <c r="B124">
        <v>3.3773300000000002</v>
      </c>
      <c r="C124">
        <v>-12.472</v>
      </c>
      <c r="D124">
        <v>548.47800000000007</v>
      </c>
      <c r="F124">
        <v>60.5</v>
      </c>
      <c r="G124">
        <v>3.5255000000000001</v>
      </c>
      <c r="H124">
        <v>-23.646000000000001</v>
      </c>
      <c r="I124">
        <v>572.54200000000003</v>
      </c>
    </row>
    <row r="125" spans="1:9" x14ac:dyDescent="0.25">
      <c r="A125">
        <v>61</v>
      </c>
      <c r="B125">
        <v>3.3626800000000001</v>
      </c>
      <c r="C125">
        <v>-12.620699999999999</v>
      </c>
      <c r="D125">
        <v>546.09900000000005</v>
      </c>
      <c r="F125">
        <v>61</v>
      </c>
      <c r="G125">
        <v>3.5135100000000001</v>
      </c>
      <c r="H125">
        <v>-23.8261</v>
      </c>
      <c r="I125">
        <v>570.59400000000005</v>
      </c>
    </row>
    <row r="126" spans="1:9" x14ac:dyDescent="0.25">
      <c r="A126">
        <v>61.5</v>
      </c>
      <c r="B126">
        <v>3.34822</v>
      </c>
      <c r="C126">
        <v>-12.769500000000001</v>
      </c>
      <c r="D126">
        <v>543.75</v>
      </c>
      <c r="F126">
        <v>61.5</v>
      </c>
      <c r="G126">
        <v>3.5016600000000002</v>
      </c>
      <c r="H126">
        <v>-24.0059</v>
      </c>
      <c r="I126">
        <v>568.66899999999998</v>
      </c>
    </row>
    <row r="127" spans="1:9" x14ac:dyDescent="0.25">
      <c r="A127">
        <v>62</v>
      </c>
      <c r="B127">
        <v>3.3339500000000002</v>
      </c>
      <c r="C127">
        <v>-12.918200000000001</v>
      </c>
      <c r="D127">
        <v>541.43299999999999</v>
      </c>
      <c r="F127">
        <v>62</v>
      </c>
      <c r="G127">
        <v>3.4899100000000001</v>
      </c>
      <c r="H127">
        <v>-24.185500000000001</v>
      </c>
      <c r="I127">
        <v>566.76099999999997</v>
      </c>
    </row>
    <row r="128" spans="1:9" x14ac:dyDescent="0.25">
      <c r="A128">
        <v>62.5</v>
      </c>
      <c r="B128">
        <v>3.31982</v>
      </c>
      <c r="C128">
        <v>-13.0669</v>
      </c>
      <c r="D128">
        <v>539.13900000000001</v>
      </c>
      <c r="F128">
        <v>62.5</v>
      </c>
      <c r="G128">
        <v>3.4782600000000001</v>
      </c>
      <c r="H128">
        <v>-24.3642</v>
      </c>
      <c r="I128">
        <v>564.87</v>
      </c>
    </row>
    <row r="129" spans="1:9" x14ac:dyDescent="0.25">
      <c r="A129">
        <v>63</v>
      </c>
      <c r="B129">
        <v>3.30586</v>
      </c>
      <c r="C129">
        <v>-13.2156</v>
      </c>
      <c r="D129">
        <v>536.87199999999996</v>
      </c>
      <c r="F129">
        <v>63</v>
      </c>
      <c r="G129">
        <v>3.46672</v>
      </c>
      <c r="H129">
        <v>-24.542300000000001</v>
      </c>
      <c r="I129">
        <v>562.995</v>
      </c>
    </row>
    <row r="130" spans="1:9" x14ac:dyDescent="0.25">
      <c r="A130">
        <v>63.5</v>
      </c>
      <c r="B130">
        <v>3.29209</v>
      </c>
      <c r="C130">
        <v>-13.3642</v>
      </c>
      <c r="D130">
        <v>534.63499999999999</v>
      </c>
      <c r="F130">
        <v>63.5</v>
      </c>
      <c r="G130">
        <v>3.4552900000000002</v>
      </c>
      <c r="H130">
        <v>-24.72</v>
      </c>
      <c r="I130">
        <v>561.13900000000001</v>
      </c>
    </row>
    <row r="131" spans="1:9" x14ac:dyDescent="0.25">
      <c r="A131">
        <v>64</v>
      </c>
      <c r="B131">
        <v>3.2785000000000002</v>
      </c>
      <c r="C131">
        <v>-13.512700000000001</v>
      </c>
      <c r="D131">
        <v>532.428</v>
      </c>
      <c r="F131">
        <v>64</v>
      </c>
      <c r="G131">
        <v>3.44394</v>
      </c>
      <c r="H131">
        <v>-24.896799999999999</v>
      </c>
      <c r="I131">
        <v>559.29700000000003</v>
      </c>
    </row>
    <row r="132" spans="1:9" x14ac:dyDescent="0.25">
      <c r="A132">
        <v>64.5</v>
      </c>
      <c r="B132">
        <v>3.2650600000000001</v>
      </c>
      <c r="C132">
        <v>-13.661199999999999</v>
      </c>
      <c r="D132">
        <v>530.24599999999998</v>
      </c>
      <c r="F132">
        <v>64.5</v>
      </c>
      <c r="G132">
        <v>3.4327100000000002</v>
      </c>
      <c r="H132">
        <v>-25.073</v>
      </c>
      <c r="I132">
        <v>557.47199999999998</v>
      </c>
    </row>
    <row r="133" spans="1:9" x14ac:dyDescent="0.25">
      <c r="A133">
        <v>65</v>
      </c>
      <c r="B133">
        <v>3.2517499999999999</v>
      </c>
      <c r="C133">
        <v>-13.809799999999999</v>
      </c>
      <c r="D133">
        <v>528.08400000000006</v>
      </c>
      <c r="F133">
        <v>65</v>
      </c>
      <c r="G133">
        <v>3.4215499999999999</v>
      </c>
      <c r="H133">
        <v>-25.2486</v>
      </c>
      <c r="I133">
        <v>555.66</v>
      </c>
    </row>
    <row r="134" spans="1:9" x14ac:dyDescent="0.25">
      <c r="A134">
        <v>65.5</v>
      </c>
      <c r="B134">
        <v>3.2385299999999999</v>
      </c>
      <c r="C134">
        <v>-13.958299999999999</v>
      </c>
      <c r="D134">
        <v>525.93799999999999</v>
      </c>
      <c r="F134">
        <v>65.5</v>
      </c>
      <c r="G134">
        <v>3.4104899999999998</v>
      </c>
      <c r="H134">
        <v>-25.4237</v>
      </c>
      <c r="I134">
        <v>553.86300000000006</v>
      </c>
    </row>
    <row r="135" spans="1:9" x14ac:dyDescent="0.25">
      <c r="A135">
        <v>66</v>
      </c>
      <c r="B135">
        <v>3.2254200000000002</v>
      </c>
      <c r="C135">
        <v>-14.1068</v>
      </c>
      <c r="D135">
        <v>523.80899999999997</v>
      </c>
      <c r="F135">
        <v>66</v>
      </c>
      <c r="G135">
        <v>3.3995000000000002</v>
      </c>
      <c r="H135">
        <v>-25.598099999999999</v>
      </c>
      <c r="I135">
        <v>552.07900000000006</v>
      </c>
    </row>
    <row r="136" spans="1:9" x14ac:dyDescent="0.25">
      <c r="A136">
        <v>66.5</v>
      </c>
      <c r="B136">
        <v>3.2124299999999999</v>
      </c>
      <c r="C136">
        <v>-14.2555</v>
      </c>
      <c r="D136">
        <v>521.69899999999996</v>
      </c>
      <c r="F136">
        <v>66.5</v>
      </c>
      <c r="G136">
        <v>3.3885999999999998</v>
      </c>
      <c r="H136">
        <v>-25.772099999999998</v>
      </c>
      <c r="I136">
        <v>550.30899999999997</v>
      </c>
    </row>
    <row r="137" spans="1:9" x14ac:dyDescent="0.25">
      <c r="A137">
        <v>67</v>
      </c>
      <c r="B137">
        <v>3.1996000000000002</v>
      </c>
      <c r="C137">
        <v>-14.4041</v>
      </c>
      <c r="D137">
        <v>519.61500000000001</v>
      </c>
      <c r="F137">
        <v>67</v>
      </c>
      <c r="G137">
        <v>3.3778000000000001</v>
      </c>
      <c r="H137">
        <v>-25.945499999999999</v>
      </c>
      <c r="I137">
        <v>548.55500000000006</v>
      </c>
    </row>
    <row r="138" spans="1:9" x14ac:dyDescent="0.25">
      <c r="A138">
        <v>67.5</v>
      </c>
      <c r="B138">
        <v>3.1869399999999999</v>
      </c>
      <c r="C138">
        <v>-14.5526</v>
      </c>
      <c r="D138">
        <v>517.56000000000006</v>
      </c>
      <c r="F138">
        <v>67.5</v>
      </c>
      <c r="G138">
        <v>3.3671099999999998</v>
      </c>
      <c r="H138">
        <v>-26.118500000000001</v>
      </c>
      <c r="I138">
        <v>546.81899999999996</v>
      </c>
    </row>
    <row r="139" spans="1:9" x14ac:dyDescent="0.25">
      <c r="A139">
        <v>68</v>
      </c>
      <c r="B139">
        <v>3.1744400000000002</v>
      </c>
      <c r="C139">
        <v>-14.7011</v>
      </c>
      <c r="D139">
        <v>515.529</v>
      </c>
      <c r="F139">
        <v>68</v>
      </c>
      <c r="G139">
        <v>3.3565</v>
      </c>
      <c r="H139">
        <v>-26.291</v>
      </c>
      <c r="I139">
        <v>545.09699999999998</v>
      </c>
    </row>
    <row r="140" spans="1:9" x14ac:dyDescent="0.25">
      <c r="A140">
        <v>68.5</v>
      </c>
      <c r="B140">
        <v>3.1620599999999999</v>
      </c>
      <c r="C140">
        <v>-14.8497</v>
      </c>
      <c r="D140">
        <v>513.51900000000001</v>
      </c>
      <c r="F140">
        <v>68.5</v>
      </c>
      <c r="G140">
        <v>3.3460000000000001</v>
      </c>
      <c r="H140">
        <v>-26.4634</v>
      </c>
      <c r="I140">
        <v>543.39099999999996</v>
      </c>
    </row>
    <row r="141" spans="1:9" x14ac:dyDescent="0.25">
      <c r="A141">
        <v>69</v>
      </c>
      <c r="B141">
        <v>3.1498200000000001</v>
      </c>
      <c r="C141">
        <v>-14.9983</v>
      </c>
      <c r="D141">
        <v>511.53100000000001</v>
      </c>
      <c r="F141">
        <v>69</v>
      </c>
      <c r="G141">
        <v>3.3355899999999998</v>
      </c>
      <c r="H141">
        <v>-26.6357</v>
      </c>
      <c r="I141">
        <v>541.70000000000005</v>
      </c>
    </row>
    <row r="142" spans="1:9" x14ac:dyDescent="0.25">
      <c r="A142">
        <v>69.5</v>
      </c>
      <c r="B142">
        <v>3.1377199999999998</v>
      </c>
      <c r="C142">
        <v>-15.146800000000001</v>
      </c>
      <c r="D142">
        <v>509.56600000000003</v>
      </c>
      <c r="F142">
        <v>69.5</v>
      </c>
      <c r="G142">
        <v>3.3252799999999998</v>
      </c>
      <c r="H142">
        <v>-26.807700000000001</v>
      </c>
      <c r="I142">
        <v>540.02499999999998</v>
      </c>
    </row>
    <row r="143" spans="1:9" x14ac:dyDescent="0.25">
      <c r="A143">
        <v>70</v>
      </c>
      <c r="B143">
        <v>3.1257600000000001</v>
      </c>
      <c r="C143">
        <v>-15.295199999999999</v>
      </c>
      <c r="D143">
        <v>507.62299999999999</v>
      </c>
      <c r="F143">
        <v>70</v>
      </c>
      <c r="G143">
        <v>3.3150599999999999</v>
      </c>
      <c r="H143">
        <v>-26.979399999999998</v>
      </c>
      <c r="I143">
        <v>538.36599999999999</v>
      </c>
    </row>
    <row r="144" spans="1:9" x14ac:dyDescent="0.25">
      <c r="A144">
        <v>70.5</v>
      </c>
      <c r="B144">
        <v>3.1139399999999999</v>
      </c>
      <c r="C144">
        <v>-15.4436</v>
      </c>
      <c r="D144">
        <v>505.70300000000003</v>
      </c>
      <c r="F144">
        <v>70.5</v>
      </c>
      <c r="G144">
        <v>3.3049300000000001</v>
      </c>
      <c r="H144">
        <v>-27.150700000000001</v>
      </c>
      <c r="I144">
        <v>536.72199999999998</v>
      </c>
    </row>
    <row r="145" spans="1:9" x14ac:dyDescent="0.25">
      <c r="A145">
        <v>71</v>
      </c>
      <c r="B145">
        <v>3.1022500000000002</v>
      </c>
      <c r="C145">
        <v>-15.591799999999999</v>
      </c>
      <c r="D145">
        <v>503.80599999999998</v>
      </c>
      <c r="F145">
        <v>71</v>
      </c>
      <c r="G145">
        <v>3.2949099999999998</v>
      </c>
      <c r="H145">
        <v>-27.3217</v>
      </c>
      <c r="I145">
        <v>535.09400000000005</v>
      </c>
    </row>
    <row r="146" spans="1:9" x14ac:dyDescent="0.25">
      <c r="A146">
        <v>71.5</v>
      </c>
      <c r="B146">
        <v>3.0907</v>
      </c>
      <c r="C146">
        <v>-15.74</v>
      </c>
      <c r="D146">
        <v>501.93</v>
      </c>
      <c r="F146">
        <v>71.5</v>
      </c>
      <c r="G146">
        <v>3.2849900000000001</v>
      </c>
      <c r="H146">
        <v>-27.4925</v>
      </c>
      <c r="I146">
        <v>533.48300000000006</v>
      </c>
    </row>
    <row r="147" spans="1:9" x14ac:dyDescent="0.25">
      <c r="A147">
        <v>72</v>
      </c>
      <c r="B147">
        <v>3.0792799999999998</v>
      </c>
      <c r="C147">
        <v>-15.888199999999999</v>
      </c>
      <c r="D147">
        <v>500.07499999999999</v>
      </c>
      <c r="F147">
        <v>72</v>
      </c>
      <c r="G147">
        <v>3.2751600000000001</v>
      </c>
      <c r="H147">
        <v>-27.6631</v>
      </c>
      <c r="I147">
        <v>531.88700000000006</v>
      </c>
    </row>
    <row r="148" spans="1:9" x14ac:dyDescent="0.25">
      <c r="A148">
        <v>72.5</v>
      </c>
      <c r="B148">
        <v>3.0680000000000001</v>
      </c>
      <c r="C148">
        <v>-16.036200000000001</v>
      </c>
      <c r="D148">
        <v>498.24400000000003</v>
      </c>
      <c r="F148">
        <v>72.5</v>
      </c>
      <c r="G148">
        <v>3.2654299999999998</v>
      </c>
      <c r="H148">
        <v>-27.833500000000001</v>
      </c>
      <c r="I148">
        <v>530.30600000000004</v>
      </c>
    </row>
    <row r="149" spans="1:9" x14ac:dyDescent="0.25">
      <c r="A149">
        <v>73</v>
      </c>
      <c r="B149">
        <v>3.0568399999999998</v>
      </c>
      <c r="C149">
        <v>-16.1843</v>
      </c>
      <c r="D149">
        <v>496.43099999999998</v>
      </c>
      <c r="F149">
        <v>73</v>
      </c>
      <c r="G149">
        <v>3.2557900000000002</v>
      </c>
      <c r="H149">
        <v>-28.003599999999999</v>
      </c>
      <c r="I149">
        <v>528.74099999999999</v>
      </c>
    </row>
    <row r="150" spans="1:9" x14ac:dyDescent="0.25">
      <c r="A150">
        <v>73.5</v>
      </c>
      <c r="B150">
        <v>3.0457700000000001</v>
      </c>
      <c r="C150">
        <v>-16.3325</v>
      </c>
      <c r="D150">
        <v>494.63300000000004</v>
      </c>
      <c r="F150">
        <v>73.5</v>
      </c>
      <c r="G150">
        <v>3.2462499999999999</v>
      </c>
      <c r="H150">
        <v>-28.173400000000001</v>
      </c>
      <c r="I150">
        <v>527.19100000000003</v>
      </c>
    </row>
    <row r="151" spans="1:9" x14ac:dyDescent="0.25">
      <c r="A151">
        <v>74</v>
      </c>
      <c r="B151">
        <v>3.0348000000000002</v>
      </c>
      <c r="C151">
        <v>-16.480699999999999</v>
      </c>
      <c r="D151">
        <v>492.85200000000003</v>
      </c>
      <c r="F151">
        <v>74</v>
      </c>
      <c r="G151">
        <v>3.2368000000000001</v>
      </c>
      <c r="H151">
        <v>-28.3431</v>
      </c>
      <c r="I151">
        <v>525.65700000000004</v>
      </c>
    </row>
    <row r="152" spans="1:9" x14ac:dyDescent="0.25">
      <c r="A152">
        <v>74.5</v>
      </c>
      <c r="B152">
        <v>3.0239600000000002</v>
      </c>
      <c r="C152">
        <v>-16.629000000000001</v>
      </c>
      <c r="D152">
        <v>491.09100000000001</v>
      </c>
      <c r="F152">
        <v>74.5</v>
      </c>
      <c r="G152">
        <v>3.2274500000000002</v>
      </c>
      <c r="H152">
        <v>-28.512499999999999</v>
      </c>
      <c r="I152">
        <v>524.13800000000003</v>
      </c>
    </row>
    <row r="153" spans="1:9" x14ac:dyDescent="0.25">
      <c r="A153">
        <v>75</v>
      </c>
      <c r="B153">
        <v>3.0132400000000001</v>
      </c>
      <c r="C153">
        <v>-16.777200000000001</v>
      </c>
      <c r="D153">
        <v>489.35</v>
      </c>
      <c r="F153">
        <v>75</v>
      </c>
      <c r="G153">
        <v>3.2181700000000002</v>
      </c>
      <c r="H153">
        <v>-28.681699999999999</v>
      </c>
      <c r="I153">
        <v>522.63099999999997</v>
      </c>
    </row>
    <row r="154" spans="1:9" x14ac:dyDescent="0.25">
      <c r="D154">
        <f>MAX(D3:D153)</f>
        <v>745.77800000000002</v>
      </c>
      <c r="I154">
        <f>MAX(I3:I153)</f>
        <v>783.52499999999998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A06-3002-4DC1-BB25-1D873CFE51B1}">
  <sheetPr codeName="Sheet3"/>
  <dimension ref="B1:F154"/>
  <sheetViews>
    <sheetView topLeftCell="A125" workbookViewId="0">
      <selection activeCell="E154" sqref="E154"/>
    </sheetView>
  </sheetViews>
  <sheetFormatPr defaultRowHeight="15" x14ac:dyDescent="0.25"/>
  <sheetData>
    <row r="1" spans="2:6" x14ac:dyDescent="0.25">
      <c r="F1">
        <v>-1E-3</v>
      </c>
    </row>
    <row r="2" spans="2:6" x14ac:dyDescent="0.25">
      <c r="B2" t="s">
        <v>0</v>
      </c>
      <c r="C2" t="s">
        <v>1</v>
      </c>
      <c r="D2" t="s">
        <v>6</v>
      </c>
      <c r="E2" t="s">
        <v>7</v>
      </c>
    </row>
    <row r="3" spans="2:6" x14ac:dyDescent="0.25">
      <c r="B3">
        <v>0</v>
      </c>
      <c r="C3">
        <v>0</v>
      </c>
      <c r="D3">
        <v>-0.21618200000000001</v>
      </c>
      <c r="E3">
        <v>-1.3909400000000001E-6</v>
      </c>
    </row>
    <row r="4" spans="2:6" x14ac:dyDescent="0.25">
      <c r="B4">
        <v>0.5</v>
      </c>
      <c r="C4">
        <v>0.47553099999999998</v>
      </c>
      <c r="D4">
        <v>-0.46281699999999998</v>
      </c>
      <c r="E4">
        <v>93.984100000000012</v>
      </c>
    </row>
    <row r="5" spans="2:6" x14ac:dyDescent="0.25">
      <c r="B5">
        <v>1</v>
      </c>
      <c r="C5">
        <v>0.90229000000000004</v>
      </c>
      <c r="D5">
        <v>-0.70565</v>
      </c>
      <c r="E5">
        <v>178.32900000000001</v>
      </c>
    </row>
    <row r="6" spans="2:6" x14ac:dyDescent="0.25">
      <c r="B6">
        <v>1.5</v>
      </c>
      <c r="C6">
        <v>1.2836799999999999</v>
      </c>
      <c r="D6">
        <v>-0.94423699999999999</v>
      </c>
      <c r="E6">
        <v>253.70600000000002</v>
      </c>
    </row>
    <row r="7" spans="2:6" x14ac:dyDescent="0.25">
      <c r="B7">
        <v>2</v>
      </c>
      <c r="C7">
        <v>1.62463</v>
      </c>
      <c r="D7">
        <v>-1.1797800000000001</v>
      </c>
      <c r="E7">
        <v>321.09199999999998</v>
      </c>
    </row>
    <row r="8" spans="2:6" x14ac:dyDescent="0.25">
      <c r="B8">
        <v>2.5</v>
      </c>
      <c r="C8">
        <v>1.9308000000000001</v>
      </c>
      <c r="D8">
        <v>-1.4144699999999999</v>
      </c>
      <c r="E8">
        <v>381.60300000000001</v>
      </c>
    </row>
    <row r="9" spans="2:6" x14ac:dyDescent="0.25">
      <c r="B9">
        <v>3</v>
      </c>
      <c r="C9">
        <v>2.2078000000000002</v>
      </c>
      <c r="D9">
        <v>-1.6507400000000001</v>
      </c>
      <c r="E9">
        <v>436.35</v>
      </c>
    </row>
    <row r="10" spans="2:6" x14ac:dyDescent="0.25">
      <c r="B10">
        <v>3.5</v>
      </c>
      <c r="C10">
        <v>2.46075</v>
      </c>
      <c r="D10">
        <v>-1.8906400000000001</v>
      </c>
      <c r="E10">
        <v>486.34399999999999</v>
      </c>
    </row>
    <row r="11" spans="2:6" x14ac:dyDescent="0.25">
      <c r="B11">
        <v>4</v>
      </c>
      <c r="C11">
        <v>2.6919</v>
      </c>
      <c r="D11">
        <v>-2.1372599999999999</v>
      </c>
      <c r="E11">
        <v>532.02700000000004</v>
      </c>
    </row>
    <row r="12" spans="2:6" x14ac:dyDescent="0.25">
      <c r="B12">
        <v>4.5</v>
      </c>
      <c r="C12">
        <v>2.8984100000000002</v>
      </c>
      <c r="D12">
        <v>-2.39499</v>
      </c>
      <c r="E12">
        <v>572.84100000000001</v>
      </c>
    </row>
    <row r="13" spans="2:6" x14ac:dyDescent="0.25">
      <c r="B13">
        <v>5</v>
      </c>
      <c r="C13">
        <v>3.0768800000000001</v>
      </c>
      <c r="D13">
        <v>-2.6644100000000002</v>
      </c>
      <c r="E13">
        <v>608.11500000000001</v>
      </c>
    </row>
    <row r="14" spans="2:6" x14ac:dyDescent="0.25">
      <c r="B14">
        <v>5.5</v>
      </c>
      <c r="C14">
        <v>3.2282799999999998</v>
      </c>
      <c r="D14">
        <v>-2.94374</v>
      </c>
      <c r="E14">
        <v>638.03700000000003</v>
      </c>
    </row>
    <row r="15" spans="2:6" x14ac:dyDescent="0.25">
      <c r="B15">
        <v>6</v>
      </c>
      <c r="C15">
        <v>3.3630100000000001</v>
      </c>
      <c r="D15">
        <v>-3.22681</v>
      </c>
      <c r="E15">
        <v>664.66700000000003</v>
      </c>
    </row>
    <row r="16" spans="2:6" x14ac:dyDescent="0.25">
      <c r="B16">
        <v>6.5</v>
      </c>
      <c r="C16">
        <v>3.48353</v>
      </c>
      <c r="D16">
        <v>-3.5148100000000002</v>
      </c>
      <c r="E16">
        <v>688.48500000000001</v>
      </c>
    </row>
    <row r="17" spans="2:5" x14ac:dyDescent="0.25">
      <c r="B17">
        <v>7</v>
      </c>
      <c r="C17">
        <v>3.5825300000000002</v>
      </c>
      <c r="D17">
        <v>-3.80959</v>
      </c>
      <c r="E17">
        <v>708.05000000000007</v>
      </c>
    </row>
    <row r="18" spans="2:5" x14ac:dyDescent="0.25">
      <c r="B18">
        <v>7.5</v>
      </c>
      <c r="C18">
        <v>3.6605799999999999</v>
      </c>
      <c r="D18">
        <v>-4.10806</v>
      </c>
      <c r="E18">
        <v>723.47699999999998</v>
      </c>
    </row>
    <row r="19" spans="2:5" x14ac:dyDescent="0.25">
      <c r="B19">
        <v>8</v>
      </c>
      <c r="C19">
        <v>3.7261199999999999</v>
      </c>
      <c r="D19">
        <v>-4.40672</v>
      </c>
      <c r="E19">
        <v>736.43000000000006</v>
      </c>
    </row>
    <row r="20" spans="2:5" x14ac:dyDescent="0.25">
      <c r="B20">
        <v>8.5</v>
      </c>
      <c r="C20">
        <v>3.7840699999999998</v>
      </c>
      <c r="D20">
        <v>-4.70526</v>
      </c>
      <c r="E20">
        <v>747.88599999999997</v>
      </c>
    </row>
    <row r="21" spans="2:5" x14ac:dyDescent="0.25">
      <c r="B21">
        <v>9</v>
      </c>
      <c r="C21">
        <v>3.8352400000000002</v>
      </c>
      <c r="D21">
        <v>-5.0041500000000001</v>
      </c>
      <c r="E21">
        <v>757.99700000000007</v>
      </c>
    </row>
    <row r="22" spans="2:5" x14ac:dyDescent="0.25">
      <c r="B22">
        <v>9.5</v>
      </c>
      <c r="C22">
        <v>3.88049</v>
      </c>
      <c r="D22">
        <v>-5.30267</v>
      </c>
      <c r="E22">
        <v>766.94100000000003</v>
      </c>
    </row>
    <row r="23" spans="2:5" x14ac:dyDescent="0.25">
      <c r="B23">
        <v>10</v>
      </c>
      <c r="C23">
        <v>3.9206599999999998</v>
      </c>
      <c r="D23">
        <v>-5.6020599999999998</v>
      </c>
      <c r="E23">
        <v>774.87900000000002</v>
      </c>
    </row>
    <row r="24" spans="2:5" x14ac:dyDescent="0.25">
      <c r="B24">
        <v>10.5</v>
      </c>
      <c r="C24">
        <v>3.9563299999999999</v>
      </c>
      <c r="D24">
        <v>-5.9020799999999998</v>
      </c>
      <c r="E24">
        <v>781.92899999999997</v>
      </c>
    </row>
    <row r="25" spans="2:5" x14ac:dyDescent="0.25">
      <c r="B25">
        <v>11</v>
      </c>
      <c r="C25">
        <v>3.9881799999999998</v>
      </c>
      <c r="D25">
        <v>-6.2015500000000001</v>
      </c>
      <c r="E25">
        <v>788.22400000000005</v>
      </c>
    </row>
    <row r="26" spans="2:5" x14ac:dyDescent="0.25">
      <c r="B26">
        <v>11.5</v>
      </c>
      <c r="C26">
        <v>4.0173100000000002</v>
      </c>
      <c r="D26">
        <v>-6.5</v>
      </c>
      <c r="E26">
        <v>793.98099999999999</v>
      </c>
    </row>
    <row r="27" spans="2:5" x14ac:dyDescent="0.25">
      <c r="B27">
        <v>12</v>
      </c>
      <c r="C27">
        <v>4.0442799999999997</v>
      </c>
      <c r="D27">
        <v>-6.79786</v>
      </c>
      <c r="E27">
        <v>799.31200000000001</v>
      </c>
    </row>
    <row r="28" spans="2:5" x14ac:dyDescent="0.25">
      <c r="B28">
        <v>12.5</v>
      </c>
      <c r="C28">
        <v>4.0694299999999997</v>
      </c>
      <c r="D28">
        <v>-7.09511</v>
      </c>
      <c r="E28">
        <v>804.28300000000002</v>
      </c>
    </row>
    <row r="29" spans="2:5" x14ac:dyDescent="0.25">
      <c r="B29">
        <v>13</v>
      </c>
      <c r="C29">
        <v>4.0926299999999998</v>
      </c>
      <c r="D29">
        <v>-7.3929299999999998</v>
      </c>
      <c r="E29">
        <v>808.86900000000003</v>
      </c>
    </row>
    <row r="30" spans="2:5" x14ac:dyDescent="0.25">
      <c r="B30">
        <v>13.5</v>
      </c>
      <c r="C30">
        <v>4.1141199999999998</v>
      </c>
      <c r="D30">
        <v>-7.6907500000000004</v>
      </c>
      <c r="E30">
        <v>813.11599999999999</v>
      </c>
    </row>
    <row r="31" spans="2:5" x14ac:dyDescent="0.25">
      <c r="B31">
        <v>14</v>
      </c>
      <c r="C31">
        <v>4.1341200000000002</v>
      </c>
      <c r="D31">
        <v>-7.9886699999999999</v>
      </c>
      <c r="E31">
        <v>817.06700000000001</v>
      </c>
    </row>
    <row r="32" spans="2:5" x14ac:dyDescent="0.25">
      <c r="B32">
        <v>14.5</v>
      </c>
      <c r="C32">
        <v>4.1527599999999998</v>
      </c>
      <c r="D32">
        <v>-8.2869200000000003</v>
      </c>
      <c r="E32">
        <v>820.75200000000007</v>
      </c>
    </row>
    <row r="33" spans="2:5" x14ac:dyDescent="0.25">
      <c r="B33">
        <v>15</v>
      </c>
      <c r="C33">
        <v>4.1701899999999998</v>
      </c>
      <c r="D33">
        <v>-8.5849499999999992</v>
      </c>
      <c r="E33">
        <v>824.197</v>
      </c>
    </row>
    <row r="34" spans="2:5" x14ac:dyDescent="0.25">
      <c r="B34">
        <v>15.5</v>
      </c>
      <c r="C34">
        <v>4.1865199999999998</v>
      </c>
      <c r="D34">
        <v>-8.8828300000000002</v>
      </c>
      <c r="E34">
        <v>827.42399999999998</v>
      </c>
    </row>
    <row r="35" spans="2:5" x14ac:dyDescent="0.25">
      <c r="B35">
        <v>16</v>
      </c>
      <c r="C35">
        <v>4.2019500000000001</v>
      </c>
      <c r="D35">
        <v>-9.1804400000000008</v>
      </c>
      <c r="E35">
        <v>830.47300000000007</v>
      </c>
    </row>
    <row r="36" spans="2:5" x14ac:dyDescent="0.25">
      <c r="B36">
        <v>16.5</v>
      </c>
      <c r="C36">
        <v>4.2165800000000004</v>
      </c>
      <c r="D36">
        <v>-9.4779099999999996</v>
      </c>
      <c r="E36">
        <v>833.36500000000001</v>
      </c>
    </row>
    <row r="37" spans="2:5" x14ac:dyDescent="0.25">
      <c r="B37">
        <v>17</v>
      </c>
      <c r="C37">
        <v>4.2304399999999998</v>
      </c>
      <c r="D37">
        <v>-9.7749199999999998</v>
      </c>
      <c r="E37">
        <v>836.10599999999999</v>
      </c>
    </row>
    <row r="38" spans="2:5" x14ac:dyDescent="0.25">
      <c r="B38">
        <v>17.5</v>
      </c>
      <c r="C38">
        <v>4.2434599999999998</v>
      </c>
      <c r="D38">
        <v>-10.071999999999999</v>
      </c>
      <c r="E38">
        <v>838.678</v>
      </c>
    </row>
    <row r="39" spans="2:5" x14ac:dyDescent="0.25">
      <c r="B39">
        <v>18</v>
      </c>
      <c r="C39">
        <v>4.2556799999999999</v>
      </c>
      <c r="D39">
        <v>-10.369400000000001</v>
      </c>
      <c r="E39">
        <v>841.09299999999996</v>
      </c>
    </row>
    <row r="40" spans="2:5" x14ac:dyDescent="0.25">
      <c r="B40">
        <v>18.5</v>
      </c>
      <c r="C40">
        <v>4.2671900000000003</v>
      </c>
      <c r="D40">
        <v>-10.667199999999999</v>
      </c>
      <c r="E40">
        <v>843.36800000000005</v>
      </c>
    </row>
    <row r="41" spans="2:5" x14ac:dyDescent="0.25">
      <c r="B41">
        <v>19</v>
      </c>
      <c r="C41">
        <v>4.27813</v>
      </c>
      <c r="D41">
        <v>-10.9656</v>
      </c>
      <c r="E41">
        <v>845.529</v>
      </c>
    </row>
    <row r="42" spans="2:5" x14ac:dyDescent="0.25">
      <c r="B42">
        <v>19.5</v>
      </c>
      <c r="C42">
        <v>4.2883500000000003</v>
      </c>
      <c r="D42">
        <v>-11.264699999999999</v>
      </c>
      <c r="E42">
        <v>847.55000000000007</v>
      </c>
    </row>
    <row r="43" spans="2:5" x14ac:dyDescent="0.25">
      <c r="B43">
        <v>20</v>
      </c>
      <c r="C43">
        <v>4.2974899999999998</v>
      </c>
      <c r="D43">
        <v>-11.5663</v>
      </c>
      <c r="E43">
        <v>849.35699999999997</v>
      </c>
    </row>
    <row r="44" spans="2:5" x14ac:dyDescent="0.25">
      <c r="B44">
        <v>20.5</v>
      </c>
      <c r="C44">
        <v>4.3055000000000003</v>
      </c>
      <c r="D44">
        <v>-11.8713</v>
      </c>
      <c r="E44">
        <v>850.94</v>
      </c>
    </row>
    <row r="45" spans="2:5" x14ac:dyDescent="0.25">
      <c r="B45">
        <v>21</v>
      </c>
      <c r="C45">
        <v>4.3125900000000001</v>
      </c>
      <c r="D45">
        <v>-12.178800000000001</v>
      </c>
      <c r="E45">
        <v>852.34</v>
      </c>
    </row>
    <row r="46" spans="2:5" x14ac:dyDescent="0.25">
      <c r="B46">
        <v>21.5</v>
      </c>
      <c r="C46">
        <v>4.3189299999999999</v>
      </c>
      <c r="D46">
        <v>-12.487399999999999</v>
      </c>
      <c r="E46">
        <v>853.59300000000007</v>
      </c>
    </row>
    <row r="47" spans="2:5" x14ac:dyDescent="0.25">
      <c r="B47">
        <v>22</v>
      </c>
      <c r="C47">
        <v>4.3243999999999998</v>
      </c>
      <c r="D47">
        <v>-12.797000000000001</v>
      </c>
      <c r="E47">
        <v>854.67500000000007</v>
      </c>
    </row>
    <row r="48" spans="2:5" x14ac:dyDescent="0.25">
      <c r="B48">
        <v>22.5</v>
      </c>
      <c r="C48">
        <v>4.3289400000000002</v>
      </c>
      <c r="D48">
        <v>-13.106</v>
      </c>
      <c r="E48">
        <v>855.572</v>
      </c>
    </row>
    <row r="49" spans="2:5" x14ac:dyDescent="0.25">
      <c r="B49">
        <v>23</v>
      </c>
      <c r="C49">
        <v>4.3327099999999996</v>
      </c>
      <c r="D49">
        <v>-13.4148</v>
      </c>
      <c r="E49">
        <v>856.31700000000001</v>
      </c>
    </row>
    <row r="50" spans="2:5" x14ac:dyDescent="0.25">
      <c r="B50">
        <v>23.5</v>
      </c>
      <c r="C50">
        <v>4.3358400000000001</v>
      </c>
      <c r="D50">
        <v>-13.723599999999999</v>
      </c>
      <c r="E50">
        <v>856.93600000000004</v>
      </c>
    </row>
    <row r="51" spans="2:5" x14ac:dyDescent="0.25">
      <c r="B51">
        <v>24</v>
      </c>
      <c r="C51">
        <v>4.3381600000000002</v>
      </c>
      <c r="D51">
        <v>-14.033799999999999</v>
      </c>
      <c r="E51">
        <v>857.39300000000003</v>
      </c>
    </row>
    <row r="52" spans="2:5" x14ac:dyDescent="0.25">
      <c r="B52">
        <v>24.5</v>
      </c>
      <c r="C52">
        <v>4.3394599999999999</v>
      </c>
      <c r="D52">
        <v>-14.3489</v>
      </c>
      <c r="E52">
        <v>857.65200000000004</v>
      </c>
    </row>
    <row r="53" spans="2:5" x14ac:dyDescent="0.25">
      <c r="B53">
        <v>25</v>
      </c>
      <c r="C53">
        <v>4.3400800000000004</v>
      </c>
      <c r="D53">
        <v>-14.667999999999999</v>
      </c>
      <c r="E53">
        <v>857.774</v>
      </c>
    </row>
    <row r="54" spans="2:5" x14ac:dyDescent="0.25">
      <c r="B54">
        <v>25.5</v>
      </c>
      <c r="C54">
        <v>4.3397800000000002</v>
      </c>
      <c r="D54">
        <v>-14.9918</v>
      </c>
      <c r="E54">
        <v>857.71400000000006</v>
      </c>
    </row>
    <row r="55" spans="2:5" x14ac:dyDescent="0.25">
      <c r="B55">
        <v>26</v>
      </c>
      <c r="C55">
        <v>4.3378699999999997</v>
      </c>
      <c r="D55">
        <v>-15.3253</v>
      </c>
      <c r="E55">
        <v>857.33600000000001</v>
      </c>
    </row>
    <row r="56" spans="2:5" x14ac:dyDescent="0.25">
      <c r="B56">
        <v>26.5</v>
      </c>
      <c r="C56">
        <v>4.3337199999999996</v>
      </c>
      <c r="D56">
        <v>-15.673500000000001</v>
      </c>
      <c r="E56">
        <v>856.51599999999996</v>
      </c>
    </row>
    <row r="57" spans="2:5" x14ac:dyDescent="0.25">
      <c r="B57">
        <v>27</v>
      </c>
      <c r="C57">
        <v>4.3277700000000001</v>
      </c>
      <c r="D57">
        <v>-16.033300000000001</v>
      </c>
      <c r="E57">
        <v>855.34100000000001</v>
      </c>
    </row>
    <row r="58" spans="2:5" x14ac:dyDescent="0.25">
      <c r="B58">
        <v>27.5</v>
      </c>
      <c r="C58">
        <v>4.3199300000000003</v>
      </c>
      <c r="D58">
        <v>-16.403600000000001</v>
      </c>
      <c r="E58">
        <v>853.79200000000003</v>
      </c>
    </row>
    <row r="59" spans="2:5" x14ac:dyDescent="0.25">
      <c r="B59">
        <v>28</v>
      </c>
      <c r="C59">
        <v>4.3089000000000004</v>
      </c>
      <c r="D59">
        <v>-16.782399999999999</v>
      </c>
      <c r="E59">
        <v>851.61099999999999</v>
      </c>
    </row>
    <row r="60" spans="2:5" x14ac:dyDescent="0.25">
      <c r="B60">
        <v>28.5</v>
      </c>
      <c r="C60">
        <v>4.2950600000000003</v>
      </c>
      <c r="D60">
        <v>-17.163499999999999</v>
      </c>
      <c r="E60">
        <v>848.88</v>
      </c>
    </row>
    <row r="61" spans="2:5" x14ac:dyDescent="0.25">
      <c r="B61">
        <v>29</v>
      </c>
      <c r="C61">
        <v>4.2774099999999997</v>
      </c>
      <c r="D61">
        <v>-17.547799999999999</v>
      </c>
      <c r="E61">
        <v>845.38700000000006</v>
      </c>
    </row>
    <row r="62" spans="2:5" x14ac:dyDescent="0.25">
      <c r="B62">
        <v>29.5</v>
      </c>
      <c r="C62">
        <v>4.2554999999999996</v>
      </c>
      <c r="D62">
        <v>-17.9346</v>
      </c>
      <c r="E62">
        <v>841.05700000000002</v>
      </c>
    </row>
    <row r="63" spans="2:5" x14ac:dyDescent="0.25">
      <c r="B63">
        <v>30</v>
      </c>
      <c r="C63">
        <v>4.2309099999999997</v>
      </c>
      <c r="D63">
        <v>-18.322500000000002</v>
      </c>
      <c r="E63">
        <v>836.19799999999998</v>
      </c>
    </row>
    <row r="64" spans="2:5" x14ac:dyDescent="0.25">
      <c r="B64">
        <v>30.5</v>
      </c>
      <c r="C64">
        <v>4.2049500000000002</v>
      </c>
      <c r="D64">
        <v>-18.707999999999998</v>
      </c>
      <c r="E64">
        <v>831.06600000000003</v>
      </c>
    </row>
    <row r="65" spans="2:5" x14ac:dyDescent="0.25">
      <c r="B65">
        <v>31</v>
      </c>
      <c r="C65">
        <v>4.1780600000000003</v>
      </c>
      <c r="D65">
        <v>-19.091100000000001</v>
      </c>
      <c r="E65">
        <v>825.75300000000004</v>
      </c>
    </row>
    <row r="66" spans="2:5" x14ac:dyDescent="0.25">
      <c r="B66">
        <v>31.5</v>
      </c>
      <c r="C66">
        <v>4.14968</v>
      </c>
      <c r="D66">
        <v>-19.467700000000001</v>
      </c>
      <c r="E66">
        <v>820.14300000000003</v>
      </c>
    </row>
    <row r="67" spans="2:5" x14ac:dyDescent="0.25">
      <c r="B67">
        <v>32</v>
      </c>
      <c r="C67">
        <v>4.12</v>
      </c>
      <c r="D67">
        <v>-19.8354</v>
      </c>
      <c r="E67">
        <v>814.27700000000004</v>
      </c>
    </row>
    <row r="68" spans="2:5" x14ac:dyDescent="0.25">
      <c r="B68">
        <v>32.5</v>
      </c>
      <c r="C68">
        <v>4.0899700000000001</v>
      </c>
      <c r="D68">
        <v>-20.198599999999999</v>
      </c>
      <c r="E68">
        <v>808.34199999999998</v>
      </c>
    </row>
    <row r="69" spans="2:5" x14ac:dyDescent="0.25">
      <c r="B69">
        <v>33</v>
      </c>
      <c r="C69">
        <v>4.0595100000000004</v>
      </c>
      <c r="D69">
        <v>-20.5594</v>
      </c>
      <c r="E69">
        <v>802.322</v>
      </c>
    </row>
    <row r="70" spans="2:5" x14ac:dyDescent="0.25">
      <c r="B70">
        <v>33.5</v>
      </c>
      <c r="C70">
        <v>4.0287100000000002</v>
      </c>
      <c r="D70">
        <v>-20.917999999999999</v>
      </c>
      <c r="E70">
        <v>796.23400000000004</v>
      </c>
    </row>
    <row r="71" spans="2:5" x14ac:dyDescent="0.25">
      <c r="B71">
        <v>34</v>
      </c>
      <c r="C71">
        <v>3.99803</v>
      </c>
      <c r="D71">
        <v>-21.2746</v>
      </c>
      <c r="E71">
        <v>790.17000000000007</v>
      </c>
    </row>
    <row r="72" spans="2:5" x14ac:dyDescent="0.25">
      <c r="B72">
        <v>34.5</v>
      </c>
      <c r="C72">
        <v>3.96732</v>
      </c>
      <c r="D72">
        <v>-21.628399999999999</v>
      </c>
      <c r="E72">
        <v>784.1</v>
      </c>
    </row>
    <row r="73" spans="2:5" x14ac:dyDescent="0.25">
      <c r="B73">
        <v>35</v>
      </c>
      <c r="C73">
        <v>3.9366699999999999</v>
      </c>
      <c r="D73">
        <v>-21.979099999999999</v>
      </c>
      <c r="E73">
        <v>778.04300000000001</v>
      </c>
    </row>
    <row r="74" spans="2:5" x14ac:dyDescent="0.25">
      <c r="B74">
        <v>35.5</v>
      </c>
      <c r="C74">
        <v>3.9062800000000002</v>
      </c>
      <c r="D74">
        <v>-22.327300000000001</v>
      </c>
      <c r="E74">
        <v>772.03700000000003</v>
      </c>
    </row>
    <row r="75" spans="2:5" x14ac:dyDescent="0.25">
      <c r="B75">
        <v>36</v>
      </c>
      <c r="C75">
        <v>3.8764799999999999</v>
      </c>
      <c r="D75">
        <v>-22.6739</v>
      </c>
      <c r="E75">
        <v>766.14700000000005</v>
      </c>
    </row>
    <row r="76" spans="2:5" x14ac:dyDescent="0.25">
      <c r="B76">
        <v>36.5</v>
      </c>
      <c r="C76">
        <v>3.84728</v>
      </c>
      <c r="D76">
        <v>-23.018999999999998</v>
      </c>
      <c r="E76">
        <v>760.37700000000007</v>
      </c>
    </row>
    <row r="77" spans="2:5" x14ac:dyDescent="0.25">
      <c r="B77">
        <v>37</v>
      </c>
      <c r="C77">
        <v>3.8187000000000002</v>
      </c>
      <c r="D77">
        <v>-23.362400000000001</v>
      </c>
      <c r="E77">
        <v>754.72699999999998</v>
      </c>
    </row>
    <row r="78" spans="2:5" x14ac:dyDescent="0.25">
      <c r="B78">
        <v>37.5</v>
      </c>
      <c r="C78">
        <v>3.7906200000000001</v>
      </c>
      <c r="D78">
        <v>-23.704499999999999</v>
      </c>
      <c r="E78">
        <v>749.17899999999997</v>
      </c>
    </row>
    <row r="79" spans="2:5" x14ac:dyDescent="0.25">
      <c r="B79">
        <v>38</v>
      </c>
      <c r="C79">
        <v>3.7629600000000001</v>
      </c>
      <c r="D79">
        <v>-24.044799999999999</v>
      </c>
      <c r="E79">
        <v>743.71199999999999</v>
      </c>
    </row>
    <row r="80" spans="2:5" x14ac:dyDescent="0.25">
      <c r="B80">
        <v>38.5</v>
      </c>
      <c r="C80">
        <v>3.7355200000000002</v>
      </c>
      <c r="D80">
        <v>-24.382400000000001</v>
      </c>
      <c r="E80">
        <v>738.28800000000001</v>
      </c>
    </row>
    <row r="81" spans="2:5" x14ac:dyDescent="0.25">
      <c r="B81">
        <v>39</v>
      </c>
      <c r="C81">
        <v>3.70852</v>
      </c>
      <c r="D81">
        <v>-24.717500000000001</v>
      </c>
      <c r="E81">
        <v>732.95100000000002</v>
      </c>
    </row>
    <row r="82" spans="2:5" x14ac:dyDescent="0.25">
      <c r="B82">
        <v>39.5</v>
      </c>
      <c r="C82">
        <v>3.68181</v>
      </c>
      <c r="D82">
        <v>-25.0502</v>
      </c>
      <c r="E82">
        <v>727.67200000000003</v>
      </c>
    </row>
    <row r="83" spans="2:5" x14ac:dyDescent="0.25">
      <c r="B83">
        <v>40</v>
      </c>
      <c r="C83">
        <v>3.6555900000000001</v>
      </c>
      <c r="D83">
        <v>-25.381399999999999</v>
      </c>
      <c r="E83">
        <v>722.49199999999996</v>
      </c>
    </row>
    <row r="84" spans="2:5" x14ac:dyDescent="0.25">
      <c r="B84">
        <v>40.5</v>
      </c>
      <c r="C84">
        <v>3.6299600000000001</v>
      </c>
      <c r="D84">
        <v>-25.711200000000002</v>
      </c>
      <c r="E84">
        <v>717.42399999999998</v>
      </c>
    </row>
    <row r="85" spans="2:5" x14ac:dyDescent="0.25">
      <c r="B85">
        <v>41</v>
      </c>
      <c r="C85">
        <v>3.6048499999999999</v>
      </c>
      <c r="D85">
        <v>-26.0398</v>
      </c>
      <c r="E85">
        <v>712.46299999999997</v>
      </c>
    </row>
    <row r="86" spans="2:5" x14ac:dyDescent="0.25">
      <c r="B86">
        <v>41.5</v>
      </c>
      <c r="C86">
        <v>3.5802900000000002</v>
      </c>
      <c r="D86">
        <v>-26.3675</v>
      </c>
      <c r="E86">
        <v>707.60900000000004</v>
      </c>
    </row>
    <row r="87" spans="2:5" x14ac:dyDescent="0.25">
      <c r="B87">
        <v>42</v>
      </c>
      <c r="C87">
        <v>3.5562900000000002</v>
      </c>
      <c r="D87">
        <v>-26.694199999999999</v>
      </c>
      <c r="E87">
        <v>702.86599999999999</v>
      </c>
    </row>
    <row r="88" spans="2:5" x14ac:dyDescent="0.25">
      <c r="B88">
        <v>42.5</v>
      </c>
      <c r="C88">
        <v>3.5328400000000002</v>
      </c>
      <c r="D88">
        <v>-27.0199</v>
      </c>
      <c r="E88">
        <v>698.23099999999999</v>
      </c>
    </row>
    <row r="89" spans="2:5" x14ac:dyDescent="0.25">
      <c r="B89">
        <v>43</v>
      </c>
      <c r="C89">
        <v>3.5099200000000002</v>
      </c>
      <c r="D89">
        <v>-27.3446</v>
      </c>
      <c r="E89">
        <v>693.7</v>
      </c>
    </row>
    <row r="90" spans="2:5" x14ac:dyDescent="0.25">
      <c r="B90">
        <v>43.5</v>
      </c>
      <c r="C90">
        <v>3.4874900000000002</v>
      </c>
      <c r="D90">
        <v>-27.6678</v>
      </c>
      <c r="E90">
        <v>689.26800000000003</v>
      </c>
    </row>
    <row r="91" spans="2:5" x14ac:dyDescent="0.25">
      <c r="B91">
        <v>44</v>
      </c>
      <c r="C91">
        <v>3.4656099999999999</v>
      </c>
      <c r="D91">
        <v>-27.989899999999999</v>
      </c>
      <c r="E91">
        <v>684.94399999999996</v>
      </c>
    </row>
    <row r="92" spans="2:5" x14ac:dyDescent="0.25">
      <c r="B92">
        <v>44.5</v>
      </c>
      <c r="C92">
        <v>3.44428</v>
      </c>
      <c r="D92">
        <v>-28.3111</v>
      </c>
      <c r="E92">
        <v>680.72800000000007</v>
      </c>
    </row>
    <row r="93" spans="2:5" x14ac:dyDescent="0.25">
      <c r="B93">
        <v>45</v>
      </c>
      <c r="C93">
        <v>3.4234900000000001</v>
      </c>
      <c r="D93">
        <v>-28.6313</v>
      </c>
      <c r="E93">
        <v>676.61800000000005</v>
      </c>
    </row>
    <row r="94" spans="2:5" x14ac:dyDescent="0.25">
      <c r="B94">
        <v>45.5</v>
      </c>
      <c r="C94">
        <v>3.4032</v>
      </c>
      <c r="D94">
        <v>-28.950700000000001</v>
      </c>
      <c r="E94">
        <v>672.60800000000006</v>
      </c>
    </row>
    <row r="95" spans="2:5" x14ac:dyDescent="0.25">
      <c r="B95">
        <v>46</v>
      </c>
      <c r="C95">
        <v>3.3833700000000002</v>
      </c>
      <c r="D95">
        <v>-29.269300000000001</v>
      </c>
      <c r="E95">
        <v>668.69</v>
      </c>
    </row>
    <row r="96" spans="2:5" x14ac:dyDescent="0.25">
      <c r="B96">
        <v>46.5</v>
      </c>
      <c r="C96">
        <v>3.3640099999999999</v>
      </c>
      <c r="D96">
        <v>-29.5871</v>
      </c>
      <c r="E96">
        <v>664.86199999999997</v>
      </c>
    </row>
    <row r="97" spans="2:5" x14ac:dyDescent="0.25">
      <c r="B97">
        <v>47</v>
      </c>
      <c r="C97">
        <v>3.3451</v>
      </c>
      <c r="D97">
        <v>-29.9041</v>
      </c>
      <c r="E97">
        <v>661.12599999999998</v>
      </c>
    </row>
    <row r="98" spans="2:5" x14ac:dyDescent="0.25">
      <c r="B98">
        <v>47.5</v>
      </c>
      <c r="C98">
        <v>3.3266499999999999</v>
      </c>
      <c r="D98">
        <v>-30.220500000000001</v>
      </c>
      <c r="E98">
        <v>657.48</v>
      </c>
    </row>
    <row r="99" spans="2:5" x14ac:dyDescent="0.25">
      <c r="B99">
        <v>48</v>
      </c>
      <c r="C99">
        <v>3.30863</v>
      </c>
      <c r="D99">
        <v>-30.536300000000001</v>
      </c>
      <c r="E99">
        <v>653.91800000000001</v>
      </c>
    </row>
    <row r="100" spans="2:5" x14ac:dyDescent="0.25">
      <c r="B100">
        <v>48.5</v>
      </c>
      <c r="C100">
        <v>3.29101</v>
      </c>
      <c r="D100">
        <v>-30.851299999999998</v>
      </c>
      <c r="E100">
        <v>650.43500000000006</v>
      </c>
    </row>
    <row r="101" spans="2:5" x14ac:dyDescent="0.25">
      <c r="B101">
        <v>49</v>
      </c>
      <c r="C101">
        <v>3.2737599999999998</v>
      </c>
      <c r="D101">
        <v>-31.165700000000001</v>
      </c>
      <c r="E101">
        <v>647.02600000000007</v>
      </c>
    </row>
    <row r="102" spans="2:5" x14ac:dyDescent="0.25">
      <c r="B102">
        <v>49.5</v>
      </c>
      <c r="C102">
        <v>3.2568899999999998</v>
      </c>
      <c r="D102">
        <v>-31.479800000000001</v>
      </c>
      <c r="E102">
        <v>643.69299999999998</v>
      </c>
    </row>
    <row r="103" spans="2:5" x14ac:dyDescent="0.25">
      <c r="B103">
        <v>50</v>
      </c>
      <c r="C103">
        <v>3.2403900000000001</v>
      </c>
      <c r="D103">
        <v>-31.793299999999999</v>
      </c>
      <c r="E103">
        <v>640.43000000000006</v>
      </c>
    </row>
    <row r="104" spans="2:5" x14ac:dyDescent="0.25">
      <c r="B104">
        <v>50.5</v>
      </c>
      <c r="C104">
        <v>3.2242299999999999</v>
      </c>
      <c r="D104">
        <v>-32.1066</v>
      </c>
      <c r="E104">
        <v>637.23599999999999</v>
      </c>
    </row>
    <row r="105" spans="2:5" x14ac:dyDescent="0.25">
      <c r="B105">
        <v>51</v>
      </c>
      <c r="C105">
        <v>3.2083699999999999</v>
      </c>
      <c r="D105">
        <v>-32.419699999999999</v>
      </c>
      <c r="E105">
        <v>634.10199999999998</v>
      </c>
    </row>
    <row r="106" spans="2:5" x14ac:dyDescent="0.25">
      <c r="B106">
        <v>51.5</v>
      </c>
      <c r="C106">
        <v>3.1928100000000001</v>
      </c>
      <c r="D106">
        <v>-32.732500000000002</v>
      </c>
      <c r="E106">
        <v>631.02800000000002</v>
      </c>
    </row>
    <row r="107" spans="2:5" x14ac:dyDescent="0.25">
      <c r="B107">
        <v>52</v>
      </c>
      <c r="C107">
        <v>3.1775899999999999</v>
      </c>
      <c r="D107">
        <v>-33.044899999999998</v>
      </c>
      <c r="E107">
        <v>628.01800000000003</v>
      </c>
    </row>
    <row r="108" spans="2:5" x14ac:dyDescent="0.25">
      <c r="B108">
        <v>52.5</v>
      </c>
      <c r="C108">
        <v>3.1626599999999998</v>
      </c>
      <c r="D108">
        <v>-33.3568</v>
      </c>
      <c r="E108">
        <v>625.06799999999998</v>
      </c>
    </row>
    <row r="109" spans="2:5" x14ac:dyDescent="0.25">
      <c r="B109">
        <v>53</v>
      </c>
      <c r="C109">
        <v>3.1480700000000001</v>
      </c>
      <c r="D109">
        <v>-33.668399999999998</v>
      </c>
      <c r="E109">
        <v>622.18399999999997</v>
      </c>
    </row>
    <row r="110" spans="2:5" x14ac:dyDescent="0.25">
      <c r="B110">
        <v>53.5</v>
      </c>
      <c r="C110">
        <v>3.1337600000000001</v>
      </c>
      <c r="D110">
        <v>-33.979700000000001</v>
      </c>
      <c r="E110">
        <v>619.35699999999997</v>
      </c>
    </row>
    <row r="111" spans="2:5" x14ac:dyDescent="0.25">
      <c r="B111">
        <v>54</v>
      </c>
      <c r="C111">
        <v>3.1196700000000002</v>
      </c>
      <c r="D111">
        <v>-34.290799999999997</v>
      </c>
      <c r="E111">
        <v>616.57100000000003</v>
      </c>
    </row>
    <row r="112" spans="2:5" x14ac:dyDescent="0.25">
      <c r="B112">
        <v>54.5</v>
      </c>
      <c r="C112">
        <v>3.1057700000000001</v>
      </c>
      <c r="D112">
        <v>-34.601700000000001</v>
      </c>
      <c r="E112">
        <v>613.82500000000005</v>
      </c>
    </row>
    <row r="113" spans="2:5" x14ac:dyDescent="0.25">
      <c r="B113">
        <v>55</v>
      </c>
      <c r="C113">
        <v>3.0920299999999998</v>
      </c>
      <c r="D113">
        <v>-34.912399999999998</v>
      </c>
      <c r="E113">
        <v>611.11</v>
      </c>
    </row>
    <row r="114" spans="2:5" x14ac:dyDescent="0.25">
      <c r="B114">
        <v>55.5</v>
      </c>
      <c r="C114">
        <v>3.0784699999999998</v>
      </c>
      <c r="D114">
        <v>-35.223100000000002</v>
      </c>
      <c r="E114">
        <v>608.43000000000006</v>
      </c>
    </row>
    <row r="115" spans="2:5" x14ac:dyDescent="0.25">
      <c r="B115">
        <v>56</v>
      </c>
      <c r="C115">
        <v>3.0651299999999999</v>
      </c>
      <c r="D115">
        <v>-35.533099999999997</v>
      </c>
      <c r="E115">
        <v>605.79300000000001</v>
      </c>
    </row>
    <row r="116" spans="2:5" x14ac:dyDescent="0.25">
      <c r="B116">
        <v>56.5</v>
      </c>
      <c r="C116">
        <v>3.0519699999999998</v>
      </c>
      <c r="D116">
        <v>-35.8429</v>
      </c>
      <c r="E116">
        <v>603.19100000000003</v>
      </c>
    </row>
    <row r="117" spans="2:5" x14ac:dyDescent="0.25">
      <c r="B117">
        <v>57</v>
      </c>
      <c r="C117">
        <v>3.0389400000000002</v>
      </c>
      <c r="D117">
        <v>-36.1526</v>
      </c>
      <c r="E117">
        <v>600.61599999999999</v>
      </c>
    </row>
    <row r="118" spans="2:5" x14ac:dyDescent="0.25">
      <c r="B118">
        <v>57.5</v>
      </c>
      <c r="C118">
        <v>3.02603</v>
      </c>
      <c r="D118">
        <v>-36.4621</v>
      </c>
      <c r="E118">
        <v>598.06500000000005</v>
      </c>
    </row>
    <row r="119" spans="2:5" x14ac:dyDescent="0.25">
      <c r="B119">
        <v>58</v>
      </c>
      <c r="C119">
        <v>3.0132699999999999</v>
      </c>
      <c r="D119">
        <v>-36.771599999999999</v>
      </c>
      <c r="E119">
        <v>595.54300000000001</v>
      </c>
    </row>
    <row r="120" spans="2:5" x14ac:dyDescent="0.25">
      <c r="B120">
        <v>58.5</v>
      </c>
      <c r="C120">
        <v>3.0006699999999999</v>
      </c>
      <c r="D120">
        <v>-37.080500000000001</v>
      </c>
      <c r="E120">
        <v>593.05200000000002</v>
      </c>
    </row>
    <row r="121" spans="2:5" x14ac:dyDescent="0.25">
      <c r="B121">
        <v>59</v>
      </c>
      <c r="C121">
        <v>2.9882300000000002</v>
      </c>
      <c r="D121">
        <v>-37.3889</v>
      </c>
      <c r="E121">
        <v>590.59299999999996</v>
      </c>
    </row>
    <row r="122" spans="2:5" x14ac:dyDescent="0.25">
      <c r="B122">
        <v>59.5</v>
      </c>
      <c r="C122">
        <v>2.9759500000000001</v>
      </c>
      <c r="D122">
        <v>-37.697099999999999</v>
      </c>
      <c r="E122">
        <v>588.16800000000001</v>
      </c>
    </row>
    <row r="123" spans="2:5" x14ac:dyDescent="0.25">
      <c r="B123">
        <v>60</v>
      </c>
      <c r="C123">
        <v>2.9638499999999999</v>
      </c>
      <c r="D123">
        <v>-38.005000000000003</v>
      </c>
      <c r="E123">
        <v>585.77600000000007</v>
      </c>
    </row>
    <row r="124" spans="2:5" x14ac:dyDescent="0.25">
      <c r="B124">
        <v>60.5</v>
      </c>
      <c r="C124">
        <v>2.9519099999999998</v>
      </c>
      <c r="D124">
        <v>-38.3127</v>
      </c>
      <c r="E124">
        <v>583.41499999999996</v>
      </c>
    </row>
    <row r="125" spans="2:5" x14ac:dyDescent="0.25">
      <c r="B125">
        <v>61</v>
      </c>
      <c r="C125">
        <v>2.9401299999999999</v>
      </c>
      <c r="D125">
        <v>-38.620199999999997</v>
      </c>
      <c r="E125">
        <v>581.08699999999999</v>
      </c>
    </row>
    <row r="126" spans="2:5" x14ac:dyDescent="0.25">
      <c r="B126">
        <v>61.5</v>
      </c>
      <c r="C126">
        <v>2.9285199999999998</v>
      </c>
      <c r="D126">
        <v>-38.927799999999998</v>
      </c>
      <c r="E126">
        <v>578.79300000000001</v>
      </c>
    </row>
    <row r="127" spans="2:5" x14ac:dyDescent="0.25">
      <c r="B127">
        <v>62</v>
      </c>
      <c r="C127">
        <v>2.9170799999999999</v>
      </c>
      <c r="D127">
        <v>-39.235199999999999</v>
      </c>
      <c r="E127">
        <v>576.53200000000004</v>
      </c>
    </row>
    <row r="128" spans="2:5" x14ac:dyDescent="0.25">
      <c r="B128">
        <v>62.5</v>
      </c>
      <c r="C128">
        <v>2.9057900000000001</v>
      </c>
      <c r="D128">
        <v>-39.542700000000004</v>
      </c>
      <c r="E128">
        <v>574.30000000000007</v>
      </c>
    </row>
    <row r="129" spans="2:5" x14ac:dyDescent="0.25">
      <c r="B129">
        <v>63</v>
      </c>
      <c r="C129">
        <v>2.8946299999999998</v>
      </c>
      <c r="D129">
        <v>-39.850099999999998</v>
      </c>
      <c r="E129">
        <v>572.09500000000003</v>
      </c>
    </row>
    <row r="130" spans="2:5" x14ac:dyDescent="0.25">
      <c r="B130">
        <v>63.5</v>
      </c>
      <c r="C130">
        <v>2.8836300000000001</v>
      </c>
      <c r="D130">
        <v>-40.157499999999999</v>
      </c>
      <c r="E130">
        <v>569.91999999999996</v>
      </c>
    </row>
    <row r="131" spans="2:5" x14ac:dyDescent="0.25">
      <c r="B131">
        <v>64</v>
      </c>
      <c r="C131">
        <v>2.87277</v>
      </c>
      <c r="D131">
        <v>-40.464799999999997</v>
      </c>
      <c r="E131">
        <v>567.774</v>
      </c>
    </row>
    <row r="132" spans="2:5" x14ac:dyDescent="0.25">
      <c r="B132">
        <v>64.5</v>
      </c>
      <c r="C132">
        <v>2.8620399999999999</v>
      </c>
      <c r="D132">
        <v>-40.771999999999998</v>
      </c>
      <c r="E132">
        <v>565.654</v>
      </c>
    </row>
    <row r="133" spans="2:5" x14ac:dyDescent="0.25">
      <c r="B133">
        <v>65</v>
      </c>
      <c r="C133">
        <v>2.8514400000000002</v>
      </c>
      <c r="D133">
        <v>-41.0792</v>
      </c>
      <c r="E133">
        <v>563.55899999999997</v>
      </c>
    </row>
    <row r="134" spans="2:5" x14ac:dyDescent="0.25">
      <c r="B134">
        <v>65.5</v>
      </c>
      <c r="C134">
        <v>2.8409599999999999</v>
      </c>
      <c r="D134">
        <v>-41.386200000000002</v>
      </c>
      <c r="E134">
        <v>561.48800000000006</v>
      </c>
    </row>
    <row r="135" spans="2:5" x14ac:dyDescent="0.25">
      <c r="B135">
        <v>66</v>
      </c>
      <c r="C135">
        <v>2.8306</v>
      </c>
      <c r="D135">
        <v>-41.693199999999997</v>
      </c>
      <c r="E135">
        <v>559.44000000000005</v>
      </c>
    </row>
    <row r="136" spans="2:5" x14ac:dyDescent="0.25">
      <c r="B136">
        <v>66.5</v>
      </c>
      <c r="C136">
        <v>2.8203499999999999</v>
      </c>
      <c r="D136">
        <v>-42.000100000000003</v>
      </c>
      <c r="E136">
        <v>557.41399999999999</v>
      </c>
    </row>
    <row r="137" spans="2:5" x14ac:dyDescent="0.25">
      <c r="B137">
        <v>67</v>
      </c>
      <c r="C137">
        <v>2.8102</v>
      </c>
      <c r="D137">
        <v>-42.306800000000003</v>
      </c>
      <c r="E137">
        <v>555.40700000000004</v>
      </c>
    </row>
    <row r="138" spans="2:5" x14ac:dyDescent="0.25">
      <c r="B138">
        <v>67.5</v>
      </c>
      <c r="C138">
        <v>2.8001399999999999</v>
      </c>
      <c r="D138">
        <v>-42.613599999999998</v>
      </c>
      <c r="E138">
        <v>553.41999999999996</v>
      </c>
    </row>
    <row r="139" spans="2:5" x14ac:dyDescent="0.25">
      <c r="B139">
        <v>68</v>
      </c>
      <c r="C139">
        <v>2.7901799999999999</v>
      </c>
      <c r="D139">
        <v>-42.920299999999997</v>
      </c>
      <c r="E139">
        <v>551.45100000000002</v>
      </c>
    </row>
    <row r="140" spans="2:5" x14ac:dyDescent="0.25">
      <c r="B140">
        <v>68.5</v>
      </c>
      <c r="C140">
        <v>2.7803100000000001</v>
      </c>
      <c r="D140">
        <v>-43.226999999999997</v>
      </c>
      <c r="E140">
        <v>549.5</v>
      </c>
    </row>
    <row r="141" spans="2:5" x14ac:dyDescent="0.25">
      <c r="B141">
        <v>69</v>
      </c>
      <c r="C141">
        <v>2.7705299999999999</v>
      </c>
      <c r="D141">
        <v>-43.5336</v>
      </c>
      <c r="E141">
        <v>547.56799999999998</v>
      </c>
    </row>
    <row r="142" spans="2:5" x14ac:dyDescent="0.25">
      <c r="B142">
        <v>69.5</v>
      </c>
      <c r="C142">
        <v>2.7608600000000001</v>
      </c>
      <c r="D142">
        <v>-43.8401</v>
      </c>
      <c r="E142">
        <v>545.65700000000004</v>
      </c>
    </row>
    <row r="143" spans="2:5" x14ac:dyDescent="0.25">
      <c r="B143">
        <v>70</v>
      </c>
      <c r="C143">
        <v>2.7513100000000001</v>
      </c>
      <c r="D143">
        <v>-44.146700000000003</v>
      </c>
      <c r="E143">
        <v>543.76900000000001</v>
      </c>
    </row>
    <row r="144" spans="2:5" x14ac:dyDescent="0.25">
      <c r="B144">
        <v>70.5</v>
      </c>
      <c r="C144">
        <v>2.74187</v>
      </c>
      <c r="D144">
        <v>-44.453099999999999</v>
      </c>
      <c r="E144">
        <v>541.90300000000002</v>
      </c>
    </row>
    <row r="145" spans="2:5" x14ac:dyDescent="0.25">
      <c r="B145">
        <v>71</v>
      </c>
      <c r="C145">
        <v>2.7325300000000001</v>
      </c>
      <c r="D145">
        <v>-44.759599999999999</v>
      </c>
      <c r="E145">
        <v>540.05799999999999</v>
      </c>
    </row>
    <row r="146" spans="2:5" x14ac:dyDescent="0.25">
      <c r="B146">
        <v>71.5</v>
      </c>
      <c r="C146">
        <v>2.7233000000000001</v>
      </c>
      <c r="D146">
        <v>-45.066000000000003</v>
      </c>
      <c r="E146">
        <v>538.23300000000006</v>
      </c>
    </row>
    <row r="147" spans="2:5" x14ac:dyDescent="0.25">
      <c r="B147">
        <v>72</v>
      </c>
      <c r="C147">
        <v>2.7141500000000001</v>
      </c>
      <c r="D147">
        <v>-45.372199999999999</v>
      </c>
      <c r="E147">
        <v>536.42499999999995</v>
      </c>
    </row>
    <row r="148" spans="2:5" x14ac:dyDescent="0.25">
      <c r="B148">
        <v>72.5</v>
      </c>
      <c r="C148">
        <v>2.7050900000000002</v>
      </c>
      <c r="D148">
        <v>-45.678100000000001</v>
      </c>
      <c r="E148">
        <v>534.63400000000001</v>
      </c>
    </row>
    <row r="149" spans="2:5" x14ac:dyDescent="0.25">
      <c r="B149">
        <v>73</v>
      </c>
      <c r="C149">
        <v>2.69611</v>
      </c>
      <c r="D149">
        <v>-45.983899999999998</v>
      </c>
      <c r="E149">
        <v>532.86</v>
      </c>
    </row>
    <row r="150" spans="2:5" x14ac:dyDescent="0.25">
      <c r="B150">
        <v>73.5</v>
      </c>
      <c r="C150">
        <v>2.6872199999999999</v>
      </c>
      <c r="D150">
        <v>-46.289700000000003</v>
      </c>
      <c r="E150">
        <v>531.10300000000007</v>
      </c>
    </row>
    <row r="151" spans="2:5" x14ac:dyDescent="0.25">
      <c r="B151">
        <v>74</v>
      </c>
      <c r="C151">
        <v>2.67841</v>
      </c>
      <c r="D151">
        <v>-46.595399999999998</v>
      </c>
      <c r="E151">
        <v>529.36199999999997</v>
      </c>
    </row>
    <row r="152" spans="2:5" x14ac:dyDescent="0.25">
      <c r="B152">
        <v>74.5</v>
      </c>
      <c r="C152">
        <v>2.6696800000000001</v>
      </c>
      <c r="D152">
        <v>-46.9011</v>
      </c>
      <c r="E152">
        <v>527.63700000000006</v>
      </c>
    </row>
    <row r="153" spans="2:5" x14ac:dyDescent="0.25">
      <c r="B153">
        <v>75</v>
      </c>
      <c r="C153">
        <v>2.6610299999999998</v>
      </c>
      <c r="D153">
        <v>-47.206800000000001</v>
      </c>
      <c r="E153">
        <v>525.92700000000002</v>
      </c>
    </row>
    <row r="154" spans="2:5" x14ac:dyDescent="0.25">
      <c r="E154">
        <f>MAX(E3:E153)</f>
        <v>857.774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8A49-3201-48F0-B0B9-CA91C8D99CCA}">
  <dimension ref="A1:Y203"/>
  <sheetViews>
    <sheetView tabSelected="1" topLeftCell="A2" zoomScaleNormal="100" workbookViewId="0">
      <selection activeCell="X8" sqref="X8"/>
    </sheetView>
  </sheetViews>
  <sheetFormatPr defaultRowHeight="15" x14ac:dyDescent="0.25"/>
  <cols>
    <col min="11" max="11" width="12.7109375" bestFit="1" customWidth="1"/>
  </cols>
  <sheetData>
    <row r="1" spans="1:25" x14ac:dyDescent="0.25">
      <c r="C1">
        <v>-1</v>
      </c>
      <c r="D1">
        <v>-1E-3</v>
      </c>
    </row>
    <row r="2" spans="1:25" x14ac:dyDescent="0.25">
      <c r="A2" t="s">
        <v>0</v>
      </c>
      <c r="B2" t="s">
        <v>1</v>
      </c>
      <c r="C2" t="s">
        <v>32</v>
      </c>
      <c r="D2" t="s">
        <v>33</v>
      </c>
      <c r="F2" t="s">
        <v>0</v>
      </c>
      <c r="G2" t="s">
        <v>1</v>
      </c>
      <c r="H2" t="s">
        <v>32</v>
      </c>
      <c r="I2" t="s">
        <v>33</v>
      </c>
    </row>
    <row r="3" spans="1:25" x14ac:dyDescent="0.25">
      <c r="A3">
        <v>0</v>
      </c>
      <c r="B3">
        <v>0</v>
      </c>
      <c r="C3">
        <v>1.54305</v>
      </c>
      <c r="D3">
        <v>-2.6298099999999996E-6</v>
      </c>
      <c r="F3">
        <v>0</v>
      </c>
      <c r="G3">
        <v>0</v>
      </c>
      <c r="H3">
        <v>0.59175199999999994</v>
      </c>
      <c r="I3">
        <v>-1.37297E-5</v>
      </c>
      <c r="J3">
        <v>-5.6400199999999998E-2</v>
      </c>
      <c r="K3">
        <f>+I3</f>
        <v>-1.37297E-5</v>
      </c>
    </row>
    <row r="4" spans="1:25" x14ac:dyDescent="0.25">
      <c r="A4">
        <v>0.5</v>
      </c>
      <c r="B4">
        <v>0.42998900000000001</v>
      </c>
      <c r="C4">
        <v>14.548400000000001</v>
      </c>
      <c r="D4">
        <v>71.042899999999989</v>
      </c>
      <c r="F4">
        <v>0.2</v>
      </c>
      <c r="G4">
        <v>0.19567100000000001</v>
      </c>
      <c r="H4">
        <v>0.83806400000000003</v>
      </c>
      <c r="I4">
        <v>32.328800000000001</v>
      </c>
      <c r="J4">
        <v>0.109655</v>
      </c>
      <c r="K4">
        <f t="shared" ref="K4:K67" si="0">+I4</f>
        <v>32.328800000000001</v>
      </c>
    </row>
    <row r="5" spans="1:25" x14ac:dyDescent="0.25">
      <c r="A5">
        <v>1</v>
      </c>
      <c r="B5">
        <v>0.69841900000000001</v>
      </c>
      <c r="C5">
        <v>27.748100000000001</v>
      </c>
      <c r="D5">
        <v>115.393</v>
      </c>
      <c r="F5">
        <v>0.4</v>
      </c>
      <c r="G5">
        <v>0.38261400000000001</v>
      </c>
      <c r="H5">
        <v>1.0848500000000001</v>
      </c>
      <c r="I5">
        <v>63.215600000000002</v>
      </c>
      <c r="J5">
        <v>0.27115499999999998</v>
      </c>
      <c r="K5">
        <f t="shared" si="0"/>
        <v>63.215600000000002</v>
      </c>
    </row>
    <row r="6" spans="1:25" x14ac:dyDescent="0.25">
      <c r="A6">
        <v>1.5</v>
      </c>
      <c r="B6">
        <v>0.85037799999999997</v>
      </c>
      <c r="C6">
        <v>41.105899999999998</v>
      </c>
      <c r="D6">
        <v>140.499</v>
      </c>
      <c r="F6">
        <v>0.6</v>
      </c>
      <c r="G6">
        <v>0.56083099999999997</v>
      </c>
      <c r="H6">
        <v>1.3321099999999999</v>
      </c>
      <c r="I6">
        <v>92.660600000000002</v>
      </c>
      <c r="J6">
        <v>0.42791699999999999</v>
      </c>
      <c r="K6">
        <f t="shared" si="0"/>
        <v>92.660600000000002</v>
      </c>
    </row>
    <row r="7" spans="1:25" x14ac:dyDescent="0.25">
      <c r="A7">
        <v>2</v>
      </c>
      <c r="B7">
        <v>0.95082500000000003</v>
      </c>
      <c r="C7">
        <v>54.558199999999999</v>
      </c>
      <c r="D7">
        <v>157.095</v>
      </c>
      <c r="F7">
        <v>0.8</v>
      </c>
      <c r="G7">
        <v>0.73037700000000005</v>
      </c>
      <c r="H7">
        <v>1.57979</v>
      </c>
      <c r="I7">
        <v>120.673</v>
      </c>
      <c r="J7">
        <v>0.57977699999999999</v>
      </c>
      <c r="K7">
        <f t="shared" si="0"/>
        <v>120.673</v>
      </c>
    </row>
    <row r="8" spans="1:25" x14ac:dyDescent="0.25">
      <c r="A8">
        <v>2.5</v>
      </c>
      <c r="B8">
        <v>0.99946500000000005</v>
      </c>
      <c r="C8">
        <v>68.244500000000002</v>
      </c>
      <c r="D8">
        <v>165.13200000000001</v>
      </c>
      <c r="F8">
        <v>1</v>
      </c>
      <c r="G8">
        <v>0.89136400000000005</v>
      </c>
      <c r="H8">
        <v>1.82785</v>
      </c>
      <c r="I8">
        <v>147.27100000000002</v>
      </c>
      <c r="J8">
        <v>0.72660199999999997</v>
      </c>
      <c r="K8">
        <f t="shared" si="0"/>
        <v>147.27100000000002</v>
      </c>
      <c r="S8">
        <f>322*6000/1000</f>
        <v>1932</v>
      </c>
      <c r="W8" t="s">
        <v>34</v>
      </c>
      <c r="X8">
        <v>826000</v>
      </c>
    </row>
    <row r="9" spans="1:25" x14ac:dyDescent="0.25">
      <c r="A9">
        <v>3</v>
      </c>
      <c r="B9">
        <v>0.99695800000000001</v>
      </c>
      <c r="C9">
        <v>83.028300000000002</v>
      </c>
      <c r="D9">
        <v>164.71700000000001</v>
      </c>
      <c r="F9">
        <v>1.2</v>
      </c>
      <c r="G9">
        <v>1.04396</v>
      </c>
      <c r="H9">
        <v>2.0762200000000002</v>
      </c>
      <c r="I9">
        <v>172.483</v>
      </c>
      <c r="J9">
        <v>0.86829299999999998</v>
      </c>
      <c r="K9">
        <f t="shared" si="0"/>
        <v>172.483</v>
      </c>
      <c r="S9">
        <f>322/200000</f>
        <v>1.6100000000000001E-3</v>
      </c>
      <c r="T9">
        <f>S9*4900</f>
        <v>7.8890000000000002</v>
      </c>
      <c r="W9" t="s">
        <v>35</v>
      </c>
      <c r="X9">
        <v>136.5</v>
      </c>
      <c r="Y9">
        <f>+X8/X9</f>
        <v>6051.2820512820517</v>
      </c>
    </row>
    <row r="10" spans="1:25" x14ac:dyDescent="0.25">
      <c r="A10">
        <v>3.125</v>
      </c>
      <c r="B10">
        <v>0.98886499999999999</v>
      </c>
      <c r="C10">
        <v>86.995099999999994</v>
      </c>
      <c r="D10">
        <v>163.38</v>
      </c>
      <c r="F10">
        <v>1.4</v>
      </c>
      <c r="G10">
        <v>1.1883900000000001</v>
      </c>
      <c r="H10">
        <v>2.3248199999999999</v>
      </c>
      <c r="I10">
        <v>196.345</v>
      </c>
      <c r="J10">
        <v>1.0047900000000001</v>
      </c>
      <c r="K10">
        <f t="shared" si="0"/>
        <v>196.345</v>
      </c>
    </row>
    <row r="11" spans="1:25" x14ac:dyDescent="0.25">
      <c r="A11">
        <v>3.25</v>
      </c>
      <c r="B11">
        <v>0.97474099999999997</v>
      </c>
      <c r="C11">
        <v>91.024199999999993</v>
      </c>
      <c r="D11">
        <v>161.047</v>
      </c>
      <c r="F11">
        <v>1.6</v>
      </c>
      <c r="G11">
        <v>1.32491</v>
      </c>
      <c r="H11">
        <v>2.57355</v>
      </c>
      <c r="I11">
        <v>218.90200000000002</v>
      </c>
      <c r="J11">
        <v>1.13608</v>
      </c>
      <c r="K11">
        <f t="shared" si="0"/>
        <v>218.90200000000002</v>
      </c>
    </row>
    <row r="12" spans="1:25" x14ac:dyDescent="0.25">
      <c r="A12">
        <v>3.375</v>
      </c>
      <c r="B12">
        <v>0.95582800000000001</v>
      </c>
      <c r="C12">
        <v>95.124200000000002</v>
      </c>
      <c r="D12">
        <v>157.922</v>
      </c>
      <c r="F12">
        <v>1.8</v>
      </c>
      <c r="G12">
        <v>1.4538500000000001</v>
      </c>
      <c r="H12">
        <v>2.8222800000000001</v>
      </c>
      <c r="I12">
        <v>240.20500000000001</v>
      </c>
      <c r="J12">
        <v>1.2621899999999999</v>
      </c>
      <c r="K12">
        <f t="shared" si="0"/>
        <v>240.20500000000001</v>
      </c>
    </row>
    <row r="13" spans="1:25" x14ac:dyDescent="0.25">
      <c r="A13">
        <v>3.5</v>
      </c>
      <c r="B13">
        <v>0.93698499999999996</v>
      </c>
      <c r="C13">
        <v>99.216399999999993</v>
      </c>
      <c r="D13">
        <v>154.809</v>
      </c>
      <c r="F13">
        <v>2</v>
      </c>
      <c r="G13">
        <v>1.57555</v>
      </c>
      <c r="H13">
        <v>3.0709200000000001</v>
      </c>
      <c r="I13">
        <v>260.31299999999999</v>
      </c>
      <c r="J13">
        <v>1.3831800000000001</v>
      </c>
      <c r="K13">
        <f t="shared" si="0"/>
        <v>260.31299999999999</v>
      </c>
    </row>
    <row r="14" spans="1:25" x14ac:dyDescent="0.25">
      <c r="A14">
        <v>3.625</v>
      </c>
      <c r="B14">
        <v>0.91888199999999998</v>
      </c>
      <c r="C14">
        <v>103.30200000000001</v>
      </c>
      <c r="D14">
        <v>151.81900000000002</v>
      </c>
      <c r="F14">
        <v>2.2000000000000002</v>
      </c>
      <c r="G14">
        <v>1.69038</v>
      </c>
      <c r="H14">
        <v>3.3193299999999999</v>
      </c>
      <c r="I14">
        <v>279.28399999999999</v>
      </c>
      <c r="J14">
        <v>1.49918</v>
      </c>
      <c r="K14">
        <f t="shared" si="0"/>
        <v>279.28399999999999</v>
      </c>
    </row>
    <row r="15" spans="1:25" x14ac:dyDescent="0.25">
      <c r="A15">
        <v>3.75</v>
      </c>
      <c r="B15">
        <v>0.90126600000000001</v>
      </c>
      <c r="C15">
        <v>107.387</v>
      </c>
      <c r="D15">
        <v>148.90899999999999</v>
      </c>
      <c r="F15">
        <v>2.4</v>
      </c>
      <c r="G15">
        <v>1.7987200000000001</v>
      </c>
      <c r="H15">
        <v>3.5674299999999999</v>
      </c>
      <c r="I15">
        <v>297.185</v>
      </c>
      <c r="J15">
        <v>1.6103099999999999</v>
      </c>
      <c r="K15">
        <f t="shared" si="0"/>
        <v>297.185</v>
      </c>
    </row>
    <row r="16" spans="1:25" x14ac:dyDescent="0.25">
      <c r="A16">
        <v>3.9375</v>
      </c>
      <c r="B16">
        <v>0.87480000000000002</v>
      </c>
      <c r="C16">
        <v>113.514</v>
      </c>
      <c r="D16">
        <v>144.53399999999999</v>
      </c>
      <c r="F16">
        <v>2.6</v>
      </c>
      <c r="G16">
        <v>1.90097</v>
      </c>
      <c r="H16">
        <v>3.8151099999999998</v>
      </c>
      <c r="I16">
        <v>314.07800000000003</v>
      </c>
      <c r="J16">
        <v>1.71675</v>
      </c>
      <c r="K16">
        <f t="shared" si="0"/>
        <v>314.07800000000003</v>
      </c>
    </row>
    <row r="17" spans="1:11" x14ac:dyDescent="0.25">
      <c r="A17">
        <v>4.125</v>
      </c>
      <c r="B17">
        <v>0.84843299999999999</v>
      </c>
      <c r="C17">
        <v>119.584</v>
      </c>
      <c r="D17">
        <v>140.178</v>
      </c>
      <c r="F17">
        <v>2.8</v>
      </c>
      <c r="G17">
        <v>1.9975099999999999</v>
      </c>
      <c r="H17">
        <v>4.06229</v>
      </c>
      <c r="I17">
        <v>330.02800000000002</v>
      </c>
      <c r="J17">
        <v>1.8186800000000001</v>
      </c>
      <c r="K17">
        <f t="shared" si="0"/>
        <v>330.02800000000002</v>
      </c>
    </row>
    <row r="18" spans="1:11" x14ac:dyDescent="0.25">
      <c r="A18">
        <v>4.3125</v>
      </c>
      <c r="B18">
        <v>0.82409500000000002</v>
      </c>
      <c r="C18">
        <v>125.604</v>
      </c>
      <c r="D18">
        <v>136.15700000000001</v>
      </c>
      <c r="F18">
        <v>3</v>
      </c>
      <c r="G18">
        <v>2.0887199999999999</v>
      </c>
      <c r="H18">
        <v>4.3089000000000004</v>
      </c>
      <c r="I18">
        <v>345.09800000000001</v>
      </c>
      <c r="J18">
        <v>1.9162999999999999</v>
      </c>
      <c r="K18">
        <f t="shared" si="0"/>
        <v>345.09800000000001</v>
      </c>
    </row>
    <row r="19" spans="1:11" x14ac:dyDescent="0.25">
      <c r="A19">
        <v>4.5</v>
      </c>
      <c r="B19">
        <v>0.80209399999999997</v>
      </c>
      <c r="C19">
        <v>131.58199999999999</v>
      </c>
      <c r="D19">
        <v>132.52199999999999</v>
      </c>
      <c r="F19">
        <v>3.2</v>
      </c>
      <c r="G19">
        <v>2.17496</v>
      </c>
      <c r="H19">
        <v>4.5548900000000003</v>
      </c>
      <c r="I19">
        <v>359.346</v>
      </c>
      <c r="J19">
        <v>2.0098199999999999</v>
      </c>
      <c r="K19">
        <f t="shared" si="0"/>
        <v>359.346</v>
      </c>
    </row>
    <row r="20" spans="1:11" x14ac:dyDescent="0.25">
      <c r="A20">
        <v>4.6875</v>
      </c>
      <c r="B20">
        <v>0.78213299999999997</v>
      </c>
      <c r="C20">
        <v>137.523</v>
      </c>
      <c r="D20">
        <v>129.22399999999999</v>
      </c>
      <c r="F20">
        <v>3.4</v>
      </c>
      <c r="G20">
        <v>2.25657</v>
      </c>
      <c r="H20">
        <v>4.8002200000000004</v>
      </c>
      <c r="I20">
        <v>372.83100000000002</v>
      </c>
      <c r="J20">
        <v>2.09945</v>
      </c>
      <c r="K20">
        <f t="shared" si="0"/>
        <v>372.83100000000002</v>
      </c>
    </row>
    <row r="21" spans="1:11" x14ac:dyDescent="0.25">
      <c r="A21">
        <v>4.96875</v>
      </c>
      <c r="B21">
        <v>0.75527699999999998</v>
      </c>
      <c r="C21">
        <v>146.37299999999999</v>
      </c>
      <c r="D21">
        <v>124.78700000000001</v>
      </c>
      <c r="F21">
        <v>3.6</v>
      </c>
      <c r="G21">
        <v>2.3338899999999998</v>
      </c>
      <c r="H21">
        <v>5.0448599999999999</v>
      </c>
      <c r="I21">
        <v>385.60500000000002</v>
      </c>
      <c r="J21">
        <v>2.1853799999999999</v>
      </c>
      <c r="K21">
        <f t="shared" si="0"/>
        <v>385.60500000000002</v>
      </c>
    </row>
    <row r="22" spans="1:11" x14ac:dyDescent="0.25">
      <c r="A22">
        <v>5.25</v>
      </c>
      <c r="B22">
        <v>0.73131000000000002</v>
      </c>
      <c r="C22">
        <v>155.15199999999999</v>
      </c>
      <c r="D22">
        <v>120.827</v>
      </c>
      <c r="F22">
        <v>3.8</v>
      </c>
      <c r="G22">
        <v>2.4072100000000001</v>
      </c>
      <c r="H22">
        <v>5.2887899999999997</v>
      </c>
      <c r="I22">
        <v>397.72</v>
      </c>
      <c r="J22">
        <v>2.26783</v>
      </c>
      <c r="K22">
        <f t="shared" si="0"/>
        <v>397.72</v>
      </c>
    </row>
    <row r="23" spans="1:11" x14ac:dyDescent="0.25">
      <c r="A23">
        <v>5.53125</v>
      </c>
      <c r="B23">
        <v>0.70981099999999997</v>
      </c>
      <c r="C23">
        <v>163.875</v>
      </c>
      <c r="D23">
        <v>117.276</v>
      </c>
      <c r="F23">
        <v>4</v>
      </c>
      <c r="G23">
        <v>2.4768300000000001</v>
      </c>
      <c r="H23">
        <v>5.532</v>
      </c>
      <c r="I23">
        <v>409.22200000000004</v>
      </c>
      <c r="J23">
        <v>2.347</v>
      </c>
      <c r="K23">
        <f t="shared" si="0"/>
        <v>409.22200000000004</v>
      </c>
    </row>
    <row r="24" spans="1:11" x14ac:dyDescent="0.25">
      <c r="A24">
        <v>5.8125</v>
      </c>
      <c r="B24">
        <v>0.69031900000000002</v>
      </c>
      <c r="C24">
        <v>172.55099999999999</v>
      </c>
      <c r="D24">
        <v>114.054</v>
      </c>
      <c r="F24">
        <v>4.2</v>
      </c>
      <c r="G24">
        <v>2.5428700000000002</v>
      </c>
      <c r="H24">
        <v>5.7745100000000003</v>
      </c>
      <c r="I24">
        <v>420.13299999999998</v>
      </c>
      <c r="J24">
        <v>2.4229400000000001</v>
      </c>
      <c r="K24">
        <f t="shared" si="0"/>
        <v>420.13299999999998</v>
      </c>
    </row>
    <row r="25" spans="1:11" x14ac:dyDescent="0.25">
      <c r="A25">
        <v>6.09375</v>
      </c>
      <c r="B25">
        <v>0.672238</v>
      </c>
      <c r="C25">
        <v>181.19900000000001</v>
      </c>
      <c r="D25">
        <v>111.06700000000001</v>
      </c>
      <c r="F25">
        <v>4.4000000000000004</v>
      </c>
      <c r="G25">
        <v>2.6055000000000001</v>
      </c>
      <c r="H25">
        <v>6.0163500000000001</v>
      </c>
      <c r="I25">
        <v>430.48</v>
      </c>
      <c r="J25">
        <v>2.4957400000000001</v>
      </c>
      <c r="K25">
        <f t="shared" si="0"/>
        <v>430.48</v>
      </c>
    </row>
    <row r="26" spans="1:11" x14ac:dyDescent="0.25">
      <c r="A26">
        <v>6.375</v>
      </c>
      <c r="B26">
        <v>0.65530500000000003</v>
      </c>
      <c r="C26">
        <v>189.84</v>
      </c>
      <c r="D26">
        <v>108.27</v>
      </c>
      <c r="F26">
        <v>4.5999999999999996</v>
      </c>
      <c r="G26">
        <v>2.6647099999999999</v>
      </c>
      <c r="H26">
        <v>6.2574500000000004</v>
      </c>
      <c r="I26">
        <v>440.26300000000003</v>
      </c>
      <c r="J26">
        <v>2.5653600000000001</v>
      </c>
      <c r="K26">
        <f t="shared" si="0"/>
        <v>440.26300000000003</v>
      </c>
    </row>
    <row r="27" spans="1:11" x14ac:dyDescent="0.25">
      <c r="A27">
        <v>6.65625</v>
      </c>
      <c r="B27">
        <v>0.63936700000000002</v>
      </c>
      <c r="C27">
        <v>198.46799999999999</v>
      </c>
      <c r="D27">
        <v>105.636</v>
      </c>
      <c r="F27">
        <v>4.8</v>
      </c>
      <c r="G27">
        <v>2.7206299999999999</v>
      </c>
      <c r="H27">
        <v>6.4978400000000001</v>
      </c>
      <c r="I27">
        <v>449.50299999999999</v>
      </c>
      <c r="J27">
        <v>2.6318700000000002</v>
      </c>
      <c r="K27">
        <f t="shared" si="0"/>
        <v>449.50299999999999</v>
      </c>
    </row>
    <row r="28" spans="1:11" x14ac:dyDescent="0.25">
      <c r="A28">
        <v>6.9375</v>
      </c>
      <c r="B28">
        <v>0.62434100000000003</v>
      </c>
      <c r="C28">
        <v>207.06399999999999</v>
      </c>
      <c r="D28">
        <v>103.154</v>
      </c>
      <c r="F28">
        <v>5</v>
      </c>
      <c r="G28">
        <v>2.77319</v>
      </c>
      <c r="H28">
        <v>6.7376100000000001</v>
      </c>
      <c r="I28">
        <v>458.18600000000004</v>
      </c>
      <c r="J28">
        <v>2.6951299999999998</v>
      </c>
      <c r="K28">
        <f t="shared" si="0"/>
        <v>458.18600000000004</v>
      </c>
    </row>
    <row r="29" spans="1:11" x14ac:dyDescent="0.25">
      <c r="A29">
        <v>7.21875</v>
      </c>
      <c r="B29">
        <v>0.61015299999999995</v>
      </c>
      <c r="C29">
        <v>215.62200000000001</v>
      </c>
      <c r="D29">
        <v>100.81</v>
      </c>
      <c r="F29">
        <v>5.2</v>
      </c>
      <c r="G29">
        <v>2.8226300000000002</v>
      </c>
      <c r="H29">
        <v>6.9766300000000001</v>
      </c>
      <c r="I29">
        <v>466.35500000000002</v>
      </c>
      <c r="J29">
        <v>2.7553800000000002</v>
      </c>
      <c r="K29">
        <f t="shared" si="0"/>
        <v>466.35500000000002</v>
      </c>
    </row>
    <row r="30" spans="1:11" x14ac:dyDescent="0.25">
      <c r="A30">
        <v>7.5</v>
      </c>
      <c r="B30">
        <v>0.59667499999999996</v>
      </c>
      <c r="C30">
        <v>224.14</v>
      </c>
      <c r="D30">
        <v>98.582700000000003</v>
      </c>
      <c r="F30">
        <v>5.4</v>
      </c>
      <c r="G30">
        <v>2.8690000000000002</v>
      </c>
      <c r="H30">
        <v>7.2149000000000001</v>
      </c>
      <c r="I30">
        <v>474.01600000000002</v>
      </c>
      <c r="J30">
        <v>2.81263</v>
      </c>
      <c r="K30">
        <f t="shared" si="0"/>
        <v>474.01600000000002</v>
      </c>
    </row>
    <row r="31" spans="1:11" x14ac:dyDescent="0.25">
      <c r="A31">
        <v>7.78125</v>
      </c>
      <c r="B31">
        <v>0.58386300000000002</v>
      </c>
      <c r="C31">
        <v>232.63300000000001</v>
      </c>
      <c r="D31">
        <v>96.465899999999991</v>
      </c>
      <c r="F31">
        <v>5.6</v>
      </c>
      <c r="G31">
        <v>2.9121800000000002</v>
      </c>
      <c r="H31">
        <v>7.4524400000000002</v>
      </c>
      <c r="I31">
        <v>481.15000000000003</v>
      </c>
      <c r="J31">
        <v>2.8667400000000001</v>
      </c>
      <c r="K31">
        <f t="shared" si="0"/>
        <v>481.15000000000003</v>
      </c>
    </row>
    <row r="32" spans="1:11" x14ac:dyDescent="0.25">
      <c r="A32">
        <v>8.0625</v>
      </c>
      <c r="B32">
        <v>0.57167900000000005</v>
      </c>
      <c r="C32">
        <v>241.10300000000001</v>
      </c>
      <c r="D32">
        <v>94.452699999999993</v>
      </c>
      <c r="F32">
        <v>5.8</v>
      </c>
      <c r="G32">
        <v>2.95235</v>
      </c>
      <c r="H32">
        <v>7.6892800000000001</v>
      </c>
      <c r="I32">
        <v>487.78700000000003</v>
      </c>
      <c r="J32">
        <v>2.9178799999999998</v>
      </c>
      <c r="K32">
        <f t="shared" si="0"/>
        <v>487.78700000000003</v>
      </c>
    </row>
    <row r="33" spans="1:11" x14ac:dyDescent="0.25">
      <c r="A33">
        <v>8.34375</v>
      </c>
      <c r="B33">
        <v>0.560056</v>
      </c>
      <c r="C33">
        <v>249.55</v>
      </c>
      <c r="D33">
        <v>92.532399999999996</v>
      </c>
      <c r="F33">
        <v>6</v>
      </c>
      <c r="G33">
        <v>2.9898699999999998</v>
      </c>
      <c r="H33">
        <v>7.92544</v>
      </c>
      <c r="I33">
        <v>493.98599999999999</v>
      </c>
      <c r="J33">
        <v>2.9664100000000002</v>
      </c>
      <c r="K33">
        <f t="shared" si="0"/>
        <v>493.98599999999999</v>
      </c>
    </row>
    <row r="34" spans="1:11" x14ac:dyDescent="0.25">
      <c r="A34">
        <v>8.625</v>
      </c>
      <c r="B34">
        <v>0.54896699999999998</v>
      </c>
      <c r="C34">
        <v>257.96800000000002</v>
      </c>
      <c r="D34">
        <v>90.700299999999999</v>
      </c>
      <c r="F34">
        <v>6.2</v>
      </c>
      <c r="G34">
        <v>3.0246499999999998</v>
      </c>
      <c r="H34">
        <v>8.1609099999999994</v>
      </c>
      <c r="I34">
        <v>499.733</v>
      </c>
      <c r="J34">
        <v>3.0122399999999998</v>
      </c>
      <c r="K34">
        <f t="shared" si="0"/>
        <v>499.733</v>
      </c>
    </row>
    <row r="35" spans="1:11" x14ac:dyDescent="0.25">
      <c r="A35">
        <v>8.90625</v>
      </c>
      <c r="B35">
        <v>0.53834700000000002</v>
      </c>
      <c r="C35">
        <v>266.36099999999999</v>
      </c>
      <c r="D35">
        <v>88.945800000000006</v>
      </c>
      <c r="F35">
        <v>6.4</v>
      </c>
      <c r="G35">
        <v>3.0572499999999998</v>
      </c>
      <c r="H35">
        <v>8.3955800000000007</v>
      </c>
      <c r="I35">
        <v>505.11900000000003</v>
      </c>
      <c r="J35">
        <v>3.0559099999999999</v>
      </c>
      <c r="K35">
        <f t="shared" si="0"/>
        <v>505.11900000000003</v>
      </c>
    </row>
    <row r="36" spans="1:11" x14ac:dyDescent="0.25">
      <c r="A36">
        <v>9.1875</v>
      </c>
      <c r="B36">
        <v>0.52814000000000005</v>
      </c>
      <c r="C36">
        <v>274.73200000000003</v>
      </c>
      <c r="D36">
        <v>87.25930000000001</v>
      </c>
      <c r="F36">
        <v>6.6</v>
      </c>
      <c r="G36">
        <v>3.0879099999999999</v>
      </c>
      <c r="H36">
        <v>8.6294500000000003</v>
      </c>
      <c r="I36">
        <v>510.185</v>
      </c>
      <c r="J36">
        <v>3.0976599999999999</v>
      </c>
      <c r="K36">
        <f t="shared" si="0"/>
        <v>510.185</v>
      </c>
    </row>
    <row r="37" spans="1:11" x14ac:dyDescent="0.25">
      <c r="A37">
        <v>9.46875</v>
      </c>
      <c r="B37">
        <v>0.51830600000000004</v>
      </c>
      <c r="C37">
        <v>283.08199999999999</v>
      </c>
      <c r="D37">
        <v>85.634600000000006</v>
      </c>
      <c r="F37">
        <v>6.8</v>
      </c>
      <c r="G37">
        <v>3.1167799999999999</v>
      </c>
      <c r="H37">
        <v>8.8625900000000009</v>
      </c>
      <c r="I37">
        <v>514.95400000000006</v>
      </c>
      <c r="J37">
        <v>3.1376400000000002</v>
      </c>
      <c r="K37">
        <f t="shared" si="0"/>
        <v>514.95400000000006</v>
      </c>
    </row>
    <row r="38" spans="1:11" x14ac:dyDescent="0.25">
      <c r="A38">
        <v>9.75</v>
      </c>
      <c r="B38">
        <v>0.50878699999999999</v>
      </c>
      <c r="C38">
        <v>291.41500000000002</v>
      </c>
      <c r="D38">
        <v>84.061800000000005</v>
      </c>
      <c r="F38">
        <v>7</v>
      </c>
      <c r="G38">
        <v>3.1440899999999998</v>
      </c>
      <c r="H38">
        <v>9.0949000000000009</v>
      </c>
      <c r="I38">
        <v>519.46699999999998</v>
      </c>
      <c r="J38">
        <v>3.1760999999999999</v>
      </c>
      <c r="K38">
        <f t="shared" si="0"/>
        <v>519.46699999999998</v>
      </c>
    </row>
    <row r="39" spans="1:11" x14ac:dyDescent="0.25">
      <c r="A39">
        <v>10.0312</v>
      </c>
      <c r="B39">
        <v>0.49949399999999999</v>
      </c>
      <c r="C39">
        <v>299.74200000000002</v>
      </c>
      <c r="D39">
        <v>82.526399999999995</v>
      </c>
      <c r="F39">
        <v>7.2</v>
      </c>
      <c r="G39">
        <v>3.1699899999999999</v>
      </c>
      <c r="H39">
        <v>9.3265600000000006</v>
      </c>
      <c r="I39">
        <v>523.745</v>
      </c>
      <c r="J39">
        <v>3.2131500000000002</v>
      </c>
      <c r="K39">
        <f t="shared" si="0"/>
        <v>523.745</v>
      </c>
    </row>
    <row r="40" spans="1:11" x14ac:dyDescent="0.25">
      <c r="A40">
        <v>10.3125</v>
      </c>
      <c r="B40">
        <v>0.490149</v>
      </c>
      <c r="C40">
        <v>308.11200000000002</v>
      </c>
      <c r="D40">
        <v>80.982600000000005</v>
      </c>
      <c r="F40">
        <v>7.4</v>
      </c>
      <c r="G40">
        <v>3.1946500000000002</v>
      </c>
      <c r="H40">
        <v>9.5576399999999992</v>
      </c>
      <c r="I40">
        <v>527.82100000000003</v>
      </c>
      <c r="J40">
        <v>3.24898</v>
      </c>
      <c r="K40">
        <f t="shared" si="0"/>
        <v>527.82100000000003</v>
      </c>
    </row>
    <row r="41" spans="1:11" x14ac:dyDescent="0.25">
      <c r="A41">
        <v>10.3828</v>
      </c>
      <c r="B41">
        <v>0.48762</v>
      </c>
      <c r="C41">
        <v>310.23599999999999</v>
      </c>
      <c r="D41">
        <v>80.565399999999997</v>
      </c>
      <c r="F41">
        <v>7.6</v>
      </c>
      <c r="G41">
        <v>3.21828</v>
      </c>
      <c r="H41">
        <v>9.7882300000000004</v>
      </c>
      <c r="I41">
        <v>531.72400000000005</v>
      </c>
      <c r="J41">
        <v>3.2837900000000002</v>
      </c>
      <c r="K41">
        <f t="shared" si="0"/>
        <v>531.72400000000005</v>
      </c>
    </row>
    <row r="42" spans="1:11" x14ac:dyDescent="0.25">
      <c r="A42">
        <v>10.400399999999999</v>
      </c>
      <c r="B42">
        <v>0.48691200000000001</v>
      </c>
      <c r="C42">
        <v>310.77699999999999</v>
      </c>
      <c r="D42">
        <v>80.447500000000005</v>
      </c>
      <c r="F42">
        <v>7.8</v>
      </c>
      <c r="G42">
        <v>3.2409500000000002</v>
      </c>
      <c r="H42">
        <v>10.0183</v>
      </c>
      <c r="I42">
        <v>535.46900000000005</v>
      </c>
      <c r="J42">
        <v>3.3176299999999999</v>
      </c>
      <c r="K42">
        <f t="shared" si="0"/>
        <v>535.46900000000005</v>
      </c>
    </row>
    <row r="43" spans="1:11" x14ac:dyDescent="0.25">
      <c r="A43">
        <v>10.407</v>
      </c>
      <c r="B43">
        <v>0.48646899999999998</v>
      </c>
      <c r="C43">
        <v>311.08600000000001</v>
      </c>
      <c r="D43">
        <v>80.374499999999998</v>
      </c>
      <c r="F43">
        <v>8</v>
      </c>
      <c r="G43">
        <v>3.2627100000000002</v>
      </c>
      <c r="H43">
        <v>10.247999999999999</v>
      </c>
      <c r="I43">
        <v>539.06500000000005</v>
      </c>
      <c r="J43">
        <v>3.3505699999999998</v>
      </c>
      <c r="K43">
        <f t="shared" si="0"/>
        <v>539.06500000000005</v>
      </c>
    </row>
    <row r="44" spans="1:11" x14ac:dyDescent="0.25">
      <c r="A44">
        <v>10.4095</v>
      </c>
      <c r="B44">
        <v>0.48618699999999998</v>
      </c>
      <c r="C44">
        <v>311.26400000000001</v>
      </c>
      <c r="D44">
        <v>80.327800000000011</v>
      </c>
      <c r="F44">
        <v>8.1999999999999993</v>
      </c>
      <c r="G44">
        <v>3.2836699999999999</v>
      </c>
      <c r="H44">
        <v>10.4772</v>
      </c>
      <c r="I44">
        <v>542.52800000000002</v>
      </c>
      <c r="J44">
        <v>3.3827099999999999</v>
      </c>
      <c r="K44">
        <f t="shared" si="0"/>
        <v>542.52800000000002</v>
      </c>
    </row>
    <row r="45" spans="1:11" x14ac:dyDescent="0.25">
      <c r="A45">
        <v>10.4132</v>
      </c>
      <c r="B45">
        <v>0.48555300000000001</v>
      </c>
      <c r="C45">
        <v>311.548</v>
      </c>
      <c r="D45">
        <v>80.223399999999998</v>
      </c>
      <c r="F45">
        <v>8.4</v>
      </c>
      <c r="G45">
        <v>3.3039100000000001</v>
      </c>
      <c r="H45">
        <v>10.706200000000001</v>
      </c>
      <c r="I45">
        <v>545.87199999999996</v>
      </c>
      <c r="J45">
        <v>3.41412</v>
      </c>
      <c r="K45">
        <f t="shared" si="0"/>
        <v>545.87199999999996</v>
      </c>
    </row>
    <row r="46" spans="1:11" x14ac:dyDescent="0.25">
      <c r="A46">
        <v>10.413500000000001</v>
      </c>
      <c r="B46">
        <v>0.48547099999999999</v>
      </c>
      <c r="C46">
        <v>311.56599999999997</v>
      </c>
      <c r="D46">
        <v>80.209500000000006</v>
      </c>
      <c r="F46">
        <v>8.6</v>
      </c>
      <c r="G46">
        <v>3.3234400000000002</v>
      </c>
      <c r="H46">
        <v>10.934900000000001</v>
      </c>
      <c r="I46">
        <v>549.1</v>
      </c>
      <c r="J46">
        <v>3.4448300000000001</v>
      </c>
      <c r="K46">
        <f t="shared" si="0"/>
        <v>549.1</v>
      </c>
    </row>
    <row r="47" spans="1:11" x14ac:dyDescent="0.25">
      <c r="A47">
        <v>10.414</v>
      </c>
      <c r="B47">
        <v>0.48522999999999999</v>
      </c>
      <c r="C47">
        <v>311.59500000000003</v>
      </c>
      <c r="D47">
        <v>80.169600000000003</v>
      </c>
      <c r="F47">
        <v>8.8000000000000007</v>
      </c>
      <c r="G47">
        <v>3.3422399999999999</v>
      </c>
      <c r="H47">
        <v>11.163500000000001</v>
      </c>
      <c r="I47">
        <v>552.20600000000002</v>
      </c>
      <c r="J47">
        <v>3.4748100000000002</v>
      </c>
      <c r="K47">
        <f t="shared" si="0"/>
        <v>552.20600000000002</v>
      </c>
    </row>
    <row r="48" spans="1:11" x14ac:dyDescent="0.25">
      <c r="A48">
        <v>10.414199999999999</v>
      </c>
      <c r="B48">
        <v>0.483512</v>
      </c>
      <c r="C48">
        <v>311.536</v>
      </c>
      <c r="D48">
        <v>79.885899999999992</v>
      </c>
      <c r="F48">
        <v>9</v>
      </c>
      <c r="G48">
        <v>3.3602099999999999</v>
      </c>
      <c r="H48">
        <v>11.392099999999999</v>
      </c>
      <c r="I48">
        <v>555.17600000000004</v>
      </c>
      <c r="J48">
        <v>3.5039600000000002</v>
      </c>
      <c r="K48">
        <f t="shared" si="0"/>
        <v>555.17600000000004</v>
      </c>
    </row>
    <row r="49" spans="1:11" x14ac:dyDescent="0.25">
      <c r="A49">
        <v>10.414400000000001</v>
      </c>
      <c r="B49">
        <v>0.483404</v>
      </c>
      <c r="C49">
        <v>311.529</v>
      </c>
      <c r="D49">
        <v>79.867999999999995</v>
      </c>
      <c r="F49">
        <v>9.1999999999999993</v>
      </c>
      <c r="G49">
        <v>3.3773300000000002</v>
      </c>
      <c r="H49">
        <v>11.620699999999999</v>
      </c>
      <c r="I49">
        <v>558.00599999999997</v>
      </c>
      <c r="J49">
        <v>3.5322499999999999</v>
      </c>
      <c r="K49">
        <f t="shared" si="0"/>
        <v>558.00599999999997</v>
      </c>
    </row>
    <row r="50" spans="1:11" x14ac:dyDescent="0.25">
      <c r="A50">
        <v>10.4146</v>
      </c>
      <c r="B50">
        <v>0.483267</v>
      </c>
      <c r="C50">
        <v>311.52</v>
      </c>
      <c r="D50">
        <v>79.845399999999998</v>
      </c>
      <c r="F50">
        <v>9.4</v>
      </c>
      <c r="G50">
        <v>3.39357</v>
      </c>
      <c r="H50">
        <v>11.849299999999999</v>
      </c>
      <c r="I50">
        <v>560.69200000000001</v>
      </c>
      <c r="J50">
        <v>3.5596700000000001</v>
      </c>
      <c r="K50">
        <f t="shared" si="0"/>
        <v>560.69200000000001</v>
      </c>
    </row>
    <row r="51" spans="1:11" x14ac:dyDescent="0.25">
      <c r="A51">
        <v>10.414899999999999</v>
      </c>
      <c r="B51">
        <v>0.48308200000000001</v>
      </c>
      <c r="C51">
        <v>311.50799999999998</v>
      </c>
      <c r="D51">
        <v>79.814800000000005</v>
      </c>
      <c r="F51">
        <v>9.6</v>
      </c>
      <c r="G51">
        <v>3.4089999999999998</v>
      </c>
      <c r="H51">
        <v>12.0778</v>
      </c>
      <c r="I51">
        <v>563.23500000000001</v>
      </c>
      <c r="J51">
        <v>3.5862699999999998</v>
      </c>
      <c r="K51">
        <f t="shared" si="0"/>
        <v>563.23500000000001</v>
      </c>
    </row>
    <row r="52" spans="1:11" x14ac:dyDescent="0.25">
      <c r="A52">
        <v>10.4154</v>
      </c>
      <c r="B52">
        <v>0.482825</v>
      </c>
      <c r="C52">
        <v>311.48899999999998</v>
      </c>
      <c r="D52">
        <v>79.77239999999999</v>
      </c>
      <c r="F52">
        <v>9.8000000000000007</v>
      </c>
      <c r="G52">
        <v>3.42353</v>
      </c>
      <c r="H52">
        <v>12.3062</v>
      </c>
      <c r="I52">
        <v>565.63499999999999</v>
      </c>
      <c r="J52">
        <v>3.6119599999999998</v>
      </c>
      <c r="K52">
        <f t="shared" si="0"/>
        <v>565.63499999999999</v>
      </c>
    </row>
    <row r="53" spans="1:11" x14ac:dyDescent="0.25">
      <c r="A53">
        <v>10.416</v>
      </c>
      <c r="B53">
        <v>0.482462</v>
      </c>
      <c r="C53">
        <v>311.46300000000002</v>
      </c>
      <c r="D53">
        <v>79.712299999999999</v>
      </c>
      <c r="F53">
        <v>10</v>
      </c>
      <c r="G53">
        <v>3.4372400000000001</v>
      </c>
      <c r="H53">
        <v>12.534599999999999</v>
      </c>
      <c r="I53">
        <v>567.90100000000007</v>
      </c>
      <c r="J53">
        <v>3.6368399999999999</v>
      </c>
      <c r="K53">
        <f t="shared" si="0"/>
        <v>567.90100000000007</v>
      </c>
    </row>
    <row r="54" spans="1:11" x14ac:dyDescent="0.25">
      <c r="A54">
        <v>10.417</v>
      </c>
      <c r="B54">
        <v>0.48193799999999998</v>
      </c>
      <c r="C54">
        <v>311.423</v>
      </c>
      <c r="D54">
        <v>79.625799999999998</v>
      </c>
      <c r="F54">
        <v>10.199999999999999</v>
      </c>
      <c r="G54">
        <v>3.4501400000000002</v>
      </c>
      <c r="H54">
        <v>12.763</v>
      </c>
      <c r="I54">
        <v>570.03200000000004</v>
      </c>
      <c r="J54">
        <v>3.6609099999999999</v>
      </c>
      <c r="K54">
        <f t="shared" si="0"/>
        <v>570.03200000000004</v>
      </c>
    </row>
    <row r="55" spans="1:11" x14ac:dyDescent="0.25">
      <c r="A55">
        <v>10.4185</v>
      </c>
      <c r="B55">
        <v>0.48117700000000002</v>
      </c>
      <c r="C55">
        <v>311.36099999999999</v>
      </c>
      <c r="D55">
        <v>79.500199999999992</v>
      </c>
      <c r="F55">
        <v>10.4</v>
      </c>
      <c r="G55">
        <v>3.46231</v>
      </c>
      <c r="H55">
        <v>12.9915</v>
      </c>
      <c r="I55">
        <v>572.04200000000003</v>
      </c>
      <c r="J55">
        <v>3.6842700000000002</v>
      </c>
      <c r="K55">
        <f t="shared" si="0"/>
        <v>572.04200000000003</v>
      </c>
    </row>
    <row r="56" spans="1:11" x14ac:dyDescent="0.25">
      <c r="A56">
        <v>10.4207</v>
      </c>
      <c r="B56">
        <v>0.48006300000000002</v>
      </c>
      <c r="C56">
        <v>311.26799999999997</v>
      </c>
      <c r="D56">
        <v>79.316100000000006</v>
      </c>
      <c r="F56">
        <v>10.6</v>
      </c>
      <c r="G56">
        <v>3.47363</v>
      </c>
      <c r="H56">
        <v>13.22</v>
      </c>
      <c r="I56">
        <v>573.91300000000001</v>
      </c>
      <c r="J56">
        <v>3.7068099999999999</v>
      </c>
      <c r="K56">
        <f t="shared" si="0"/>
        <v>573.91300000000001</v>
      </c>
    </row>
    <row r="57" spans="1:11" x14ac:dyDescent="0.25">
      <c r="A57">
        <v>10.424099999999999</v>
      </c>
      <c r="B57">
        <v>0.47842800000000002</v>
      </c>
      <c r="C57">
        <v>311.125</v>
      </c>
      <c r="D57">
        <v>79.0458</v>
      </c>
      <c r="F57">
        <v>10.8</v>
      </c>
      <c r="G57">
        <v>3.4843099999999998</v>
      </c>
      <c r="H57">
        <v>13.448499999999999</v>
      </c>
      <c r="I57">
        <v>575.678</v>
      </c>
      <c r="J57">
        <v>3.72872</v>
      </c>
      <c r="K57">
        <f t="shared" si="0"/>
        <v>575.678</v>
      </c>
    </row>
    <row r="58" spans="1:11" x14ac:dyDescent="0.25">
      <c r="A58">
        <v>10.4291</v>
      </c>
      <c r="B58">
        <v>0.47601500000000002</v>
      </c>
      <c r="C58">
        <v>310.90699999999998</v>
      </c>
      <c r="D58">
        <v>78.647199999999998</v>
      </c>
      <c r="F58">
        <v>11</v>
      </c>
      <c r="G58">
        <v>3.4944500000000001</v>
      </c>
      <c r="H58">
        <v>13.6768</v>
      </c>
      <c r="I58">
        <v>577.35199999999998</v>
      </c>
      <c r="J58">
        <v>3.7501000000000002</v>
      </c>
      <c r="K58">
        <f t="shared" si="0"/>
        <v>577.35199999999998</v>
      </c>
    </row>
    <row r="59" spans="1:11" x14ac:dyDescent="0.25">
      <c r="A59">
        <v>10.4366</v>
      </c>
      <c r="B59">
        <v>0.47244599999999998</v>
      </c>
      <c r="C59">
        <v>310.57299999999998</v>
      </c>
      <c r="D59">
        <v>78.057500000000005</v>
      </c>
      <c r="F59">
        <v>11.2</v>
      </c>
      <c r="G59">
        <v>3.5039600000000002</v>
      </c>
      <c r="H59">
        <v>13.904999999999999</v>
      </c>
      <c r="I59">
        <v>578.92500000000007</v>
      </c>
      <c r="J59">
        <v>3.7708900000000001</v>
      </c>
      <c r="K59">
        <f t="shared" si="0"/>
        <v>578.92500000000007</v>
      </c>
    </row>
    <row r="60" spans="1:11" x14ac:dyDescent="0.25">
      <c r="A60">
        <v>10.447900000000001</v>
      </c>
      <c r="B60">
        <v>0.467142</v>
      </c>
      <c r="C60">
        <v>310.06599999999997</v>
      </c>
      <c r="D60">
        <v>77.181200000000004</v>
      </c>
      <c r="F60">
        <v>11.4</v>
      </c>
      <c r="G60">
        <v>3.5128400000000002</v>
      </c>
      <c r="H60">
        <v>14.132999999999999</v>
      </c>
      <c r="I60">
        <v>580.39200000000005</v>
      </c>
      <c r="J60">
        <v>3.79108</v>
      </c>
      <c r="K60">
        <f t="shared" si="0"/>
        <v>580.39200000000005</v>
      </c>
    </row>
    <row r="61" spans="1:11" x14ac:dyDescent="0.25">
      <c r="A61">
        <v>10.4648</v>
      </c>
      <c r="B61">
        <v>0.45924300000000001</v>
      </c>
      <c r="C61">
        <v>309.29500000000002</v>
      </c>
      <c r="D61">
        <v>75.876199999999997</v>
      </c>
      <c r="F61">
        <v>11.6</v>
      </c>
      <c r="G61">
        <v>3.5211700000000001</v>
      </c>
      <c r="H61">
        <v>14.3607</v>
      </c>
      <c r="I61">
        <v>581.76800000000003</v>
      </c>
      <c r="J61">
        <v>3.8107600000000001</v>
      </c>
      <c r="K61">
        <f t="shared" si="0"/>
        <v>581.76800000000003</v>
      </c>
    </row>
    <row r="62" spans="1:11" x14ac:dyDescent="0.25">
      <c r="A62">
        <v>10.4901</v>
      </c>
      <c r="B62">
        <v>0.44738699999999998</v>
      </c>
      <c r="C62">
        <v>308.12900000000002</v>
      </c>
      <c r="D62">
        <v>73.917300000000012</v>
      </c>
      <c r="F62">
        <v>11.8</v>
      </c>
      <c r="G62">
        <v>3.5290699999999999</v>
      </c>
      <c r="H62">
        <v>14.588100000000001</v>
      </c>
      <c r="I62">
        <v>583.07399999999996</v>
      </c>
      <c r="J62">
        <v>3.8300399999999999</v>
      </c>
      <c r="K62">
        <f t="shared" si="0"/>
        <v>583.07399999999996</v>
      </c>
    </row>
    <row r="63" spans="1:11" x14ac:dyDescent="0.25">
      <c r="A63">
        <v>10.5282</v>
      </c>
      <c r="B63">
        <v>0.42947400000000002</v>
      </c>
      <c r="C63">
        <v>306.36900000000003</v>
      </c>
      <c r="D63">
        <v>70.957700000000003</v>
      </c>
      <c r="F63">
        <v>12</v>
      </c>
      <c r="G63">
        <v>3.5365899999999999</v>
      </c>
      <c r="H63">
        <v>14.8154</v>
      </c>
      <c r="I63">
        <v>584.31500000000005</v>
      </c>
      <c r="J63">
        <v>3.8489800000000001</v>
      </c>
      <c r="K63">
        <f t="shared" si="0"/>
        <v>584.31500000000005</v>
      </c>
    </row>
    <row r="64" spans="1:11" x14ac:dyDescent="0.25">
      <c r="A64">
        <v>10.5853</v>
      </c>
      <c r="B64">
        <v>0.40201199999999998</v>
      </c>
      <c r="C64">
        <v>303.73099999999999</v>
      </c>
      <c r="D64">
        <v>66.422399999999996</v>
      </c>
      <c r="F64">
        <v>12.2</v>
      </c>
      <c r="G64">
        <v>3.5437400000000001</v>
      </c>
      <c r="H64">
        <v>15.042400000000001</v>
      </c>
      <c r="I64">
        <v>585.49699999999996</v>
      </c>
      <c r="J64">
        <v>3.8675799999999998</v>
      </c>
      <c r="K64">
        <f t="shared" si="0"/>
        <v>585.49699999999996</v>
      </c>
    </row>
    <row r="65" spans="1:11" x14ac:dyDescent="0.25">
      <c r="A65">
        <v>10.6067</v>
      </c>
      <c r="B65">
        <v>0.38564999999999999</v>
      </c>
      <c r="C65">
        <v>302.29300000000001</v>
      </c>
      <c r="D65">
        <v>63.718800000000002</v>
      </c>
      <c r="F65">
        <v>12.4</v>
      </c>
      <c r="G65">
        <v>3.5505</v>
      </c>
      <c r="H65">
        <v>15.2692</v>
      </c>
      <c r="I65">
        <v>586.61400000000003</v>
      </c>
      <c r="J65">
        <v>3.8858199999999998</v>
      </c>
      <c r="K65">
        <f t="shared" si="0"/>
        <v>586.61400000000003</v>
      </c>
    </row>
    <row r="66" spans="1:11" x14ac:dyDescent="0.25">
      <c r="A66">
        <v>10.608700000000001</v>
      </c>
      <c r="B66">
        <v>0.385324</v>
      </c>
      <c r="C66">
        <v>302.19</v>
      </c>
      <c r="D66">
        <v>63.665700000000001</v>
      </c>
      <c r="F66">
        <v>12.6</v>
      </c>
      <c r="G66">
        <v>3.5569000000000002</v>
      </c>
      <c r="H66">
        <v>15.495699999999999</v>
      </c>
      <c r="I66">
        <v>587.67100000000005</v>
      </c>
      <c r="J66">
        <v>3.90374</v>
      </c>
      <c r="K66">
        <f t="shared" si="0"/>
        <v>587.67100000000005</v>
      </c>
    </row>
    <row r="67" spans="1:11" x14ac:dyDescent="0.25">
      <c r="A67">
        <v>10.6089</v>
      </c>
      <c r="B67">
        <v>0.38532899999999998</v>
      </c>
      <c r="C67">
        <v>302.185</v>
      </c>
      <c r="D67">
        <v>63.664000000000001</v>
      </c>
      <c r="F67">
        <v>12.8</v>
      </c>
      <c r="G67">
        <v>3.5629900000000001</v>
      </c>
      <c r="H67">
        <v>15.722200000000001</v>
      </c>
      <c r="I67">
        <v>588.67700000000002</v>
      </c>
      <c r="J67">
        <v>3.9213900000000002</v>
      </c>
      <c r="K67">
        <f t="shared" si="0"/>
        <v>588.67700000000002</v>
      </c>
    </row>
    <row r="68" spans="1:11" x14ac:dyDescent="0.25">
      <c r="A68">
        <v>10.6092</v>
      </c>
      <c r="B68">
        <v>0.38535000000000003</v>
      </c>
      <c r="C68">
        <v>302.17599999999999</v>
      </c>
      <c r="D68">
        <v>63.667500000000004</v>
      </c>
      <c r="F68">
        <v>13</v>
      </c>
      <c r="G68">
        <v>3.56881</v>
      </c>
      <c r="H68">
        <v>15.948499999999999</v>
      </c>
      <c r="I68">
        <v>589.63900000000001</v>
      </c>
      <c r="J68">
        <v>3.9388100000000001</v>
      </c>
      <c r="K68">
        <f t="shared" ref="K68:K131" si="1">+I68</f>
        <v>589.63900000000001</v>
      </c>
    </row>
    <row r="69" spans="1:11" x14ac:dyDescent="0.25">
      <c r="A69">
        <v>10.6096</v>
      </c>
      <c r="B69">
        <v>0.385434</v>
      </c>
      <c r="C69">
        <v>302.16500000000002</v>
      </c>
      <c r="D69">
        <v>63.681400000000004</v>
      </c>
      <c r="F69">
        <v>13.2</v>
      </c>
      <c r="G69">
        <v>3.57437</v>
      </c>
      <c r="H69">
        <v>16.174700000000001</v>
      </c>
      <c r="I69">
        <v>590.55799999999999</v>
      </c>
      <c r="J69">
        <v>3.956</v>
      </c>
      <c r="K69">
        <f t="shared" si="1"/>
        <v>590.55799999999999</v>
      </c>
    </row>
    <row r="70" spans="1:11" x14ac:dyDescent="0.25">
      <c r="A70">
        <v>10.610200000000001</v>
      </c>
      <c r="B70">
        <v>0.38567899999999999</v>
      </c>
      <c r="C70">
        <v>302.16000000000003</v>
      </c>
      <c r="D70">
        <v>63.721900000000005</v>
      </c>
      <c r="F70">
        <v>13.4</v>
      </c>
      <c r="G70">
        <v>3.57972</v>
      </c>
      <c r="H70">
        <v>16.4008</v>
      </c>
      <c r="I70">
        <v>591.44100000000003</v>
      </c>
      <c r="J70">
        <v>3.9730300000000001</v>
      </c>
      <c r="K70">
        <f t="shared" si="1"/>
        <v>591.44100000000003</v>
      </c>
    </row>
    <row r="71" spans="1:11" x14ac:dyDescent="0.25">
      <c r="A71">
        <v>10.6112</v>
      </c>
      <c r="B71">
        <v>0.38600600000000002</v>
      </c>
      <c r="C71">
        <v>302.16800000000001</v>
      </c>
      <c r="D71">
        <v>63.7759</v>
      </c>
      <c r="F71">
        <v>13.6</v>
      </c>
      <c r="G71">
        <v>3.5848499999999999</v>
      </c>
      <c r="H71">
        <v>16.6266</v>
      </c>
      <c r="I71">
        <v>592.28899999999999</v>
      </c>
      <c r="J71">
        <v>3.9898799999999999</v>
      </c>
      <c r="K71">
        <f t="shared" si="1"/>
        <v>592.28899999999999</v>
      </c>
    </row>
    <row r="72" spans="1:11" x14ac:dyDescent="0.25">
      <c r="A72">
        <v>10.6126</v>
      </c>
      <c r="B72">
        <v>0.38645099999999999</v>
      </c>
      <c r="C72">
        <v>302.18700000000001</v>
      </c>
      <c r="D72">
        <v>63.849499999999999</v>
      </c>
      <c r="F72">
        <v>13.8</v>
      </c>
      <c r="G72">
        <v>3.5897299999999999</v>
      </c>
      <c r="H72">
        <v>16.8523</v>
      </c>
      <c r="I72">
        <v>593.09500000000003</v>
      </c>
      <c r="J72">
        <v>4.0065200000000001</v>
      </c>
      <c r="K72">
        <f t="shared" si="1"/>
        <v>593.09500000000003</v>
      </c>
    </row>
    <row r="73" spans="1:11" x14ac:dyDescent="0.25">
      <c r="A73">
        <v>10.614699999999999</v>
      </c>
      <c r="B73">
        <v>0.387075</v>
      </c>
      <c r="C73">
        <v>302.22199999999998</v>
      </c>
      <c r="D73">
        <v>63.952500000000001</v>
      </c>
      <c r="F73">
        <v>14</v>
      </c>
      <c r="G73">
        <v>3.5943900000000002</v>
      </c>
      <c r="H73">
        <v>17.078099999999999</v>
      </c>
      <c r="I73">
        <v>593.86500000000001</v>
      </c>
      <c r="J73">
        <v>4.0229799999999996</v>
      </c>
      <c r="K73">
        <f t="shared" si="1"/>
        <v>593.86500000000001</v>
      </c>
    </row>
    <row r="74" spans="1:11" x14ac:dyDescent="0.25">
      <c r="A74">
        <v>10.618</v>
      </c>
      <c r="B74">
        <v>0.38796199999999997</v>
      </c>
      <c r="C74">
        <v>302.27999999999997</v>
      </c>
      <c r="D74">
        <v>64.099199999999996</v>
      </c>
      <c r="F74">
        <v>14.2</v>
      </c>
      <c r="G74">
        <v>3.5988199999999999</v>
      </c>
      <c r="H74">
        <v>17.303999999999998</v>
      </c>
      <c r="I74">
        <v>594.59699999999998</v>
      </c>
      <c r="J74">
        <v>4.0392599999999996</v>
      </c>
      <c r="K74">
        <f t="shared" si="1"/>
        <v>594.59699999999998</v>
      </c>
    </row>
    <row r="75" spans="1:11" x14ac:dyDescent="0.25">
      <c r="A75">
        <v>10.6228</v>
      </c>
      <c r="B75">
        <v>0.38923999999999997</v>
      </c>
      <c r="C75">
        <v>302.37200000000001</v>
      </c>
      <c r="D75">
        <v>64.310199999999995</v>
      </c>
      <c r="F75">
        <v>14.4</v>
      </c>
      <c r="G75">
        <v>3.6030500000000001</v>
      </c>
      <c r="H75">
        <v>17.529900000000001</v>
      </c>
      <c r="I75">
        <v>595.29499999999996</v>
      </c>
      <c r="J75">
        <v>4.0553699999999999</v>
      </c>
      <c r="K75">
        <f t="shared" si="1"/>
        <v>595.29499999999996</v>
      </c>
    </row>
    <row r="76" spans="1:11" x14ac:dyDescent="0.25">
      <c r="A76">
        <v>10.63</v>
      </c>
      <c r="B76">
        <v>0.391092</v>
      </c>
      <c r="C76">
        <v>302.51600000000002</v>
      </c>
      <c r="D76">
        <v>64.616199999999992</v>
      </c>
      <c r="F76">
        <v>14.6</v>
      </c>
      <c r="G76">
        <v>3.60711</v>
      </c>
      <c r="H76">
        <v>17.755800000000001</v>
      </c>
      <c r="I76">
        <v>595.96600000000001</v>
      </c>
      <c r="J76">
        <v>4.0713600000000003</v>
      </c>
      <c r="K76">
        <f t="shared" si="1"/>
        <v>595.96600000000001</v>
      </c>
    </row>
    <row r="77" spans="1:11" x14ac:dyDescent="0.25">
      <c r="A77">
        <v>10.6409</v>
      </c>
      <c r="B77">
        <v>0.39379599999999998</v>
      </c>
      <c r="C77">
        <v>302.73899999999998</v>
      </c>
      <c r="D77">
        <v>65.062899999999999</v>
      </c>
      <c r="F77">
        <v>14.8</v>
      </c>
      <c r="G77">
        <v>3.6110199999999999</v>
      </c>
      <c r="H77">
        <v>17.9816</v>
      </c>
      <c r="I77">
        <v>596.61300000000006</v>
      </c>
      <c r="J77">
        <v>4.08725</v>
      </c>
      <c r="K77">
        <f t="shared" si="1"/>
        <v>596.61300000000006</v>
      </c>
    </row>
    <row r="78" spans="1:11" x14ac:dyDescent="0.25">
      <c r="A78">
        <v>10.6571</v>
      </c>
      <c r="B78">
        <v>0.39775899999999997</v>
      </c>
      <c r="C78">
        <v>303.08100000000002</v>
      </c>
      <c r="D78">
        <v>65.717800000000011</v>
      </c>
      <c r="F78">
        <v>15</v>
      </c>
      <c r="G78">
        <v>3.6147800000000001</v>
      </c>
      <c r="H78">
        <v>18.2073</v>
      </c>
      <c r="I78">
        <v>597.23400000000004</v>
      </c>
      <c r="J78">
        <v>4.10304</v>
      </c>
      <c r="K78">
        <f t="shared" si="1"/>
        <v>597.23400000000004</v>
      </c>
    </row>
    <row r="79" spans="1:11" x14ac:dyDescent="0.25">
      <c r="A79">
        <v>10.6815</v>
      </c>
      <c r="B79">
        <v>0.40359</v>
      </c>
      <c r="C79">
        <v>303.60000000000002</v>
      </c>
      <c r="D79">
        <v>66.681200000000004</v>
      </c>
      <c r="F79">
        <v>15.2</v>
      </c>
      <c r="G79">
        <v>3.6183900000000002</v>
      </c>
      <c r="H79">
        <v>18.4329</v>
      </c>
      <c r="I79">
        <v>597.83000000000004</v>
      </c>
      <c r="J79">
        <v>4.1187199999999997</v>
      </c>
      <c r="K79">
        <f t="shared" si="1"/>
        <v>597.83000000000004</v>
      </c>
    </row>
    <row r="80" spans="1:11" x14ac:dyDescent="0.25">
      <c r="A80">
        <v>10.7182</v>
      </c>
      <c r="B80">
        <v>0.41219600000000001</v>
      </c>
      <c r="C80">
        <v>304.38600000000002</v>
      </c>
      <c r="D80">
        <v>68.103100000000012</v>
      </c>
      <c r="F80">
        <v>15.4</v>
      </c>
      <c r="G80">
        <v>3.6218300000000001</v>
      </c>
      <c r="H80">
        <v>18.6584</v>
      </c>
      <c r="I80">
        <v>598.39800000000002</v>
      </c>
      <c r="J80">
        <v>4.13429</v>
      </c>
      <c r="K80">
        <f t="shared" si="1"/>
        <v>598.39800000000002</v>
      </c>
    </row>
    <row r="81" spans="1:11" x14ac:dyDescent="0.25">
      <c r="A81">
        <v>10.773099999999999</v>
      </c>
      <c r="B81">
        <v>0.424958</v>
      </c>
      <c r="C81">
        <v>305.56599999999997</v>
      </c>
      <c r="D81">
        <v>70.211600000000004</v>
      </c>
      <c r="F81">
        <v>15.6</v>
      </c>
      <c r="G81">
        <v>3.6251099999999998</v>
      </c>
      <c r="H81">
        <v>18.884</v>
      </c>
      <c r="I81">
        <v>598.94100000000003</v>
      </c>
      <c r="J81">
        <v>4.1497599999999997</v>
      </c>
      <c r="K81">
        <f t="shared" si="1"/>
        <v>598.94100000000003</v>
      </c>
    </row>
    <row r="82" spans="1:11" x14ac:dyDescent="0.25">
      <c r="A82">
        <v>10.793699999999999</v>
      </c>
      <c r="B82">
        <v>0.43214200000000003</v>
      </c>
      <c r="C82">
        <v>306.22199999999998</v>
      </c>
      <c r="D82">
        <v>71.398499999999999</v>
      </c>
      <c r="F82">
        <v>15.8</v>
      </c>
      <c r="G82">
        <v>3.62825</v>
      </c>
      <c r="H82">
        <v>19.1096</v>
      </c>
      <c r="I82">
        <v>599.45900000000006</v>
      </c>
      <c r="J82">
        <v>4.1651300000000004</v>
      </c>
      <c r="K82">
        <f t="shared" si="1"/>
        <v>599.45900000000006</v>
      </c>
    </row>
    <row r="83" spans="1:11" x14ac:dyDescent="0.25">
      <c r="A83">
        <v>10.801399999999999</v>
      </c>
      <c r="B83">
        <v>0.43623499999999998</v>
      </c>
      <c r="C83">
        <v>306.58300000000003</v>
      </c>
      <c r="D83">
        <v>72.07480000000001</v>
      </c>
      <c r="F83">
        <v>16</v>
      </c>
      <c r="G83">
        <v>3.63124</v>
      </c>
      <c r="H83">
        <v>19.3352</v>
      </c>
      <c r="I83">
        <v>599.95400000000006</v>
      </c>
      <c r="J83">
        <v>4.1804300000000003</v>
      </c>
      <c r="K83">
        <f t="shared" si="1"/>
        <v>599.95400000000006</v>
      </c>
    </row>
    <row r="84" spans="1:11" x14ac:dyDescent="0.25">
      <c r="A84">
        <v>10.8043</v>
      </c>
      <c r="B84">
        <v>0.43858900000000001</v>
      </c>
      <c r="C84">
        <v>306.77999999999997</v>
      </c>
      <c r="D84">
        <v>72.463800000000006</v>
      </c>
      <c r="F84">
        <v>16.2</v>
      </c>
      <c r="G84">
        <v>3.63409</v>
      </c>
      <c r="H84">
        <v>19.5609</v>
      </c>
      <c r="I84">
        <v>600.42399999999998</v>
      </c>
      <c r="J84">
        <v>4.1956300000000004</v>
      </c>
      <c r="K84">
        <f t="shared" si="1"/>
        <v>600.42399999999998</v>
      </c>
    </row>
    <row r="85" spans="1:11" x14ac:dyDescent="0.25">
      <c r="A85">
        <v>10.805400000000001</v>
      </c>
      <c r="B85">
        <v>0.43995600000000001</v>
      </c>
      <c r="C85">
        <v>306.88400000000001</v>
      </c>
      <c r="D85">
        <v>72.689499999999995</v>
      </c>
      <c r="F85">
        <v>16.399999999999999</v>
      </c>
      <c r="G85">
        <v>3.6367799999999999</v>
      </c>
      <c r="H85">
        <v>19.7867</v>
      </c>
      <c r="I85">
        <v>600.86900000000003</v>
      </c>
      <c r="J85">
        <v>4.2107299999999999</v>
      </c>
      <c r="K85">
        <f t="shared" si="1"/>
        <v>600.86900000000003</v>
      </c>
    </row>
    <row r="86" spans="1:11" x14ac:dyDescent="0.25">
      <c r="A86">
        <v>10.8058</v>
      </c>
      <c r="B86">
        <v>0.44075700000000001</v>
      </c>
      <c r="C86">
        <v>306.93799999999999</v>
      </c>
      <c r="D86">
        <v>72.822000000000003</v>
      </c>
      <c r="F86">
        <v>16.600000000000001</v>
      </c>
      <c r="G86">
        <v>3.6393300000000002</v>
      </c>
      <c r="H86">
        <v>20.012599999999999</v>
      </c>
      <c r="I86">
        <v>601.28899999999999</v>
      </c>
      <c r="J86">
        <v>4.2257400000000001</v>
      </c>
      <c r="K86">
        <f t="shared" si="1"/>
        <v>601.28899999999999</v>
      </c>
    </row>
    <row r="87" spans="1:11" x14ac:dyDescent="0.25">
      <c r="A87">
        <v>10.805899999999999</v>
      </c>
      <c r="B87">
        <v>0.44123400000000002</v>
      </c>
      <c r="C87">
        <v>306.964</v>
      </c>
      <c r="D87">
        <v>72.900600000000011</v>
      </c>
      <c r="F87">
        <v>16.8</v>
      </c>
      <c r="G87">
        <v>3.6417299999999999</v>
      </c>
      <c r="H87">
        <v>20.238499999999998</v>
      </c>
      <c r="I87">
        <v>601.68600000000004</v>
      </c>
      <c r="J87">
        <v>4.2406699999999997</v>
      </c>
      <c r="K87">
        <f t="shared" si="1"/>
        <v>601.68600000000004</v>
      </c>
    </row>
    <row r="88" spans="1:11" x14ac:dyDescent="0.25">
      <c r="A88">
        <v>10.8062</v>
      </c>
      <c r="B88">
        <v>0.44117000000000001</v>
      </c>
      <c r="C88">
        <v>306.81400000000002</v>
      </c>
      <c r="D88">
        <v>72.890100000000004</v>
      </c>
      <c r="F88">
        <v>17</v>
      </c>
      <c r="G88">
        <v>3.64398</v>
      </c>
      <c r="H88">
        <v>20.464500000000001</v>
      </c>
      <c r="I88">
        <v>602.05899999999997</v>
      </c>
      <c r="J88">
        <v>4.2555199999999997</v>
      </c>
      <c r="K88">
        <f t="shared" si="1"/>
        <v>602.05899999999997</v>
      </c>
    </row>
    <row r="89" spans="1:11" x14ac:dyDescent="0.25">
      <c r="A89">
        <v>10.8064</v>
      </c>
      <c r="B89">
        <v>0.44073200000000001</v>
      </c>
      <c r="C89">
        <v>306.745</v>
      </c>
      <c r="D89">
        <v>72.817800000000005</v>
      </c>
      <c r="F89">
        <v>17.2</v>
      </c>
      <c r="G89">
        <v>3.6461399999999999</v>
      </c>
      <c r="H89">
        <v>20.6905</v>
      </c>
      <c r="I89">
        <v>602.41499999999996</v>
      </c>
      <c r="J89">
        <v>4.2703199999999999</v>
      </c>
      <c r="K89">
        <f t="shared" si="1"/>
        <v>602.41499999999996</v>
      </c>
    </row>
    <row r="90" spans="1:11" x14ac:dyDescent="0.25">
      <c r="A90">
        <v>10.8066</v>
      </c>
      <c r="B90">
        <v>0.440274</v>
      </c>
      <c r="C90">
        <v>306.678</v>
      </c>
      <c r="D90">
        <v>72.742000000000004</v>
      </c>
      <c r="F90">
        <v>17.399999999999999</v>
      </c>
      <c r="G90">
        <v>3.64818</v>
      </c>
      <c r="H90">
        <v>20.916399999999999</v>
      </c>
      <c r="I90">
        <v>602.75200000000007</v>
      </c>
      <c r="J90">
        <v>4.2850799999999998</v>
      </c>
      <c r="K90">
        <f t="shared" si="1"/>
        <v>602.75200000000007</v>
      </c>
    </row>
    <row r="91" spans="1:11" x14ac:dyDescent="0.25">
      <c r="A91">
        <v>10.807</v>
      </c>
      <c r="B91">
        <v>0.43956299999999998</v>
      </c>
      <c r="C91">
        <v>306.57799999999997</v>
      </c>
      <c r="D91">
        <v>72.624600000000001</v>
      </c>
      <c r="F91">
        <v>17.600000000000001</v>
      </c>
      <c r="G91">
        <v>3.6501100000000002</v>
      </c>
      <c r="H91">
        <v>21.142099999999999</v>
      </c>
      <c r="I91">
        <v>603.072</v>
      </c>
      <c r="J91">
        <v>4.2997899999999998</v>
      </c>
      <c r="K91">
        <f t="shared" si="1"/>
        <v>603.072</v>
      </c>
    </row>
    <row r="92" spans="1:11" x14ac:dyDescent="0.25">
      <c r="A92">
        <v>10.807499999999999</v>
      </c>
      <c r="B92">
        <v>0.43846499999999999</v>
      </c>
      <c r="C92">
        <v>306.43099999999998</v>
      </c>
      <c r="D92">
        <v>72.443200000000004</v>
      </c>
      <c r="F92">
        <v>17.8</v>
      </c>
      <c r="G92">
        <v>3.6519400000000002</v>
      </c>
      <c r="H92">
        <v>21.367899999999999</v>
      </c>
      <c r="I92">
        <v>603.37400000000002</v>
      </c>
      <c r="J92">
        <v>4.3144600000000004</v>
      </c>
      <c r="K92">
        <f t="shared" si="1"/>
        <v>603.37400000000002</v>
      </c>
    </row>
    <row r="93" spans="1:11" x14ac:dyDescent="0.25">
      <c r="A93">
        <v>10.808299999999999</v>
      </c>
      <c r="B93">
        <v>0.436776</v>
      </c>
      <c r="C93">
        <v>306.21300000000002</v>
      </c>
      <c r="D93">
        <v>72.164100000000005</v>
      </c>
      <c r="F93">
        <v>18</v>
      </c>
      <c r="G93">
        <v>3.65368</v>
      </c>
      <c r="H93">
        <v>21.593800000000002</v>
      </c>
      <c r="I93">
        <v>603.66100000000006</v>
      </c>
      <c r="J93">
        <v>4.3291000000000004</v>
      </c>
      <c r="K93">
        <f t="shared" si="1"/>
        <v>603.66100000000006</v>
      </c>
    </row>
    <row r="94" spans="1:11" x14ac:dyDescent="0.25">
      <c r="A94">
        <v>10.8094</v>
      </c>
      <c r="B94">
        <v>0.43418499999999999</v>
      </c>
      <c r="C94">
        <v>305.88900000000001</v>
      </c>
      <c r="D94">
        <v>71.736100000000008</v>
      </c>
      <c r="F94">
        <v>18.2</v>
      </c>
      <c r="G94">
        <v>3.6553200000000001</v>
      </c>
      <c r="H94">
        <v>21.819600000000001</v>
      </c>
      <c r="I94">
        <v>603.93200000000002</v>
      </c>
      <c r="J94">
        <v>4.3437000000000001</v>
      </c>
      <c r="K94">
        <f t="shared" si="1"/>
        <v>603.93200000000002</v>
      </c>
    </row>
    <row r="95" spans="1:11" x14ac:dyDescent="0.25">
      <c r="A95">
        <v>10.811199999999999</v>
      </c>
      <c r="B95">
        <v>0.43023499999999998</v>
      </c>
      <c r="C95">
        <v>305.40600000000001</v>
      </c>
      <c r="D95">
        <v>71.083399999999997</v>
      </c>
      <c r="F95">
        <v>18.399999999999999</v>
      </c>
      <c r="G95">
        <v>3.65686</v>
      </c>
      <c r="H95">
        <v>22.045500000000001</v>
      </c>
      <c r="I95">
        <v>604.18600000000004</v>
      </c>
      <c r="J95">
        <v>4.3582700000000001</v>
      </c>
      <c r="K95">
        <f t="shared" si="1"/>
        <v>604.18600000000004</v>
      </c>
    </row>
    <row r="96" spans="1:11" x14ac:dyDescent="0.25">
      <c r="A96">
        <v>10.813800000000001</v>
      </c>
      <c r="B96">
        <v>0.42419200000000001</v>
      </c>
      <c r="C96">
        <v>304.68799999999999</v>
      </c>
      <c r="D96">
        <v>70.085100000000011</v>
      </c>
      <c r="F96">
        <v>18.600000000000001</v>
      </c>
      <c r="G96">
        <v>3.6583000000000001</v>
      </c>
      <c r="H96">
        <v>22.2713</v>
      </c>
      <c r="I96">
        <v>604.42399999999998</v>
      </c>
      <c r="J96">
        <v>4.3727999999999998</v>
      </c>
      <c r="K96">
        <f t="shared" si="1"/>
        <v>604.42399999999998</v>
      </c>
    </row>
    <row r="97" spans="1:11" x14ac:dyDescent="0.25">
      <c r="A97">
        <v>10.8177</v>
      </c>
      <c r="B97">
        <v>0.414939</v>
      </c>
      <c r="C97">
        <v>303.62099999999998</v>
      </c>
      <c r="D97">
        <v>68.556200000000004</v>
      </c>
      <c r="F97">
        <v>18.8</v>
      </c>
      <c r="G97">
        <v>3.65964</v>
      </c>
      <c r="H97">
        <v>22.497199999999999</v>
      </c>
      <c r="I97">
        <v>604.64599999999996</v>
      </c>
      <c r="J97">
        <v>4.3872999999999998</v>
      </c>
      <c r="K97">
        <f t="shared" si="1"/>
        <v>604.64599999999996</v>
      </c>
    </row>
    <row r="98" spans="1:11" x14ac:dyDescent="0.25">
      <c r="A98">
        <v>10.823600000000001</v>
      </c>
      <c r="B98">
        <v>0.40075899999999998</v>
      </c>
      <c r="C98">
        <v>302.03300000000002</v>
      </c>
      <c r="D98">
        <v>66.213499999999996</v>
      </c>
      <c r="F98">
        <v>19</v>
      </c>
      <c r="G98">
        <v>3.6608999999999998</v>
      </c>
      <c r="H98">
        <v>22.722999999999999</v>
      </c>
      <c r="I98">
        <v>604.85500000000002</v>
      </c>
      <c r="J98">
        <v>4.4017600000000003</v>
      </c>
      <c r="K98">
        <f t="shared" si="1"/>
        <v>604.85500000000002</v>
      </c>
    </row>
    <row r="99" spans="1:11" x14ac:dyDescent="0.25">
      <c r="A99">
        <v>10.8324</v>
      </c>
      <c r="B99">
        <v>0.37896800000000003</v>
      </c>
      <c r="C99">
        <v>299.66300000000001</v>
      </c>
      <c r="D99">
        <v>62.614000000000004</v>
      </c>
      <c r="F99">
        <v>19.2</v>
      </c>
      <c r="G99">
        <v>3.6620699999999999</v>
      </c>
      <c r="H99">
        <v>22.948899999999998</v>
      </c>
      <c r="I99">
        <v>605.04700000000003</v>
      </c>
      <c r="J99">
        <v>4.4161999999999999</v>
      </c>
      <c r="K99">
        <f t="shared" si="1"/>
        <v>605.04700000000003</v>
      </c>
    </row>
    <row r="100" spans="1:11" x14ac:dyDescent="0.25">
      <c r="A100">
        <v>10.845599999999999</v>
      </c>
      <c r="B100">
        <v>0.34528999999999999</v>
      </c>
      <c r="C100">
        <v>296.12099999999998</v>
      </c>
      <c r="D100">
        <v>57.048699999999997</v>
      </c>
      <c r="F100">
        <v>19.399999999999999</v>
      </c>
      <c r="G100">
        <v>3.66316</v>
      </c>
      <c r="H100">
        <v>23.174800000000001</v>
      </c>
      <c r="I100">
        <v>605.22699999999998</v>
      </c>
      <c r="J100">
        <v>4.4306099999999997</v>
      </c>
      <c r="K100">
        <f t="shared" si="1"/>
        <v>605.22699999999998</v>
      </c>
    </row>
    <row r="101" spans="1:11" x14ac:dyDescent="0.25">
      <c r="A101">
        <v>10.865399999999999</v>
      </c>
      <c r="B101">
        <v>0.29269400000000001</v>
      </c>
      <c r="C101">
        <v>290.81700000000001</v>
      </c>
      <c r="D101">
        <v>48.358900000000006</v>
      </c>
      <c r="F101">
        <v>19.600000000000001</v>
      </c>
      <c r="G101">
        <v>3.66418</v>
      </c>
      <c r="H101">
        <v>23.400500000000001</v>
      </c>
      <c r="I101">
        <v>605.39599999999996</v>
      </c>
      <c r="J101">
        <v>4.44503</v>
      </c>
      <c r="K101">
        <f t="shared" si="1"/>
        <v>605.39599999999996</v>
      </c>
    </row>
    <row r="102" spans="1:11" x14ac:dyDescent="0.25">
      <c r="A102">
        <v>10.895099999999999</v>
      </c>
      <c r="B102">
        <v>0.20924999999999999</v>
      </c>
      <c r="C102">
        <v>282.85899999999998</v>
      </c>
      <c r="D102">
        <v>34.572300000000006</v>
      </c>
      <c r="F102">
        <v>19.8</v>
      </c>
      <c r="G102">
        <v>3.6651400000000001</v>
      </c>
      <c r="H102">
        <v>23.626300000000001</v>
      </c>
      <c r="I102">
        <v>605.55500000000006</v>
      </c>
      <c r="J102">
        <v>4.4594399999999998</v>
      </c>
      <c r="K102">
        <f t="shared" si="1"/>
        <v>605.55500000000006</v>
      </c>
    </row>
    <row r="103" spans="1:11" x14ac:dyDescent="0.25">
      <c r="A103">
        <v>10.9397</v>
      </c>
      <c r="B103">
        <v>7.4175699999999997E-2</v>
      </c>
      <c r="C103">
        <v>270.86599999999999</v>
      </c>
      <c r="D103">
        <v>12.255600000000001</v>
      </c>
      <c r="F103">
        <v>20</v>
      </c>
      <c r="G103">
        <v>3.6660200000000001</v>
      </c>
      <c r="H103">
        <v>23.8522</v>
      </c>
      <c r="I103">
        <v>605.69900000000007</v>
      </c>
      <c r="J103">
        <v>4.4738199999999999</v>
      </c>
      <c r="K103">
        <f t="shared" si="1"/>
        <v>605.69900000000007</v>
      </c>
    </row>
    <row r="104" spans="1:11" x14ac:dyDescent="0.25">
      <c r="A104">
        <v>11.006600000000001</v>
      </c>
      <c r="B104">
        <v>-0.14007</v>
      </c>
      <c r="C104">
        <v>252.572</v>
      </c>
      <c r="D104">
        <v>-23.142400000000002</v>
      </c>
      <c r="F104">
        <v>20.2</v>
      </c>
      <c r="G104">
        <v>3.6668099999999999</v>
      </c>
      <c r="H104">
        <v>24.077999999999999</v>
      </c>
      <c r="I104">
        <v>605.83100000000002</v>
      </c>
      <c r="J104">
        <v>4.4881799999999998</v>
      </c>
      <c r="K104">
        <f t="shared" si="1"/>
        <v>605.83100000000002</v>
      </c>
    </row>
    <row r="105" spans="1:11" x14ac:dyDescent="0.25">
      <c r="A105">
        <v>11.023300000000001</v>
      </c>
      <c r="B105">
        <v>-0.18421399999999999</v>
      </c>
      <c r="C105">
        <v>247.86</v>
      </c>
      <c r="D105">
        <v>-30.4358</v>
      </c>
      <c r="F105">
        <v>20.399999999999999</v>
      </c>
      <c r="G105">
        <v>3.6675300000000002</v>
      </c>
      <c r="H105">
        <v>24.303799999999999</v>
      </c>
      <c r="I105">
        <v>605.94900000000007</v>
      </c>
      <c r="J105">
        <v>4.5025300000000001</v>
      </c>
      <c r="K105">
        <f t="shared" si="1"/>
        <v>605.94900000000007</v>
      </c>
    </row>
    <row r="106" spans="1:11" x14ac:dyDescent="0.25">
      <c r="A106">
        <v>11.04</v>
      </c>
      <c r="B106">
        <v>-0.212863</v>
      </c>
      <c r="C106">
        <v>243.041</v>
      </c>
      <c r="D106">
        <v>-35.169199999999996</v>
      </c>
      <c r="F106">
        <v>20.6</v>
      </c>
      <c r="G106">
        <v>3.6681699999999999</v>
      </c>
      <c r="H106">
        <v>24.529699999999998</v>
      </c>
      <c r="I106">
        <v>606.05500000000006</v>
      </c>
      <c r="J106">
        <v>4.5168600000000003</v>
      </c>
      <c r="K106">
        <f t="shared" si="1"/>
        <v>606.05500000000006</v>
      </c>
    </row>
    <row r="107" spans="1:11" x14ac:dyDescent="0.25">
      <c r="A107">
        <v>11.056699999999999</v>
      </c>
      <c r="B107">
        <v>-0.22812399999999999</v>
      </c>
      <c r="C107">
        <v>238.09899999999999</v>
      </c>
      <c r="D107">
        <v>-37.6907</v>
      </c>
      <c r="F107">
        <v>20.8</v>
      </c>
      <c r="G107">
        <v>3.6687500000000002</v>
      </c>
      <c r="H107">
        <v>24.755500000000001</v>
      </c>
      <c r="I107">
        <v>606.15100000000007</v>
      </c>
      <c r="J107">
        <v>4.5311899999999996</v>
      </c>
      <c r="K107">
        <f t="shared" si="1"/>
        <v>606.15100000000007</v>
      </c>
    </row>
    <row r="108" spans="1:11" x14ac:dyDescent="0.25">
      <c r="A108">
        <v>11.073499999999999</v>
      </c>
      <c r="B108">
        <v>-0.23696500000000001</v>
      </c>
      <c r="C108">
        <v>233.09899999999999</v>
      </c>
      <c r="D108">
        <v>-39.151300000000006</v>
      </c>
      <c r="F108">
        <v>21</v>
      </c>
      <c r="G108">
        <v>3.6692800000000001</v>
      </c>
      <c r="H108">
        <v>24.981400000000001</v>
      </c>
      <c r="I108">
        <v>606.23800000000006</v>
      </c>
      <c r="J108">
        <v>4.5455300000000003</v>
      </c>
      <c r="K108">
        <f t="shared" si="1"/>
        <v>606.23800000000006</v>
      </c>
    </row>
    <row r="109" spans="1:11" x14ac:dyDescent="0.25">
      <c r="A109">
        <v>11.090199999999999</v>
      </c>
      <c r="B109">
        <v>-0.244117</v>
      </c>
      <c r="C109">
        <v>228.09</v>
      </c>
      <c r="D109">
        <v>-40.332999999999998</v>
      </c>
      <c r="F109">
        <v>21.2</v>
      </c>
      <c r="G109">
        <v>3.66974</v>
      </c>
      <c r="H109">
        <v>25.2072</v>
      </c>
      <c r="I109">
        <v>606.31399999999996</v>
      </c>
      <c r="J109">
        <v>4.5598599999999996</v>
      </c>
      <c r="K109">
        <f t="shared" si="1"/>
        <v>606.31399999999996</v>
      </c>
    </row>
    <row r="110" spans="1:11" x14ac:dyDescent="0.25">
      <c r="A110">
        <v>11.1069</v>
      </c>
      <c r="B110">
        <v>-0.25065599999999999</v>
      </c>
      <c r="C110">
        <v>223.08</v>
      </c>
      <c r="D110">
        <v>-41.413300000000007</v>
      </c>
      <c r="F110">
        <v>21.4</v>
      </c>
      <c r="G110">
        <v>3.67014</v>
      </c>
      <c r="H110">
        <v>25.4331</v>
      </c>
      <c r="I110">
        <v>606.38</v>
      </c>
      <c r="J110">
        <v>4.5741899999999998</v>
      </c>
      <c r="K110">
        <f t="shared" si="1"/>
        <v>606.38</v>
      </c>
    </row>
    <row r="111" spans="1:11" x14ac:dyDescent="0.25">
      <c r="A111">
        <v>11.1236</v>
      </c>
      <c r="B111">
        <v>-0.25619900000000001</v>
      </c>
      <c r="C111">
        <v>218.06800000000001</v>
      </c>
      <c r="D111">
        <v>-42.3292</v>
      </c>
      <c r="F111">
        <v>21.6</v>
      </c>
      <c r="G111">
        <v>3.6705000000000001</v>
      </c>
      <c r="H111">
        <v>25.658899999999999</v>
      </c>
      <c r="I111">
        <v>606.43899999999996</v>
      </c>
      <c r="J111">
        <v>4.5885300000000004</v>
      </c>
      <c r="K111">
        <f t="shared" si="1"/>
        <v>606.43899999999996</v>
      </c>
    </row>
    <row r="112" spans="1:11" x14ac:dyDescent="0.25">
      <c r="A112">
        <v>11.1403</v>
      </c>
      <c r="B112">
        <v>-0.26058199999999998</v>
      </c>
      <c r="C112">
        <v>213.054</v>
      </c>
      <c r="D112">
        <v>-43.053400000000003</v>
      </c>
      <c r="F112">
        <v>21.8</v>
      </c>
      <c r="G112">
        <v>3.6707999999999998</v>
      </c>
      <c r="H112">
        <v>25.884899999999998</v>
      </c>
      <c r="I112">
        <v>606.48900000000003</v>
      </c>
      <c r="J112">
        <v>4.6028799999999999</v>
      </c>
      <c r="K112">
        <f t="shared" si="1"/>
        <v>606.48900000000003</v>
      </c>
    </row>
    <row r="113" spans="1:11" x14ac:dyDescent="0.25">
      <c r="A113">
        <v>11.1571</v>
      </c>
      <c r="B113">
        <v>-0.26426500000000003</v>
      </c>
      <c r="C113">
        <v>208.04300000000001</v>
      </c>
      <c r="D113">
        <v>-43.661800000000007</v>
      </c>
      <c r="F113">
        <v>22</v>
      </c>
      <c r="G113">
        <v>3.6710500000000001</v>
      </c>
      <c r="H113">
        <v>26.111000000000001</v>
      </c>
      <c r="I113">
        <v>606.53</v>
      </c>
      <c r="J113">
        <v>4.6172399999999998</v>
      </c>
      <c r="K113">
        <f t="shared" si="1"/>
        <v>606.53</v>
      </c>
    </row>
    <row r="114" spans="1:11" x14ac:dyDescent="0.25">
      <c r="A114">
        <v>11.1738</v>
      </c>
      <c r="B114">
        <v>-0.26764900000000003</v>
      </c>
      <c r="C114">
        <v>203.03299999999999</v>
      </c>
      <c r="D114">
        <v>-44.2209</v>
      </c>
      <c r="F114">
        <v>22.2</v>
      </c>
      <c r="G114">
        <v>3.6712400000000001</v>
      </c>
      <c r="H114">
        <v>26.3399</v>
      </c>
      <c r="I114">
        <v>606.56299999999999</v>
      </c>
      <c r="J114">
        <v>4.6318000000000001</v>
      </c>
      <c r="K114">
        <f t="shared" si="1"/>
        <v>606.56299999999999</v>
      </c>
    </row>
    <row r="115" spans="1:11" x14ac:dyDescent="0.25">
      <c r="A115">
        <v>11.1905</v>
      </c>
      <c r="B115">
        <v>-0.27110299999999998</v>
      </c>
      <c r="C115">
        <v>198.02799999999999</v>
      </c>
      <c r="D115">
        <v>-44.791699999999999</v>
      </c>
      <c r="F115">
        <v>22.25</v>
      </c>
      <c r="G115">
        <v>3.6712799999999999</v>
      </c>
      <c r="H115">
        <v>26.3964</v>
      </c>
      <c r="I115">
        <v>606.56899999999996</v>
      </c>
      <c r="J115">
        <v>4.6353900000000001</v>
      </c>
      <c r="K115">
        <f t="shared" si="1"/>
        <v>606.56899999999996</v>
      </c>
    </row>
    <row r="116" spans="1:11" x14ac:dyDescent="0.25">
      <c r="A116">
        <v>11.2072</v>
      </c>
      <c r="B116">
        <v>-0.27422600000000003</v>
      </c>
      <c r="C116">
        <v>193.02600000000001</v>
      </c>
      <c r="D116">
        <v>-45.307699999999997</v>
      </c>
      <c r="F116">
        <v>22.3</v>
      </c>
      <c r="G116">
        <v>3.6713200000000001</v>
      </c>
      <c r="H116">
        <v>26.4529</v>
      </c>
      <c r="I116">
        <v>606.57500000000005</v>
      </c>
      <c r="J116">
        <v>4.6389800000000001</v>
      </c>
      <c r="K116">
        <f t="shared" si="1"/>
        <v>606.57500000000005</v>
      </c>
    </row>
    <row r="117" spans="1:11" x14ac:dyDescent="0.25">
      <c r="A117">
        <v>11.224</v>
      </c>
      <c r="B117">
        <v>-0.27711200000000002</v>
      </c>
      <c r="C117">
        <v>188.03</v>
      </c>
      <c r="D117">
        <v>-45.784400000000005</v>
      </c>
      <c r="F117">
        <v>22.35</v>
      </c>
      <c r="G117">
        <v>3.6713499999999999</v>
      </c>
      <c r="H117">
        <v>26.509399999999999</v>
      </c>
      <c r="I117">
        <v>606.58000000000004</v>
      </c>
      <c r="J117">
        <v>4.6425799999999997</v>
      </c>
      <c r="K117">
        <f t="shared" si="1"/>
        <v>606.58000000000004</v>
      </c>
    </row>
    <row r="118" spans="1:11" x14ac:dyDescent="0.25">
      <c r="A118">
        <v>11.2407</v>
      </c>
      <c r="B118">
        <v>-0.28026400000000001</v>
      </c>
      <c r="C118">
        <v>183.03700000000001</v>
      </c>
      <c r="D118">
        <v>-46.305199999999999</v>
      </c>
      <c r="F118">
        <v>22.4</v>
      </c>
      <c r="G118">
        <v>3.6713800000000001</v>
      </c>
      <c r="H118">
        <v>26.565899999999999</v>
      </c>
      <c r="I118">
        <v>606.58500000000004</v>
      </c>
      <c r="J118">
        <v>4.6461699999999997</v>
      </c>
      <c r="K118">
        <f t="shared" si="1"/>
        <v>606.58500000000004</v>
      </c>
    </row>
    <row r="119" spans="1:11" x14ac:dyDescent="0.25">
      <c r="A119">
        <v>11.257400000000001</v>
      </c>
      <c r="B119">
        <v>-0.28361700000000001</v>
      </c>
      <c r="C119">
        <v>178.047</v>
      </c>
      <c r="D119">
        <v>-46.859200000000001</v>
      </c>
      <c r="F119">
        <v>22.45</v>
      </c>
      <c r="G119">
        <v>3.6714000000000002</v>
      </c>
      <c r="H119">
        <v>26.622399999999999</v>
      </c>
      <c r="I119">
        <v>606.58900000000006</v>
      </c>
      <c r="J119">
        <v>4.6497700000000002</v>
      </c>
      <c r="K119">
        <f t="shared" si="1"/>
        <v>606.58900000000006</v>
      </c>
    </row>
    <row r="120" spans="1:11" x14ac:dyDescent="0.25">
      <c r="A120">
        <v>11.274100000000001</v>
      </c>
      <c r="B120">
        <v>-0.28710999999999998</v>
      </c>
      <c r="C120">
        <v>173.05799999999999</v>
      </c>
      <c r="D120">
        <v>-47.436300000000003</v>
      </c>
      <c r="F120">
        <v>22.5</v>
      </c>
      <c r="G120">
        <v>3.67143</v>
      </c>
      <c r="H120">
        <v>26.678899999999999</v>
      </c>
      <c r="I120">
        <v>606.59299999999996</v>
      </c>
      <c r="J120">
        <v>4.6533699999999998</v>
      </c>
      <c r="K120">
        <f t="shared" si="1"/>
        <v>606.59299999999996</v>
      </c>
    </row>
    <row r="121" spans="1:11" x14ac:dyDescent="0.25">
      <c r="A121">
        <v>11.290800000000001</v>
      </c>
      <c r="B121">
        <v>-0.29077199999999997</v>
      </c>
      <c r="C121">
        <v>168.07</v>
      </c>
      <c r="D121">
        <v>-48.041400000000003</v>
      </c>
      <c r="F121">
        <v>22.55</v>
      </c>
      <c r="G121">
        <v>3.6714500000000001</v>
      </c>
      <c r="H121">
        <v>26.735499999999998</v>
      </c>
      <c r="I121">
        <v>606.6</v>
      </c>
      <c r="J121">
        <v>4.6569599999999998</v>
      </c>
      <c r="K121">
        <f t="shared" si="1"/>
        <v>606.6</v>
      </c>
    </row>
    <row r="122" spans="1:11" x14ac:dyDescent="0.25">
      <c r="A122">
        <v>11.307600000000001</v>
      </c>
      <c r="B122">
        <v>-0.29460399999999998</v>
      </c>
      <c r="C122">
        <v>163.084</v>
      </c>
      <c r="D122">
        <v>-48.674500000000002</v>
      </c>
      <c r="F122">
        <v>22.6</v>
      </c>
      <c r="G122">
        <v>3.6714600000000002</v>
      </c>
      <c r="H122">
        <v>26.792000000000002</v>
      </c>
      <c r="I122">
        <v>606.59900000000005</v>
      </c>
      <c r="J122">
        <v>4.6605699999999999</v>
      </c>
      <c r="K122">
        <f t="shared" si="1"/>
        <v>606.59900000000005</v>
      </c>
    </row>
    <row r="123" spans="1:11" x14ac:dyDescent="0.25">
      <c r="A123">
        <v>11.324299999999999</v>
      </c>
      <c r="B123">
        <v>-0.29858200000000001</v>
      </c>
      <c r="C123">
        <v>158.09899999999999</v>
      </c>
      <c r="D123">
        <v>-49.331800000000001</v>
      </c>
      <c r="F123">
        <v>22.65</v>
      </c>
      <c r="G123">
        <v>3.6714799999999999</v>
      </c>
      <c r="H123">
        <v>26.848500000000001</v>
      </c>
      <c r="I123">
        <v>606.60199999999998</v>
      </c>
      <c r="J123">
        <v>4.6641700000000004</v>
      </c>
      <c r="K123">
        <f t="shared" si="1"/>
        <v>606.60199999999998</v>
      </c>
    </row>
    <row r="124" spans="1:11" x14ac:dyDescent="0.25">
      <c r="A124">
        <v>11.340999999999999</v>
      </c>
      <c r="B124">
        <v>-0.30289300000000002</v>
      </c>
      <c r="C124">
        <v>153.11500000000001</v>
      </c>
      <c r="D124">
        <v>-50.044000000000004</v>
      </c>
      <c r="F124">
        <v>22.7</v>
      </c>
      <c r="G124">
        <v>3.6715</v>
      </c>
      <c r="H124">
        <v>26.905100000000001</v>
      </c>
      <c r="I124">
        <v>606.60599999999999</v>
      </c>
      <c r="J124">
        <v>4.6677900000000001</v>
      </c>
      <c r="K124">
        <f t="shared" si="1"/>
        <v>606.60599999999999</v>
      </c>
    </row>
    <row r="125" spans="1:11" x14ac:dyDescent="0.25">
      <c r="A125">
        <v>11.357699999999999</v>
      </c>
      <c r="B125">
        <v>-0.30745400000000001</v>
      </c>
      <c r="C125">
        <v>148.131</v>
      </c>
      <c r="D125">
        <v>-50.797600000000003</v>
      </c>
      <c r="F125">
        <v>22.75</v>
      </c>
      <c r="G125">
        <v>3.6715100000000001</v>
      </c>
      <c r="H125">
        <v>26.962399999999999</v>
      </c>
      <c r="I125">
        <v>606.60699999999997</v>
      </c>
      <c r="J125">
        <v>4.6714500000000001</v>
      </c>
      <c r="K125">
        <f t="shared" si="1"/>
        <v>606.60699999999997</v>
      </c>
    </row>
    <row r="126" spans="1:11" x14ac:dyDescent="0.25">
      <c r="A126">
        <v>11.3744</v>
      </c>
      <c r="B126">
        <v>-0.31220199999999998</v>
      </c>
      <c r="C126">
        <v>143.14500000000001</v>
      </c>
      <c r="D126">
        <v>-51.582000000000001</v>
      </c>
      <c r="F126">
        <v>22.762499999999999</v>
      </c>
      <c r="G126">
        <v>3.6715100000000001</v>
      </c>
      <c r="H126">
        <v>26.976600000000001</v>
      </c>
      <c r="I126">
        <v>606.60800000000006</v>
      </c>
      <c r="J126">
        <v>4.6723400000000002</v>
      </c>
      <c r="K126">
        <f t="shared" si="1"/>
        <v>606.60800000000006</v>
      </c>
    </row>
    <row r="127" spans="1:11" x14ac:dyDescent="0.25">
      <c r="A127">
        <v>11.3912</v>
      </c>
      <c r="B127">
        <v>-0.317112</v>
      </c>
      <c r="C127">
        <v>138.15899999999999</v>
      </c>
      <c r="D127">
        <v>-52.393300000000004</v>
      </c>
      <c r="F127">
        <v>22.774999999999999</v>
      </c>
      <c r="G127">
        <v>3.6715100000000001</v>
      </c>
      <c r="H127">
        <v>26.9907</v>
      </c>
      <c r="I127">
        <v>606.60800000000006</v>
      </c>
      <c r="J127">
        <v>4.6732500000000003</v>
      </c>
      <c r="K127">
        <f t="shared" si="1"/>
        <v>606.60800000000006</v>
      </c>
    </row>
    <row r="128" spans="1:11" x14ac:dyDescent="0.25">
      <c r="A128">
        <v>11.4079</v>
      </c>
      <c r="B128">
        <v>-0.32230599999999998</v>
      </c>
      <c r="C128">
        <v>133.172</v>
      </c>
      <c r="D128">
        <v>-53.2515</v>
      </c>
      <c r="F128">
        <v>22.787500000000001</v>
      </c>
      <c r="G128">
        <v>3.6715200000000001</v>
      </c>
      <c r="H128">
        <v>27.004799999999999</v>
      </c>
      <c r="I128">
        <v>606.60800000000006</v>
      </c>
      <c r="J128">
        <v>4.67415</v>
      </c>
      <c r="K128">
        <f t="shared" si="1"/>
        <v>606.60800000000006</v>
      </c>
    </row>
    <row r="129" spans="1:11" x14ac:dyDescent="0.25">
      <c r="A129">
        <v>11.4246</v>
      </c>
      <c r="B129">
        <v>-0.32783200000000001</v>
      </c>
      <c r="C129">
        <v>128.185</v>
      </c>
      <c r="D129">
        <v>-54.164300000000004</v>
      </c>
      <c r="F129">
        <v>22.8</v>
      </c>
      <c r="G129">
        <v>3.6715200000000001</v>
      </c>
      <c r="H129">
        <v>27.018899999999999</v>
      </c>
      <c r="I129">
        <v>606.60900000000004</v>
      </c>
      <c r="J129">
        <v>4.6750499999999997</v>
      </c>
      <c r="K129">
        <f t="shared" si="1"/>
        <v>606.60900000000004</v>
      </c>
    </row>
    <row r="130" spans="1:11" x14ac:dyDescent="0.25">
      <c r="A130">
        <v>11.4413</v>
      </c>
      <c r="B130">
        <v>-0.33370699999999998</v>
      </c>
      <c r="C130">
        <v>123.19799999999999</v>
      </c>
      <c r="D130">
        <v>-55.135100000000001</v>
      </c>
      <c r="F130">
        <v>22.8125</v>
      </c>
      <c r="G130">
        <v>3.6715200000000001</v>
      </c>
      <c r="H130">
        <v>27.033000000000001</v>
      </c>
      <c r="I130">
        <v>606.60900000000004</v>
      </c>
      <c r="J130">
        <v>4.6759500000000003</v>
      </c>
      <c r="K130">
        <f t="shared" si="1"/>
        <v>606.60900000000004</v>
      </c>
    </row>
    <row r="131" spans="1:11" x14ac:dyDescent="0.25">
      <c r="A131">
        <v>11.458</v>
      </c>
      <c r="B131">
        <v>-0.33989999999999998</v>
      </c>
      <c r="C131">
        <v>118.21</v>
      </c>
      <c r="D131">
        <v>-56.158300000000004</v>
      </c>
      <c r="F131">
        <v>22.824999999999999</v>
      </c>
      <c r="G131">
        <v>3.6715200000000001</v>
      </c>
      <c r="H131">
        <v>27.0471</v>
      </c>
      <c r="I131">
        <v>606.60900000000004</v>
      </c>
      <c r="J131">
        <v>4.6768599999999996</v>
      </c>
      <c r="K131">
        <f t="shared" si="1"/>
        <v>606.60900000000004</v>
      </c>
    </row>
    <row r="132" spans="1:11" x14ac:dyDescent="0.25">
      <c r="A132">
        <v>11.4748</v>
      </c>
      <c r="B132">
        <v>-0.34639399999999998</v>
      </c>
      <c r="C132">
        <v>113.22199999999999</v>
      </c>
      <c r="D132">
        <v>-57.231200000000001</v>
      </c>
      <c r="F132">
        <v>22.837499999999999</v>
      </c>
      <c r="G132">
        <v>3.6715300000000002</v>
      </c>
      <c r="H132">
        <v>27.061299999999999</v>
      </c>
      <c r="I132">
        <v>606.61</v>
      </c>
      <c r="J132">
        <v>4.6777600000000001</v>
      </c>
      <c r="K132">
        <f t="shared" ref="K132:K195" si="2">+I132</f>
        <v>606.61</v>
      </c>
    </row>
    <row r="133" spans="1:11" x14ac:dyDescent="0.25">
      <c r="A133">
        <v>11.4915</v>
      </c>
      <c r="B133">
        <v>-0.3533</v>
      </c>
      <c r="C133">
        <v>108.23399999999999</v>
      </c>
      <c r="D133">
        <v>-58.372199999999999</v>
      </c>
      <c r="F133">
        <v>22.85</v>
      </c>
      <c r="G133">
        <v>3.6715300000000002</v>
      </c>
      <c r="H133">
        <v>27.075399999999998</v>
      </c>
      <c r="I133">
        <v>606.61</v>
      </c>
      <c r="J133">
        <v>4.6786599999999998</v>
      </c>
      <c r="K133">
        <f t="shared" si="2"/>
        <v>606.61</v>
      </c>
    </row>
    <row r="134" spans="1:11" x14ac:dyDescent="0.25">
      <c r="A134">
        <v>11.5082</v>
      </c>
      <c r="B134">
        <v>-0.36065900000000001</v>
      </c>
      <c r="C134">
        <v>103.245</v>
      </c>
      <c r="D134">
        <v>-59.588000000000001</v>
      </c>
      <c r="F134">
        <v>22.862500000000001</v>
      </c>
      <c r="G134">
        <v>3.6715300000000002</v>
      </c>
      <c r="H134">
        <v>27.089500000000001</v>
      </c>
      <c r="I134">
        <v>606.61</v>
      </c>
      <c r="J134">
        <v>4.67957</v>
      </c>
      <c r="K134">
        <f t="shared" si="2"/>
        <v>606.61</v>
      </c>
    </row>
    <row r="135" spans="1:11" x14ac:dyDescent="0.25">
      <c r="A135">
        <v>11.524900000000001</v>
      </c>
      <c r="B135">
        <v>-0.36843599999999999</v>
      </c>
      <c r="C135">
        <v>98.256900000000002</v>
      </c>
      <c r="D135">
        <v>-60.872900000000001</v>
      </c>
      <c r="F135">
        <v>22.875</v>
      </c>
      <c r="G135">
        <v>3.6715300000000002</v>
      </c>
      <c r="H135">
        <v>27.1036</v>
      </c>
      <c r="I135">
        <v>606.61</v>
      </c>
      <c r="J135">
        <v>4.6804699999999997</v>
      </c>
      <c r="K135">
        <f t="shared" si="2"/>
        <v>606.61</v>
      </c>
    </row>
    <row r="136" spans="1:11" x14ac:dyDescent="0.25">
      <c r="A136">
        <v>11.541600000000001</v>
      </c>
      <c r="B136">
        <v>-0.376695</v>
      </c>
      <c r="C136">
        <v>93.268600000000006</v>
      </c>
      <c r="D136">
        <v>-62.2376</v>
      </c>
      <c r="F136">
        <v>22.8813</v>
      </c>
      <c r="G136">
        <v>3.6715499999999999</v>
      </c>
      <c r="H136">
        <v>27.110700000000001</v>
      </c>
      <c r="I136">
        <v>606.61300000000006</v>
      </c>
      <c r="J136">
        <v>4.68093</v>
      </c>
      <c r="K136">
        <f t="shared" si="2"/>
        <v>606.61300000000006</v>
      </c>
    </row>
    <row r="137" spans="1:11" x14ac:dyDescent="0.25">
      <c r="A137">
        <v>11.558400000000001</v>
      </c>
      <c r="B137">
        <v>-0.385434</v>
      </c>
      <c r="C137">
        <v>88.279499999999999</v>
      </c>
      <c r="D137">
        <v>-63.6815</v>
      </c>
      <c r="F137">
        <v>22.887499999999999</v>
      </c>
      <c r="G137">
        <v>3.6715399999999998</v>
      </c>
      <c r="H137">
        <v>27.117799999999999</v>
      </c>
      <c r="I137">
        <v>606.61199999999997</v>
      </c>
      <c r="J137">
        <v>4.6813799999999999</v>
      </c>
      <c r="K137">
        <f t="shared" si="2"/>
        <v>606.61199999999997</v>
      </c>
    </row>
    <row r="138" spans="1:11" x14ac:dyDescent="0.25">
      <c r="A138">
        <v>11.575100000000001</v>
      </c>
      <c r="B138">
        <v>-0.39472800000000002</v>
      </c>
      <c r="C138">
        <v>83.289699999999996</v>
      </c>
      <c r="D138">
        <v>-65.216999999999999</v>
      </c>
      <c r="F138">
        <v>22.893699999999999</v>
      </c>
      <c r="G138">
        <v>3.6715499999999999</v>
      </c>
      <c r="H138">
        <v>27.1249</v>
      </c>
      <c r="I138">
        <v>606.61300000000006</v>
      </c>
      <c r="J138">
        <v>4.6818299999999997</v>
      </c>
      <c r="K138">
        <f t="shared" si="2"/>
        <v>606.61300000000006</v>
      </c>
    </row>
    <row r="139" spans="1:11" x14ac:dyDescent="0.25">
      <c r="A139">
        <v>11.591799999999999</v>
      </c>
      <c r="B139">
        <v>-0.40465899999999999</v>
      </c>
      <c r="C139">
        <v>78.299599999999998</v>
      </c>
      <c r="D139">
        <v>-66.857600000000005</v>
      </c>
      <c r="F139">
        <v>22.9</v>
      </c>
      <c r="G139">
        <v>3.6715399999999998</v>
      </c>
      <c r="H139">
        <v>27.131900000000002</v>
      </c>
      <c r="I139">
        <v>606.61199999999997</v>
      </c>
      <c r="J139">
        <v>4.6822800000000004</v>
      </c>
      <c r="K139">
        <f t="shared" si="2"/>
        <v>606.61199999999997</v>
      </c>
    </row>
    <row r="140" spans="1:11" x14ac:dyDescent="0.25">
      <c r="A140">
        <v>11.608499999999999</v>
      </c>
      <c r="B140">
        <v>-0.415273</v>
      </c>
      <c r="C140">
        <v>73.308999999999997</v>
      </c>
      <c r="D140">
        <v>-68.6113</v>
      </c>
      <c r="F140">
        <v>22.906199999999998</v>
      </c>
      <c r="G140">
        <v>3.6715499999999999</v>
      </c>
      <c r="H140">
        <v>27.138999999999999</v>
      </c>
      <c r="I140">
        <v>606.61400000000003</v>
      </c>
      <c r="J140">
        <v>4.6827300000000003</v>
      </c>
      <c r="K140">
        <f t="shared" si="2"/>
        <v>606.61400000000003</v>
      </c>
    </row>
    <row r="141" spans="1:11" x14ac:dyDescent="0.25">
      <c r="A141">
        <v>11.633599999999999</v>
      </c>
      <c r="B141">
        <v>-0.432612</v>
      </c>
      <c r="C141">
        <v>65.822699999999998</v>
      </c>
      <c r="D141">
        <v>-71.476100000000002</v>
      </c>
      <c r="F141">
        <v>22.912500000000001</v>
      </c>
      <c r="G141">
        <v>3.6715399999999998</v>
      </c>
      <c r="H141">
        <v>27.146000000000001</v>
      </c>
      <c r="I141">
        <v>606.61199999999997</v>
      </c>
      <c r="J141">
        <v>4.6831800000000001</v>
      </c>
      <c r="K141">
        <f t="shared" si="2"/>
        <v>606.61199999999997</v>
      </c>
    </row>
    <row r="142" spans="1:11" x14ac:dyDescent="0.25">
      <c r="A142">
        <v>11.6587</v>
      </c>
      <c r="B142">
        <v>-0.45193899999999998</v>
      </c>
      <c r="C142">
        <v>58.3352</v>
      </c>
      <c r="D142">
        <v>-74.669399999999996</v>
      </c>
      <c r="F142">
        <v>22.918800000000001</v>
      </c>
      <c r="G142">
        <v>3.6715499999999999</v>
      </c>
      <c r="H142">
        <v>27.153099999999998</v>
      </c>
      <c r="I142">
        <v>606.61400000000003</v>
      </c>
      <c r="J142">
        <v>4.6836399999999996</v>
      </c>
      <c r="K142">
        <f t="shared" si="2"/>
        <v>606.61400000000003</v>
      </c>
    </row>
    <row r="143" spans="1:11" x14ac:dyDescent="0.25">
      <c r="A143">
        <v>11.6838</v>
      </c>
      <c r="B143">
        <v>-0.47358099999999997</v>
      </c>
      <c r="C143">
        <v>50.848500000000001</v>
      </c>
      <c r="D143">
        <v>-78.245000000000005</v>
      </c>
      <c r="F143">
        <v>22.925000000000001</v>
      </c>
      <c r="G143">
        <v>3.6715399999999998</v>
      </c>
      <c r="H143">
        <v>27.1602</v>
      </c>
      <c r="I143">
        <v>606.61300000000006</v>
      </c>
      <c r="J143">
        <v>4.6840900000000003</v>
      </c>
      <c r="K143">
        <f t="shared" si="2"/>
        <v>606.61300000000006</v>
      </c>
    </row>
    <row r="144" spans="1:11" x14ac:dyDescent="0.25">
      <c r="A144">
        <v>11.7088</v>
      </c>
      <c r="B144">
        <v>-0.49786900000000001</v>
      </c>
      <c r="C144">
        <v>43.362400000000001</v>
      </c>
      <c r="D144">
        <v>-82.257899999999992</v>
      </c>
      <c r="F144">
        <v>22.9312</v>
      </c>
      <c r="G144">
        <v>3.6715499999999999</v>
      </c>
      <c r="H144">
        <v>27.167200000000001</v>
      </c>
      <c r="I144">
        <v>606.61300000000006</v>
      </c>
      <c r="J144">
        <v>4.6845400000000001</v>
      </c>
      <c r="K144">
        <f t="shared" si="2"/>
        <v>606.61300000000006</v>
      </c>
    </row>
    <row r="145" spans="1:11" x14ac:dyDescent="0.25">
      <c r="A145">
        <v>11.7339</v>
      </c>
      <c r="B145">
        <v>-0.52533399999999997</v>
      </c>
      <c r="C145">
        <v>35.877000000000002</v>
      </c>
      <c r="D145">
        <v>-86.795699999999997</v>
      </c>
      <c r="F145">
        <v>22.9375</v>
      </c>
      <c r="G145">
        <v>3.6715399999999998</v>
      </c>
      <c r="H145">
        <v>27.174299999999999</v>
      </c>
      <c r="I145">
        <v>606.61300000000006</v>
      </c>
      <c r="J145">
        <v>4.68499</v>
      </c>
      <c r="K145">
        <f t="shared" si="2"/>
        <v>606.61300000000006</v>
      </c>
    </row>
    <row r="146" spans="1:11" x14ac:dyDescent="0.25">
      <c r="A146">
        <v>11.759</v>
      </c>
      <c r="B146">
        <v>-0.55662299999999998</v>
      </c>
      <c r="C146">
        <v>28.392800000000001</v>
      </c>
      <c r="D146">
        <v>-91.965199999999996</v>
      </c>
      <c r="F146">
        <v>22.9438</v>
      </c>
      <c r="G146">
        <v>3.6715499999999999</v>
      </c>
      <c r="H146">
        <v>27.1814</v>
      </c>
      <c r="I146">
        <v>606.61400000000003</v>
      </c>
      <c r="J146">
        <v>4.6854399999999998</v>
      </c>
      <c r="K146">
        <f t="shared" si="2"/>
        <v>606.61400000000003</v>
      </c>
    </row>
    <row r="147" spans="1:11" x14ac:dyDescent="0.25">
      <c r="A147">
        <v>11.7841</v>
      </c>
      <c r="B147">
        <v>-0.59281300000000003</v>
      </c>
      <c r="C147">
        <v>20.913</v>
      </c>
      <c r="D147">
        <v>-97.944500000000005</v>
      </c>
      <c r="F147">
        <v>22.95</v>
      </c>
      <c r="G147">
        <v>3.6715499999999999</v>
      </c>
      <c r="H147">
        <v>27.188400000000001</v>
      </c>
      <c r="I147">
        <v>606.61300000000006</v>
      </c>
      <c r="J147">
        <v>4.6859000000000002</v>
      </c>
      <c r="K147">
        <f t="shared" si="2"/>
        <v>606.61300000000006</v>
      </c>
    </row>
    <row r="148" spans="1:11" x14ac:dyDescent="0.25">
      <c r="A148">
        <v>11.809200000000001</v>
      </c>
      <c r="B148">
        <v>-0.63552699999999995</v>
      </c>
      <c r="C148">
        <v>13.443099999999999</v>
      </c>
      <c r="D148">
        <v>-105.002</v>
      </c>
      <c r="F148">
        <v>22.956199999999999</v>
      </c>
      <c r="G148">
        <v>3.6715499999999999</v>
      </c>
      <c r="H148">
        <v>27.195499999999999</v>
      </c>
      <c r="I148">
        <v>606.61400000000003</v>
      </c>
      <c r="J148">
        <v>4.68635</v>
      </c>
      <c r="K148">
        <f t="shared" si="2"/>
        <v>606.61400000000003</v>
      </c>
    </row>
    <row r="149" spans="1:11" x14ac:dyDescent="0.25">
      <c r="A149">
        <v>11.834199999999999</v>
      </c>
      <c r="B149">
        <v>-0.68752400000000002</v>
      </c>
      <c r="C149">
        <v>5.9931900000000002</v>
      </c>
      <c r="D149">
        <v>-113.593</v>
      </c>
      <c r="F149">
        <v>22.962499999999999</v>
      </c>
      <c r="G149">
        <v>3.6715599999999999</v>
      </c>
      <c r="H149">
        <v>27.2026</v>
      </c>
      <c r="I149">
        <v>606.61500000000001</v>
      </c>
      <c r="J149">
        <v>4.6868100000000004</v>
      </c>
      <c r="K149">
        <f t="shared" si="2"/>
        <v>606.61500000000001</v>
      </c>
    </row>
    <row r="150" spans="1:11" x14ac:dyDescent="0.25">
      <c r="A150">
        <v>11.859299999999999</v>
      </c>
      <c r="B150">
        <v>-0.75247299999999995</v>
      </c>
      <c r="C150">
        <v>-1.4209499999999999</v>
      </c>
      <c r="D150">
        <v>-124.324</v>
      </c>
      <c r="F150">
        <v>22.968800000000002</v>
      </c>
      <c r="G150">
        <v>3.6715499999999999</v>
      </c>
      <c r="H150">
        <v>27.209599999999998</v>
      </c>
      <c r="I150">
        <v>606.61400000000003</v>
      </c>
      <c r="J150">
        <v>4.6872499999999997</v>
      </c>
      <c r="K150">
        <f t="shared" si="2"/>
        <v>606.61400000000003</v>
      </c>
    </row>
    <row r="151" spans="1:11" x14ac:dyDescent="0.25">
      <c r="A151">
        <v>11.884399999999999</v>
      </c>
      <c r="B151">
        <v>-0.83545000000000003</v>
      </c>
      <c r="C151">
        <v>-8.7767900000000001</v>
      </c>
      <c r="D151">
        <v>-138.03300000000002</v>
      </c>
      <c r="F151">
        <v>22.975000000000001</v>
      </c>
      <c r="G151">
        <v>3.6715499999999999</v>
      </c>
      <c r="H151">
        <v>27.216699999999999</v>
      </c>
      <c r="I151">
        <v>606.61300000000006</v>
      </c>
      <c r="J151">
        <v>4.6877000000000004</v>
      </c>
      <c r="K151">
        <f t="shared" si="2"/>
        <v>606.61300000000006</v>
      </c>
    </row>
    <row r="152" spans="1:11" x14ac:dyDescent="0.25">
      <c r="A152">
        <v>11.9095</v>
      </c>
      <c r="B152">
        <v>-0.941272</v>
      </c>
      <c r="C152">
        <v>-16.0487</v>
      </c>
      <c r="D152">
        <v>-155.517</v>
      </c>
      <c r="F152">
        <v>22.981300000000001</v>
      </c>
      <c r="G152">
        <v>3.6715499999999999</v>
      </c>
      <c r="H152">
        <v>27.223700000000001</v>
      </c>
      <c r="I152">
        <v>606.61400000000003</v>
      </c>
      <c r="J152">
        <v>4.6881599999999999</v>
      </c>
      <c r="K152">
        <f t="shared" si="2"/>
        <v>606.61400000000003</v>
      </c>
    </row>
    <row r="153" spans="1:11" x14ac:dyDescent="0.25">
      <c r="A153">
        <v>11.9346</v>
      </c>
      <c r="B153">
        <v>-1.0716600000000001</v>
      </c>
      <c r="C153">
        <v>-23.227399999999999</v>
      </c>
      <c r="D153">
        <v>-177.05799999999999</v>
      </c>
      <c r="F153">
        <v>22.987500000000001</v>
      </c>
      <c r="G153">
        <v>3.6715499999999999</v>
      </c>
      <c r="H153">
        <v>27.230799999999999</v>
      </c>
      <c r="I153">
        <v>606.61300000000006</v>
      </c>
      <c r="J153">
        <v>4.6886099999999997</v>
      </c>
      <c r="K153">
        <f t="shared" si="2"/>
        <v>606.61300000000006</v>
      </c>
    </row>
    <row r="154" spans="1:11" x14ac:dyDescent="0.25">
      <c r="A154">
        <v>11.9596</v>
      </c>
      <c r="B154">
        <v>-1.2187600000000001</v>
      </c>
      <c r="C154">
        <v>-30.338100000000001</v>
      </c>
      <c r="D154">
        <v>-201.363</v>
      </c>
      <c r="F154">
        <v>22.9937</v>
      </c>
      <c r="G154">
        <v>3.6715499999999999</v>
      </c>
      <c r="H154">
        <v>27.2379</v>
      </c>
      <c r="I154">
        <v>606.61400000000003</v>
      </c>
      <c r="J154">
        <v>4.6890599999999996</v>
      </c>
      <c r="K154">
        <f t="shared" si="2"/>
        <v>606.61400000000003</v>
      </c>
    </row>
    <row r="155" spans="1:11" x14ac:dyDescent="0.25">
      <c r="A155">
        <v>11.997299999999999</v>
      </c>
      <c r="B155">
        <v>-1.43916</v>
      </c>
      <c r="C155">
        <v>-41.004899999999999</v>
      </c>
      <c r="D155">
        <v>-237.77799999999999</v>
      </c>
      <c r="F155">
        <v>23</v>
      </c>
      <c r="G155">
        <v>3.6715499999999999</v>
      </c>
      <c r="H155">
        <v>27.244900000000001</v>
      </c>
      <c r="I155">
        <v>606.61400000000003</v>
      </c>
      <c r="J155">
        <v>4.6895199999999999</v>
      </c>
      <c r="K155">
        <f t="shared" si="2"/>
        <v>606.61400000000003</v>
      </c>
    </row>
    <row r="156" spans="1:11" x14ac:dyDescent="0.25">
      <c r="A156">
        <v>12.0349</v>
      </c>
      <c r="B156">
        <v>-1.6347700000000001</v>
      </c>
      <c r="C156">
        <v>-51.827599999999997</v>
      </c>
      <c r="D156">
        <v>-270.09699999999998</v>
      </c>
      <c r="F156">
        <v>23.0063</v>
      </c>
      <c r="G156">
        <v>3.6715499999999999</v>
      </c>
      <c r="H156">
        <v>27.251999999999999</v>
      </c>
      <c r="I156">
        <v>606.61400000000003</v>
      </c>
      <c r="J156">
        <v>4.6899699999999998</v>
      </c>
      <c r="K156">
        <f t="shared" si="2"/>
        <v>606.61400000000003</v>
      </c>
    </row>
    <row r="157" spans="1:11" x14ac:dyDescent="0.25">
      <c r="A157">
        <v>12.0725</v>
      </c>
      <c r="B157">
        <v>-1.8004199999999999</v>
      </c>
      <c r="C157">
        <v>-62.878399999999999</v>
      </c>
      <c r="D157">
        <v>-297.46500000000003</v>
      </c>
      <c r="F157">
        <v>23.012499999999999</v>
      </c>
      <c r="G157">
        <v>3.6715499999999999</v>
      </c>
      <c r="H157">
        <v>27.2591</v>
      </c>
      <c r="I157">
        <v>606.61300000000006</v>
      </c>
      <c r="J157">
        <v>4.6904199999999996</v>
      </c>
      <c r="K157">
        <f t="shared" si="2"/>
        <v>606.61300000000006</v>
      </c>
    </row>
    <row r="158" spans="1:11" x14ac:dyDescent="0.25">
      <c r="A158">
        <v>12.110099999999999</v>
      </c>
      <c r="B158">
        <v>-1.95408</v>
      </c>
      <c r="C158">
        <v>-74.089200000000005</v>
      </c>
      <c r="D158">
        <v>-322.85200000000003</v>
      </c>
      <c r="F158">
        <v>23.018699999999999</v>
      </c>
      <c r="G158">
        <v>3.6715499999999999</v>
      </c>
      <c r="H158">
        <v>27.266100000000002</v>
      </c>
      <c r="I158">
        <v>606.61400000000003</v>
      </c>
      <c r="J158">
        <v>4.6908700000000003</v>
      </c>
      <c r="K158">
        <f t="shared" si="2"/>
        <v>606.61400000000003</v>
      </c>
    </row>
    <row r="159" spans="1:11" x14ac:dyDescent="0.25">
      <c r="A159">
        <v>12.1478</v>
      </c>
      <c r="B159">
        <v>-2.1125400000000001</v>
      </c>
      <c r="C159">
        <v>-85.374300000000005</v>
      </c>
      <c r="D159">
        <v>-349.03300000000002</v>
      </c>
      <c r="F159">
        <v>23.019100000000002</v>
      </c>
      <c r="G159">
        <v>3.6715599999999999</v>
      </c>
      <c r="H159">
        <v>27.266200000000001</v>
      </c>
      <c r="I159">
        <v>606.61400000000003</v>
      </c>
      <c r="J159">
        <v>4.6908799999999999</v>
      </c>
      <c r="K159">
        <f t="shared" si="2"/>
        <v>606.61400000000003</v>
      </c>
    </row>
    <row r="160" spans="1:11" x14ac:dyDescent="0.25">
      <c r="A160">
        <v>12.1854</v>
      </c>
      <c r="B160">
        <v>-2.28525</v>
      </c>
      <c r="C160">
        <v>-96.690399999999997</v>
      </c>
      <c r="D160">
        <v>-377.56900000000002</v>
      </c>
      <c r="F160">
        <v>23.019500000000001</v>
      </c>
      <c r="G160">
        <v>3.6715599999999999</v>
      </c>
      <c r="H160">
        <v>27.266400000000001</v>
      </c>
      <c r="I160">
        <v>606.61500000000001</v>
      </c>
      <c r="J160">
        <v>4.6908899999999996</v>
      </c>
      <c r="K160">
        <f t="shared" si="2"/>
        <v>606.61500000000001</v>
      </c>
    </row>
    <row r="161" spans="1:11" x14ac:dyDescent="0.25">
      <c r="A161">
        <v>12.223000000000001</v>
      </c>
      <c r="B161">
        <v>-2.4799699999999998</v>
      </c>
      <c r="C161">
        <v>-108.005</v>
      </c>
      <c r="D161">
        <v>-409.74</v>
      </c>
      <c r="F161">
        <v>23.020099999999999</v>
      </c>
      <c r="G161">
        <v>3.67157</v>
      </c>
      <c r="H161">
        <v>27.266500000000001</v>
      </c>
      <c r="I161">
        <v>606.61699999999996</v>
      </c>
      <c r="J161">
        <v>4.6909099999999997</v>
      </c>
      <c r="K161">
        <f t="shared" si="2"/>
        <v>606.61699999999996</v>
      </c>
    </row>
    <row r="162" spans="1:11" x14ac:dyDescent="0.25">
      <c r="A162">
        <v>12.2606</v>
      </c>
      <c r="B162">
        <v>-2.7031200000000002</v>
      </c>
      <c r="C162">
        <v>-119.294</v>
      </c>
      <c r="D162">
        <v>-446.60900000000004</v>
      </c>
      <c r="F162">
        <v>23.021000000000001</v>
      </c>
      <c r="G162">
        <v>3.6715800000000001</v>
      </c>
      <c r="H162">
        <v>27.2668</v>
      </c>
      <c r="I162">
        <v>606.61900000000003</v>
      </c>
      <c r="J162">
        <v>4.6909400000000003</v>
      </c>
      <c r="K162">
        <f t="shared" si="2"/>
        <v>606.61900000000003</v>
      </c>
    </row>
    <row r="163" spans="1:11" x14ac:dyDescent="0.25">
      <c r="A163">
        <v>12.2982</v>
      </c>
      <c r="B163">
        <v>-2.9610500000000002</v>
      </c>
      <c r="C163">
        <v>-130.52600000000001</v>
      </c>
      <c r="D163">
        <v>-489.22399999999999</v>
      </c>
      <c r="F163">
        <v>23.022300000000001</v>
      </c>
      <c r="G163">
        <v>3.6716000000000002</v>
      </c>
      <c r="H163">
        <v>27.267099999999999</v>
      </c>
      <c r="I163">
        <v>606.62199999999996</v>
      </c>
      <c r="J163">
        <v>4.6909799999999997</v>
      </c>
      <c r="K163">
        <f t="shared" si="2"/>
        <v>606.62199999999996</v>
      </c>
    </row>
    <row r="164" spans="1:11" x14ac:dyDescent="0.25">
      <c r="A164">
        <v>12.335900000000001</v>
      </c>
      <c r="B164">
        <v>-3.2598199999999999</v>
      </c>
      <c r="C164">
        <v>-141.63999999999999</v>
      </c>
      <c r="D164">
        <v>-538.58699999999999</v>
      </c>
      <c r="F164">
        <v>23.0243</v>
      </c>
      <c r="G164">
        <v>3.6716199999999999</v>
      </c>
      <c r="H164">
        <v>27.267700000000001</v>
      </c>
      <c r="I164">
        <v>606.625</v>
      </c>
      <c r="J164">
        <v>4.6910299999999996</v>
      </c>
      <c r="K164">
        <f t="shared" si="2"/>
        <v>606.625</v>
      </c>
    </row>
    <row r="165" spans="1:11" x14ac:dyDescent="0.25">
      <c r="A165">
        <v>12.3735</v>
      </c>
      <c r="B165">
        <v>-3.60554</v>
      </c>
      <c r="C165">
        <v>-152.518</v>
      </c>
      <c r="D165">
        <v>-595.70500000000004</v>
      </c>
      <c r="F165">
        <v>23.026299999999999</v>
      </c>
      <c r="G165">
        <v>3.6716299999999999</v>
      </c>
      <c r="H165">
        <v>27.2682</v>
      </c>
      <c r="I165">
        <v>606.62700000000007</v>
      </c>
      <c r="J165">
        <v>4.6910800000000004</v>
      </c>
      <c r="K165">
        <f t="shared" si="2"/>
        <v>606.62700000000007</v>
      </c>
    </row>
    <row r="166" spans="1:11" x14ac:dyDescent="0.25">
      <c r="A166">
        <v>12.411099999999999</v>
      </c>
      <c r="B166">
        <v>-4.0044399999999998</v>
      </c>
      <c r="C166">
        <v>-163.053</v>
      </c>
      <c r="D166">
        <v>-661.61099999999999</v>
      </c>
      <c r="F166">
        <v>23.028199999999998</v>
      </c>
      <c r="G166">
        <v>3.67164</v>
      </c>
      <c r="H166">
        <v>27.268699999999999</v>
      </c>
      <c r="I166">
        <v>606.62900000000002</v>
      </c>
      <c r="J166">
        <v>4.6911300000000002</v>
      </c>
      <c r="K166">
        <f t="shared" si="2"/>
        <v>606.62900000000002</v>
      </c>
    </row>
    <row r="167" spans="1:11" x14ac:dyDescent="0.25">
      <c r="A167">
        <v>12.467499999999999</v>
      </c>
      <c r="B167">
        <v>-4.7309599999999996</v>
      </c>
      <c r="C167">
        <v>-178.322</v>
      </c>
      <c r="D167">
        <v>-781.649</v>
      </c>
      <c r="F167">
        <v>23.028700000000001</v>
      </c>
      <c r="G167">
        <v>3.6716500000000001</v>
      </c>
      <c r="H167">
        <v>27.268899999999999</v>
      </c>
      <c r="I167">
        <v>606.63</v>
      </c>
      <c r="J167">
        <v>4.6911399999999999</v>
      </c>
      <c r="K167">
        <f t="shared" si="2"/>
        <v>606.63</v>
      </c>
    </row>
    <row r="168" spans="1:11" x14ac:dyDescent="0.25">
      <c r="A168">
        <v>12.523999999999999</v>
      </c>
      <c r="B168">
        <v>-5.6888899999999998</v>
      </c>
      <c r="C168">
        <v>-193.47300000000001</v>
      </c>
      <c r="D168">
        <v>-939.91899999999998</v>
      </c>
      <c r="F168">
        <v>23.0289</v>
      </c>
      <c r="G168">
        <v>3.6716500000000001</v>
      </c>
      <c r="H168">
        <v>27.268899999999999</v>
      </c>
      <c r="I168">
        <v>606.63</v>
      </c>
      <c r="J168">
        <v>4.6911500000000004</v>
      </c>
      <c r="K168">
        <f t="shared" si="2"/>
        <v>606.63</v>
      </c>
    </row>
    <row r="169" spans="1:11" x14ac:dyDescent="0.25">
      <c r="A169">
        <v>12.580399999999999</v>
      </c>
      <c r="B169">
        <v>-7.0326500000000003</v>
      </c>
      <c r="C169">
        <v>-209.577</v>
      </c>
      <c r="D169">
        <v>-1161.93</v>
      </c>
      <c r="F169">
        <v>23.0289</v>
      </c>
      <c r="G169">
        <v>3.6716500000000001</v>
      </c>
      <c r="H169">
        <v>27.268899999999999</v>
      </c>
      <c r="I169">
        <v>606.63</v>
      </c>
      <c r="J169">
        <v>4.6911500000000004</v>
      </c>
      <c r="K169">
        <f t="shared" si="2"/>
        <v>606.63</v>
      </c>
    </row>
    <row r="170" spans="1:11" x14ac:dyDescent="0.25">
      <c r="A170">
        <v>12.636799999999999</v>
      </c>
      <c r="B170">
        <v>-8.6565300000000001</v>
      </c>
      <c r="C170">
        <v>-229.227</v>
      </c>
      <c r="D170">
        <v>-1430.23</v>
      </c>
      <c r="F170">
        <v>23.0289</v>
      </c>
      <c r="G170">
        <v>3.6716500000000001</v>
      </c>
      <c r="H170">
        <v>27.268899999999999</v>
      </c>
      <c r="I170">
        <v>606.63</v>
      </c>
      <c r="J170">
        <v>4.6911500000000004</v>
      </c>
      <c r="K170">
        <f t="shared" si="2"/>
        <v>606.63</v>
      </c>
    </row>
    <row r="171" spans="1:11" x14ac:dyDescent="0.25">
      <c r="A171">
        <v>12.6509</v>
      </c>
      <c r="B171">
        <v>-8.9733300000000007</v>
      </c>
      <c r="C171">
        <v>-234.02799999999999</v>
      </c>
      <c r="D171">
        <v>-1482.57</v>
      </c>
      <c r="F171">
        <v>23.0289</v>
      </c>
      <c r="G171">
        <v>3.6716500000000001</v>
      </c>
      <c r="H171">
        <v>27.268899999999999</v>
      </c>
      <c r="I171">
        <v>606.63</v>
      </c>
      <c r="J171">
        <v>4.6911500000000004</v>
      </c>
      <c r="K171">
        <f t="shared" si="2"/>
        <v>606.63</v>
      </c>
    </row>
    <row r="172" spans="1:11" x14ac:dyDescent="0.25">
      <c r="A172">
        <v>12.664999999999999</v>
      </c>
      <c r="B172">
        <v>-9.26464</v>
      </c>
      <c r="C172">
        <v>-238.58199999999999</v>
      </c>
      <c r="D172">
        <v>-1530.7</v>
      </c>
      <c r="F172">
        <v>23.0289</v>
      </c>
      <c r="G172">
        <v>3.6716500000000001</v>
      </c>
      <c r="H172">
        <v>27.268899999999999</v>
      </c>
      <c r="I172">
        <v>606.63</v>
      </c>
      <c r="J172">
        <v>4.6911500000000004</v>
      </c>
      <c r="K172">
        <f t="shared" si="2"/>
        <v>606.63</v>
      </c>
    </row>
    <row r="173" spans="1:11" x14ac:dyDescent="0.25">
      <c r="A173">
        <v>12.6791</v>
      </c>
      <c r="B173">
        <v>-9.5328999999999997</v>
      </c>
      <c r="C173">
        <v>-242.809</v>
      </c>
      <c r="D173">
        <v>-1575.03</v>
      </c>
      <c r="F173">
        <v>23.029</v>
      </c>
      <c r="G173">
        <v>3.6716500000000001</v>
      </c>
      <c r="H173">
        <v>27.268899999999999</v>
      </c>
      <c r="I173">
        <v>606.63</v>
      </c>
      <c r="J173">
        <v>4.6911500000000004</v>
      </c>
      <c r="K173">
        <f t="shared" si="2"/>
        <v>606.63</v>
      </c>
    </row>
    <row r="174" spans="1:11" x14ac:dyDescent="0.25">
      <c r="A174">
        <v>12.693300000000001</v>
      </c>
      <c r="B174">
        <v>-9.7582199999999997</v>
      </c>
      <c r="C174">
        <v>-246.09700000000001</v>
      </c>
      <c r="D174">
        <v>-1612.25</v>
      </c>
      <c r="F174">
        <v>23.029</v>
      </c>
      <c r="G174">
        <v>3.6716500000000001</v>
      </c>
      <c r="H174">
        <v>27.268899999999999</v>
      </c>
      <c r="I174">
        <v>606.63</v>
      </c>
      <c r="J174">
        <v>4.6911500000000004</v>
      </c>
      <c r="K174">
        <f t="shared" si="2"/>
        <v>606.63</v>
      </c>
    </row>
    <row r="175" spans="1:11" x14ac:dyDescent="0.25">
      <c r="A175">
        <v>12.7074</v>
      </c>
      <c r="B175">
        <v>-9.9451199999999993</v>
      </c>
      <c r="C175">
        <v>-248.85499999999999</v>
      </c>
      <c r="D175">
        <v>-1643.13</v>
      </c>
      <c r="F175">
        <v>23.029</v>
      </c>
      <c r="G175">
        <v>3.6716500000000001</v>
      </c>
      <c r="H175">
        <v>27.268899999999999</v>
      </c>
      <c r="I175">
        <v>606.63</v>
      </c>
      <c r="J175">
        <v>4.6911500000000004</v>
      </c>
      <c r="K175">
        <f t="shared" si="2"/>
        <v>606.63</v>
      </c>
    </row>
    <row r="176" spans="1:11" x14ac:dyDescent="0.25">
      <c r="A176">
        <v>12.721500000000001</v>
      </c>
      <c r="B176">
        <v>-10.108599999999999</v>
      </c>
      <c r="C176">
        <v>-251.27699999999999</v>
      </c>
      <c r="D176">
        <v>-1670.13</v>
      </c>
      <c r="F176">
        <v>23.029</v>
      </c>
      <c r="G176">
        <v>3.6716500000000001</v>
      </c>
      <c r="H176">
        <v>27.268899999999999</v>
      </c>
      <c r="I176">
        <v>606.63</v>
      </c>
      <c r="J176">
        <v>4.6911500000000004</v>
      </c>
      <c r="K176">
        <f t="shared" si="2"/>
        <v>606.63</v>
      </c>
    </row>
    <row r="177" spans="1:11" x14ac:dyDescent="0.25">
      <c r="A177">
        <v>12.7356</v>
      </c>
      <c r="B177">
        <v>-10.256600000000001</v>
      </c>
      <c r="C177">
        <v>-253.46899999999999</v>
      </c>
      <c r="D177">
        <v>-1694.6000000000001</v>
      </c>
      <c r="F177">
        <v>23.029</v>
      </c>
      <c r="G177">
        <v>3.6716500000000001</v>
      </c>
      <c r="H177">
        <v>27.268899999999999</v>
      </c>
      <c r="I177">
        <v>606.63</v>
      </c>
      <c r="J177">
        <v>4.6911500000000004</v>
      </c>
      <c r="K177">
        <f t="shared" si="2"/>
        <v>606.63</v>
      </c>
    </row>
    <row r="178" spans="1:11" x14ac:dyDescent="0.25">
      <c r="A178">
        <v>12.749700000000001</v>
      </c>
      <c r="B178">
        <v>-10.398899999999999</v>
      </c>
      <c r="C178">
        <v>-255.52500000000001</v>
      </c>
      <c r="D178">
        <v>-1718.1100000000001</v>
      </c>
      <c r="F178">
        <v>23.029</v>
      </c>
      <c r="G178">
        <v>3.6716500000000001</v>
      </c>
      <c r="H178">
        <v>27.268899999999999</v>
      </c>
      <c r="I178">
        <v>606.63</v>
      </c>
      <c r="J178">
        <v>4.6911500000000004</v>
      </c>
      <c r="K178">
        <f t="shared" si="2"/>
        <v>606.63</v>
      </c>
    </row>
    <row r="179" spans="1:11" x14ac:dyDescent="0.25">
      <c r="A179">
        <v>12.7638</v>
      </c>
      <c r="B179">
        <v>-10.5428</v>
      </c>
      <c r="C179">
        <v>-257.53199999999998</v>
      </c>
      <c r="D179">
        <v>-1741.88</v>
      </c>
      <c r="F179">
        <v>23.029</v>
      </c>
      <c r="G179">
        <v>3.6716500000000001</v>
      </c>
      <c r="H179">
        <v>27.268899999999999</v>
      </c>
      <c r="I179">
        <v>606.63</v>
      </c>
      <c r="J179">
        <v>4.6911500000000004</v>
      </c>
      <c r="K179">
        <f t="shared" si="2"/>
        <v>606.63</v>
      </c>
    </row>
    <row r="180" spans="1:11" x14ac:dyDescent="0.25">
      <c r="A180">
        <v>12.777900000000001</v>
      </c>
      <c r="B180">
        <v>-10.6854</v>
      </c>
      <c r="C180">
        <v>-259.471</v>
      </c>
      <c r="D180">
        <v>-1765.44</v>
      </c>
      <c r="F180">
        <v>23.029</v>
      </c>
      <c r="G180">
        <v>3.6716500000000001</v>
      </c>
      <c r="H180">
        <v>27.268899999999999</v>
      </c>
      <c r="I180">
        <v>606.63</v>
      </c>
      <c r="J180">
        <v>4.6911500000000004</v>
      </c>
      <c r="K180">
        <f t="shared" si="2"/>
        <v>606.63</v>
      </c>
    </row>
    <row r="181" spans="1:11" x14ac:dyDescent="0.25">
      <c r="A181">
        <v>12.792</v>
      </c>
      <c r="B181">
        <v>-10.817299999999999</v>
      </c>
      <c r="C181">
        <v>-261.21499999999997</v>
      </c>
      <c r="D181">
        <v>-1787.23</v>
      </c>
      <c r="F181">
        <v>23.029</v>
      </c>
      <c r="G181">
        <v>3.6716500000000001</v>
      </c>
      <c r="H181">
        <v>27.268899999999999</v>
      </c>
      <c r="I181">
        <v>606.63</v>
      </c>
      <c r="J181">
        <v>4.6911500000000004</v>
      </c>
      <c r="K181">
        <f t="shared" si="2"/>
        <v>606.63</v>
      </c>
    </row>
    <row r="182" spans="1:11" x14ac:dyDescent="0.25">
      <c r="A182">
        <v>12.806100000000001</v>
      </c>
      <c r="B182">
        <v>-10.9316</v>
      </c>
      <c r="C182">
        <v>-262.67899999999997</v>
      </c>
      <c r="D182">
        <v>-1806.13</v>
      </c>
      <c r="F182">
        <v>23.029</v>
      </c>
      <c r="G182">
        <v>3.6716500000000001</v>
      </c>
      <c r="H182">
        <v>27.268899999999999</v>
      </c>
      <c r="I182">
        <v>606.63</v>
      </c>
      <c r="J182">
        <v>4.6911500000000004</v>
      </c>
      <c r="K182">
        <f t="shared" si="2"/>
        <v>606.63</v>
      </c>
    </row>
    <row r="183" spans="1:11" x14ac:dyDescent="0.25">
      <c r="A183">
        <v>12.8202</v>
      </c>
      <c r="B183">
        <v>-11.027900000000001</v>
      </c>
      <c r="C183">
        <v>-263.87599999999998</v>
      </c>
      <c r="D183">
        <v>-1822.03</v>
      </c>
      <c r="F183">
        <v>23.029</v>
      </c>
      <c r="G183">
        <v>3.6716500000000001</v>
      </c>
      <c r="H183">
        <v>27.268899999999999</v>
      </c>
      <c r="I183">
        <v>606.63</v>
      </c>
      <c r="J183">
        <v>4.6911500000000004</v>
      </c>
      <c r="K183">
        <f t="shared" si="2"/>
        <v>606.63</v>
      </c>
    </row>
    <row r="184" spans="1:11" x14ac:dyDescent="0.25">
      <c r="A184">
        <v>12.834300000000001</v>
      </c>
      <c r="B184">
        <v>-11.1127</v>
      </c>
      <c r="C184">
        <v>-264.90199999999999</v>
      </c>
      <c r="D184">
        <v>-1836.04</v>
      </c>
      <c r="F184">
        <v>23.029</v>
      </c>
      <c r="G184">
        <v>3.6716500000000001</v>
      </c>
      <c r="H184">
        <v>27.268899999999999</v>
      </c>
      <c r="I184">
        <v>606.63</v>
      </c>
      <c r="J184">
        <v>4.6911500000000004</v>
      </c>
      <c r="K184">
        <f t="shared" si="2"/>
        <v>606.63</v>
      </c>
    </row>
    <row r="185" spans="1:11" x14ac:dyDescent="0.25">
      <c r="A185">
        <v>12.8484</v>
      </c>
      <c r="B185">
        <v>-11.1897</v>
      </c>
      <c r="C185">
        <v>-265.81200000000001</v>
      </c>
      <c r="D185">
        <v>-1848.76</v>
      </c>
      <c r="F185">
        <v>23.029</v>
      </c>
      <c r="G185">
        <v>3.6716500000000001</v>
      </c>
      <c r="H185">
        <v>27.268899999999999</v>
      </c>
      <c r="I185">
        <v>606.63</v>
      </c>
      <c r="J185">
        <v>4.6911500000000004</v>
      </c>
      <c r="K185">
        <f t="shared" si="2"/>
        <v>606.63</v>
      </c>
    </row>
    <row r="186" spans="1:11" x14ac:dyDescent="0.25">
      <c r="A186">
        <v>12.862500000000001</v>
      </c>
      <c r="B186">
        <v>-11.2628</v>
      </c>
      <c r="C186">
        <v>-266.65600000000001</v>
      </c>
      <c r="D186">
        <v>-1860.8400000000001</v>
      </c>
      <c r="F186">
        <v>23.029</v>
      </c>
      <c r="G186">
        <v>3.6716500000000001</v>
      </c>
      <c r="H186">
        <v>27.268899999999999</v>
      </c>
      <c r="I186">
        <v>606.63</v>
      </c>
      <c r="J186">
        <v>4.6911500000000004</v>
      </c>
      <c r="K186">
        <f t="shared" si="2"/>
        <v>606.63</v>
      </c>
    </row>
    <row r="187" spans="1:11" x14ac:dyDescent="0.25">
      <c r="A187">
        <v>12.8767</v>
      </c>
      <c r="B187">
        <v>-11.338100000000001</v>
      </c>
      <c r="C187">
        <v>-267.524</v>
      </c>
      <c r="D187">
        <v>-1873.29</v>
      </c>
      <c r="F187">
        <v>23.029</v>
      </c>
      <c r="G187">
        <v>3.6716500000000001</v>
      </c>
      <c r="H187">
        <v>27.268899999999999</v>
      </c>
      <c r="I187">
        <v>606.63</v>
      </c>
      <c r="J187">
        <v>4.6911500000000004</v>
      </c>
      <c r="K187">
        <f t="shared" si="2"/>
        <v>606.63</v>
      </c>
    </row>
    <row r="188" spans="1:11" x14ac:dyDescent="0.25">
      <c r="A188">
        <v>12.8908</v>
      </c>
      <c r="B188">
        <v>-11.412599999999999</v>
      </c>
      <c r="C188">
        <v>-268.37</v>
      </c>
      <c r="D188">
        <v>-1885.6000000000001</v>
      </c>
      <c r="F188">
        <v>23.029</v>
      </c>
      <c r="G188">
        <v>3.6716500000000001</v>
      </c>
      <c r="H188">
        <v>27.268899999999999</v>
      </c>
      <c r="I188">
        <v>606.63</v>
      </c>
      <c r="J188">
        <v>4.6911500000000004</v>
      </c>
      <c r="K188">
        <f t="shared" si="2"/>
        <v>606.63</v>
      </c>
    </row>
    <row r="189" spans="1:11" x14ac:dyDescent="0.25">
      <c r="A189">
        <v>12.9049</v>
      </c>
      <c r="B189">
        <v>-11.482799999999999</v>
      </c>
      <c r="C189">
        <v>-269.15199999999999</v>
      </c>
      <c r="D189">
        <v>-1897.19</v>
      </c>
      <c r="F189">
        <v>23.029</v>
      </c>
      <c r="G189">
        <v>3.6716500000000001</v>
      </c>
      <c r="H189">
        <v>27.268899999999999</v>
      </c>
      <c r="I189">
        <v>606.63</v>
      </c>
      <c r="J189">
        <v>4.6911500000000004</v>
      </c>
      <c r="K189">
        <f t="shared" si="2"/>
        <v>606.63</v>
      </c>
    </row>
    <row r="190" spans="1:11" x14ac:dyDescent="0.25">
      <c r="A190">
        <v>12.919</v>
      </c>
      <c r="B190">
        <v>-11.5466</v>
      </c>
      <c r="C190">
        <v>-269.85199999999998</v>
      </c>
      <c r="D190">
        <v>-1907.73</v>
      </c>
      <c r="F190">
        <v>23.029</v>
      </c>
      <c r="G190">
        <v>3.6716500000000001</v>
      </c>
      <c r="H190">
        <v>27.268899999999999</v>
      </c>
      <c r="I190">
        <v>606.63</v>
      </c>
      <c r="J190">
        <v>4.6911500000000004</v>
      </c>
      <c r="K190">
        <f t="shared" si="2"/>
        <v>606.63</v>
      </c>
    </row>
    <row r="191" spans="1:11" x14ac:dyDescent="0.25">
      <c r="A191">
        <v>12.9331</v>
      </c>
      <c r="B191">
        <v>-11.6005</v>
      </c>
      <c r="C191">
        <v>-270.42700000000002</v>
      </c>
      <c r="D191">
        <v>-1916.63</v>
      </c>
      <c r="F191">
        <v>23.029</v>
      </c>
      <c r="G191">
        <v>3.6716500000000001</v>
      </c>
      <c r="H191">
        <v>27.268899999999999</v>
      </c>
      <c r="I191">
        <v>606.63</v>
      </c>
      <c r="J191">
        <v>4.6911500000000004</v>
      </c>
      <c r="K191">
        <f t="shared" si="2"/>
        <v>606.63</v>
      </c>
    </row>
    <row r="192" spans="1:11" x14ac:dyDescent="0.25">
      <c r="A192">
        <v>12.9472</v>
      </c>
      <c r="B192">
        <v>-11.629899999999999</v>
      </c>
      <c r="C192">
        <v>-270.74200000000002</v>
      </c>
      <c r="D192">
        <v>-1921.49</v>
      </c>
      <c r="F192">
        <v>23.029</v>
      </c>
      <c r="G192">
        <v>3.6716500000000001</v>
      </c>
      <c r="H192">
        <v>27.268899999999999</v>
      </c>
      <c r="I192">
        <v>606.63</v>
      </c>
      <c r="J192">
        <v>4.6911500000000004</v>
      </c>
      <c r="K192">
        <f t="shared" si="2"/>
        <v>606.63</v>
      </c>
    </row>
    <row r="193" spans="1:11" x14ac:dyDescent="0.25">
      <c r="A193">
        <v>12.9613</v>
      </c>
      <c r="B193">
        <v>-11.6435</v>
      </c>
      <c r="C193">
        <v>-270.88600000000002</v>
      </c>
      <c r="D193">
        <v>-1923.74</v>
      </c>
      <c r="F193">
        <v>23.029</v>
      </c>
      <c r="G193">
        <v>3.6716500000000001</v>
      </c>
      <c r="H193">
        <v>27.268899999999999</v>
      </c>
      <c r="I193">
        <v>606.63</v>
      </c>
      <c r="J193">
        <v>4.6911500000000004</v>
      </c>
      <c r="K193">
        <f t="shared" si="2"/>
        <v>606.63</v>
      </c>
    </row>
    <row r="194" spans="1:11" x14ac:dyDescent="0.25">
      <c r="A194">
        <v>12.9754</v>
      </c>
      <c r="B194">
        <v>-11.657999999999999</v>
      </c>
      <c r="C194">
        <v>-271.02100000000002</v>
      </c>
      <c r="D194">
        <v>-1926.13</v>
      </c>
      <c r="F194">
        <v>23.029</v>
      </c>
      <c r="G194">
        <v>3.6716500000000001</v>
      </c>
      <c r="H194">
        <v>27.268899999999999</v>
      </c>
      <c r="I194">
        <v>606.63</v>
      </c>
      <c r="J194">
        <v>4.6911500000000004</v>
      </c>
      <c r="K194">
        <f t="shared" si="2"/>
        <v>606.63</v>
      </c>
    </row>
    <row r="195" spans="1:11" x14ac:dyDescent="0.25">
      <c r="A195">
        <v>12.9895</v>
      </c>
      <c r="B195">
        <v>-11.6752</v>
      </c>
      <c r="C195">
        <v>-271.16699999999997</v>
      </c>
      <c r="D195">
        <v>-1928.97</v>
      </c>
      <c r="F195">
        <v>23.029</v>
      </c>
      <c r="G195">
        <v>3.6716500000000001</v>
      </c>
      <c r="H195">
        <v>27.268899999999999</v>
      </c>
      <c r="I195">
        <v>606.63</v>
      </c>
      <c r="J195">
        <v>4.6911500000000004</v>
      </c>
      <c r="K195">
        <f t="shared" si="2"/>
        <v>606.63</v>
      </c>
    </row>
    <row r="196" spans="1:11" x14ac:dyDescent="0.25">
      <c r="A196">
        <v>13.0036</v>
      </c>
      <c r="B196">
        <v>-11.694599999999999</v>
      </c>
      <c r="C196">
        <v>-271.315</v>
      </c>
      <c r="D196">
        <v>-1932.19</v>
      </c>
      <c r="F196">
        <v>23.029</v>
      </c>
      <c r="G196">
        <v>3.6716500000000001</v>
      </c>
      <c r="H196">
        <v>27.268899999999999</v>
      </c>
      <c r="I196">
        <v>606.63</v>
      </c>
      <c r="J196">
        <v>4.6911500000000004</v>
      </c>
      <c r="K196">
        <f t="shared" ref="K196:K203" si="3">+I196</f>
        <v>606.63</v>
      </c>
    </row>
    <row r="197" spans="1:11" x14ac:dyDescent="0.25">
      <c r="A197">
        <v>13.0177</v>
      </c>
      <c r="B197">
        <v>-11.7158</v>
      </c>
      <c r="C197">
        <v>-271.45100000000002</v>
      </c>
      <c r="D197">
        <v>-1935.68</v>
      </c>
      <c r="F197">
        <v>23.029</v>
      </c>
      <c r="G197">
        <v>3.6716500000000001</v>
      </c>
      <c r="H197">
        <v>27.268899999999999</v>
      </c>
      <c r="I197">
        <v>606.63</v>
      </c>
      <c r="J197">
        <v>4.6911500000000004</v>
      </c>
      <c r="K197">
        <f t="shared" si="3"/>
        <v>606.63</v>
      </c>
    </row>
    <row r="198" spans="1:11" x14ac:dyDescent="0.25">
      <c r="A198">
        <v>13.0318</v>
      </c>
      <c r="B198">
        <v>-11.736599999999999</v>
      </c>
      <c r="C198">
        <v>-271.541</v>
      </c>
      <c r="D198">
        <v>-1939.1200000000001</v>
      </c>
      <c r="F198">
        <v>23.029</v>
      </c>
      <c r="G198">
        <v>3.6716500000000001</v>
      </c>
      <c r="H198">
        <v>27.268899999999999</v>
      </c>
      <c r="I198">
        <v>606.63</v>
      </c>
      <c r="J198">
        <v>4.6911500000000004</v>
      </c>
      <c r="K198">
        <f t="shared" si="3"/>
        <v>606.63</v>
      </c>
    </row>
    <row r="199" spans="1:11" x14ac:dyDescent="0.25">
      <c r="A199">
        <v>13.0459</v>
      </c>
      <c r="B199">
        <v>-11.7582</v>
      </c>
      <c r="C199">
        <v>-271.60199999999998</v>
      </c>
      <c r="D199">
        <v>-1942.69</v>
      </c>
      <c r="F199">
        <v>23.029</v>
      </c>
      <c r="G199">
        <v>3.6716500000000001</v>
      </c>
      <c r="H199">
        <v>27.268899999999999</v>
      </c>
      <c r="I199">
        <v>606.63</v>
      </c>
      <c r="J199">
        <v>4.6911500000000004</v>
      </c>
      <c r="K199">
        <f t="shared" si="3"/>
        <v>606.63</v>
      </c>
    </row>
    <row r="200" spans="1:11" x14ac:dyDescent="0.25">
      <c r="A200">
        <v>13.0671</v>
      </c>
      <c r="B200">
        <v>-11.794499999999999</v>
      </c>
      <c r="C200">
        <v>-271.67099999999999</v>
      </c>
      <c r="D200">
        <v>-1948.68</v>
      </c>
      <c r="F200">
        <v>23.029</v>
      </c>
      <c r="G200">
        <v>3.6716500000000001</v>
      </c>
      <c r="H200">
        <v>27.268899999999999</v>
      </c>
      <c r="I200">
        <v>606.63</v>
      </c>
      <c r="J200">
        <v>4.6911500000000004</v>
      </c>
      <c r="K200">
        <f t="shared" si="3"/>
        <v>606.63</v>
      </c>
    </row>
    <row r="201" spans="1:11" x14ac:dyDescent="0.25">
      <c r="A201">
        <v>13.0989</v>
      </c>
      <c r="B201">
        <v>-11.860200000000001</v>
      </c>
      <c r="C201">
        <v>-271.74799999999999</v>
      </c>
      <c r="D201">
        <v>-1959.55</v>
      </c>
      <c r="F201">
        <v>23.029</v>
      </c>
      <c r="G201">
        <v>3.6716500000000001</v>
      </c>
      <c r="H201">
        <v>27.268899999999999</v>
      </c>
      <c r="I201">
        <v>606.63</v>
      </c>
      <c r="J201">
        <v>4.6911500000000004</v>
      </c>
      <c r="K201">
        <f t="shared" si="3"/>
        <v>606.63</v>
      </c>
    </row>
    <row r="202" spans="1:11" x14ac:dyDescent="0.25">
      <c r="A202">
        <v>13.1465</v>
      </c>
      <c r="B202">
        <v>-11.9734</v>
      </c>
      <c r="C202">
        <v>-271.78199999999998</v>
      </c>
      <c r="D202">
        <v>-1978.24</v>
      </c>
      <c r="F202">
        <v>23.029</v>
      </c>
      <c r="G202">
        <v>3.6716500000000001</v>
      </c>
      <c r="H202">
        <v>27.268899999999999</v>
      </c>
      <c r="I202">
        <v>606.63</v>
      </c>
      <c r="J202">
        <v>4.6911500000000004</v>
      </c>
      <c r="K202">
        <f t="shared" si="3"/>
        <v>606.63</v>
      </c>
    </row>
    <row r="203" spans="1:11" x14ac:dyDescent="0.25">
      <c r="A203">
        <v>13.194100000000001</v>
      </c>
      <c r="B203">
        <v>-12.0905</v>
      </c>
      <c r="C203">
        <v>-271.82900000000001</v>
      </c>
      <c r="D203">
        <v>-1997.5900000000001</v>
      </c>
      <c r="F203">
        <v>23.029</v>
      </c>
      <c r="G203">
        <v>3.6716500000000001</v>
      </c>
      <c r="H203">
        <v>27.268899999999999</v>
      </c>
      <c r="I203">
        <v>606.63</v>
      </c>
      <c r="J203">
        <v>4.6911500000000004</v>
      </c>
      <c r="K203">
        <f t="shared" si="3"/>
        <v>606.63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7BF8-E694-4ED7-8363-DAE11C5AAA3B}">
  <sheetPr codeName="Sheet4"/>
  <dimension ref="A1:E20"/>
  <sheetViews>
    <sheetView workbookViewId="0">
      <selection activeCell="A6" sqref="A6:XFD6"/>
    </sheetView>
  </sheetViews>
  <sheetFormatPr defaultRowHeight="15" x14ac:dyDescent="0.25"/>
  <cols>
    <col min="4" max="5" width="10.140625" bestFit="1" customWidth="1"/>
  </cols>
  <sheetData>
    <row r="1" spans="1:5" ht="18" customHeight="1" x14ac:dyDescent="0.35">
      <c r="B1" s="5"/>
      <c r="C1" s="4" t="s">
        <v>10</v>
      </c>
      <c r="D1" s="6" t="s">
        <v>11</v>
      </c>
      <c r="E1" s="6" t="s">
        <v>12</v>
      </c>
    </row>
    <row r="2" spans="1:5" x14ac:dyDescent="0.25">
      <c r="A2" s="1">
        <v>15</v>
      </c>
      <c r="B2" t="s">
        <v>15</v>
      </c>
      <c r="C2" s="1">
        <v>754.4</v>
      </c>
      <c r="D2" s="1">
        <v>736.05500000000006</v>
      </c>
      <c r="E2" s="1">
        <f>D2/$C2</f>
        <v>0.97568266171792162</v>
      </c>
    </row>
    <row r="3" spans="1:5" x14ac:dyDescent="0.25">
      <c r="A3">
        <v>16</v>
      </c>
      <c r="B3" t="s">
        <v>16</v>
      </c>
      <c r="C3" s="1">
        <v>910.5</v>
      </c>
      <c r="D3" s="1"/>
      <c r="E3" s="1">
        <f>D3/$C3</f>
        <v>0</v>
      </c>
    </row>
    <row r="4" spans="1:5" x14ac:dyDescent="0.25">
      <c r="A4">
        <v>17</v>
      </c>
      <c r="B4" t="s">
        <v>17</v>
      </c>
      <c r="C4" s="1">
        <v>812</v>
      </c>
      <c r="D4" s="1">
        <v>783.52499999999998</v>
      </c>
      <c r="E4" s="1">
        <f>D4/$C4</f>
        <v>0.96493226600985216</v>
      </c>
    </row>
    <row r="5" spans="1:5" x14ac:dyDescent="0.25">
      <c r="A5">
        <v>18</v>
      </c>
      <c r="B5" t="s">
        <v>18</v>
      </c>
      <c r="C5" s="1">
        <v>877.6</v>
      </c>
      <c r="D5" s="1"/>
      <c r="E5" s="1">
        <f>D5/$C5</f>
        <v>0</v>
      </c>
    </row>
    <row r="6" spans="1:5" x14ac:dyDescent="0.25">
      <c r="A6" s="1">
        <v>19</v>
      </c>
      <c r="B6" t="s">
        <v>19</v>
      </c>
      <c r="C6" s="1">
        <v>988.2</v>
      </c>
      <c r="D6" s="1"/>
      <c r="E6" s="1">
        <f>D6/$C6</f>
        <v>0</v>
      </c>
    </row>
    <row r="7" spans="1:5" x14ac:dyDescent="0.25">
      <c r="A7">
        <v>20</v>
      </c>
      <c r="B7" t="s">
        <v>20</v>
      </c>
      <c r="C7" s="1">
        <v>826.1</v>
      </c>
      <c r="D7" s="1"/>
      <c r="E7" s="1"/>
    </row>
    <row r="8" spans="1:5" x14ac:dyDescent="0.25">
      <c r="A8">
        <v>21</v>
      </c>
      <c r="B8" t="s">
        <v>21</v>
      </c>
      <c r="C8" s="1">
        <v>828.2</v>
      </c>
      <c r="D8" s="1"/>
      <c r="E8" s="1"/>
    </row>
    <row r="9" spans="1:5" x14ac:dyDescent="0.25">
      <c r="A9" s="1">
        <v>22</v>
      </c>
      <c r="B9" t="s">
        <v>22</v>
      </c>
      <c r="C9" s="1">
        <v>897.9</v>
      </c>
      <c r="D9" s="1">
        <f>[1]C2L2E80!Q91</f>
        <v>301.24200000000002</v>
      </c>
      <c r="E9" s="1">
        <f>D9/$C9</f>
        <v>0.33549615770130309</v>
      </c>
    </row>
    <row r="10" spans="1:5" x14ac:dyDescent="0.25">
      <c r="A10">
        <v>23</v>
      </c>
      <c r="B10" t="s">
        <v>23</v>
      </c>
      <c r="C10" s="1">
        <v>1102.9000000000001</v>
      </c>
      <c r="D10" s="1"/>
      <c r="E10" s="1"/>
    </row>
    <row r="11" spans="1:5" x14ac:dyDescent="0.25">
      <c r="A11">
        <v>24</v>
      </c>
      <c r="B11" t="s">
        <v>24</v>
      </c>
      <c r="C11" s="1">
        <v>992.1</v>
      </c>
      <c r="D11" s="1"/>
      <c r="E11" s="1"/>
    </row>
    <row r="12" spans="1:5" x14ac:dyDescent="0.25">
      <c r="A12" s="1">
        <v>25</v>
      </c>
      <c r="B12" s="1" t="s">
        <v>25</v>
      </c>
      <c r="C12" s="1">
        <v>1017</v>
      </c>
      <c r="D12" s="2"/>
      <c r="E12" s="2">
        <f>AVERAGE(E2:E9)</f>
        <v>0.3793518475715128</v>
      </c>
    </row>
    <row r="13" spans="1:5" x14ac:dyDescent="0.25">
      <c r="A13">
        <v>26</v>
      </c>
      <c r="B13" s="1" t="s">
        <v>26</v>
      </c>
      <c r="C13" s="1">
        <v>1308</v>
      </c>
      <c r="D13" s="3"/>
      <c r="E13" s="3">
        <f>_xlfn.STDEV.P(E2:E9)/E12</f>
        <v>1.1450814867171686</v>
      </c>
    </row>
    <row r="14" spans="1:5" x14ac:dyDescent="0.25">
      <c r="A14">
        <v>27</v>
      </c>
      <c r="B14" t="s">
        <v>27</v>
      </c>
      <c r="C14">
        <v>863.7</v>
      </c>
    </row>
    <row r="15" spans="1:5" x14ac:dyDescent="0.25">
      <c r="A15" s="1">
        <v>28</v>
      </c>
      <c r="B15" t="s">
        <v>28</v>
      </c>
      <c r="C15">
        <v>984</v>
      </c>
    </row>
    <row r="16" spans="1:5" x14ac:dyDescent="0.25">
      <c r="A16">
        <v>29</v>
      </c>
      <c r="B16" t="s">
        <v>29</v>
      </c>
      <c r="C16">
        <v>1025.0999999999999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30</v>
      </c>
    </row>
    <row r="20" spans="2:2" x14ac:dyDescent="0.25">
      <c r="B20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</vt:lpstr>
      <vt:lpstr>17</vt:lpstr>
      <vt:lpstr>19</vt:lpstr>
      <vt:lpstr>Sheet5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2026-01-30T07:39:20Z</dcterms:created>
  <dcterms:modified xsi:type="dcterms:W3CDTF">2026-02-10T17:41:17Z</dcterms:modified>
</cp:coreProperties>
</file>