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Validation  3 files Q1100 _63\"/>
    </mc:Choice>
  </mc:AlternateContent>
  <xr:revisionPtr revIDLastSave="0" documentId="13_ncr:1_{062054CE-B147-4230-9310-65F11670660B}" xr6:coauthVersionLast="47" xr6:coauthVersionMax="47" xr10:uidLastSave="{00000000-0000-0000-0000-000000000000}"/>
  <bookViews>
    <workbookView xWindow="-120" yWindow="-120" windowWidth="29040" windowHeight="15720" activeTab="6" xr2:uid="{402C916C-AB45-479E-80B7-1E21525920BE}"/>
  </bookViews>
  <sheets>
    <sheet name="C1E10" sheetId="1" r:id="rId1"/>
    <sheet name="C1E30" sheetId="2" r:id="rId2"/>
    <sheet name="C1E60" sheetId="3" r:id="rId3"/>
    <sheet name="C2E10" sheetId="4" r:id="rId4"/>
    <sheet name="C2E30" sheetId="5" r:id="rId5"/>
    <sheet name="C2E80" sheetId="6" r:id="rId6"/>
    <sheet name="All" sheetId="7" r:id="rId7"/>
    <sheet name="All (2)" sheetId="8" r:id="rId8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I5" i="7"/>
  <c r="H5" i="7"/>
  <c r="G5" i="7"/>
  <c r="F5" i="7"/>
  <c r="E5" i="7"/>
  <c r="D5" i="7"/>
  <c r="F4" i="7"/>
  <c r="I4" i="7"/>
  <c r="F6" i="7"/>
  <c r="I6" i="7"/>
  <c r="F7" i="7"/>
  <c r="I7" i="7"/>
  <c r="F8" i="7"/>
  <c r="I8" i="7"/>
  <c r="F3" i="7"/>
  <c r="I3" i="7"/>
  <c r="E4" i="7"/>
  <c r="H4" i="7"/>
  <c r="E6" i="7"/>
  <c r="H6" i="7"/>
  <c r="E7" i="7"/>
  <c r="H7" i="7"/>
  <c r="E8" i="7"/>
  <c r="H8" i="7"/>
  <c r="E3" i="7"/>
  <c r="H3" i="7"/>
  <c r="D3" i="7"/>
  <c r="G3" i="7"/>
  <c r="H10" i="7"/>
  <c r="I9" i="7"/>
  <c r="I10" i="7"/>
  <c r="Q36" i="6"/>
  <c r="Q42" i="5"/>
  <c r="Q50" i="4"/>
  <c r="Q80" i="3"/>
  <c r="Q80" i="2"/>
  <c r="Q80" i="1"/>
  <c r="L36" i="6"/>
  <c r="L42" i="5"/>
  <c r="L50" i="4"/>
  <c r="L80" i="3"/>
  <c r="L105" i="2"/>
  <c r="L104" i="1"/>
  <c r="G36" i="6"/>
  <c r="D8" i="8"/>
  <c r="E8" i="8"/>
  <c r="G42" i="5"/>
  <c r="D7" i="8"/>
  <c r="E7" i="8"/>
  <c r="G50" i="4"/>
  <c r="D6" i="8"/>
  <c r="E6" i="8"/>
  <c r="E9" i="8"/>
  <c r="G80" i="3"/>
  <c r="D5" i="8"/>
  <c r="E5" i="8"/>
  <c r="E10" i="8"/>
  <c r="G43" i="2"/>
  <c r="D4" i="8"/>
  <c r="E4" i="8"/>
  <c r="G80" i="1"/>
  <c r="D3" i="8"/>
  <c r="E3" i="8"/>
  <c r="D4" i="7"/>
  <c r="D6" i="7"/>
  <c r="G6" i="7"/>
  <c r="D7" i="7"/>
  <c r="G7" i="7"/>
  <c r="D8" i="7"/>
  <c r="G8" i="7"/>
  <c r="G9" i="7"/>
  <c r="G10" i="7"/>
  <c r="G4" i="7"/>
</calcChain>
</file>

<file path=xl/sharedStrings.xml><?xml version="1.0" encoding="utf-8"?>
<sst xmlns="http://schemas.openxmlformats.org/spreadsheetml/2006/main" count="133" uniqueCount="32">
  <si>
    <t>X</t>
  </si>
  <si>
    <t>LPF</t>
  </si>
  <si>
    <t>U_35__35</t>
  </si>
  <si>
    <t>RF_35__35</t>
  </si>
  <si>
    <t>U_36__36</t>
  </si>
  <si>
    <t>RF_36__36</t>
  </si>
  <si>
    <t>U_37__37</t>
  </si>
  <si>
    <t>RF_37__37</t>
  </si>
  <si>
    <t>U_38__38</t>
  </si>
  <si>
    <t>RF_38__38</t>
  </si>
  <si>
    <t>Mean</t>
  </si>
  <si>
    <t>COV</t>
  </si>
  <si>
    <t>U_34__34</t>
  </si>
  <si>
    <t>RF_34__34</t>
  </si>
  <si>
    <t>x</t>
  </si>
  <si>
    <t>y</t>
  </si>
  <si>
    <t>depl</t>
  </si>
  <si>
    <t>load</t>
  </si>
  <si>
    <r>
      <t>Pu_</t>
    </r>
    <r>
      <rPr>
        <vertAlign val="subscript"/>
        <sz val="12"/>
        <color theme="1"/>
        <rFont val="Aptos Narrow"/>
        <family val="2"/>
        <scheme val="minor"/>
      </rPr>
      <t>exp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</si>
  <si>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</si>
  <si>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  <r>
      <rPr>
        <sz val="11"/>
        <color theme="1"/>
        <rFont val="Aptos Narrow"/>
        <family val="2"/>
        <scheme val="minor"/>
      </rPr>
      <t>/Pu</t>
    </r>
    <r>
      <rPr>
        <vertAlign val="subscript"/>
        <sz val="11"/>
        <color theme="1"/>
        <rFont val="Aptos Narrow"/>
        <family val="2"/>
        <scheme val="minor"/>
      </rPr>
      <t>_exp</t>
    </r>
  </si>
  <si>
    <t>C1E10</t>
  </si>
  <si>
    <t>C1E30</t>
  </si>
  <si>
    <t>C2E10</t>
  </si>
  <si>
    <t>C2E30</t>
  </si>
  <si>
    <t>C2E80</t>
  </si>
  <si>
    <t>U_33__33</t>
  </si>
  <si>
    <t>RF_33__33</t>
  </si>
  <si>
    <t>C1E60</t>
  </si>
  <si>
    <t>b/300</t>
  </si>
  <si>
    <t>b/200</t>
  </si>
  <si>
    <t>b/100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</si>
</sst>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164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 applyAlignment="1">
      <alignment vertical="top"/>
    </xf>
    <xf numFmtId="2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C1E10_exp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'C1E10'!$A$4:$A$22</c:f>
              <c:numCache>
                <c:formatCode>General</c:formatCode>
                <c:ptCount val="19"/>
                <c:pt idx="0">
                  <c:v>0</c:v>
                </c:pt>
                <c:pt idx="1">
                  <c:v>2.0779220779220702</c:v>
                </c:pt>
                <c:pt idx="2">
                  <c:v>3.3116883116882998</c:v>
                </c:pt>
                <c:pt idx="3">
                  <c:v>5.4545454545454497</c:v>
                </c:pt>
                <c:pt idx="4">
                  <c:v>7.2727272727272601</c:v>
                </c:pt>
                <c:pt idx="5">
                  <c:v>9.7402597402597308</c:v>
                </c:pt>
                <c:pt idx="6">
                  <c:v>12.3376623376623</c:v>
                </c:pt>
                <c:pt idx="7">
                  <c:v>15.194805194805101</c:v>
                </c:pt>
                <c:pt idx="8">
                  <c:v>18.181818181818102</c:v>
                </c:pt>
                <c:pt idx="9">
                  <c:v>21.428571428571399</c:v>
                </c:pt>
                <c:pt idx="10">
                  <c:v>24.1558441558441</c:v>
                </c:pt>
                <c:pt idx="11">
                  <c:v>26.2987012987013</c:v>
                </c:pt>
                <c:pt idx="12">
                  <c:v>28.441558441558399</c:v>
                </c:pt>
                <c:pt idx="13">
                  <c:v>32.987012987013003</c:v>
                </c:pt>
                <c:pt idx="14">
                  <c:v>44.545454545454497</c:v>
                </c:pt>
                <c:pt idx="15">
                  <c:v>54.935064935064901</c:v>
                </c:pt>
                <c:pt idx="16">
                  <c:v>66.233766233766204</c:v>
                </c:pt>
                <c:pt idx="17">
                  <c:v>78.181818181818102</c:v>
                </c:pt>
                <c:pt idx="18">
                  <c:v>90.519480519480496</c:v>
                </c:pt>
              </c:numCache>
            </c:numRef>
          </c:xVal>
          <c:yVal>
            <c:numRef>
              <c:f>'C1E10'!$B$4:$B$22</c:f>
              <c:numCache>
                <c:formatCode>General</c:formatCode>
                <c:ptCount val="19"/>
                <c:pt idx="0">
                  <c:v>0</c:v>
                </c:pt>
                <c:pt idx="1">
                  <c:v>42.339832869080702</c:v>
                </c:pt>
                <c:pt idx="2">
                  <c:v>71.866295264623901</c:v>
                </c:pt>
                <c:pt idx="3">
                  <c:v>106.406685236768</c:v>
                </c:pt>
                <c:pt idx="4">
                  <c:v>130.91922005571001</c:v>
                </c:pt>
                <c:pt idx="5">
                  <c:v>156.54596100278499</c:v>
                </c:pt>
                <c:pt idx="6">
                  <c:v>177.71587743732499</c:v>
                </c:pt>
                <c:pt idx="7">
                  <c:v>197.771587743732</c:v>
                </c:pt>
                <c:pt idx="8">
                  <c:v>213.64902506963699</c:v>
                </c:pt>
                <c:pt idx="9">
                  <c:v>228.969359331476</c:v>
                </c:pt>
                <c:pt idx="10">
                  <c:v>237.604456824512</c:v>
                </c:pt>
                <c:pt idx="11">
                  <c:v>246.51810584958201</c:v>
                </c:pt>
                <c:pt idx="12">
                  <c:v>254.31754874651699</c:v>
                </c:pt>
                <c:pt idx="13">
                  <c:v>258.77437325905203</c:v>
                </c:pt>
                <c:pt idx="14">
                  <c:v>265.738161559888</c:v>
                </c:pt>
                <c:pt idx="15">
                  <c:v>267.409470752088</c:v>
                </c:pt>
                <c:pt idx="16">
                  <c:v>263.50974930362003</c:v>
                </c:pt>
                <c:pt idx="17">
                  <c:v>253.76044568245001</c:v>
                </c:pt>
                <c:pt idx="18">
                  <c:v>239.83286908077901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E-4A9E-A4C3-8F4E96660B90}"/>
            </c:ext>
          </c:extLst>
        </c:ser>
        <c:ser>
          <c:idx val="1"/>
          <c:order val="1"/>
          <c:tx>
            <c:v>C1E10_num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'C1E10'!$F$4:$F$79</c:f>
              <c:numCache>
                <c:formatCode>General</c:formatCode>
                <c:ptCount val="76"/>
                <c:pt idx="0">
                  <c:v>0</c:v>
                </c:pt>
                <c:pt idx="1">
                  <c:v>1.18838</c:v>
                </c:pt>
                <c:pt idx="2">
                  <c:v>2.3741699999999999</c:v>
                </c:pt>
                <c:pt idx="3">
                  <c:v>3.5646300000000002</c:v>
                </c:pt>
                <c:pt idx="4">
                  <c:v>4.7587200000000003</c:v>
                </c:pt>
                <c:pt idx="5">
                  <c:v>5.9556899999999997</c:v>
                </c:pt>
                <c:pt idx="6">
                  <c:v>7.1550000000000002</c:v>
                </c:pt>
                <c:pt idx="7">
                  <c:v>8.3561999999999994</c:v>
                </c:pt>
                <c:pt idx="8">
                  <c:v>9.5589700000000004</c:v>
                </c:pt>
                <c:pt idx="9">
                  <c:v>10.7631</c:v>
                </c:pt>
                <c:pt idx="10">
                  <c:v>11.9682</c:v>
                </c:pt>
                <c:pt idx="11">
                  <c:v>13.174300000000001</c:v>
                </c:pt>
                <c:pt idx="12">
                  <c:v>14.3812</c:v>
                </c:pt>
                <c:pt idx="13">
                  <c:v>15.588699999999999</c:v>
                </c:pt>
                <c:pt idx="14">
                  <c:v>16.796800000000001</c:v>
                </c:pt>
                <c:pt idx="15">
                  <c:v>18.005299999999998</c:v>
                </c:pt>
                <c:pt idx="16">
                  <c:v>19.214300000000001</c:v>
                </c:pt>
                <c:pt idx="17">
                  <c:v>20.423500000000001</c:v>
                </c:pt>
                <c:pt idx="18">
                  <c:v>21.633099999999999</c:v>
                </c:pt>
                <c:pt idx="19">
                  <c:v>22.8428</c:v>
                </c:pt>
                <c:pt idx="20">
                  <c:v>24.052800000000001</c:v>
                </c:pt>
                <c:pt idx="21">
                  <c:v>25.262799999999999</c:v>
                </c:pt>
                <c:pt idx="22">
                  <c:v>26.472999999999999</c:v>
                </c:pt>
                <c:pt idx="23">
                  <c:v>27.683199999999999</c:v>
                </c:pt>
                <c:pt idx="24">
                  <c:v>28.8935</c:v>
                </c:pt>
                <c:pt idx="25">
                  <c:v>30.104099999999999</c:v>
                </c:pt>
                <c:pt idx="26">
                  <c:v>31.3169</c:v>
                </c:pt>
                <c:pt idx="27">
                  <c:v>32.533700000000003</c:v>
                </c:pt>
                <c:pt idx="28">
                  <c:v>33.755200000000002</c:v>
                </c:pt>
                <c:pt idx="29">
                  <c:v>34.978400000000001</c:v>
                </c:pt>
                <c:pt idx="30">
                  <c:v>36.201500000000003</c:v>
                </c:pt>
                <c:pt idx="31">
                  <c:v>37.425400000000003</c:v>
                </c:pt>
                <c:pt idx="32">
                  <c:v>38.651600000000002</c:v>
                </c:pt>
                <c:pt idx="33">
                  <c:v>39.880299999999998</c:v>
                </c:pt>
                <c:pt idx="34">
                  <c:v>41.109299999999998</c:v>
                </c:pt>
                <c:pt idx="35">
                  <c:v>42.338099999999997</c:v>
                </c:pt>
                <c:pt idx="36">
                  <c:v>43.566699999999997</c:v>
                </c:pt>
                <c:pt idx="37">
                  <c:v>44.796300000000002</c:v>
                </c:pt>
                <c:pt idx="38">
                  <c:v>46.027900000000002</c:v>
                </c:pt>
                <c:pt idx="39">
                  <c:v>47.261899999999997</c:v>
                </c:pt>
                <c:pt idx="40">
                  <c:v>48.496699999999997</c:v>
                </c:pt>
                <c:pt idx="41">
                  <c:v>49.731000000000002</c:v>
                </c:pt>
                <c:pt idx="42">
                  <c:v>50.963999999999999</c:v>
                </c:pt>
                <c:pt idx="43">
                  <c:v>52.195300000000003</c:v>
                </c:pt>
                <c:pt idx="44">
                  <c:v>53.4255</c:v>
                </c:pt>
                <c:pt idx="45">
                  <c:v>54.654800000000002</c:v>
                </c:pt>
                <c:pt idx="46">
                  <c:v>55.885199999999998</c:v>
                </c:pt>
                <c:pt idx="47">
                  <c:v>57.116799999999998</c:v>
                </c:pt>
                <c:pt idx="48">
                  <c:v>58.350200000000001</c:v>
                </c:pt>
                <c:pt idx="49">
                  <c:v>59.584299999999999</c:v>
                </c:pt>
                <c:pt idx="50">
                  <c:v>60.817999999999998</c:v>
                </c:pt>
                <c:pt idx="51">
                  <c:v>62.0505</c:v>
                </c:pt>
                <c:pt idx="52">
                  <c:v>63.281599999999997</c:v>
                </c:pt>
                <c:pt idx="53">
                  <c:v>64.511300000000006</c:v>
                </c:pt>
                <c:pt idx="54">
                  <c:v>65.741299999999995</c:v>
                </c:pt>
                <c:pt idx="55">
                  <c:v>66.981700000000004</c:v>
                </c:pt>
                <c:pt idx="56">
                  <c:v>68.226299999999995</c:v>
                </c:pt>
                <c:pt idx="57">
                  <c:v>69.4709</c:v>
                </c:pt>
                <c:pt idx="58">
                  <c:v>70.714100000000002</c:v>
                </c:pt>
                <c:pt idx="59">
                  <c:v>71.956900000000005</c:v>
                </c:pt>
                <c:pt idx="60">
                  <c:v>73.199700000000007</c:v>
                </c:pt>
                <c:pt idx="61">
                  <c:v>74.443600000000004</c:v>
                </c:pt>
                <c:pt idx="62">
                  <c:v>75.691900000000004</c:v>
                </c:pt>
                <c:pt idx="63">
                  <c:v>76.941800000000001</c:v>
                </c:pt>
                <c:pt idx="64">
                  <c:v>78.195899999999995</c:v>
                </c:pt>
                <c:pt idx="65">
                  <c:v>79.462100000000007</c:v>
                </c:pt>
                <c:pt idx="66">
                  <c:v>80.731800000000007</c:v>
                </c:pt>
                <c:pt idx="67">
                  <c:v>81.999700000000004</c:v>
                </c:pt>
                <c:pt idx="68">
                  <c:v>83.266300000000001</c:v>
                </c:pt>
                <c:pt idx="69">
                  <c:v>84.531499999999994</c:v>
                </c:pt>
                <c:pt idx="70">
                  <c:v>85.795599999999993</c:v>
                </c:pt>
                <c:pt idx="71">
                  <c:v>87.060299999999998</c:v>
                </c:pt>
                <c:pt idx="72">
                  <c:v>88.326800000000006</c:v>
                </c:pt>
                <c:pt idx="73">
                  <c:v>89.593500000000006</c:v>
                </c:pt>
                <c:pt idx="74">
                  <c:v>90.859800000000007</c:v>
                </c:pt>
                <c:pt idx="75">
                  <c:v>92.125600000000006</c:v>
                </c:pt>
              </c:numCache>
            </c:numRef>
          </c:xVal>
          <c:yVal>
            <c:numRef>
              <c:f>'C1E10'!$G$4:$G$79</c:f>
              <c:numCache>
                <c:formatCode>General</c:formatCode>
                <c:ptCount val="76"/>
                <c:pt idx="0">
                  <c:v>0</c:v>
                </c:pt>
                <c:pt idx="1">
                  <c:v>30.760999999999999</c:v>
                </c:pt>
                <c:pt idx="2">
                  <c:v>56.769100000000002</c:v>
                </c:pt>
                <c:pt idx="3">
                  <c:v>79.035100000000014</c:v>
                </c:pt>
                <c:pt idx="4">
                  <c:v>98.305800000000005</c:v>
                </c:pt>
                <c:pt idx="5">
                  <c:v>115.14400000000001</c:v>
                </c:pt>
                <c:pt idx="6">
                  <c:v>129.97999999999999</c:v>
                </c:pt>
                <c:pt idx="7">
                  <c:v>143.15100000000001</c:v>
                </c:pt>
                <c:pt idx="8">
                  <c:v>154.92099999999999</c:v>
                </c:pt>
                <c:pt idx="9">
                  <c:v>165.501</c:v>
                </c:pt>
                <c:pt idx="10">
                  <c:v>175.06399999999999</c:v>
                </c:pt>
                <c:pt idx="11">
                  <c:v>183.749</c:v>
                </c:pt>
                <c:pt idx="12">
                  <c:v>191.672</c:v>
                </c:pt>
                <c:pt idx="13">
                  <c:v>198.928</c:v>
                </c:pt>
                <c:pt idx="14">
                  <c:v>205.59900000000002</c:v>
                </c:pt>
                <c:pt idx="15">
                  <c:v>211.75300000000001</c:v>
                </c:pt>
                <c:pt idx="16">
                  <c:v>217.44800000000001</c:v>
                </c:pt>
                <c:pt idx="17">
                  <c:v>222.733</c:v>
                </c:pt>
                <c:pt idx="18">
                  <c:v>227.65100000000001</c:v>
                </c:pt>
                <c:pt idx="19">
                  <c:v>232.239</c:v>
                </c:pt>
                <c:pt idx="20">
                  <c:v>236.53</c:v>
                </c:pt>
                <c:pt idx="21">
                  <c:v>240.55100000000002</c:v>
                </c:pt>
                <c:pt idx="22">
                  <c:v>244.328</c:v>
                </c:pt>
                <c:pt idx="23">
                  <c:v>247.88200000000001</c:v>
                </c:pt>
                <c:pt idx="24">
                  <c:v>251.232</c:v>
                </c:pt>
                <c:pt idx="25">
                  <c:v>254.38200000000001</c:v>
                </c:pt>
                <c:pt idx="26">
                  <c:v>257.262</c:v>
                </c:pt>
                <c:pt idx="27">
                  <c:v>259.75900000000001</c:v>
                </c:pt>
                <c:pt idx="28">
                  <c:v>261.79700000000003</c:v>
                </c:pt>
                <c:pt idx="29">
                  <c:v>263.48099999999999</c:v>
                </c:pt>
                <c:pt idx="30">
                  <c:v>264.93799999999999</c:v>
                </c:pt>
                <c:pt idx="31">
                  <c:v>266.16500000000002</c:v>
                </c:pt>
                <c:pt idx="32">
                  <c:v>267.13499999999999</c:v>
                </c:pt>
                <c:pt idx="33">
                  <c:v>267.83</c:v>
                </c:pt>
                <c:pt idx="34">
                  <c:v>268.33300000000003</c:v>
                </c:pt>
                <c:pt idx="35">
                  <c:v>268.69299999999998</c:v>
                </c:pt>
                <c:pt idx="36">
                  <c:v>268.93200000000002</c:v>
                </c:pt>
                <c:pt idx="37">
                  <c:v>269.036</c:v>
                </c:pt>
                <c:pt idx="38">
                  <c:v>268.988</c:v>
                </c:pt>
                <c:pt idx="39">
                  <c:v>268.779</c:v>
                </c:pt>
                <c:pt idx="40">
                  <c:v>268.45100000000002</c:v>
                </c:pt>
                <c:pt idx="41">
                  <c:v>268.03899999999999</c:v>
                </c:pt>
                <c:pt idx="42">
                  <c:v>267.57499999999999</c:v>
                </c:pt>
                <c:pt idx="43">
                  <c:v>267.08</c:v>
                </c:pt>
                <c:pt idx="44">
                  <c:v>266.565</c:v>
                </c:pt>
                <c:pt idx="45">
                  <c:v>266.02499999999998</c:v>
                </c:pt>
                <c:pt idx="46">
                  <c:v>265.44299999999998</c:v>
                </c:pt>
                <c:pt idx="47">
                  <c:v>264.80500000000001</c:v>
                </c:pt>
                <c:pt idx="48">
                  <c:v>264.09100000000001</c:v>
                </c:pt>
                <c:pt idx="49">
                  <c:v>263.33600000000001</c:v>
                </c:pt>
                <c:pt idx="50">
                  <c:v>262.55700000000002</c:v>
                </c:pt>
                <c:pt idx="51">
                  <c:v>261.76400000000001</c:v>
                </c:pt>
                <c:pt idx="52">
                  <c:v>260.97000000000003</c:v>
                </c:pt>
                <c:pt idx="53">
                  <c:v>260.17099999999999</c:v>
                </c:pt>
                <c:pt idx="54">
                  <c:v>259.35399999999998</c:v>
                </c:pt>
                <c:pt idx="55">
                  <c:v>258.38499999999999</c:v>
                </c:pt>
                <c:pt idx="56">
                  <c:v>257.32900000000001</c:v>
                </c:pt>
                <c:pt idx="57">
                  <c:v>256.23500000000001</c:v>
                </c:pt>
                <c:pt idx="58">
                  <c:v>255.14000000000001</c:v>
                </c:pt>
                <c:pt idx="59">
                  <c:v>254.03800000000001</c:v>
                </c:pt>
                <c:pt idx="60">
                  <c:v>252.928</c:v>
                </c:pt>
                <c:pt idx="61">
                  <c:v>251.79900000000001</c:v>
                </c:pt>
                <c:pt idx="62">
                  <c:v>250.61700000000002</c:v>
                </c:pt>
                <c:pt idx="63">
                  <c:v>249.40100000000001</c:v>
                </c:pt>
                <c:pt idx="64">
                  <c:v>248.13</c:v>
                </c:pt>
                <c:pt idx="65">
                  <c:v>246.739</c:v>
                </c:pt>
                <c:pt idx="66">
                  <c:v>245.298</c:v>
                </c:pt>
                <c:pt idx="67">
                  <c:v>243.86</c:v>
                </c:pt>
                <c:pt idx="68">
                  <c:v>242.42099999999999</c:v>
                </c:pt>
                <c:pt idx="69">
                  <c:v>240.988</c:v>
                </c:pt>
                <c:pt idx="70">
                  <c:v>239.565</c:v>
                </c:pt>
                <c:pt idx="71">
                  <c:v>238.14000000000001</c:v>
                </c:pt>
                <c:pt idx="72">
                  <c:v>236.70600000000002</c:v>
                </c:pt>
                <c:pt idx="73">
                  <c:v>235.274</c:v>
                </c:pt>
                <c:pt idx="74">
                  <c:v>233.846</c:v>
                </c:pt>
                <c:pt idx="75">
                  <c:v>232.42699999999999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E-4A9E-A4C3-8F4E96660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679151"/>
        <c:axId val="744679631"/>
      </c:scatterChart>
      <c:valAx>
        <c:axId val="74467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79631"/>
        <c:crosses val="autoZero"/>
        <c:crossBetween val="midCat"/>
      </c:valAx>
      <c:valAx>
        <c:axId val="7446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7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C1_30_exp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'C1E30'!$A$4:$A$18</c:f>
              <c:numCache>
                <c:formatCode>General</c:formatCode>
                <c:ptCount val="15"/>
                <c:pt idx="0">
                  <c:v>0</c:v>
                </c:pt>
                <c:pt idx="1">
                  <c:v>2.9870129870129798</c:v>
                </c:pt>
                <c:pt idx="2">
                  <c:v>5.8441558441558401</c:v>
                </c:pt>
                <c:pt idx="3">
                  <c:v>11.4285714285714</c:v>
                </c:pt>
                <c:pt idx="4">
                  <c:v>16.363636363636299</c:v>
                </c:pt>
                <c:pt idx="5">
                  <c:v>23.831168831168799</c:v>
                </c:pt>
                <c:pt idx="6">
                  <c:v>30.779220779220701</c:v>
                </c:pt>
                <c:pt idx="7">
                  <c:v>37.012987012986997</c:v>
                </c:pt>
                <c:pt idx="8">
                  <c:v>43.246753246753201</c:v>
                </c:pt>
                <c:pt idx="9">
                  <c:v>55.064935064935</c:v>
                </c:pt>
                <c:pt idx="10">
                  <c:v>62.727272727272698</c:v>
                </c:pt>
                <c:pt idx="11">
                  <c:v>72.077922077922096</c:v>
                </c:pt>
                <c:pt idx="12">
                  <c:v>80.389610389610397</c:v>
                </c:pt>
                <c:pt idx="13">
                  <c:v>89.870129870129901</c:v>
                </c:pt>
                <c:pt idx="14">
                  <c:v>99.610389610389603</c:v>
                </c:pt>
              </c:numCache>
            </c:numRef>
          </c:xVal>
          <c:yVal>
            <c:numRef>
              <c:f>'C1E30'!$B$4:$B$18</c:f>
              <c:numCache>
                <c:formatCode>General</c:formatCode>
                <c:ptCount val="15"/>
                <c:pt idx="0">
                  <c:v>0</c:v>
                </c:pt>
                <c:pt idx="1">
                  <c:v>26.740947075208801</c:v>
                </c:pt>
                <c:pt idx="2">
                  <c:v>49.025069637882901</c:v>
                </c:pt>
                <c:pt idx="3">
                  <c:v>85.236768802228298</c:v>
                </c:pt>
                <c:pt idx="4">
                  <c:v>112.534818941504</c:v>
                </c:pt>
                <c:pt idx="5">
                  <c:v>143.45403899721401</c:v>
                </c:pt>
                <c:pt idx="6">
                  <c:v>162.95264623955401</c:v>
                </c:pt>
                <c:pt idx="7">
                  <c:v>178.272980501392</c:v>
                </c:pt>
                <c:pt idx="8">
                  <c:v>189.41504178272899</c:v>
                </c:pt>
                <c:pt idx="9">
                  <c:v>198.88579387186499</c:v>
                </c:pt>
                <c:pt idx="10">
                  <c:v>200.835654596099</c:v>
                </c:pt>
                <c:pt idx="11">
                  <c:v>196.65738161559801</c:v>
                </c:pt>
                <c:pt idx="12">
                  <c:v>189.41504178272899</c:v>
                </c:pt>
                <c:pt idx="13">
                  <c:v>183.84401114206</c:v>
                </c:pt>
                <c:pt idx="14">
                  <c:v>172.701949860723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B-4291-9B9A-1B329C7C35CB}"/>
            </c:ext>
          </c:extLst>
        </c:ser>
        <c:ser>
          <c:idx val="1"/>
          <c:order val="1"/>
          <c:tx>
            <c:v>C1_30_num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'C1E30'!$F$4:$F$42</c:f>
              <c:numCache>
                <c:formatCode>General</c:formatCode>
                <c:ptCount val="39"/>
                <c:pt idx="0">
                  <c:v>0</c:v>
                </c:pt>
                <c:pt idx="1">
                  <c:v>2.6118299999999999</c:v>
                </c:pt>
                <c:pt idx="2">
                  <c:v>5.2232200000000004</c:v>
                </c:pt>
                <c:pt idx="3">
                  <c:v>7.8411200000000001</c:v>
                </c:pt>
                <c:pt idx="4">
                  <c:v>10.4643</c:v>
                </c:pt>
                <c:pt idx="5">
                  <c:v>13.091799999999999</c:v>
                </c:pt>
                <c:pt idx="6">
                  <c:v>15.722799999999999</c:v>
                </c:pt>
                <c:pt idx="7">
                  <c:v>18.3567</c:v>
                </c:pt>
                <c:pt idx="8">
                  <c:v>20.992699999999999</c:v>
                </c:pt>
                <c:pt idx="9">
                  <c:v>23.630600000000001</c:v>
                </c:pt>
                <c:pt idx="10">
                  <c:v>26.2698</c:v>
                </c:pt>
                <c:pt idx="11">
                  <c:v>28.91</c:v>
                </c:pt>
                <c:pt idx="12">
                  <c:v>31.550899999999999</c:v>
                </c:pt>
                <c:pt idx="13">
                  <c:v>34.192500000000003</c:v>
                </c:pt>
                <c:pt idx="14">
                  <c:v>36.846400000000003</c:v>
                </c:pt>
                <c:pt idx="15">
                  <c:v>39.515300000000003</c:v>
                </c:pt>
                <c:pt idx="16">
                  <c:v>42.183100000000003</c:v>
                </c:pt>
                <c:pt idx="17">
                  <c:v>44.861499999999999</c:v>
                </c:pt>
                <c:pt idx="18">
                  <c:v>47.540999999999997</c:v>
                </c:pt>
                <c:pt idx="19">
                  <c:v>50.219200000000001</c:v>
                </c:pt>
                <c:pt idx="20">
                  <c:v>52.907299999999999</c:v>
                </c:pt>
                <c:pt idx="21">
                  <c:v>55.596800000000002</c:v>
                </c:pt>
                <c:pt idx="22">
                  <c:v>58.278399999999998</c:v>
                </c:pt>
                <c:pt idx="23">
                  <c:v>60.954999999999998</c:v>
                </c:pt>
                <c:pt idx="24">
                  <c:v>63.636699999999998</c:v>
                </c:pt>
                <c:pt idx="25">
                  <c:v>66.323499999999996</c:v>
                </c:pt>
                <c:pt idx="26">
                  <c:v>69.036900000000003</c:v>
                </c:pt>
                <c:pt idx="27">
                  <c:v>71.753900000000002</c:v>
                </c:pt>
                <c:pt idx="28">
                  <c:v>74.4619</c:v>
                </c:pt>
                <c:pt idx="29">
                  <c:v>77.170199999999994</c:v>
                </c:pt>
                <c:pt idx="30">
                  <c:v>79.892799999999994</c:v>
                </c:pt>
                <c:pt idx="31">
                  <c:v>82.656000000000006</c:v>
                </c:pt>
                <c:pt idx="32">
                  <c:v>85.419700000000006</c:v>
                </c:pt>
                <c:pt idx="33">
                  <c:v>88.178200000000004</c:v>
                </c:pt>
                <c:pt idx="34">
                  <c:v>90.940399999999997</c:v>
                </c:pt>
                <c:pt idx="35">
                  <c:v>93.700400000000002</c:v>
                </c:pt>
                <c:pt idx="36">
                  <c:v>96.463399999999993</c:v>
                </c:pt>
                <c:pt idx="37">
                  <c:v>99.255200000000002</c:v>
                </c:pt>
                <c:pt idx="38">
                  <c:v>102.048</c:v>
                </c:pt>
              </c:numCache>
            </c:numRef>
          </c:xVal>
          <c:yVal>
            <c:numRef>
              <c:f>'C1E30'!$G$4:$G$42</c:f>
              <c:numCache>
                <c:formatCode>General</c:formatCode>
                <c:ptCount val="39"/>
                <c:pt idx="0">
                  <c:v>0</c:v>
                </c:pt>
                <c:pt idx="1">
                  <c:v>23.634700000000002</c:v>
                </c:pt>
                <c:pt idx="2">
                  <c:v>44.420500000000004</c:v>
                </c:pt>
                <c:pt idx="3">
                  <c:v>62.842500000000001</c:v>
                </c:pt>
                <c:pt idx="4">
                  <c:v>79.282100000000014</c:v>
                </c:pt>
                <c:pt idx="5">
                  <c:v>94.043300000000002</c:v>
                </c:pt>
                <c:pt idx="6">
                  <c:v>107.37100000000001</c:v>
                </c:pt>
                <c:pt idx="7">
                  <c:v>119.465</c:v>
                </c:pt>
                <c:pt idx="8">
                  <c:v>130.489</c:v>
                </c:pt>
                <c:pt idx="9">
                  <c:v>140.57900000000001</c:v>
                </c:pt>
                <c:pt idx="10">
                  <c:v>149.84700000000001</c:v>
                </c:pt>
                <c:pt idx="11">
                  <c:v>158.38800000000001</c:v>
                </c:pt>
                <c:pt idx="12">
                  <c:v>166.28700000000001</c:v>
                </c:pt>
                <c:pt idx="13">
                  <c:v>173.60300000000001</c:v>
                </c:pt>
                <c:pt idx="14">
                  <c:v>179.99700000000001</c:v>
                </c:pt>
                <c:pt idx="15">
                  <c:v>185.078</c:v>
                </c:pt>
                <c:pt idx="16">
                  <c:v>189.39099999999999</c:v>
                </c:pt>
                <c:pt idx="17">
                  <c:v>192.78900000000002</c:v>
                </c:pt>
                <c:pt idx="18">
                  <c:v>195.49199999999999</c:v>
                </c:pt>
                <c:pt idx="19">
                  <c:v>197.72300000000001</c:v>
                </c:pt>
                <c:pt idx="20">
                  <c:v>199.34800000000001</c:v>
                </c:pt>
                <c:pt idx="21">
                  <c:v>200.505</c:v>
                </c:pt>
                <c:pt idx="22">
                  <c:v>201.43899999999999</c:v>
                </c:pt>
                <c:pt idx="23">
                  <c:v>202.208</c:v>
                </c:pt>
                <c:pt idx="24">
                  <c:v>202.714</c:v>
                </c:pt>
                <c:pt idx="25">
                  <c:v>202.93800000000002</c:v>
                </c:pt>
                <c:pt idx="26">
                  <c:v>202.68299999999999</c:v>
                </c:pt>
                <c:pt idx="27">
                  <c:v>202.13499999999999</c:v>
                </c:pt>
                <c:pt idx="28">
                  <c:v>201.512</c:v>
                </c:pt>
                <c:pt idx="29">
                  <c:v>200.77700000000002</c:v>
                </c:pt>
                <c:pt idx="30">
                  <c:v>199.82300000000001</c:v>
                </c:pt>
                <c:pt idx="31">
                  <c:v>198.45000000000002</c:v>
                </c:pt>
                <c:pt idx="32">
                  <c:v>196.93100000000001</c:v>
                </c:pt>
                <c:pt idx="33">
                  <c:v>195.36500000000001</c:v>
                </c:pt>
                <c:pt idx="34">
                  <c:v>193.71899999999999</c:v>
                </c:pt>
                <c:pt idx="35">
                  <c:v>192.03700000000001</c:v>
                </c:pt>
                <c:pt idx="36">
                  <c:v>190.30600000000001</c:v>
                </c:pt>
                <c:pt idx="37">
                  <c:v>188.40600000000001</c:v>
                </c:pt>
                <c:pt idx="38">
                  <c:v>186.47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BB-4291-9B9A-1B329C7C3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661647"/>
        <c:axId val="1071005439"/>
      </c:scatterChart>
      <c:valAx>
        <c:axId val="36066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05439"/>
        <c:crosses val="autoZero"/>
        <c:crossBetween val="midCat"/>
      </c:valAx>
      <c:valAx>
        <c:axId val="10710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6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C1E60_exp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'C1E60'!$A$4:$A$18</c:f>
              <c:numCache>
                <c:formatCode>General</c:formatCode>
                <c:ptCount val="15"/>
                <c:pt idx="0">
                  <c:v>0</c:v>
                </c:pt>
                <c:pt idx="1">
                  <c:v>4.8051948051947999</c:v>
                </c:pt>
                <c:pt idx="2">
                  <c:v>10.519480519480499</c:v>
                </c:pt>
                <c:pt idx="3">
                  <c:v>21.168831168831101</c:v>
                </c:pt>
                <c:pt idx="4">
                  <c:v>27.012987012987001</c:v>
                </c:pt>
                <c:pt idx="5">
                  <c:v>36.233766233766197</c:v>
                </c:pt>
                <c:pt idx="6">
                  <c:v>47.5324675324675</c:v>
                </c:pt>
                <c:pt idx="7">
                  <c:v>58.3116883116883</c:v>
                </c:pt>
                <c:pt idx="8">
                  <c:v>66.6233766233766</c:v>
                </c:pt>
                <c:pt idx="9">
                  <c:v>77.402597402597394</c:v>
                </c:pt>
                <c:pt idx="10">
                  <c:v>91.428571428571402</c:v>
                </c:pt>
                <c:pt idx="11">
                  <c:v>107.012987012987</c:v>
                </c:pt>
                <c:pt idx="12">
                  <c:v>124.80519480519401</c:v>
                </c:pt>
                <c:pt idx="13">
                  <c:v>141.42857142857099</c:v>
                </c:pt>
                <c:pt idx="14">
                  <c:v>151.68831168831099</c:v>
                </c:pt>
              </c:numCache>
            </c:numRef>
          </c:xVal>
          <c:yVal>
            <c:numRef>
              <c:f>'C1E60'!$B$4:$B$18</c:f>
              <c:numCache>
                <c:formatCode>General</c:formatCode>
                <c:ptCount val="15"/>
                <c:pt idx="0">
                  <c:v>0</c:v>
                </c:pt>
                <c:pt idx="1">
                  <c:v>16.434540389972099</c:v>
                </c:pt>
                <c:pt idx="2">
                  <c:v>36.490250696378602</c:v>
                </c:pt>
                <c:pt idx="3">
                  <c:v>64.902506963787999</c:v>
                </c:pt>
                <c:pt idx="4">
                  <c:v>78.5515320334259</c:v>
                </c:pt>
                <c:pt idx="5">
                  <c:v>98.8857938718659</c:v>
                </c:pt>
                <c:pt idx="6">
                  <c:v>115.877437325904</c:v>
                </c:pt>
                <c:pt idx="7">
                  <c:v>127.29805013927501</c:v>
                </c:pt>
                <c:pt idx="8">
                  <c:v>132.03342618384301</c:v>
                </c:pt>
                <c:pt idx="9">
                  <c:v>133.704735376043</c:v>
                </c:pt>
                <c:pt idx="10">
                  <c:v>134.476323119776</c:v>
                </c:pt>
                <c:pt idx="11">
                  <c:v>130.85515320334099</c:v>
                </c:pt>
                <c:pt idx="12">
                  <c:v>125.955431754873</c:v>
                </c:pt>
                <c:pt idx="13">
                  <c:v>119.220055710305</c:v>
                </c:pt>
                <c:pt idx="14">
                  <c:v>116.43454038997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6-4C6C-9B4A-6D27A1B2AAF2}"/>
            </c:ext>
          </c:extLst>
        </c:ser>
        <c:ser>
          <c:idx val="1"/>
          <c:order val="1"/>
          <c:tx>
            <c:v>C1E60_num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'C1E60'!$F$4:$F$79</c:f>
              <c:numCache>
                <c:formatCode>General</c:formatCode>
                <c:ptCount val="76"/>
                <c:pt idx="0">
                  <c:v>0</c:v>
                </c:pt>
                <c:pt idx="1">
                  <c:v>3.4387699999999999</c:v>
                </c:pt>
                <c:pt idx="2">
                  <c:v>6.8741300000000001</c:v>
                </c:pt>
                <c:pt idx="3">
                  <c:v>10.3139</c:v>
                </c:pt>
                <c:pt idx="4">
                  <c:v>13.757199999999999</c:v>
                </c:pt>
                <c:pt idx="5">
                  <c:v>17.203099999999999</c:v>
                </c:pt>
                <c:pt idx="6">
                  <c:v>20.6508</c:v>
                </c:pt>
                <c:pt idx="7">
                  <c:v>24.099599999999999</c:v>
                </c:pt>
                <c:pt idx="8">
                  <c:v>27.548999999999999</c:v>
                </c:pt>
                <c:pt idx="9">
                  <c:v>30.9983</c:v>
                </c:pt>
                <c:pt idx="10">
                  <c:v>34.447099999999999</c:v>
                </c:pt>
                <c:pt idx="11">
                  <c:v>37.8994</c:v>
                </c:pt>
                <c:pt idx="12">
                  <c:v>41.373199999999997</c:v>
                </c:pt>
                <c:pt idx="13">
                  <c:v>44.851599999999998</c:v>
                </c:pt>
                <c:pt idx="14">
                  <c:v>48.334200000000003</c:v>
                </c:pt>
                <c:pt idx="15">
                  <c:v>51.821899999999999</c:v>
                </c:pt>
                <c:pt idx="16">
                  <c:v>55.313899999999997</c:v>
                </c:pt>
                <c:pt idx="17">
                  <c:v>58.7986</c:v>
                </c:pt>
                <c:pt idx="18">
                  <c:v>62.289099999999998</c:v>
                </c:pt>
                <c:pt idx="19">
                  <c:v>65.776200000000003</c:v>
                </c:pt>
                <c:pt idx="20">
                  <c:v>69.285399999999996</c:v>
                </c:pt>
                <c:pt idx="21">
                  <c:v>72.807599999999994</c:v>
                </c:pt>
                <c:pt idx="22">
                  <c:v>76.328500000000005</c:v>
                </c:pt>
                <c:pt idx="23">
                  <c:v>77.214600000000004</c:v>
                </c:pt>
                <c:pt idx="24">
                  <c:v>78.105800000000002</c:v>
                </c:pt>
                <c:pt idx="25">
                  <c:v>78.998800000000003</c:v>
                </c:pt>
                <c:pt idx="26">
                  <c:v>79.892300000000006</c:v>
                </c:pt>
                <c:pt idx="27">
                  <c:v>80.784599999999998</c:v>
                </c:pt>
                <c:pt idx="28">
                  <c:v>81.6755</c:v>
                </c:pt>
                <c:pt idx="29">
                  <c:v>82.565700000000007</c:v>
                </c:pt>
                <c:pt idx="30">
                  <c:v>83.455200000000005</c:v>
                </c:pt>
                <c:pt idx="31">
                  <c:v>84.344099999999997</c:v>
                </c:pt>
                <c:pt idx="32">
                  <c:v>85.232600000000005</c:v>
                </c:pt>
                <c:pt idx="33">
                  <c:v>86.120599999999996</c:v>
                </c:pt>
                <c:pt idx="34">
                  <c:v>87.009200000000007</c:v>
                </c:pt>
                <c:pt idx="35">
                  <c:v>87.899100000000004</c:v>
                </c:pt>
                <c:pt idx="36">
                  <c:v>88.789900000000003</c:v>
                </c:pt>
                <c:pt idx="37">
                  <c:v>89.683999999999997</c:v>
                </c:pt>
                <c:pt idx="38">
                  <c:v>90.585499999999996</c:v>
                </c:pt>
                <c:pt idx="39">
                  <c:v>91.49</c:v>
                </c:pt>
                <c:pt idx="40">
                  <c:v>92.395399999999995</c:v>
                </c:pt>
                <c:pt idx="41">
                  <c:v>93.301000000000002</c:v>
                </c:pt>
                <c:pt idx="42">
                  <c:v>94.205200000000005</c:v>
                </c:pt>
                <c:pt idx="43">
                  <c:v>95.108400000000003</c:v>
                </c:pt>
                <c:pt idx="44">
                  <c:v>96.010800000000003</c:v>
                </c:pt>
                <c:pt idx="45">
                  <c:v>96.912300000000002</c:v>
                </c:pt>
                <c:pt idx="46">
                  <c:v>97.812899999999999</c:v>
                </c:pt>
                <c:pt idx="47">
                  <c:v>98.712900000000005</c:v>
                </c:pt>
                <c:pt idx="48">
                  <c:v>99.6126</c:v>
                </c:pt>
                <c:pt idx="49">
                  <c:v>100.51300000000001</c:v>
                </c:pt>
                <c:pt idx="50">
                  <c:v>101.41500000000001</c:v>
                </c:pt>
                <c:pt idx="51">
                  <c:v>102.316</c:v>
                </c:pt>
                <c:pt idx="52">
                  <c:v>103.218</c:v>
                </c:pt>
                <c:pt idx="53">
                  <c:v>104.119</c:v>
                </c:pt>
                <c:pt idx="54">
                  <c:v>105.01900000000001</c:v>
                </c:pt>
                <c:pt idx="55">
                  <c:v>105.919</c:v>
                </c:pt>
                <c:pt idx="56">
                  <c:v>106.82299999999999</c:v>
                </c:pt>
                <c:pt idx="57">
                  <c:v>107.733</c:v>
                </c:pt>
                <c:pt idx="58">
                  <c:v>108.64400000000001</c:v>
                </c:pt>
                <c:pt idx="59">
                  <c:v>109.557</c:v>
                </c:pt>
                <c:pt idx="60">
                  <c:v>110.46899999999999</c:v>
                </c:pt>
                <c:pt idx="61">
                  <c:v>111.38</c:v>
                </c:pt>
                <c:pt idx="62">
                  <c:v>112.291</c:v>
                </c:pt>
                <c:pt idx="63">
                  <c:v>113.202</c:v>
                </c:pt>
                <c:pt idx="64">
                  <c:v>114.11199999999999</c:v>
                </c:pt>
                <c:pt idx="65">
                  <c:v>115.023</c:v>
                </c:pt>
                <c:pt idx="66">
                  <c:v>115.93300000000001</c:v>
                </c:pt>
                <c:pt idx="67">
                  <c:v>116.842</c:v>
                </c:pt>
                <c:pt idx="68">
                  <c:v>117.753</c:v>
                </c:pt>
                <c:pt idx="69">
                  <c:v>118.664</c:v>
                </c:pt>
                <c:pt idx="70">
                  <c:v>119.57599999999999</c:v>
                </c:pt>
                <c:pt idx="71">
                  <c:v>120.48699999999999</c:v>
                </c:pt>
                <c:pt idx="72">
                  <c:v>121.399</c:v>
                </c:pt>
                <c:pt idx="73">
                  <c:v>122.31</c:v>
                </c:pt>
                <c:pt idx="74">
                  <c:v>123.22</c:v>
                </c:pt>
                <c:pt idx="75">
                  <c:v>124.13</c:v>
                </c:pt>
              </c:numCache>
            </c:numRef>
          </c:xVal>
          <c:yVal>
            <c:numRef>
              <c:f>'C1E60'!$G$4:$G$79</c:f>
              <c:numCache>
                <c:formatCode>General</c:formatCode>
                <c:ptCount val="76"/>
                <c:pt idx="0">
                  <c:v>0</c:v>
                </c:pt>
                <c:pt idx="1">
                  <c:v>16.115300000000001</c:v>
                </c:pt>
                <c:pt idx="2">
                  <c:v>30.879900000000003</c:v>
                </c:pt>
                <c:pt idx="3">
                  <c:v>44.457500000000003</c:v>
                </c:pt>
                <c:pt idx="4">
                  <c:v>56.986600000000003</c:v>
                </c:pt>
                <c:pt idx="5">
                  <c:v>68.585000000000008</c:v>
                </c:pt>
                <c:pt idx="6">
                  <c:v>79.353800000000007</c:v>
                </c:pt>
                <c:pt idx="7">
                  <c:v>89.379600000000011</c:v>
                </c:pt>
                <c:pt idx="8">
                  <c:v>98.737899999999996</c:v>
                </c:pt>
                <c:pt idx="9">
                  <c:v>107.494</c:v>
                </c:pt>
                <c:pt idx="10">
                  <c:v>115.705</c:v>
                </c:pt>
                <c:pt idx="11">
                  <c:v>123.331</c:v>
                </c:pt>
                <c:pt idx="12">
                  <c:v>129.761</c:v>
                </c:pt>
                <c:pt idx="13">
                  <c:v>135.148</c:v>
                </c:pt>
                <c:pt idx="14">
                  <c:v>139.61799999999999</c:v>
                </c:pt>
                <c:pt idx="15">
                  <c:v>143.32599999999999</c:v>
                </c:pt>
                <c:pt idx="16">
                  <c:v>146.31700000000001</c:v>
                </c:pt>
                <c:pt idx="17">
                  <c:v>148.87200000000001</c:v>
                </c:pt>
                <c:pt idx="18">
                  <c:v>150.93700000000001</c:v>
                </c:pt>
                <c:pt idx="19">
                  <c:v>152.63</c:v>
                </c:pt>
                <c:pt idx="20">
                  <c:v>153.84700000000001</c:v>
                </c:pt>
                <c:pt idx="21">
                  <c:v>154.61500000000001</c:v>
                </c:pt>
                <c:pt idx="22">
                  <c:v>155.089</c:v>
                </c:pt>
                <c:pt idx="23">
                  <c:v>155.136</c:v>
                </c:pt>
                <c:pt idx="24">
                  <c:v>155.13499999999999</c:v>
                </c:pt>
                <c:pt idx="25">
                  <c:v>155.10599999999999</c:v>
                </c:pt>
                <c:pt idx="26">
                  <c:v>155.05500000000001</c:v>
                </c:pt>
                <c:pt idx="27">
                  <c:v>154.99199999999999</c:v>
                </c:pt>
                <c:pt idx="28">
                  <c:v>154.923</c:v>
                </c:pt>
                <c:pt idx="29">
                  <c:v>154.846</c:v>
                </c:pt>
                <c:pt idx="30">
                  <c:v>154.761</c:v>
                </c:pt>
                <c:pt idx="31">
                  <c:v>154.67000000000002</c:v>
                </c:pt>
                <c:pt idx="32">
                  <c:v>154.57300000000001</c:v>
                </c:pt>
                <c:pt idx="33">
                  <c:v>154.46700000000001</c:v>
                </c:pt>
                <c:pt idx="34">
                  <c:v>154.35</c:v>
                </c:pt>
                <c:pt idx="35">
                  <c:v>154.21899999999999</c:v>
                </c:pt>
                <c:pt idx="36">
                  <c:v>154.07599999999999</c:v>
                </c:pt>
                <c:pt idx="37">
                  <c:v>153.90899999999999</c:v>
                </c:pt>
                <c:pt idx="38">
                  <c:v>153.703</c:v>
                </c:pt>
                <c:pt idx="39">
                  <c:v>153.47300000000001</c:v>
                </c:pt>
                <c:pt idx="40">
                  <c:v>153.22800000000001</c:v>
                </c:pt>
                <c:pt idx="41">
                  <c:v>152.97200000000001</c:v>
                </c:pt>
                <c:pt idx="42">
                  <c:v>152.71199999999999</c:v>
                </c:pt>
                <c:pt idx="43">
                  <c:v>152.44900000000001</c:v>
                </c:pt>
                <c:pt idx="44">
                  <c:v>152.18299999999999</c:v>
                </c:pt>
                <c:pt idx="45">
                  <c:v>151.91300000000001</c:v>
                </c:pt>
                <c:pt idx="46">
                  <c:v>151.64000000000001</c:v>
                </c:pt>
                <c:pt idx="47">
                  <c:v>151.364</c:v>
                </c:pt>
                <c:pt idx="48">
                  <c:v>151.08500000000001</c:v>
                </c:pt>
                <c:pt idx="49">
                  <c:v>150.798</c:v>
                </c:pt>
                <c:pt idx="50">
                  <c:v>150.505</c:v>
                </c:pt>
                <c:pt idx="51">
                  <c:v>150.20600000000002</c:v>
                </c:pt>
                <c:pt idx="52">
                  <c:v>149.904</c:v>
                </c:pt>
                <c:pt idx="53">
                  <c:v>149.6</c:v>
                </c:pt>
                <c:pt idx="54">
                  <c:v>149.29300000000001</c:v>
                </c:pt>
                <c:pt idx="55">
                  <c:v>148.98400000000001</c:v>
                </c:pt>
                <c:pt idx="56">
                  <c:v>148.661</c:v>
                </c:pt>
                <c:pt idx="57">
                  <c:v>148.31800000000001</c:v>
                </c:pt>
                <c:pt idx="58">
                  <c:v>147.96700000000001</c:v>
                </c:pt>
                <c:pt idx="59">
                  <c:v>147.608</c:v>
                </c:pt>
                <c:pt idx="60">
                  <c:v>147.24600000000001</c:v>
                </c:pt>
                <c:pt idx="61">
                  <c:v>146.88499999999999</c:v>
                </c:pt>
                <c:pt idx="62">
                  <c:v>146.523</c:v>
                </c:pt>
                <c:pt idx="63">
                  <c:v>146.15800000000002</c:v>
                </c:pt>
                <c:pt idx="64">
                  <c:v>145.792</c:v>
                </c:pt>
                <c:pt idx="65">
                  <c:v>145.42400000000001</c:v>
                </c:pt>
                <c:pt idx="66">
                  <c:v>145.05600000000001</c:v>
                </c:pt>
                <c:pt idx="67">
                  <c:v>144.68700000000001</c:v>
                </c:pt>
                <c:pt idx="68">
                  <c:v>144.31399999999999</c:v>
                </c:pt>
                <c:pt idx="69">
                  <c:v>143.93800000000002</c:v>
                </c:pt>
                <c:pt idx="70">
                  <c:v>143.56100000000001</c:v>
                </c:pt>
                <c:pt idx="71">
                  <c:v>143.18200000000002</c:v>
                </c:pt>
                <c:pt idx="72">
                  <c:v>142.803</c:v>
                </c:pt>
                <c:pt idx="73">
                  <c:v>142.423</c:v>
                </c:pt>
                <c:pt idx="74">
                  <c:v>142.04500000000002</c:v>
                </c:pt>
                <c:pt idx="75">
                  <c:v>141.667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6-4C6C-9B4A-6D27A1B2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799551"/>
        <c:axId val="879799071"/>
      </c:scatterChart>
      <c:valAx>
        <c:axId val="8797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99071"/>
        <c:crosses val="autoZero"/>
        <c:crossBetween val="midCat"/>
      </c:valAx>
      <c:valAx>
        <c:axId val="8797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 specimens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C2_10_exp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'C2E10'!$A$4:$A$23</c:f>
              <c:numCache>
                <c:formatCode>General</c:formatCode>
                <c:ptCount val="20"/>
                <c:pt idx="0">
                  <c:v>0</c:v>
                </c:pt>
                <c:pt idx="1">
                  <c:v>0.86760973672014596</c:v>
                </c:pt>
                <c:pt idx="2">
                  <c:v>1.8851367157327801</c:v>
                </c:pt>
                <c:pt idx="3">
                  <c:v>3.4923046366384898</c:v>
                </c:pt>
                <c:pt idx="4">
                  <c:v>5.4943437865513198</c:v>
                </c:pt>
                <c:pt idx="5">
                  <c:v>7.4207843223798902</c:v>
                </c:pt>
                <c:pt idx="6">
                  <c:v>10.118500209652799</c:v>
                </c:pt>
                <c:pt idx="7">
                  <c:v>12.927901485224901</c:v>
                </c:pt>
                <c:pt idx="8">
                  <c:v>15.6398472844437</c:v>
                </c:pt>
                <c:pt idx="9">
                  <c:v>19.0016374991724</c:v>
                </c:pt>
                <c:pt idx="10">
                  <c:v>22.1747313133096</c:v>
                </c:pt>
                <c:pt idx="11">
                  <c:v>25.483627215147902</c:v>
                </c:pt>
                <c:pt idx="12">
                  <c:v>29.580288217509299</c:v>
                </c:pt>
                <c:pt idx="13">
                  <c:v>32.882263368128299</c:v>
                </c:pt>
                <c:pt idx="14">
                  <c:v>35.720689426875197</c:v>
                </c:pt>
                <c:pt idx="15">
                  <c:v>37.626085229404303</c:v>
                </c:pt>
                <c:pt idx="16">
                  <c:v>40.505823935735798</c:v>
                </c:pt>
                <c:pt idx="17">
                  <c:v>45.063209233553202</c:v>
                </c:pt>
                <c:pt idx="18">
                  <c:v>49.479566570299902</c:v>
                </c:pt>
                <c:pt idx="19">
                  <c:v>55.939946593692703</c:v>
                </c:pt>
              </c:numCache>
            </c:numRef>
          </c:xVal>
          <c:yVal>
            <c:numRef>
              <c:f>'C2E10'!$B$4:$B$23</c:f>
              <c:numCache>
                <c:formatCode>General</c:formatCode>
                <c:ptCount val="20"/>
                <c:pt idx="0">
                  <c:v>0</c:v>
                </c:pt>
                <c:pt idx="1">
                  <c:v>50.674552556661602</c:v>
                </c:pt>
                <c:pt idx="2">
                  <c:v>123.496744863505</c:v>
                </c:pt>
                <c:pt idx="3">
                  <c:v>230.300884955752</c:v>
                </c:pt>
                <c:pt idx="4">
                  <c:v>334.064131706132</c:v>
                </c:pt>
                <c:pt idx="5">
                  <c:v>412.94233442941299</c:v>
                </c:pt>
                <c:pt idx="6">
                  <c:v>506.37635998499297</c:v>
                </c:pt>
                <c:pt idx="7">
                  <c:v>579.77834175622797</c:v>
                </c:pt>
                <c:pt idx="8">
                  <c:v>634.36541389887998</c:v>
                </c:pt>
                <c:pt idx="9">
                  <c:v>681.65886169531905</c:v>
                </c:pt>
                <c:pt idx="10">
                  <c:v>718.02952795003603</c:v>
                </c:pt>
                <c:pt idx="11">
                  <c:v>738.00966610023499</c:v>
                </c:pt>
                <c:pt idx="12">
                  <c:v>743.41032374815097</c:v>
                </c:pt>
                <c:pt idx="13">
                  <c:v>733.64853353342198</c:v>
                </c:pt>
                <c:pt idx="14">
                  <c:v>731.78452099838796</c:v>
                </c:pt>
                <c:pt idx="15">
                  <c:v>720.22298236709003</c:v>
                </c:pt>
                <c:pt idx="16">
                  <c:v>695.90007282678198</c:v>
                </c:pt>
                <c:pt idx="17">
                  <c:v>681.26339019707302</c:v>
                </c:pt>
                <c:pt idx="18">
                  <c:v>660.55904486571103</c:v>
                </c:pt>
                <c:pt idx="19">
                  <c:v>624.04219539646397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7-4DCE-A070-0D3129C32F2A}"/>
            </c:ext>
          </c:extLst>
        </c:ser>
        <c:ser>
          <c:idx val="1"/>
          <c:order val="1"/>
          <c:tx>
            <c:v>C2_10_num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'C2E10'!#REF!</c:f>
            </c:numRef>
          </c:xVal>
          <c:yVal>
            <c:numRef>
              <c:f>'C2E10'!#REF!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7-4DCE-A070-0D3129C32F2A}"/>
            </c:ext>
          </c:extLst>
        </c:ser>
        <c:ser>
          <c:idx val="2"/>
          <c:order val="2"/>
          <c:tx>
            <c:v>C2_30_exp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'C2E30'!$A$4:$A$21</c:f>
              <c:numCache>
                <c:formatCode>General</c:formatCode>
                <c:ptCount val="18"/>
                <c:pt idx="0">
                  <c:v>0</c:v>
                </c:pt>
                <c:pt idx="1">
                  <c:v>2.9924569108202901</c:v>
                </c:pt>
                <c:pt idx="2">
                  <c:v>6.2255070288879502</c:v>
                </c:pt>
                <c:pt idx="3">
                  <c:v>9.9689272394235608</c:v>
                </c:pt>
                <c:pt idx="4">
                  <c:v>13.335802087701101</c:v>
                </c:pt>
                <c:pt idx="5">
                  <c:v>16.840032661708499</c:v>
                </c:pt>
                <c:pt idx="6">
                  <c:v>20.155849314766101</c:v>
                </c:pt>
                <c:pt idx="7">
                  <c:v>23.422302650453499</c:v>
                </c:pt>
                <c:pt idx="8">
                  <c:v>27.431677443559199</c:v>
                </c:pt>
                <c:pt idx="9">
                  <c:v>31.903753889612201</c:v>
                </c:pt>
                <c:pt idx="10">
                  <c:v>36.698916425749701</c:v>
                </c:pt>
                <c:pt idx="11">
                  <c:v>43.448979321607403</c:v>
                </c:pt>
                <c:pt idx="12">
                  <c:v>48.149369937986897</c:v>
                </c:pt>
                <c:pt idx="13">
                  <c:v>52.615938031028598</c:v>
                </c:pt>
                <c:pt idx="14">
                  <c:v>57.291364509081198</c:v>
                </c:pt>
                <c:pt idx="15">
                  <c:v>61.547096859620801</c:v>
                </c:pt>
                <c:pt idx="16">
                  <c:v>65.125760819190901</c:v>
                </c:pt>
                <c:pt idx="17">
                  <c:v>70.213819433716594</c:v>
                </c:pt>
              </c:numCache>
            </c:numRef>
          </c:xVal>
          <c:yVal>
            <c:numRef>
              <c:f>'C2E30'!$B$4:$B$21</c:f>
              <c:numCache>
                <c:formatCode>General</c:formatCode>
                <c:ptCount val="18"/>
                <c:pt idx="0">
                  <c:v>0</c:v>
                </c:pt>
                <c:pt idx="1">
                  <c:v>82.205283252046996</c:v>
                </c:pt>
                <c:pt idx="2">
                  <c:v>176.238165647827</c:v>
                </c:pt>
                <c:pt idx="3">
                  <c:v>263.58652042460199</c:v>
                </c:pt>
                <c:pt idx="4">
                  <c:v>332.731180897314</c:v>
                </c:pt>
                <c:pt idx="5">
                  <c:v>392.16207269437001</c:v>
                </c:pt>
                <c:pt idx="6">
                  <c:v>441.88413920949802</c:v>
                </c:pt>
                <c:pt idx="7">
                  <c:v>479.4673493258</c:v>
                </c:pt>
                <c:pt idx="8">
                  <c:v>509.75552269768002</c:v>
                </c:pt>
                <c:pt idx="9">
                  <c:v>528.50404961048605</c:v>
                </c:pt>
                <c:pt idx="10">
                  <c:v>535.715048661531</c:v>
                </c:pt>
                <c:pt idx="11">
                  <c:v>544.110343610001</c:v>
                </c:pt>
                <c:pt idx="12">
                  <c:v>544.03901750049602</c:v>
                </c:pt>
                <c:pt idx="13">
                  <c:v>539.11539734733901</c:v>
                </c:pt>
                <c:pt idx="14">
                  <c:v>531.76068677862804</c:v>
                </c:pt>
                <c:pt idx="15">
                  <c:v>520.77046322247395</c:v>
                </c:pt>
                <c:pt idx="16">
                  <c:v>500.07882947498501</c:v>
                </c:pt>
                <c:pt idx="17">
                  <c:v>466.01072539889202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7-4DCE-A070-0D3129C32F2A}"/>
            </c:ext>
          </c:extLst>
        </c:ser>
        <c:ser>
          <c:idx val="3"/>
          <c:order val="3"/>
          <c:tx>
            <c:v>C2_30_num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'C2E30'!$A$4:$A$21</c:f>
              <c:numCache>
                <c:formatCode>General</c:formatCode>
                <c:ptCount val="18"/>
                <c:pt idx="0">
                  <c:v>0</c:v>
                </c:pt>
                <c:pt idx="1">
                  <c:v>2.9924569108202901</c:v>
                </c:pt>
                <c:pt idx="2">
                  <c:v>6.2255070288879502</c:v>
                </c:pt>
                <c:pt idx="3">
                  <c:v>9.9689272394235608</c:v>
                </c:pt>
                <c:pt idx="4">
                  <c:v>13.335802087701101</c:v>
                </c:pt>
                <c:pt idx="5">
                  <c:v>16.840032661708499</c:v>
                </c:pt>
                <c:pt idx="6">
                  <c:v>20.155849314766101</c:v>
                </c:pt>
                <c:pt idx="7">
                  <c:v>23.422302650453499</c:v>
                </c:pt>
                <c:pt idx="8">
                  <c:v>27.431677443559199</c:v>
                </c:pt>
                <c:pt idx="9">
                  <c:v>31.903753889612201</c:v>
                </c:pt>
                <c:pt idx="10">
                  <c:v>36.698916425749701</c:v>
                </c:pt>
                <c:pt idx="11">
                  <c:v>43.448979321607403</c:v>
                </c:pt>
                <c:pt idx="12">
                  <c:v>48.149369937986897</c:v>
                </c:pt>
                <c:pt idx="13">
                  <c:v>52.615938031028598</c:v>
                </c:pt>
                <c:pt idx="14">
                  <c:v>57.291364509081198</c:v>
                </c:pt>
                <c:pt idx="15">
                  <c:v>61.547096859620801</c:v>
                </c:pt>
                <c:pt idx="16">
                  <c:v>65.125760819190901</c:v>
                </c:pt>
                <c:pt idx="17">
                  <c:v>70.213819433716594</c:v>
                </c:pt>
              </c:numCache>
            </c:numRef>
          </c:xVal>
          <c:yVal>
            <c:numRef>
              <c:f>'C2E30'!$B$4:$B$21</c:f>
              <c:numCache>
                <c:formatCode>General</c:formatCode>
                <c:ptCount val="18"/>
                <c:pt idx="0">
                  <c:v>0</c:v>
                </c:pt>
                <c:pt idx="1">
                  <c:v>82.205283252046996</c:v>
                </c:pt>
                <c:pt idx="2">
                  <c:v>176.238165647827</c:v>
                </c:pt>
                <c:pt idx="3">
                  <c:v>263.58652042460199</c:v>
                </c:pt>
                <c:pt idx="4">
                  <c:v>332.731180897314</c:v>
                </c:pt>
                <c:pt idx="5">
                  <c:v>392.16207269437001</c:v>
                </c:pt>
                <c:pt idx="6">
                  <c:v>441.88413920949802</c:v>
                </c:pt>
                <c:pt idx="7">
                  <c:v>479.4673493258</c:v>
                </c:pt>
                <c:pt idx="8">
                  <c:v>509.75552269768002</c:v>
                </c:pt>
                <c:pt idx="9">
                  <c:v>528.50404961048605</c:v>
                </c:pt>
                <c:pt idx="10">
                  <c:v>535.715048661531</c:v>
                </c:pt>
                <c:pt idx="11">
                  <c:v>544.110343610001</c:v>
                </c:pt>
                <c:pt idx="12">
                  <c:v>544.03901750049602</c:v>
                </c:pt>
                <c:pt idx="13">
                  <c:v>539.11539734733901</c:v>
                </c:pt>
                <c:pt idx="14">
                  <c:v>531.76068677862804</c:v>
                </c:pt>
                <c:pt idx="15">
                  <c:v>520.77046322247395</c:v>
                </c:pt>
                <c:pt idx="16">
                  <c:v>500.07882947498501</c:v>
                </c:pt>
                <c:pt idx="17">
                  <c:v>466.01072539889202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C7-4DCE-A070-0D3129C32F2A}"/>
            </c:ext>
          </c:extLst>
        </c:ser>
        <c:ser>
          <c:idx val="4"/>
          <c:order val="4"/>
          <c:tx>
            <c:v>C2_30_num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'C2E30'!#REF!</c:f>
            </c:numRef>
          </c:xVal>
          <c:yVal>
            <c:numRef>
              <c:f>'C2E30'!#REF!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C7-4DCE-A070-0D3129C32F2A}"/>
            </c:ext>
          </c:extLst>
        </c:ser>
        <c:ser>
          <c:idx val="5"/>
          <c:order val="5"/>
          <c:tx>
            <c:v>C2_80_exp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'C2E80'!$A$4:$A$18</c:f>
              <c:numCache>
                <c:formatCode>General</c:formatCode>
                <c:ptCount val="15"/>
                <c:pt idx="0">
                  <c:v>0</c:v>
                </c:pt>
                <c:pt idx="1">
                  <c:v>3.68135413678193</c:v>
                </c:pt>
                <c:pt idx="2">
                  <c:v>6.7138437093107903</c:v>
                </c:pt>
                <c:pt idx="3">
                  <c:v>11.053790303003501</c:v>
                </c:pt>
                <c:pt idx="4">
                  <c:v>15.4387217796217</c:v>
                </c:pt>
                <c:pt idx="5">
                  <c:v>21.2213625228963</c:v>
                </c:pt>
                <c:pt idx="6">
                  <c:v>26.7223710634917</c:v>
                </c:pt>
                <c:pt idx="7">
                  <c:v>31.661810076578401</c:v>
                </c:pt>
                <c:pt idx="8">
                  <c:v>37.111336702491499</c:v>
                </c:pt>
                <c:pt idx="9">
                  <c:v>42.931052898726598</c:v>
                </c:pt>
                <c:pt idx="10">
                  <c:v>50.099397523889301</c:v>
                </c:pt>
                <c:pt idx="11">
                  <c:v>56.103149206629404</c:v>
                </c:pt>
                <c:pt idx="12">
                  <c:v>62.246233972590602</c:v>
                </c:pt>
                <c:pt idx="13">
                  <c:v>69.503418445037795</c:v>
                </c:pt>
                <c:pt idx="14">
                  <c:v>75.455264493633095</c:v>
                </c:pt>
              </c:numCache>
            </c:numRef>
          </c:xVal>
          <c:yVal>
            <c:numRef>
              <c:f>'C2E80'!$B$4:$B$18</c:f>
              <c:numCache>
                <c:formatCode>General</c:formatCode>
                <c:ptCount val="15"/>
                <c:pt idx="0">
                  <c:v>0</c:v>
                </c:pt>
                <c:pt idx="1">
                  <c:v>42.741111822214499</c:v>
                </c:pt>
                <c:pt idx="2">
                  <c:v>74.865049764968205</c:v>
                </c:pt>
                <c:pt idx="3">
                  <c:v>125.7855361596</c:v>
                </c:pt>
                <c:pt idx="4">
                  <c:v>170.02855692626801</c:v>
                </c:pt>
                <c:pt idx="5">
                  <c:v>220.92715114867599</c:v>
                </c:pt>
                <c:pt idx="6">
                  <c:v>261.51135435746897</c:v>
                </c:pt>
                <c:pt idx="7">
                  <c:v>288.75051309778598</c:v>
                </c:pt>
                <c:pt idx="8">
                  <c:v>308.09118795930499</c:v>
                </c:pt>
                <c:pt idx="9">
                  <c:v>318.32154127954402</c:v>
                </c:pt>
                <c:pt idx="10">
                  <c:v>324.28256791649102</c:v>
                </c:pt>
                <c:pt idx="11">
                  <c:v>325.405424491867</c:v>
                </c:pt>
                <c:pt idx="12">
                  <c:v>325.31220621013802</c:v>
                </c:pt>
                <c:pt idx="13">
                  <c:v>313.062476551982</c:v>
                </c:pt>
                <c:pt idx="14">
                  <c:v>291.120870390395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C7-4DCE-A070-0D3129C32F2A}"/>
            </c:ext>
          </c:extLst>
        </c:ser>
        <c:ser>
          <c:idx val="6"/>
          <c:order val="6"/>
          <c:tx>
            <c:v>C2_80_num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'C2E80'!#REF!</c:f>
            </c:numRef>
          </c:xVal>
          <c:yVal>
            <c:numRef>
              <c:f>'C2E80'!#REF!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C7-4DCE-A070-0D3129C32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37087"/>
        <c:axId val="1922639007"/>
      </c:scatterChart>
      <c:valAx>
        <c:axId val="192263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en-US" sz="12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39007"/>
        <c:crosses val="autoZero"/>
        <c:crossBetween val="midCat"/>
      </c:valAx>
      <c:valAx>
        <c:axId val="1922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3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 specimens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C2_10_exp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'C2E10'!$A$4:$A$23</c:f>
              <c:numCache>
                <c:formatCode>General</c:formatCode>
                <c:ptCount val="20"/>
                <c:pt idx="0">
                  <c:v>0</c:v>
                </c:pt>
                <c:pt idx="1">
                  <c:v>0.86760973672014596</c:v>
                </c:pt>
                <c:pt idx="2">
                  <c:v>1.8851367157327801</c:v>
                </c:pt>
                <c:pt idx="3">
                  <c:v>3.4923046366384898</c:v>
                </c:pt>
                <c:pt idx="4">
                  <c:v>5.4943437865513198</c:v>
                </c:pt>
                <c:pt idx="5">
                  <c:v>7.4207843223798902</c:v>
                </c:pt>
                <c:pt idx="6">
                  <c:v>10.118500209652799</c:v>
                </c:pt>
                <c:pt idx="7">
                  <c:v>12.927901485224901</c:v>
                </c:pt>
                <c:pt idx="8">
                  <c:v>15.6398472844437</c:v>
                </c:pt>
                <c:pt idx="9">
                  <c:v>19.0016374991724</c:v>
                </c:pt>
                <c:pt idx="10">
                  <c:v>22.1747313133096</c:v>
                </c:pt>
                <c:pt idx="11">
                  <c:v>25.483627215147902</c:v>
                </c:pt>
                <c:pt idx="12">
                  <c:v>29.580288217509299</c:v>
                </c:pt>
                <c:pt idx="13">
                  <c:v>32.882263368128299</c:v>
                </c:pt>
                <c:pt idx="14">
                  <c:v>35.720689426875197</c:v>
                </c:pt>
                <c:pt idx="15">
                  <c:v>37.626085229404303</c:v>
                </c:pt>
                <c:pt idx="16">
                  <c:v>40.505823935735798</c:v>
                </c:pt>
                <c:pt idx="17">
                  <c:v>45.063209233553202</c:v>
                </c:pt>
                <c:pt idx="18">
                  <c:v>49.479566570299902</c:v>
                </c:pt>
                <c:pt idx="19">
                  <c:v>55.939946593692703</c:v>
                </c:pt>
              </c:numCache>
            </c:numRef>
          </c:xVal>
          <c:yVal>
            <c:numRef>
              <c:f>'C2E10'!$B$4:$B$23</c:f>
              <c:numCache>
                <c:formatCode>General</c:formatCode>
                <c:ptCount val="20"/>
                <c:pt idx="0">
                  <c:v>0</c:v>
                </c:pt>
                <c:pt idx="1">
                  <c:v>50.674552556661602</c:v>
                </c:pt>
                <c:pt idx="2">
                  <c:v>123.496744863505</c:v>
                </c:pt>
                <c:pt idx="3">
                  <c:v>230.300884955752</c:v>
                </c:pt>
                <c:pt idx="4">
                  <c:v>334.064131706132</c:v>
                </c:pt>
                <c:pt idx="5">
                  <c:v>412.94233442941299</c:v>
                </c:pt>
                <c:pt idx="6">
                  <c:v>506.37635998499297</c:v>
                </c:pt>
                <c:pt idx="7">
                  <c:v>579.77834175622797</c:v>
                </c:pt>
                <c:pt idx="8">
                  <c:v>634.36541389887998</c:v>
                </c:pt>
                <c:pt idx="9">
                  <c:v>681.65886169531905</c:v>
                </c:pt>
                <c:pt idx="10">
                  <c:v>718.02952795003603</c:v>
                </c:pt>
                <c:pt idx="11">
                  <c:v>738.00966610023499</c:v>
                </c:pt>
                <c:pt idx="12">
                  <c:v>743.41032374815097</c:v>
                </c:pt>
                <c:pt idx="13">
                  <c:v>733.64853353342198</c:v>
                </c:pt>
                <c:pt idx="14">
                  <c:v>731.78452099838796</c:v>
                </c:pt>
                <c:pt idx="15">
                  <c:v>720.22298236709003</c:v>
                </c:pt>
                <c:pt idx="16">
                  <c:v>695.90007282678198</c:v>
                </c:pt>
                <c:pt idx="17">
                  <c:v>681.26339019707302</c:v>
                </c:pt>
                <c:pt idx="18">
                  <c:v>660.55904486571103</c:v>
                </c:pt>
                <c:pt idx="19">
                  <c:v>624.04219539646397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A-462C-8007-1030A624C4DE}"/>
            </c:ext>
          </c:extLst>
        </c:ser>
        <c:ser>
          <c:idx val="1"/>
          <c:order val="1"/>
          <c:tx>
            <c:v>C2_10_num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'C2E10'!#REF!</c:f>
            </c:numRef>
          </c:xVal>
          <c:yVal>
            <c:numRef>
              <c:f>'C2E10'!#REF!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AA-462C-8007-1030A624C4DE}"/>
            </c:ext>
          </c:extLst>
        </c:ser>
        <c:ser>
          <c:idx val="2"/>
          <c:order val="2"/>
          <c:tx>
            <c:v>C2_30_exp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'C2E30'!$A$4:$A$21</c:f>
              <c:numCache>
                <c:formatCode>General</c:formatCode>
                <c:ptCount val="18"/>
                <c:pt idx="0">
                  <c:v>0</c:v>
                </c:pt>
                <c:pt idx="1">
                  <c:v>2.9924569108202901</c:v>
                </c:pt>
                <c:pt idx="2">
                  <c:v>6.2255070288879502</c:v>
                </c:pt>
                <c:pt idx="3">
                  <c:v>9.9689272394235608</c:v>
                </c:pt>
                <c:pt idx="4">
                  <c:v>13.335802087701101</c:v>
                </c:pt>
                <c:pt idx="5">
                  <c:v>16.840032661708499</c:v>
                </c:pt>
                <c:pt idx="6">
                  <c:v>20.155849314766101</c:v>
                </c:pt>
                <c:pt idx="7">
                  <c:v>23.422302650453499</c:v>
                </c:pt>
                <c:pt idx="8">
                  <c:v>27.431677443559199</c:v>
                </c:pt>
                <c:pt idx="9">
                  <c:v>31.903753889612201</c:v>
                </c:pt>
                <c:pt idx="10">
                  <c:v>36.698916425749701</c:v>
                </c:pt>
                <c:pt idx="11">
                  <c:v>43.448979321607403</c:v>
                </c:pt>
                <c:pt idx="12">
                  <c:v>48.149369937986897</c:v>
                </c:pt>
                <c:pt idx="13">
                  <c:v>52.615938031028598</c:v>
                </c:pt>
                <c:pt idx="14">
                  <c:v>57.291364509081198</c:v>
                </c:pt>
                <c:pt idx="15">
                  <c:v>61.547096859620801</c:v>
                </c:pt>
                <c:pt idx="16">
                  <c:v>65.125760819190901</c:v>
                </c:pt>
                <c:pt idx="17">
                  <c:v>70.213819433716594</c:v>
                </c:pt>
              </c:numCache>
            </c:numRef>
          </c:xVal>
          <c:yVal>
            <c:numRef>
              <c:f>'C2E30'!$B$4:$B$21</c:f>
              <c:numCache>
                <c:formatCode>General</c:formatCode>
                <c:ptCount val="18"/>
                <c:pt idx="0">
                  <c:v>0</c:v>
                </c:pt>
                <c:pt idx="1">
                  <c:v>82.205283252046996</c:v>
                </c:pt>
                <c:pt idx="2">
                  <c:v>176.238165647827</c:v>
                </c:pt>
                <c:pt idx="3">
                  <c:v>263.58652042460199</c:v>
                </c:pt>
                <c:pt idx="4">
                  <c:v>332.731180897314</c:v>
                </c:pt>
                <c:pt idx="5">
                  <c:v>392.16207269437001</c:v>
                </c:pt>
                <c:pt idx="6">
                  <c:v>441.88413920949802</c:v>
                </c:pt>
                <c:pt idx="7">
                  <c:v>479.4673493258</c:v>
                </c:pt>
                <c:pt idx="8">
                  <c:v>509.75552269768002</c:v>
                </c:pt>
                <c:pt idx="9">
                  <c:v>528.50404961048605</c:v>
                </c:pt>
                <c:pt idx="10">
                  <c:v>535.715048661531</c:v>
                </c:pt>
                <c:pt idx="11">
                  <c:v>544.110343610001</c:v>
                </c:pt>
                <c:pt idx="12">
                  <c:v>544.03901750049602</c:v>
                </c:pt>
                <c:pt idx="13">
                  <c:v>539.11539734733901</c:v>
                </c:pt>
                <c:pt idx="14">
                  <c:v>531.76068677862804</c:v>
                </c:pt>
                <c:pt idx="15">
                  <c:v>520.77046322247395</c:v>
                </c:pt>
                <c:pt idx="16">
                  <c:v>500.07882947498501</c:v>
                </c:pt>
                <c:pt idx="17">
                  <c:v>466.01072539889202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AA-462C-8007-1030A624C4DE}"/>
            </c:ext>
          </c:extLst>
        </c:ser>
        <c:ser>
          <c:idx val="3"/>
          <c:order val="3"/>
          <c:tx>
            <c:v>C2_30_num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'C2E30'!$A$4:$A$21</c:f>
              <c:numCache>
                <c:formatCode>General</c:formatCode>
                <c:ptCount val="18"/>
                <c:pt idx="0">
                  <c:v>0</c:v>
                </c:pt>
                <c:pt idx="1">
                  <c:v>2.9924569108202901</c:v>
                </c:pt>
                <c:pt idx="2">
                  <c:v>6.2255070288879502</c:v>
                </c:pt>
                <c:pt idx="3">
                  <c:v>9.9689272394235608</c:v>
                </c:pt>
                <c:pt idx="4">
                  <c:v>13.335802087701101</c:v>
                </c:pt>
                <c:pt idx="5">
                  <c:v>16.840032661708499</c:v>
                </c:pt>
                <c:pt idx="6">
                  <c:v>20.155849314766101</c:v>
                </c:pt>
                <c:pt idx="7">
                  <c:v>23.422302650453499</c:v>
                </c:pt>
                <c:pt idx="8">
                  <c:v>27.431677443559199</c:v>
                </c:pt>
                <c:pt idx="9">
                  <c:v>31.903753889612201</c:v>
                </c:pt>
                <c:pt idx="10">
                  <c:v>36.698916425749701</c:v>
                </c:pt>
                <c:pt idx="11">
                  <c:v>43.448979321607403</c:v>
                </c:pt>
                <c:pt idx="12">
                  <c:v>48.149369937986897</c:v>
                </c:pt>
                <c:pt idx="13">
                  <c:v>52.615938031028598</c:v>
                </c:pt>
                <c:pt idx="14">
                  <c:v>57.291364509081198</c:v>
                </c:pt>
                <c:pt idx="15">
                  <c:v>61.547096859620801</c:v>
                </c:pt>
                <c:pt idx="16">
                  <c:v>65.125760819190901</c:v>
                </c:pt>
                <c:pt idx="17">
                  <c:v>70.213819433716594</c:v>
                </c:pt>
              </c:numCache>
            </c:numRef>
          </c:xVal>
          <c:yVal>
            <c:numRef>
              <c:f>'C2E30'!$B$4:$B$21</c:f>
              <c:numCache>
                <c:formatCode>General</c:formatCode>
                <c:ptCount val="18"/>
                <c:pt idx="0">
                  <c:v>0</c:v>
                </c:pt>
                <c:pt idx="1">
                  <c:v>82.205283252046996</c:v>
                </c:pt>
                <c:pt idx="2">
                  <c:v>176.238165647827</c:v>
                </c:pt>
                <c:pt idx="3">
                  <c:v>263.58652042460199</c:v>
                </c:pt>
                <c:pt idx="4">
                  <c:v>332.731180897314</c:v>
                </c:pt>
                <c:pt idx="5">
                  <c:v>392.16207269437001</c:v>
                </c:pt>
                <c:pt idx="6">
                  <c:v>441.88413920949802</c:v>
                </c:pt>
                <c:pt idx="7">
                  <c:v>479.4673493258</c:v>
                </c:pt>
                <c:pt idx="8">
                  <c:v>509.75552269768002</c:v>
                </c:pt>
                <c:pt idx="9">
                  <c:v>528.50404961048605</c:v>
                </c:pt>
                <c:pt idx="10">
                  <c:v>535.715048661531</c:v>
                </c:pt>
                <c:pt idx="11">
                  <c:v>544.110343610001</c:v>
                </c:pt>
                <c:pt idx="12">
                  <c:v>544.03901750049602</c:v>
                </c:pt>
                <c:pt idx="13">
                  <c:v>539.11539734733901</c:v>
                </c:pt>
                <c:pt idx="14">
                  <c:v>531.76068677862804</c:v>
                </c:pt>
                <c:pt idx="15">
                  <c:v>520.77046322247395</c:v>
                </c:pt>
                <c:pt idx="16">
                  <c:v>500.07882947498501</c:v>
                </c:pt>
                <c:pt idx="17">
                  <c:v>466.01072539889202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AA-462C-8007-1030A624C4DE}"/>
            </c:ext>
          </c:extLst>
        </c:ser>
        <c:ser>
          <c:idx val="4"/>
          <c:order val="4"/>
          <c:tx>
            <c:v>C2_30_num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'C2E30'!#REF!</c:f>
            </c:numRef>
          </c:xVal>
          <c:yVal>
            <c:numRef>
              <c:f>'C2E30'!#REF!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AA-462C-8007-1030A624C4DE}"/>
            </c:ext>
          </c:extLst>
        </c:ser>
        <c:ser>
          <c:idx val="5"/>
          <c:order val="5"/>
          <c:tx>
            <c:v>C2_80_exp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'C2E80'!$A$4:$A$18</c:f>
              <c:numCache>
                <c:formatCode>General</c:formatCode>
                <c:ptCount val="15"/>
                <c:pt idx="0">
                  <c:v>0</c:v>
                </c:pt>
                <c:pt idx="1">
                  <c:v>3.68135413678193</c:v>
                </c:pt>
                <c:pt idx="2">
                  <c:v>6.7138437093107903</c:v>
                </c:pt>
                <c:pt idx="3">
                  <c:v>11.053790303003501</c:v>
                </c:pt>
                <c:pt idx="4">
                  <c:v>15.4387217796217</c:v>
                </c:pt>
                <c:pt idx="5">
                  <c:v>21.2213625228963</c:v>
                </c:pt>
                <c:pt idx="6">
                  <c:v>26.7223710634917</c:v>
                </c:pt>
                <c:pt idx="7">
                  <c:v>31.661810076578401</c:v>
                </c:pt>
                <c:pt idx="8">
                  <c:v>37.111336702491499</c:v>
                </c:pt>
                <c:pt idx="9">
                  <c:v>42.931052898726598</c:v>
                </c:pt>
                <c:pt idx="10">
                  <c:v>50.099397523889301</c:v>
                </c:pt>
                <c:pt idx="11">
                  <c:v>56.103149206629404</c:v>
                </c:pt>
                <c:pt idx="12">
                  <c:v>62.246233972590602</c:v>
                </c:pt>
                <c:pt idx="13">
                  <c:v>69.503418445037795</c:v>
                </c:pt>
                <c:pt idx="14">
                  <c:v>75.455264493633095</c:v>
                </c:pt>
              </c:numCache>
            </c:numRef>
          </c:xVal>
          <c:yVal>
            <c:numRef>
              <c:f>'C2E80'!$B$4:$B$18</c:f>
              <c:numCache>
                <c:formatCode>General</c:formatCode>
                <c:ptCount val="15"/>
                <c:pt idx="0">
                  <c:v>0</c:v>
                </c:pt>
                <c:pt idx="1">
                  <c:v>42.741111822214499</c:v>
                </c:pt>
                <c:pt idx="2">
                  <c:v>74.865049764968205</c:v>
                </c:pt>
                <c:pt idx="3">
                  <c:v>125.7855361596</c:v>
                </c:pt>
                <c:pt idx="4">
                  <c:v>170.02855692626801</c:v>
                </c:pt>
                <c:pt idx="5">
                  <c:v>220.92715114867599</c:v>
                </c:pt>
                <c:pt idx="6">
                  <c:v>261.51135435746897</c:v>
                </c:pt>
                <c:pt idx="7">
                  <c:v>288.75051309778598</c:v>
                </c:pt>
                <c:pt idx="8">
                  <c:v>308.09118795930499</c:v>
                </c:pt>
                <c:pt idx="9">
                  <c:v>318.32154127954402</c:v>
                </c:pt>
                <c:pt idx="10">
                  <c:v>324.28256791649102</c:v>
                </c:pt>
                <c:pt idx="11">
                  <c:v>325.405424491867</c:v>
                </c:pt>
                <c:pt idx="12">
                  <c:v>325.31220621013802</c:v>
                </c:pt>
                <c:pt idx="13">
                  <c:v>313.062476551982</c:v>
                </c:pt>
                <c:pt idx="14">
                  <c:v>291.120870390395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AA-462C-8007-1030A624C4DE}"/>
            </c:ext>
          </c:extLst>
        </c:ser>
        <c:ser>
          <c:idx val="6"/>
          <c:order val="6"/>
          <c:tx>
            <c:v>C2_80_num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'C2E80'!#REF!</c:f>
            </c:numRef>
          </c:xVal>
          <c:yVal>
            <c:numRef>
              <c:f>'C2E80'!#REF!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AA-462C-8007-1030A624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37087"/>
        <c:axId val="1922639007"/>
      </c:scatterChart>
      <c:valAx>
        <c:axId val="192263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en-US" sz="12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39007"/>
        <c:crosses val="autoZero"/>
        <c:crossBetween val="midCat"/>
      </c:valAx>
      <c:valAx>
        <c:axId val="1922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3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95250</xdr:colOff>
      <xdr:row>4</xdr:row>
      <xdr:rowOff>85725</xdr:rowOff>
    </xdr:from>
    <xdr:to>
      <xdr:col>28</xdr:col>
      <xdr:colOff>31749</xdr:colOff>
      <xdr:row>21</xdr:row>
      <xdr:rowOff>136524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9058F-CBE6-C9DC-3DE3-33C00EF55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50799</xdr:colOff>
      <xdr:row>11</xdr:row>
      <xdr:rowOff>141286</xdr:rowOff>
    </xdr:from>
    <xdr:to>
      <xdr:col>29</xdr:col>
      <xdr:colOff>257175</xdr:colOff>
      <xdr:row>31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647AA-F1B9-1271-A378-3D3D707E7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406400</xdr:colOff>
      <xdr:row>7</xdr:row>
      <xdr:rowOff>98425</xdr:rowOff>
    </xdr:from>
    <xdr:to>
      <xdr:col>26</xdr:col>
      <xdr:colOff>101600</xdr:colOff>
      <xdr:row>21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EE1AC-FF72-14E5-864F-317011D48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24</xdr:row>
      <xdr:rowOff>28574</xdr:rowOff>
    </xdr:from>
    <xdr:to>
      <xdr:col>28</xdr:col>
      <xdr:colOff>514350</xdr:colOff>
      <xdr:row>41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11CEE-74D8-816D-294A-49B37B6E2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</xdr:colOff>
      <xdr:row>24</xdr:row>
      <xdr:rowOff>28574</xdr:rowOff>
    </xdr:from>
    <xdr:to>
      <xdr:col>26</xdr:col>
      <xdr:colOff>514350</xdr:colOff>
      <xdr:row>41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E311B-AA45-43B1-AE23-2B2A6DFAE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9E93-BB5D-4ED5-A996-6BB52E755371}">
  <sheetPr codeName="Sheet1"/>
  <dimension ref="A2:Q104"/>
  <sheetViews>
    <sheetView topLeftCell="A55" workbookViewId="0">
      <selection activeCell="S68" sqref="S68"/>
    </sheetView>
  </sheetViews>
  <sheetFormatPr defaultRowHeight="15" x14ac:dyDescent="0.25"/>
  <sheetData>
    <row r="2" spans="1:17" x14ac:dyDescent="0.25">
      <c r="D2" t="s">
        <v>29</v>
      </c>
      <c r="I2" t="s">
        <v>30</v>
      </c>
      <c r="K2">
        <v>-1</v>
      </c>
      <c r="L2">
        <v>-1E-3</v>
      </c>
      <c r="N2" t="s">
        <v>31</v>
      </c>
    </row>
    <row r="3" spans="1:17" x14ac:dyDescent="0.25">
      <c r="A3" t="s">
        <v>16</v>
      </c>
      <c r="B3" t="s">
        <v>17</v>
      </c>
      <c r="D3" t="s">
        <v>0</v>
      </c>
      <c r="E3" t="s">
        <v>1</v>
      </c>
      <c r="F3" t="s">
        <v>26</v>
      </c>
      <c r="G3" t="s">
        <v>27</v>
      </c>
      <c r="I3" t="s">
        <v>0</v>
      </c>
      <c r="J3" t="s">
        <v>1</v>
      </c>
      <c r="K3" t="s">
        <v>26</v>
      </c>
      <c r="L3" t="s">
        <v>27</v>
      </c>
      <c r="N3" t="s">
        <v>0</v>
      </c>
      <c r="O3" t="s">
        <v>1</v>
      </c>
      <c r="P3" t="s">
        <v>26</v>
      </c>
      <c r="Q3" t="s">
        <v>27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-9.6914199999999992E-3</v>
      </c>
      <c r="L4">
        <v>1.2048E-7</v>
      </c>
      <c r="N4">
        <v>0</v>
      </c>
      <c r="O4">
        <v>0</v>
      </c>
      <c r="P4">
        <v>-1.9369399999999998E-2</v>
      </c>
      <c r="Q4">
        <v>2.20601E-7</v>
      </c>
    </row>
    <row r="5" spans="1:17" x14ac:dyDescent="0.25">
      <c r="A5">
        <v>2.0779220779220702</v>
      </c>
      <c r="B5">
        <v>42.339832869080702</v>
      </c>
      <c r="D5">
        <v>0.5</v>
      </c>
      <c r="E5">
        <v>0.45829799999999998</v>
      </c>
      <c r="F5">
        <v>1.18838</v>
      </c>
      <c r="G5">
        <v>30.760999999999999</v>
      </c>
      <c r="I5">
        <v>0.5</v>
      </c>
      <c r="J5">
        <v>0.45839200000000002</v>
      </c>
      <c r="K5">
        <v>-1.0907500000000001</v>
      </c>
      <c r="L5">
        <v>30.767299999999999</v>
      </c>
      <c r="N5">
        <v>0.5</v>
      </c>
      <c r="O5">
        <v>0.45800200000000002</v>
      </c>
      <c r="P5">
        <v>-1.11063</v>
      </c>
      <c r="Q5">
        <v>30.741099999999999</v>
      </c>
    </row>
    <row r="6" spans="1:17" x14ac:dyDescent="0.25">
      <c r="A6">
        <v>3.3116883116882998</v>
      </c>
      <c r="B6">
        <v>71.866295264623901</v>
      </c>
      <c r="D6">
        <v>1</v>
      </c>
      <c r="E6">
        <v>0.84578600000000004</v>
      </c>
      <c r="F6">
        <v>2.3741699999999999</v>
      </c>
      <c r="G6">
        <v>56.769100000000002</v>
      </c>
      <c r="I6">
        <v>1</v>
      </c>
      <c r="J6">
        <v>0.84604800000000002</v>
      </c>
      <c r="K6">
        <v>-2.1782400000000002</v>
      </c>
      <c r="L6">
        <v>56.786800000000007</v>
      </c>
      <c r="N6">
        <v>1</v>
      </c>
      <c r="O6">
        <v>0.84470699999999999</v>
      </c>
      <c r="P6">
        <v>-2.2082299999999999</v>
      </c>
      <c r="Q6">
        <v>56.6967</v>
      </c>
    </row>
    <row r="7" spans="1:17" x14ac:dyDescent="0.25">
      <c r="A7">
        <v>5.4545454545454497</v>
      </c>
      <c r="B7">
        <v>106.406685236768</v>
      </c>
      <c r="D7">
        <v>1.5</v>
      </c>
      <c r="E7">
        <v>1.1775199999999999</v>
      </c>
      <c r="F7">
        <v>3.5646300000000002</v>
      </c>
      <c r="G7">
        <v>79.035100000000014</v>
      </c>
      <c r="I7">
        <v>1.5</v>
      </c>
      <c r="J7">
        <v>1.1779500000000001</v>
      </c>
      <c r="K7">
        <v>-3.2706200000000001</v>
      </c>
      <c r="L7">
        <v>79.0642</v>
      </c>
      <c r="N7">
        <v>1.5</v>
      </c>
      <c r="O7">
        <v>1.1753400000000001</v>
      </c>
      <c r="P7">
        <v>-3.3106399999999998</v>
      </c>
      <c r="Q7">
        <v>78.888600000000011</v>
      </c>
    </row>
    <row r="8" spans="1:17" x14ac:dyDescent="0.25">
      <c r="A8">
        <v>7.2727272727272601</v>
      </c>
      <c r="B8">
        <v>130.91922005571001</v>
      </c>
      <c r="D8">
        <v>2</v>
      </c>
      <c r="E8">
        <v>1.4646300000000001</v>
      </c>
      <c r="F8">
        <v>4.7587200000000003</v>
      </c>
      <c r="G8">
        <v>98.305800000000005</v>
      </c>
      <c r="I8">
        <v>2</v>
      </c>
      <c r="J8">
        <v>1.4652099999999999</v>
      </c>
      <c r="K8">
        <v>-4.3668199999999997</v>
      </c>
      <c r="L8">
        <v>98.344600000000014</v>
      </c>
      <c r="N8">
        <v>2</v>
      </c>
      <c r="O8">
        <v>1.4611400000000001</v>
      </c>
      <c r="P8">
        <v>-4.4167899999999998</v>
      </c>
      <c r="Q8">
        <v>98.07180000000001</v>
      </c>
    </row>
    <row r="9" spans="1:17" x14ac:dyDescent="0.25">
      <c r="A9">
        <v>9.7402597402597308</v>
      </c>
      <c r="B9">
        <v>156.54596100278499</v>
      </c>
      <c r="D9">
        <v>2.5</v>
      </c>
      <c r="E9">
        <v>1.71549</v>
      </c>
      <c r="F9">
        <v>5.9556899999999997</v>
      </c>
      <c r="G9">
        <v>115.14400000000001</v>
      </c>
      <c r="I9">
        <v>2.5</v>
      </c>
      <c r="J9">
        <v>1.71618</v>
      </c>
      <c r="K9">
        <v>-5.4660399999999996</v>
      </c>
      <c r="L9">
        <v>115.19</v>
      </c>
      <c r="N9">
        <v>2.5</v>
      </c>
      <c r="O9">
        <v>1.71058</v>
      </c>
      <c r="P9">
        <v>-5.5259</v>
      </c>
      <c r="Q9">
        <v>114.81400000000001</v>
      </c>
    </row>
    <row r="10" spans="1:17" x14ac:dyDescent="0.25">
      <c r="A10">
        <v>12.3376623376623</v>
      </c>
      <c r="B10">
        <v>177.71587743732499</v>
      </c>
      <c r="D10">
        <v>3</v>
      </c>
      <c r="E10">
        <v>1.9365399999999999</v>
      </c>
      <c r="F10">
        <v>7.1550000000000002</v>
      </c>
      <c r="G10">
        <v>129.97999999999999</v>
      </c>
      <c r="I10">
        <v>3</v>
      </c>
      <c r="J10">
        <v>1.9373</v>
      </c>
      <c r="K10">
        <v>-6.5677000000000003</v>
      </c>
      <c r="L10">
        <v>130.03200000000001</v>
      </c>
      <c r="N10">
        <v>3</v>
      </c>
      <c r="O10">
        <v>1.93015</v>
      </c>
      <c r="P10">
        <v>-6.6373899999999999</v>
      </c>
      <c r="Q10">
        <v>129.55199999999999</v>
      </c>
    </row>
    <row r="11" spans="1:17" x14ac:dyDescent="0.25">
      <c r="A11">
        <v>15.194805194805101</v>
      </c>
      <c r="B11">
        <v>197.771587743732</v>
      </c>
      <c r="D11">
        <v>3.5</v>
      </c>
      <c r="E11">
        <v>2.1327600000000002</v>
      </c>
      <c r="F11">
        <v>8.3561999999999994</v>
      </c>
      <c r="G11">
        <v>143.15100000000001</v>
      </c>
      <c r="I11">
        <v>3.5</v>
      </c>
      <c r="J11">
        <v>2.1335700000000002</v>
      </c>
      <c r="K11">
        <v>-7.67136</v>
      </c>
      <c r="L11">
        <v>143.20500000000001</v>
      </c>
      <c r="N11">
        <v>3.5</v>
      </c>
      <c r="O11">
        <v>2.12487</v>
      </c>
      <c r="P11">
        <v>-7.7508299999999997</v>
      </c>
      <c r="Q11">
        <v>142.62100000000001</v>
      </c>
    </row>
    <row r="12" spans="1:17" x14ac:dyDescent="0.25">
      <c r="A12">
        <v>18.181818181818102</v>
      </c>
      <c r="B12">
        <v>213.64902506963699</v>
      </c>
      <c r="D12">
        <v>4</v>
      </c>
      <c r="E12">
        <v>2.3081200000000002</v>
      </c>
      <c r="F12">
        <v>9.5589700000000004</v>
      </c>
      <c r="G12">
        <v>154.92099999999999</v>
      </c>
      <c r="I12">
        <v>4</v>
      </c>
      <c r="J12">
        <v>2.3089400000000002</v>
      </c>
      <c r="K12">
        <v>-8.7766699999999993</v>
      </c>
      <c r="L12">
        <v>154.976</v>
      </c>
      <c r="N12">
        <v>4</v>
      </c>
      <c r="O12">
        <v>2.2987199999999999</v>
      </c>
      <c r="P12">
        <v>-8.8658699999999993</v>
      </c>
      <c r="Q12">
        <v>154.29</v>
      </c>
    </row>
    <row r="13" spans="1:17" x14ac:dyDescent="0.25">
      <c r="A13">
        <v>21.428571428571399</v>
      </c>
      <c r="B13">
        <v>228.969359331476</v>
      </c>
      <c r="D13">
        <v>4.5</v>
      </c>
      <c r="E13">
        <v>2.4657499999999999</v>
      </c>
      <c r="F13">
        <v>10.7631</v>
      </c>
      <c r="G13">
        <v>165.501</v>
      </c>
      <c r="I13">
        <v>4.5</v>
      </c>
      <c r="J13">
        <v>2.46658</v>
      </c>
      <c r="K13">
        <v>-9.8833599999999997</v>
      </c>
      <c r="L13">
        <v>165.55700000000002</v>
      </c>
      <c r="N13">
        <v>4.5</v>
      </c>
      <c r="O13">
        <v>2.4548800000000002</v>
      </c>
      <c r="P13">
        <v>-9.9822600000000001</v>
      </c>
      <c r="Q13">
        <v>164.77199999999999</v>
      </c>
    </row>
    <row r="14" spans="1:17" x14ac:dyDescent="0.25">
      <c r="A14">
        <v>24.1558441558441</v>
      </c>
      <c r="B14">
        <v>237.604456824512</v>
      </c>
      <c r="D14">
        <v>5</v>
      </c>
      <c r="E14">
        <v>2.6082299999999998</v>
      </c>
      <c r="F14">
        <v>11.9682</v>
      </c>
      <c r="G14">
        <v>175.06399999999999</v>
      </c>
      <c r="I14">
        <v>5</v>
      </c>
      <c r="J14">
        <v>2.6090200000000001</v>
      </c>
      <c r="K14">
        <v>-10.991199999999999</v>
      </c>
      <c r="L14">
        <v>175.11799999999999</v>
      </c>
      <c r="N14">
        <v>5</v>
      </c>
      <c r="O14">
        <v>2.5959099999999999</v>
      </c>
      <c r="P14">
        <v>-11.0998</v>
      </c>
      <c r="Q14">
        <v>174.23699999999999</v>
      </c>
    </row>
    <row r="15" spans="1:17" x14ac:dyDescent="0.25">
      <c r="A15">
        <v>26.2987012987013</v>
      </c>
      <c r="B15">
        <v>246.51810584958201</v>
      </c>
      <c r="D15">
        <v>5.5</v>
      </c>
      <c r="E15">
        <v>2.7376200000000002</v>
      </c>
      <c r="F15">
        <v>13.174300000000001</v>
      </c>
      <c r="G15">
        <v>183.749</v>
      </c>
      <c r="I15">
        <v>5.5</v>
      </c>
      <c r="J15">
        <v>2.7383799999999998</v>
      </c>
      <c r="K15">
        <v>-12.1</v>
      </c>
      <c r="L15">
        <v>183.8</v>
      </c>
      <c r="N15">
        <v>5.5</v>
      </c>
      <c r="O15">
        <v>2.7239</v>
      </c>
      <c r="P15">
        <v>-12.2182</v>
      </c>
      <c r="Q15">
        <v>182.828</v>
      </c>
    </row>
    <row r="16" spans="1:17" x14ac:dyDescent="0.25">
      <c r="A16">
        <v>28.441558441558399</v>
      </c>
      <c r="B16">
        <v>254.31754874651699</v>
      </c>
      <c r="D16">
        <v>6</v>
      </c>
      <c r="E16">
        <v>2.8556599999999999</v>
      </c>
      <c r="F16">
        <v>14.3812</v>
      </c>
      <c r="G16">
        <v>191.672</v>
      </c>
      <c r="I16">
        <v>6</v>
      </c>
      <c r="J16">
        <v>2.8563700000000001</v>
      </c>
      <c r="K16">
        <v>-13.2097</v>
      </c>
      <c r="L16">
        <v>191.71899999999999</v>
      </c>
      <c r="N16">
        <v>6</v>
      </c>
      <c r="O16">
        <v>2.84057</v>
      </c>
      <c r="P16">
        <v>-13.3375</v>
      </c>
      <c r="Q16">
        <v>190.65899999999999</v>
      </c>
    </row>
    <row r="17" spans="1:17" x14ac:dyDescent="0.25">
      <c r="A17">
        <v>32.987012987013003</v>
      </c>
      <c r="B17">
        <v>258.77437325905203</v>
      </c>
      <c r="D17">
        <v>6.5</v>
      </c>
      <c r="E17">
        <v>2.9637699999999998</v>
      </c>
      <c r="F17">
        <v>15.588699999999999</v>
      </c>
      <c r="G17">
        <v>198.928</v>
      </c>
      <c r="I17">
        <v>6.5</v>
      </c>
      <c r="J17">
        <v>2.9644200000000001</v>
      </c>
      <c r="K17">
        <v>-14.32</v>
      </c>
      <c r="L17">
        <v>198.97200000000001</v>
      </c>
      <c r="N17">
        <v>6.5</v>
      </c>
      <c r="O17">
        <v>2.9473600000000002</v>
      </c>
      <c r="P17">
        <v>-14.4575</v>
      </c>
      <c r="Q17">
        <v>197.827</v>
      </c>
    </row>
    <row r="18" spans="1:17" x14ac:dyDescent="0.25">
      <c r="A18">
        <v>44.545454545454497</v>
      </c>
      <c r="B18">
        <v>265.738161559888</v>
      </c>
      <c r="D18">
        <v>7</v>
      </c>
      <c r="E18">
        <v>3.0631599999999999</v>
      </c>
      <c r="F18">
        <v>16.796800000000001</v>
      </c>
      <c r="G18">
        <v>205.59900000000002</v>
      </c>
      <c r="I18">
        <v>7</v>
      </c>
      <c r="J18">
        <v>3.0637400000000001</v>
      </c>
      <c r="K18">
        <v>-15.430999999999999</v>
      </c>
      <c r="L18">
        <v>205.63800000000001</v>
      </c>
      <c r="N18">
        <v>7</v>
      </c>
      <c r="O18">
        <v>3.0454699999999999</v>
      </c>
      <c r="P18">
        <v>-15.577999999999999</v>
      </c>
      <c r="Q18">
        <v>204.41200000000001</v>
      </c>
    </row>
    <row r="19" spans="1:17" x14ac:dyDescent="0.25">
      <c r="A19">
        <v>54.935064935064901</v>
      </c>
      <c r="B19">
        <v>267.409470752088</v>
      </c>
      <c r="D19">
        <v>7.5</v>
      </c>
      <c r="E19">
        <v>3.1548500000000002</v>
      </c>
      <c r="F19">
        <v>18.005299999999998</v>
      </c>
      <c r="G19">
        <v>211.75300000000001</v>
      </c>
      <c r="I19">
        <v>7.5</v>
      </c>
      <c r="J19">
        <v>3.1553499999999999</v>
      </c>
      <c r="K19">
        <v>-16.5425</v>
      </c>
      <c r="L19">
        <v>211.78700000000001</v>
      </c>
      <c r="N19">
        <v>7.5</v>
      </c>
      <c r="O19">
        <v>3.13591</v>
      </c>
      <c r="P19">
        <v>-16.699000000000002</v>
      </c>
      <c r="Q19">
        <v>210.482</v>
      </c>
    </row>
    <row r="20" spans="1:17" x14ac:dyDescent="0.25">
      <c r="A20">
        <v>66.233766233766204</v>
      </c>
      <c r="B20">
        <v>263.50974930362003</v>
      </c>
      <c r="D20">
        <v>8</v>
      </c>
      <c r="E20">
        <v>3.23969</v>
      </c>
      <c r="F20">
        <v>19.214300000000001</v>
      </c>
      <c r="G20">
        <v>217.44800000000001</v>
      </c>
      <c r="I20">
        <v>8</v>
      </c>
      <c r="J20">
        <v>3.24011</v>
      </c>
      <c r="K20">
        <v>-17.654399999999999</v>
      </c>
      <c r="L20">
        <v>217.476</v>
      </c>
      <c r="N20">
        <v>8</v>
      </c>
      <c r="O20">
        <v>3.21956</v>
      </c>
      <c r="P20">
        <v>-17.820499999999999</v>
      </c>
      <c r="Q20">
        <v>216.09700000000001</v>
      </c>
    </row>
    <row r="21" spans="1:17" x14ac:dyDescent="0.25">
      <c r="A21">
        <v>78.181818181818102</v>
      </c>
      <c r="B21">
        <v>253.76044568245001</v>
      </c>
      <c r="D21">
        <v>8.5</v>
      </c>
      <c r="E21">
        <v>3.3184300000000002</v>
      </c>
      <c r="F21">
        <v>20.423500000000001</v>
      </c>
      <c r="G21">
        <v>222.733</v>
      </c>
      <c r="I21">
        <v>8.5</v>
      </c>
      <c r="J21">
        <v>3.3187600000000002</v>
      </c>
      <c r="K21">
        <v>-18.7668</v>
      </c>
      <c r="L21">
        <v>222.755</v>
      </c>
      <c r="N21">
        <v>8.5</v>
      </c>
      <c r="O21">
        <v>3.2971400000000002</v>
      </c>
      <c r="P21">
        <v>-18.942399999999999</v>
      </c>
      <c r="Q21">
        <v>221.304</v>
      </c>
    </row>
    <row r="22" spans="1:17" x14ac:dyDescent="0.25">
      <c r="A22">
        <v>90.519480519480496</v>
      </c>
      <c r="B22">
        <v>239.83286908077901</v>
      </c>
      <c r="D22">
        <v>9</v>
      </c>
      <c r="E22">
        <v>3.3917000000000002</v>
      </c>
      <c r="F22">
        <v>21.633099999999999</v>
      </c>
      <c r="G22">
        <v>227.65100000000001</v>
      </c>
      <c r="I22">
        <v>9</v>
      </c>
      <c r="J22">
        <v>3.39194</v>
      </c>
      <c r="K22">
        <v>-19.8794</v>
      </c>
      <c r="L22">
        <v>227.667</v>
      </c>
      <c r="N22">
        <v>9</v>
      </c>
      <c r="O22">
        <v>3.3692899999999999</v>
      </c>
      <c r="P22">
        <v>-20.064499999999999</v>
      </c>
      <c r="Q22">
        <v>226.14699999999999</v>
      </c>
    </row>
    <row r="23" spans="1:17" x14ac:dyDescent="0.25">
      <c r="D23">
        <v>9.5</v>
      </c>
      <c r="E23">
        <v>3.4600599999999999</v>
      </c>
      <c r="F23">
        <v>22.8428</v>
      </c>
      <c r="G23">
        <v>232.239</v>
      </c>
      <c r="I23">
        <v>9.5</v>
      </c>
      <c r="J23">
        <v>3.46021</v>
      </c>
      <c r="K23">
        <v>-20.9923</v>
      </c>
      <c r="L23">
        <v>232.249</v>
      </c>
      <c r="N23">
        <v>9.5</v>
      </c>
      <c r="O23">
        <v>3.4365600000000001</v>
      </c>
      <c r="P23">
        <v>-21.186900000000001</v>
      </c>
      <c r="Q23">
        <v>230.66200000000001</v>
      </c>
    </row>
    <row r="24" spans="1:17" x14ac:dyDescent="0.25">
      <c r="D24">
        <v>10</v>
      </c>
      <c r="E24">
        <v>3.52399</v>
      </c>
      <c r="F24">
        <v>24.052800000000001</v>
      </c>
      <c r="G24">
        <v>236.53</v>
      </c>
      <c r="I24">
        <v>10</v>
      </c>
      <c r="J24">
        <v>3.5240399999999998</v>
      </c>
      <c r="K24">
        <v>-22.105399999999999</v>
      </c>
      <c r="L24">
        <v>236.53300000000002</v>
      </c>
      <c r="N24">
        <v>10</v>
      </c>
      <c r="O24">
        <v>3.4994399999999999</v>
      </c>
      <c r="P24">
        <v>-22.3096</v>
      </c>
      <c r="Q24">
        <v>234.88200000000001</v>
      </c>
    </row>
    <row r="25" spans="1:17" x14ac:dyDescent="0.25">
      <c r="D25">
        <v>10.5</v>
      </c>
      <c r="E25">
        <v>3.5838999999999999</v>
      </c>
      <c r="F25">
        <v>25.262799999999999</v>
      </c>
      <c r="G25">
        <v>240.55100000000002</v>
      </c>
      <c r="I25">
        <v>10.5</v>
      </c>
      <c r="J25">
        <v>3.58385</v>
      </c>
      <c r="K25">
        <v>-23.218699999999998</v>
      </c>
      <c r="L25">
        <v>240.548</v>
      </c>
      <c r="N25">
        <v>10.5</v>
      </c>
      <c r="O25">
        <v>3.5583200000000001</v>
      </c>
      <c r="P25">
        <v>-23.432400000000001</v>
      </c>
      <c r="Q25">
        <v>238.83500000000001</v>
      </c>
    </row>
    <row r="26" spans="1:17" x14ac:dyDescent="0.25">
      <c r="D26">
        <v>11</v>
      </c>
      <c r="E26">
        <v>3.6401699999999999</v>
      </c>
      <c r="F26">
        <v>26.472999999999999</v>
      </c>
      <c r="G26">
        <v>244.328</v>
      </c>
      <c r="I26">
        <v>11</v>
      </c>
      <c r="J26">
        <v>3.6400199999999998</v>
      </c>
      <c r="K26">
        <v>-24.3322</v>
      </c>
      <c r="L26">
        <v>244.31800000000001</v>
      </c>
      <c r="N26">
        <v>11</v>
      </c>
      <c r="O26">
        <v>3.6135899999999999</v>
      </c>
      <c r="P26">
        <v>-24.555399999999999</v>
      </c>
      <c r="Q26">
        <v>242.54400000000001</v>
      </c>
    </row>
    <row r="27" spans="1:17" x14ac:dyDescent="0.25">
      <c r="D27">
        <v>11.5</v>
      </c>
      <c r="E27">
        <v>3.6931099999999999</v>
      </c>
      <c r="F27">
        <v>27.683199999999999</v>
      </c>
      <c r="G27">
        <v>247.88200000000001</v>
      </c>
      <c r="I27">
        <v>11.5</v>
      </c>
      <c r="J27">
        <v>3.69286</v>
      </c>
      <c r="K27">
        <v>-25.445799999999998</v>
      </c>
      <c r="L27">
        <v>247.864</v>
      </c>
      <c r="N27">
        <v>11.5</v>
      </c>
      <c r="O27">
        <v>3.6654800000000001</v>
      </c>
      <c r="P27">
        <v>-25.678599999999999</v>
      </c>
      <c r="Q27">
        <v>246.02700000000002</v>
      </c>
    </row>
    <row r="28" spans="1:17" x14ac:dyDescent="0.25">
      <c r="D28">
        <v>12</v>
      </c>
      <c r="E28">
        <v>3.74302</v>
      </c>
      <c r="F28">
        <v>28.8935</v>
      </c>
      <c r="G28">
        <v>251.232</v>
      </c>
      <c r="I28">
        <v>12</v>
      </c>
      <c r="J28">
        <v>3.7426599999999999</v>
      </c>
      <c r="K28">
        <v>-26.5595</v>
      </c>
      <c r="L28">
        <v>251.20699999999999</v>
      </c>
      <c r="N28">
        <v>12</v>
      </c>
      <c r="O28">
        <v>3.7140200000000001</v>
      </c>
      <c r="P28">
        <v>-26.802299999999999</v>
      </c>
      <c r="Q28">
        <v>249.285</v>
      </c>
    </row>
    <row r="29" spans="1:17" x14ac:dyDescent="0.25">
      <c r="D29">
        <v>12.5</v>
      </c>
      <c r="E29">
        <v>3.7899600000000002</v>
      </c>
      <c r="F29">
        <v>30.104099999999999</v>
      </c>
      <c r="G29">
        <v>254.38200000000001</v>
      </c>
      <c r="I29">
        <v>12.5</v>
      </c>
      <c r="J29">
        <v>3.7896700000000001</v>
      </c>
      <c r="K29">
        <v>-27.673300000000001</v>
      </c>
      <c r="L29">
        <v>254.363</v>
      </c>
      <c r="N29">
        <v>12.5</v>
      </c>
      <c r="O29">
        <v>3.7595000000000001</v>
      </c>
      <c r="P29">
        <v>-27.926300000000001</v>
      </c>
      <c r="Q29">
        <v>252.33799999999999</v>
      </c>
    </row>
    <row r="30" spans="1:17" x14ac:dyDescent="0.25">
      <c r="D30">
        <v>13</v>
      </c>
      <c r="E30">
        <v>3.8328700000000002</v>
      </c>
      <c r="F30">
        <v>31.3169</v>
      </c>
      <c r="G30">
        <v>257.262</v>
      </c>
      <c r="I30">
        <v>13</v>
      </c>
      <c r="J30">
        <v>3.8338999999999999</v>
      </c>
      <c r="K30">
        <v>-28.787400000000002</v>
      </c>
      <c r="L30">
        <v>257.33199999999999</v>
      </c>
      <c r="N30">
        <v>13</v>
      </c>
      <c r="O30">
        <v>3.8016200000000002</v>
      </c>
      <c r="P30">
        <v>-29.051300000000001</v>
      </c>
      <c r="Q30">
        <v>255.16499999999999</v>
      </c>
    </row>
    <row r="31" spans="1:17" x14ac:dyDescent="0.25">
      <c r="D31">
        <v>13.5</v>
      </c>
      <c r="E31">
        <v>3.8700600000000001</v>
      </c>
      <c r="F31">
        <v>32.533700000000003</v>
      </c>
      <c r="G31">
        <v>259.75900000000001</v>
      </c>
      <c r="I31">
        <v>13.5</v>
      </c>
      <c r="J31">
        <v>3.87513</v>
      </c>
      <c r="K31">
        <v>-29.9025</v>
      </c>
      <c r="L31">
        <v>260.09899999999999</v>
      </c>
      <c r="N31">
        <v>13.5</v>
      </c>
      <c r="O31">
        <v>3.8397100000000002</v>
      </c>
      <c r="P31">
        <v>-30.1782</v>
      </c>
      <c r="Q31">
        <v>257.721</v>
      </c>
    </row>
    <row r="32" spans="1:17" x14ac:dyDescent="0.25">
      <c r="D32">
        <v>14</v>
      </c>
      <c r="E32">
        <v>3.9004300000000001</v>
      </c>
      <c r="F32">
        <v>33.755200000000002</v>
      </c>
      <c r="G32">
        <v>261.79700000000003</v>
      </c>
      <c r="I32">
        <v>14</v>
      </c>
      <c r="J32">
        <v>3.9124500000000002</v>
      </c>
      <c r="K32">
        <v>-31.019600000000001</v>
      </c>
      <c r="L32">
        <v>262.60399999999998</v>
      </c>
      <c r="N32">
        <v>14</v>
      </c>
      <c r="O32">
        <v>3.8742899999999998</v>
      </c>
      <c r="P32">
        <v>-31.306000000000001</v>
      </c>
      <c r="Q32">
        <v>260.04200000000003</v>
      </c>
    </row>
    <row r="33" spans="4:17" x14ac:dyDescent="0.25">
      <c r="D33">
        <v>14.5</v>
      </c>
      <c r="E33">
        <v>3.9255200000000001</v>
      </c>
      <c r="F33">
        <v>34.978400000000001</v>
      </c>
      <c r="G33">
        <v>263.48099999999999</v>
      </c>
      <c r="I33">
        <v>14.5</v>
      </c>
      <c r="J33">
        <v>3.9456699999999998</v>
      </c>
      <c r="K33">
        <v>-32.1387</v>
      </c>
      <c r="L33">
        <v>264.83300000000003</v>
      </c>
      <c r="N33">
        <v>14.5</v>
      </c>
      <c r="O33">
        <v>3.9055399999999998</v>
      </c>
      <c r="P33">
        <v>-32.434800000000003</v>
      </c>
      <c r="Q33">
        <v>262.14</v>
      </c>
    </row>
    <row r="34" spans="4:17" x14ac:dyDescent="0.25">
      <c r="D34">
        <v>15</v>
      </c>
      <c r="E34">
        <v>3.9472299999999998</v>
      </c>
      <c r="F34">
        <v>36.201500000000003</v>
      </c>
      <c r="G34">
        <v>264.93799999999999</v>
      </c>
      <c r="I34">
        <v>15</v>
      </c>
      <c r="J34">
        <v>3.97445</v>
      </c>
      <c r="K34">
        <v>-33.260199999999998</v>
      </c>
      <c r="L34">
        <v>266.76499999999999</v>
      </c>
      <c r="N34">
        <v>15</v>
      </c>
      <c r="O34">
        <v>3.9327299999999998</v>
      </c>
      <c r="P34">
        <v>-33.565800000000003</v>
      </c>
      <c r="Q34">
        <v>263.96500000000003</v>
      </c>
    </row>
    <row r="35" spans="4:17" x14ac:dyDescent="0.25">
      <c r="D35">
        <v>15.5</v>
      </c>
      <c r="E35">
        <v>3.9655</v>
      </c>
      <c r="F35">
        <v>37.425400000000003</v>
      </c>
      <c r="G35">
        <v>266.16500000000002</v>
      </c>
      <c r="I35">
        <v>15.5</v>
      </c>
      <c r="J35">
        <v>3.9985900000000001</v>
      </c>
      <c r="K35">
        <v>-34.384300000000003</v>
      </c>
      <c r="L35">
        <v>268.38499999999999</v>
      </c>
      <c r="N35">
        <v>15.5</v>
      </c>
      <c r="O35">
        <v>3.9562300000000001</v>
      </c>
      <c r="P35">
        <v>-34.698399999999999</v>
      </c>
      <c r="Q35">
        <v>265.54200000000003</v>
      </c>
    </row>
    <row r="36" spans="4:17" x14ac:dyDescent="0.25">
      <c r="D36">
        <v>16</v>
      </c>
      <c r="E36">
        <v>3.9799600000000002</v>
      </c>
      <c r="F36">
        <v>38.651600000000002</v>
      </c>
      <c r="G36">
        <v>267.13499999999999</v>
      </c>
      <c r="I36">
        <v>16</v>
      </c>
      <c r="J36">
        <v>4.0185899999999997</v>
      </c>
      <c r="K36">
        <v>-35.510100000000001</v>
      </c>
      <c r="L36">
        <v>269.72800000000001</v>
      </c>
      <c r="N36">
        <v>16</v>
      </c>
      <c r="O36">
        <v>3.9764699999999999</v>
      </c>
      <c r="P36">
        <v>-35.832099999999997</v>
      </c>
      <c r="Q36">
        <v>266.90100000000001</v>
      </c>
    </row>
    <row r="37" spans="4:17" x14ac:dyDescent="0.25">
      <c r="D37">
        <v>16.5</v>
      </c>
      <c r="E37">
        <v>3.9903200000000001</v>
      </c>
      <c r="F37">
        <v>39.880299999999998</v>
      </c>
      <c r="G37">
        <v>267.83</v>
      </c>
      <c r="I37">
        <v>16.5</v>
      </c>
      <c r="J37">
        <v>4.0353300000000001</v>
      </c>
      <c r="K37">
        <v>-36.636800000000001</v>
      </c>
      <c r="L37">
        <v>270.851</v>
      </c>
      <c r="N37">
        <v>16.5</v>
      </c>
      <c r="O37">
        <v>3.99356</v>
      </c>
      <c r="P37">
        <v>-36.966999999999999</v>
      </c>
      <c r="Q37">
        <v>268.048</v>
      </c>
    </row>
    <row r="38" spans="4:17" x14ac:dyDescent="0.25">
      <c r="D38">
        <v>17</v>
      </c>
      <c r="E38">
        <v>3.9978199999999999</v>
      </c>
      <c r="F38">
        <v>41.109299999999998</v>
      </c>
      <c r="G38">
        <v>268.33300000000003</v>
      </c>
      <c r="I38">
        <v>17</v>
      </c>
      <c r="J38">
        <v>4.0489199999999999</v>
      </c>
      <c r="K38">
        <v>-37.764600000000002</v>
      </c>
      <c r="L38">
        <v>271.76300000000003</v>
      </c>
      <c r="N38">
        <v>17</v>
      </c>
      <c r="O38">
        <v>4.0070300000000003</v>
      </c>
      <c r="P38">
        <v>-38.104100000000003</v>
      </c>
      <c r="Q38">
        <v>268.952</v>
      </c>
    </row>
    <row r="39" spans="4:17" x14ac:dyDescent="0.25">
      <c r="D39">
        <v>17.5</v>
      </c>
      <c r="E39">
        <v>4.0031699999999999</v>
      </c>
      <c r="F39">
        <v>42.338099999999997</v>
      </c>
      <c r="G39">
        <v>268.69299999999998</v>
      </c>
      <c r="I39">
        <v>17.5</v>
      </c>
      <c r="J39">
        <v>4.0597099999999999</v>
      </c>
      <c r="K39">
        <v>-38.893099999999997</v>
      </c>
      <c r="L39">
        <v>272.488</v>
      </c>
      <c r="N39">
        <v>17.5</v>
      </c>
      <c r="O39">
        <v>4.0174799999999999</v>
      </c>
      <c r="P39">
        <v>-39.242600000000003</v>
      </c>
      <c r="Q39">
        <v>269.65300000000002</v>
      </c>
    </row>
    <row r="40" spans="4:17" x14ac:dyDescent="0.25">
      <c r="D40">
        <v>18</v>
      </c>
      <c r="E40">
        <v>4.0067300000000001</v>
      </c>
      <c r="F40">
        <v>43.566699999999997</v>
      </c>
      <c r="G40">
        <v>268.93200000000002</v>
      </c>
      <c r="I40">
        <v>18</v>
      </c>
      <c r="J40">
        <v>4.0678299999999998</v>
      </c>
      <c r="K40">
        <v>-40.022799999999997</v>
      </c>
      <c r="L40">
        <v>273.03300000000002</v>
      </c>
      <c r="N40">
        <v>18</v>
      </c>
      <c r="O40">
        <v>4.02562</v>
      </c>
      <c r="P40">
        <v>-40.381700000000002</v>
      </c>
      <c r="Q40">
        <v>270.2</v>
      </c>
    </row>
    <row r="41" spans="4:17" x14ac:dyDescent="0.25">
      <c r="D41">
        <v>18.5</v>
      </c>
      <c r="E41">
        <v>4.0082800000000001</v>
      </c>
      <c r="F41">
        <v>44.796300000000002</v>
      </c>
      <c r="G41">
        <v>269.036</v>
      </c>
      <c r="I41">
        <v>18.5</v>
      </c>
      <c r="J41">
        <v>4.0736499999999998</v>
      </c>
      <c r="K41">
        <v>-41.153199999999998</v>
      </c>
      <c r="L41">
        <v>273.423</v>
      </c>
      <c r="N41">
        <v>18.5</v>
      </c>
      <c r="O41">
        <v>4.0315599999999998</v>
      </c>
      <c r="P41">
        <v>-41.5212</v>
      </c>
      <c r="Q41">
        <v>270.59899999999999</v>
      </c>
    </row>
    <row r="42" spans="4:17" x14ac:dyDescent="0.25">
      <c r="D42">
        <v>19</v>
      </c>
      <c r="E42">
        <v>4.0075700000000003</v>
      </c>
      <c r="F42">
        <v>46.027900000000002</v>
      </c>
      <c r="G42">
        <v>268.988</v>
      </c>
      <c r="I42">
        <v>19</v>
      </c>
      <c r="J42">
        <v>4.07721</v>
      </c>
      <c r="K42">
        <v>-42.284700000000001</v>
      </c>
      <c r="L42">
        <v>273.66300000000001</v>
      </c>
      <c r="N42">
        <v>19</v>
      </c>
      <c r="O42">
        <v>4.0352600000000001</v>
      </c>
      <c r="P42">
        <v>-42.661799999999999</v>
      </c>
      <c r="Q42">
        <v>270.84699999999998</v>
      </c>
    </row>
    <row r="43" spans="4:17" x14ac:dyDescent="0.25">
      <c r="D43">
        <v>19.5</v>
      </c>
      <c r="E43">
        <v>4.0044599999999999</v>
      </c>
      <c r="F43">
        <v>47.261899999999997</v>
      </c>
      <c r="G43">
        <v>268.779</v>
      </c>
      <c r="I43">
        <v>19.5</v>
      </c>
      <c r="J43">
        <v>4.0786199999999999</v>
      </c>
      <c r="K43">
        <v>-43.417299999999997</v>
      </c>
      <c r="L43">
        <v>273.75700000000001</v>
      </c>
      <c r="N43">
        <v>19.5</v>
      </c>
      <c r="O43">
        <v>4.0368899999999996</v>
      </c>
      <c r="P43">
        <v>-43.803400000000003</v>
      </c>
      <c r="Q43">
        <v>270.95600000000002</v>
      </c>
    </row>
    <row r="44" spans="4:17" x14ac:dyDescent="0.25">
      <c r="D44">
        <v>20</v>
      </c>
      <c r="E44">
        <v>3.9995699999999998</v>
      </c>
      <c r="F44">
        <v>48.496699999999997</v>
      </c>
      <c r="G44">
        <v>268.45100000000002</v>
      </c>
      <c r="I44">
        <v>20</v>
      </c>
      <c r="J44">
        <v>4.0781099999999997</v>
      </c>
      <c r="K44">
        <v>-44.550600000000003</v>
      </c>
      <c r="L44">
        <v>273.72300000000001</v>
      </c>
      <c r="N44">
        <v>20</v>
      </c>
      <c r="O44">
        <v>4.0368300000000001</v>
      </c>
      <c r="P44">
        <v>-44.945500000000003</v>
      </c>
      <c r="Q44">
        <v>270.952</v>
      </c>
    </row>
    <row r="45" spans="4:17" x14ac:dyDescent="0.25">
      <c r="D45">
        <v>20.5</v>
      </c>
      <c r="E45">
        <v>3.99343</v>
      </c>
      <c r="F45">
        <v>49.731000000000002</v>
      </c>
      <c r="G45">
        <v>268.03899999999999</v>
      </c>
      <c r="I45">
        <v>20.5</v>
      </c>
      <c r="J45">
        <v>4.07613</v>
      </c>
      <c r="K45">
        <v>-45.684100000000001</v>
      </c>
      <c r="L45">
        <v>273.59000000000003</v>
      </c>
      <c r="N45">
        <v>20.5</v>
      </c>
      <c r="O45">
        <v>4.0353199999999996</v>
      </c>
      <c r="P45">
        <v>-46.088099999999997</v>
      </c>
      <c r="Q45">
        <v>270.85000000000002</v>
      </c>
    </row>
    <row r="46" spans="4:17" x14ac:dyDescent="0.25">
      <c r="D46">
        <v>21</v>
      </c>
      <c r="E46">
        <v>3.9865200000000001</v>
      </c>
      <c r="F46">
        <v>50.963999999999999</v>
      </c>
      <c r="G46">
        <v>267.57499999999999</v>
      </c>
      <c r="I46">
        <v>21</v>
      </c>
      <c r="J46">
        <v>4.0728600000000004</v>
      </c>
      <c r="K46">
        <v>-46.817700000000002</v>
      </c>
      <c r="L46">
        <v>273.37</v>
      </c>
      <c r="N46">
        <v>21</v>
      </c>
      <c r="O46">
        <v>4.0324499999999999</v>
      </c>
      <c r="P46">
        <v>-47.231200000000001</v>
      </c>
      <c r="Q46">
        <v>270.65800000000002</v>
      </c>
    </row>
    <row r="47" spans="4:17" x14ac:dyDescent="0.25">
      <c r="D47">
        <v>21.5</v>
      </c>
      <c r="E47">
        <v>3.9791500000000002</v>
      </c>
      <c r="F47">
        <v>52.195300000000003</v>
      </c>
      <c r="G47">
        <v>267.08</v>
      </c>
      <c r="I47">
        <v>21.5</v>
      </c>
      <c r="J47">
        <v>4.0684100000000001</v>
      </c>
      <c r="K47">
        <v>-47.951599999999999</v>
      </c>
      <c r="L47">
        <v>273.072</v>
      </c>
      <c r="N47">
        <v>21.5</v>
      </c>
      <c r="O47">
        <v>4.0281799999999999</v>
      </c>
      <c r="P47">
        <v>-48.374899999999997</v>
      </c>
      <c r="Q47">
        <v>270.37200000000001</v>
      </c>
    </row>
    <row r="48" spans="4:17" x14ac:dyDescent="0.25">
      <c r="D48">
        <v>22</v>
      </c>
      <c r="E48">
        <v>3.9714700000000001</v>
      </c>
      <c r="F48">
        <v>53.4255</v>
      </c>
      <c r="G48">
        <v>266.565</v>
      </c>
      <c r="I48">
        <v>22</v>
      </c>
      <c r="J48">
        <v>4.0628799999999998</v>
      </c>
      <c r="K48">
        <v>-49.085900000000002</v>
      </c>
      <c r="L48">
        <v>272.7</v>
      </c>
      <c r="N48">
        <v>22</v>
      </c>
      <c r="O48">
        <v>4.0227199999999996</v>
      </c>
      <c r="P48">
        <v>-49.519100000000002</v>
      </c>
      <c r="Q48">
        <v>270.005</v>
      </c>
    </row>
    <row r="49" spans="4:17" x14ac:dyDescent="0.25">
      <c r="D49">
        <v>22.5</v>
      </c>
      <c r="E49">
        <v>3.9634200000000002</v>
      </c>
      <c r="F49">
        <v>54.654800000000002</v>
      </c>
      <c r="G49">
        <v>266.02499999999998</v>
      </c>
      <c r="I49">
        <v>22.5</v>
      </c>
      <c r="J49">
        <v>4.0562399999999998</v>
      </c>
      <c r="K49">
        <v>-50.220799999999997</v>
      </c>
      <c r="L49">
        <v>272.255</v>
      </c>
      <c r="N49">
        <v>22.5</v>
      </c>
      <c r="O49">
        <v>4.0162399999999998</v>
      </c>
      <c r="P49">
        <v>-50.663600000000002</v>
      </c>
      <c r="Q49">
        <v>269.57</v>
      </c>
    </row>
    <row r="50" spans="4:17" x14ac:dyDescent="0.25">
      <c r="D50">
        <v>23</v>
      </c>
      <c r="E50">
        <v>3.9547599999999998</v>
      </c>
      <c r="F50">
        <v>55.885199999999998</v>
      </c>
      <c r="G50">
        <v>265.44299999999998</v>
      </c>
      <c r="I50">
        <v>23</v>
      </c>
      <c r="J50">
        <v>4.0486199999999997</v>
      </c>
      <c r="K50">
        <v>-51.356099999999998</v>
      </c>
      <c r="L50">
        <v>271.74299999999999</v>
      </c>
      <c r="N50">
        <v>23</v>
      </c>
      <c r="O50">
        <v>4.0089399999999999</v>
      </c>
      <c r="P50">
        <v>-51.808199999999999</v>
      </c>
      <c r="Q50">
        <v>269.08</v>
      </c>
    </row>
    <row r="51" spans="4:17" x14ac:dyDescent="0.25">
      <c r="D51">
        <v>23.5</v>
      </c>
      <c r="E51">
        <v>3.9452500000000001</v>
      </c>
      <c r="F51">
        <v>57.116799999999998</v>
      </c>
      <c r="G51">
        <v>264.80500000000001</v>
      </c>
      <c r="I51">
        <v>23.5</v>
      </c>
      <c r="J51">
        <v>4.0402399999999998</v>
      </c>
      <c r="K51">
        <v>-52.491500000000002</v>
      </c>
      <c r="L51">
        <v>271.18099999999998</v>
      </c>
      <c r="N51">
        <v>23.5</v>
      </c>
      <c r="O51">
        <v>4.0010000000000003</v>
      </c>
      <c r="P51">
        <v>-52.952500000000001</v>
      </c>
      <c r="Q51">
        <v>268.54700000000003</v>
      </c>
    </row>
    <row r="52" spans="4:17" x14ac:dyDescent="0.25">
      <c r="D52">
        <v>24</v>
      </c>
      <c r="E52">
        <v>3.9346199999999998</v>
      </c>
      <c r="F52">
        <v>58.350200000000001</v>
      </c>
      <c r="G52">
        <v>264.09100000000001</v>
      </c>
      <c r="I52">
        <v>24</v>
      </c>
      <c r="J52">
        <v>4.0312700000000001</v>
      </c>
      <c r="K52">
        <v>-53.626600000000003</v>
      </c>
      <c r="L52">
        <v>270.57900000000001</v>
      </c>
      <c r="N52">
        <v>24</v>
      </c>
      <c r="O52">
        <v>3.9925099999999998</v>
      </c>
      <c r="P52">
        <v>-54.096699999999998</v>
      </c>
      <c r="Q52">
        <v>267.97700000000003</v>
      </c>
    </row>
    <row r="53" spans="4:17" x14ac:dyDescent="0.25">
      <c r="D53">
        <v>24.5</v>
      </c>
      <c r="E53">
        <v>3.9233600000000002</v>
      </c>
      <c r="F53">
        <v>59.584299999999999</v>
      </c>
      <c r="G53">
        <v>263.33600000000001</v>
      </c>
      <c r="I53">
        <v>24.5</v>
      </c>
      <c r="J53">
        <v>4.0218100000000003</v>
      </c>
      <c r="K53">
        <v>-54.761200000000002</v>
      </c>
      <c r="L53">
        <v>269.94400000000002</v>
      </c>
      <c r="N53">
        <v>24.5</v>
      </c>
      <c r="O53">
        <v>3.9834399999999999</v>
      </c>
      <c r="P53">
        <v>-55.240699999999997</v>
      </c>
      <c r="Q53">
        <v>267.36799999999999</v>
      </c>
    </row>
    <row r="54" spans="4:17" x14ac:dyDescent="0.25">
      <c r="D54">
        <v>25</v>
      </c>
      <c r="E54">
        <v>3.9117500000000001</v>
      </c>
      <c r="F54">
        <v>60.817999999999998</v>
      </c>
      <c r="G54">
        <v>262.55700000000002</v>
      </c>
      <c r="I54">
        <v>25</v>
      </c>
      <c r="J54">
        <v>4.0120399999999998</v>
      </c>
      <c r="K54">
        <v>-55.895000000000003</v>
      </c>
      <c r="L54">
        <v>269.28800000000001</v>
      </c>
      <c r="N54">
        <v>25</v>
      </c>
      <c r="O54">
        <v>3.9738000000000002</v>
      </c>
      <c r="P54">
        <v>-56.384799999999998</v>
      </c>
      <c r="Q54">
        <v>266.721</v>
      </c>
    </row>
    <row r="55" spans="4:17" x14ac:dyDescent="0.25">
      <c r="D55">
        <v>25.5</v>
      </c>
      <c r="E55">
        <v>3.89994</v>
      </c>
      <c r="F55">
        <v>62.0505</v>
      </c>
      <c r="G55">
        <v>261.76400000000001</v>
      </c>
      <c r="I55">
        <v>25.5</v>
      </c>
      <c r="J55">
        <v>4.0019999999999998</v>
      </c>
      <c r="K55">
        <v>-57.028399999999998</v>
      </c>
      <c r="L55">
        <v>268.61400000000003</v>
      </c>
      <c r="N55">
        <v>25.5</v>
      </c>
      <c r="O55">
        <v>3.9636900000000002</v>
      </c>
      <c r="P55">
        <v>-57.5289</v>
      </c>
      <c r="Q55">
        <v>266.04300000000001</v>
      </c>
    </row>
    <row r="56" spans="4:17" x14ac:dyDescent="0.25">
      <c r="D56">
        <v>26</v>
      </c>
      <c r="E56">
        <v>3.8881100000000002</v>
      </c>
      <c r="F56">
        <v>63.281599999999997</v>
      </c>
      <c r="G56">
        <v>260.97000000000003</v>
      </c>
      <c r="I56">
        <v>26</v>
      </c>
      <c r="J56">
        <v>3.9917400000000001</v>
      </c>
      <c r="K56">
        <v>-58.1614</v>
      </c>
      <c r="L56">
        <v>267.92500000000001</v>
      </c>
      <c r="N56">
        <v>26</v>
      </c>
      <c r="O56">
        <v>3.9531900000000002</v>
      </c>
      <c r="P56">
        <v>-58.673099999999998</v>
      </c>
      <c r="Q56">
        <v>265.33800000000002</v>
      </c>
    </row>
    <row r="57" spans="4:17" x14ac:dyDescent="0.25">
      <c r="D57">
        <v>26.5</v>
      </c>
      <c r="E57">
        <v>3.8762099999999999</v>
      </c>
      <c r="F57">
        <v>64.511300000000006</v>
      </c>
      <c r="G57">
        <v>260.17099999999999</v>
      </c>
      <c r="I57">
        <v>26.5</v>
      </c>
      <c r="J57">
        <v>3.9811299999999998</v>
      </c>
      <c r="K57">
        <v>-59.294499999999999</v>
      </c>
      <c r="L57">
        <v>267.214</v>
      </c>
      <c r="N57">
        <v>26.5</v>
      </c>
      <c r="O57">
        <v>3.9423599999999999</v>
      </c>
      <c r="P57">
        <v>-59.8172</v>
      </c>
      <c r="Q57">
        <v>264.61099999999999</v>
      </c>
    </row>
    <row r="58" spans="4:17" x14ac:dyDescent="0.25">
      <c r="D58">
        <v>27</v>
      </c>
      <c r="E58">
        <v>3.8640400000000001</v>
      </c>
      <c r="F58">
        <v>65.741299999999995</v>
      </c>
      <c r="G58">
        <v>259.35399999999998</v>
      </c>
      <c r="I58">
        <v>27</v>
      </c>
      <c r="J58">
        <v>3.9701900000000001</v>
      </c>
      <c r="K58">
        <v>-60.427700000000002</v>
      </c>
      <c r="L58">
        <v>266.47899999999998</v>
      </c>
      <c r="N58">
        <v>27</v>
      </c>
      <c r="O58">
        <v>3.9312399999999998</v>
      </c>
      <c r="P58">
        <v>-60.960999999999999</v>
      </c>
      <c r="Q58">
        <v>263.86400000000003</v>
      </c>
    </row>
    <row r="59" spans="4:17" x14ac:dyDescent="0.25">
      <c r="D59">
        <v>27.5</v>
      </c>
      <c r="E59">
        <v>3.8495900000000001</v>
      </c>
      <c r="F59">
        <v>66.981700000000004</v>
      </c>
      <c r="G59">
        <v>258.38499999999999</v>
      </c>
      <c r="I59">
        <v>27.5</v>
      </c>
      <c r="J59">
        <v>3.95892</v>
      </c>
      <c r="K59">
        <v>-61.561</v>
      </c>
      <c r="L59">
        <v>265.72199999999998</v>
      </c>
      <c r="N59">
        <v>27.5</v>
      </c>
      <c r="O59">
        <v>3.9198900000000001</v>
      </c>
      <c r="P59">
        <v>-62.104700000000001</v>
      </c>
      <c r="Q59">
        <v>263.10300000000001</v>
      </c>
    </row>
    <row r="60" spans="4:17" x14ac:dyDescent="0.25">
      <c r="D60">
        <v>28</v>
      </c>
      <c r="E60">
        <v>3.83386</v>
      </c>
      <c r="F60">
        <v>68.226299999999995</v>
      </c>
      <c r="G60">
        <v>257.32900000000001</v>
      </c>
      <c r="I60">
        <v>28</v>
      </c>
      <c r="J60">
        <v>3.9473400000000001</v>
      </c>
      <c r="K60">
        <v>-62.694600000000001</v>
      </c>
      <c r="L60">
        <v>264.94600000000003</v>
      </c>
      <c r="N60">
        <v>28</v>
      </c>
      <c r="O60">
        <v>3.9083299999999999</v>
      </c>
      <c r="P60">
        <v>-63.248199999999997</v>
      </c>
      <c r="Q60">
        <v>262.327</v>
      </c>
    </row>
    <row r="61" spans="4:17" x14ac:dyDescent="0.25">
      <c r="D61">
        <v>28.5</v>
      </c>
      <c r="E61">
        <v>3.8175599999999998</v>
      </c>
      <c r="F61">
        <v>69.4709</v>
      </c>
      <c r="G61">
        <v>256.23500000000001</v>
      </c>
      <c r="I61">
        <v>28.5</v>
      </c>
      <c r="J61">
        <v>3.9355500000000001</v>
      </c>
      <c r="K61">
        <v>-63.828000000000003</v>
      </c>
      <c r="L61">
        <v>264.154</v>
      </c>
      <c r="N61">
        <v>28.5</v>
      </c>
      <c r="O61">
        <v>3.8965100000000001</v>
      </c>
      <c r="P61">
        <v>-64.391900000000007</v>
      </c>
      <c r="Q61">
        <v>261.53399999999999</v>
      </c>
    </row>
    <row r="62" spans="4:17" x14ac:dyDescent="0.25">
      <c r="D62">
        <v>29</v>
      </c>
      <c r="E62">
        <v>3.80125</v>
      </c>
      <c r="F62">
        <v>70.714100000000002</v>
      </c>
      <c r="G62">
        <v>255.14000000000001</v>
      </c>
      <c r="I62">
        <v>29</v>
      </c>
      <c r="J62">
        <v>3.9230499999999999</v>
      </c>
      <c r="K62">
        <v>-64.963899999999995</v>
      </c>
      <c r="L62">
        <v>263.315</v>
      </c>
      <c r="N62">
        <v>29</v>
      </c>
      <c r="O62">
        <v>3.8838200000000001</v>
      </c>
      <c r="P62">
        <v>-65.538700000000006</v>
      </c>
      <c r="Q62">
        <v>260.68200000000002</v>
      </c>
    </row>
    <row r="63" spans="4:17" x14ac:dyDescent="0.25">
      <c r="D63">
        <v>29.5</v>
      </c>
      <c r="E63">
        <v>3.78484</v>
      </c>
      <c r="F63">
        <v>71.956900000000005</v>
      </c>
      <c r="G63">
        <v>254.03800000000001</v>
      </c>
      <c r="I63">
        <v>29.5</v>
      </c>
      <c r="J63">
        <v>3.9091800000000001</v>
      </c>
      <c r="K63">
        <v>-66.105500000000006</v>
      </c>
      <c r="L63">
        <v>262.38400000000001</v>
      </c>
      <c r="N63">
        <v>29.5</v>
      </c>
      <c r="O63">
        <v>3.8698199999999998</v>
      </c>
      <c r="P63">
        <v>-66.691000000000003</v>
      </c>
      <c r="Q63">
        <v>259.74200000000002</v>
      </c>
    </row>
    <row r="64" spans="4:17" x14ac:dyDescent="0.25">
      <c r="D64">
        <v>30</v>
      </c>
      <c r="E64">
        <v>3.7682899999999999</v>
      </c>
      <c r="F64">
        <v>73.199700000000007</v>
      </c>
      <c r="G64">
        <v>252.928</v>
      </c>
      <c r="I64">
        <v>30</v>
      </c>
      <c r="J64">
        <v>3.8941599999999998</v>
      </c>
      <c r="K64">
        <v>-67.250900000000001</v>
      </c>
      <c r="L64">
        <v>261.37600000000003</v>
      </c>
      <c r="N64">
        <v>30</v>
      </c>
      <c r="O64">
        <v>3.8548</v>
      </c>
      <c r="P64">
        <v>-67.846500000000006</v>
      </c>
      <c r="Q64">
        <v>258.73399999999998</v>
      </c>
    </row>
    <row r="65" spans="4:17" x14ac:dyDescent="0.25">
      <c r="D65">
        <v>30.5</v>
      </c>
      <c r="E65">
        <v>3.7514699999999999</v>
      </c>
      <c r="F65">
        <v>74.443600000000004</v>
      </c>
      <c r="G65">
        <v>251.79900000000001</v>
      </c>
      <c r="I65">
        <v>30.5</v>
      </c>
      <c r="J65">
        <v>3.8786399999999999</v>
      </c>
      <c r="K65">
        <v>-68.396500000000003</v>
      </c>
      <c r="L65">
        <v>260.334</v>
      </c>
      <c r="N65">
        <v>30.5</v>
      </c>
      <c r="O65">
        <v>3.83928</v>
      </c>
      <c r="P65">
        <v>-69.002600000000001</v>
      </c>
      <c r="Q65">
        <v>257.69299999999998</v>
      </c>
    </row>
    <row r="66" spans="4:17" x14ac:dyDescent="0.25">
      <c r="D66">
        <v>31</v>
      </c>
      <c r="E66">
        <v>3.73387</v>
      </c>
      <c r="F66">
        <v>75.691900000000004</v>
      </c>
      <c r="G66">
        <v>250.61700000000002</v>
      </c>
      <c r="I66">
        <v>31</v>
      </c>
      <c r="J66">
        <v>3.8630100000000001</v>
      </c>
      <c r="K66">
        <v>-69.540700000000001</v>
      </c>
      <c r="L66">
        <v>259.28500000000003</v>
      </c>
      <c r="N66">
        <v>31</v>
      </c>
      <c r="O66">
        <v>3.8235700000000001</v>
      </c>
      <c r="P66">
        <v>-70.158000000000001</v>
      </c>
      <c r="Q66">
        <v>256.63800000000003</v>
      </c>
    </row>
    <row r="67" spans="4:17" x14ac:dyDescent="0.25">
      <c r="D67">
        <v>31.5</v>
      </c>
      <c r="E67">
        <v>3.7157399999999998</v>
      </c>
      <c r="F67">
        <v>76.941800000000001</v>
      </c>
      <c r="G67">
        <v>249.40100000000001</v>
      </c>
      <c r="I67">
        <v>31.5</v>
      </c>
      <c r="J67">
        <v>3.8473899999999999</v>
      </c>
      <c r="K67">
        <v>-70.683899999999994</v>
      </c>
      <c r="L67">
        <v>258.23700000000002</v>
      </c>
      <c r="N67">
        <v>31.5</v>
      </c>
      <c r="O67">
        <v>3.8077299999999998</v>
      </c>
      <c r="P67">
        <v>-71.313000000000002</v>
      </c>
      <c r="Q67">
        <v>255.57500000000002</v>
      </c>
    </row>
    <row r="68" spans="4:17" x14ac:dyDescent="0.25">
      <c r="D68">
        <v>32</v>
      </c>
      <c r="E68">
        <v>3.6968100000000002</v>
      </c>
      <c r="F68">
        <v>78.195899999999995</v>
      </c>
      <c r="G68">
        <v>248.13</v>
      </c>
      <c r="I68">
        <v>32</v>
      </c>
      <c r="J68">
        <v>3.8318099999999999</v>
      </c>
      <c r="K68">
        <v>-71.826300000000003</v>
      </c>
      <c r="L68">
        <v>257.19100000000003</v>
      </c>
      <c r="N68">
        <v>32</v>
      </c>
      <c r="O68">
        <v>3.79183</v>
      </c>
      <c r="P68">
        <v>-72.467600000000004</v>
      </c>
      <c r="Q68">
        <v>254.50800000000001</v>
      </c>
    </row>
    <row r="69" spans="4:17" x14ac:dyDescent="0.25">
      <c r="D69">
        <v>32.5</v>
      </c>
      <c r="E69">
        <v>3.6760899999999999</v>
      </c>
      <c r="F69">
        <v>79.462100000000007</v>
      </c>
      <c r="G69">
        <v>246.739</v>
      </c>
      <c r="I69">
        <v>32.5</v>
      </c>
      <c r="J69">
        <v>3.8161999999999998</v>
      </c>
      <c r="K69">
        <v>-72.968699999999998</v>
      </c>
      <c r="L69">
        <v>256.14300000000003</v>
      </c>
      <c r="N69">
        <v>32.5</v>
      </c>
      <c r="O69">
        <v>3.77576</v>
      </c>
      <c r="P69">
        <v>-73.622399999999999</v>
      </c>
      <c r="Q69">
        <v>253.429</v>
      </c>
    </row>
    <row r="70" spans="4:17" x14ac:dyDescent="0.25">
      <c r="D70">
        <v>33</v>
      </c>
      <c r="E70">
        <v>3.65462</v>
      </c>
      <c r="F70">
        <v>80.731800000000007</v>
      </c>
      <c r="G70">
        <v>245.298</v>
      </c>
      <c r="I70">
        <v>33</v>
      </c>
      <c r="J70">
        <v>3.8002699999999998</v>
      </c>
      <c r="K70">
        <v>-74.112700000000004</v>
      </c>
      <c r="L70">
        <v>255.07400000000001</v>
      </c>
      <c r="N70">
        <v>33</v>
      </c>
      <c r="O70">
        <v>3.7590699999999999</v>
      </c>
      <c r="P70">
        <v>-74.781000000000006</v>
      </c>
      <c r="Q70">
        <v>252.30799999999999</v>
      </c>
    </row>
    <row r="71" spans="4:17" x14ac:dyDescent="0.25">
      <c r="D71">
        <v>33.5</v>
      </c>
      <c r="E71">
        <v>3.6331899999999999</v>
      </c>
      <c r="F71">
        <v>81.999700000000004</v>
      </c>
      <c r="G71">
        <v>243.86</v>
      </c>
      <c r="I71">
        <v>33.5</v>
      </c>
      <c r="J71">
        <v>3.7832400000000002</v>
      </c>
      <c r="K71">
        <v>-75.263300000000001</v>
      </c>
      <c r="L71">
        <v>253.93100000000001</v>
      </c>
      <c r="N71">
        <v>33.5</v>
      </c>
      <c r="O71">
        <v>3.7412399999999999</v>
      </c>
      <c r="P71">
        <v>-75.9465</v>
      </c>
      <c r="Q71">
        <v>251.11199999999999</v>
      </c>
    </row>
    <row r="72" spans="4:17" x14ac:dyDescent="0.25">
      <c r="D72">
        <v>34</v>
      </c>
      <c r="E72">
        <v>3.6117499999999998</v>
      </c>
      <c r="F72">
        <v>83.266300000000001</v>
      </c>
      <c r="G72">
        <v>242.42099999999999</v>
      </c>
      <c r="I72">
        <v>34</v>
      </c>
      <c r="J72">
        <v>3.76478</v>
      </c>
      <c r="K72">
        <v>-76.421899999999994</v>
      </c>
      <c r="L72">
        <v>252.69200000000001</v>
      </c>
      <c r="N72">
        <v>34</v>
      </c>
      <c r="O72">
        <v>3.7223000000000002</v>
      </c>
      <c r="P72">
        <v>-77.118099999999998</v>
      </c>
      <c r="Q72">
        <v>249.84100000000001</v>
      </c>
    </row>
    <row r="73" spans="4:17" x14ac:dyDescent="0.25">
      <c r="D73">
        <v>34.5</v>
      </c>
      <c r="E73">
        <v>3.5904099999999999</v>
      </c>
      <c r="F73">
        <v>84.531499999999994</v>
      </c>
      <c r="G73">
        <v>240.988</v>
      </c>
      <c r="I73">
        <v>34.5</v>
      </c>
      <c r="J73">
        <v>3.7455599999999998</v>
      </c>
      <c r="K73">
        <v>-77.583699999999993</v>
      </c>
      <c r="L73">
        <v>251.40200000000002</v>
      </c>
      <c r="N73">
        <v>34.5</v>
      </c>
      <c r="O73">
        <v>3.7028300000000001</v>
      </c>
      <c r="P73">
        <v>-78.291300000000007</v>
      </c>
      <c r="Q73">
        <v>248.53399999999999</v>
      </c>
    </row>
    <row r="74" spans="4:17" x14ac:dyDescent="0.25">
      <c r="D74">
        <v>35</v>
      </c>
      <c r="E74">
        <v>3.5691999999999999</v>
      </c>
      <c r="F74">
        <v>85.795599999999993</v>
      </c>
      <c r="G74">
        <v>239.565</v>
      </c>
      <c r="I74">
        <v>35</v>
      </c>
      <c r="J74">
        <v>3.726</v>
      </c>
      <c r="K74">
        <v>-78.745999999999995</v>
      </c>
      <c r="L74">
        <v>250.089</v>
      </c>
      <c r="N74">
        <v>35</v>
      </c>
      <c r="O74">
        <v>3.6831700000000001</v>
      </c>
      <c r="P74">
        <v>-79.464200000000005</v>
      </c>
      <c r="Q74">
        <v>247.214</v>
      </c>
    </row>
    <row r="75" spans="4:17" x14ac:dyDescent="0.25">
      <c r="D75">
        <v>35.5</v>
      </c>
      <c r="E75">
        <v>3.5479799999999999</v>
      </c>
      <c r="F75">
        <v>87.060299999999998</v>
      </c>
      <c r="G75">
        <v>238.14000000000001</v>
      </c>
      <c r="I75">
        <v>35.5</v>
      </c>
      <c r="J75">
        <v>3.7063899999999999</v>
      </c>
      <c r="K75">
        <v>-79.907600000000002</v>
      </c>
      <c r="L75">
        <v>248.773</v>
      </c>
      <c r="N75">
        <v>35.5</v>
      </c>
      <c r="O75">
        <v>3.6634600000000002</v>
      </c>
      <c r="P75">
        <v>-80.636399999999995</v>
      </c>
      <c r="Q75">
        <v>245.89099999999999</v>
      </c>
    </row>
    <row r="76" spans="4:17" x14ac:dyDescent="0.25">
      <c r="D76">
        <v>36</v>
      </c>
      <c r="E76">
        <v>3.5266099999999998</v>
      </c>
      <c r="F76">
        <v>88.326800000000006</v>
      </c>
      <c r="G76">
        <v>236.70600000000002</v>
      </c>
      <c r="I76">
        <v>36</v>
      </c>
      <c r="J76">
        <v>3.6867700000000001</v>
      </c>
      <c r="K76">
        <v>-81.068600000000004</v>
      </c>
      <c r="L76">
        <v>247.45600000000002</v>
      </c>
      <c r="N76">
        <v>36</v>
      </c>
      <c r="O76">
        <v>3.6438000000000001</v>
      </c>
      <c r="P76">
        <v>-81.8078</v>
      </c>
      <c r="Q76">
        <v>244.572</v>
      </c>
    </row>
    <row r="77" spans="4:17" x14ac:dyDescent="0.25">
      <c r="D77">
        <v>36.5</v>
      </c>
      <c r="E77">
        <v>3.50528</v>
      </c>
      <c r="F77">
        <v>89.593500000000006</v>
      </c>
      <c r="G77">
        <v>235.274</v>
      </c>
      <c r="I77">
        <v>36.5</v>
      </c>
      <c r="J77">
        <v>3.6672099999999999</v>
      </c>
      <c r="K77">
        <v>-82.228700000000003</v>
      </c>
      <c r="L77">
        <v>246.143</v>
      </c>
      <c r="N77">
        <v>36.5</v>
      </c>
      <c r="O77">
        <v>3.6241699999999999</v>
      </c>
      <c r="P77">
        <v>-82.978800000000007</v>
      </c>
      <c r="Q77">
        <v>243.25400000000002</v>
      </c>
    </row>
    <row r="78" spans="4:17" x14ac:dyDescent="0.25">
      <c r="D78">
        <v>37</v>
      </c>
      <c r="E78">
        <v>3.484</v>
      </c>
      <c r="F78">
        <v>90.859800000000007</v>
      </c>
      <c r="G78">
        <v>233.846</v>
      </c>
      <c r="I78">
        <v>37</v>
      </c>
      <c r="J78">
        <v>3.6476299999999999</v>
      </c>
      <c r="K78">
        <v>-83.388800000000003</v>
      </c>
      <c r="L78">
        <v>244.82900000000001</v>
      </c>
      <c r="N78">
        <v>37</v>
      </c>
      <c r="O78">
        <v>3.6045099999999999</v>
      </c>
      <c r="P78">
        <v>-84.150300000000001</v>
      </c>
      <c r="Q78">
        <v>241.934</v>
      </c>
    </row>
    <row r="79" spans="4:17" x14ac:dyDescent="0.25">
      <c r="D79">
        <v>37.5</v>
      </c>
      <c r="E79">
        <v>3.46286</v>
      </c>
      <c r="F79">
        <v>92.125600000000006</v>
      </c>
      <c r="G79">
        <v>232.42699999999999</v>
      </c>
      <c r="I79">
        <v>37.5</v>
      </c>
      <c r="J79">
        <v>3.6280000000000001</v>
      </c>
      <c r="K79">
        <v>-84.549700000000001</v>
      </c>
      <c r="L79">
        <v>243.511</v>
      </c>
      <c r="N79">
        <v>37.5</v>
      </c>
      <c r="O79">
        <v>3.5847699999999998</v>
      </c>
      <c r="P79">
        <v>-85.322900000000004</v>
      </c>
      <c r="Q79">
        <v>240.61</v>
      </c>
    </row>
    <row r="80" spans="4:17" x14ac:dyDescent="0.25">
      <c r="G80">
        <f>MAX(G4:G79)</f>
        <v>269.036</v>
      </c>
      <c r="I80">
        <v>38</v>
      </c>
      <c r="J80">
        <v>3.6082900000000002</v>
      </c>
      <c r="K80">
        <v>-85.711600000000004</v>
      </c>
      <c r="L80">
        <v>242.18800000000002</v>
      </c>
      <c r="Q80">
        <f>MAX(Q4:Q79)</f>
        <v>270.95600000000002</v>
      </c>
    </row>
    <row r="81" spans="9:12" x14ac:dyDescent="0.25">
      <c r="I81">
        <v>38.5</v>
      </c>
      <c r="J81">
        <v>3.58813</v>
      </c>
      <c r="K81">
        <v>-86.877700000000004</v>
      </c>
      <c r="L81">
        <v>240.83500000000001</v>
      </c>
    </row>
    <row r="82" spans="9:12" x14ac:dyDescent="0.25">
      <c r="I82">
        <v>39</v>
      </c>
      <c r="J82">
        <v>3.5674800000000002</v>
      </c>
      <c r="K82">
        <v>-88.048599999999993</v>
      </c>
      <c r="L82">
        <v>239.44900000000001</v>
      </c>
    </row>
    <row r="83" spans="9:12" x14ac:dyDescent="0.25">
      <c r="I83">
        <v>39.5</v>
      </c>
      <c r="J83">
        <v>3.5464199999999999</v>
      </c>
      <c r="K83">
        <v>-89.223100000000002</v>
      </c>
      <c r="L83">
        <v>238.036</v>
      </c>
    </row>
    <row r="84" spans="9:12" x14ac:dyDescent="0.25">
      <c r="I84">
        <v>40</v>
      </c>
      <c r="J84">
        <v>3.5253299999999999</v>
      </c>
      <c r="K84">
        <v>-90.397800000000004</v>
      </c>
      <c r="L84">
        <v>236.62</v>
      </c>
    </row>
    <row r="85" spans="9:12" x14ac:dyDescent="0.25">
      <c r="I85">
        <v>40.5</v>
      </c>
      <c r="J85">
        <v>3.5043299999999999</v>
      </c>
      <c r="K85">
        <v>-91.5715</v>
      </c>
      <c r="L85">
        <v>235.21100000000001</v>
      </c>
    </row>
    <row r="86" spans="9:12" x14ac:dyDescent="0.25">
      <c r="I86">
        <v>41</v>
      </c>
      <c r="J86">
        <v>3.4834800000000001</v>
      </c>
      <c r="K86">
        <v>-92.744399999999999</v>
      </c>
      <c r="L86">
        <v>233.81100000000001</v>
      </c>
    </row>
    <row r="87" spans="9:12" x14ac:dyDescent="0.25">
      <c r="I87">
        <v>41.5</v>
      </c>
      <c r="J87">
        <v>3.46278</v>
      </c>
      <c r="K87">
        <v>-93.916499999999999</v>
      </c>
      <c r="L87">
        <v>232.422</v>
      </c>
    </row>
    <row r="88" spans="9:12" x14ac:dyDescent="0.25">
      <c r="I88">
        <v>42</v>
      </c>
      <c r="J88">
        <v>3.4422199999999998</v>
      </c>
      <c r="K88">
        <v>-95.088399999999993</v>
      </c>
      <c r="L88">
        <v>231.042</v>
      </c>
    </row>
    <row r="89" spans="9:12" x14ac:dyDescent="0.25">
      <c r="I89">
        <v>42.5</v>
      </c>
      <c r="J89">
        <v>3.4217200000000001</v>
      </c>
      <c r="K89">
        <v>-96.261099999999999</v>
      </c>
      <c r="L89">
        <v>229.666</v>
      </c>
    </row>
    <row r="90" spans="9:12" x14ac:dyDescent="0.25">
      <c r="I90">
        <v>43</v>
      </c>
      <c r="J90">
        <v>3.40124</v>
      </c>
      <c r="K90">
        <v>-97.435000000000002</v>
      </c>
      <c r="L90">
        <v>228.291</v>
      </c>
    </row>
    <row r="91" spans="9:12" x14ac:dyDescent="0.25">
      <c r="I91">
        <v>43.5</v>
      </c>
      <c r="J91">
        <v>3.3808600000000002</v>
      </c>
      <c r="K91">
        <v>-98.609300000000005</v>
      </c>
      <c r="L91">
        <v>226.923</v>
      </c>
    </row>
    <row r="92" spans="9:12" x14ac:dyDescent="0.25">
      <c r="I92">
        <v>44</v>
      </c>
      <c r="J92">
        <v>3.36063</v>
      </c>
      <c r="K92">
        <v>-99.783199999999994</v>
      </c>
      <c r="L92">
        <v>225.566</v>
      </c>
    </row>
    <row r="93" spans="9:12" x14ac:dyDescent="0.25">
      <c r="I93">
        <v>44.5</v>
      </c>
      <c r="J93">
        <v>3.34057</v>
      </c>
      <c r="K93">
        <v>-100.95699999999999</v>
      </c>
      <c r="L93">
        <v>224.21899999999999</v>
      </c>
    </row>
    <row r="94" spans="9:12" x14ac:dyDescent="0.25">
      <c r="I94">
        <v>45</v>
      </c>
      <c r="J94">
        <v>3.3204400000000001</v>
      </c>
      <c r="K94">
        <v>-102.133</v>
      </c>
      <c r="L94">
        <v>222.86799999999999</v>
      </c>
    </row>
    <row r="95" spans="9:12" x14ac:dyDescent="0.25">
      <c r="I95">
        <v>45.5</v>
      </c>
      <c r="J95">
        <v>3.30016</v>
      </c>
      <c r="K95">
        <v>-103.313</v>
      </c>
      <c r="L95">
        <v>221.50700000000001</v>
      </c>
    </row>
    <row r="96" spans="9:12" x14ac:dyDescent="0.25">
      <c r="I96">
        <v>46</v>
      </c>
      <c r="J96">
        <v>3.2796599999999998</v>
      </c>
      <c r="K96">
        <v>-104.499</v>
      </c>
      <c r="L96">
        <v>220.131</v>
      </c>
    </row>
    <row r="97" spans="9:12" x14ac:dyDescent="0.25">
      <c r="I97">
        <v>46.5</v>
      </c>
      <c r="J97">
        <v>3.2591700000000001</v>
      </c>
      <c r="K97">
        <v>-105.685</v>
      </c>
      <c r="L97">
        <v>218.755</v>
      </c>
    </row>
    <row r="98" spans="9:12" x14ac:dyDescent="0.25">
      <c r="I98">
        <v>47</v>
      </c>
      <c r="J98">
        <v>3.2387899999999998</v>
      </c>
      <c r="K98">
        <v>-106.872</v>
      </c>
      <c r="L98">
        <v>217.38800000000001</v>
      </c>
    </row>
    <row r="99" spans="9:12" x14ac:dyDescent="0.25">
      <c r="I99">
        <v>47.5</v>
      </c>
      <c r="J99">
        <v>3.2185800000000002</v>
      </c>
      <c r="K99">
        <v>-108.05800000000001</v>
      </c>
      <c r="L99">
        <v>216.03100000000001</v>
      </c>
    </row>
    <row r="100" spans="9:12" x14ac:dyDescent="0.25">
      <c r="I100">
        <v>48</v>
      </c>
      <c r="J100">
        <v>3.1985299999999999</v>
      </c>
      <c r="K100">
        <v>-109.24299999999999</v>
      </c>
      <c r="L100">
        <v>214.685</v>
      </c>
    </row>
    <row r="101" spans="9:12" x14ac:dyDescent="0.25">
      <c r="I101">
        <v>48.5</v>
      </c>
      <c r="J101">
        <v>3.1786699999999999</v>
      </c>
      <c r="K101">
        <v>-110.429</v>
      </c>
      <c r="L101">
        <v>213.352</v>
      </c>
    </row>
    <row r="102" spans="9:12" x14ac:dyDescent="0.25">
      <c r="I102">
        <v>49</v>
      </c>
      <c r="J102">
        <v>3.1589299999999998</v>
      </c>
      <c r="K102">
        <v>-111.61499999999999</v>
      </c>
      <c r="L102">
        <v>212.02700000000002</v>
      </c>
    </row>
    <row r="103" spans="9:12" x14ac:dyDescent="0.25">
      <c r="I103">
        <v>49.5</v>
      </c>
      <c r="J103">
        <v>3.1392500000000001</v>
      </c>
      <c r="K103">
        <v>-112.80200000000001</v>
      </c>
      <c r="L103">
        <v>210.70699999999999</v>
      </c>
    </row>
    <row r="104" spans="9:12" x14ac:dyDescent="0.25">
      <c r="L104">
        <f>MAX(L4:L103)</f>
        <v>273.75700000000001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6FF6-7A8E-4C1B-9C91-288F205E60E2}">
  <sheetPr codeName="Sheet2"/>
  <dimension ref="A2:Q105"/>
  <sheetViews>
    <sheetView topLeftCell="A64" workbookViewId="0">
      <selection activeCell="Q81" sqref="Q81"/>
    </sheetView>
  </sheetViews>
  <sheetFormatPr defaultRowHeight="15" x14ac:dyDescent="0.25"/>
  <sheetData>
    <row r="2" spans="1:17" x14ac:dyDescent="0.25">
      <c r="D2" t="s">
        <v>29</v>
      </c>
      <c r="G2">
        <v>-1E-3</v>
      </c>
      <c r="I2" t="s">
        <v>30</v>
      </c>
      <c r="K2">
        <v>-1</v>
      </c>
      <c r="N2" t="s">
        <v>31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12</v>
      </c>
      <c r="G3" t="s">
        <v>13</v>
      </c>
      <c r="I3" t="s">
        <v>0</v>
      </c>
      <c r="J3" t="s">
        <v>1</v>
      </c>
      <c r="K3" t="s">
        <v>12</v>
      </c>
      <c r="L3" t="s">
        <v>13</v>
      </c>
      <c r="N3" t="s">
        <v>0</v>
      </c>
      <c r="O3" t="s">
        <v>1</v>
      </c>
      <c r="P3" t="s">
        <v>12</v>
      </c>
      <c r="Q3" t="s">
        <v>13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-1.0255200000000001E-2</v>
      </c>
      <c r="L4">
        <v>6.2229000000000008E-8</v>
      </c>
      <c r="N4">
        <v>0</v>
      </c>
      <c r="O4">
        <v>0</v>
      </c>
      <c r="P4">
        <v>-2.03565E-2</v>
      </c>
      <c r="Q4">
        <v>5.4677100000000005E-7</v>
      </c>
    </row>
    <row r="5" spans="1:17" x14ac:dyDescent="0.25">
      <c r="A5">
        <v>2.9870129870129798</v>
      </c>
      <c r="B5">
        <v>26.740947075208801</v>
      </c>
      <c r="D5">
        <v>0.5</v>
      </c>
      <c r="E5">
        <v>0.467945</v>
      </c>
      <c r="F5">
        <v>2.6118299999999999</v>
      </c>
      <c r="G5">
        <v>23.634700000000002</v>
      </c>
      <c r="I5">
        <v>0.5</v>
      </c>
      <c r="J5">
        <v>0.46793600000000002</v>
      </c>
      <c r="K5">
        <v>-2.5450699999999999</v>
      </c>
      <c r="L5">
        <v>23.6343</v>
      </c>
      <c r="N5">
        <v>0.5</v>
      </c>
      <c r="O5">
        <v>0.46763100000000002</v>
      </c>
      <c r="P5">
        <v>-2.5771700000000002</v>
      </c>
      <c r="Q5">
        <v>23.6188</v>
      </c>
    </row>
    <row r="6" spans="1:17" x14ac:dyDescent="0.25">
      <c r="A6">
        <v>5.8441558441558401</v>
      </c>
      <c r="B6">
        <v>49.025069637882901</v>
      </c>
      <c r="D6">
        <v>1</v>
      </c>
      <c r="E6">
        <v>0.87948400000000004</v>
      </c>
      <c r="F6">
        <v>5.2232200000000004</v>
      </c>
      <c r="G6">
        <v>44.420500000000004</v>
      </c>
      <c r="I6">
        <v>1</v>
      </c>
      <c r="J6">
        <v>0.879444</v>
      </c>
      <c r="K6">
        <v>-5.0880200000000002</v>
      </c>
      <c r="L6">
        <v>44.418500000000002</v>
      </c>
      <c r="N6">
        <v>1</v>
      </c>
      <c r="O6">
        <v>0.87835300000000005</v>
      </c>
      <c r="P6">
        <v>-5.14215</v>
      </c>
      <c r="Q6">
        <v>44.363400000000006</v>
      </c>
    </row>
    <row r="7" spans="1:17" x14ac:dyDescent="0.25">
      <c r="A7">
        <v>11.4285714285714</v>
      </c>
      <c r="B7">
        <v>85.236768802228298</v>
      </c>
      <c r="D7">
        <v>1.5</v>
      </c>
      <c r="E7">
        <v>1.2442200000000001</v>
      </c>
      <c r="F7">
        <v>7.8411200000000001</v>
      </c>
      <c r="G7">
        <v>62.842500000000001</v>
      </c>
      <c r="I7">
        <v>1.5</v>
      </c>
      <c r="J7">
        <v>1.24413</v>
      </c>
      <c r="K7">
        <v>-7.6375900000000003</v>
      </c>
      <c r="L7">
        <v>62.838099999999997</v>
      </c>
      <c r="N7">
        <v>1.5</v>
      </c>
      <c r="O7">
        <v>1.24193</v>
      </c>
      <c r="P7">
        <v>-7.7137599999999997</v>
      </c>
      <c r="Q7">
        <v>62.727000000000004</v>
      </c>
    </row>
    <row r="8" spans="1:17" x14ac:dyDescent="0.25">
      <c r="A8">
        <v>16.363636363636299</v>
      </c>
      <c r="B8">
        <v>112.534818941504</v>
      </c>
      <c r="D8">
        <v>2</v>
      </c>
      <c r="E8">
        <v>1.5697099999999999</v>
      </c>
      <c r="F8">
        <v>10.4643</v>
      </c>
      <c r="G8">
        <v>79.282100000000014</v>
      </c>
      <c r="I8">
        <v>2</v>
      </c>
      <c r="J8">
        <v>1.5695600000000001</v>
      </c>
      <c r="K8">
        <v>-10.192600000000001</v>
      </c>
      <c r="L8">
        <v>79.274600000000007</v>
      </c>
      <c r="N8">
        <v>2</v>
      </c>
      <c r="O8">
        <v>1.56603</v>
      </c>
      <c r="P8">
        <v>-10.290800000000001</v>
      </c>
      <c r="Q8">
        <v>79.096400000000003</v>
      </c>
    </row>
    <row r="9" spans="1:17" x14ac:dyDescent="0.25">
      <c r="A9">
        <v>23.831168831168799</v>
      </c>
      <c r="B9">
        <v>143.45403899721401</v>
      </c>
      <c r="D9">
        <v>2.5</v>
      </c>
      <c r="E9">
        <v>1.8619699999999999</v>
      </c>
      <c r="F9">
        <v>13.091799999999999</v>
      </c>
      <c r="G9">
        <v>94.043300000000002</v>
      </c>
      <c r="I9">
        <v>2.5</v>
      </c>
      <c r="J9">
        <v>1.86174</v>
      </c>
      <c r="K9">
        <v>-12.752000000000001</v>
      </c>
      <c r="L9">
        <v>94.031899999999993</v>
      </c>
      <c r="N9">
        <v>2.5</v>
      </c>
      <c r="O9">
        <v>1.8567400000000001</v>
      </c>
      <c r="P9">
        <v>-12.872299999999999</v>
      </c>
      <c r="Q9">
        <v>93.779300000000006</v>
      </c>
    </row>
    <row r="10" spans="1:17" x14ac:dyDescent="0.25">
      <c r="A10">
        <v>30.779220779220701</v>
      </c>
      <c r="B10">
        <v>162.95264623955401</v>
      </c>
      <c r="D10">
        <v>3</v>
      </c>
      <c r="E10">
        <v>2.1258400000000002</v>
      </c>
      <c r="F10">
        <v>15.722799999999999</v>
      </c>
      <c r="G10">
        <v>107.37100000000001</v>
      </c>
      <c r="I10">
        <v>3</v>
      </c>
      <c r="J10">
        <v>2.1255299999999999</v>
      </c>
      <c r="K10">
        <v>-15.315099999999999</v>
      </c>
      <c r="L10">
        <v>107.355</v>
      </c>
      <c r="N10">
        <v>3</v>
      </c>
      <c r="O10">
        <v>2.11896</v>
      </c>
      <c r="P10">
        <v>-15.4574</v>
      </c>
      <c r="Q10">
        <v>107.023</v>
      </c>
    </row>
    <row r="11" spans="1:17" x14ac:dyDescent="0.25">
      <c r="A11">
        <v>37.012987012986997</v>
      </c>
      <c r="B11">
        <v>178.272980501392</v>
      </c>
      <c r="D11">
        <v>3.5</v>
      </c>
      <c r="E11">
        <v>2.3652899999999999</v>
      </c>
      <c r="F11">
        <v>18.3567</v>
      </c>
      <c r="G11">
        <v>119.465</v>
      </c>
      <c r="I11">
        <v>3.5</v>
      </c>
      <c r="J11">
        <v>2.3648699999999998</v>
      </c>
      <c r="K11">
        <v>-17.8811</v>
      </c>
      <c r="L11">
        <v>119.444</v>
      </c>
      <c r="N11">
        <v>3.5</v>
      </c>
      <c r="O11">
        <v>2.3566699999999998</v>
      </c>
      <c r="P11">
        <v>-18.045400000000001</v>
      </c>
      <c r="Q11">
        <v>119.03</v>
      </c>
    </row>
    <row r="12" spans="1:17" x14ac:dyDescent="0.25">
      <c r="A12">
        <v>43.246753246753201</v>
      </c>
      <c r="B12">
        <v>189.41504178272899</v>
      </c>
      <c r="D12">
        <v>4</v>
      </c>
      <c r="E12">
        <v>2.5835599999999999</v>
      </c>
      <c r="F12">
        <v>20.992699999999999</v>
      </c>
      <c r="G12">
        <v>130.489</v>
      </c>
      <c r="I12">
        <v>4</v>
      </c>
      <c r="J12">
        <v>2.5830299999999999</v>
      </c>
      <c r="K12">
        <v>-20.4495</v>
      </c>
      <c r="L12">
        <v>130.46299999999999</v>
      </c>
      <c r="N12">
        <v>4</v>
      </c>
      <c r="O12">
        <v>2.57314</v>
      </c>
      <c r="P12">
        <v>-20.635899999999999</v>
      </c>
      <c r="Q12">
        <v>129.96299999999999</v>
      </c>
    </row>
    <row r="13" spans="1:17" x14ac:dyDescent="0.25">
      <c r="A13">
        <v>55.064935064935</v>
      </c>
      <c r="B13">
        <v>198.88579387186499</v>
      </c>
      <c r="D13">
        <v>4.5</v>
      </c>
      <c r="E13">
        <v>2.7833399999999999</v>
      </c>
      <c r="F13">
        <v>23.630600000000001</v>
      </c>
      <c r="G13">
        <v>140.57900000000001</v>
      </c>
      <c r="I13">
        <v>4.5</v>
      </c>
      <c r="J13">
        <v>2.78268</v>
      </c>
      <c r="K13">
        <v>-23.0198</v>
      </c>
      <c r="L13">
        <v>140.54599999999999</v>
      </c>
      <c r="N13">
        <v>4.5</v>
      </c>
      <c r="O13">
        <v>2.77108</v>
      </c>
      <c r="P13">
        <v>-23.228200000000001</v>
      </c>
      <c r="Q13">
        <v>139.96</v>
      </c>
    </row>
    <row r="14" spans="1:17" x14ac:dyDescent="0.25">
      <c r="A14">
        <v>62.727272727272698</v>
      </c>
      <c r="B14">
        <v>200.835654596099</v>
      </c>
      <c r="D14">
        <v>5</v>
      </c>
      <c r="E14">
        <v>2.9668199999999998</v>
      </c>
      <c r="F14">
        <v>26.2698</v>
      </c>
      <c r="G14">
        <v>149.84700000000001</v>
      </c>
      <c r="I14">
        <v>5</v>
      </c>
      <c r="J14">
        <v>2.9660700000000002</v>
      </c>
      <c r="K14">
        <v>-25.5916</v>
      </c>
      <c r="L14">
        <v>149.809</v>
      </c>
      <c r="N14">
        <v>5</v>
      </c>
      <c r="O14">
        <v>2.9527399999999999</v>
      </c>
      <c r="P14">
        <v>-25.821999999999999</v>
      </c>
      <c r="Q14">
        <v>149.136</v>
      </c>
    </row>
    <row r="15" spans="1:17" x14ac:dyDescent="0.25">
      <c r="A15">
        <v>72.077922077922096</v>
      </c>
      <c r="B15">
        <v>196.65738161559801</v>
      </c>
      <c r="D15">
        <v>5.5</v>
      </c>
      <c r="E15">
        <v>3.1359300000000001</v>
      </c>
      <c r="F15">
        <v>28.91</v>
      </c>
      <c r="G15">
        <v>158.38800000000001</v>
      </c>
      <c r="I15">
        <v>5.5</v>
      </c>
      <c r="J15">
        <v>3.1350899999999999</v>
      </c>
      <c r="K15">
        <v>-28.1645</v>
      </c>
      <c r="L15">
        <v>158.345</v>
      </c>
      <c r="N15">
        <v>5.5</v>
      </c>
      <c r="O15">
        <v>3.1200399999999999</v>
      </c>
      <c r="P15">
        <v>-28.417000000000002</v>
      </c>
      <c r="Q15">
        <v>157.58600000000001</v>
      </c>
    </row>
    <row r="16" spans="1:17" x14ac:dyDescent="0.25">
      <c r="A16">
        <v>80.389610389610397</v>
      </c>
      <c r="B16">
        <v>189.41504178272899</v>
      </c>
      <c r="D16">
        <v>6</v>
      </c>
      <c r="E16">
        <v>3.2923200000000001</v>
      </c>
      <c r="F16">
        <v>31.550899999999999</v>
      </c>
      <c r="G16">
        <v>166.28700000000001</v>
      </c>
      <c r="I16">
        <v>6</v>
      </c>
      <c r="J16">
        <v>3.2913600000000001</v>
      </c>
      <c r="K16">
        <v>-30.738199999999999</v>
      </c>
      <c r="L16">
        <v>166.238</v>
      </c>
      <c r="N16">
        <v>6</v>
      </c>
      <c r="O16">
        <v>3.2740300000000002</v>
      </c>
      <c r="P16">
        <v>-31.013500000000001</v>
      </c>
      <c r="Q16">
        <v>165.363</v>
      </c>
    </row>
    <row r="17" spans="1:17" x14ac:dyDescent="0.25">
      <c r="A17">
        <v>89.870129870129901</v>
      </c>
      <c r="B17">
        <v>183.84401114206</v>
      </c>
      <c r="D17">
        <v>6.5</v>
      </c>
      <c r="E17">
        <v>3.43716</v>
      </c>
      <c r="F17">
        <v>34.192500000000003</v>
      </c>
      <c r="G17">
        <v>173.60300000000001</v>
      </c>
      <c r="I17">
        <v>6.5</v>
      </c>
      <c r="J17">
        <v>3.4358499999999998</v>
      </c>
      <c r="K17">
        <v>-33.313099999999999</v>
      </c>
      <c r="L17">
        <v>173.536</v>
      </c>
      <c r="N17">
        <v>6.5</v>
      </c>
      <c r="O17">
        <v>3.4140100000000002</v>
      </c>
      <c r="P17">
        <v>-33.613900000000001</v>
      </c>
      <c r="Q17">
        <v>172.43299999999999</v>
      </c>
    </row>
    <row r="18" spans="1:17" x14ac:dyDescent="0.25">
      <c r="A18">
        <v>99.610389610389603</v>
      </c>
      <c r="B18">
        <v>172.701949860723</v>
      </c>
      <c r="D18">
        <v>7</v>
      </c>
      <c r="E18">
        <v>3.5637599999999998</v>
      </c>
      <c r="F18">
        <v>36.846400000000003</v>
      </c>
      <c r="G18">
        <v>179.99700000000001</v>
      </c>
      <c r="I18">
        <v>7</v>
      </c>
      <c r="J18">
        <v>3.5645199999999999</v>
      </c>
      <c r="K18">
        <v>-35.896000000000001</v>
      </c>
      <c r="L18">
        <v>180.035</v>
      </c>
      <c r="N18">
        <v>7</v>
      </c>
      <c r="O18">
        <v>3.5372400000000002</v>
      </c>
      <c r="P18">
        <v>-36.220799999999997</v>
      </c>
      <c r="Q18">
        <v>178.65700000000001</v>
      </c>
    </row>
    <row r="19" spans="1:17" x14ac:dyDescent="0.25">
      <c r="D19">
        <v>7.5</v>
      </c>
      <c r="E19">
        <v>3.6643599999999998</v>
      </c>
      <c r="F19">
        <v>39.515300000000003</v>
      </c>
      <c r="G19">
        <v>185.078</v>
      </c>
      <c r="I19">
        <v>7.5</v>
      </c>
      <c r="J19">
        <v>3.6722899999999998</v>
      </c>
      <c r="K19">
        <v>-38.490699999999997</v>
      </c>
      <c r="L19">
        <v>185.47800000000001</v>
      </c>
      <c r="N19">
        <v>7.5</v>
      </c>
      <c r="O19">
        <v>3.6425999999999998</v>
      </c>
      <c r="P19">
        <v>-38.835900000000002</v>
      </c>
      <c r="Q19">
        <v>183.97800000000001</v>
      </c>
    </row>
    <row r="20" spans="1:17" x14ac:dyDescent="0.25">
      <c r="D20">
        <v>8</v>
      </c>
      <c r="E20">
        <v>3.7497500000000001</v>
      </c>
      <c r="F20">
        <v>42.183100000000003</v>
      </c>
      <c r="G20">
        <v>189.39099999999999</v>
      </c>
      <c r="I20">
        <v>8</v>
      </c>
      <c r="J20">
        <v>3.76044</v>
      </c>
      <c r="K20">
        <v>-41.092700000000001</v>
      </c>
      <c r="L20">
        <v>189.93100000000001</v>
      </c>
      <c r="N20">
        <v>8</v>
      </c>
      <c r="O20">
        <v>3.7303999999999999</v>
      </c>
      <c r="P20">
        <v>-41.457500000000003</v>
      </c>
      <c r="Q20">
        <v>188.41300000000001</v>
      </c>
    </row>
    <row r="21" spans="1:17" x14ac:dyDescent="0.25">
      <c r="D21">
        <v>8.5</v>
      </c>
      <c r="E21">
        <v>3.8170500000000001</v>
      </c>
      <c r="F21">
        <v>44.861499999999999</v>
      </c>
      <c r="G21">
        <v>192.78900000000002</v>
      </c>
      <c r="I21">
        <v>8.5</v>
      </c>
      <c r="J21">
        <v>3.8326099999999999</v>
      </c>
      <c r="K21">
        <v>-43.698599999999999</v>
      </c>
      <c r="L21">
        <v>193.57500000000002</v>
      </c>
      <c r="N21">
        <v>8.5</v>
      </c>
      <c r="O21">
        <v>3.8014899999999998</v>
      </c>
      <c r="P21">
        <v>-44.086300000000001</v>
      </c>
      <c r="Q21">
        <v>192.00399999999999</v>
      </c>
    </row>
    <row r="22" spans="1:17" x14ac:dyDescent="0.25">
      <c r="D22">
        <v>9</v>
      </c>
      <c r="E22">
        <v>3.8705599999999998</v>
      </c>
      <c r="F22">
        <v>47.540999999999997</v>
      </c>
      <c r="G22">
        <v>195.49199999999999</v>
      </c>
      <c r="I22">
        <v>9</v>
      </c>
      <c r="J22">
        <v>3.89106</v>
      </c>
      <c r="K22">
        <v>-46.308300000000003</v>
      </c>
      <c r="L22">
        <v>196.52799999999999</v>
      </c>
      <c r="N22">
        <v>9</v>
      </c>
      <c r="O22">
        <v>3.8592399999999998</v>
      </c>
      <c r="P22">
        <v>-46.717799999999997</v>
      </c>
      <c r="Q22">
        <v>194.92099999999999</v>
      </c>
    </row>
    <row r="23" spans="1:17" x14ac:dyDescent="0.25">
      <c r="D23">
        <v>9.5</v>
      </c>
      <c r="E23">
        <v>3.91473</v>
      </c>
      <c r="F23">
        <v>50.219200000000001</v>
      </c>
      <c r="G23">
        <v>197.72300000000001</v>
      </c>
      <c r="I23">
        <v>9.5</v>
      </c>
      <c r="J23">
        <v>3.93668</v>
      </c>
      <c r="K23">
        <v>-48.923099999999998</v>
      </c>
      <c r="L23">
        <v>198.83199999999999</v>
      </c>
      <c r="N23">
        <v>9.5</v>
      </c>
      <c r="O23">
        <v>3.9048500000000002</v>
      </c>
      <c r="P23">
        <v>-49.353700000000003</v>
      </c>
      <c r="Q23">
        <v>197.22400000000002</v>
      </c>
    </row>
    <row r="24" spans="1:17" x14ac:dyDescent="0.25">
      <c r="D24">
        <v>10</v>
      </c>
      <c r="E24">
        <v>3.9468999999999999</v>
      </c>
      <c r="F24">
        <v>52.907299999999999</v>
      </c>
      <c r="G24">
        <v>199.34800000000001</v>
      </c>
      <c r="I24">
        <v>10</v>
      </c>
      <c r="J24">
        <v>3.9720900000000001</v>
      </c>
      <c r="K24">
        <v>-51.539400000000001</v>
      </c>
      <c r="L24">
        <v>200.62</v>
      </c>
      <c r="N24">
        <v>10</v>
      </c>
      <c r="O24">
        <v>3.9407299999999998</v>
      </c>
      <c r="P24">
        <v>-51.991300000000003</v>
      </c>
      <c r="Q24">
        <v>199.036</v>
      </c>
    </row>
    <row r="25" spans="1:17" x14ac:dyDescent="0.25">
      <c r="D25">
        <v>10.5</v>
      </c>
      <c r="E25">
        <v>3.9698000000000002</v>
      </c>
      <c r="F25">
        <v>55.596800000000002</v>
      </c>
      <c r="G25">
        <v>200.505</v>
      </c>
      <c r="I25">
        <v>10.5</v>
      </c>
      <c r="J25">
        <v>3.99987</v>
      </c>
      <c r="K25">
        <v>-54.155700000000003</v>
      </c>
      <c r="L25">
        <v>202.024</v>
      </c>
      <c r="N25">
        <v>10.5</v>
      </c>
      <c r="O25">
        <v>3.9678100000000001</v>
      </c>
      <c r="P25">
        <v>-54.631599999999999</v>
      </c>
      <c r="Q25">
        <v>200.404</v>
      </c>
    </row>
    <row r="26" spans="1:17" x14ac:dyDescent="0.25">
      <c r="D26">
        <v>11</v>
      </c>
      <c r="E26">
        <v>3.9882900000000001</v>
      </c>
      <c r="F26">
        <v>58.278399999999998</v>
      </c>
      <c r="G26">
        <v>201.43899999999999</v>
      </c>
      <c r="I26">
        <v>11</v>
      </c>
      <c r="J26">
        <v>4.0202799999999996</v>
      </c>
      <c r="K26">
        <v>-56.774299999999997</v>
      </c>
      <c r="L26">
        <v>203.054</v>
      </c>
      <c r="N26">
        <v>11</v>
      </c>
      <c r="O26">
        <v>3.9880599999999999</v>
      </c>
      <c r="P26">
        <v>-57.272399999999998</v>
      </c>
      <c r="Q26">
        <v>201.42699999999999</v>
      </c>
    </row>
    <row r="27" spans="1:17" x14ac:dyDescent="0.25">
      <c r="D27">
        <v>11.5</v>
      </c>
      <c r="E27">
        <v>4.0035299999999996</v>
      </c>
      <c r="F27">
        <v>60.954999999999998</v>
      </c>
      <c r="G27">
        <v>202.208</v>
      </c>
      <c r="I27">
        <v>11.5</v>
      </c>
      <c r="J27">
        <v>4.0345800000000001</v>
      </c>
      <c r="K27">
        <v>-59.393500000000003</v>
      </c>
      <c r="L27">
        <v>203.77700000000002</v>
      </c>
      <c r="N27">
        <v>11.5</v>
      </c>
      <c r="O27">
        <v>4.0027799999999996</v>
      </c>
      <c r="P27">
        <v>-59.912399999999998</v>
      </c>
      <c r="Q27">
        <v>202.17000000000002</v>
      </c>
    </row>
    <row r="28" spans="1:17" x14ac:dyDescent="0.25">
      <c r="D28">
        <v>12</v>
      </c>
      <c r="E28">
        <v>4.0135500000000004</v>
      </c>
      <c r="F28">
        <v>63.636699999999998</v>
      </c>
      <c r="G28">
        <v>202.714</v>
      </c>
      <c r="I28">
        <v>12</v>
      </c>
      <c r="J28">
        <v>4.0448899999999997</v>
      </c>
      <c r="K28">
        <v>-62.008699999999997</v>
      </c>
      <c r="L28">
        <v>204.297</v>
      </c>
      <c r="N28">
        <v>12</v>
      </c>
      <c r="O28">
        <v>4.0131100000000002</v>
      </c>
      <c r="P28">
        <v>-62.550899999999999</v>
      </c>
      <c r="Q28">
        <v>202.69200000000001</v>
      </c>
    </row>
    <row r="29" spans="1:17" x14ac:dyDescent="0.25">
      <c r="D29">
        <v>12.5</v>
      </c>
      <c r="E29">
        <v>4.0179799999999997</v>
      </c>
      <c r="F29">
        <v>66.323499999999996</v>
      </c>
      <c r="G29">
        <v>202.93800000000002</v>
      </c>
      <c r="I29">
        <v>12.5</v>
      </c>
      <c r="J29">
        <v>4.0522299999999998</v>
      </c>
      <c r="K29">
        <v>-64.620500000000007</v>
      </c>
      <c r="L29">
        <v>204.66800000000001</v>
      </c>
      <c r="N29">
        <v>12.5</v>
      </c>
      <c r="O29">
        <v>4.0192300000000003</v>
      </c>
      <c r="P29">
        <v>-65.190100000000001</v>
      </c>
      <c r="Q29">
        <v>203.001</v>
      </c>
    </row>
    <row r="30" spans="1:17" x14ac:dyDescent="0.25">
      <c r="D30">
        <v>13</v>
      </c>
      <c r="E30">
        <v>4.0129299999999999</v>
      </c>
      <c r="F30">
        <v>69.036900000000003</v>
      </c>
      <c r="G30">
        <v>202.68299999999999</v>
      </c>
      <c r="I30">
        <v>13</v>
      </c>
      <c r="J30">
        <v>4.0534299999999996</v>
      </c>
      <c r="K30">
        <v>-67.246300000000005</v>
      </c>
      <c r="L30">
        <v>204.72900000000001</v>
      </c>
      <c r="N30">
        <v>13</v>
      </c>
      <c r="O30">
        <v>4.0187099999999996</v>
      </c>
      <c r="P30">
        <v>-67.844399999999993</v>
      </c>
      <c r="Q30">
        <v>202.97499999999999</v>
      </c>
    </row>
    <row r="31" spans="1:17" x14ac:dyDescent="0.25">
      <c r="D31">
        <v>13.5</v>
      </c>
      <c r="E31">
        <v>4.0020899999999999</v>
      </c>
      <c r="F31">
        <v>71.753900000000002</v>
      </c>
      <c r="G31">
        <v>202.13499999999999</v>
      </c>
      <c r="I31">
        <v>13.5</v>
      </c>
      <c r="J31">
        <v>4.0453799999999998</v>
      </c>
      <c r="K31">
        <v>-69.895700000000005</v>
      </c>
      <c r="L31">
        <v>204.322</v>
      </c>
      <c r="N31">
        <v>13.5</v>
      </c>
      <c r="O31">
        <v>4.0103499999999999</v>
      </c>
      <c r="P31">
        <v>-70.515500000000003</v>
      </c>
      <c r="Q31">
        <v>202.553</v>
      </c>
    </row>
    <row r="32" spans="1:17" x14ac:dyDescent="0.25">
      <c r="D32">
        <v>14</v>
      </c>
      <c r="E32">
        <v>3.9897399999999998</v>
      </c>
      <c r="F32">
        <v>74.4619</v>
      </c>
      <c r="G32">
        <v>201.512</v>
      </c>
      <c r="I32">
        <v>14</v>
      </c>
      <c r="J32">
        <v>4.0342599999999997</v>
      </c>
      <c r="K32">
        <v>-72.539599999999993</v>
      </c>
      <c r="L32">
        <v>203.761</v>
      </c>
      <c r="N32">
        <v>14</v>
      </c>
      <c r="O32">
        <v>3.9990800000000002</v>
      </c>
      <c r="P32">
        <v>-73.181899999999999</v>
      </c>
      <c r="Q32">
        <v>201.983</v>
      </c>
    </row>
    <row r="33" spans="4:17" x14ac:dyDescent="0.25">
      <c r="D33">
        <v>14.5</v>
      </c>
      <c r="E33">
        <v>3.9751799999999999</v>
      </c>
      <c r="F33">
        <v>77.170199999999994</v>
      </c>
      <c r="G33">
        <v>200.77700000000002</v>
      </c>
      <c r="I33">
        <v>14.5</v>
      </c>
      <c r="J33">
        <v>4.0212899999999996</v>
      </c>
      <c r="K33">
        <v>-75.178799999999995</v>
      </c>
      <c r="L33">
        <v>203.10500000000002</v>
      </c>
      <c r="N33">
        <v>14.5</v>
      </c>
      <c r="O33">
        <v>3.98542</v>
      </c>
      <c r="P33">
        <v>-75.847499999999997</v>
      </c>
      <c r="Q33">
        <v>201.29400000000001</v>
      </c>
    </row>
    <row r="34" spans="4:17" x14ac:dyDescent="0.25">
      <c r="D34">
        <v>15</v>
      </c>
      <c r="E34">
        <v>3.9563000000000001</v>
      </c>
      <c r="F34">
        <v>79.892799999999994</v>
      </c>
      <c r="G34">
        <v>199.82300000000001</v>
      </c>
      <c r="I34">
        <v>15</v>
      </c>
      <c r="J34">
        <v>4.00251</v>
      </c>
      <c r="K34">
        <v>-77.840299999999999</v>
      </c>
      <c r="L34">
        <v>202.15700000000001</v>
      </c>
      <c r="N34">
        <v>15</v>
      </c>
      <c r="O34">
        <v>3.9651200000000002</v>
      </c>
      <c r="P34">
        <v>-78.539900000000003</v>
      </c>
      <c r="Q34">
        <v>200.268</v>
      </c>
    </row>
    <row r="35" spans="4:17" x14ac:dyDescent="0.25">
      <c r="D35">
        <v>15.5</v>
      </c>
      <c r="E35">
        <v>3.9291100000000001</v>
      </c>
      <c r="F35">
        <v>82.656000000000006</v>
      </c>
      <c r="G35">
        <v>198.45000000000002</v>
      </c>
      <c r="I35">
        <v>15.5</v>
      </c>
      <c r="J35">
        <v>3.9783300000000001</v>
      </c>
      <c r="K35">
        <v>-80.517899999999997</v>
      </c>
      <c r="L35">
        <v>200.93600000000001</v>
      </c>
      <c r="N35">
        <v>15.5</v>
      </c>
      <c r="O35">
        <v>3.93954</v>
      </c>
      <c r="P35">
        <v>-81.247200000000007</v>
      </c>
      <c r="Q35">
        <v>198.976</v>
      </c>
    </row>
    <row r="36" spans="4:17" x14ac:dyDescent="0.25">
      <c r="D36">
        <v>16</v>
      </c>
      <c r="E36">
        <v>3.8990399999999998</v>
      </c>
      <c r="F36">
        <v>85.419700000000006</v>
      </c>
      <c r="G36">
        <v>196.93100000000001</v>
      </c>
      <c r="I36">
        <v>16</v>
      </c>
      <c r="J36">
        <v>3.9521299999999999</v>
      </c>
      <c r="K36">
        <v>-83.193899999999999</v>
      </c>
      <c r="L36">
        <v>199.61199999999999</v>
      </c>
      <c r="N36">
        <v>16</v>
      </c>
      <c r="O36">
        <v>3.9120900000000001</v>
      </c>
      <c r="P36">
        <v>-83.952100000000002</v>
      </c>
      <c r="Q36">
        <v>197.59</v>
      </c>
    </row>
    <row r="37" spans="4:17" x14ac:dyDescent="0.25">
      <c r="D37">
        <v>16.5</v>
      </c>
      <c r="E37">
        <v>3.8680400000000001</v>
      </c>
      <c r="F37">
        <v>88.178200000000004</v>
      </c>
      <c r="G37">
        <v>195.36500000000001</v>
      </c>
      <c r="I37">
        <v>16.5</v>
      </c>
      <c r="J37">
        <v>3.9241700000000002</v>
      </c>
      <c r="K37">
        <v>-85.871399999999994</v>
      </c>
      <c r="L37">
        <v>198.20000000000002</v>
      </c>
      <c r="N37">
        <v>16.5</v>
      </c>
      <c r="O37">
        <v>3.8833299999999999</v>
      </c>
      <c r="P37">
        <v>-86.656499999999994</v>
      </c>
      <c r="Q37">
        <v>196.137</v>
      </c>
    </row>
    <row r="38" spans="4:17" x14ac:dyDescent="0.25">
      <c r="D38">
        <v>17</v>
      </c>
      <c r="E38">
        <v>3.8354499999999998</v>
      </c>
      <c r="F38">
        <v>90.940399999999997</v>
      </c>
      <c r="G38">
        <v>193.71899999999999</v>
      </c>
      <c r="I38">
        <v>17</v>
      </c>
      <c r="J38">
        <v>3.8937300000000001</v>
      </c>
      <c r="K38">
        <v>-88.558899999999994</v>
      </c>
      <c r="L38">
        <v>196.66200000000001</v>
      </c>
      <c r="N38">
        <v>17</v>
      </c>
      <c r="O38">
        <v>3.85202</v>
      </c>
      <c r="P38">
        <v>-89.373900000000006</v>
      </c>
      <c r="Q38">
        <v>194.55600000000001</v>
      </c>
    </row>
    <row r="39" spans="4:17" x14ac:dyDescent="0.25">
      <c r="D39">
        <v>17.5</v>
      </c>
      <c r="E39">
        <v>3.8021600000000002</v>
      </c>
      <c r="F39">
        <v>93.700400000000002</v>
      </c>
      <c r="G39">
        <v>192.03700000000001</v>
      </c>
      <c r="I39">
        <v>17.5</v>
      </c>
      <c r="J39">
        <v>3.8593299999999999</v>
      </c>
      <c r="K39">
        <v>-91.269900000000007</v>
      </c>
      <c r="L39">
        <v>194.92500000000001</v>
      </c>
      <c r="N39">
        <v>17.5</v>
      </c>
      <c r="O39">
        <v>3.8169499999999998</v>
      </c>
      <c r="P39">
        <v>-92.112899999999996</v>
      </c>
      <c r="Q39">
        <v>192.785</v>
      </c>
    </row>
    <row r="40" spans="4:17" x14ac:dyDescent="0.25">
      <c r="D40">
        <v>18</v>
      </c>
      <c r="E40">
        <v>3.7678799999999999</v>
      </c>
      <c r="F40">
        <v>96.463399999999993</v>
      </c>
      <c r="G40">
        <v>190.30600000000001</v>
      </c>
      <c r="I40">
        <v>18</v>
      </c>
      <c r="J40">
        <v>3.8235899999999998</v>
      </c>
      <c r="K40">
        <v>-93.981399999999994</v>
      </c>
      <c r="L40">
        <v>193.12</v>
      </c>
      <c r="N40">
        <v>18</v>
      </c>
      <c r="O40">
        <v>3.7806500000000001</v>
      </c>
      <c r="P40">
        <v>-94.851900000000001</v>
      </c>
      <c r="Q40">
        <v>190.95099999999999</v>
      </c>
    </row>
    <row r="41" spans="4:17" x14ac:dyDescent="0.25">
      <c r="D41">
        <v>18.5</v>
      </c>
      <c r="E41">
        <v>3.7302499999999998</v>
      </c>
      <c r="F41">
        <v>99.255200000000002</v>
      </c>
      <c r="G41">
        <v>188.40600000000001</v>
      </c>
      <c r="I41">
        <v>18.5</v>
      </c>
      <c r="J41">
        <v>3.7877100000000001</v>
      </c>
      <c r="K41">
        <v>-96.686899999999994</v>
      </c>
      <c r="L41">
        <v>191.30799999999999</v>
      </c>
      <c r="N41">
        <v>18.5</v>
      </c>
      <c r="O41">
        <v>3.7440699999999998</v>
      </c>
      <c r="P41">
        <v>-97.5869</v>
      </c>
      <c r="Q41">
        <v>189.10400000000001</v>
      </c>
    </row>
    <row r="42" spans="4:17" x14ac:dyDescent="0.25">
      <c r="D42">
        <v>19</v>
      </c>
      <c r="E42">
        <v>3.6919200000000001</v>
      </c>
      <c r="F42">
        <v>102.048</v>
      </c>
      <c r="G42">
        <v>186.47</v>
      </c>
      <c r="I42">
        <v>19</v>
      </c>
      <c r="J42">
        <v>3.7514099999999999</v>
      </c>
      <c r="K42">
        <v>-99.393299999999996</v>
      </c>
      <c r="L42">
        <v>189.47400000000002</v>
      </c>
      <c r="N42">
        <v>19</v>
      </c>
      <c r="O42">
        <v>3.70689</v>
      </c>
      <c r="P42">
        <v>-100.325</v>
      </c>
      <c r="Q42">
        <v>187.226</v>
      </c>
    </row>
    <row r="43" spans="4:17" x14ac:dyDescent="0.25">
      <c r="G43">
        <f>MAX(G4:G42)</f>
        <v>202.93800000000002</v>
      </c>
      <c r="I43">
        <v>19.5</v>
      </c>
      <c r="J43">
        <v>3.71461</v>
      </c>
      <c r="K43">
        <v>-102.10299999999999</v>
      </c>
      <c r="L43">
        <v>187.61600000000001</v>
      </c>
      <c r="N43">
        <v>19.5</v>
      </c>
      <c r="O43">
        <v>3.6693799999999999</v>
      </c>
      <c r="P43">
        <v>-103.066</v>
      </c>
      <c r="Q43">
        <v>185.33100000000002</v>
      </c>
    </row>
    <row r="44" spans="4:17" x14ac:dyDescent="0.25">
      <c r="I44">
        <v>20</v>
      </c>
      <c r="J44">
        <v>3.6774200000000001</v>
      </c>
      <c r="K44">
        <v>-104.816</v>
      </c>
      <c r="L44">
        <v>185.73699999999999</v>
      </c>
      <c r="N44">
        <v>20</v>
      </c>
      <c r="O44">
        <v>3.6309300000000002</v>
      </c>
      <c r="P44">
        <v>-105.818</v>
      </c>
      <c r="Q44">
        <v>183.38900000000001</v>
      </c>
    </row>
    <row r="45" spans="4:17" x14ac:dyDescent="0.25">
      <c r="I45">
        <v>20.5</v>
      </c>
      <c r="J45">
        <v>3.6384099999999999</v>
      </c>
      <c r="K45">
        <v>-107.553</v>
      </c>
      <c r="L45">
        <v>183.767</v>
      </c>
      <c r="N45">
        <v>20.5</v>
      </c>
      <c r="O45">
        <v>3.59097</v>
      </c>
      <c r="P45">
        <v>-108.59</v>
      </c>
      <c r="Q45">
        <v>181.37100000000001</v>
      </c>
    </row>
    <row r="46" spans="4:17" x14ac:dyDescent="0.25">
      <c r="I46">
        <v>21</v>
      </c>
      <c r="J46">
        <v>3.5989900000000001</v>
      </c>
      <c r="K46">
        <v>-110.292</v>
      </c>
      <c r="L46">
        <v>181.77600000000001</v>
      </c>
      <c r="N46">
        <v>21</v>
      </c>
      <c r="O46">
        <v>3.5507300000000002</v>
      </c>
      <c r="P46">
        <v>-111.364</v>
      </c>
      <c r="Q46">
        <v>179.339</v>
      </c>
    </row>
    <row r="47" spans="4:17" x14ac:dyDescent="0.25">
      <c r="I47">
        <v>21.5</v>
      </c>
      <c r="J47">
        <v>3.5598000000000001</v>
      </c>
      <c r="K47">
        <v>-113.02800000000001</v>
      </c>
      <c r="L47">
        <v>179.797</v>
      </c>
      <c r="N47">
        <v>21.5</v>
      </c>
      <c r="O47">
        <v>3.5105499999999998</v>
      </c>
      <c r="P47">
        <v>-114.139</v>
      </c>
      <c r="Q47">
        <v>177.309</v>
      </c>
    </row>
    <row r="48" spans="4:17" x14ac:dyDescent="0.25">
      <c r="I48">
        <v>22</v>
      </c>
      <c r="J48">
        <v>3.5207199999999998</v>
      </c>
      <c r="K48">
        <v>-115.76600000000001</v>
      </c>
      <c r="L48">
        <v>177.82300000000001</v>
      </c>
      <c r="N48">
        <v>22</v>
      </c>
      <c r="O48">
        <v>3.4702099999999998</v>
      </c>
      <c r="P48">
        <v>-116.92100000000001</v>
      </c>
      <c r="Q48">
        <v>175.27199999999999</v>
      </c>
    </row>
    <row r="49" spans="9:17" x14ac:dyDescent="0.25">
      <c r="I49">
        <v>22.5</v>
      </c>
      <c r="J49">
        <v>3.4816400000000001</v>
      </c>
      <c r="K49">
        <v>-118.509</v>
      </c>
      <c r="L49">
        <v>175.84899999999999</v>
      </c>
      <c r="N49">
        <v>22.5</v>
      </c>
      <c r="O49">
        <v>3.4300600000000001</v>
      </c>
      <c r="P49">
        <v>-119.706</v>
      </c>
      <c r="Q49">
        <v>173.244</v>
      </c>
    </row>
    <row r="50" spans="9:17" x14ac:dyDescent="0.25">
      <c r="I50">
        <v>23</v>
      </c>
      <c r="J50">
        <v>3.4429799999999999</v>
      </c>
      <c r="K50">
        <v>-121.25</v>
      </c>
      <c r="L50">
        <v>173.89600000000002</v>
      </c>
      <c r="N50">
        <v>23</v>
      </c>
      <c r="O50">
        <v>3.3902299999999999</v>
      </c>
      <c r="P50">
        <v>-122.49</v>
      </c>
      <c r="Q50">
        <v>171.232</v>
      </c>
    </row>
    <row r="51" spans="9:17" x14ac:dyDescent="0.25">
      <c r="I51">
        <v>23.5</v>
      </c>
      <c r="J51">
        <v>3.4048500000000002</v>
      </c>
      <c r="K51">
        <v>-123.988</v>
      </c>
      <c r="L51">
        <v>171.971</v>
      </c>
      <c r="N51">
        <v>23.5</v>
      </c>
      <c r="O51">
        <v>3.35067</v>
      </c>
      <c r="P51">
        <v>-125.279</v>
      </c>
      <c r="Q51">
        <v>169.23400000000001</v>
      </c>
    </row>
    <row r="52" spans="9:17" x14ac:dyDescent="0.25">
      <c r="I52">
        <v>24</v>
      </c>
      <c r="J52">
        <v>3.3670200000000001</v>
      </c>
      <c r="K52">
        <v>-126.729</v>
      </c>
      <c r="L52">
        <v>170.06</v>
      </c>
      <c r="N52">
        <v>24</v>
      </c>
      <c r="O52">
        <v>3.31054</v>
      </c>
      <c r="P52">
        <v>-128.089</v>
      </c>
      <c r="Q52">
        <v>167.20699999999999</v>
      </c>
    </row>
    <row r="53" spans="9:17" x14ac:dyDescent="0.25">
      <c r="I53">
        <v>24.5</v>
      </c>
      <c r="J53">
        <v>3.3285900000000002</v>
      </c>
      <c r="K53">
        <v>-129.49100000000001</v>
      </c>
      <c r="L53">
        <v>168.119</v>
      </c>
      <c r="N53">
        <v>24.5</v>
      </c>
      <c r="O53">
        <v>3.2696200000000002</v>
      </c>
      <c r="P53">
        <v>-130.92400000000001</v>
      </c>
      <c r="Q53">
        <v>165.14000000000001</v>
      </c>
    </row>
    <row r="54" spans="9:17" x14ac:dyDescent="0.25">
      <c r="I54">
        <v>25</v>
      </c>
      <c r="J54">
        <v>3.28993</v>
      </c>
      <c r="K54">
        <v>-132.26499999999999</v>
      </c>
      <c r="L54">
        <v>166.166</v>
      </c>
      <c r="N54">
        <v>25</v>
      </c>
      <c r="O54">
        <v>3.2287699999999999</v>
      </c>
      <c r="P54">
        <v>-133.768</v>
      </c>
      <c r="Q54">
        <v>163.077</v>
      </c>
    </row>
    <row r="55" spans="9:17" x14ac:dyDescent="0.25">
      <c r="I55">
        <v>25.5</v>
      </c>
      <c r="J55">
        <v>3.2518400000000001</v>
      </c>
      <c r="K55">
        <v>-135.036</v>
      </c>
      <c r="L55">
        <v>164.24199999999999</v>
      </c>
      <c r="N55">
        <v>25.5</v>
      </c>
      <c r="O55">
        <v>3.1876199999999999</v>
      </c>
      <c r="P55">
        <v>-136.62799999999999</v>
      </c>
      <c r="Q55">
        <v>160.999</v>
      </c>
    </row>
    <row r="56" spans="9:17" x14ac:dyDescent="0.25">
      <c r="I56">
        <v>26</v>
      </c>
      <c r="J56">
        <v>3.2141099999999998</v>
      </c>
      <c r="K56">
        <v>-137.81</v>
      </c>
      <c r="L56">
        <v>162.33700000000002</v>
      </c>
      <c r="N56">
        <v>26</v>
      </c>
      <c r="O56">
        <v>3.1461399999999999</v>
      </c>
      <c r="P56">
        <v>-139.50899999999999</v>
      </c>
      <c r="Q56">
        <v>158.904</v>
      </c>
    </row>
    <row r="57" spans="9:17" x14ac:dyDescent="0.25">
      <c r="I57">
        <v>26.5</v>
      </c>
      <c r="J57">
        <v>3.17666</v>
      </c>
      <c r="K57">
        <v>-140.59</v>
      </c>
      <c r="L57">
        <v>160.44499999999999</v>
      </c>
      <c r="N57">
        <v>26.5</v>
      </c>
      <c r="O57">
        <v>3.1040999999999999</v>
      </c>
      <c r="P57">
        <v>-142.41499999999999</v>
      </c>
      <c r="Q57">
        <v>156.78</v>
      </c>
    </row>
    <row r="58" spans="9:17" x14ac:dyDescent="0.25">
      <c r="I58">
        <v>27</v>
      </c>
      <c r="J58">
        <v>3.1396099999999998</v>
      </c>
      <c r="K58">
        <v>-143.37200000000001</v>
      </c>
      <c r="L58">
        <v>158.57400000000001</v>
      </c>
      <c r="N58">
        <v>27</v>
      </c>
      <c r="O58">
        <v>3.0612200000000001</v>
      </c>
      <c r="P58">
        <v>-145.34800000000001</v>
      </c>
      <c r="Q58">
        <v>154.61500000000001</v>
      </c>
    </row>
    <row r="59" spans="9:17" x14ac:dyDescent="0.25">
      <c r="I59">
        <v>27.5</v>
      </c>
      <c r="J59">
        <v>3.1030000000000002</v>
      </c>
      <c r="K59">
        <v>-146.15700000000001</v>
      </c>
      <c r="L59">
        <v>156.72499999999999</v>
      </c>
      <c r="N59">
        <v>27.5</v>
      </c>
      <c r="O59">
        <v>3.0173800000000002</v>
      </c>
      <c r="P59">
        <v>-148.30799999999999</v>
      </c>
      <c r="Q59">
        <v>152.4</v>
      </c>
    </row>
    <row r="60" spans="9:17" x14ac:dyDescent="0.25">
      <c r="I60">
        <v>28</v>
      </c>
      <c r="J60">
        <v>3.0667800000000001</v>
      </c>
      <c r="K60">
        <v>-148.946</v>
      </c>
      <c r="L60">
        <v>154.89500000000001</v>
      </c>
      <c r="N60">
        <v>28</v>
      </c>
      <c r="O60">
        <v>2.9701300000000002</v>
      </c>
      <c r="P60">
        <v>-151.31899999999999</v>
      </c>
      <c r="Q60">
        <v>150.01400000000001</v>
      </c>
    </row>
    <row r="61" spans="9:17" x14ac:dyDescent="0.25">
      <c r="I61">
        <v>28.5</v>
      </c>
      <c r="J61">
        <v>3.0309599999999999</v>
      </c>
      <c r="K61">
        <v>-151.74</v>
      </c>
      <c r="L61">
        <v>153.08600000000001</v>
      </c>
      <c r="N61">
        <v>28.5</v>
      </c>
      <c r="O61">
        <v>2.9167999999999998</v>
      </c>
      <c r="P61">
        <v>-154.39099999999999</v>
      </c>
      <c r="Q61">
        <v>147.32</v>
      </c>
    </row>
    <row r="62" spans="9:17" x14ac:dyDescent="0.25">
      <c r="I62">
        <v>29</v>
      </c>
      <c r="J62">
        <v>2.9955599999999998</v>
      </c>
      <c r="K62">
        <v>-154.53700000000001</v>
      </c>
      <c r="L62">
        <v>151.298</v>
      </c>
      <c r="N62">
        <v>29</v>
      </c>
      <c r="O62">
        <v>2.85534</v>
      </c>
      <c r="P62">
        <v>-157.51900000000001</v>
      </c>
      <c r="Q62">
        <v>144.21600000000001</v>
      </c>
    </row>
    <row r="63" spans="9:17" x14ac:dyDescent="0.25">
      <c r="I63">
        <v>29.5</v>
      </c>
      <c r="J63">
        <v>2.9602200000000001</v>
      </c>
      <c r="K63">
        <v>-157.34800000000001</v>
      </c>
      <c r="L63">
        <v>149.51300000000001</v>
      </c>
      <c r="N63">
        <v>29.5</v>
      </c>
      <c r="O63">
        <v>2.7867700000000002</v>
      </c>
      <c r="P63">
        <v>-160.68700000000001</v>
      </c>
      <c r="Q63">
        <v>140.75300000000001</v>
      </c>
    </row>
    <row r="64" spans="9:17" x14ac:dyDescent="0.25">
      <c r="I64">
        <v>30</v>
      </c>
      <c r="J64">
        <v>2.9241600000000001</v>
      </c>
      <c r="K64">
        <v>-160.19200000000001</v>
      </c>
      <c r="L64">
        <v>147.69200000000001</v>
      </c>
      <c r="N64">
        <v>30</v>
      </c>
      <c r="O64">
        <v>2.71136</v>
      </c>
      <c r="P64">
        <v>-163.893</v>
      </c>
      <c r="Q64">
        <v>136.94400000000002</v>
      </c>
    </row>
    <row r="65" spans="9:17" x14ac:dyDescent="0.25">
      <c r="I65">
        <v>30.5</v>
      </c>
      <c r="J65">
        <v>2.8866700000000001</v>
      </c>
      <c r="K65">
        <v>-163.08199999999999</v>
      </c>
      <c r="L65">
        <v>145.79900000000001</v>
      </c>
      <c r="N65">
        <v>30.5</v>
      </c>
      <c r="O65">
        <v>2.6288100000000001</v>
      </c>
      <c r="P65">
        <v>-167.13900000000001</v>
      </c>
      <c r="Q65">
        <v>132.774</v>
      </c>
    </row>
    <row r="66" spans="9:17" x14ac:dyDescent="0.25">
      <c r="I66">
        <v>31</v>
      </c>
      <c r="J66">
        <v>2.84659</v>
      </c>
      <c r="K66">
        <v>-166.01499999999999</v>
      </c>
      <c r="L66">
        <v>143.774</v>
      </c>
      <c r="N66">
        <v>31</v>
      </c>
      <c r="O66">
        <v>2.53756</v>
      </c>
      <c r="P66">
        <v>-170.43700000000001</v>
      </c>
      <c r="Q66">
        <v>128.166</v>
      </c>
    </row>
    <row r="67" spans="9:17" x14ac:dyDescent="0.25">
      <c r="I67">
        <v>31.5</v>
      </c>
      <c r="J67">
        <v>2.80315</v>
      </c>
      <c r="K67">
        <v>-168.97900000000001</v>
      </c>
      <c r="L67">
        <v>141.58000000000001</v>
      </c>
      <c r="N67">
        <v>31.5</v>
      </c>
      <c r="O67">
        <v>2.42665</v>
      </c>
      <c r="P67">
        <v>-173.78299999999999</v>
      </c>
      <c r="Q67">
        <v>122.56400000000001</v>
      </c>
    </row>
    <row r="68" spans="9:17" x14ac:dyDescent="0.25">
      <c r="I68">
        <v>32</v>
      </c>
      <c r="J68">
        <v>2.7545899999999999</v>
      </c>
      <c r="K68">
        <v>-171.99</v>
      </c>
      <c r="L68">
        <v>139.12700000000001</v>
      </c>
      <c r="N68">
        <v>31.625</v>
      </c>
      <c r="O68">
        <v>2.3890699999999998</v>
      </c>
      <c r="P68">
        <v>-174.67400000000001</v>
      </c>
      <c r="Q68">
        <v>120.666</v>
      </c>
    </row>
    <row r="69" spans="9:17" x14ac:dyDescent="0.25">
      <c r="I69">
        <v>32.5</v>
      </c>
      <c r="J69">
        <v>2.69896</v>
      </c>
      <c r="K69">
        <v>-175.05600000000001</v>
      </c>
      <c r="L69">
        <v>136.31800000000001</v>
      </c>
      <c r="N69">
        <v>31.75</v>
      </c>
      <c r="O69">
        <v>2.34009</v>
      </c>
      <c r="P69">
        <v>-175.63</v>
      </c>
      <c r="Q69">
        <v>118.19200000000001</v>
      </c>
    </row>
    <row r="70" spans="9:17" x14ac:dyDescent="0.25">
      <c r="I70">
        <v>33</v>
      </c>
      <c r="J70">
        <v>2.63347</v>
      </c>
      <c r="K70">
        <v>-178.18100000000001</v>
      </c>
      <c r="L70">
        <v>133.01</v>
      </c>
      <c r="N70">
        <v>31.781199999999998</v>
      </c>
      <c r="O70">
        <v>2.32856</v>
      </c>
      <c r="P70">
        <v>-175.86500000000001</v>
      </c>
      <c r="Q70">
        <v>117.61</v>
      </c>
    </row>
    <row r="71" spans="9:17" x14ac:dyDescent="0.25">
      <c r="I71">
        <v>33.5</v>
      </c>
      <c r="J71">
        <v>2.55009</v>
      </c>
      <c r="K71">
        <v>-181.40299999999999</v>
      </c>
      <c r="L71">
        <v>128.79900000000001</v>
      </c>
      <c r="N71">
        <v>31.8125</v>
      </c>
      <c r="O71">
        <v>2.31494</v>
      </c>
      <c r="P71">
        <v>-176.10900000000001</v>
      </c>
      <c r="Q71">
        <v>116.922</v>
      </c>
    </row>
    <row r="72" spans="9:17" x14ac:dyDescent="0.25">
      <c r="I72">
        <v>33.625</v>
      </c>
      <c r="J72">
        <v>2.5228899999999999</v>
      </c>
      <c r="K72">
        <v>-182.24</v>
      </c>
      <c r="L72">
        <v>127.425</v>
      </c>
      <c r="N72">
        <v>31.824200000000001</v>
      </c>
      <c r="O72">
        <v>2.30681</v>
      </c>
      <c r="P72">
        <v>-176.24700000000001</v>
      </c>
      <c r="Q72">
        <v>116.511</v>
      </c>
    </row>
    <row r="73" spans="9:17" x14ac:dyDescent="0.25">
      <c r="I73">
        <v>33.75</v>
      </c>
      <c r="J73">
        <v>2.48916</v>
      </c>
      <c r="K73">
        <v>-183.108</v>
      </c>
      <c r="L73">
        <v>125.721</v>
      </c>
      <c r="N73">
        <v>31.841799999999999</v>
      </c>
      <c r="O73">
        <v>2.2917399999999999</v>
      </c>
      <c r="P73">
        <v>-176.441</v>
      </c>
      <c r="Q73">
        <v>115.75</v>
      </c>
    </row>
    <row r="74" spans="9:17" x14ac:dyDescent="0.25">
      <c r="I74">
        <v>33.781199999999998</v>
      </c>
      <c r="J74">
        <v>2.4794499999999999</v>
      </c>
      <c r="K74">
        <v>-183.33099999999999</v>
      </c>
      <c r="L74">
        <v>125.23100000000001</v>
      </c>
      <c r="N74">
        <v>31.848400000000002</v>
      </c>
      <c r="O74">
        <v>2.2835999999999999</v>
      </c>
      <c r="P74">
        <v>-176.47</v>
      </c>
      <c r="Q74">
        <v>115.339</v>
      </c>
    </row>
    <row r="75" spans="9:17" x14ac:dyDescent="0.25">
      <c r="I75">
        <v>33.828099999999999</v>
      </c>
      <c r="J75">
        <v>2.4565800000000002</v>
      </c>
      <c r="K75">
        <v>-183.68700000000001</v>
      </c>
      <c r="L75">
        <v>124.07600000000001</v>
      </c>
      <c r="N75">
        <v>31.855</v>
      </c>
      <c r="O75">
        <v>2.2799200000000002</v>
      </c>
      <c r="P75">
        <v>-176.42099999999999</v>
      </c>
      <c r="Q75">
        <v>115.15300000000001</v>
      </c>
    </row>
    <row r="76" spans="9:17" x14ac:dyDescent="0.25">
      <c r="I76">
        <v>33.839799999999997</v>
      </c>
      <c r="J76">
        <v>2.4482900000000001</v>
      </c>
      <c r="K76">
        <v>-183.79900000000001</v>
      </c>
      <c r="L76">
        <v>123.657</v>
      </c>
      <c r="N76">
        <v>31.861599999999999</v>
      </c>
      <c r="O76">
        <v>2.27725</v>
      </c>
      <c r="P76">
        <v>-176.35400000000001</v>
      </c>
      <c r="Q76">
        <v>115.018</v>
      </c>
    </row>
    <row r="77" spans="9:17" x14ac:dyDescent="0.25">
      <c r="I77">
        <v>33.851599999999998</v>
      </c>
      <c r="J77">
        <v>2.4403199999999998</v>
      </c>
      <c r="K77">
        <v>-183.89400000000001</v>
      </c>
      <c r="L77">
        <v>123.254</v>
      </c>
      <c r="N77">
        <v>31.868200000000002</v>
      </c>
      <c r="O77">
        <v>2.2747899999999999</v>
      </c>
      <c r="P77">
        <v>-176.285</v>
      </c>
      <c r="Q77">
        <v>114.89400000000001</v>
      </c>
    </row>
    <row r="78" spans="9:17" x14ac:dyDescent="0.25">
      <c r="I78">
        <v>33.869100000000003</v>
      </c>
      <c r="J78">
        <v>2.4222899999999998</v>
      </c>
      <c r="K78">
        <v>-184.178</v>
      </c>
      <c r="L78">
        <v>122.34400000000001</v>
      </c>
      <c r="N78">
        <v>31.8781</v>
      </c>
      <c r="O78">
        <v>2.2713000000000001</v>
      </c>
      <c r="P78">
        <v>-176.184</v>
      </c>
      <c r="Q78">
        <v>114.718</v>
      </c>
    </row>
    <row r="79" spans="9:17" x14ac:dyDescent="0.25">
      <c r="I79">
        <v>33.886699999999998</v>
      </c>
      <c r="J79">
        <v>2.4144100000000002</v>
      </c>
      <c r="K79">
        <v>-184.31299999999999</v>
      </c>
      <c r="L79">
        <v>121.946</v>
      </c>
      <c r="N79">
        <v>31.892900000000001</v>
      </c>
      <c r="O79">
        <v>2.2622300000000002</v>
      </c>
      <c r="P79">
        <v>-176.14</v>
      </c>
      <c r="Q79">
        <v>114.259</v>
      </c>
    </row>
    <row r="80" spans="9:17" x14ac:dyDescent="0.25">
      <c r="I80">
        <v>33.904299999999999</v>
      </c>
      <c r="J80">
        <v>2.4054799999999998</v>
      </c>
      <c r="K80">
        <v>-184.44399999999999</v>
      </c>
      <c r="L80">
        <v>121.495</v>
      </c>
      <c r="Q80">
        <f>MAX(Q4:Q79)</f>
        <v>203.001</v>
      </c>
    </row>
    <row r="81" spans="9:12" x14ac:dyDescent="0.25">
      <c r="I81">
        <v>33.930700000000002</v>
      </c>
      <c r="J81">
        <v>2.3904000000000001</v>
      </c>
      <c r="K81">
        <v>-184.57900000000001</v>
      </c>
      <c r="L81">
        <v>120.733</v>
      </c>
    </row>
    <row r="82" spans="9:12" x14ac:dyDescent="0.25">
      <c r="I82">
        <v>33.957000000000001</v>
      </c>
      <c r="J82">
        <v>2.38218</v>
      </c>
      <c r="K82">
        <v>-184.589</v>
      </c>
      <c r="L82">
        <v>120.318</v>
      </c>
    </row>
    <row r="83" spans="9:12" x14ac:dyDescent="0.25">
      <c r="I83">
        <v>33.983400000000003</v>
      </c>
      <c r="J83">
        <v>2.37581</v>
      </c>
      <c r="K83">
        <v>-184.51900000000001</v>
      </c>
      <c r="L83">
        <v>119.99600000000001</v>
      </c>
    </row>
    <row r="84" spans="9:12" x14ac:dyDescent="0.25">
      <c r="I84">
        <v>34.0229</v>
      </c>
      <c r="J84">
        <v>2.3679700000000001</v>
      </c>
      <c r="K84">
        <v>-184.35900000000001</v>
      </c>
      <c r="L84">
        <v>119.60000000000001</v>
      </c>
    </row>
    <row r="85" spans="9:12" x14ac:dyDescent="0.25">
      <c r="I85">
        <v>34.082299999999996</v>
      </c>
      <c r="J85">
        <v>2.3584399999999999</v>
      </c>
      <c r="K85">
        <v>-184.08799999999999</v>
      </c>
      <c r="L85">
        <v>119.119</v>
      </c>
    </row>
    <row r="86" spans="9:12" x14ac:dyDescent="0.25">
      <c r="I86">
        <v>34.171300000000002</v>
      </c>
      <c r="J86">
        <v>2.3458600000000001</v>
      </c>
      <c r="K86">
        <v>-183.66800000000001</v>
      </c>
      <c r="L86">
        <v>118.483</v>
      </c>
    </row>
    <row r="87" spans="9:12" x14ac:dyDescent="0.25">
      <c r="I87">
        <v>34.260300000000001</v>
      </c>
      <c r="J87">
        <v>2.3339699999999999</v>
      </c>
      <c r="K87">
        <v>-183.245</v>
      </c>
      <c r="L87">
        <v>117.883</v>
      </c>
    </row>
    <row r="88" spans="9:12" x14ac:dyDescent="0.25">
      <c r="I88">
        <v>34.349200000000003</v>
      </c>
      <c r="J88">
        <v>2.3226100000000001</v>
      </c>
      <c r="K88">
        <v>-182.81800000000001</v>
      </c>
      <c r="L88">
        <v>117.309</v>
      </c>
    </row>
    <row r="89" spans="9:12" x14ac:dyDescent="0.25">
      <c r="I89">
        <v>34.482700000000001</v>
      </c>
      <c r="J89">
        <v>2.3057300000000001</v>
      </c>
      <c r="K89">
        <v>-182.17500000000001</v>
      </c>
      <c r="L89">
        <v>116.45700000000001</v>
      </c>
    </row>
    <row r="90" spans="9:12" x14ac:dyDescent="0.25">
      <c r="I90">
        <v>34.532800000000002</v>
      </c>
      <c r="J90">
        <v>2.29691</v>
      </c>
      <c r="K90">
        <v>-181.79599999999999</v>
      </c>
      <c r="L90">
        <v>116.011</v>
      </c>
    </row>
    <row r="91" spans="9:12" x14ac:dyDescent="0.25">
      <c r="I91">
        <v>34.582799999999999</v>
      </c>
      <c r="J91">
        <v>2.2883300000000002</v>
      </c>
      <c r="K91">
        <v>-181.428</v>
      </c>
      <c r="L91">
        <v>115.578</v>
      </c>
    </row>
    <row r="92" spans="9:12" x14ac:dyDescent="0.25">
      <c r="I92">
        <v>34.632899999999999</v>
      </c>
      <c r="J92">
        <v>2.2797200000000002</v>
      </c>
      <c r="K92">
        <v>-181.06100000000001</v>
      </c>
      <c r="L92">
        <v>115.143</v>
      </c>
    </row>
    <row r="93" spans="9:12" x14ac:dyDescent="0.25">
      <c r="I93">
        <v>34.707999999999998</v>
      </c>
      <c r="J93">
        <v>2.26674</v>
      </c>
      <c r="K93">
        <v>-180.50899999999999</v>
      </c>
      <c r="L93">
        <v>114.48700000000001</v>
      </c>
    </row>
    <row r="94" spans="9:12" x14ac:dyDescent="0.25">
      <c r="I94">
        <v>34.820599999999999</v>
      </c>
      <c r="J94">
        <v>2.2471100000000002</v>
      </c>
      <c r="K94">
        <v>-179.68199999999999</v>
      </c>
      <c r="L94">
        <v>113.49600000000001</v>
      </c>
    </row>
    <row r="95" spans="9:12" x14ac:dyDescent="0.25">
      <c r="I95">
        <v>34.9895</v>
      </c>
      <c r="J95">
        <v>2.2173500000000002</v>
      </c>
      <c r="K95">
        <v>-178.44</v>
      </c>
      <c r="L95">
        <v>111.99300000000001</v>
      </c>
    </row>
    <row r="96" spans="9:12" x14ac:dyDescent="0.25">
      <c r="I96">
        <v>35.243000000000002</v>
      </c>
      <c r="J96">
        <v>2.1719300000000001</v>
      </c>
      <c r="K96">
        <v>-176.57599999999999</v>
      </c>
      <c r="L96">
        <v>109.699</v>
      </c>
    </row>
    <row r="97" spans="9:12" x14ac:dyDescent="0.25">
      <c r="I97">
        <v>35.623100000000001</v>
      </c>
      <c r="J97">
        <v>2.1020400000000001</v>
      </c>
      <c r="K97">
        <v>-173.77500000000001</v>
      </c>
      <c r="L97">
        <v>106.169</v>
      </c>
    </row>
    <row r="98" spans="9:12" x14ac:dyDescent="0.25">
      <c r="I98">
        <v>36.123100000000001</v>
      </c>
      <c r="J98">
        <v>2.0067400000000002</v>
      </c>
      <c r="K98">
        <v>-170.083</v>
      </c>
      <c r="L98">
        <v>101.355</v>
      </c>
    </row>
    <row r="99" spans="9:12" x14ac:dyDescent="0.25">
      <c r="I99">
        <v>36.623100000000001</v>
      </c>
      <c r="J99">
        <v>1.90741</v>
      </c>
      <c r="K99">
        <v>-166.38300000000001</v>
      </c>
      <c r="L99">
        <v>96.338700000000003</v>
      </c>
    </row>
    <row r="100" spans="9:12" x14ac:dyDescent="0.25">
      <c r="I100">
        <v>37.123100000000001</v>
      </c>
      <c r="J100">
        <v>1.80383</v>
      </c>
      <c r="K100">
        <v>-162.67400000000001</v>
      </c>
      <c r="L100">
        <v>91.107100000000003</v>
      </c>
    </row>
    <row r="101" spans="9:12" x14ac:dyDescent="0.25">
      <c r="I101">
        <v>37.623100000000001</v>
      </c>
      <c r="J101">
        <v>1.69574</v>
      </c>
      <c r="K101">
        <v>-158.95699999999999</v>
      </c>
      <c r="L101">
        <v>85.647800000000004</v>
      </c>
    </row>
    <row r="102" spans="9:12" x14ac:dyDescent="0.25">
      <c r="I102">
        <v>38.123100000000001</v>
      </c>
      <c r="J102">
        <v>1.58287</v>
      </c>
      <c r="K102">
        <v>-155.232</v>
      </c>
      <c r="L102">
        <v>79.947000000000003</v>
      </c>
    </row>
    <row r="103" spans="9:12" x14ac:dyDescent="0.25">
      <c r="I103">
        <v>38.623100000000001</v>
      </c>
      <c r="J103">
        <v>1.46492</v>
      </c>
      <c r="K103">
        <v>-151.5</v>
      </c>
      <c r="L103">
        <v>73.989399999999989</v>
      </c>
    </row>
    <row r="104" spans="9:12" x14ac:dyDescent="0.25">
      <c r="I104">
        <v>39.123100000000001</v>
      </c>
      <c r="J104">
        <v>1.3415600000000001</v>
      </c>
      <c r="K104">
        <v>-147.75899999999999</v>
      </c>
      <c r="L104">
        <v>67.758700000000005</v>
      </c>
    </row>
    <row r="105" spans="9:12" x14ac:dyDescent="0.25">
      <c r="L105">
        <f>MAX(L4:L104)</f>
        <v>204.72900000000001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8567-4756-4D72-83D2-EA82E131E177}">
  <sheetPr codeName="Sheet3"/>
  <dimension ref="A2:Q80"/>
  <sheetViews>
    <sheetView topLeftCell="A58" workbookViewId="0">
      <selection activeCell="M89" sqref="M89"/>
    </sheetView>
  </sheetViews>
  <sheetFormatPr defaultRowHeight="15" x14ac:dyDescent="0.25"/>
  <sheetData>
    <row r="2" spans="1:17" x14ac:dyDescent="0.25">
      <c r="D2" t="s">
        <v>29</v>
      </c>
      <c r="I2" t="s">
        <v>30</v>
      </c>
      <c r="K2">
        <v>-1</v>
      </c>
      <c r="L2">
        <v>-1E-3</v>
      </c>
      <c r="N2" t="s">
        <v>31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2</v>
      </c>
      <c r="G3" t="s">
        <v>3</v>
      </c>
      <c r="I3" t="s">
        <v>0</v>
      </c>
      <c r="J3" t="s">
        <v>1</v>
      </c>
      <c r="K3" t="s">
        <v>2</v>
      </c>
      <c r="L3" t="s">
        <v>3</v>
      </c>
      <c r="N3" t="s">
        <v>0</v>
      </c>
      <c r="O3" t="s">
        <v>1</v>
      </c>
      <c r="P3" t="s">
        <v>2</v>
      </c>
      <c r="Q3" t="s">
        <v>3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-1.00871E-2</v>
      </c>
      <c r="L4">
        <v>1.51893E-6</v>
      </c>
      <c r="N4">
        <v>0</v>
      </c>
      <c r="O4">
        <v>0</v>
      </c>
      <c r="P4">
        <v>-1.98874E-2</v>
      </c>
      <c r="Q4">
        <v>5.8884599999999998E-7</v>
      </c>
    </row>
    <row r="5" spans="1:17" x14ac:dyDescent="0.25">
      <c r="A5">
        <v>4.8051948051947999</v>
      </c>
      <c r="B5">
        <v>16.434540389972099</v>
      </c>
      <c r="D5">
        <v>0.5</v>
      </c>
      <c r="E5">
        <v>0.478022</v>
      </c>
      <c r="F5">
        <v>3.4387699999999999</v>
      </c>
      <c r="G5">
        <v>16.115300000000001</v>
      </c>
      <c r="I5">
        <v>0.5</v>
      </c>
      <c r="J5">
        <v>0.47798499999999999</v>
      </c>
      <c r="K5">
        <v>-3.40143</v>
      </c>
      <c r="L5">
        <v>16.114100000000001</v>
      </c>
      <c r="N5">
        <v>0.5</v>
      </c>
      <c r="O5">
        <v>0.47776000000000002</v>
      </c>
      <c r="P5">
        <v>-3.44015</v>
      </c>
      <c r="Q5">
        <v>16.1065</v>
      </c>
    </row>
    <row r="6" spans="1:17" x14ac:dyDescent="0.25">
      <c r="A6">
        <v>10.519480519480499</v>
      </c>
      <c r="B6">
        <v>36.490250696378602</v>
      </c>
      <c r="D6">
        <v>1</v>
      </c>
      <c r="E6">
        <v>0.91597700000000004</v>
      </c>
      <c r="F6">
        <v>6.8741300000000001</v>
      </c>
      <c r="G6">
        <v>30.879900000000003</v>
      </c>
      <c r="I6">
        <v>1</v>
      </c>
      <c r="J6">
        <v>0.91583199999999998</v>
      </c>
      <c r="K6">
        <v>-6.7984900000000001</v>
      </c>
      <c r="L6">
        <v>30.875</v>
      </c>
      <c r="N6">
        <v>1</v>
      </c>
      <c r="O6">
        <v>0.91500999999999999</v>
      </c>
      <c r="P6">
        <v>-6.8661799999999999</v>
      </c>
      <c r="Q6">
        <v>30.847300000000001</v>
      </c>
    </row>
    <row r="7" spans="1:17" x14ac:dyDescent="0.25">
      <c r="A7">
        <v>21.168831168831101</v>
      </c>
      <c r="B7">
        <v>64.902506963787999</v>
      </c>
      <c r="D7">
        <v>1.5</v>
      </c>
      <c r="E7">
        <v>1.3187199999999999</v>
      </c>
      <c r="F7">
        <v>10.3139</v>
      </c>
      <c r="G7">
        <v>44.457500000000003</v>
      </c>
      <c r="I7">
        <v>1.5</v>
      </c>
      <c r="J7">
        <v>1.3184100000000001</v>
      </c>
      <c r="K7">
        <v>-10.200100000000001</v>
      </c>
      <c r="L7">
        <v>44.446899999999999</v>
      </c>
      <c r="N7">
        <v>1.5</v>
      </c>
      <c r="O7">
        <v>1.3167</v>
      </c>
      <c r="P7">
        <v>-10.296900000000001</v>
      </c>
      <c r="Q7">
        <v>44.389099999999999</v>
      </c>
    </row>
    <row r="8" spans="1:17" x14ac:dyDescent="0.25">
      <c r="A8">
        <v>27.012987012987001</v>
      </c>
      <c r="B8">
        <v>78.5515320334259</v>
      </c>
      <c r="D8">
        <v>2</v>
      </c>
      <c r="E8">
        <v>1.6903699999999999</v>
      </c>
      <c r="F8">
        <v>13.757199999999999</v>
      </c>
      <c r="G8">
        <v>56.986600000000003</v>
      </c>
      <c r="I8">
        <v>2</v>
      </c>
      <c r="J8">
        <v>1.68984</v>
      </c>
      <c r="K8">
        <v>-13.605399999999999</v>
      </c>
      <c r="L8">
        <v>56.968800000000002</v>
      </c>
      <c r="N8">
        <v>2</v>
      </c>
      <c r="O8">
        <v>1.68699</v>
      </c>
      <c r="P8">
        <v>-13.731199999999999</v>
      </c>
      <c r="Q8">
        <v>56.872700000000002</v>
      </c>
    </row>
    <row r="9" spans="1:17" x14ac:dyDescent="0.25">
      <c r="A9">
        <v>36.233766233766197</v>
      </c>
      <c r="B9">
        <v>98.8857938718659</v>
      </c>
      <c r="D9">
        <v>2.5</v>
      </c>
      <c r="E9">
        <v>2.0344099999999998</v>
      </c>
      <c r="F9">
        <v>17.203099999999999</v>
      </c>
      <c r="G9">
        <v>68.585000000000008</v>
      </c>
      <c r="I9">
        <v>2.5</v>
      </c>
      <c r="J9">
        <v>2.03363</v>
      </c>
      <c r="K9">
        <v>-17.013500000000001</v>
      </c>
      <c r="L9">
        <v>68.558800000000005</v>
      </c>
      <c r="N9">
        <v>2.5</v>
      </c>
      <c r="O9">
        <v>2.0294400000000001</v>
      </c>
      <c r="P9">
        <v>-17.168299999999999</v>
      </c>
      <c r="Q9">
        <v>68.417600000000007</v>
      </c>
    </row>
    <row r="10" spans="1:17" x14ac:dyDescent="0.25">
      <c r="A10">
        <v>47.5324675324675</v>
      </c>
      <c r="B10">
        <v>115.877437325904</v>
      </c>
      <c r="D10">
        <v>3</v>
      </c>
      <c r="E10">
        <v>2.3538399999999999</v>
      </c>
      <c r="F10">
        <v>20.6508</v>
      </c>
      <c r="G10">
        <v>79.353800000000007</v>
      </c>
      <c r="I10">
        <v>3</v>
      </c>
      <c r="J10">
        <v>2.35277</v>
      </c>
      <c r="K10">
        <v>-20.4236</v>
      </c>
      <c r="L10">
        <v>79.317800000000005</v>
      </c>
      <c r="N10">
        <v>3</v>
      </c>
      <c r="O10">
        <v>2.3470800000000001</v>
      </c>
      <c r="P10">
        <v>-20.607500000000002</v>
      </c>
      <c r="Q10">
        <v>79.126000000000005</v>
      </c>
    </row>
    <row r="11" spans="1:17" x14ac:dyDescent="0.25">
      <c r="A11">
        <v>58.3116883116883</v>
      </c>
      <c r="B11">
        <v>127.29805013927501</v>
      </c>
      <c r="D11">
        <v>3.5</v>
      </c>
      <c r="E11">
        <v>2.65123</v>
      </c>
      <c r="F11">
        <v>24.099599999999999</v>
      </c>
      <c r="G11">
        <v>89.379600000000011</v>
      </c>
      <c r="I11">
        <v>3.5</v>
      </c>
      <c r="J11">
        <v>2.6498499999999998</v>
      </c>
      <c r="K11">
        <v>-23.835000000000001</v>
      </c>
      <c r="L11">
        <v>89.332999999999998</v>
      </c>
      <c r="N11">
        <v>3.5</v>
      </c>
      <c r="O11">
        <v>2.6425200000000002</v>
      </c>
      <c r="P11">
        <v>-24.047999999999998</v>
      </c>
      <c r="Q11">
        <v>89.085899999999995</v>
      </c>
    </row>
    <row r="12" spans="1:17" x14ac:dyDescent="0.25">
      <c r="A12">
        <v>66.6233766233766</v>
      </c>
      <c r="B12">
        <v>132.03342618384301</v>
      </c>
      <c r="D12">
        <v>4</v>
      </c>
      <c r="E12">
        <v>2.92882</v>
      </c>
      <c r="F12">
        <v>27.548999999999999</v>
      </c>
      <c r="G12">
        <v>98.737899999999996</v>
      </c>
      <c r="I12">
        <v>4</v>
      </c>
      <c r="J12">
        <v>2.9270999999999998</v>
      </c>
      <c r="K12">
        <v>-27.2471</v>
      </c>
      <c r="L12">
        <v>98.6798</v>
      </c>
      <c r="N12">
        <v>4</v>
      </c>
      <c r="O12">
        <v>2.9180100000000002</v>
      </c>
      <c r="P12">
        <v>-27.4892</v>
      </c>
      <c r="Q12">
        <v>98.3733</v>
      </c>
    </row>
    <row r="13" spans="1:17" x14ac:dyDescent="0.25">
      <c r="A13">
        <v>77.402597402597394</v>
      </c>
      <c r="B13">
        <v>133.704735376043</v>
      </c>
      <c r="D13">
        <v>4.5</v>
      </c>
      <c r="E13">
        <v>3.1885500000000002</v>
      </c>
      <c r="F13">
        <v>30.9983</v>
      </c>
      <c r="G13">
        <v>107.494</v>
      </c>
      <c r="I13">
        <v>4.5</v>
      </c>
      <c r="J13">
        <v>3.1864699999999999</v>
      </c>
      <c r="K13">
        <v>-30.659300000000002</v>
      </c>
      <c r="L13">
        <v>107.42400000000001</v>
      </c>
      <c r="N13">
        <v>4.5</v>
      </c>
      <c r="O13">
        <v>3.1755100000000001</v>
      </c>
      <c r="P13">
        <v>-30.930499999999999</v>
      </c>
      <c r="Q13">
        <v>107.054</v>
      </c>
    </row>
    <row r="14" spans="1:17" x14ac:dyDescent="0.25">
      <c r="A14">
        <v>91.428571428571402</v>
      </c>
      <c r="B14">
        <v>134.476323119776</v>
      </c>
      <c r="D14">
        <v>5</v>
      </c>
      <c r="E14">
        <v>3.4321199999999998</v>
      </c>
      <c r="F14">
        <v>34.447099999999999</v>
      </c>
      <c r="G14">
        <v>115.705</v>
      </c>
      <c r="I14">
        <v>5</v>
      </c>
      <c r="J14">
        <v>3.4296600000000002</v>
      </c>
      <c r="K14">
        <v>-34.071199999999997</v>
      </c>
      <c r="L14">
        <v>115.622</v>
      </c>
      <c r="N14">
        <v>5</v>
      </c>
      <c r="O14">
        <v>3.4156599999999999</v>
      </c>
      <c r="P14">
        <v>-34.372799999999998</v>
      </c>
      <c r="Q14">
        <v>115.15</v>
      </c>
    </row>
    <row r="15" spans="1:17" x14ac:dyDescent="0.25">
      <c r="A15">
        <v>107.012987012987</v>
      </c>
      <c r="B15">
        <v>130.85515320334099</v>
      </c>
      <c r="D15">
        <v>5.5</v>
      </c>
      <c r="E15">
        <v>3.6583199999999998</v>
      </c>
      <c r="F15">
        <v>37.8994</v>
      </c>
      <c r="G15">
        <v>123.331</v>
      </c>
      <c r="I15">
        <v>5.5</v>
      </c>
      <c r="J15">
        <v>3.6549399999999999</v>
      </c>
      <c r="K15">
        <v>-37.487099999999998</v>
      </c>
      <c r="L15">
        <v>123.217</v>
      </c>
      <c r="N15">
        <v>5.5</v>
      </c>
      <c r="O15">
        <v>3.63368</v>
      </c>
      <c r="P15">
        <v>-37.822400000000002</v>
      </c>
      <c r="Q15">
        <v>122.501</v>
      </c>
    </row>
    <row r="16" spans="1:17" x14ac:dyDescent="0.25">
      <c r="A16">
        <v>124.80519480519401</v>
      </c>
      <c r="B16">
        <v>125.955431754873</v>
      </c>
      <c r="D16">
        <v>6</v>
      </c>
      <c r="E16">
        <v>3.84904</v>
      </c>
      <c r="F16">
        <v>41.373199999999997</v>
      </c>
      <c r="G16">
        <v>129.761</v>
      </c>
      <c r="I16">
        <v>6</v>
      </c>
      <c r="J16">
        <v>3.8496899999999998</v>
      </c>
      <c r="K16">
        <v>-40.918999999999997</v>
      </c>
      <c r="L16">
        <v>129.78300000000002</v>
      </c>
      <c r="N16">
        <v>6</v>
      </c>
      <c r="O16">
        <v>3.8245800000000001</v>
      </c>
      <c r="P16">
        <v>-41.280900000000003</v>
      </c>
      <c r="Q16">
        <v>128.93600000000001</v>
      </c>
    </row>
    <row r="17" spans="1:17" x14ac:dyDescent="0.25">
      <c r="A17">
        <v>141.42857142857099</v>
      </c>
      <c r="B17">
        <v>119.220055710305</v>
      </c>
      <c r="D17">
        <v>6.5</v>
      </c>
      <c r="E17">
        <v>4.0088400000000002</v>
      </c>
      <c r="F17">
        <v>44.851599999999998</v>
      </c>
      <c r="G17">
        <v>135.148</v>
      </c>
      <c r="I17">
        <v>6.5</v>
      </c>
      <c r="J17">
        <v>4.0116399999999999</v>
      </c>
      <c r="K17">
        <v>-44.360900000000001</v>
      </c>
      <c r="L17">
        <v>135.24199999999999</v>
      </c>
      <c r="N17">
        <v>6.5</v>
      </c>
      <c r="O17">
        <v>3.9858699999999998</v>
      </c>
      <c r="P17">
        <v>-44.749299999999998</v>
      </c>
      <c r="Q17">
        <v>134.374</v>
      </c>
    </row>
    <row r="18" spans="1:17" x14ac:dyDescent="0.25">
      <c r="A18">
        <v>151.68831168831099</v>
      </c>
      <c r="B18">
        <v>116.43454038997</v>
      </c>
      <c r="D18">
        <v>7</v>
      </c>
      <c r="E18">
        <v>4.1414299999999997</v>
      </c>
      <c r="F18">
        <v>48.334200000000003</v>
      </c>
      <c r="G18">
        <v>139.61799999999999</v>
      </c>
      <c r="I18">
        <v>7</v>
      </c>
      <c r="J18">
        <v>4.1470200000000004</v>
      </c>
      <c r="K18">
        <v>-47.8063</v>
      </c>
      <c r="L18">
        <v>139.80700000000002</v>
      </c>
      <c r="N18">
        <v>7</v>
      </c>
      <c r="O18">
        <v>4.1199199999999996</v>
      </c>
      <c r="P18">
        <v>-48.224400000000003</v>
      </c>
      <c r="Q18">
        <v>138.893</v>
      </c>
    </row>
    <row r="19" spans="1:17" x14ac:dyDescent="0.25">
      <c r="D19">
        <v>7.5</v>
      </c>
      <c r="E19">
        <v>4.25143</v>
      </c>
      <c r="F19">
        <v>51.821899999999999</v>
      </c>
      <c r="G19">
        <v>143.32599999999999</v>
      </c>
      <c r="I19">
        <v>7.5</v>
      </c>
      <c r="J19">
        <v>4.2593300000000003</v>
      </c>
      <c r="K19">
        <v>-51.256300000000003</v>
      </c>
      <c r="L19">
        <v>143.59299999999999</v>
      </c>
      <c r="N19">
        <v>7.5</v>
      </c>
      <c r="O19">
        <v>4.2313299999999998</v>
      </c>
      <c r="P19">
        <v>-51.703400000000002</v>
      </c>
      <c r="Q19">
        <v>142.649</v>
      </c>
    </row>
    <row r="20" spans="1:17" x14ac:dyDescent="0.25">
      <c r="D20">
        <v>8</v>
      </c>
      <c r="E20">
        <v>4.3401300000000003</v>
      </c>
      <c r="F20">
        <v>55.313899999999997</v>
      </c>
      <c r="G20">
        <v>146.31700000000001</v>
      </c>
      <c r="I20">
        <v>8</v>
      </c>
      <c r="J20">
        <v>4.3507199999999999</v>
      </c>
      <c r="K20">
        <v>-54.710799999999999</v>
      </c>
      <c r="L20">
        <v>146.67400000000001</v>
      </c>
      <c r="N20">
        <v>8</v>
      </c>
      <c r="O20">
        <v>4.3234399999999997</v>
      </c>
      <c r="P20">
        <v>-55.184100000000001</v>
      </c>
      <c r="Q20">
        <v>145.75399999999999</v>
      </c>
    </row>
    <row r="21" spans="1:17" x14ac:dyDescent="0.25">
      <c r="D21">
        <v>8.5</v>
      </c>
      <c r="E21">
        <v>4.4159100000000002</v>
      </c>
      <c r="F21">
        <v>58.7986</v>
      </c>
      <c r="G21">
        <v>148.87200000000001</v>
      </c>
      <c r="I21">
        <v>8.5</v>
      </c>
      <c r="J21">
        <v>4.4274300000000002</v>
      </c>
      <c r="K21">
        <v>-58.1616</v>
      </c>
      <c r="L21">
        <v>149.26</v>
      </c>
      <c r="N21">
        <v>8.5</v>
      </c>
      <c r="O21">
        <v>4.3991100000000003</v>
      </c>
      <c r="P21">
        <v>-58.667700000000004</v>
      </c>
      <c r="Q21">
        <v>148.30500000000001</v>
      </c>
    </row>
    <row r="22" spans="1:17" x14ac:dyDescent="0.25">
      <c r="D22">
        <v>9</v>
      </c>
      <c r="E22">
        <v>4.4771799999999997</v>
      </c>
      <c r="F22">
        <v>62.289099999999998</v>
      </c>
      <c r="G22">
        <v>150.93700000000001</v>
      </c>
      <c r="I22">
        <v>9</v>
      </c>
      <c r="J22">
        <v>4.4904900000000003</v>
      </c>
      <c r="K22">
        <v>-61.614899999999999</v>
      </c>
      <c r="L22">
        <v>151.386</v>
      </c>
      <c r="N22">
        <v>9</v>
      </c>
      <c r="O22">
        <v>4.4615299999999998</v>
      </c>
      <c r="P22">
        <v>-62.15</v>
      </c>
      <c r="Q22">
        <v>150.40899999999999</v>
      </c>
    </row>
    <row r="23" spans="1:17" x14ac:dyDescent="0.25">
      <c r="D23">
        <v>9.5</v>
      </c>
      <c r="E23">
        <v>4.5274099999999997</v>
      </c>
      <c r="F23">
        <v>65.776200000000003</v>
      </c>
      <c r="G23">
        <v>152.63</v>
      </c>
      <c r="I23">
        <v>9.5</v>
      </c>
      <c r="J23">
        <v>4.5421699999999996</v>
      </c>
      <c r="K23">
        <v>-65.066400000000002</v>
      </c>
      <c r="L23">
        <v>153.12800000000001</v>
      </c>
      <c r="N23">
        <v>9.5</v>
      </c>
      <c r="O23">
        <v>4.5135300000000003</v>
      </c>
      <c r="P23">
        <v>-65.629000000000005</v>
      </c>
      <c r="Q23">
        <v>152.16300000000001</v>
      </c>
    </row>
    <row r="24" spans="1:17" x14ac:dyDescent="0.25">
      <c r="D24">
        <v>10</v>
      </c>
      <c r="E24">
        <v>4.5634899999999998</v>
      </c>
      <c r="F24">
        <v>69.285399999999996</v>
      </c>
      <c r="G24">
        <v>153.84700000000001</v>
      </c>
      <c r="I24">
        <v>10</v>
      </c>
      <c r="J24">
        <v>4.5818199999999996</v>
      </c>
      <c r="K24">
        <v>-68.529700000000005</v>
      </c>
      <c r="L24">
        <v>154.465</v>
      </c>
      <c r="N24">
        <v>10</v>
      </c>
      <c r="O24">
        <v>4.5510099999999998</v>
      </c>
      <c r="P24">
        <v>-69.130300000000005</v>
      </c>
      <c r="Q24">
        <v>153.42600000000002</v>
      </c>
    </row>
    <row r="25" spans="1:17" x14ac:dyDescent="0.25">
      <c r="D25">
        <v>10.5</v>
      </c>
      <c r="E25">
        <v>4.5862699999999998</v>
      </c>
      <c r="F25">
        <v>72.807599999999994</v>
      </c>
      <c r="G25">
        <v>154.61500000000001</v>
      </c>
      <c r="I25">
        <v>10.5</v>
      </c>
      <c r="J25">
        <v>4.6053600000000001</v>
      </c>
      <c r="K25">
        <v>-72.018600000000006</v>
      </c>
      <c r="L25">
        <v>155.25800000000001</v>
      </c>
      <c r="N25">
        <v>10.5</v>
      </c>
      <c r="O25">
        <v>4.5726100000000001</v>
      </c>
      <c r="P25">
        <v>-72.653400000000005</v>
      </c>
      <c r="Q25">
        <v>154.154</v>
      </c>
    </row>
    <row r="26" spans="1:17" x14ac:dyDescent="0.25">
      <c r="D26">
        <v>11</v>
      </c>
      <c r="E26">
        <v>4.6003299999999996</v>
      </c>
      <c r="F26">
        <v>76.328500000000005</v>
      </c>
      <c r="G26">
        <v>155.089</v>
      </c>
      <c r="I26">
        <v>11</v>
      </c>
      <c r="J26">
        <v>4.6205699999999998</v>
      </c>
      <c r="K26">
        <v>-75.503699999999995</v>
      </c>
      <c r="L26">
        <v>155.77100000000002</v>
      </c>
      <c r="N26">
        <v>11</v>
      </c>
      <c r="O26">
        <v>4.5867199999999997</v>
      </c>
      <c r="P26">
        <v>-76.168300000000002</v>
      </c>
      <c r="Q26">
        <v>154.63</v>
      </c>
    </row>
    <row r="27" spans="1:17" x14ac:dyDescent="0.25">
      <c r="D27">
        <v>11.125</v>
      </c>
      <c r="E27">
        <v>4.6017400000000004</v>
      </c>
      <c r="F27">
        <v>77.214600000000004</v>
      </c>
      <c r="G27">
        <v>155.136</v>
      </c>
      <c r="I27">
        <v>11.125</v>
      </c>
      <c r="J27">
        <v>4.6231299999999997</v>
      </c>
      <c r="K27">
        <v>-76.375500000000002</v>
      </c>
      <c r="L27">
        <v>155.857</v>
      </c>
      <c r="N27">
        <v>11.125</v>
      </c>
      <c r="O27">
        <v>4.5887799999999999</v>
      </c>
      <c r="P27">
        <v>-77.049300000000002</v>
      </c>
      <c r="Q27">
        <v>154.69900000000001</v>
      </c>
    </row>
    <row r="28" spans="1:17" x14ac:dyDescent="0.25">
      <c r="D28">
        <v>11.25</v>
      </c>
      <c r="E28">
        <v>4.6017200000000003</v>
      </c>
      <c r="F28">
        <v>78.105800000000002</v>
      </c>
      <c r="G28">
        <v>155.13499999999999</v>
      </c>
      <c r="I28">
        <v>11.25</v>
      </c>
      <c r="J28">
        <v>4.6246200000000002</v>
      </c>
      <c r="K28">
        <v>-77.251099999999994</v>
      </c>
      <c r="L28">
        <v>155.90800000000002</v>
      </c>
      <c r="N28">
        <v>11.25</v>
      </c>
      <c r="O28">
        <v>4.5897600000000001</v>
      </c>
      <c r="P28">
        <v>-77.934100000000001</v>
      </c>
      <c r="Q28">
        <v>154.732</v>
      </c>
    </row>
    <row r="29" spans="1:17" x14ac:dyDescent="0.25">
      <c r="D29">
        <v>11.375</v>
      </c>
      <c r="E29">
        <v>4.6008399999999998</v>
      </c>
      <c r="F29">
        <v>78.998800000000003</v>
      </c>
      <c r="G29">
        <v>155.10599999999999</v>
      </c>
      <c r="I29">
        <v>11.375</v>
      </c>
      <c r="J29">
        <v>4.6248399999999998</v>
      </c>
      <c r="K29">
        <v>-78.131399999999999</v>
      </c>
      <c r="L29">
        <v>155.91499999999999</v>
      </c>
      <c r="N29">
        <v>11.375</v>
      </c>
      <c r="O29">
        <v>4.5896400000000002</v>
      </c>
      <c r="P29">
        <v>-78.822800000000001</v>
      </c>
      <c r="Q29">
        <v>154.72800000000001</v>
      </c>
    </row>
    <row r="30" spans="1:17" x14ac:dyDescent="0.25">
      <c r="D30">
        <v>11.5</v>
      </c>
      <c r="E30">
        <v>4.5993199999999996</v>
      </c>
      <c r="F30">
        <v>79.892300000000006</v>
      </c>
      <c r="G30">
        <v>155.05500000000001</v>
      </c>
      <c r="I30">
        <v>11.5</v>
      </c>
      <c r="J30">
        <v>4.6240300000000003</v>
      </c>
      <c r="K30">
        <v>-79.014600000000002</v>
      </c>
      <c r="L30">
        <v>155.88800000000001</v>
      </c>
      <c r="N30">
        <v>11.5</v>
      </c>
      <c r="O30">
        <v>4.5885999999999996</v>
      </c>
      <c r="P30">
        <v>-79.713899999999995</v>
      </c>
      <c r="Q30">
        <v>154.69300000000001</v>
      </c>
    </row>
    <row r="31" spans="1:17" x14ac:dyDescent="0.25">
      <c r="D31">
        <v>11.625</v>
      </c>
      <c r="E31">
        <v>4.59748</v>
      </c>
      <c r="F31">
        <v>80.784599999999998</v>
      </c>
      <c r="G31">
        <v>154.99199999999999</v>
      </c>
      <c r="I31">
        <v>11.625</v>
      </c>
      <c r="J31">
        <v>4.62256</v>
      </c>
      <c r="K31">
        <v>-79.898600000000002</v>
      </c>
      <c r="L31">
        <v>155.83799999999999</v>
      </c>
      <c r="N31">
        <v>11.625</v>
      </c>
      <c r="O31">
        <v>4.5869200000000001</v>
      </c>
      <c r="P31">
        <v>-80.605699999999999</v>
      </c>
      <c r="Q31">
        <v>154.637</v>
      </c>
    </row>
    <row r="32" spans="1:17" x14ac:dyDescent="0.25">
      <c r="D32">
        <v>11.75</v>
      </c>
      <c r="E32">
        <v>4.5954199999999998</v>
      </c>
      <c r="F32">
        <v>81.6755</v>
      </c>
      <c r="G32">
        <v>154.923</v>
      </c>
      <c r="I32">
        <v>11.75</v>
      </c>
      <c r="J32">
        <v>4.6206300000000002</v>
      </c>
      <c r="K32">
        <v>-80.782200000000003</v>
      </c>
      <c r="L32">
        <v>155.773</v>
      </c>
      <c r="N32">
        <v>11.75</v>
      </c>
      <c r="O32">
        <v>4.5847699999999998</v>
      </c>
      <c r="P32">
        <v>-81.497299999999996</v>
      </c>
      <c r="Q32">
        <v>154.56399999999999</v>
      </c>
    </row>
    <row r="33" spans="4:17" x14ac:dyDescent="0.25">
      <c r="D33">
        <v>11.875</v>
      </c>
      <c r="E33">
        <v>4.5931199999999999</v>
      </c>
      <c r="F33">
        <v>82.565700000000007</v>
      </c>
      <c r="G33">
        <v>154.846</v>
      </c>
      <c r="I33">
        <v>11.875</v>
      </c>
      <c r="J33">
        <v>4.6184500000000002</v>
      </c>
      <c r="K33">
        <v>-81.664599999999993</v>
      </c>
      <c r="L33">
        <v>155.69900000000001</v>
      </c>
      <c r="N33">
        <v>11.875</v>
      </c>
      <c r="O33">
        <v>4.5822599999999998</v>
      </c>
      <c r="P33">
        <v>-82.388499999999993</v>
      </c>
      <c r="Q33">
        <v>154.47900000000001</v>
      </c>
    </row>
    <row r="34" spans="4:17" x14ac:dyDescent="0.25">
      <c r="D34">
        <v>12</v>
      </c>
      <c r="E34">
        <v>4.5906200000000004</v>
      </c>
      <c r="F34">
        <v>83.455200000000005</v>
      </c>
      <c r="G34">
        <v>154.761</v>
      </c>
      <c r="I34">
        <v>12</v>
      </c>
      <c r="J34">
        <v>4.6160199999999998</v>
      </c>
      <c r="K34">
        <v>-82.546199999999999</v>
      </c>
      <c r="L34">
        <v>155.61799999999999</v>
      </c>
      <c r="N34">
        <v>12</v>
      </c>
      <c r="O34">
        <v>4.5794300000000003</v>
      </c>
      <c r="P34">
        <v>-83.279399999999995</v>
      </c>
      <c r="Q34">
        <v>154.38400000000001</v>
      </c>
    </row>
    <row r="35" spans="4:17" x14ac:dyDescent="0.25">
      <c r="D35">
        <v>12.125</v>
      </c>
      <c r="E35">
        <v>4.5879099999999999</v>
      </c>
      <c r="F35">
        <v>84.344099999999997</v>
      </c>
      <c r="G35">
        <v>154.67000000000002</v>
      </c>
      <c r="I35">
        <v>12.125</v>
      </c>
      <c r="J35">
        <v>4.6133699999999997</v>
      </c>
      <c r="K35">
        <v>-83.427099999999996</v>
      </c>
      <c r="L35">
        <v>155.52799999999999</v>
      </c>
      <c r="N35">
        <v>12.125</v>
      </c>
      <c r="O35">
        <v>4.5763299999999996</v>
      </c>
      <c r="P35">
        <v>-84.169899999999998</v>
      </c>
      <c r="Q35">
        <v>154.279</v>
      </c>
    </row>
    <row r="36" spans="4:17" x14ac:dyDescent="0.25">
      <c r="D36">
        <v>12.25</v>
      </c>
      <c r="E36">
        <v>4.5850200000000001</v>
      </c>
      <c r="F36">
        <v>85.232600000000005</v>
      </c>
      <c r="G36">
        <v>154.57300000000001</v>
      </c>
      <c r="I36">
        <v>12.25</v>
      </c>
      <c r="J36">
        <v>4.6104900000000004</v>
      </c>
      <c r="K36">
        <v>-84.307599999999994</v>
      </c>
      <c r="L36">
        <v>155.43100000000001</v>
      </c>
      <c r="N36">
        <v>12.25</v>
      </c>
      <c r="O36">
        <v>4.57294</v>
      </c>
      <c r="P36">
        <v>-85.060100000000006</v>
      </c>
      <c r="Q36">
        <v>154.16499999999999</v>
      </c>
    </row>
    <row r="37" spans="4:17" x14ac:dyDescent="0.25">
      <c r="D37">
        <v>12.375</v>
      </c>
      <c r="E37">
        <v>4.5818899999999996</v>
      </c>
      <c r="F37">
        <v>86.120599999999996</v>
      </c>
      <c r="G37">
        <v>154.46700000000001</v>
      </c>
      <c r="I37">
        <v>12.375</v>
      </c>
      <c r="J37">
        <v>4.6074000000000002</v>
      </c>
      <c r="K37">
        <v>-85.187700000000007</v>
      </c>
      <c r="L37">
        <v>155.327</v>
      </c>
      <c r="N37">
        <v>12.375</v>
      </c>
      <c r="O37">
        <v>4.5693099999999998</v>
      </c>
      <c r="P37">
        <v>-85.950299999999999</v>
      </c>
      <c r="Q37">
        <v>154.04300000000001</v>
      </c>
    </row>
    <row r="38" spans="4:17" x14ac:dyDescent="0.25">
      <c r="D38">
        <v>12.5</v>
      </c>
      <c r="E38">
        <v>4.5784200000000004</v>
      </c>
      <c r="F38">
        <v>87.009200000000007</v>
      </c>
      <c r="G38">
        <v>154.35</v>
      </c>
      <c r="I38">
        <v>12.5</v>
      </c>
      <c r="J38">
        <v>4.6040599999999996</v>
      </c>
      <c r="K38">
        <v>-86.067499999999995</v>
      </c>
      <c r="L38">
        <v>155.214</v>
      </c>
      <c r="N38">
        <v>12.5</v>
      </c>
      <c r="O38">
        <v>4.5653600000000001</v>
      </c>
      <c r="P38">
        <v>-86.840699999999998</v>
      </c>
      <c r="Q38">
        <v>153.91</v>
      </c>
    </row>
    <row r="39" spans="4:17" x14ac:dyDescent="0.25">
      <c r="D39">
        <v>12.625</v>
      </c>
      <c r="E39">
        <v>4.5745399999999998</v>
      </c>
      <c r="F39">
        <v>87.899100000000004</v>
      </c>
      <c r="G39">
        <v>154.21899999999999</v>
      </c>
      <c r="I39">
        <v>12.625</v>
      </c>
      <c r="J39">
        <v>4.6003699999999998</v>
      </c>
      <c r="K39">
        <v>-86.947800000000001</v>
      </c>
      <c r="L39">
        <v>155.09</v>
      </c>
      <c r="N39">
        <v>12.625</v>
      </c>
      <c r="O39">
        <v>4.5610499999999998</v>
      </c>
      <c r="P39">
        <v>-87.731499999999997</v>
      </c>
      <c r="Q39">
        <v>153.76400000000001</v>
      </c>
    </row>
    <row r="40" spans="4:17" x14ac:dyDescent="0.25">
      <c r="D40">
        <v>12.75</v>
      </c>
      <c r="E40">
        <v>4.5702800000000003</v>
      </c>
      <c r="F40">
        <v>88.789900000000003</v>
      </c>
      <c r="G40">
        <v>154.07599999999999</v>
      </c>
      <c r="I40">
        <v>12.75</v>
      </c>
      <c r="J40">
        <v>4.5962899999999998</v>
      </c>
      <c r="K40">
        <v>-87.828900000000004</v>
      </c>
      <c r="L40">
        <v>154.952</v>
      </c>
      <c r="N40">
        <v>12.75</v>
      </c>
      <c r="O40">
        <v>4.5563399999999996</v>
      </c>
      <c r="P40">
        <v>-88.623199999999997</v>
      </c>
      <c r="Q40">
        <v>153.60599999999999</v>
      </c>
    </row>
    <row r="41" spans="4:17" x14ac:dyDescent="0.25">
      <c r="D41">
        <v>12.875</v>
      </c>
      <c r="E41">
        <v>4.5653499999999996</v>
      </c>
      <c r="F41">
        <v>89.683999999999997</v>
      </c>
      <c r="G41">
        <v>153.90899999999999</v>
      </c>
      <c r="I41">
        <v>12.875</v>
      </c>
      <c r="J41">
        <v>4.5918000000000001</v>
      </c>
      <c r="K41">
        <v>-88.711299999999994</v>
      </c>
      <c r="L41">
        <v>154.80100000000002</v>
      </c>
      <c r="N41">
        <v>12.875</v>
      </c>
      <c r="O41">
        <v>4.5511100000000004</v>
      </c>
      <c r="P41">
        <v>-89.517099999999999</v>
      </c>
      <c r="Q41">
        <v>153.429</v>
      </c>
    </row>
    <row r="42" spans="4:17" x14ac:dyDescent="0.25">
      <c r="D42">
        <v>13</v>
      </c>
      <c r="E42">
        <v>4.5592300000000003</v>
      </c>
      <c r="F42">
        <v>90.585499999999996</v>
      </c>
      <c r="G42">
        <v>153.703</v>
      </c>
      <c r="I42">
        <v>13</v>
      </c>
      <c r="J42">
        <v>4.5865900000000002</v>
      </c>
      <c r="K42">
        <v>-89.597200000000001</v>
      </c>
      <c r="L42">
        <v>154.626</v>
      </c>
      <c r="N42">
        <v>13</v>
      </c>
      <c r="O42">
        <v>4.5452500000000002</v>
      </c>
      <c r="P42">
        <v>-90.414299999999997</v>
      </c>
      <c r="Q42">
        <v>153.232</v>
      </c>
    </row>
    <row r="43" spans="4:17" x14ac:dyDescent="0.25">
      <c r="D43">
        <v>13.125</v>
      </c>
      <c r="E43">
        <v>4.5523999999999996</v>
      </c>
      <c r="F43">
        <v>91.49</v>
      </c>
      <c r="G43">
        <v>153.47300000000001</v>
      </c>
      <c r="I43">
        <v>13.125</v>
      </c>
      <c r="J43">
        <v>4.58066</v>
      </c>
      <c r="K43">
        <v>-90.486800000000002</v>
      </c>
      <c r="L43">
        <v>154.42600000000002</v>
      </c>
      <c r="N43">
        <v>13.125</v>
      </c>
      <c r="O43">
        <v>4.5386699999999998</v>
      </c>
      <c r="P43">
        <v>-91.314999999999998</v>
      </c>
      <c r="Q43">
        <v>153.01</v>
      </c>
    </row>
    <row r="44" spans="4:17" x14ac:dyDescent="0.25">
      <c r="D44">
        <v>13.25</v>
      </c>
      <c r="E44">
        <v>4.54514</v>
      </c>
      <c r="F44">
        <v>92.395399999999995</v>
      </c>
      <c r="G44">
        <v>153.22800000000001</v>
      </c>
      <c r="I44">
        <v>13.25</v>
      </c>
      <c r="J44">
        <v>4.5739200000000002</v>
      </c>
      <c r="K44">
        <v>-91.380799999999994</v>
      </c>
      <c r="L44">
        <v>154.19800000000001</v>
      </c>
      <c r="N44">
        <v>13.25</v>
      </c>
      <c r="O44">
        <v>4.5315200000000004</v>
      </c>
      <c r="P44">
        <v>-92.218199999999996</v>
      </c>
      <c r="Q44">
        <v>152.76900000000001</v>
      </c>
    </row>
    <row r="45" spans="4:17" x14ac:dyDescent="0.25">
      <c r="D45">
        <v>13.375</v>
      </c>
      <c r="E45">
        <v>4.53756</v>
      </c>
      <c r="F45">
        <v>93.301000000000002</v>
      </c>
      <c r="G45">
        <v>152.97200000000001</v>
      </c>
      <c r="I45">
        <v>13.375</v>
      </c>
      <c r="J45">
        <v>4.5666799999999999</v>
      </c>
      <c r="K45">
        <v>-92.276499999999999</v>
      </c>
      <c r="L45">
        <v>153.95400000000001</v>
      </c>
      <c r="N45">
        <v>13.375</v>
      </c>
      <c r="O45">
        <v>4.52393</v>
      </c>
      <c r="P45">
        <v>-93.122299999999996</v>
      </c>
      <c r="Q45">
        <v>152.51300000000001</v>
      </c>
    </row>
    <row r="46" spans="4:17" x14ac:dyDescent="0.25">
      <c r="D46">
        <v>13.5</v>
      </c>
      <c r="E46">
        <v>4.5298499999999997</v>
      </c>
      <c r="F46">
        <v>94.205200000000005</v>
      </c>
      <c r="G46">
        <v>152.71199999999999</v>
      </c>
      <c r="I46">
        <v>13.5</v>
      </c>
      <c r="J46">
        <v>4.5591100000000004</v>
      </c>
      <c r="K46">
        <v>-93.172399999999996</v>
      </c>
      <c r="L46">
        <v>153.69900000000001</v>
      </c>
      <c r="N46">
        <v>13.5</v>
      </c>
      <c r="O46">
        <v>4.5160799999999997</v>
      </c>
      <c r="P46">
        <v>-94.026300000000006</v>
      </c>
      <c r="Q46">
        <v>152.24799999999999</v>
      </c>
    </row>
    <row r="47" spans="4:17" x14ac:dyDescent="0.25">
      <c r="D47">
        <v>13.625</v>
      </c>
      <c r="E47">
        <v>4.5220399999999996</v>
      </c>
      <c r="F47">
        <v>95.108400000000003</v>
      </c>
      <c r="G47">
        <v>152.44900000000001</v>
      </c>
      <c r="I47">
        <v>13.625</v>
      </c>
      <c r="J47">
        <v>4.5513199999999996</v>
      </c>
      <c r="K47">
        <v>-94.067800000000005</v>
      </c>
      <c r="L47">
        <v>153.43600000000001</v>
      </c>
      <c r="N47">
        <v>13.625</v>
      </c>
      <c r="O47">
        <v>4.5080600000000004</v>
      </c>
      <c r="P47">
        <v>-94.929699999999997</v>
      </c>
      <c r="Q47">
        <v>151.97800000000001</v>
      </c>
    </row>
    <row r="48" spans="4:17" x14ac:dyDescent="0.25">
      <c r="D48">
        <v>13.75</v>
      </c>
      <c r="E48">
        <v>4.5141299999999998</v>
      </c>
      <c r="F48">
        <v>96.010800000000003</v>
      </c>
      <c r="G48">
        <v>152.18299999999999</v>
      </c>
      <c r="I48">
        <v>13.75</v>
      </c>
      <c r="J48">
        <v>4.5434200000000002</v>
      </c>
      <c r="K48">
        <v>-94.962100000000007</v>
      </c>
      <c r="L48">
        <v>153.17000000000002</v>
      </c>
      <c r="N48">
        <v>13.75</v>
      </c>
      <c r="O48">
        <v>4.4999000000000002</v>
      </c>
      <c r="P48">
        <v>-95.832400000000007</v>
      </c>
      <c r="Q48">
        <v>151.703</v>
      </c>
    </row>
    <row r="49" spans="4:17" x14ac:dyDescent="0.25">
      <c r="D49">
        <v>13.875</v>
      </c>
      <c r="E49">
        <v>4.5061200000000001</v>
      </c>
      <c r="F49">
        <v>96.912300000000002</v>
      </c>
      <c r="G49">
        <v>151.91300000000001</v>
      </c>
      <c r="I49">
        <v>13.875</v>
      </c>
      <c r="J49">
        <v>4.5353899999999996</v>
      </c>
      <c r="K49">
        <v>-95.855599999999995</v>
      </c>
      <c r="L49">
        <v>152.899</v>
      </c>
      <c r="N49">
        <v>13.875</v>
      </c>
      <c r="O49">
        <v>4.4916200000000002</v>
      </c>
      <c r="P49">
        <v>-96.734300000000005</v>
      </c>
      <c r="Q49">
        <v>151.42400000000001</v>
      </c>
    </row>
    <row r="50" spans="4:17" x14ac:dyDescent="0.25">
      <c r="D50">
        <v>14</v>
      </c>
      <c r="E50">
        <v>4.4980399999999996</v>
      </c>
      <c r="F50">
        <v>97.812899999999999</v>
      </c>
      <c r="G50">
        <v>151.64000000000001</v>
      </c>
      <c r="I50">
        <v>14</v>
      </c>
      <c r="J50">
        <v>4.5272800000000002</v>
      </c>
      <c r="K50">
        <v>-96.748199999999997</v>
      </c>
      <c r="L50">
        <v>152.626</v>
      </c>
      <c r="N50">
        <v>14</v>
      </c>
      <c r="O50">
        <v>4.4832200000000002</v>
      </c>
      <c r="P50">
        <v>-97.635499999999993</v>
      </c>
      <c r="Q50">
        <v>151.14099999999999</v>
      </c>
    </row>
    <row r="51" spans="4:17" x14ac:dyDescent="0.25">
      <c r="D51">
        <v>14.125</v>
      </c>
      <c r="E51">
        <v>4.4898499999999997</v>
      </c>
      <c r="F51">
        <v>98.712900000000005</v>
      </c>
      <c r="G51">
        <v>151.364</v>
      </c>
      <c r="I51">
        <v>14.125</v>
      </c>
      <c r="J51">
        <v>4.5190700000000001</v>
      </c>
      <c r="K51">
        <v>-97.640100000000004</v>
      </c>
      <c r="L51">
        <v>152.34899999999999</v>
      </c>
      <c r="N51">
        <v>14.125</v>
      </c>
      <c r="O51">
        <v>4.4747199999999996</v>
      </c>
      <c r="P51">
        <v>-98.536199999999994</v>
      </c>
      <c r="Q51">
        <v>150.85400000000001</v>
      </c>
    </row>
    <row r="52" spans="4:17" x14ac:dyDescent="0.25">
      <c r="D52">
        <v>14.25</v>
      </c>
      <c r="E52">
        <v>4.4815699999999996</v>
      </c>
      <c r="F52">
        <v>99.6126</v>
      </c>
      <c r="G52">
        <v>151.08500000000001</v>
      </c>
      <c r="I52">
        <v>14.25</v>
      </c>
      <c r="J52">
        <v>4.5107799999999996</v>
      </c>
      <c r="K52">
        <v>-98.531300000000002</v>
      </c>
      <c r="L52">
        <v>152.07</v>
      </c>
      <c r="N52">
        <v>14.25</v>
      </c>
      <c r="O52">
        <v>4.4661</v>
      </c>
      <c r="P52">
        <v>-99.436899999999994</v>
      </c>
      <c r="Q52">
        <v>150.56300000000002</v>
      </c>
    </row>
    <row r="53" spans="4:17" x14ac:dyDescent="0.25">
      <c r="D53">
        <v>14.375</v>
      </c>
      <c r="E53">
        <v>4.4730499999999997</v>
      </c>
      <c r="F53">
        <v>100.51300000000001</v>
      </c>
      <c r="G53">
        <v>150.798</v>
      </c>
      <c r="I53">
        <v>14.375</v>
      </c>
      <c r="J53">
        <v>4.50237</v>
      </c>
      <c r="K53">
        <v>-99.422399999999996</v>
      </c>
      <c r="L53">
        <v>151.786</v>
      </c>
      <c r="N53">
        <v>14.375</v>
      </c>
      <c r="O53">
        <v>4.4573299999999998</v>
      </c>
      <c r="P53">
        <v>-100.33799999999999</v>
      </c>
      <c r="Q53">
        <v>150.268</v>
      </c>
    </row>
    <row r="54" spans="4:17" x14ac:dyDescent="0.25">
      <c r="D54">
        <v>14.5</v>
      </c>
      <c r="E54">
        <v>4.4643600000000001</v>
      </c>
      <c r="F54">
        <v>101.41500000000001</v>
      </c>
      <c r="G54">
        <v>150.505</v>
      </c>
      <c r="I54">
        <v>14.5</v>
      </c>
      <c r="J54">
        <v>4.4938000000000002</v>
      </c>
      <c r="K54">
        <v>-100.31399999999999</v>
      </c>
      <c r="L54">
        <v>151.49700000000001</v>
      </c>
      <c r="N54">
        <v>14.5</v>
      </c>
      <c r="O54">
        <v>4.4483899999999998</v>
      </c>
      <c r="P54">
        <v>-101.239</v>
      </c>
      <c r="Q54">
        <v>149.96600000000001</v>
      </c>
    </row>
    <row r="55" spans="4:17" x14ac:dyDescent="0.25">
      <c r="D55">
        <v>14.625</v>
      </c>
      <c r="E55">
        <v>4.4555100000000003</v>
      </c>
      <c r="F55">
        <v>102.316</v>
      </c>
      <c r="G55">
        <v>150.20600000000002</v>
      </c>
      <c r="I55">
        <v>14.625</v>
      </c>
      <c r="J55">
        <v>4.4850599999999998</v>
      </c>
      <c r="K55">
        <v>-101.206</v>
      </c>
      <c r="L55">
        <v>151.203</v>
      </c>
      <c r="N55">
        <v>14.625</v>
      </c>
      <c r="O55">
        <v>4.4392800000000001</v>
      </c>
      <c r="P55">
        <v>-102.142</v>
      </c>
      <c r="Q55">
        <v>149.65899999999999</v>
      </c>
    </row>
    <row r="56" spans="4:17" x14ac:dyDescent="0.25">
      <c r="D56">
        <v>14.75</v>
      </c>
      <c r="E56">
        <v>4.4465500000000002</v>
      </c>
      <c r="F56">
        <v>103.218</v>
      </c>
      <c r="G56">
        <v>149.904</v>
      </c>
      <c r="I56">
        <v>14.75</v>
      </c>
      <c r="J56">
        <v>4.47614</v>
      </c>
      <c r="K56">
        <v>-102.099</v>
      </c>
      <c r="L56">
        <v>150.90200000000002</v>
      </c>
      <c r="N56">
        <v>14.75</v>
      </c>
      <c r="O56">
        <v>4.4300300000000004</v>
      </c>
      <c r="P56">
        <v>-103.044</v>
      </c>
      <c r="Q56">
        <v>149.34700000000001</v>
      </c>
    </row>
    <row r="57" spans="4:17" x14ac:dyDescent="0.25">
      <c r="D57">
        <v>14.875</v>
      </c>
      <c r="E57">
        <v>4.4375200000000001</v>
      </c>
      <c r="F57">
        <v>104.119</v>
      </c>
      <c r="G57">
        <v>149.6</v>
      </c>
      <c r="I57">
        <v>14.875</v>
      </c>
      <c r="J57">
        <v>4.4671099999999999</v>
      </c>
      <c r="K57">
        <v>-102.991</v>
      </c>
      <c r="L57">
        <v>150.59800000000001</v>
      </c>
      <c r="N57">
        <v>14.875</v>
      </c>
      <c r="O57">
        <v>4.4206700000000003</v>
      </c>
      <c r="P57">
        <v>-103.947</v>
      </c>
      <c r="Q57">
        <v>149.03200000000001</v>
      </c>
    </row>
    <row r="58" spans="4:17" x14ac:dyDescent="0.25">
      <c r="D58">
        <v>15</v>
      </c>
      <c r="E58">
        <v>4.4284100000000004</v>
      </c>
      <c r="F58">
        <v>105.01900000000001</v>
      </c>
      <c r="G58">
        <v>149.29300000000001</v>
      </c>
      <c r="I58">
        <v>15</v>
      </c>
      <c r="J58">
        <v>4.4579899999999997</v>
      </c>
      <c r="K58">
        <v>-103.884</v>
      </c>
      <c r="L58">
        <v>150.29</v>
      </c>
      <c r="N58">
        <v>15</v>
      </c>
      <c r="O58">
        <v>4.4112099999999996</v>
      </c>
      <c r="P58">
        <v>-104.849</v>
      </c>
      <c r="Q58">
        <v>148.71299999999999</v>
      </c>
    </row>
    <row r="59" spans="4:17" x14ac:dyDescent="0.25">
      <c r="D59">
        <v>15.125</v>
      </c>
      <c r="E59">
        <v>4.4192400000000003</v>
      </c>
      <c r="F59">
        <v>105.919</v>
      </c>
      <c r="G59">
        <v>148.98400000000001</v>
      </c>
      <c r="I59">
        <v>15.125</v>
      </c>
      <c r="J59">
        <v>4.4487899999999998</v>
      </c>
      <c r="K59">
        <v>-104.776</v>
      </c>
      <c r="L59">
        <v>149.97999999999999</v>
      </c>
      <c r="N59">
        <v>15.125</v>
      </c>
      <c r="O59">
        <v>4.4016200000000003</v>
      </c>
      <c r="P59">
        <v>-105.752</v>
      </c>
      <c r="Q59">
        <v>148.38900000000001</v>
      </c>
    </row>
    <row r="60" spans="4:17" x14ac:dyDescent="0.25">
      <c r="D60">
        <v>15.25</v>
      </c>
      <c r="E60">
        <v>4.4096599999999997</v>
      </c>
      <c r="F60">
        <v>106.82299999999999</v>
      </c>
      <c r="G60">
        <v>148.661</v>
      </c>
      <c r="I60">
        <v>15.25</v>
      </c>
      <c r="J60">
        <v>4.4394999999999998</v>
      </c>
      <c r="K60">
        <v>-105.669</v>
      </c>
      <c r="L60">
        <v>149.667</v>
      </c>
      <c r="N60">
        <v>15.25</v>
      </c>
      <c r="O60">
        <v>4.3917599999999997</v>
      </c>
      <c r="P60">
        <v>-106.657</v>
      </c>
      <c r="Q60">
        <v>148.05700000000002</v>
      </c>
    </row>
    <row r="61" spans="4:17" x14ac:dyDescent="0.25">
      <c r="D61">
        <v>15.375</v>
      </c>
      <c r="E61">
        <v>4.3994900000000001</v>
      </c>
      <c r="F61">
        <v>107.733</v>
      </c>
      <c r="G61">
        <v>148.31800000000001</v>
      </c>
      <c r="I61">
        <v>15.375</v>
      </c>
      <c r="J61">
        <v>4.4298799999999998</v>
      </c>
      <c r="K61">
        <v>-106.56399999999999</v>
      </c>
      <c r="L61">
        <v>149.34200000000001</v>
      </c>
      <c r="N61">
        <v>15.375</v>
      </c>
      <c r="O61">
        <v>4.3815499999999998</v>
      </c>
      <c r="P61">
        <v>-107.565</v>
      </c>
      <c r="Q61">
        <v>147.71299999999999</v>
      </c>
    </row>
    <row r="62" spans="4:17" x14ac:dyDescent="0.25">
      <c r="D62">
        <v>15.5</v>
      </c>
      <c r="E62">
        <v>4.3890700000000002</v>
      </c>
      <c r="F62">
        <v>108.64400000000001</v>
      </c>
      <c r="G62">
        <v>147.96700000000001</v>
      </c>
      <c r="I62">
        <v>15.5</v>
      </c>
      <c r="J62">
        <v>4.4199700000000002</v>
      </c>
      <c r="K62">
        <v>-107.461</v>
      </c>
      <c r="L62">
        <v>149.00800000000001</v>
      </c>
      <c r="N62">
        <v>15.5</v>
      </c>
      <c r="O62">
        <v>4.3709899999999999</v>
      </c>
      <c r="P62">
        <v>-108.477</v>
      </c>
      <c r="Q62">
        <v>147.357</v>
      </c>
    </row>
    <row r="63" spans="4:17" x14ac:dyDescent="0.25">
      <c r="D63">
        <v>15.625</v>
      </c>
      <c r="E63">
        <v>4.3784299999999998</v>
      </c>
      <c r="F63">
        <v>109.557</v>
      </c>
      <c r="G63">
        <v>147.608</v>
      </c>
      <c r="I63">
        <v>15.625</v>
      </c>
      <c r="J63">
        <v>4.4096200000000003</v>
      </c>
      <c r="K63">
        <v>-108.363</v>
      </c>
      <c r="L63">
        <v>148.65899999999999</v>
      </c>
      <c r="N63">
        <v>15.625</v>
      </c>
      <c r="O63">
        <v>4.3601200000000002</v>
      </c>
      <c r="P63">
        <v>-109.39100000000001</v>
      </c>
      <c r="Q63">
        <v>146.99</v>
      </c>
    </row>
    <row r="64" spans="4:17" x14ac:dyDescent="0.25">
      <c r="D64">
        <v>15.75</v>
      </c>
      <c r="E64">
        <v>4.3676899999999996</v>
      </c>
      <c r="F64">
        <v>110.46899999999999</v>
      </c>
      <c r="G64">
        <v>147.24600000000001</v>
      </c>
      <c r="I64">
        <v>15.75</v>
      </c>
      <c r="J64">
        <v>4.3989900000000004</v>
      </c>
      <c r="K64">
        <v>-109.267</v>
      </c>
      <c r="L64">
        <v>148.30100000000002</v>
      </c>
      <c r="N64">
        <v>15.75</v>
      </c>
      <c r="O64">
        <v>4.3491</v>
      </c>
      <c r="P64">
        <v>-110.30500000000001</v>
      </c>
      <c r="Q64">
        <v>146.619</v>
      </c>
    </row>
    <row r="65" spans="4:17" x14ac:dyDescent="0.25">
      <c r="D65">
        <v>15.875</v>
      </c>
      <c r="E65">
        <v>4.3569899999999997</v>
      </c>
      <c r="F65">
        <v>111.38</v>
      </c>
      <c r="G65">
        <v>146.88499999999999</v>
      </c>
      <c r="I65">
        <v>15.875</v>
      </c>
      <c r="J65">
        <v>4.3882500000000002</v>
      </c>
      <c r="K65">
        <v>-110.17</v>
      </c>
      <c r="L65">
        <v>147.93899999999999</v>
      </c>
      <c r="N65">
        <v>15.875</v>
      </c>
      <c r="O65">
        <v>4.3379500000000002</v>
      </c>
      <c r="P65">
        <v>-111.21899999999999</v>
      </c>
      <c r="Q65">
        <v>146.24299999999999</v>
      </c>
    </row>
    <row r="66" spans="4:17" x14ac:dyDescent="0.25">
      <c r="D66">
        <v>16</v>
      </c>
      <c r="E66">
        <v>4.34626</v>
      </c>
      <c r="F66">
        <v>112.291</v>
      </c>
      <c r="G66">
        <v>146.523</v>
      </c>
      <c r="I66">
        <v>16</v>
      </c>
      <c r="J66">
        <v>4.3774300000000004</v>
      </c>
      <c r="K66">
        <v>-111.074</v>
      </c>
      <c r="L66">
        <v>147.57400000000001</v>
      </c>
      <c r="N66">
        <v>16</v>
      </c>
      <c r="O66">
        <v>4.3267600000000002</v>
      </c>
      <c r="P66">
        <v>-112.133</v>
      </c>
      <c r="Q66">
        <v>145.86600000000001</v>
      </c>
    </row>
    <row r="67" spans="4:17" x14ac:dyDescent="0.25">
      <c r="D67">
        <v>16.125</v>
      </c>
      <c r="E67">
        <v>4.3354299999999997</v>
      </c>
      <c r="F67">
        <v>113.202</v>
      </c>
      <c r="G67">
        <v>146.15800000000002</v>
      </c>
      <c r="I67">
        <v>16.125</v>
      </c>
      <c r="J67">
        <v>4.3665799999999999</v>
      </c>
      <c r="K67">
        <v>-111.977</v>
      </c>
      <c r="L67">
        <v>147.208</v>
      </c>
      <c r="N67">
        <v>16.125</v>
      </c>
      <c r="O67">
        <v>4.3155299999999999</v>
      </c>
      <c r="P67">
        <v>-113.047</v>
      </c>
      <c r="Q67">
        <v>145.48699999999999</v>
      </c>
    </row>
    <row r="68" spans="4:17" x14ac:dyDescent="0.25">
      <c r="D68">
        <v>16.25</v>
      </c>
      <c r="E68">
        <v>4.3245500000000003</v>
      </c>
      <c r="F68">
        <v>114.11199999999999</v>
      </c>
      <c r="G68">
        <v>145.792</v>
      </c>
      <c r="I68">
        <v>16.25</v>
      </c>
      <c r="J68">
        <v>4.3556800000000004</v>
      </c>
      <c r="K68">
        <v>-112.879</v>
      </c>
      <c r="L68">
        <v>146.84100000000001</v>
      </c>
      <c r="N68">
        <v>16.25</v>
      </c>
      <c r="O68">
        <v>4.3042400000000001</v>
      </c>
      <c r="P68">
        <v>-113.961</v>
      </c>
      <c r="Q68">
        <v>145.107</v>
      </c>
    </row>
    <row r="69" spans="4:17" x14ac:dyDescent="0.25">
      <c r="D69">
        <v>16.375</v>
      </c>
      <c r="E69">
        <v>4.31365</v>
      </c>
      <c r="F69">
        <v>115.023</v>
      </c>
      <c r="G69">
        <v>145.42400000000001</v>
      </c>
      <c r="I69">
        <v>16.375</v>
      </c>
      <c r="J69">
        <v>4.3447399999999998</v>
      </c>
      <c r="K69">
        <v>-113.78100000000001</v>
      </c>
      <c r="L69">
        <v>146.47200000000001</v>
      </c>
      <c r="N69">
        <v>16.375</v>
      </c>
      <c r="O69">
        <v>4.2929000000000004</v>
      </c>
      <c r="P69">
        <v>-114.875</v>
      </c>
      <c r="Q69">
        <v>144.72399999999999</v>
      </c>
    </row>
    <row r="70" spans="4:17" x14ac:dyDescent="0.25">
      <c r="D70">
        <v>16.5</v>
      </c>
      <c r="E70">
        <v>4.3027199999999999</v>
      </c>
      <c r="F70">
        <v>115.93300000000001</v>
      </c>
      <c r="G70">
        <v>145.05600000000001</v>
      </c>
      <c r="I70">
        <v>16.5</v>
      </c>
      <c r="J70">
        <v>4.3337599999999998</v>
      </c>
      <c r="K70">
        <v>-114.68300000000001</v>
      </c>
      <c r="L70">
        <v>146.102</v>
      </c>
      <c r="N70">
        <v>16.5</v>
      </c>
      <c r="O70">
        <v>4.2815200000000004</v>
      </c>
      <c r="P70">
        <v>-115.788</v>
      </c>
      <c r="Q70">
        <v>144.34100000000001</v>
      </c>
    </row>
    <row r="71" spans="4:17" x14ac:dyDescent="0.25">
      <c r="D71">
        <v>16.625</v>
      </c>
      <c r="E71">
        <v>4.2917800000000002</v>
      </c>
      <c r="F71">
        <v>116.842</v>
      </c>
      <c r="G71">
        <v>144.68700000000001</v>
      </c>
      <c r="I71">
        <v>16.625</v>
      </c>
      <c r="J71">
        <v>4.3227500000000001</v>
      </c>
      <c r="K71">
        <v>-115.58499999999999</v>
      </c>
      <c r="L71">
        <v>145.73099999999999</v>
      </c>
      <c r="N71">
        <v>16.625</v>
      </c>
      <c r="O71">
        <v>4.2700899999999997</v>
      </c>
      <c r="P71">
        <v>-116.703</v>
      </c>
      <c r="Q71">
        <v>143.95599999999999</v>
      </c>
    </row>
    <row r="72" spans="4:17" x14ac:dyDescent="0.25">
      <c r="D72">
        <v>16.75</v>
      </c>
      <c r="E72">
        <v>4.2807300000000001</v>
      </c>
      <c r="F72">
        <v>117.753</v>
      </c>
      <c r="G72">
        <v>144.31399999999999</v>
      </c>
      <c r="I72">
        <v>16.75</v>
      </c>
      <c r="J72">
        <v>4.3117099999999997</v>
      </c>
      <c r="K72">
        <v>-116.48699999999999</v>
      </c>
      <c r="L72">
        <v>145.35900000000001</v>
      </c>
      <c r="N72">
        <v>16.75</v>
      </c>
      <c r="O72">
        <v>4.2585699999999997</v>
      </c>
      <c r="P72">
        <v>-117.617</v>
      </c>
      <c r="Q72">
        <v>143.56700000000001</v>
      </c>
    </row>
    <row r="73" spans="4:17" x14ac:dyDescent="0.25">
      <c r="D73">
        <v>16.875</v>
      </c>
      <c r="E73">
        <v>4.26959</v>
      </c>
      <c r="F73">
        <v>118.664</v>
      </c>
      <c r="G73">
        <v>143.93800000000002</v>
      </c>
      <c r="I73">
        <v>16.875</v>
      </c>
      <c r="J73">
        <v>4.3006200000000003</v>
      </c>
      <c r="K73">
        <v>-117.38800000000001</v>
      </c>
      <c r="L73">
        <v>144.98500000000001</v>
      </c>
      <c r="N73">
        <v>16.875</v>
      </c>
      <c r="O73">
        <v>4.24695</v>
      </c>
      <c r="P73">
        <v>-118.533</v>
      </c>
      <c r="Q73">
        <v>143.17500000000001</v>
      </c>
    </row>
    <row r="74" spans="4:17" x14ac:dyDescent="0.25">
      <c r="D74">
        <v>17</v>
      </c>
      <c r="E74">
        <v>4.2583799999999998</v>
      </c>
      <c r="F74">
        <v>119.57599999999999</v>
      </c>
      <c r="G74">
        <v>143.56100000000001</v>
      </c>
      <c r="I74">
        <v>17</v>
      </c>
      <c r="J74">
        <v>4.2894600000000001</v>
      </c>
      <c r="K74">
        <v>-118.291</v>
      </c>
      <c r="L74">
        <v>144.608</v>
      </c>
      <c r="N74">
        <v>17</v>
      </c>
      <c r="O74">
        <v>4.2352499999999997</v>
      </c>
      <c r="P74">
        <v>-119.45</v>
      </c>
      <c r="Q74">
        <v>142.78100000000001</v>
      </c>
    </row>
    <row r="75" spans="4:17" x14ac:dyDescent="0.25">
      <c r="D75">
        <v>17.125</v>
      </c>
      <c r="E75">
        <v>4.2471500000000004</v>
      </c>
      <c r="F75">
        <v>120.48699999999999</v>
      </c>
      <c r="G75">
        <v>143.18200000000002</v>
      </c>
      <c r="I75">
        <v>17.125</v>
      </c>
      <c r="J75">
        <v>4.2782</v>
      </c>
      <c r="K75">
        <v>-119.194</v>
      </c>
      <c r="L75">
        <v>144.22900000000001</v>
      </c>
      <c r="N75">
        <v>17.125</v>
      </c>
      <c r="O75">
        <v>4.22349</v>
      </c>
      <c r="P75">
        <v>-120.366</v>
      </c>
      <c r="Q75">
        <v>142.38499999999999</v>
      </c>
    </row>
    <row r="76" spans="4:17" x14ac:dyDescent="0.25">
      <c r="D76">
        <v>17.25</v>
      </c>
      <c r="E76">
        <v>4.2359099999999996</v>
      </c>
      <c r="F76">
        <v>121.399</v>
      </c>
      <c r="G76">
        <v>142.803</v>
      </c>
      <c r="I76">
        <v>17.25</v>
      </c>
      <c r="J76">
        <v>4.2668699999999999</v>
      </c>
      <c r="K76">
        <v>-120.098</v>
      </c>
      <c r="L76">
        <v>143.84700000000001</v>
      </c>
      <c r="N76">
        <v>17.25</v>
      </c>
      <c r="O76">
        <v>4.2117100000000001</v>
      </c>
      <c r="P76">
        <v>-121.283</v>
      </c>
      <c r="Q76">
        <v>141.98699999999999</v>
      </c>
    </row>
    <row r="77" spans="4:17" x14ac:dyDescent="0.25">
      <c r="D77">
        <v>17.375</v>
      </c>
      <c r="E77">
        <v>4.2246499999999996</v>
      </c>
      <c r="F77">
        <v>122.31</v>
      </c>
      <c r="G77">
        <v>142.423</v>
      </c>
      <c r="I77">
        <v>17.375</v>
      </c>
      <c r="J77">
        <v>4.2555199999999997</v>
      </c>
      <c r="K77">
        <v>-121.001</v>
      </c>
      <c r="L77">
        <v>143.464</v>
      </c>
      <c r="N77">
        <v>17.375</v>
      </c>
      <c r="O77">
        <v>4.1998899999999999</v>
      </c>
      <c r="P77">
        <v>-122.2</v>
      </c>
      <c r="Q77">
        <v>141.589</v>
      </c>
    </row>
    <row r="78" spans="4:17" x14ac:dyDescent="0.25">
      <c r="D78">
        <v>17.5</v>
      </c>
      <c r="E78">
        <v>4.2134200000000002</v>
      </c>
      <c r="F78">
        <v>123.22</v>
      </c>
      <c r="G78">
        <v>142.04500000000002</v>
      </c>
      <c r="I78">
        <v>17.5</v>
      </c>
      <c r="J78">
        <v>4.2441599999999999</v>
      </c>
      <c r="K78">
        <v>-121.905</v>
      </c>
      <c r="L78">
        <v>143.08099999999999</v>
      </c>
      <c r="N78">
        <v>17.5</v>
      </c>
      <c r="O78">
        <v>4.1880699999999997</v>
      </c>
      <c r="P78">
        <v>-123.117</v>
      </c>
      <c r="Q78">
        <v>141.19</v>
      </c>
    </row>
    <row r="79" spans="4:17" x14ac:dyDescent="0.25">
      <c r="D79">
        <v>17.625</v>
      </c>
      <c r="E79">
        <v>4.20221</v>
      </c>
      <c r="F79">
        <v>124.13</v>
      </c>
      <c r="G79">
        <v>141.667</v>
      </c>
      <c r="I79">
        <v>17.625</v>
      </c>
      <c r="J79">
        <v>4.2328099999999997</v>
      </c>
      <c r="K79">
        <v>-122.80800000000001</v>
      </c>
      <c r="L79">
        <v>142.69900000000001</v>
      </c>
      <c r="N79">
        <v>17.625</v>
      </c>
      <c r="O79">
        <v>4.1762499999999996</v>
      </c>
      <c r="P79">
        <v>-124.03400000000001</v>
      </c>
      <c r="Q79">
        <v>140.792</v>
      </c>
    </row>
    <row r="80" spans="4:17" x14ac:dyDescent="0.25">
      <c r="G80">
        <f>MAX(G4:G79)</f>
        <v>155.136</v>
      </c>
      <c r="L80">
        <f>MAX(L4:L79)</f>
        <v>155.91499999999999</v>
      </c>
      <c r="Q80">
        <f>MAX(Q4:Q79)</f>
        <v>154.732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E00F-5BF4-4354-907E-F812C3E18000}">
  <sheetPr codeName="Sheet4"/>
  <dimension ref="A2:Q50"/>
  <sheetViews>
    <sheetView topLeftCell="A40" workbookViewId="0">
      <selection activeCell="T21" sqref="T21"/>
    </sheetView>
  </sheetViews>
  <sheetFormatPr defaultRowHeight="15" x14ac:dyDescent="0.25"/>
  <sheetData>
    <row r="2" spans="1:17" x14ac:dyDescent="0.25">
      <c r="B2">
        <v>-1</v>
      </c>
      <c r="D2" t="s">
        <v>29</v>
      </c>
      <c r="I2" t="s">
        <v>30</v>
      </c>
      <c r="K2">
        <v>-1E-3</v>
      </c>
      <c r="L2">
        <v>-1</v>
      </c>
      <c r="N2" t="s">
        <v>31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4</v>
      </c>
      <c r="G3" t="s">
        <v>5</v>
      </c>
      <c r="I3" t="s">
        <v>0</v>
      </c>
      <c r="J3" t="s">
        <v>1</v>
      </c>
      <c r="K3" t="s">
        <v>4</v>
      </c>
      <c r="L3" t="s">
        <v>5</v>
      </c>
      <c r="N3" t="s">
        <v>0</v>
      </c>
      <c r="O3" t="s">
        <v>1</v>
      </c>
      <c r="P3" t="s">
        <v>4</v>
      </c>
      <c r="Q3" t="s">
        <v>5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5.69256E-2</v>
      </c>
      <c r="L4">
        <v>-1.0932899999999999E-9</v>
      </c>
      <c r="N4">
        <v>0</v>
      </c>
      <c r="O4">
        <v>0</v>
      </c>
      <c r="P4">
        <v>0.112675</v>
      </c>
      <c r="Q4">
        <v>-1.9897999999999999E-9</v>
      </c>
    </row>
    <row r="5" spans="1:17" x14ac:dyDescent="0.25">
      <c r="A5">
        <v>0.86760973672014596</v>
      </c>
      <c r="B5">
        <v>50.674552556661602</v>
      </c>
      <c r="D5">
        <v>0.5</v>
      </c>
      <c r="E5">
        <v>0.46612900000000002</v>
      </c>
      <c r="F5">
        <v>0.98977199999999999</v>
      </c>
      <c r="G5">
        <v>86.698800000000006</v>
      </c>
      <c r="I5">
        <v>0.5</v>
      </c>
      <c r="J5">
        <v>0.466113</v>
      </c>
      <c r="K5">
        <v>-0.89292000000000005</v>
      </c>
      <c r="L5">
        <v>86.695899999999995</v>
      </c>
      <c r="N5">
        <v>0.5</v>
      </c>
      <c r="O5">
        <v>0.46450999999999998</v>
      </c>
      <c r="P5">
        <v>-0.84637799999999996</v>
      </c>
      <c r="Q5">
        <v>86.397600000000011</v>
      </c>
    </row>
    <row r="6" spans="1:17" x14ac:dyDescent="0.25">
      <c r="A6">
        <v>1.8851367157327801</v>
      </c>
      <c r="B6">
        <v>123.496744863505</v>
      </c>
      <c r="D6">
        <v>1</v>
      </c>
      <c r="E6">
        <v>0.87232299999999996</v>
      </c>
      <c r="F6">
        <v>2.0251600000000001</v>
      </c>
      <c r="G6">
        <v>162.25</v>
      </c>
      <c r="I6">
        <v>1</v>
      </c>
      <c r="J6">
        <v>0.87210900000000002</v>
      </c>
      <c r="K6">
        <v>-1.8547199999999999</v>
      </c>
      <c r="L6">
        <v>162.21</v>
      </c>
      <c r="N6">
        <v>1</v>
      </c>
      <c r="O6">
        <v>0.86625799999999997</v>
      </c>
      <c r="P6">
        <v>-1.81921</v>
      </c>
      <c r="Q6">
        <v>161.12200000000001</v>
      </c>
    </row>
    <row r="7" spans="1:17" x14ac:dyDescent="0.25">
      <c r="A7">
        <v>3.4923046366384898</v>
      </c>
      <c r="B7">
        <v>230.300884955752</v>
      </c>
      <c r="D7">
        <v>1.5</v>
      </c>
      <c r="E7">
        <v>1.2287999999999999</v>
      </c>
      <c r="F7">
        <v>3.0690599999999999</v>
      </c>
      <c r="G7">
        <v>228.55500000000001</v>
      </c>
      <c r="I7">
        <v>1.5</v>
      </c>
      <c r="J7">
        <v>1.2281299999999999</v>
      </c>
      <c r="K7">
        <v>-2.8258299999999998</v>
      </c>
      <c r="L7">
        <v>228.429</v>
      </c>
      <c r="N7">
        <v>1.5</v>
      </c>
      <c r="O7">
        <v>1.2161200000000001</v>
      </c>
      <c r="P7">
        <v>-2.8028400000000002</v>
      </c>
      <c r="Q7">
        <v>226.196</v>
      </c>
    </row>
    <row r="8" spans="1:17" x14ac:dyDescent="0.25">
      <c r="A8">
        <v>5.4943437865513198</v>
      </c>
      <c r="B8">
        <v>334.064131706132</v>
      </c>
      <c r="D8">
        <v>2</v>
      </c>
      <c r="E8">
        <v>1.5437700000000001</v>
      </c>
      <c r="F8">
        <v>4.1196599999999997</v>
      </c>
      <c r="G8">
        <v>287.137</v>
      </c>
      <c r="I8">
        <v>2</v>
      </c>
      <c r="J8">
        <v>1.5423500000000001</v>
      </c>
      <c r="K8">
        <v>-3.8043</v>
      </c>
      <c r="L8">
        <v>286.87400000000002</v>
      </c>
      <c r="N8">
        <v>2</v>
      </c>
      <c r="O8">
        <v>1.5228299999999999</v>
      </c>
      <c r="P8">
        <v>-3.7950200000000001</v>
      </c>
      <c r="Q8">
        <v>283.24299999999999</v>
      </c>
    </row>
    <row r="9" spans="1:17" x14ac:dyDescent="0.25">
      <c r="A9">
        <v>7.4207843223798902</v>
      </c>
      <c r="B9">
        <v>412.94233442941299</v>
      </c>
      <c r="D9">
        <v>2.5</v>
      </c>
      <c r="E9">
        <v>1.82379</v>
      </c>
      <c r="F9">
        <v>5.1756000000000002</v>
      </c>
      <c r="G9">
        <v>339.221</v>
      </c>
      <c r="I9">
        <v>2.5</v>
      </c>
      <c r="J9">
        <v>1.82138</v>
      </c>
      <c r="K9">
        <v>-4.7886499999999996</v>
      </c>
      <c r="L9">
        <v>338.77300000000002</v>
      </c>
      <c r="N9">
        <v>2.5</v>
      </c>
      <c r="O9">
        <v>1.79338</v>
      </c>
      <c r="P9">
        <v>-4.7940800000000001</v>
      </c>
      <c r="Q9">
        <v>333.56299999999999</v>
      </c>
    </row>
    <row r="10" spans="1:17" x14ac:dyDescent="0.25">
      <c r="A10">
        <v>10.118500209652799</v>
      </c>
      <c r="B10">
        <v>506.37635998499297</v>
      </c>
      <c r="D10">
        <v>3</v>
      </c>
      <c r="E10">
        <v>2.0741999999999998</v>
      </c>
      <c r="F10">
        <v>6.2358500000000001</v>
      </c>
      <c r="G10">
        <v>385.79700000000003</v>
      </c>
      <c r="I10">
        <v>3</v>
      </c>
      <c r="J10">
        <v>2.07056</v>
      </c>
      <c r="K10">
        <v>-5.7777500000000002</v>
      </c>
      <c r="L10">
        <v>385.12</v>
      </c>
      <c r="N10">
        <v>3</v>
      </c>
      <c r="O10">
        <v>2.0333800000000002</v>
      </c>
      <c r="P10">
        <v>-5.7987200000000003</v>
      </c>
      <c r="Q10">
        <v>378.20400000000001</v>
      </c>
    </row>
    <row r="11" spans="1:17" x14ac:dyDescent="0.25">
      <c r="A11">
        <v>12.927901485224901</v>
      </c>
      <c r="B11">
        <v>579.77834175622797</v>
      </c>
      <c r="D11">
        <v>3.5</v>
      </c>
      <c r="E11">
        <v>2.2993199999999998</v>
      </c>
      <c r="F11">
        <v>7.2995999999999999</v>
      </c>
      <c r="G11">
        <v>427.66800000000001</v>
      </c>
      <c r="I11">
        <v>3.5</v>
      </c>
      <c r="J11">
        <v>2.2942499999999999</v>
      </c>
      <c r="K11">
        <v>-6.77074</v>
      </c>
      <c r="L11">
        <v>426.72500000000002</v>
      </c>
      <c r="N11">
        <v>3.5</v>
      </c>
      <c r="O11">
        <v>2.2473999999999998</v>
      </c>
      <c r="P11">
        <v>-6.8079400000000003</v>
      </c>
      <c r="Q11">
        <v>418.012</v>
      </c>
    </row>
    <row r="12" spans="1:17" x14ac:dyDescent="0.25">
      <c r="A12">
        <v>15.6398472844437</v>
      </c>
      <c r="B12">
        <v>634.36541389887998</v>
      </c>
      <c r="D12">
        <v>4</v>
      </c>
      <c r="E12">
        <v>2.5026899999999999</v>
      </c>
      <c r="F12">
        <v>8.3662100000000006</v>
      </c>
      <c r="G12">
        <v>465.495</v>
      </c>
      <c r="I12">
        <v>4</v>
      </c>
      <c r="J12">
        <v>2.496</v>
      </c>
      <c r="K12">
        <v>-7.7668999999999997</v>
      </c>
      <c r="L12">
        <v>464.25</v>
      </c>
      <c r="N12">
        <v>4</v>
      </c>
      <c r="O12">
        <v>2.4391500000000002</v>
      </c>
      <c r="P12">
        <v>-7.8209299999999997</v>
      </c>
      <c r="Q12">
        <v>453.67500000000001</v>
      </c>
    </row>
    <row r="13" spans="1:17" x14ac:dyDescent="0.25">
      <c r="A13">
        <v>19.0016374991724</v>
      </c>
      <c r="B13">
        <v>681.65886169531905</v>
      </c>
      <c r="D13">
        <v>4.5</v>
      </c>
      <c r="E13">
        <v>2.68723</v>
      </c>
      <c r="F13">
        <v>9.4351900000000004</v>
      </c>
      <c r="G13">
        <v>499.81799999999998</v>
      </c>
      <c r="I13">
        <v>4.5</v>
      </c>
      <c r="J13">
        <v>2.67876</v>
      </c>
      <c r="K13">
        <v>-8.7657000000000007</v>
      </c>
      <c r="L13">
        <v>498.24200000000002</v>
      </c>
      <c r="N13">
        <v>4.5</v>
      </c>
      <c r="O13">
        <v>2.61164</v>
      </c>
      <c r="P13">
        <v>-8.8370700000000006</v>
      </c>
      <c r="Q13">
        <v>485.75800000000004</v>
      </c>
    </row>
    <row r="14" spans="1:17" x14ac:dyDescent="0.25">
      <c r="A14">
        <v>22.1747313133096</v>
      </c>
      <c r="B14">
        <v>718.02952795003603</v>
      </c>
      <c r="D14">
        <v>5</v>
      </c>
      <c r="E14">
        <v>2.8553500000000001</v>
      </c>
      <c r="F14">
        <v>10.5061</v>
      </c>
      <c r="G14">
        <v>531.08699999999999</v>
      </c>
      <c r="I14">
        <v>5</v>
      </c>
      <c r="J14">
        <v>2.8449499999999999</v>
      </c>
      <c r="K14">
        <v>-9.7666799999999991</v>
      </c>
      <c r="L14">
        <v>529.15300000000002</v>
      </c>
      <c r="N14">
        <v>5</v>
      </c>
      <c r="O14">
        <v>2.7673800000000002</v>
      </c>
      <c r="P14">
        <v>-9.8558400000000006</v>
      </c>
      <c r="Q14">
        <v>514.726</v>
      </c>
    </row>
    <row r="15" spans="1:17" x14ac:dyDescent="0.25">
      <c r="A15">
        <v>25.483627215147902</v>
      </c>
      <c r="B15">
        <v>738.00966610023499</v>
      </c>
      <c r="D15">
        <v>5.5</v>
      </c>
      <c r="E15">
        <v>3.0090699999999999</v>
      </c>
      <c r="F15">
        <v>11.5786</v>
      </c>
      <c r="G15">
        <v>559.68000000000006</v>
      </c>
      <c r="I15">
        <v>5.5</v>
      </c>
      <c r="J15">
        <v>2.99661</v>
      </c>
      <c r="K15">
        <v>-10.769500000000001</v>
      </c>
      <c r="L15">
        <v>557.36199999999997</v>
      </c>
      <c r="N15">
        <v>5.5</v>
      </c>
      <c r="O15">
        <v>2.9084500000000002</v>
      </c>
      <c r="P15">
        <v>-10.876799999999999</v>
      </c>
      <c r="Q15">
        <v>540.96400000000006</v>
      </c>
    </row>
    <row r="16" spans="1:17" x14ac:dyDescent="0.25">
      <c r="A16">
        <v>29.580288217509299</v>
      </c>
      <c r="B16">
        <v>743.41032374815097</v>
      </c>
      <c r="D16">
        <v>6</v>
      </c>
      <c r="E16">
        <v>3.1501000000000001</v>
      </c>
      <c r="F16">
        <v>12.6525</v>
      </c>
      <c r="G16">
        <v>585.91200000000003</v>
      </c>
      <c r="I16">
        <v>6</v>
      </c>
      <c r="J16">
        <v>3.1354500000000001</v>
      </c>
      <c r="K16">
        <v>-11.7738</v>
      </c>
      <c r="L16">
        <v>583.18500000000006</v>
      </c>
      <c r="N16">
        <v>6</v>
      </c>
      <c r="O16">
        <v>3.03579</v>
      </c>
      <c r="P16">
        <v>-11.9</v>
      </c>
      <c r="Q16">
        <v>564.65</v>
      </c>
    </row>
    <row r="17" spans="1:17" x14ac:dyDescent="0.25">
      <c r="A17">
        <v>32.882263368128299</v>
      </c>
      <c r="B17">
        <v>733.64853353342198</v>
      </c>
      <c r="D17">
        <v>6.5</v>
      </c>
      <c r="E17">
        <v>3.2798699999999998</v>
      </c>
      <c r="F17">
        <v>13.727399999999999</v>
      </c>
      <c r="G17">
        <v>610.048</v>
      </c>
      <c r="I17">
        <v>6.5</v>
      </c>
      <c r="J17">
        <v>3.2628900000000001</v>
      </c>
      <c r="K17">
        <v>-12.779299999999999</v>
      </c>
      <c r="L17">
        <v>606.89</v>
      </c>
      <c r="N17">
        <v>6.5</v>
      </c>
      <c r="O17">
        <v>3.1499899999999998</v>
      </c>
      <c r="P17">
        <v>-12.925000000000001</v>
      </c>
      <c r="Q17">
        <v>585.89</v>
      </c>
    </row>
    <row r="18" spans="1:17" x14ac:dyDescent="0.25">
      <c r="A18">
        <v>35.720689426875197</v>
      </c>
      <c r="B18">
        <v>731.78452099838796</v>
      </c>
      <c r="D18">
        <v>7</v>
      </c>
      <c r="E18">
        <v>3.39933</v>
      </c>
      <c r="F18">
        <v>14.803100000000001</v>
      </c>
      <c r="G18">
        <v>632.26800000000003</v>
      </c>
      <c r="I18">
        <v>7</v>
      </c>
      <c r="J18">
        <v>3.37941</v>
      </c>
      <c r="K18">
        <v>-13.7859</v>
      </c>
      <c r="L18">
        <v>628.56200000000001</v>
      </c>
      <c r="N18">
        <v>7</v>
      </c>
      <c r="O18">
        <v>3.25203</v>
      </c>
      <c r="P18">
        <v>-13.951700000000001</v>
      </c>
      <c r="Q18">
        <v>604.87</v>
      </c>
    </row>
    <row r="19" spans="1:17" x14ac:dyDescent="0.25">
      <c r="A19">
        <v>37.626085229404303</v>
      </c>
      <c r="B19">
        <v>720.22298236709003</v>
      </c>
      <c r="D19">
        <v>7.5</v>
      </c>
      <c r="E19">
        <v>3.5081699999999998</v>
      </c>
      <c r="F19">
        <v>15.8796</v>
      </c>
      <c r="G19">
        <v>652.51</v>
      </c>
      <c r="I19">
        <v>7.5</v>
      </c>
      <c r="J19">
        <v>3.4854099999999999</v>
      </c>
      <c r="K19">
        <v>-14.7935</v>
      </c>
      <c r="L19">
        <v>648.27800000000002</v>
      </c>
      <c r="N19">
        <v>7.5</v>
      </c>
      <c r="O19">
        <v>3.34219</v>
      </c>
      <c r="P19">
        <v>-14.980399999999999</v>
      </c>
      <c r="Q19">
        <v>621.63900000000001</v>
      </c>
    </row>
    <row r="20" spans="1:17" x14ac:dyDescent="0.25">
      <c r="A20">
        <v>40.505823935735798</v>
      </c>
      <c r="B20">
        <v>695.90007282678198</v>
      </c>
      <c r="D20">
        <v>8</v>
      </c>
      <c r="E20">
        <v>3.60351</v>
      </c>
      <c r="F20">
        <v>16.957899999999999</v>
      </c>
      <c r="G20">
        <v>670.24400000000003</v>
      </c>
      <c r="I20">
        <v>8</v>
      </c>
      <c r="J20">
        <v>3.57918</v>
      </c>
      <c r="K20">
        <v>-15.8028</v>
      </c>
      <c r="L20">
        <v>665.71900000000005</v>
      </c>
      <c r="N20">
        <v>8</v>
      </c>
      <c r="O20">
        <v>3.4190800000000001</v>
      </c>
      <c r="P20">
        <v>-16.011900000000001</v>
      </c>
      <c r="Q20">
        <v>635.94100000000003</v>
      </c>
    </row>
    <row r="21" spans="1:17" x14ac:dyDescent="0.25">
      <c r="A21">
        <v>45.063209233553202</v>
      </c>
      <c r="B21">
        <v>681.26339019707302</v>
      </c>
      <c r="D21">
        <v>8.5</v>
      </c>
      <c r="E21">
        <v>3.6850299999999998</v>
      </c>
      <c r="F21">
        <v>18.037800000000001</v>
      </c>
      <c r="G21">
        <v>685.40700000000004</v>
      </c>
      <c r="I21">
        <v>8.5</v>
      </c>
      <c r="J21">
        <v>3.6601900000000001</v>
      </c>
      <c r="K21">
        <v>-16.813700000000001</v>
      </c>
      <c r="L21">
        <v>680.78700000000003</v>
      </c>
      <c r="N21">
        <v>8.5</v>
      </c>
      <c r="O21">
        <v>3.4836100000000001</v>
      </c>
      <c r="P21">
        <v>-17.0458</v>
      </c>
      <c r="Q21">
        <v>647.94299999999998</v>
      </c>
    </row>
    <row r="22" spans="1:17" x14ac:dyDescent="0.25">
      <c r="A22">
        <v>49.479566570299902</v>
      </c>
      <c r="B22">
        <v>660.55904486571103</v>
      </c>
      <c r="D22">
        <v>9</v>
      </c>
      <c r="E22">
        <v>3.7523</v>
      </c>
      <c r="F22">
        <v>19.120200000000001</v>
      </c>
      <c r="G22">
        <v>697.91800000000001</v>
      </c>
      <c r="I22">
        <v>9</v>
      </c>
      <c r="J22">
        <v>3.7284099999999998</v>
      </c>
      <c r="K22">
        <v>-17.8262</v>
      </c>
      <c r="L22">
        <v>693.47500000000002</v>
      </c>
      <c r="N22">
        <v>9</v>
      </c>
      <c r="O22">
        <v>3.5377700000000001</v>
      </c>
      <c r="P22">
        <v>-18.081399999999999</v>
      </c>
      <c r="Q22">
        <v>658.01700000000005</v>
      </c>
    </row>
    <row r="23" spans="1:17" x14ac:dyDescent="0.25">
      <c r="A23">
        <v>55.939946593692703</v>
      </c>
      <c r="B23">
        <v>624.04219539646397</v>
      </c>
      <c r="D23">
        <v>9.5</v>
      </c>
      <c r="E23">
        <v>3.8064200000000001</v>
      </c>
      <c r="F23">
        <v>20.204999999999998</v>
      </c>
      <c r="G23">
        <v>707.98400000000004</v>
      </c>
      <c r="I23">
        <v>9.5</v>
      </c>
      <c r="J23">
        <v>3.78525</v>
      </c>
      <c r="K23">
        <v>-18.840599999999998</v>
      </c>
      <c r="L23">
        <v>704.048</v>
      </c>
      <c r="N23">
        <v>9.5</v>
      </c>
      <c r="O23">
        <v>3.5820799999999999</v>
      </c>
      <c r="P23">
        <v>-19.1188</v>
      </c>
      <c r="Q23">
        <v>666.25700000000006</v>
      </c>
    </row>
    <row r="24" spans="1:17" x14ac:dyDescent="0.25">
      <c r="D24">
        <v>10</v>
      </c>
      <c r="E24">
        <v>3.8492199999999999</v>
      </c>
      <c r="F24">
        <v>21.2911</v>
      </c>
      <c r="G24">
        <v>715.94500000000005</v>
      </c>
      <c r="I24">
        <v>10</v>
      </c>
      <c r="J24">
        <v>3.8309199999999999</v>
      </c>
      <c r="K24">
        <v>-19.8565</v>
      </c>
      <c r="L24">
        <v>712.54200000000003</v>
      </c>
      <c r="N24">
        <v>10</v>
      </c>
      <c r="O24">
        <v>3.6180500000000002</v>
      </c>
      <c r="P24">
        <v>-20.158200000000001</v>
      </c>
      <c r="Q24">
        <v>672.94900000000007</v>
      </c>
    </row>
    <row r="25" spans="1:17" x14ac:dyDescent="0.25">
      <c r="D25">
        <v>10.5</v>
      </c>
      <c r="E25">
        <v>3.8811800000000001</v>
      </c>
      <c r="F25">
        <v>22.380400000000002</v>
      </c>
      <c r="G25">
        <v>721.89</v>
      </c>
      <c r="I25">
        <v>10.5</v>
      </c>
      <c r="J25">
        <v>3.8663599999999998</v>
      </c>
      <c r="K25">
        <v>-20.874700000000001</v>
      </c>
      <c r="L25">
        <v>719.13300000000004</v>
      </c>
      <c r="N25">
        <v>10.5</v>
      </c>
      <c r="O25">
        <v>3.6461800000000002</v>
      </c>
      <c r="P25">
        <v>-21.1996</v>
      </c>
      <c r="Q25">
        <v>678.18000000000006</v>
      </c>
    </row>
    <row r="26" spans="1:17" x14ac:dyDescent="0.25">
      <c r="D26">
        <v>11</v>
      </c>
      <c r="E26">
        <v>3.9043399999999999</v>
      </c>
      <c r="F26">
        <v>23.472100000000001</v>
      </c>
      <c r="G26">
        <v>726.197</v>
      </c>
      <c r="I26">
        <v>11</v>
      </c>
      <c r="J26">
        <v>3.8936000000000002</v>
      </c>
      <c r="K26">
        <v>-21.894500000000001</v>
      </c>
      <c r="L26">
        <v>724.20100000000002</v>
      </c>
      <c r="N26">
        <v>11</v>
      </c>
      <c r="O26">
        <v>3.6667900000000002</v>
      </c>
      <c r="P26">
        <v>-22.243099999999998</v>
      </c>
      <c r="Q26">
        <v>682.01300000000003</v>
      </c>
    </row>
    <row r="27" spans="1:17" x14ac:dyDescent="0.25">
      <c r="D27">
        <v>11.5</v>
      </c>
      <c r="E27">
        <v>3.9201800000000002</v>
      </c>
      <c r="F27">
        <v>24.564</v>
      </c>
      <c r="G27">
        <v>729.14400000000001</v>
      </c>
      <c r="I27">
        <v>11.5</v>
      </c>
      <c r="J27">
        <v>3.9131200000000002</v>
      </c>
      <c r="K27">
        <v>-22.915800000000001</v>
      </c>
      <c r="L27">
        <v>727.83100000000002</v>
      </c>
      <c r="N27">
        <v>11.5</v>
      </c>
      <c r="O27">
        <v>3.6815000000000002</v>
      </c>
      <c r="P27">
        <v>-23.288599999999999</v>
      </c>
      <c r="Q27">
        <v>684.75</v>
      </c>
    </row>
    <row r="28" spans="1:17" x14ac:dyDescent="0.25">
      <c r="D28">
        <v>12</v>
      </c>
      <c r="E28">
        <v>3.9295200000000001</v>
      </c>
      <c r="F28">
        <v>25.6569</v>
      </c>
      <c r="G28">
        <v>730.88099999999997</v>
      </c>
      <c r="I28">
        <v>12</v>
      </c>
      <c r="J28">
        <v>3.9254099999999998</v>
      </c>
      <c r="K28">
        <v>-23.9391</v>
      </c>
      <c r="L28">
        <v>730.11599999999999</v>
      </c>
      <c r="N28">
        <v>12</v>
      </c>
      <c r="O28">
        <v>3.6912099999999999</v>
      </c>
      <c r="P28">
        <v>-24.335799999999999</v>
      </c>
      <c r="Q28">
        <v>686.55600000000004</v>
      </c>
    </row>
    <row r="29" spans="1:17" x14ac:dyDescent="0.25">
      <c r="D29">
        <v>12.5</v>
      </c>
      <c r="E29">
        <v>3.9331</v>
      </c>
      <c r="F29">
        <v>26.7517</v>
      </c>
      <c r="G29">
        <v>731.54600000000005</v>
      </c>
      <c r="I29">
        <v>12.5</v>
      </c>
      <c r="J29">
        <v>3.9319600000000001</v>
      </c>
      <c r="K29">
        <v>-24.964200000000002</v>
      </c>
      <c r="L29">
        <v>731.33400000000006</v>
      </c>
      <c r="N29">
        <v>12.5</v>
      </c>
      <c r="O29">
        <v>3.6957100000000001</v>
      </c>
      <c r="P29">
        <v>-25.384899999999998</v>
      </c>
      <c r="Q29">
        <v>687.39200000000005</v>
      </c>
    </row>
    <row r="30" spans="1:17" x14ac:dyDescent="0.25">
      <c r="D30">
        <v>13</v>
      </c>
      <c r="E30">
        <v>3.9314200000000001</v>
      </c>
      <c r="F30">
        <v>27.847899999999999</v>
      </c>
      <c r="G30">
        <v>731.23300000000006</v>
      </c>
      <c r="I30">
        <v>13</v>
      </c>
      <c r="J30">
        <v>3.93397</v>
      </c>
      <c r="K30">
        <v>-25.991099999999999</v>
      </c>
      <c r="L30">
        <v>731.70699999999999</v>
      </c>
      <c r="N30">
        <v>13</v>
      </c>
      <c r="O30">
        <v>3.6959499999999998</v>
      </c>
      <c r="P30">
        <v>-26.436</v>
      </c>
      <c r="Q30">
        <v>687.43700000000001</v>
      </c>
    </row>
    <row r="31" spans="1:17" x14ac:dyDescent="0.25">
      <c r="D31">
        <v>13.5</v>
      </c>
      <c r="E31">
        <v>3.9252799999999999</v>
      </c>
      <c r="F31">
        <v>28.945699999999999</v>
      </c>
      <c r="G31">
        <v>730.09199999999998</v>
      </c>
      <c r="I31">
        <v>13.5</v>
      </c>
      <c r="J31">
        <v>3.9312</v>
      </c>
      <c r="K31">
        <v>-27.019500000000001</v>
      </c>
      <c r="L31">
        <v>731.19399999999996</v>
      </c>
      <c r="N31">
        <v>13.5</v>
      </c>
      <c r="O31">
        <v>3.6927599999999998</v>
      </c>
      <c r="P31">
        <v>-27.488900000000001</v>
      </c>
      <c r="Q31">
        <v>686.84299999999996</v>
      </c>
    </row>
    <row r="32" spans="1:17" x14ac:dyDescent="0.25">
      <c r="D32">
        <v>14</v>
      </c>
      <c r="E32">
        <v>3.91534</v>
      </c>
      <c r="F32">
        <v>30.045200000000001</v>
      </c>
      <c r="G32">
        <v>728.24400000000003</v>
      </c>
      <c r="I32">
        <v>14</v>
      </c>
      <c r="J32">
        <v>3.9239099999999998</v>
      </c>
      <c r="K32">
        <v>-28.0502</v>
      </c>
      <c r="L32">
        <v>729.83699999999999</v>
      </c>
      <c r="N32">
        <v>14</v>
      </c>
      <c r="O32">
        <v>3.68642</v>
      </c>
      <c r="P32">
        <v>-28.543700000000001</v>
      </c>
      <c r="Q32">
        <v>685.66499999999996</v>
      </c>
    </row>
    <row r="33" spans="4:17" x14ac:dyDescent="0.25">
      <c r="D33">
        <v>14.5</v>
      </c>
      <c r="E33">
        <v>3.9022700000000001</v>
      </c>
      <c r="F33">
        <v>31.1465</v>
      </c>
      <c r="G33">
        <v>725.81200000000001</v>
      </c>
      <c r="I33">
        <v>14.5</v>
      </c>
      <c r="J33">
        <v>3.9130799999999999</v>
      </c>
      <c r="K33">
        <v>-29.082899999999999</v>
      </c>
      <c r="L33">
        <v>727.82299999999998</v>
      </c>
      <c r="N33">
        <v>14.5</v>
      </c>
      <c r="O33">
        <v>3.6776499999999999</v>
      </c>
      <c r="P33">
        <v>-29.6004</v>
      </c>
      <c r="Q33">
        <v>684.03300000000002</v>
      </c>
    </row>
    <row r="34" spans="4:17" x14ac:dyDescent="0.25">
      <c r="D34">
        <v>15</v>
      </c>
      <c r="E34">
        <v>3.8865699999999999</v>
      </c>
      <c r="F34">
        <v>32.25</v>
      </c>
      <c r="G34">
        <v>722.89200000000005</v>
      </c>
      <c r="I34">
        <v>15</v>
      </c>
      <c r="J34">
        <v>3.8997000000000002</v>
      </c>
      <c r="K34">
        <v>-30.117599999999999</v>
      </c>
      <c r="L34">
        <v>725.33400000000006</v>
      </c>
      <c r="N34">
        <v>15</v>
      </c>
      <c r="O34">
        <v>3.6665100000000002</v>
      </c>
      <c r="P34">
        <v>-30.659099999999999</v>
      </c>
      <c r="Q34">
        <v>681.96199999999999</v>
      </c>
    </row>
    <row r="35" spans="4:17" x14ac:dyDescent="0.25">
      <c r="D35">
        <v>15.5</v>
      </c>
      <c r="E35">
        <v>3.8672399999999998</v>
      </c>
      <c r="F35">
        <v>33.3568</v>
      </c>
      <c r="G35">
        <v>719.29700000000003</v>
      </c>
      <c r="I35">
        <v>15.5</v>
      </c>
      <c r="J35">
        <v>3.8842099999999999</v>
      </c>
      <c r="K35">
        <v>-31.1541</v>
      </c>
      <c r="L35">
        <v>722.45400000000006</v>
      </c>
      <c r="N35">
        <v>15.5</v>
      </c>
      <c r="O35">
        <v>3.6531699999999998</v>
      </c>
      <c r="P35">
        <v>-31.7196</v>
      </c>
      <c r="Q35">
        <v>679.48</v>
      </c>
    </row>
    <row r="36" spans="4:17" x14ac:dyDescent="0.25">
      <c r="D36">
        <v>16</v>
      </c>
      <c r="E36">
        <v>3.8456000000000001</v>
      </c>
      <c r="F36">
        <v>34.466799999999999</v>
      </c>
      <c r="G36">
        <v>715.27200000000005</v>
      </c>
      <c r="I36">
        <v>16</v>
      </c>
      <c r="J36">
        <v>3.8664700000000001</v>
      </c>
      <c r="K36">
        <v>-32.192900000000002</v>
      </c>
      <c r="L36">
        <v>719.154</v>
      </c>
      <c r="N36">
        <v>16</v>
      </c>
      <c r="O36">
        <v>3.6381899999999998</v>
      </c>
      <c r="P36">
        <v>-32.781100000000002</v>
      </c>
      <c r="Q36">
        <v>676.69500000000005</v>
      </c>
    </row>
    <row r="37" spans="4:17" x14ac:dyDescent="0.25">
      <c r="D37">
        <v>16.5</v>
      </c>
      <c r="E37">
        <v>3.8225600000000002</v>
      </c>
      <c r="F37">
        <v>35.579099999999997</v>
      </c>
      <c r="G37">
        <v>710.98699999999997</v>
      </c>
      <c r="I37">
        <v>16.5</v>
      </c>
      <c r="J37">
        <v>3.8465699999999998</v>
      </c>
      <c r="K37">
        <v>-33.234299999999998</v>
      </c>
      <c r="L37">
        <v>715.45299999999997</v>
      </c>
      <c r="N37">
        <v>16.5</v>
      </c>
      <c r="O37">
        <v>3.6219199999999998</v>
      </c>
      <c r="P37">
        <v>-33.843499999999999</v>
      </c>
      <c r="Q37">
        <v>673.66800000000001</v>
      </c>
    </row>
    <row r="38" spans="4:17" x14ac:dyDescent="0.25">
      <c r="D38">
        <v>17</v>
      </c>
      <c r="E38">
        <v>3.7986599999999999</v>
      </c>
      <c r="F38">
        <v>36.692799999999998</v>
      </c>
      <c r="G38">
        <v>706.54200000000003</v>
      </c>
      <c r="I38">
        <v>17</v>
      </c>
      <c r="J38">
        <v>3.82525</v>
      </c>
      <c r="K38">
        <v>-34.2776</v>
      </c>
      <c r="L38">
        <v>711.48699999999997</v>
      </c>
      <c r="N38">
        <v>17</v>
      </c>
      <c r="O38">
        <v>3.60487</v>
      </c>
      <c r="P38">
        <v>-34.906700000000001</v>
      </c>
      <c r="Q38">
        <v>670.49800000000005</v>
      </c>
    </row>
    <row r="39" spans="4:17" x14ac:dyDescent="0.25">
      <c r="D39">
        <v>17.5</v>
      </c>
      <c r="E39">
        <v>3.7740399999999998</v>
      </c>
      <c r="F39">
        <v>37.808300000000003</v>
      </c>
      <c r="G39">
        <v>701.96299999999997</v>
      </c>
      <c r="I39">
        <v>17.5</v>
      </c>
      <c r="J39">
        <v>3.80314</v>
      </c>
      <c r="K39">
        <v>-35.322000000000003</v>
      </c>
      <c r="L39">
        <v>707.37400000000002</v>
      </c>
      <c r="N39">
        <v>17.5</v>
      </c>
      <c r="O39">
        <v>3.58738</v>
      </c>
      <c r="P39">
        <v>-35.970599999999997</v>
      </c>
      <c r="Q39">
        <v>667.24300000000005</v>
      </c>
    </row>
    <row r="40" spans="4:17" x14ac:dyDescent="0.25">
      <c r="D40">
        <v>18</v>
      </c>
      <c r="E40">
        <v>3.7488199999999998</v>
      </c>
      <c r="F40">
        <v>38.925699999999999</v>
      </c>
      <c r="G40">
        <v>697.27200000000005</v>
      </c>
      <c r="I40">
        <v>18</v>
      </c>
      <c r="J40">
        <v>3.7805</v>
      </c>
      <c r="K40">
        <v>-36.3675</v>
      </c>
      <c r="L40">
        <v>703.16399999999999</v>
      </c>
      <c r="N40">
        <v>18</v>
      </c>
      <c r="O40">
        <v>3.5693600000000001</v>
      </c>
      <c r="P40">
        <v>-37.035299999999999</v>
      </c>
      <c r="Q40">
        <v>663.89200000000005</v>
      </c>
    </row>
    <row r="41" spans="4:17" x14ac:dyDescent="0.25">
      <c r="D41">
        <v>18.5</v>
      </c>
      <c r="E41">
        <v>3.7232400000000001</v>
      </c>
      <c r="F41">
        <v>40.044600000000003</v>
      </c>
      <c r="G41">
        <v>692.51300000000003</v>
      </c>
      <c r="I41">
        <v>18.5</v>
      </c>
      <c r="J41">
        <v>3.7574700000000001</v>
      </c>
      <c r="K41">
        <v>-37.414200000000001</v>
      </c>
      <c r="L41">
        <v>698.88</v>
      </c>
      <c r="N41">
        <v>18.5</v>
      </c>
      <c r="O41">
        <v>3.5509499999999998</v>
      </c>
      <c r="P41">
        <v>-38.1008</v>
      </c>
      <c r="Q41">
        <v>660.46799999999996</v>
      </c>
    </row>
    <row r="42" spans="4:17" x14ac:dyDescent="0.25">
      <c r="D42">
        <v>19</v>
      </c>
      <c r="E42">
        <v>3.6974300000000002</v>
      </c>
      <c r="F42">
        <v>41.164999999999999</v>
      </c>
      <c r="G42">
        <v>687.71199999999999</v>
      </c>
      <c r="I42">
        <v>19</v>
      </c>
      <c r="J42">
        <v>3.7341299999999999</v>
      </c>
      <c r="K42">
        <v>-38.461599999999997</v>
      </c>
      <c r="L42">
        <v>694.53899999999999</v>
      </c>
      <c r="N42">
        <v>19</v>
      </c>
      <c r="O42">
        <v>3.5322200000000001</v>
      </c>
      <c r="P42">
        <v>-39.166699999999999</v>
      </c>
      <c r="Q42">
        <v>656.98300000000006</v>
      </c>
    </row>
    <row r="43" spans="4:17" x14ac:dyDescent="0.25">
      <c r="D43">
        <v>19.5</v>
      </c>
      <c r="E43">
        <v>3.6717300000000002</v>
      </c>
      <c r="F43">
        <v>42.285600000000002</v>
      </c>
      <c r="G43">
        <v>682.93299999999999</v>
      </c>
      <c r="I43">
        <v>19.5</v>
      </c>
      <c r="J43">
        <v>3.71062</v>
      </c>
      <c r="K43">
        <v>-39.509799999999998</v>
      </c>
      <c r="L43">
        <v>690.16600000000005</v>
      </c>
      <c r="N43">
        <v>19.5</v>
      </c>
      <c r="O43">
        <v>3.5132099999999999</v>
      </c>
      <c r="P43">
        <v>-40.232900000000001</v>
      </c>
      <c r="Q43">
        <v>653.44799999999998</v>
      </c>
    </row>
    <row r="44" spans="4:17" x14ac:dyDescent="0.25">
      <c r="D44">
        <v>20</v>
      </c>
      <c r="E44">
        <v>3.6463000000000001</v>
      </c>
      <c r="F44">
        <v>43.406500000000001</v>
      </c>
      <c r="G44">
        <v>678.20400000000006</v>
      </c>
      <c r="I44">
        <v>20</v>
      </c>
      <c r="J44">
        <v>3.6870500000000002</v>
      </c>
      <c r="K44">
        <v>-40.558700000000002</v>
      </c>
      <c r="L44">
        <v>685.78300000000002</v>
      </c>
      <c r="N44">
        <v>20</v>
      </c>
      <c r="O44">
        <v>3.4940899999999999</v>
      </c>
      <c r="P44">
        <v>-41.298999999999999</v>
      </c>
      <c r="Q44">
        <v>649.89400000000001</v>
      </c>
    </row>
    <row r="45" spans="4:17" x14ac:dyDescent="0.25">
      <c r="D45">
        <v>20.5</v>
      </c>
      <c r="E45">
        <v>3.62093</v>
      </c>
      <c r="F45">
        <v>44.527900000000002</v>
      </c>
      <c r="G45">
        <v>673.48500000000001</v>
      </c>
      <c r="I45">
        <v>20.5</v>
      </c>
      <c r="J45">
        <v>3.6635399999999998</v>
      </c>
      <c r="K45">
        <v>-41.607999999999997</v>
      </c>
      <c r="L45">
        <v>681.41100000000006</v>
      </c>
      <c r="N45">
        <v>20.5</v>
      </c>
      <c r="O45">
        <v>3.4749400000000001</v>
      </c>
      <c r="P45">
        <v>-42.364800000000002</v>
      </c>
      <c r="Q45">
        <v>646.33199999999999</v>
      </c>
    </row>
    <row r="46" spans="4:17" x14ac:dyDescent="0.25">
      <c r="D46">
        <v>21</v>
      </c>
      <c r="E46">
        <v>3.59545</v>
      </c>
      <c r="F46">
        <v>45.650700000000001</v>
      </c>
      <c r="G46">
        <v>668.74400000000003</v>
      </c>
      <c r="I46">
        <v>21</v>
      </c>
      <c r="J46">
        <v>3.6402199999999998</v>
      </c>
      <c r="K46">
        <v>-42.657499999999999</v>
      </c>
      <c r="L46">
        <v>677.07299999999998</v>
      </c>
      <c r="N46">
        <v>21</v>
      </c>
      <c r="O46">
        <v>3.4559000000000002</v>
      </c>
      <c r="P46">
        <v>-43.430199999999999</v>
      </c>
      <c r="Q46">
        <v>642.78899999999999</v>
      </c>
    </row>
    <row r="47" spans="4:17" x14ac:dyDescent="0.25">
      <c r="D47">
        <v>21.5</v>
      </c>
      <c r="E47">
        <v>3.5689500000000001</v>
      </c>
      <c r="F47">
        <v>46.778399999999998</v>
      </c>
      <c r="G47">
        <v>663.81500000000005</v>
      </c>
      <c r="I47">
        <v>21.5</v>
      </c>
      <c r="J47">
        <v>3.61707</v>
      </c>
      <c r="K47">
        <v>-43.706899999999997</v>
      </c>
      <c r="L47">
        <v>672.76599999999996</v>
      </c>
      <c r="N47">
        <v>21.5</v>
      </c>
      <c r="O47">
        <v>3.4369900000000002</v>
      </c>
      <c r="P47">
        <v>-44.4953</v>
      </c>
      <c r="Q47">
        <v>639.27200000000005</v>
      </c>
    </row>
    <row r="48" spans="4:17" x14ac:dyDescent="0.25">
      <c r="D48">
        <v>22</v>
      </c>
      <c r="E48">
        <v>3.54122</v>
      </c>
      <c r="F48">
        <v>47.912100000000002</v>
      </c>
      <c r="G48">
        <v>658.65800000000002</v>
      </c>
      <c r="I48">
        <v>22</v>
      </c>
      <c r="J48">
        <v>3.5940599999999998</v>
      </c>
      <c r="K48">
        <v>-44.756599999999999</v>
      </c>
      <c r="L48">
        <v>668.48699999999997</v>
      </c>
      <c r="N48">
        <v>22</v>
      </c>
      <c r="O48">
        <v>3.4182100000000002</v>
      </c>
      <c r="P48">
        <v>-45.560400000000001</v>
      </c>
      <c r="Q48">
        <v>635.779</v>
      </c>
    </row>
    <row r="49" spans="4:17" x14ac:dyDescent="0.25">
      <c r="D49">
        <v>22.5</v>
      </c>
      <c r="E49">
        <v>3.5136599999999998</v>
      </c>
      <c r="F49">
        <v>49.047400000000003</v>
      </c>
      <c r="G49">
        <v>653.53200000000004</v>
      </c>
      <c r="I49">
        <v>22.5</v>
      </c>
      <c r="J49">
        <v>3.57077</v>
      </c>
      <c r="K49">
        <v>-45.808199999999999</v>
      </c>
      <c r="L49">
        <v>664.15499999999997</v>
      </c>
      <c r="N49">
        <v>22.5</v>
      </c>
      <c r="O49">
        <v>3.3993899999999999</v>
      </c>
      <c r="P49">
        <v>-46.625799999999998</v>
      </c>
      <c r="Q49">
        <v>632.28</v>
      </c>
    </row>
    <row r="50" spans="4:17" x14ac:dyDescent="0.25">
      <c r="G50">
        <f>MAX(G4:G49)</f>
        <v>731.54600000000005</v>
      </c>
      <c r="L50">
        <f>MAX(L4:L49)</f>
        <v>731.70699999999999</v>
      </c>
      <c r="Q50">
        <f>MAX(Q4:Q49)</f>
        <v>687.43700000000001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A4E3-DF0B-4A8A-8D95-D3A91740A746}">
  <sheetPr codeName="Sheet5"/>
  <dimension ref="A2:Q42"/>
  <sheetViews>
    <sheetView topLeftCell="A25" workbookViewId="0">
      <selection activeCell="T41" sqref="T41"/>
    </sheetView>
  </sheetViews>
  <sheetFormatPr defaultRowHeight="15" x14ac:dyDescent="0.25"/>
  <sheetData>
    <row r="2" spans="1:17" x14ac:dyDescent="0.25">
      <c r="A2">
        <v>-1E-3</v>
      </c>
      <c r="B2">
        <v>-1</v>
      </c>
      <c r="D2" t="s">
        <v>29</v>
      </c>
      <c r="F2">
        <v>-1E-3</v>
      </c>
      <c r="G2">
        <v>-1</v>
      </c>
      <c r="I2" t="s">
        <v>30</v>
      </c>
      <c r="N2" t="s">
        <v>31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6</v>
      </c>
      <c r="G3" t="s">
        <v>7</v>
      </c>
      <c r="I3" t="s">
        <v>0</v>
      </c>
      <c r="J3" t="s">
        <v>1</v>
      </c>
      <c r="K3" t="s">
        <v>6</v>
      </c>
      <c r="L3" t="s">
        <v>7</v>
      </c>
      <c r="N3" t="s">
        <v>0</v>
      </c>
      <c r="O3" t="s">
        <v>1</v>
      </c>
      <c r="P3" t="s">
        <v>6</v>
      </c>
      <c r="Q3" t="s">
        <v>7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5.62398E-2</v>
      </c>
      <c r="L4">
        <v>-1.05643E-9</v>
      </c>
      <c r="N4">
        <v>0</v>
      </c>
      <c r="O4">
        <v>0</v>
      </c>
      <c r="P4">
        <v>0.111916</v>
      </c>
      <c r="Q4">
        <v>-2.9541300000000004E-9</v>
      </c>
    </row>
    <row r="5" spans="1:17" x14ac:dyDescent="0.25">
      <c r="A5">
        <v>2.9924569108202901</v>
      </c>
      <c r="B5">
        <v>82.205283252046996</v>
      </c>
      <c r="D5">
        <v>0.5</v>
      </c>
      <c r="E5">
        <v>0.47393099999999999</v>
      </c>
      <c r="F5">
        <v>2.00278</v>
      </c>
      <c r="G5">
        <v>64.4499</v>
      </c>
      <c r="I5">
        <v>0.5</v>
      </c>
      <c r="J5">
        <v>0.47373100000000001</v>
      </c>
      <c r="K5">
        <v>-1.9355599999999999</v>
      </c>
      <c r="L5">
        <v>64.422699999999992</v>
      </c>
      <c r="N5">
        <v>0.5</v>
      </c>
      <c r="O5">
        <v>0.47249600000000003</v>
      </c>
      <c r="P5">
        <v>-1.91561</v>
      </c>
      <c r="Q5">
        <v>64.254800000000003</v>
      </c>
    </row>
    <row r="6" spans="1:17" x14ac:dyDescent="0.25">
      <c r="A6">
        <v>6.2255070288879502</v>
      </c>
      <c r="B6">
        <v>176.238165647827</v>
      </c>
      <c r="D6">
        <v>1</v>
      </c>
      <c r="E6">
        <v>0.900779</v>
      </c>
      <c r="F6">
        <v>4.04758</v>
      </c>
      <c r="G6">
        <v>122.497</v>
      </c>
      <c r="I6">
        <v>1</v>
      </c>
      <c r="J6">
        <v>0.900007</v>
      </c>
      <c r="K6">
        <v>-3.9354800000000001</v>
      </c>
      <c r="L6">
        <v>122.392</v>
      </c>
      <c r="N6">
        <v>1</v>
      </c>
      <c r="O6">
        <v>0.89535100000000001</v>
      </c>
      <c r="P6">
        <v>-3.9521099999999998</v>
      </c>
      <c r="Q6">
        <v>121.759</v>
      </c>
    </row>
    <row r="7" spans="1:17" x14ac:dyDescent="0.25">
      <c r="A7">
        <v>9.9689272394235608</v>
      </c>
      <c r="B7">
        <v>263.58652042460199</v>
      </c>
      <c r="D7">
        <v>1.5</v>
      </c>
      <c r="E7">
        <v>1.2870999999999999</v>
      </c>
      <c r="F7">
        <v>6.0989199999999997</v>
      </c>
      <c r="G7">
        <v>175.03300000000002</v>
      </c>
      <c r="I7">
        <v>1.5</v>
      </c>
      <c r="J7">
        <v>1.28542</v>
      </c>
      <c r="K7">
        <v>-5.9421499999999998</v>
      </c>
      <c r="L7">
        <v>174.80500000000001</v>
      </c>
      <c r="N7">
        <v>1.5</v>
      </c>
      <c r="O7">
        <v>1.27552</v>
      </c>
      <c r="P7">
        <v>-5.9960100000000001</v>
      </c>
      <c r="Q7">
        <v>173.45699999999999</v>
      </c>
    </row>
    <row r="8" spans="1:17" x14ac:dyDescent="0.25">
      <c r="A8">
        <v>13.335802087701101</v>
      </c>
      <c r="B8">
        <v>332.731180897314</v>
      </c>
      <c r="D8">
        <v>2</v>
      </c>
      <c r="E8">
        <v>1.6383000000000001</v>
      </c>
      <c r="F8">
        <v>8.1556899999999999</v>
      </c>
      <c r="G8">
        <v>222.79300000000001</v>
      </c>
      <c r="I8">
        <v>2</v>
      </c>
      <c r="J8">
        <v>1.6354</v>
      </c>
      <c r="K8">
        <v>-7.9544300000000003</v>
      </c>
      <c r="L8">
        <v>222.398</v>
      </c>
      <c r="N8">
        <v>2</v>
      </c>
      <c r="O8">
        <v>1.6186400000000001</v>
      </c>
      <c r="P8">
        <v>-8.0460100000000008</v>
      </c>
      <c r="Q8">
        <v>220.119</v>
      </c>
    </row>
    <row r="9" spans="1:17" x14ac:dyDescent="0.25">
      <c r="A9">
        <v>16.840032661708499</v>
      </c>
      <c r="B9">
        <v>392.16207269437001</v>
      </c>
      <c r="D9">
        <v>2.5</v>
      </c>
      <c r="E9">
        <v>1.95886</v>
      </c>
      <c r="F9">
        <v>10.217000000000001</v>
      </c>
      <c r="G9">
        <v>266.38499999999999</v>
      </c>
      <c r="I9">
        <v>2.5</v>
      </c>
      <c r="J9">
        <v>1.95442</v>
      </c>
      <c r="K9">
        <v>-9.9713499999999993</v>
      </c>
      <c r="L9">
        <v>265.78100000000001</v>
      </c>
      <c r="N9">
        <v>2.5</v>
      </c>
      <c r="O9">
        <v>1.9293499999999999</v>
      </c>
      <c r="P9">
        <v>-10.101000000000001</v>
      </c>
      <c r="Q9">
        <v>262.37200000000001</v>
      </c>
    </row>
    <row r="10" spans="1:17" x14ac:dyDescent="0.25">
      <c r="A10">
        <v>20.155849314766101</v>
      </c>
      <c r="B10">
        <v>441.88413920949802</v>
      </c>
      <c r="D10">
        <v>3</v>
      </c>
      <c r="E10">
        <v>2.2524899999999999</v>
      </c>
      <c r="F10">
        <v>12.282</v>
      </c>
      <c r="G10">
        <v>306.31700000000001</v>
      </c>
      <c r="I10">
        <v>3</v>
      </c>
      <c r="J10">
        <v>2.2461899999999999</v>
      </c>
      <c r="K10">
        <v>-11.992100000000001</v>
      </c>
      <c r="L10">
        <v>305.459</v>
      </c>
      <c r="N10">
        <v>3</v>
      </c>
      <c r="O10">
        <v>2.2114199999999999</v>
      </c>
      <c r="P10">
        <v>-12.1602</v>
      </c>
      <c r="Q10">
        <v>300.73200000000003</v>
      </c>
    </row>
    <row r="11" spans="1:17" x14ac:dyDescent="0.25">
      <c r="A11">
        <v>23.422302650453499</v>
      </c>
      <c r="B11">
        <v>479.4673493258</v>
      </c>
      <c r="D11">
        <v>3.5</v>
      </c>
      <c r="E11">
        <v>2.5223399999999998</v>
      </c>
      <c r="F11">
        <v>14.35</v>
      </c>
      <c r="G11">
        <v>343.01300000000003</v>
      </c>
      <c r="I11">
        <v>3.5</v>
      </c>
      <c r="J11">
        <v>2.5138199999999999</v>
      </c>
      <c r="K11">
        <v>-14.0158</v>
      </c>
      <c r="L11">
        <v>341.85399999999998</v>
      </c>
      <c r="N11">
        <v>3.5</v>
      </c>
      <c r="O11">
        <v>2.468</v>
      </c>
      <c r="P11">
        <v>-14.2226</v>
      </c>
      <c r="Q11">
        <v>335.62299999999999</v>
      </c>
    </row>
    <row r="12" spans="1:17" x14ac:dyDescent="0.25">
      <c r="A12">
        <v>27.431677443559199</v>
      </c>
      <c r="B12">
        <v>509.75552269768002</v>
      </c>
      <c r="D12">
        <v>4</v>
      </c>
      <c r="E12">
        <v>2.7710300000000001</v>
      </c>
      <c r="F12">
        <v>16.420400000000001</v>
      </c>
      <c r="G12">
        <v>376.83300000000003</v>
      </c>
      <c r="I12">
        <v>4</v>
      </c>
      <c r="J12">
        <v>2.7599</v>
      </c>
      <c r="K12">
        <v>-16.042000000000002</v>
      </c>
      <c r="L12">
        <v>375.31799999999998</v>
      </c>
      <c r="N12">
        <v>4</v>
      </c>
      <c r="O12">
        <v>2.70058</v>
      </c>
      <c r="P12">
        <v>-16.2881</v>
      </c>
      <c r="Q12">
        <v>367.25100000000003</v>
      </c>
    </row>
    <row r="13" spans="1:17" x14ac:dyDescent="0.25">
      <c r="A13">
        <v>31.903753889612201</v>
      </c>
      <c r="B13">
        <v>528.50404961048605</v>
      </c>
      <c r="D13">
        <v>4.5</v>
      </c>
      <c r="E13">
        <v>3.00074</v>
      </c>
      <c r="F13">
        <v>18.492599999999999</v>
      </c>
      <c r="G13">
        <v>408.07100000000003</v>
      </c>
      <c r="I13">
        <v>4.5</v>
      </c>
      <c r="J13">
        <v>2.9858899999999999</v>
      </c>
      <c r="K13">
        <v>-18.0701</v>
      </c>
      <c r="L13">
        <v>406.05200000000002</v>
      </c>
      <c r="N13">
        <v>4.5</v>
      </c>
      <c r="O13">
        <v>2.9084099999999999</v>
      </c>
      <c r="P13">
        <v>-18.356300000000001</v>
      </c>
      <c r="Q13">
        <v>395.51499999999999</v>
      </c>
    </row>
    <row r="14" spans="1:17" x14ac:dyDescent="0.25">
      <c r="A14">
        <v>36.698916425749701</v>
      </c>
      <c r="B14">
        <v>535.715048661531</v>
      </c>
      <c r="D14">
        <v>5</v>
      </c>
      <c r="E14">
        <v>3.20939</v>
      </c>
      <c r="F14">
        <v>20.5669</v>
      </c>
      <c r="G14">
        <v>436.44499999999999</v>
      </c>
      <c r="I14">
        <v>5</v>
      </c>
      <c r="J14">
        <v>3.1887400000000001</v>
      </c>
      <c r="K14">
        <v>-20.100899999999999</v>
      </c>
      <c r="L14">
        <v>433.637</v>
      </c>
      <c r="N14">
        <v>5</v>
      </c>
      <c r="O14">
        <v>3.0868699999999998</v>
      </c>
      <c r="P14">
        <v>-20.43</v>
      </c>
      <c r="Q14">
        <v>419.78300000000002</v>
      </c>
    </row>
    <row r="15" spans="1:17" x14ac:dyDescent="0.25">
      <c r="A15">
        <v>43.448979321607403</v>
      </c>
      <c r="B15">
        <v>544.110343610001</v>
      </c>
      <c r="D15">
        <v>5.5</v>
      </c>
      <c r="E15">
        <v>3.3868499999999999</v>
      </c>
      <c r="F15">
        <v>22.6464</v>
      </c>
      <c r="G15">
        <v>460.57800000000003</v>
      </c>
      <c r="I15">
        <v>5.5</v>
      </c>
      <c r="J15">
        <v>3.3612600000000001</v>
      </c>
      <c r="K15">
        <v>-22.1358</v>
      </c>
      <c r="L15">
        <v>457.09800000000001</v>
      </c>
      <c r="N15">
        <v>5.5</v>
      </c>
      <c r="O15">
        <v>3.23427</v>
      </c>
      <c r="P15">
        <v>-22.508700000000001</v>
      </c>
      <c r="Q15">
        <v>439.82900000000001</v>
      </c>
    </row>
    <row r="16" spans="1:17" x14ac:dyDescent="0.25">
      <c r="A16">
        <v>48.149369937986897</v>
      </c>
      <c r="B16">
        <v>544.03901750049602</v>
      </c>
      <c r="D16">
        <v>6</v>
      </c>
      <c r="E16">
        <v>3.52956</v>
      </c>
      <c r="F16">
        <v>24.732800000000001</v>
      </c>
      <c r="G16">
        <v>479.98500000000001</v>
      </c>
      <c r="I16">
        <v>6</v>
      </c>
      <c r="J16">
        <v>3.5013100000000001</v>
      </c>
      <c r="K16">
        <v>-24.175999999999998</v>
      </c>
      <c r="L16">
        <v>476.14300000000003</v>
      </c>
      <c r="N16">
        <v>6</v>
      </c>
      <c r="O16">
        <v>3.3535900000000001</v>
      </c>
      <c r="P16">
        <v>-24.592099999999999</v>
      </c>
      <c r="Q16">
        <v>456.05400000000003</v>
      </c>
    </row>
    <row r="17" spans="1:17" x14ac:dyDescent="0.25">
      <c r="A17">
        <v>52.615938031028598</v>
      </c>
      <c r="B17">
        <v>539.11539734733901</v>
      </c>
      <c r="D17">
        <v>6.5</v>
      </c>
      <c r="E17">
        <v>3.6408900000000002</v>
      </c>
      <c r="F17">
        <v>26.8261</v>
      </c>
      <c r="G17">
        <v>495.125</v>
      </c>
      <c r="I17">
        <v>6.5</v>
      </c>
      <c r="J17">
        <v>3.6112099999999998</v>
      </c>
      <c r="K17">
        <v>-26.2212</v>
      </c>
      <c r="L17">
        <v>491.089</v>
      </c>
      <c r="N17">
        <v>6.5</v>
      </c>
      <c r="O17">
        <v>3.4470200000000002</v>
      </c>
      <c r="P17">
        <v>-26.681100000000001</v>
      </c>
      <c r="Q17">
        <v>468.76</v>
      </c>
    </row>
    <row r="18" spans="1:17" x14ac:dyDescent="0.25">
      <c r="A18">
        <v>57.291364509081198</v>
      </c>
      <c r="B18">
        <v>531.76068677862804</v>
      </c>
      <c r="D18">
        <v>7</v>
      </c>
      <c r="E18">
        <v>3.7254499999999999</v>
      </c>
      <c r="F18">
        <v>28.922599999999999</v>
      </c>
      <c r="G18">
        <v>506.62400000000002</v>
      </c>
      <c r="I18">
        <v>7</v>
      </c>
      <c r="J18">
        <v>3.69543</v>
      </c>
      <c r="K18">
        <v>-28.270900000000001</v>
      </c>
      <c r="L18">
        <v>502.54200000000003</v>
      </c>
      <c r="N18">
        <v>7</v>
      </c>
      <c r="O18">
        <v>3.5174799999999999</v>
      </c>
      <c r="P18">
        <v>-28.7773</v>
      </c>
      <c r="Q18">
        <v>478.34199999999998</v>
      </c>
    </row>
    <row r="19" spans="1:17" x14ac:dyDescent="0.25">
      <c r="A19">
        <v>61.547096859620801</v>
      </c>
      <c r="B19">
        <v>520.77046322247395</v>
      </c>
      <c r="D19">
        <v>7.5</v>
      </c>
      <c r="E19">
        <v>3.7889300000000001</v>
      </c>
      <c r="F19">
        <v>31.021599999999999</v>
      </c>
      <c r="G19">
        <v>515.25599999999997</v>
      </c>
      <c r="I19">
        <v>7.5</v>
      </c>
      <c r="J19">
        <v>3.7566799999999998</v>
      </c>
      <c r="K19">
        <v>-30.3278</v>
      </c>
      <c r="L19">
        <v>510.87100000000004</v>
      </c>
      <c r="N19">
        <v>7.5</v>
      </c>
      <c r="O19">
        <v>3.56941</v>
      </c>
      <c r="P19">
        <v>-30.8782</v>
      </c>
      <c r="Q19">
        <v>485.404</v>
      </c>
    </row>
    <row r="20" spans="1:17" x14ac:dyDescent="0.25">
      <c r="A20">
        <v>65.125760819190901</v>
      </c>
      <c r="B20">
        <v>500.07882947498501</v>
      </c>
      <c r="D20">
        <v>8</v>
      </c>
      <c r="E20">
        <v>3.8338199999999998</v>
      </c>
      <c r="F20">
        <v>33.124600000000001</v>
      </c>
      <c r="G20">
        <v>521.36199999999997</v>
      </c>
      <c r="I20">
        <v>8</v>
      </c>
      <c r="J20">
        <v>3.7994400000000002</v>
      </c>
      <c r="K20">
        <v>-32.3887</v>
      </c>
      <c r="L20">
        <v>516.68600000000004</v>
      </c>
      <c r="N20">
        <v>8</v>
      </c>
      <c r="O20">
        <v>3.6047699999999998</v>
      </c>
      <c r="P20">
        <v>-32.987299999999998</v>
      </c>
      <c r="Q20">
        <v>490.21300000000002</v>
      </c>
    </row>
    <row r="21" spans="1:17" x14ac:dyDescent="0.25">
      <c r="A21">
        <v>70.213819433716594</v>
      </c>
      <c r="B21">
        <v>466.01072539889202</v>
      </c>
      <c r="D21">
        <v>8.5</v>
      </c>
      <c r="E21">
        <v>3.8621400000000001</v>
      </c>
      <c r="F21">
        <v>35.232900000000001</v>
      </c>
      <c r="G21">
        <v>525.21299999999997</v>
      </c>
      <c r="I21">
        <v>8.5</v>
      </c>
      <c r="J21">
        <v>3.8260800000000001</v>
      </c>
      <c r="K21">
        <v>-34.4557</v>
      </c>
      <c r="L21">
        <v>520.30799999999999</v>
      </c>
      <c r="N21">
        <v>8.5</v>
      </c>
      <c r="O21">
        <v>3.6264599999999998</v>
      </c>
      <c r="P21">
        <v>-35.1038</v>
      </c>
      <c r="Q21">
        <v>493.16200000000003</v>
      </c>
    </row>
    <row r="22" spans="1:17" x14ac:dyDescent="0.25">
      <c r="D22">
        <v>9</v>
      </c>
      <c r="E22">
        <v>3.8763899999999998</v>
      </c>
      <c r="F22">
        <v>37.346600000000002</v>
      </c>
      <c r="G22">
        <v>527.15</v>
      </c>
      <c r="I22">
        <v>9</v>
      </c>
      <c r="J22">
        <v>3.83832</v>
      </c>
      <c r="K22">
        <v>-36.533000000000001</v>
      </c>
      <c r="L22">
        <v>521.97400000000005</v>
      </c>
      <c r="N22">
        <v>9</v>
      </c>
      <c r="O22">
        <v>3.6381000000000001</v>
      </c>
      <c r="P22">
        <v>-37.224899999999998</v>
      </c>
      <c r="Q22">
        <v>494.74600000000004</v>
      </c>
    </row>
    <row r="23" spans="1:17" x14ac:dyDescent="0.25">
      <c r="D23">
        <v>9.5</v>
      </c>
      <c r="E23">
        <v>3.8794900000000001</v>
      </c>
      <c r="F23">
        <v>39.468699999999998</v>
      </c>
      <c r="G23">
        <v>527.572</v>
      </c>
      <c r="I23">
        <v>9.5</v>
      </c>
      <c r="J23">
        <v>3.84137</v>
      </c>
      <c r="K23">
        <v>-38.614699999999999</v>
      </c>
      <c r="L23">
        <v>522.38800000000003</v>
      </c>
      <c r="N23">
        <v>9.125</v>
      </c>
      <c r="O23">
        <v>3.6395200000000001</v>
      </c>
      <c r="P23">
        <v>-37.756100000000004</v>
      </c>
      <c r="Q23">
        <v>494.93900000000002</v>
      </c>
    </row>
    <row r="24" spans="1:17" x14ac:dyDescent="0.25">
      <c r="D24">
        <v>10</v>
      </c>
      <c r="E24">
        <v>3.8708399999999998</v>
      </c>
      <c r="F24">
        <v>41.603700000000003</v>
      </c>
      <c r="G24">
        <v>526.39599999999996</v>
      </c>
      <c r="I24">
        <v>10</v>
      </c>
      <c r="J24">
        <v>3.8340999999999998</v>
      </c>
      <c r="K24">
        <v>-40.706600000000002</v>
      </c>
      <c r="L24">
        <v>521.399</v>
      </c>
      <c r="N24">
        <v>9.25</v>
      </c>
      <c r="O24">
        <v>3.6404899999999998</v>
      </c>
      <c r="P24">
        <v>-38.287500000000001</v>
      </c>
      <c r="Q24">
        <v>495.07100000000003</v>
      </c>
    </row>
    <row r="25" spans="1:17" x14ac:dyDescent="0.25">
      <c r="D25">
        <v>10.5</v>
      </c>
      <c r="E25">
        <v>3.85608</v>
      </c>
      <c r="F25">
        <v>43.746400000000001</v>
      </c>
      <c r="G25">
        <v>524.38800000000003</v>
      </c>
      <c r="I25">
        <v>10.5</v>
      </c>
      <c r="J25">
        <v>3.8209300000000002</v>
      </c>
      <c r="K25">
        <v>-42.804299999999998</v>
      </c>
      <c r="L25">
        <v>519.60800000000006</v>
      </c>
      <c r="N25">
        <v>9.375</v>
      </c>
      <c r="O25">
        <v>3.6410399999999998</v>
      </c>
      <c r="P25">
        <v>-38.819299999999998</v>
      </c>
      <c r="Q25">
        <v>495.14600000000002</v>
      </c>
    </row>
    <row r="26" spans="1:17" x14ac:dyDescent="0.25">
      <c r="D26">
        <v>11</v>
      </c>
      <c r="E26">
        <v>3.8367800000000001</v>
      </c>
      <c r="F26">
        <v>45.895499999999998</v>
      </c>
      <c r="G26">
        <v>521.76300000000003</v>
      </c>
      <c r="I26">
        <v>11</v>
      </c>
      <c r="J26">
        <v>3.8045300000000002</v>
      </c>
      <c r="K26">
        <v>-44.9056</v>
      </c>
      <c r="L26">
        <v>517.37800000000004</v>
      </c>
      <c r="N26">
        <v>9.5</v>
      </c>
      <c r="O26">
        <v>3.6411099999999998</v>
      </c>
      <c r="P26">
        <v>-39.351599999999998</v>
      </c>
      <c r="Q26">
        <v>495.15500000000003</v>
      </c>
    </row>
    <row r="27" spans="1:17" x14ac:dyDescent="0.25">
      <c r="D27">
        <v>11.5</v>
      </c>
      <c r="E27">
        <v>3.81012</v>
      </c>
      <c r="F27">
        <v>48.063000000000002</v>
      </c>
      <c r="G27">
        <v>518.13800000000003</v>
      </c>
      <c r="I27">
        <v>11.5</v>
      </c>
      <c r="J27">
        <v>3.78335</v>
      </c>
      <c r="K27">
        <v>-47.015700000000002</v>
      </c>
      <c r="L27">
        <v>514.49800000000005</v>
      </c>
      <c r="N27">
        <v>9.625</v>
      </c>
      <c r="O27">
        <v>3.6407699999999998</v>
      </c>
      <c r="P27">
        <v>-39.8842</v>
      </c>
      <c r="Q27">
        <v>495.108</v>
      </c>
    </row>
    <row r="28" spans="1:17" x14ac:dyDescent="0.25">
      <c r="D28">
        <v>12</v>
      </c>
      <c r="E28">
        <v>3.7770600000000001</v>
      </c>
      <c r="F28">
        <v>50.251399999999997</v>
      </c>
      <c r="G28">
        <v>513.64200000000005</v>
      </c>
      <c r="I28">
        <v>12</v>
      </c>
      <c r="J28">
        <v>3.7556699999999998</v>
      </c>
      <c r="K28">
        <v>-49.145699999999998</v>
      </c>
      <c r="L28">
        <v>510.73400000000004</v>
      </c>
      <c r="N28">
        <v>9.75</v>
      </c>
      <c r="O28">
        <v>3.6400999999999999</v>
      </c>
      <c r="P28">
        <v>-40.417099999999998</v>
      </c>
      <c r="Q28">
        <v>495.017</v>
      </c>
    </row>
    <row r="29" spans="1:17" x14ac:dyDescent="0.25">
      <c r="D29">
        <v>12.5</v>
      </c>
      <c r="E29">
        <v>3.7404600000000001</v>
      </c>
      <c r="F29">
        <v>52.452100000000002</v>
      </c>
      <c r="G29">
        <v>508.66500000000002</v>
      </c>
      <c r="I29">
        <v>12.5</v>
      </c>
      <c r="J29">
        <v>3.7249699999999999</v>
      </c>
      <c r="K29">
        <v>-51.2851</v>
      </c>
      <c r="L29">
        <v>506.55799999999999</v>
      </c>
      <c r="N29">
        <v>9.875</v>
      </c>
      <c r="O29">
        <v>3.6391100000000001</v>
      </c>
      <c r="P29">
        <v>-40.950099999999999</v>
      </c>
      <c r="Q29">
        <v>494.88200000000001</v>
      </c>
    </row>
    <row r="30" spans="1:17" x14ac:dyDescent="0.25">
      <c r="D30">
        <v>13</v>
      </c>
      <c r="E30">
        <v>3.7015500000000001</v>
      </c>
      <c r="F30">
        <v>54.663200000000003</v>
      </c>
      <c r="G30">
        <v>503.37400000000002</v>
      </c>
      <c r="I30">
        <v>13</v>
      </c>
      <c r="J30">
        <v>3.6915399999999998</v>
      </c>
      <c r="K30">
        <v>-53.433799999999998</v>
      </c>
      <c r="L30">
        <v>502.01300000000003</v>
      </c>
      <c r="N30">
        <v>10.0625</v>
      </c>
      <c r="O30">
        <v>3.6371500000000001</v>
      </c>
      <c r="P30">
        <v>-41.750100000000003</v>
      </c>
      <c r="Q30">
        <v>494.61700000000002</v>
      </c>
    </row>
    <row r="31" spans="1:17" x14ac:dyDescent="0.25">
      <c r="D31">
        <v>13.5</v>
      </c>
      <c r="E31">
        <v>3.6585200000000002</v>
      </c>
      <c r="F31">
        <v>56.897399999999998</v>
      </c>
      <c r="G31">
        <v>497.52199999999999</v>
      </c>
      <c r="I31">
        <v>13.5</v>
      </c>
      <c r="J31">
        <v>3.6535500000000001</v>
      </c>
      <c r="K31">
        <v>-55.6038</v>
      </c>
      <c r="L31">
        <v>496.846</v>
      </c>
      <c r="N31">
        <v>10.3438</v>
      </c>
      <c r="O31">
        <v>3.6332800000000001</v>
      </c>
      <c r="P31">
        <v>-42.950299999999999</v>
      </c>
      <c r="Q31">
        <v>494.089</v>
      </c>
    </row>
    <row r="32" spans="1:17" x14ac:dyDescent="0.25">
      <c r="D32">
        <v>14</v>
      </c>
      <c r="E32">
        <v>3.6128399999999998</v>
      </c>
      <c r="F32">
        <v>59.148099999999999</v>
      </c>
      <c r="G32">
        <v>491.31</v>
      </c>
      <c r="I32">
        <v>14</v>
      </c>
      <c r="J32">
        <v>3.6135199999999998</v>
      </c>
      <c r="K32">
        <v>-57.786200000000001</v>
      </c>
      <c r="L32">
        <v>491.40300000000002</v>
      </c>
      <c r="N32">
        <v>10.765599999999999</v>
      </c>
      <c r="O32">
        <v>3.62547</v>
      </c>
      <c r="P32">
        <v>-44.751399999999997</v>
      </c>
      <c r="Q32">
        <v>493.02800000000002</v>
      </c>
    </row>
    <row r="33" spans="4:17" x14ac:dyDescent="0.25">
      <c r="D33">
        <v>14.5</v>
      </c>
      <c r="E33">
        <v>3.5653600000000001</v>
      </c>
      <c r="F33">
        <v>61.414000000000001</v>
      </c>
      <c r="G33">
        <v>484.85399999999998</v>
      </c>
      <c r="I33">
        <v>14.5</v>
      </c>
      <c r="J33">
        <v>3.5713699999999999</v>
      </c>
      <c r="K33">
        <v>-59.981400000000001</v>
      </c>
      <c r="L33">
        <v>485.67099999999999</v>
      </c>
      <c r="N33">
        <v>11.265599999999999</v>
      </c>
      <c r="O33">
        <v>3.6133099999999998</v>
      </c>
      <c r="P33">
        <v>-46.887</v>
      </c>
      <c r="Q33">
        <v>491.375</v>
      </c>
    </row>
    <row r="34" spans="4:17" x14ac:dyDescent="0.25">
      <c r="D34">
        <v>15</v>
      </c>
      <c r="E34">
        <v>3.5165500000000001</v>
      </c>
      <c r="F34">
        <v>63.691200000000002</v>
      </c>
      <c r="G34">
        <v>478.21600000000001</v>
      </c>
      <c r="I34">
        <v>15</v>
      </c>
      <c r="J34">
        <v>3.5274800000000002</v>
      </c>
      <c r="K34">
        <v>-62.188400000000001</v>
      </c>
      <c r="L34">
        <v>479.702</v>
      </c>
      <c r="N34">
        <v>11.765599999999999</v>
      </c>
      <c r="O34">
        <v>3.5952099999999998</v>
      </c>
      <c r="P34">
        <v>-49.0364</v>
      </c>
      <c r="Q34">
        <v>488.91300000000001</v>
      </c>
    </row>
    <row r="35" spans="4:17" x14ac:dyDescent="0.25">
      <c r="D35">
        <v>15.5</v>
      </c>
      <c r="E35">
        <v>3.4680599999999999</v>
      </c>
      <c r="F35">
        <v>65.971699999999998</v>
      </c>
      <c r="G35">
        <v>471.62100000000004</v>
      </c>
      <c r="I35">
        <v>15.5</v>
      </c>
      <c r="J35">
        <v>3.4811100000000001</v>
      </c>
      <c r="K35">
        <v>-64.414900000000003</v>
      </c>
      <c r="L35">
        <v>473.39600000000002</v>
      </c>
      <c r="N35">
        <v>12.265599999999999</v>
      </c>
      <c r="O35">
        <v>3.57226</v>
      </c>
      <c r="P35">
        <v>-51.200800000000001</v>
      </c>
      <c r="Q35">
        <v>485.79200000000003</v>
      </c>
    </row>
    <row r="36" spans="4:17" x14ac:dyDescent="0.25">
      <c r="D36">
        <v>16</v>
      </c>
      <c r="E36">
        <v>3.4171200000000002</v>
      </c>
      <c r="F36">
        <v>68.275899999999993</v>
      </c>
      <c r="G36">
        <v>464.69400000000002</v>
      </c>
      <c r="I36">
        <v>16</v>
      </c>
      <c r="J36">
        <v>3.4343599999999999</v>
      </c>
      <c r="K36">
        <v>-66.650499999999994</v>
      </c>
      <c r="L36">
        <v>467.03899999999999</v>
      </c>
      <c r="N36">
        <v>12.765599999999999</v>
      </c>
      <c r="O36">
        <v>3.5472899999999998</v>
      </c>
      <c r="P36">
        <v>-53.370800000000003</v>
      </c>
      <c r="Q36">
        <v>482.39600000000002</v>
      </c>
    </row>
    <row r="37" spans="4:17" x14ac:dyDescent="0.25">
      <c r="D37">
        <v>16.5</v>
      </c>
      <c r="E37">
        <v>3.36517</v>
      </c>
      <c r="F37">
        <v>70.593100000000007</v>
      </c>
      <c r="G37">
        <v>457.62900000000002</v>
      </c>
      <c r="I37">
        <v>16.5</v>
      </c>
      <c r="J37">
        <v>3.3869099999999999</v>
      </c>
      <c r="K37">
        <v>-68.897599999999997</v>
      </c>
      <c r="L37">
        <v>460.58600000000001</v>
      </c>
      <c r="N37">
        <v>13.265599999999999</v>
      </c>
      <c r="O37">
        <v>3.5201899999999999</v>
      </c>
      <c r="P37">
        <v>-55.549300000000002</v>
      </c>
      <c r="Q37">
        <v>478.71100000000001</v>
      </c>
    </row>
    <row r="38" spans="4:17" x14ac:dyDescent="0.25">
      <c r="D38">
        <v>17</v>
      </c>
      <c r="E38">
        <v>3.3119100000000001</v>
      </c>
      <c r="F38">
        <v>72.928200000000004</v>
      </c>
      <c r="G38">
        <v>450.387</v>
      </c>
      <c r="I38">
        <v>17</v>
      </c>
      <c r="J38">
        <v>3.3386900000000002</v>
      </c>
      <c r="K38">
        <v>-71.155199999999994</v>
      </c>
      <c r="L38">
        <v>454.02800000000002</v>
      </c>
      <c r="N38">
        <v>13.765599999999999</v>
      </c>
      <c r="O38">
        <v>3.4875699999999998</v>
      </c>
      <c r="P38">
        <v>-57.753300000000003</v>
      </c>
      <c r="Q38">
        <v>474.274</v>
      </c>
    </row>
    <row r="39" spans="4:17" x14ac:dyDescent="0.25">
      <c r="D39">
        <v>17.5</v>
      </c>
      <c r="E39">
        <v>3.2583199999999999</v>
      </c>
      <c r="F39">
        <v>75.275899999999993</v>
      </c>
      <c r="G39">
        <v>443.09899999999999</v>
      </c>
      <c r="I39">
        <v>17.5</v>
      </c>
      <c r="J39">
        <v>3.2897699999999999</v>
      </c>
      <c r="K39">
        <v>-73.423599999999993</v>
      </c>
      <c r="L39">
        <v>447.37600000000003</v>
      </c>
      <c r="N39">
        <v>14.265599999999999</v>
      </c>
      <c r="O39">
        <v>3.4523999999999999</v>
      </c>
      <c r="P39">
        <v>-59.970500000000001</v>
      </c>
      <c r="Q39">
        <v>469.49200000000002</v>
      </c>
    </row>
    <row r="40" spans="4:17" x14ac:dyDescent="0.25">
      <c r="D40">
        <v>18</v>
      </c>
      <c r="E40">
        <v>3.2045699999999999</v>
      </c>
      <c r="F40">
        <v>77.631799999999998</v>
      </c>
      <c r="G40">
        <v>435.79</v>
      </c>
      <c r="I40">
        <v>18</v>
      </c>
      <c r="J40">
        <v>3.2389800000000002</v>
      </c>
      <c r="K40">
        <v>-75.7119</v>
      </c>
      <c r="L40">
        <v>440.46899999999999</v>
      </c>
      <c r="N40">
        <v>14.765599999999999</v>
      </c>
      <c r="O40">
        <v>3.4152900000000002</v>
      </c>
      <c r="P40">
        <v>-62.196599999999997</v>
      </c>
      <c r="Q40">
        <v>464.44499999999999</v>
      </c>
    </row>
    <row r="41" spans="4:17" x14ac:dyDescent="0.25">
      <c r="D41">
        <v>18.5</v>
      </c>
      <c r="E41">
        <v>3.1513300000000002</v>
      </c>
      <c r="F41">
        <v>79.993899999999996</v>
      </c>
      <c r="G41">
        <v>428.54900000000004</v>
      </c>
      <c r="I41">
        <v>18.5</v>
      </c>
      <c r="J41">
        <v>3.1876799999999998</v>
      </c>
      <c r="K41">
        <v>-78.011399999999995</v>
      </c>
      <c r="L41">
        <v>433.49299999999999</v>
      </c>
      <c r="N41">
        <v>15.265599999999999</v>
      </c>
      <c r="O41">
        <v>3.3774299999999999</v>
      </c>
      <c r="P41">
        <v>-64.428799999999995</v>
      </c>
      <c r="Q41">
        <v>459.29599999999999</v>
      </c>
    </row>
    <row r="42" spans="4:17" x14ac:dyDescent="0.25">
      <c r="G42">
        <f>MAX(G4:G41)</f>
        <v>527.572</v>
      </c>
      <c r="L42">
        <f t="shared" ref="L42" si="0">MAX(L4:L41)</f>
        <v>522.38800000000003</v>
      </c>
      <c r="Q42">
        <f t="shared" ref="Q42" si="1">MAX(Q4:Q41)</f>
        <v>495.15500000000003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BC10-4FEE-4CB8-9543-DE4FFE4FBB8C}">
  <sheetPr codeName="Sheet6"/>
  <dimension ref="A2:Q36"/>
  <sheetViews>
    <sheetView topLeftCell="A13" workbookViewId="0">
      <selection activeCell="S30" sqref="S30"/>
    </sheetView>
  </sheetViews>
  <sheetFormatPr defaultRowHeight="15" x14ac:dyDescent="0.25"/>
  <sheetData>
    <row r="2" spans="1:17" x14ac:dyDescent="0.25">
      <c r="A2">
        <v>-1E-3</v>
      </c>
      <c r="B2">
        <v>-1</v>
      </c>
      <c r="D2" t="s">
        <v>29</v>
      </c>
      <c r="I2" t="s">
        <v>30</v>
      </c>
      <c r="M2">
        <v>-1</v>
      </c>
      <c r="N2" t="s">
        <v>31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8</v>
      </c>
      <c r="G3" t="s">
        <v>9</v>
      </c>
      <c r="I3" t="s">
        <v>0</v>
      </c>
      <c r="J3" t="s">
        <v>1</v>
      </c>
      <c r="K3" t="s">
        <v>8</v>
      </c>
      <c r="L3" t="s">
        <v>9</v>
      </c>
      <c r="N3" t="s">
        <v>0</v>
      </c>
      <c r="O3" t="s">
        <v>1</v>
      </c>
      <c r="P3" t="s">
        <v>8</v>
      </c>
      <c r="Q3" t="s">
        <v>9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5.6523200000000003E-2</v>
      </c>
      <c r="L4">
        <v>5.6050699999999993E-10</v>
      </c>
      <c r="N4">
        <v>0</v>
      </c>
      <c r="O4">
        <v>0</v>
      </c>
      <c r="P4">
        <v>0.112342</v>
      </c>
      <c r="Q4">
        <v>-6.1987899999999998E-9</v>
      </c>
    </row>
    <row r="5" spans="1:17" x14ac:dyDescent="0.25">
      <c r="A5">
        <v>3.68135413678193</v>
      </c>
      <c r="B5">
        <v>42.741111822214499</v>
      </c>
      <c r="D5">
        <v>0.5</v>
      </c>
      <c r="E5">
        <v>0.48386400000000002</v>
      </c>
      <c r="F5">
        <v>3.3456899999999998</v>
      </c>
      <c r="G5">
        <v>39.590900000000005</v>
      </c>
      <c r="I5">
        <v>0.5</v>
      </c>
      <c r="J5">
        <v>0.48371700000000001</v>
      </c>
      <c r="K5">
        <v>-3.2968500000000001</v>
      </c>
      <c r="L5">
        <v>39.579000000000001</v>
      </c>
      <c r="N5">
        <v>0.5</v>
      </c>
      <c r="O5">
        <v>0.48285299999999998</v>
      </c>
      <c r="P5">
        <v>-3.3113299999999999</v>
      </c>
      <c r="Q5">
        <v>39.508199999999995</v>
      </c>
    </row>
    <row r="6" spans="1:17" x14ac:dyDescent="0.25">
      <c r="A6">
        <v>6.7138437093107903</v>
      </c>
      <c r="B6">
        <v>74.865049764968205</v>
      </c>
      <c r="D6">
        <v>1</v>
      </c>
      <c r="E6">
        <v>0.937469</v>
      </c>
      <c r="F6">
        <v>6.7288699999999997</v>
      </c>
      <c r="G6">
        <v>76.706100000000006</v>
      </c>
      <c r="I6">
        <v>1</v>
      </c>
      <c r="J6">
        <v>0.93686400000000003</v>
      </c>
      <c r="K6">
        <v>-6.6538599999999999</v>
      </c>
      <c r="L6">
        <v>76.656600000000012</v>
      </c>
      <c r="N6">
        <v>1</v>
      </c>
      <c r="O6">
        <v>0.93337499999999995</v>
      </c>
      <c r="P6">
        <v>-6.73827</v>
      </c>
      <c r="Q6">
        <v>76.371100000000013</v>
      </c>
    </row>
    <row r="7" spans="1:17" x14ac:dyDescent="0.25">
      <c r="A7">
        <v>11.053790303003501</v>
      </c>
      <c r="B7">
        <v>125.7855361596</v>
      </c>
      <c r="D7">
        <v>1.5</v>
      </c>
      <c r="E7">
        <v>1.3634900000000001</v>
      </c>
      <c r="F7">
        <v>10.114800000000001</v>
      </c>
      <c r="G7">
        <v>111.56400000000001</v>
      </c>
      <c r="I7">
        <v>1.5</v>
      </c>
      <c r="J7">
        <v>1.36205</v>
      </c>
      <c r="K7">
        <v>-10.013500000000001</v>
      </c>
      <c r="L7">
        <v>111.446</v>
      </c>
      <c r="N7">
        <v>1.5</v>
      </c>
      <c r="O7">
        <v>1.35399</v>
      </c>
      <c r="P7">
        <v>-10.167299999999999</v>
      </c>
      <c r="Q7">
        <v>110.78700000000001</v>
      </c>
    </row>
    <row r="8" spans="1:17" x14ac:dyDescent="0.25">
      <c r="A8">
        <v>15.4387217796217</v>
      </c>
      <c r="B8">
        <v>170.02855692626801</v>
      </c>
      <c r="D8">
        <v>2</v>
      </c>
      <c r="E8">
        <v>1.7642599999999999</v>
      </c>
      <c r="F8">
        <v>13.5025</v>
      </c>
      <c r="G8">
        <v>144.35599999999999</v>
      </c>
      <c r="I8">
        <v>2</v>
      </c>
      <c r="J8">
        <v>1.76152</v>
      </c>
      <c r="K8">
        <v>-13.3748</v>
      </c>
      <c r="L8">
        <v>144.13200000000001</v>
      </c>
      <c r="N8">
        <v>2</v>
      </c>
      <c r="O8">
        <v>1.74668</v>
      </c>
      <c r="P8">
        <v>-13.5975</v>
      </c>
      <c r="Q8">
        <v>142.91800000000001</v>
      </c>
    </row>
    <row r="9" spans="1:17" x14ac:dyDescent="0.25">
      <c r="A9">
        <v>21.2213625228963</v>
      </c>
      <c r="B9">
        <v>220.92715114867599</v>
      </c>
      <c r="D9">
        <v>2.5</v>
      </c>
      <c r="E9">
        <v>2.1417999999999999</v>
      </c>
      <c r="F9">
        <v>16.890999999999998</v>
      </c>
      <c r="G9">
        <v>175.24799999999999</v>
      </c>
      <c r="I9">
        <v>2.5</v>
      </c>
      <c r="J9">
        <v>2.1371699999999998</v>
      </c>
      <c r="K9">
        <v>-16.736699999999999</v>
      </c>
      <c r="L9">
        <v>174.86799999999999</v>
      </c>
      <c r="N9">
        <v>2.5</v>
      </c>
      <c r="O9">
        <v>2.1129500000000001</v>
      </c>
      <c r="P9">
        <v>-17.027699999999999</v>
      </c>
      <c r="Q9">
        <v>172.887</v>
      </c>
    </row>
    <row r="10" spans="1:17" x14ac:dyDescent="0.25">
      <c r="A10">
        <v>26.7223710634917</v>
      </c>
      <c r="B10">
        <v>261.51135435746897</v>
      </c>
      <c r="D10">
        <v>3</v>
      </c>
      <c r="E10">
        <v>2.4978400000000001</v>
      </c>
      <c r="F10">
        <v>20.279399999999999</v>
      </c>
      <c r="G10">
        <v>204.38</v>
      </c>
      <c r="I10">
        <v>3</v>
      </c>
      <c r="J10">
        <v>2.4905499999999998</v>
      </c>
      <c r="K10">
        <v>-20.098199999999999</v>
      </c>
      <c r="L10">
        <v>203.78300000000002</v>
      </c>
      <c r="N10">
        <v>3</v>
      </c>
      <c r="O10">
        <v>2.4519500000000001</v>
      </c>
      <c r="P10">
        <v>-20.457599999999999</v>
      </c>
      <c r="Q10">
        <v>200.625</v>
      </c>
    </row>
    <row r="11" spans="1:17" x14ac:dyDescent="0.25">
      <c r="A11">
        <v>31.661810076578401</v>
      </c>
      <c r="B11">
        <v>288.75051309778598</v>
      </c>
      <c r="D11">
        <v>3.5</v>
      </c>
      <c r="E11">
        <v>2.8321200000000002</v>
      </c>
      <c r="F11">
        <v>23.667000000000002</v>
      </c>
      <c r="G11">
        <v>231.73099999999999</v>
      </c>
      <c r="I11">
        <v>3.5</v>
      </c>
      <c r="J11">
        <v>2.8184100000000001</v>
      </c>
      <c r="K11">
        <v>-23.459599999999998</v>
      </c>
      <c r="L11">
        <v>230.60900000000001</v>
      </c>
      <c r="N11">
        <v>3.5</v>
      </c>
      <c r="O11">
        <v>2.7540399999999998</v>
      </c>
      <c r="P11">
        <v>-23.889099999999999</v>
      </c>
      <c r="Q11">
        <v>225.34200000000001</v>
      </c>
    </row>
    <row r="12" spans="1:17" x14ac:dyDescent="0.25">
      <c r="A12">
        <v>37.111336702491499</v>
      </c>
      <c r="B12">
        <v>308.09118795930499</v>
      </c>
      <c r="D12">
        <v>4</v>
      </c>
      <c r="E12">
        <v>3.1217600000000001</v>
      </c>
      <c r="F12">
        <v>27.059699999999999</v>
      </c>
      <c r="G12">
        <v>255.43</v>
      </c>
      <c r="I12">
        <v>4</v>
      </c>
      <c r="J12">
        <v>3.1004900000000002</v>
      </c>
      <c r="K12">
        <v>-26.824200000000001</v>
      </c>
      <c r="L12">
        <v>253.69</v>
      </c>
      <c r="N12">
        <v>4</v>
      </c>
      <c r="O12">
        <v>3.00624</v>
      </c>
      <c r="P12">
        <v>-27.3232</v>
      </c>
      <c r="Q12">
        <v>245.97800000000001</v>
      </c>
    </row>
    <row r="13" spans="1:17" x14ac:dyDescent="0.25">
      <c r="A13">
        <v>42.931052898726598</v>
      </c>
      <c r="B13">
        <v>318.32154127954402</v>
      </c>
      <c r="D13">
        <v>4.5</v>
      </c>
      <c r="E13">
        <v>3.3536299999999999</v>
      </c>
      <c r="F13">
        <v>30.4604</v>
      </c>
      <c r="G13">
        <v>274.40300000000002</v>
      </c>
      <c r="I13">
        <v>4.5</v>
      </c>
      <c r="J13">
        <v>3.3284199999999999</v>
      </c>
      <c r="K13">
        <v>-30.192</v>
      </c>
      <c r="L13">
        <v>272.34000000000003</v>
      </c>
      <c r="N13">
        <v>4.5</v>
      </c>
      <c r="O13">
        <v>3.2082600000000001</v>
      </c>
      <c r="P13">
        <v>-30.762699999999999</v>
      </c>
      <c r="Q13">
        <v>262.50700000000001</v>
      </c>
    </row>
    <row r="14" spans="1:17" x14ac:dyDescent="0.25">
      <c r="A14">
        <v>50.099397523889301</v>
      </c>
      <c r="B14">
        <v>324.28256791649102</v>
      </c>
      <c r="D14">
        <v>5</v>
      </c>
      <c r="E14">
        <v>3.5362300000000002</v>
      </c>
      <c r="F14">
        <v>33.86</v>
      </c>
      <c r="G14">
        <v>289.34300000000002</v>
      </c>
      <c r="I14">
        <v>5</v>
      </c>
      <c r="J14">
        <v>3.5058099999999999</v>
      </c>
      <c r="K14">
        <v>-33.565199999999997</v>
      </c>
      <c r="L14">
        <v>286.85399999999998</v>
      </c>
      <c r="N14">
        <v>5</v>
      </c>
      <c r="O14">
        <v>3.3660100000000002</v>
      </c>
      <c r="P14">
        <v>-34.207799999999999</v>
      </c>
      <c r="Q14">
        <v>275.41500000000002</v>
      </c>
    </row>
    <row r="15" spans="1:17" x14ac:dyDescent="0.25">
      <c r="A15">
        <v>56.103149206629404</v>
      </c>
      <c r="B15">
        <v>325.405424491867</v>
      </c>
      <c r="D15">
        <v>5.5</v>
      </c>
      <c r="E15">
        <v>3.6776800000000001</v>
      </c>
      <c r="F15">
        <v>37.261699999999998</v>
      </c>
      <c r="G15">
        <v>300.91700000000003</v>
      </c>
      <c r="I15">
        <v>5.5</v>
      </c>
      <c r="J15">
        <v>3.64059</v>
      </c>
      <c r="K15">
        <v>-36.944699999999997</v>
      </c>
      <c r="L15">
        <v>297.88200000000001</v>
      </c>
      <c r="N15">
        <v>5.5</v>
      </c>
      <c r="O15">
        <v>3.48516</v>
      </c>
      <c r="P15">
        <v>-37.661499999999997</v>
      </c>
      <c r="Q15">
        <v>285.16500000000002</v>
      </c>
    </row>
    <row r="16" spans="1:17" x14ac:dyDescent="0.25">
      <c r="A16">
        <v>62.246233972590602</v>
      </c>
      <c r="B16">
        <v>325.31220621013802</v>
      </c>
      <c r="D16">
        <v>6</v>
      </c>
      <c r="E16">
        <v>3.7842099999999999</v>
      </c>
      <c r="F16">
        <v>40.667900000000003</v>
      </c>
      <c r="G16">
        <v>309.63299999999998</v>
      </c>
      <c r="I16">
        <v>6</v>
      </c>
      <c r="J16">
        <v>3.7406199999999998</v>
      </c>
      <c r="K16">
        <v>-40.329099999999997</v>
      </c>
      <c r="L16">
        <v>306.06700000000001</v>
      </c>
      <c r="N16">
        <v>6</v>
      </c>
      <c r="O16">
        <v>3.5717500000000002</v>
      </c>
      <c r="P16">
        <v>-41.13</v>
      </c>
      <c r="Q16">
        <v>292.24900000000002</v>
      </c>
    </row>
    <row r="17" spans="1:17" x14ac:dyDescent="0.25">
      <c r="A17">
        <v>69.503418445037795</v>
      </c>
      <c r="B17">
        <v>313.062476551982</v>
      </c>
      <c r="D17">
        <v>6.5</v>
      </c>
      <c r="E17">
        <v>3.8578399999999999</v>
      </c>
      <c r="F17">
        <v>44.085700000000003</v>
      </c>
      <c r="G17">
        <v>315.65800000000002</v>
      </c>
      <c r="I17">
        <v>6.5</v>
      </c>
      <c r="J17">
        <v>3.8077299999999998</v>
      </c>
      <c r="K17">
        <v>-43.734499999999997</v>
      </c>
      <c r="L17">
        <v>311.55799999999999</v>
      </c>
      <c r="N17">
        <v>6.5</v>
      </c>
      <c r="O17">
        <v>3.6343299999999998</v>
      </c>
      <c r="P17">
        <v>-44.604700000000001</v>
      </c>
      <c r="Q17">
        <v>297.37</v>
      </c>
    </row>
    <row r="18" spans="1:17" x14ac:dyDescent="0.25">
      <c r="A18">
        <v>75.455264493633095</v>
      </c>
      <c r="B18">
        <v>291.120870390395</v>
      </c>
      <c r="D18">
        <v>7</v>
      </c>
      <c r="E18">
        <v>3.9049999999999998</v>
      </c>
      <c r="F18">
        <v>47.525100000000002</v>
      </c>
      <c r="G18">
        <v>319.517</v>
      </c>
      <c r="I18">
        <v>7</v>
      </c>
      <c r="J18">
        <v>3.8517199999999998</v>
      </c>
      <c r="K18">
        <v>-47.153399999999998</v>
      </c>
      <c r="L18">
        <v>315.15800000000002</v>
      </c>
      <c r="N18">
        <v>7</v>
      </c>
      <c r="O18">
        <v>3.67753</v>
      </c>
      <c r="P18">
        <v>-48.094499999999996</v>
      </c>
      <c r="Q18">
        <v>300.90500000000003</v>
      </c>
    </row>
    <row r="19" spans="1:17" x14ac:dyDescent="0.25">
      <c r="D19">
        <v>7.125</v>
      </c>
      <c r="E19">
        <v>3.9104700000000001</v>
      </c>
      <c r="F19">
        <v>48.398899999999998</v>
      </c>
      <c r="G19">
        <v>319.96500000000003</v>
      </c>
      <c r="I19">
        <v>7.5</v>
      </c>
      <c r="J19">
        <v>3.8633999999999999</v>
      </c>
      <c r="K19">
        <v>-50.643799999999999</v>
      </c>
      <c r="L19">
        <v>316.113</v>
      </c>
      <c r="N19">
        <v>7.5</v>
      </c>
      <c r="O19">
        <v>3.6951800000000001</v>
      </c>
      <c r="P19">
        <v>-51.641599999999997</v>
      </c>
      <c r="Q19">
        <v>302.34899999999999</v>
      </c>
    </row>
    <row r="20" spans="1:17" x14ac:dyDescent="0.25">
      <c r="D20">
        <v>7.25</v>
      </c>
      <c r="E20">
        <v>3.9134600000000002</v>
      </c>
      <c r="F20">
        <v>49.279299999999999</v>
      </c>
      <c r="G20">
        <v>320.209</v>
      </c>
      <c r="I20">
        <v>8</v>
      </c>
      <c r="J20">
        <v>3.8603900000000002</v>
      </c>
      <c r="K20">
        <v>-54.160200000000003</v>
      </c>
      <c r="L20">
        <v>315.86700000000002</v>
      </c>
      <c r="N20">
        <v>8</v>
      </c>
      <c r="O20">
        <v>3.7011500000000002</v>
      </c>
      <c r="P20">
        <v>-55.197400000000002</v>
      </c>
      <c r="Q20">
        <v>302.83800000000002</v>
      </c>
    </row>
    <row r="21" spans="1:17" x14ac:dyDescent="0.25">
      <c r="D21">
        <v>7.375</v>
      </c>
      <c r="E21">
        <v>3.9148299999999998</v>
      </c>
      <c r="F21">
        <v>50.163699999999999</v>
      </c>
      <c r="G21">
        <v>320.32100000000003</v>
      </c>
      <c r="I21">
        <v>8.5</v>
      </c>
      <c r="J21">
        <v>3.83826</v>
      </c>
      <c r="K21">
        <v>-57.7363</v>
      </c>
      <c r="L21">
        <v>314.05599999999998</v>
      </c>
      <c r="N21">
        <v>8.5</v>
      </c>
      <c r="O21">
        <v>3.6892499999999999</v>
      </c>
      <c r="P21">
        <v>-58.809399999999997</v>
      </c>
      <c r="Q21">
        <v>301.86400000000003</v>
      </c>
    </row>
    <row r="22" spans="1:17" x14ac:dyDescent="0.25">
      <c r="D22">
        <v>7.5</v>
      </c>
      <c r="E22">
        <v>3.9149799999999999</v>
      </c>
      <c r="F22">
        <v>51.049700000000001</v>
      </c>
      <c r="G22">
        <v>320.334</v>
      </c>
      <c r="I22">
        <v>9</v>
      </c>
      <c r="J22">
        <v>3.8077399999999999</v>
      </c>
      <c r="K22">
        <v>-61.337400000000002</v>
      </c>
      <c r="L22">
        <v>311.55900000000003</v>
      </c>
      <c r="N22">
        <v>9</v>
      </c>
      <c r="O22">
        <v>3.6688999999999998</v>
      </c>
      <c r="P22">
        <v>-62.448099999999997</v>
      </c>
      <c r="Q22">
        <v>300.19799999999998</v>
      </c>
    </row>
    <row r="23" spans="1:17" x14ac:dyDescent="0.25">
      <c r="D23">
        <v>7.625</v>
      </c>
      <c r="E23">
        <v>3.9140100000000002</v>
      </c>
      <c r="F23">
        <v>51.9375</v>
      </c>
      <c r="G23">
        <v>320.25400000000002</v>
      </c>
      <c r="I23">
        <v>9.5</v>
      </c>
      <c r="J23">
        <v>3.7694999999999999</v>
      </c>
      <c r="K23">
        <v>-64.983900000000006</v>
      </c>
      <c r="L23">
        <v>308.43</v>
      </c>
      <c r="N23">
        <v>9.5</v>
      </c>
      <c r="O23">
        <v>3.6419899999999998</v>
      </c>
      <c r="P23">
        <v>-66.114099999999993</v>
      </c>
      <c r="Q23">
        <v>297.99599999999998</v>
      </c>
    </row>
    <row r="24" spans="1:17" x14ac:dyDescent="0.25">
      <c r="D24">
        <v>7.75</v>
      </c>
      <c r="E24">
        <v>3.9123999999999999</v>
      </c>
      <c r="F24">
        <v>52.825699999999998</v>
      </c>
      <c r="G24">
        <v>320.12200000000001</v>
      </c>
      <c r="I24">
        <v>10</v>
      </c>
      <c r="J24">
        <v>3.72499</v>
      </c>
      <c r="K24">
        <v>-68.667900000000003</v>
      </c>
      <c r="L24">
        <v>304.78800000000001</v>
      </c>
      <c r="N24">
        <v>10</v>
      </c>
      <c r="O24">
        <v>3.60581</v>
      </c>
      <c r="P24">
        <v>-69.827200000000005</v>
      </c>
      <c r="Q24">
        <v>295.03700000000003</v>
      </c>
    </row>
    <row r="25" spans="1:17" x14ac:dyDescent="0.25">
      <c r="D25">
        <v>7.875</v>
      </c>
      <c r="E25">
        <v>3.90978</v>
      </c>
      <c r="F25">
        <v>53.716500000000003</v>
      </c>
      <c r="G25">
        <v>319.90800000000002</v>
      </c>
      <c r="I25">
        <v>10.5</v>
      </c>
      <c r="J25">
        <v>3.6763699999999999</v>
      </c>
      <c r="K25">
        <v>-72.373000000000005</v>
      </c>
      <c r="L25">
        <v>300.81</v>
      </c>
      <c r="N25">
        <v>10.5</v>
      </c>
      <c r="O25">
        <v>3.56494</v>
      </c>
      <c r="P25">
        <v>-73.558199999999999</v>
      </c>
      <c r="Q25">
        <v>291.69200000000001</v>
      </c>
    </row>
    <row r="26" spans="1:17" x14ac:dyDescent="0.25">
      <c r="D26">
        <v>8</v>
      </c>
      <c r="E26">
        <v>3.9061599999999999</v>
      </c>
      <c r="F26">
        <v>54.610100000000003</v>
      </c>
      <c r="G26">
        <v>319.61200000000002</v>
      </c>
      <c r="I26">
        <v>11</v>
      </c>
      <c r="J26">
        <v>3.6238600000000001</v>
      </c>
      <c r="K26">
        <v>-76.115099999999998</v>
      </c>
      <c r="L26">
        <v>296.51400000000001</v>
      </c>
      <c r="N26">
        <v>11</v>
      </c>
      <c r="O26">
        <v>3.52189</v>
      </c>
      <c r="P26">
        <v>-77.307400000000001</v>
      </c>
      <c r="Q26">
        <v>288.17</v>
      </c>
    </row>
    <row r="27" spans="1:17" x14ac:dyDescent="0.25">
      <c r="D27">
        <v>8.125</v>
      </c>
      <c r="E27">
        <v>3.9015399999999998</v>
      </c>
      <c r="F27">
        <v>55.5062</v>
      </c>
      <c r="G27">
        <v>319.23399999999998</v>
      </c>
      <c r="I27">
        <v>11.5</v>
      </c>
      <c r="J27">
        <v>3.5666199999999999</v>
      </c>
      <c r="K27">
        <v>-79.905699999999996</v>
      </c>
      <c r="L27">
        <v>291.83</v>
      </c>
      <c r="N27">
        <v>11.5</v>
      </c>
      <c r="O27">
        <v>3.47309</v>
      </c>
      <c r="P27">
        <v>-81.113699999999994</v>
      </c>
      <c r="Q27">
        <v>284.17700000000002</v>
      </c>
    </row>
    <row r="28" spans="1:17" x14ac:dyDescent="0.25">
      <c r="D28">
        <v>8.3125</v>
      </c>
      <c r="E28">
        <v>3.8914900000000001</v>
      </c>
      <c r="F28">
        <v>56.863300000000002</v>
      </c>
      <c r="G28">
        <v>318.411</v>
      </c>
      <c r="I28">
        <v>12</v>
      </c>
      <c r="J28">
        <v>3.5059300000000002</v>
      </c>
      <c r="K28">
        <v>-83.735500000000002</v>
      </c>
      <c r="L28">
        <v>286.86400000000003</v>
      </c>
      <c r="N28">
        <v>12</v>
      </c>
      <c r="O28">
        <v>3.4202699999999999</v>
      </c>
      <c r="P28">
        <v>-84.964500000000001</v>
      </c>
      <c r="Q28">
        <v>279.85500000000002</v>
      </c>
    </row>
    <row r="29" spans="1:17" x14ac:dyDescent="0.25">
      <c r="D29">
        <v>8.59375</v>
      </c>
      <c r="E29">
        <v>3.87188</v>
      </c>
      <c r="F29">
        <v>58.915100000000002</v>
      </c>
      <c r="G29">
        <v>316.80700000000002</v>
      </c>
      <c r="I29">
        <v>12.5</v>
      </c>
      <c r="J29">
        <v>3.4432</v>
      </c>
      <c r="K29">
        <v>-87.590500000000006</v>
      </c>
      <c r="L29">
        <v>281.73099999999999</v>
      </c>
      <c r="N29">
        <v>12.5</v>
      </c>
      <c r="O29">
        <v>3.3639999999999999</v>
      </c>
      <c r="P29">
        <v>-88.847899999999996</v>
      </c>
      <c r="Q29">
        <v>275.25100000000003</v>
      </c>
    </row>
    <row r="30" spans="1:17" x14ac:dyDescent="0.25">
      <c r="D30">
        <v>9.0156200000000002</v>
      </c>
      <c r="E30">
        <v>3.8377500000000002</v>
      </c>
      <c r="F30">
        <v>62.016399999999997</v>
      </c>
      <c r="G30">
        <v>314.01400000000001</v>
      </c>
      <c r="I30">
        <v>13</v>
      </c>
      <c r="J30">
        <v>3.3767999999999998</v>
      </c>
      <c r="K30">
        <v>-91.490399999999994</v>
      </c>
      <c r="L30">
        <v>276.298</v>
      </c>
      <c r="N30">
        <v>13</v>
      </c>
      <c r="O30">
        <v>3.3061699999999998</v>
      </c>
      <c r="P30">
        <v>-92.746099999999998</v>
      </c>
      <c r="Q30">
        <v>270.51900000000001</v>
      </c>
    </row>
    <row r="31" spans="1:17" x14ac:dyDescent="0.25">
      <c r="D31">
        <v>9.5156200000000002</v>
      </c>
      <c r="E31">
        <v>3.7932399999999999</v>
      </c>
      <c r="F31">
        <v>65.711299999999994</v>
      </c>
      <c r="G31">
        <v>310.37200000000001</v>
      </c>
      <c r="I31">
        <v>13.5</v>
      </c>
      <c r="J31">
        <v>3.3059599999999998</v>
      </c>
      <c r="K31">
        <v>-95.407399999999996</v>
      </c>
      <c r="L31">
        <v>270.50200000000001</v>
      </c>
      <c r="N31">
        <v>13.5</v>
      </c>
      <c r="O31">
        <v>3.2442099999999998</v>
      </c>
      <c r="P31">
        <v>-96.696100000000001</v>
      </c>
      <c r="Q31">
        <v>265.44900000000001</v>
      </c>
    </row>
    <row r="32" spans="1:17" x14ac:dyDescent="0.25">
      <c r="D32">
        <v>10.015599999999999</v>
      </c>
      <c r="E32">
        <v>3.7428300000000001</v>
      </c>
      <c r="F32">
        <v>69.4512</v>
      </c>
      <c r="G32">
        <v>306.24700000000001</v>
      </c>
      <c r="I32">
        <v>14</v>
      </c>
      <c r="J32">
        <v>3.2292100000000001</v>
      </c>
      <c r="K32">
        <v>-99.316299999999998</v>
      </c>
      <c r="L32">
        <v>264.22199999999998</v>
      </c>
      <c r="N32">
        <v>14</v>
      </c>
      <c r="O32">
        <v>3.1753399999999998</v>
      </c>
      <c r="P32">
        <v>-100.66</v>
      </c>
      <c r="Q32">
        <v>259.81400000000002</v>
      </c>
    </row>
    <row r="33" spans="4:17" x14ac:dyDescent="0.25">
      <c r="D33">
        <v>10.515599999999999</v>
      </c>
      <c r="E33">
        <v>3.6874400000000001</v>
      </c>
      <c r="F33">
        <v>73.234499999999997</v>
      </c>
      <c r="G33">
        <v>301.71500000000003</v>
      </c>
      <c r="I33">
        <v>14.5</v>
      </c>
      <c r="J33">
        <v>3.1444200000000002</v>
      </c>
      <c r="K33">
        <v>-103.218</v>
      </c>
      <c r="L33">
        <v>257.28500000000003</v>
      </c>
      <c r="N33">
        <v>14.5</v>
      </c>
      <c r="O33">
        <v>3.0968</v>
      </c>
      <c r="P33">
        <v>-104.623</v>
      </c>
      <c r="Q33">
        <v>253.38800000000001</v>
      </c>
    </row>
    <row r="34" spans="4:17" x14ac:dyDescent="0.25">
      <c r="D34">
        <v>11.015599999999999</v>
      </c>
      <c r="E34">
        <v>3.62825</v>
      </c>
      <c r="F34">
        <v>77.055899999999994</v>
      </c>
      <c r="G34">
        <v>296.87299999999999</v>
      </c>
      <c r="I34">
        <v>15</v>
      </c>
      <c r="J34">
        <v>3.0495800000000002</v>
      </c>
      <c r="K34">
        <v>-107.131</v>
      </c>
      <c r="L34">
        <v>249.524</v>
      </c>
      <c r="N34">
        <v>15</v>
      </c>
      <c r="O34">
        <v>3.0062199999999999</v>
      </c>
      <c r="P34">
        <v>-108.604</v>
      </c>
      <c r="Q34">
        <v>245.976</v>
      </c>
    </row>
    <row r="35" spans="4:17" x14ac:dyDescent="0.25">
      <c r="D35">
        <v>11.515599999999999</v>
      </c>
      <c r="E35">
        <v>3.56732</v>
      </c>
      <c r="F35">
        <v>80.898499999999999</v>
      </c>
      <c r="G35">
        <v>291.887</v>
      </c>
      <c r="I35">
        <v>15.5</v>
      </c>
      <c r="J35">
        <v>2.9473199999999999</v>
      </c>
      <c r="K35">
        <v>-111.047</v>
      </c>
      <c r="L35">
        <v>241.15800000000002</v>
      </c>
      <c r="N35">
        <v>15.5</v>
      </c>
      <c r="O35">
        <v>2.90821</v>
      </c>
      <c r="P35">
        <v>-112.58499999999999</v>
      </c>
      <c r="Q35">
        <v>237.95699999999999</v>
      </c>
    </row>
    <row r="36" spans="4:17" x14ac:dyDescent="0.25">
      <c r="G36">
        <f>MAX(G4:G35)</f>
        <v>320.334</v>
      </c>
      <c r="L36">
        <f t="shared" ref="L36" si="0">MAX(L4:L35)</f>
        <v>316.113</v>
      </c>
      <c r="Q36">
        <f t="shared" ref="Q36" si="1">MAX(Q4:Q35)</f>
        <v>302.83800000000002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671F-3DF0-4C99-B133-DE1EF5E8AB1A}">
  <sheetPr codeName="Sheet7"/>
  <dimension ref="A1:I10"/>
  <sheetViews>
    <sheetView tabSelected="1" workbookViewId="0">
      <selection activeCell="J17" sqref="J17"/>
    </sheetView>
  </sheetViews>
  <sheetFormatPr defaultRowHeight="15" x14ac:dyDescent="0.25"/>
  <cols>
    <col min="1" max="1" width="9.140625" style="1"/>
    <col min="4" max="4" width="10.140625" bestFit="1" customWidth="1"/>
    <col min="5" max="7" width="10.140625" customWidth="1"/>
  </cols>
  <sheetData>
    <row r="1" spans="1:9" ht="18.75" customHeight="1" x14ac:dyDescent="0.35">
      <c r="A1" s="1">
        <v>63</v>
      </c>
      <c r="B1" s="2"/>
      <c r="C1" s="6" t="s">
        <v>18</v>
      </c>
      <c r="D1" s="8" t="s">
        <v>19</v>
      </c>
      <c r="E1" s="8"/>
      <c r="F1" s="8"/>
      <c r="G1" s="9" t="s">
        <v>20</v>
      </c>
    </row>
    <row r="2" spans="1:9" ht="15.75" x14ac:dyDescent="0.25">
      <c r="B2" s="2"/>
      <c r="C2" s="6"/>
      <c r="D2" s="3" t="s">
        <v>29</v>
      </c>
      <c r="E2" s="3" t="s">
        <v>30</v>
      </c>
      <c r="F2" s="3" t="s">
        <v>31</v>
      </c>
      <c r="G2" s="3" t="s">
        <v>29</v>
      </c>
      <c r="H2" s="10" t="s">
        <v>30</v>
      </c>
      <c r="I2" s="10" t="s">
        <v>31</v>
      </c>
    </row>
    <row r="3" spans="1:9" x14ac:dyDescent="0.25">
      <c r="A3" s="1">
        <v>33</v>
      </c>
      <c r="B3" s="2" t="s">
        <v>21</v>
      </c>
      <c r="C3" s="2">
        <v>268.48</v>
      </c>
      <c r="D3" s="7">
        <f>'C1E10'!$G$80</f>
        <v>269.036</v>
      </c>
      <c r="E3" s="7">
        <f>'C1E10'!L104</f>
        <v>273.75700000000001</v>
      </c>
      <c r="F3" s="7">
        <f>'C1E10'!Q80</f>
        <v>270.95600000000002</v>
      </c>
      <c r="G3" s="7">
        <f>D3/$C3</f>
        <v>1.0020709177592371</v>
      </c>
      <c r="H3">
        <f>E3/C3</f>
        <v>1.019655095351609</v>
      </c>
      <c r="I3">
        <f>F3/C3</f>
        <v>1.0092222884386175</v>
      </c>
    </row>
    <row r="4" spans="1:9" x14ac:dyDescent="0.25">
      <c r="A4" s="1">
        <v>34</v>
      </c>
      <c r="B4" t="s">
        <v>22</v>
      </c>
      <c r="C4" s="2">
        <v>202.03</v>
      </c>
      <c r="D4" s="7">
        <f>'C1E30'!G43</f>
        <v>202.93800000000002</v>
      </c>
      <c r="E4" s="7">
        <f>'C1E30'!L105</f>
        <v>204.72900000000001</v>
      </c>
      <c r="F4" s="7">
        <f>'C1E30'!Q80</f>
        <v>203.001</v>
      </c>
      <c r="G4" s="7">
        <f>D4/$C4</f>
        <v>1.0044943820224719</v>
      </c>
      <c r="H4">
        <f t="shared" ref="H4:H8" si="0">E4/C4</f>
        <v>1.0133594020689998</v>
      </c>
      <c r="I4">
        <f t="shared" ref="I4:I8" si="1">F4/C4</f>
        <v>1.0048062168984804</v>
      </c>
    </row>
    <row r="5" spans="1:9" x14ac:dyDescent="0.25">
      <c r="B5" t="s">
        <v>28</v>
      </c>
      <c r="C5" s="2">
        <v>134.85</v>
      </c>
      <c r="D5" s="7">
        <f>'C1E60'!G80</f>
        <v>155.136</v>
      </c>
      <c r="E5" s="7">
        <f>'C1E60'!L80</f>
        <v>155.91499999999999</v>
      </c>
      <c r="F5" s="7">
        <f>'C1E60'!Q80</f>
        <v>154.732</v>
      </c>
      <c r="G5" s="7">
        <f>D5/$C5</f>
        <v>1.1504338153503892</v>
      </c>
      <c r="H5">
        <f t="shared" si="0"/>
        <v>1.1562106043752318</v>
      </c>
      <c r="I5">
        <f t="shared" si="1"/>
        <v>1.1474378939562477</v>
      </c>
    </row>
    <row r="6" spans="1:9" x14ac:dyDescent="0.25">
      <c r="A6" s="1">
        <v>36</v>
      </c>
      <c r="B6" t="s">
        <v>23</v>
      </c>
      <c r="C6" s="2">
        <v>743.99</v>
      </c>
      <c r="D6" s="7">
        <f>'C2E10'!G50</f>
        <v>731.54600000000005</v>
      </c>
      <c r="E6" s="7">
        <f>'C2E10'!L50</f>
        <v>731.70699999999999</v>
      </c>
      <c r="F6" s="7">
        <f>'C2E10'!Q50</f>
        <v>687.43700000000001</v>
      </c>
      <c r="G6" s="7">
        <f>D6/$C6</f>
        <v>0.98327396873613893</v>
      </c>
      <c r="H6">
        <f t="shared" si="0"/>
        <v>0.98349036949421365</v>
      </c>
      <c r="I6">
        <f t="shared" si="1"/>
        <v>0.9239868815441068</v>
      </c>
    </row>
    <row r="7" spans="1:9" x14ac:dyDescent="0.25">
      <c r="A7" s="1">
        <v>37</v>
      </c>
      <c r="B7" s="2" t="s">
        <v>24</v>
      </c>
      <c r="C7" s="2">
        <v>543.96</v>
      </c>
      <c r="D7" s="7">
        <f>'C2E30'!G42</f>
        <v>527.572</v>
      </c>
      <c r="E7" s="7">
        <f>'C2E30'!L42</f>
        <v>522.38800000000003</v>
      </c>
      <c r="F7" s="7">
        <f>'C2E30'!Q42</f>
        <v>495.15500000000003</v>
      </c>
      <c r="G7" s="7">
        <f>D7/$C7</f>
        <v>0.96987278476358552</v>
      </c>
      <c r="H7">
        <f t="shared" si="0"/>
        <v>0.96034267225531289</v>
      </c>
      <c r="I7">
        <f t="shared" si="1"/>
        <v>0.91027832928891828</v>
      </c>
    </row>
    <row r="8" spans="1:9" x14ac:dyDescent="0.25">
      <c r="A8" s="1">
        <v>38</v>
      </c>
      <c r="B8" s="2" t="s">
        <v>25</v>
      </c>
      <c r="C8" s="2">
        <v>327.29000000000002</v>
      </c>
      <c r="D8" s="7">
        <f>'C2E80'!G36</f>
        <v>320.334</v>
      </c>
      <c r="E8" s="7">
        <f>'C2E80'!L36</f>
        <v>316.113</v>
      </c>
      <c r="F8" s="7">
        <f>'C2E80'!Q36</f>
        <v>302.83800000000002</v>
      </c>
      <c r="G8" s="7">
        <f>D8/$C8</f>
        <v>0.97874667725870024</v>
      </c>
      <c r="H8">
        <f t="shared" si="0"/>
        <v>0.965849857924165</v>
      </c>
      <c r="I8">
        <f t="shared" si="1"/>
        <v>0.92528949860979559</v>
      </c>
    </row>
    <row r="9" spans="1:9" x14ac:dyDescent="0.25">
      <c r="B9" s="2" t="s">
        <v>10</v>
      </c>
      <c r="C9" s="2"/>
      <c r="D9" s="4"/>
      <c r="E9" s="4"/>
      <c r="F9" s="4"/>
      <c r="G9" s="7">
        <f>AVERAGE(G6:G8)</f>
        <v>0.97729781025280815</v>
      </c>
      <c r="H9" s="7">
        <f>AVERAGE(H6:H8)</f>
        <v>0.96989429989123055</v>
      </c>
      <c r="I9" s="7">
        <f t="shared" ref="H9:I9" si="2">AVERAGE(I6:I8)</f>
        <v>0.91985156981427352</v>
      </c>
    </row>
    <row r="10" spans="1:9" x14ac:dyDescent="0.25">
      <c r="B10" s="2" t="s">
        <v>11</v>
      </c>
      <c r="C10" s="2"/>
      <c r="D10" s="5"/>
      <c r="E10" s="5"/>
      <c r="F10" s="5"/>
      <c r="G10" s="5">
        <f>_xlfn.STDEV.P(G6:G8)/G9</f>
        <v>5.6954066372783109E-3</v>
      </c>
      <c r="H10" s="5">
        <f t="shared" ref="H10:I10" si="3">_xlfn.STDEV.P(H6:H8)/H9</f>
        <v>1.0179735158694102E-2</v>
      </c>
      <c r="I10" s="5">
        <f t="shared" si="3"/>
        <v>7.3817993438324127E-3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5ACA-77FA-4746-8AD4-8307313D848E}">
  <sheetPr codeName="Sheet8"/>
  <dimension ref="A1:E10"/>
  <sheetViews>
    <sheetView workbookViewId="0">
      <selection activeCell="C5" sqref="C5"/>
    </sheetView>
  </sheetViews>
  <sheetFormatPr defaultRowHeight="15" x14ac:dyDescent="0.25"/>
  <cols>
    <col min="1" max="1" width="9.140625" style="1"/>
    <col min="4" max="4" width="10.140625" bestFit="1" customWidth="1"/>
    <col min="5" max="5" width="10.140625" customWidth="1"/>
  </cols>
  <sheetData>
    <row r="1" spans="1:5" ht="18.75" customHeight="1" x14ac:dyDescent="0.35">
      <c r="A1" s="1">
        <v>63</v>
      </c>
      <c r="B1" s="2"/>
      <c r="C1" s="6" t="s">
        <v>18</v>
      </c>
      <c r="D1" s="8" t="s">
        <v>19</v>
      </c>
      <c r="E1" s="8" t="s">
        <v>20</v>
      </c>
    </row>
    <row r="2" spans="1:5" ht="15.75" x14ac:dyDescent="0.25">
      <c r="B2" s="2"/>
      <c r="C2" s="6" t="s">
        <v>29</v>
      </c>
      <c r="D2" s="3" t="s">
        <v>30</v>
      </c>
      <c r="E2" s="3" t="s">
        <v>31</v>
      </c>
    </row>
    <row r="3" spans="1:5" x14ac:dyDescent="0.25">
      <c r="A3" s="1">
        <v>33</v>
      </c>
      <c r="B3" s="2" t="s">
        <v>21</v>
      </c>
      <c r="C3" s="2">
        <v>268.48</v>
      </c>
      <c r="D3" s="7">
        <f>'C1E10'!$G$80</f>
        <v>269.036</v>
      </c>
      <c r="E3" s="7">
        <f t="shared" ref="E3:E8" si="0">D3/$C3</f>
        <v>1.0020709177592371</v>
      </c>
    </row>
    <row r="4" spans="1:5" x14ac:dyDescent="0.25">
      <c r="A4" s="1">
        <v>34</v>
      </c>
      <c r="B4" t="s">
        <v>22</v>
      </c>
      <c r="C4" s="2">
        <v>202.03</v>
      </c>
      <c r="D4" s="7">
        <f>'C1E30'!G43</f>
        <v>202.93800000000002</v>
      </c>
      <c r="E4" s="7">
        <f t="shared" si="0"/>
        <v>1.0044943820224719</v>
      </c>
    </row>
    <row r="5" spans="1:5" x14ac:dyDescent="0.25">
      <c r="A5" s="1">
        <v>35</v>
      </c>
      <c r="B5" t="s">
        <v>28</v>
      </c>
      <c r="C5" s="2">
        <v>134.85</v>
      </c>
      <c r="D5" s="7">
        <f>'C1E60'!G80</f>
        <v>155.136</v>
      </c>
      <c r="E5" s="7">
        <f t="shared" si="0"/>
        <v>1.1504338153503892</v>
      </c>
    </row>
    <row r="6" spans="1:5" x14ac:dyDescent="0.25">
      <c r="A6" s="1">
        <v>36</v>
      </c>
      <c r="B6" t="s">
        <v>23</v>
      </c>
      <c r="C6" s="2">
        <v>743.99</v>
      </c>
      <c r="D6" s="7">
        <f>'C2E10'!G50</f>
        <v>731.54600000000005</v>
      </c>
      <c r="E6" s="7">
        <f t="shared" si="0"/>
        <v>0.98327396873613893</v>
      </c>
    </row>
    <row r="7" spans="1:5" x14ac:dyDescent="0.25">
      <c r="A7" s="1">
        <v>37</v>
      </c>
      <c r="B7" s="2" t="s">
        <v>24</v>
      </c>
      <c r="C7" s="2">
        <v>543.96</v>
      </c>
      <c r="D7" s="7">
        <f>'C2E30'!G42</f>
        <v>527.572</v>
      </c>
      <c r="E7" s="7">
        <f t="shared" si="0"/>
        <v>0.96987278476358552</v>
      </c>
    </row>
    <row r="8" spans="1:5" x14ac:dyDescent="0.25">
      <c r="A8" s="1">
        <v>38</v>
      </c>
      <c r="B8" s="2" t="s">
        <v>25</v>
      </c>
      <c r="C8" s="2">
        <v>327.29000000000002</v>
      </c>
      <c r="D8" s="7">
        <f>'C2E80'!G36</f>
        <v>320.334</v>
      </c>
      <c r="E8" s="7">
        <f t="shared" si="0"/>
        <v>0.97874667725870024</v>
      </c>
    </row>
    <row r="9" spans="1:5" x14ac:dyDescent="0.25">
      <c r="B9" s="2" t="s">
        <v>10</v>
      </c>
      <c r="C9" s="2"/>
      <c r="D9" s="4"/>
      <c r="E9" s="7">
        <f>AVERAGE(E6:E8)</f>
        <v>0.97729781025280815</v>
      </c>
    </row>
    <row r="10" spans="1:5" x14ac:dyDescent="0.25">
      <c r="B10" s="2" t="s">
        <v>11</v>
      </c>
      <c r="C10" s="2"/>
      <c r="D10" s="5"/>
      <c r="E10" s="5">
        <f>_xlfn.STDEV.P(E6:E8)/E9</f>
        <v>5.6954066372783109E-3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C1E10</vt:lpstr>
      <vt:lpstr>C1E30</vt:lpstr>
      <vt:lpstr>C1E60</vt:lpstr>
      <vt:lpstr>C2E10</vt:lpstr>
      <vt:lpstr>C2E30</vt:lpstr>
      <vt:lpstr>C2E80</vt:lpstr>
      <vt:lpstr>All</vt:lpstr>
      <vt:lpstr>All (2)</vt:lpstr>
    </vt:vector>
  </TitlesOfParts>
  <Company>YourCompany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2026-01-12T02:18:31Z</dcterms:created>
  <dcterms:modified xsi:type="dcterms:W3CDTF">2026-07-24T04:19:00Z</dcterms:modified>
</cp:coreProperties>
</file>