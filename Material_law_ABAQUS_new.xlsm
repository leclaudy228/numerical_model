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Kokou\Kokou_Case_study_1_Steel_Column\Numerical model_validation\"/>
    </mc:Choice>
  </mc:AlternateContent>
  <xr:revisionPtr revIDLastSave="0" documentId="13_ncr:1_{80193363-87E9-4A81-9CB5-7F9EC8489FFE}" xr6:coauthVersionLast="47" xr6:coauthVersionMax="47" xr10:uidLastSave="{00000000-0000-0000-0000-000000000000}"/>
  <bookViews>
    <workbookView xWindow="-120" yWindow="-120" windowWidth="29040" windowHeight="15720" tabRatio="854" activeTab="1" xr2:uid="{00000000-000D-0000-FFFF-FFFF00000000}"/>
  </bookViews>
  <sheets>
    <sheet name="Information" sheetId="3" r:id="rId1"/>
    <sheet name="Abaqus_input Q355" sheetId="17" r:id="rId2"/>
    <sheet name="Abaqus_input" sheetId="16" r:id="rId3"/>
    <sheet name="Abaqus_input Q460" sheetId="12" r:id="rId4"/>
    <sheet name="Abaqus_input Q690" sheetId="14" r:id="rId5"/>
    <sheet name="Abaqus_input V 5 345" sheetId="9" r:id="rId6"/>
    <sheet name="Abaqus_input V 5 235" sheetId="10" r:id="rId7"/>
    <sheet name="Abaqus_input V 2" sheetId="2" r:id="rId8"/>
    <sheet name="Abaqus_input V 1" sheetId="6" r:id="rId9"/>
    <sheet name="Validation 2" sheetId="4" r:id="rId10"/>
    <sheet name="Validation 1" sheetId="5" r:id="rId11"/>
    <sheet name="Validation 5" sheetId="8" r:id="rId12"/>
    <sheet name="parametric_law" sheetId="13" r:id="rId13"/>
    <sheet name="Validation 4" sheetId="11" r:id="rId14"/>
  </sheets>
  <calcPr calcId="191029" iterate="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16" l="1"/>
  <c r="H7" i="16"/>
  <c r="E7" i="16"/>
  <c r="J1" i="16"/>
  <c r="E8" i="16"/>
  <c r="F8" i="16"/>
  <c r="I8" i="16"/>
  <c r="E9" i="16"/>
  <c r="F9" i="16"/>
  <c r="I9" i="16"/>
  <c r="E10" i="16"/>
  <c r="F10" i="16"/>
  <c r="I10" i="16"/>
  <c r="F7" i="16"/>
  <c r="I7" i="16"/>
  <c r="D8" i="16"/>
  <c r="H8" i="16"/>
  <c r="D9" i="16"/>
  <c r="H9" i="16"/>
  <c r="D10" i="16"/>
  <c r="H10" i="16"/>
  <c r="F8" i="17"/>
  <c r="F9" i="17"/>
  <c r="F10" i="17"/>
  <c r="F7" i="17"/>
  <c r="J1" i="17"/>
  <c r="E7" i="17"/>
  <c r="E8" i="17"/>
  <c r="E9" i="17"/>
  <c r="E10" i="17"/>
  <c r="D7" i="17"/>
  <c r="D8" i="17"/>
  <c r="D9" i="17"/>
  <c r="D10" i="17"/>
  <c r="I10" i="17"/>
  <c r="H10" i="17"/>
  <c r="I9" i="17"/>
  <c r="H9" i="17"/>
  <c r="I8" i="17"/>
  <c r="H8" i="17"/>
  <c r="I7" i="17"/>
  <c r="H7" i="17"/>
  <c r="E6" i="17"/>
  <c r="D6" i="17"/>
  <c r="H7" i="12"/>
  <c r="I10" i="12"/>
  <c r="H10" i="12"/>
  <c r="I9" i="12"/>
  <c r="H9" i="12"/>
  <c r="I8" i="12"/>
  <c r="H8" i="12"/>
  <c r="I7" i="12"/>
  <c r="E6" i="16"/>
  <c r="D6" i="16"/>
  <c r="E19" i="14"/>
  <c r="E7" i="14"/>
  <c r="J1" i="14"/>
  <c r="F19" i="14"/>
  <c r="I19" i="14"/>
  <c r="D19" i="14"/>
  <c r="H19" i="14"/>
  <c r="E18" i="14"/>
  <c r="F18" i="14"/>
  <c r="I18" i="14"/>
  <c r="D18" i="14"/>
  <c r="H18" i="14"/>
  <c r="E17" i="14"/>
  <c r="F17" i="14"/>
  <c r="I17" i="14"/>
  <c r="D17" i="14"/>
  <c r="H17" i="14"/>
  <c r="E16" i="14"/>
  <c r="F16" i="14"/>
  <c r="I16" i="14"/>
  <c r="D16" i="14"/>
  <c r="H16" i="14"/>
  <c r="E15" i="14"/>
  <c r="F15" i="14"/>
  <c r="I15" i="14"/>
  <c r="D15" i="14"/>
  <c r="H15" i="14"/>
  <c r="E14" i="14"/>
  <c r="F14" i="14"/>
  <c r="I14" i="14"/>
  <c r="D14" i="14"/>
  <c r="H14" i="14"/>
  <c r="E13" i="14"/>
  <c r="F13" i="14"/>
  <c r="I13" i="14"/>
  <c r="D13" i="14"/>
  <c r="H13" i="14"/>
  <c r="E12" i="14"/>
  <c r="F12" i="14"/>
  <c r="I12" i="14"/>
  <c r="D12" i="14"/>
  <c r="H12" i="14"/>
  <c r="E11" i="14"/>
  <c r="F11" i="14"/>
  <c r="I11" i="14"/>
  <c r="D11" i="14"/>
  <c r="H11" i="14"/>
  <c r="E10" i="14"/>
  <c r="F10" i="14"/>
  <c r="I10" i="14"/>
  <c r="D10" i="14"/>
  <c r="H10" i="14"/>
  <c r="E9" i="14"/>
  <c r="F9" i="14"/>
  <c r="I9" i="14"/>
  <c r="D9" i="14"/>
  <c r="H9" i="14"/>
  <c r="E8" i="14"/>
  <c r="F8" i="14"/>
  <c r="I8" i="14"/>
  <c r="D8" i="14"/>
  <c r="H8" i="14"/>
  <c r="F7" i="14"/>
  <c r="I7" i="14"/>
  <c r="D7" i="14"/>
  <c r="H7" i="14"/>
  <c r="E6" i="14"/>
  <c r="D6" i="14"/>
  <c r="E19" i="13"/>
  <c r="E7" i="13"/>
  <c r="J1" i="13"/>
  <c r="F19" i="13"/>
  <c r="I19" i="13"/>
  <c r="D19" i="13"/>
  <c r="H19" i="13"/>
  <c r="E18" i="13"/>
  <c r="F18" i="13"/>
  <c r="I18" i="13"/>
  <c r="D18" i="13"/>
  <c r="H18" i="13"/>
  <c r="E17" i="13"/>
  <c r="F17" i="13"/>
  <c r="I17" i="13"/>
  <c r="D17" i="13"/>
  <c r="H17" i="13"/>
  <c r="E16" i="13"/>
  <c r="F16" i="13"/>
  <c r="I16" i="13"/>
  <c r="D16" i="13"/>
  <c r="H16" i="13"/>
  <c r="E15" i="13"/>
  <c r="F15" i="13"/>
  <c r="I15" i="13"/>
  <c r="D15" i="13"/>
  <c r="H15" i="13"/>
  <c r="E14" i="13"/>
  <c r="F14" i="13"/>
  <c r="I14" i="13"/>
  <c r="D14" i="13"/>
  <c r="H14" i="13"/>
  <c r="E13" i="13"/>
  <c r="F13" i="13"/>
  <c r="I13" i="13"/>
  <c r="D13" i="13"/>
  <c r="H13" i="13"/>
  <c r="E12" i="13"/>
  <c r="F12" i="13"/>
  <c r="I12" i="13"/>
  <c r="D12" i="13"/>
  <c r="H12" i="13"/>
  <c r="E11" i="13"/>
  <c r="F11" i="13"/>
  <c r="I11" i="13"/>
  <c r="D11" i="13"/>
  <c r="H11" i="13"/>
  <c r="E10" i="13"/>
  <c r="F10" i="13"/>
  <c r="I10" i="13"/>
  <c r="D10" i="13"/>
  <c r="H10" i="13"/>
  <c r="E9" i="13"/>
  <c r="F9" i="13"/>
  <c r="I9" i="13"/>
  <c r="D9" i="13"/>
  <c r="H9" i="13"/>
  <c r="E8" i="13"/>
  <c r="F8" i="13"/>
  <c r="I8" i="13"/>
  <c r="D8" i="13"/>
  <c r="H8" i="13"/>
  <c r="F7" i="13"/>
  <c r="I7" i="13"/>
  <c r="D7" i="13"/>
  <c r="H7" i="13"/>
  <c r="E6" i="13"/>
  <c r="D6" i="13"/>
  <c r="E6" i="12"/>
  <c r="D6" i="12"/>
  <c r="L1" i="10"/>
  <c r="R22" i="8"/>
  <c r="Q22" i="8"/>
  <c r="D21" i="10"/>
  <c r="E21" i="10"/>
  <c r="E20" i="10"/>
  <c r="D20" i="10"/>
  <c r="E19" i="10"/>
  <c r="D19" i="10"/>
  <c r="E18" i="10"/>
  <c r="D18" i="10"/>
  <c r="E17" i="10"/>
  <c r="D17" i="10"/>
  <c r="E16" i="10"/>
  <c r="D16" i="10"/>
  <c r="E15" i="10"/>
  <c r="D15" i="10"/>
  <c r="E14" i="10"/>
  <c r="D14" i="10"/>
  <c r="E13" i="10"/>
  <c r="D13" i="10"/>
  <c r="E12" i="10"/>
  <c r="D12" i="10"/>
  <c r="E11" i="10"/>
  <c r="D11" i="10"/>
  <c r="E10" i="10"/>
  <c r="D10" i="10"/>
  <c r="E9" i="10"/>
  <c r="D9" i="10"/>
  <c r="E8" i="10"/>
  <c r="D8" i="10"/>
  <c r="E7" i="10"/>
  <c r="D7" i="10"/>
  <c r="E6" i="10"/>
  <c r="D6" i="10"/>
  <c r="J1" i="10"/>
  <c r="F21" i="10"/>
  <c r="C20" i="8"/>
  <c r="C21" i="8"/>
  <c r="C22" i="8"/>
  <c r="C23" i="8"/>
  <c r="C24" i="8"/>
  <c r="C25" i="8"/>
  <c r="C26" i="8"/>
  <c r="C27" i="8"/>
  <c r="C28" i="8"/>
  <c r="C29" i="8"/>
  <c r="C30" i="8"/>
  <c r="C31" i="8"/>
  <c r="C32" i="8"/>
  <c r="C33" i="8"/>
  <c r="C34" i="8"/>
  <c r="C19" i="8"/>
  <c r="C3" i="8"/>
  <c r="C4" i="8"/>
  <c r="C5" i="8"/>
  <c r="C6" i="8"/>
  <c r="C7" i="8"/>
  <c r="C8" i="8"/>
  <c r="C9" i="8"/>
  <c r="C10" i="8"/>
  <c r="C11" i="8"/>
  <c r="C12" i="8"/>
  <c r="C13" i="8"/>
  <c r="C14" i="8"/>
  <c r="C15" i="8"/>
  <c r="C16" i="8"/>
  <c r="C2" i="8"/>
  <c r="E20" i="9"/>
  <c r="D20" i="9"/>
  <c r="E19" i="9"/>
  <c r="D19" i="9"/>
  <c r="E18" i="9"/>
  <c r="D18" i="9"/>
  <c r="E17" i="9"/>
  <c r="D17" i="9"/>
  <c r="E16" i="9"/>
  <c r="D16" i="9"/>
  <c r="E15" i="9"/>
  <c r="D15" i="9"/>
  <c r="E14" i="9"/>
  <c r="D14" i="9"/>
  <c r="E13" i="9"/>
  <c r="D13" i="9"/>
  <c r="E12" i="9"/>
  <c r="D12" i="9"/>
  <c r="E11" i="9"/>
  <c r="D11" i="9"/>
  <c r="E10" i="9"/>
  <c r="D10" i="9"/>
  <c r="E9" i="9"/>
  <c r="D9" i="9"/>
  <c r="E8" i="9"/>
  <c r="D8" i="9"/>
  <c r="E7" i="9"/>
  <c r="D7" i="9"/>
  <c r="E6" i="9"/>
  <c r="D6" i="9"/>
  <c r="J1" i="9"/>
  <c r="R10" i="8"/>
  <c r="Q10" i="8"/>
  <c r="I8" i="6"/>
  <c r="I9" i="6"/>
  <c r="I10" i="6"/>
  <c r="I11" i="6"/>
  <c r="I12" i="6"/>
  <c r="I13" i="6"/>
  <c r="I14" i="6"/>
  <c r="I15" i="6"/>
  <c r="I16" i="6"/>
  <c r="I17" i="6"/>
  <c r="I18" i="6"/>
  <c r="I19" i="6"/>
  <c r="I20" i="6"/>
  <c r="I7" i="6"/>
  <c r="H8" i="6"/>
  <c r="H9" i="6"/>
  <c r="H10" i="6"/>
  <c r="H11" i="6"/>
  <c r="H12" i="6"/>
  <c r="H13" i="6"/>
  <c r="H14" i="6"/>
  <c r="H15" i="6"/>
  <c r="H16" i="6"/>
  <c r="H17" i="6"/>
  <c r="H18" i="6"/>
  <c r="H19" i="6"/>
  <c r="H20" i="6"/>
  <c r="H7" i="6"/>
  <c r="D21" i="2"/>
  <c r="E21" i="2"/>
  <c r="F21" i="2"/>
  <c r="D22" i="2"/>
  <c r="E22" i="2"/>
  <c r="F22" i="2"/>
  <c r="D23" i="2"/>
  <c r="E23" i="2"/>
  <c r="F23" i="2"/>
  <c r="D24" i="2"/>
  <c r="E24" i="2"/>
  <c r="F24" i="2"/>
  <c r="D25" i="2"/>
  <c r="E25" i="2"/>
  <c r="F25" i="2"/>
  <c r="D26" i="2"/>
  <c r="E26" i="2"/>
  <c r="F26" i="2"/>
  <c r="D27" i="2"/>
  <c r="E27" i="2"/>
  <c r="F27" i="2"/>
  <c r="D28" i="2"/>
  <c r="E28" i="2"/>
  <c r="F28" i="2"/>
  <c r="D29" i="2"/>
  <c r="E29" i="2"/>
  <c r="F29" i="2"/>
  <c r="D30" i="2"/>
  <c r="E30" i="2"/>
  <c r="F30" i="2"/>
  <c r="D31" i="2"/>
  <c r="E31" i="2"/>
  <c r="F31" i="2"/>
  <c r="E20" i="6"/>
  <c r="D20" i="6"/>
  <c r="E19" i="6"/>
  <c r="D19" i="6"/>
  <c r="E18" i="6"/>
  <c r="D18" i="6"/>
  <c r="E17" i="6"/>
  <c r="D17" i="6"/>
  <c r="E16" i="6"/>
  <c r="D16" i="6"/>
  <c r="E15" i="6"/>
  <c r="D15" i="6"/>
  <c r="E14" i="6"/>
  <c r="D14" i="6"/>
  <c r="E13" i="6"/>
  <c r="D13" i="6"/>
  <c r="E12" i="6"/>
  <c r="D12" i="6"/>
  <c r="E11" i="6"/>
  <c r="D11" i="6"/>
  <c r="E10" i="6"/>
  <c r="D10" i="6"/>
  <c r="E9" i="6"/>
  <c r="D9" i="6"/>
  <c r="E8" i="6"/>
  <c r="D8" i="6"/>
  <c r="E7" i="6"/>
  <c r="J1" i="6"/>
  <c r="D7" i="6"/>
  <c r="E6" i="6"/>
  <c r="D6" i="6"/>
  <c r="F7" i="10"/>
  <c r="F8" i="10"/>
  <c r="F9" i="10"/>
  <c r="F10" i="10"/>
  <c r="F11" i="10"/>
  <c r="F12" i="10"/>
  <c r="F13" i="10"/>
  <c r="F14" i="10"/>
  <c r="F15" i="10"/>
  <c r="F16" i="10"/>
  <c r="F17" i="10"/>
  <c r="F18" i="10"/>
  <c r="F19" i="10"/>
  <c r="F20" i="10"/>
  <c r="F7" i="9"/>
  <c r="F8" i="9"/>
  <c r="F9" i="9"/>
  <c r="F10" i="9"/>
  <c r="F11" i="9"/>
  <c r="F12" i="9"/>
  <c r="F13" i="9"/>
  <c r="F14" i="9"/>
  <c r="F15" i="9"/>
  <c r="F16" i="9"/>
  <c r="F17" i="9"/>
  <c r="F18" i="9"/>
  <c r="F19" i="9"/>
  <c r="F20" i="9"/>
  <c r="F10" i="6"/>
  <c r="F14" i="6"/>
  <c r="F17" i="6"/>
  <c r="F8" i="6"/>
  <c r="F20" i="6"/>
  <c r="F9" i="6"/>
  <c r="F16" i="6"/>
  <c r="F18" i="6"/>
  <c r="F13" i="6"/>
  <c r="F12" i="6"/>
  <c r="F7" i="6"/>
  <c r="F11" i="6"/>
  <c r="F15" i="6"/>
  <c r="F19" i="6"/>
  <c r="F8" i="2"/>
  <c r="F9" i="2"/>
  <c r="F10" i="2"/>
  <c r="F11" i="2"/>
  <c r="F12" i="2"/>
  <c r="F13" i="2"/>
  <c r="F14" i="2"/>
  <c r="F15" i="2"/>
  <c r="F16" i="2"/>
  <c r="F17" i="2"/>
  <c r="F18" i="2"/>
  <c r="F19" i="2"/>
  <c r="F20" i="2"/>
  <c r="F7" i="2"/>
  <c r="J1" i="2"/>
  <c r="E7" i="2"/>
  <c r="E20" i="2"/>
  <c r="E19" i="2"/>
  <c r="E18" i="2"/>
  <c r="E17" i="2"/>
  <c r="E16" i="2"/>
  <c r="E15" i="2"/>
  <c r="E14" i="2"/>
  <c r="E13" i="2"/>
  <c r="E12" i="2"/>
  <c r="E11" i="2"/>
  <c r="E10" i="2"/>
  <c r="E9" i="2"/>
  <c r="E8" i="2"/>
  <c r="E6" i="2"/>
  <c r="D7" i="2"/>
  <c r="D8" i="2"/>
  <c r="D9" i="2"/>
  <c r="D10" i="2"/>
  <c r="D11" i="2"/>
  <c r="D12" i="2"/>
  <c r="D13" i="2"/>
  <c r="D14" i="2"/>
  <c r="D15" i="2"/>
  <c r="D16" i="2"/>
  <c r="D17" i="2"/>
  <c r="D18" i="2"/>
  <c r="D19" i="2"/>
  <c r="D20" i="2"/>
  <c r="D6" i="2"/>
</calcChain>
</file>

<file path=xl/sharedStrings.xml><?xml version="1.0" encoding="utf-8"?>
<sst xmlns="http://schemas.openxmlformats.org/spreadsheetml/2006/main" count="149" uniqueCount="20">
  <si>
    <t>#</t>
  </si>
  <si>
    <t>σ (Mpa)</t>
  </si>
  <si>
    <t>ε (-)</t>
  </si>
  <si>
    <t>Engineering</t>
  </si>
  <si>
    <t>True</t>
  </si>
  <si>
    <t>Log plastic</t>
  </si>
  <si>
    <t>Young's modulus (MPa) :</t>
  </si>
  <si>
    <t>Information on how to use this Excel file</t>
  </si>
  <si>
    <t>Then, the user must click the «Get .dat files» to generate the .dat files needed to create the input files.</t>
  </si>
  <si>
    <r>
      <t xml:space="preserve">The purpose of this Excel file is to produce the .dat files related to the material law needed to create the input files for Abaqus. The user must ONLY write in </t>
    </r>
    <r>
      <rPr>
        <i/>
        <sz val="11"/>
        <color theme="4"/>
        <rFont val="Calibri"/>
        <family val="2"/>
        <scheme val="minor"/>
      </rPr>
      <t>blue cells</t>
    </r>
    <r>
      <rPr>
        <i/>
        <sz val="11"/>
        <color theme="1"/>
        <rFont val="Calibri"/>
        <family val="2"/>
        <scheme val="minor"/>
      </rPr>
      <t>.</t>
    </r>
  </si>
  <si>
    <t xml:space="preserve">The first step is for the user to copy the points of the engineering material he or she wishes to use.  The user must also specify the elastic modulus. The user must then drag down or delate the formulas in the subsequent columns depending on the number of points used in the material law.  </t>
  </si>
  <si>
    <t>True plastic</t>
  </si>
  <si>
    <r>
      <t>F</t>
    </r>
    <r>
      <rPr>
        <vertAlign val="subscript"/>
        <sz val="11"/>
        <color theme="1"/>
        <rFont val="Calibri"/>
        <family val="2"/>
        <scheme val="minor"/>
      </rPr>
      <t>y</t>
    </r>
    <r>
      <rPr>
        <sz val="11"/>
        <color theme="1"/>
        <rFont val="Calibri"/>
        <family val="2"/>
        <scheme val="minor"/>
      </rPr>
      <t xml:space="preserve"> (Mpa)</t>
    </r>
  </si>
  <si>
    <r>
      <t xml:space="preserve">True </t>
    </r>
    <r>
      <rPr>
        <sz val="11"/>
        <color theme="1"/>
        <rFont val="Aptos Narrow"/>
        <family val="2"/>
      </rPr>
      <t>ε</t>
    </r>
    <r>
      <rPr>
        <vertAlign val="subscript"/>
        <sz val="11"/>
        <color theme="1"/>
        <rFont val="Calibri"/>
        <family val="2"/>
        <scheme val="minor"/>
      </rPr>
      <t>y</t>
    </r>
  </si>
  <si>
    <t>fy</t>
  </si>
  <si>
    <t>E</t>
  </si>
  <si>
    <t>eps</t>
  </si>
  <si>
    <t>sig</t>
  </si>
  <si>
    <t>Fy (Mpa)</t>
  </si>
  <si>
    <t>True εy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</si>
</sst>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
    <numFmt numFmtId="166" formatCode="0.000"/>
  </numFmts>
  <fonts count="8" x14ac:knownFonts="1">
    <font>
      <sz val="11"/>
      <color theme="1"/>
      <name val="Calibri"/>
      <family val="2"/>
      <scheme val="minor"/>
    </font>
    <font>
      <sz val="11"/>
      <color theme="1"/>
      <name val="Calibri"/>
      <family val="2"/>
    </font>
    <font>
      <i/>
      <sz val="11"/>
      <color theme="1"/>
      <name val="Calibri"/>
      <family val="2"/>
      <scheme val="minor"/>
    </font>
    <font>
      <b/>
      <sz val="12"/>
      <color theme="1"/>
      <name val="Calibri"/>
      <family val="2"/>
      <scheme val="minor"/>
    </font>
    <font>
      <i/>
      <sz val="11"/>
      <color theme="4"/>
      <name val="Calibri"/>
      <family val="2"/>
      <scheme val="minor"/>
    </font>
    <font>
      <vertAlign val="subscript"/>
      <sz val="11"/>
      <color theme="1"/>
      <name val="Calibri"/>
      <family val="2"/>
      <scheme val="minor"/>
    </font>
    <font>
      <sz val="11"/>
      <color theme="1"/>
      <name val="Aptos Narrow"/>
      <family val="2"/>
    </font>
    <font>
      <sz val="16"/>
      <color theme="1"/>
      <name val="Calibri"/>
      <family val="2"/>
      <scheme val="minor"/>
    </font>
  </fonts>
  <fills count="5">
    <fill>
      <patternFill patternType="none"/>
    </fill>
    <fill>
      <patternFill patternType="gray125"/>
    </fill>
    <fill>
      <patternFill patternType="solid">
        <fgColor theme="4" tint="0.59999389629810485"/>
        <bgColor indexed="64"/>
      </patternFill>
    </fill>
    <fill>
      <patternFill patternType="solid">
        <fgColor theme="1"/>
        <bgColor indexed="64"/>
      </patternFill>
    </fill>
    <fill>
      <patternFill patternType="solid">
        <fgColor theme="4"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21">
    <xf numFmtId="0" fontId="0" fillId="0" borderId="0" xfId="0"/>
    <xf numFmtId="0" fontId="1" fillId="0" borderId="0" xfId="0" applyFont="1"/>
    <xf numFmtId="0" fontId="0" fillId="2" borderId="1" xfId="0" applyFill="1" applyBorder="1"/>
    <xf numFmtId="0" fontId="0" fillId="0" borderId="1" xfId="0" applyBorder="1"/>
    <xf numFmtId="164" fontId="0" fillId="0" borderId="1" xfId="0" applyNumberFormat="1" applyBorder="1"/>
    <xf numFmtId="0" fontId="0" fillId="3" borderId="1" xfId="0" applyFill="1" applyBorder="1"/>
    <xf numFmtId="0" fontId="0" fillId="0" borderId="0" xfId="0" applyAlignment="1">
      <alignment wrapText="1"/>
    </xf>
    <xf numFmtId="165" fontId="0" fillId="0" borderId="1" xfId="0" applyNumberFormat="1" applyBorder="1"/>
    <xf numFmtId="166" fontId="0" fillId="0" borderId="1" xfId="0" applyNumberFormat="1" applyBorder="1"/>
    <xf numFmtId="0" fontId="1" fillId="0" borderId="1" xfId="0" applyFont="1" applyBorder="1"/>
    <xf numFmtId="0" fontId="7" fillId="4" borderId="2" xfId="0" applyFont="1" applyFill="1" applyBorder="1" applyAlignment="1">
      <alignment horizontal="center"/>
    </xf>
    <xf numFmtId="0" fontId="7" fillId="4" borderId="1" xfId="0" applyFont="1" applyFill="1" applyBorder="1" applyAlignment="1">
      <alignment horizontal="center"/>
    </xf>
    <xf numFmtId="0" fontId="7" fillId="4" borderId="3" xfId="0" applyFont="1" applyFill="1" applyBorder="1" applyAlignment="1">
      <alignment horizontal="center"/>
    </xf>
    <xf numFmtId="166" fontId="0" fillId="0" borderId="0" xfId="0" applyNumberFormat="1"/>
    <xf numFmtId="165" fontId="0" fillId="0" borderId="0" xfId="0" applyNumberFormat="1"/>
    <xf numFmtId="11" fontId="0" fillId="0" borderId="0" xfId="0" applyNumberFormat="1"/>
    <xf numFmtId="164" fontId="0" fillId="2" borderId="1" xfId="0" applyNumberFormat="1" applyFill="1" applyBorder="1"/>
    <xf numFmtId="2" fontId="0" fillId="0" borderId="1" xfId="0" applyNumberFormat="1" applyBorder="1"/>
    <xf numFmtId="0" fontId="0" fillId="0" borderId="0" xfId="0" applyAlignment="1">
      <alignment horizontal="center"/>
    </xf>
    <xf numFmtId="0" fontId="2" fillId="0" borderId="0" xfId="0" applyFont="1" applyAlignment="1">
      <alignment horizontal="left"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Q355'!$I$6:$I$105</c:f>
              <c:numCache>
                <c:formatCode>0.00000</c:formatCode>
                <c:ptCount val="100"/>
                <c:pt idx="1">
                  <c:v>0</c:v>
                </c:pt>
                <c:pt idx="2">
                  <c:v>1.5643308516400525E-2</c:v>
                </c:pt>
                <c:pt idx="3">
                  <c:v>7.2145159012581839E-2</c:v>
                </c:pt>
                <c:pt idx="4">
                  <c:v>0.15132863289760887</c:v>
                </c:pt>
              </c:numCache>
            </c:numRef>
          </c:xVal>
          <c:yVal>
            <c:numRef>
              <c:f>'Abaqus_input Q355'!$H$6:$H$105</c:f>
              <c:numCache>
                <c:formatCode>0.000</c:formatCode>
                <c:ptCount val="100"/>
                <c:pt idx="1">
                  <c:v>355.58807746150256</c:v>
                </c:pt>
                <c:pt idx="2">
                  <c:v>361.19438775510201</c:v>
                </c:pt>
                <c:pt idx="3">
                  <c:v>527.53</c:v>
                </c:pt>
                <c:pt idx="4">
                  <c:v>571</c:v>
                </c:pt>
              </c:numCache>
            </c:numRef>
          </c:yVal>
          <c:smooth val="0"/>
          <c:extLst>
            <c:ext xmlns:c16="http://schemas.microsoft.com/office/drawing/2014/chart" uri="{C3380CC4-5D6E-409C-BE32-E72D297353CC}">
              <c16:uniqueId val="{00000000-A19D-45DC-B0D9-CC9BF5828CDE}"/>
            </c:ext>
          </c:extLst>
        </c:ser>
        <c:dLbls>
          <c:showLegendKey val="0"/>
          <c:showVal val="0"/>
          <c:showCatName val="0"/>
          <c:showSerName val="0"/>
          <c:showPercent val="0"/>
          <c:showBubbleSize val="0"/>
        </c:dLbls>
        <c:axId val="566237903"/>
        <c:axId val="576210943"/>
      </c:scatterChart>
      <c:valAx>
        <c:axId val="56623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0943"/>
        <c:crosses val="autoZero"/>
        <c:crossBetween val="midCat"/>
      </c:valAx>
      <c:valAx>
        <c:axId val="57621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379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Q355'!$C$6:$C$31</c:f>
              <c:numCache>
                <c:formatCode>General</c:formatCode>
                <c:ptCount val="26"/>
                <c:pt idx="0">
                  <c:v>0</c:v>
                </c:pt>
                <c:pt idx="1">
                  <c:v>1.6565562295846944E-3</c:v>
                </c:pt>
                <c:pt idx="2">
                  <c:v>1.7448979591836729E-2</c:v>
                </c:pt>
                <c:pt idx="3">
                  <c:v>7.6591836734693872E-2</c:v>
                </c:pt>
                <c:pt idx="4">
                  <c:v>0.16530612244897958</c:v>
                </c:pt>
              </c:numCache>
            </c:numRef>
          </c:xVal>
          <c:yVal>
            <c:numRef>
              <c:f>'Abaqus_input Q355'!$B$6:$B$31</c:f>
              <c:numCache>
                <c:formatCode>General</c:formatCode>
                <c:ptCount val="26"/>
                <c:pt idx="0">
                  <c:v>0</c:v>
                </c:pt>
                <c:pt idx="1">
                  <c:v>355</c:v>
                </c:pt>
                <c:pt idx="2">
                  <c:v>355</c:v>
                </c:pt>
                <c:pt idx="3">
                  <c:v>490</c:v>
                </c:pt>
                <c:pt idx="4">
                  <c:v>490</c:v>
                </c:pt>
              </c:numCache>
            </c:numRef>
          </c:yVal>
          <c:smooth val="0"/>
          <c:extLst>
            <c:ext xmlns:c16="http://schemas.microsoft.com/office/drawing/2014/chart" uri="{C3380CC4-5D6E-409C-BE32-E72D297353CC}">
              <c16:uniqueId val="{00000000-C90A-4BA2-946D-5533C243ED5C}"/>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'Abaqus_input Q355'!$E$6:$E$31</c:f>
              <c:numCache>
                <c:formatCode>General</c:formatCode>
                <c:ptCount val="26"/>
                <c:pt idx="0">
                  <c:v>0</c:v>
                </c:pt>
                <c:pt idx="1">
                  <c:v>1.6551856537290433E-3</c:v>
                </c:pt>
                <c:pt idx="2">
                  <c:v>1.7298494170129568E-2</c:v>
                </c:pt>
                <c:pt idx="3">
                  <c:v>7.3800344666310885E-2</c:v>
                </c:pt>
                <c:pt idx="4">
                  <c:v>0.15298381855133791</c:v>
                </c:pt>
              </c:numCache>
            </c:numRef>
          </c:xVal>
          <c:yVal>
            <c:numRef>
              <c:f>'Abaqus_input Q355'!$D$6:$D$31</c:f>
              <c:numCache>
                <c:formatCode>General</c:formatCode>
                <c:ptCount val="26"/>
                <c:pt idx="0">
                  <c:v>0</c:v>
                </c:pt>
                <c:pt idx="1">
                  <c:v>355.58807746150256</c:v>
                </c:pt>
                <c:pt idx="2">
                  <c:v>361.19438775510201</c:v>
                </c:pt>
                <c:pt idx="3">
                  <c:v>527.53</c:v>
                </c:pt>
                <c:pt idx="4">
                  <c:v>571</c:v>
                </c:pt>
              </c:numCache>
            </c:numRef>
          </c:yVal>
          <c:smooth val="0"/>
          <c:extLst>
            <c:ext xmlns:c16="http://schemas.microsoft.com/office/drawing/2014/chart" uri="{C3380CC4-5D6E-409C-BE32-E72D297353CC}">
              <c16:uniqueId val="{00000001-C90A-4BA2-946D-5533C243ED5C}"/>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Abaqus_input!$I$6:$I$105</c:f>
              <c:numCache>
                <c:formatCode>0.00000</c:formatCode>
                <c:ptCount val="100"/>
                <c:pt idx="1">
                  <c:v>0</c:v>
                </c:pt>
                <c:pt idx="2">
                  <c:v>1.5643308516400525E-2</c:v>
                </c:pt>
                <c:pt idx="3">
                  <c:v>7.2145159012581839E-2</c:v>
                </c:pt>
                <c:pt idx="4">
                  <c:v>0.15132863289760887</c:v>
                </c:pt>
              </c:numCache>
            </c:numRef>
          </c:xVal>
          <c:yVal>
            <c:numRef>
              <c:f>Abaqus_input!$H$6:$H$105</c:f>
              <c:numCache>
                <c:formatCode>0.000</c:formatCode>
                <c:ptCount val="100"/>
                <c:pt idx="1">
                  <c:v>355.58807746150256</c:v>
                </c:pt>
                <c:pt idx="2">
                  <c:v>361.19438775510201</c:v>
                </c:pt>
                <c:pt idx="3">
                  <c:v>527.53</c:v>
                </c:pt>
                <c:pt idx="4">
                  <c:v>571</c:v>
                </c:pt>
              </c:numCache>
            </c:numRef>
          </c:yVal>
          <c:smooth val="0"/>
          <c:extLst>
            <c:ext xmlns:c16="http://schemas.microsoft.com/office/drawing/2014/chart" uri="{C3380CC4-5D6E-409C-BE32-E72D297353CC}">
              <c16:uniqueId val="{00000000-E178-4B85-A460-B59E70E5EE45}"/>
            </c:ext>
          </c:extLst>
        </c:ser>
        <c:dLbls>
          <c:showLegendKey val="0"/>
          <c:showVal val="0"/>
          <c:showCatName val="0"/>
          <c:showSerName val="0"/>
          <c:showPercent val="0"/>
          <c:showBubbleSize val="0"/>
        </c:dLbls>
        <c:axId val="566237903"/>
        <c:axId val="576210943"/>
      </c:scatterChart>
      <c:valAx>
        <c:axId val="56623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0943"/>
        <c:crosses val="autoZero"/>
        <c:crossBetween val="midCat"/>
      </c:valAx>
      <c:valAx>
        <c:axId val="57621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379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Abaqus_input!$C$6:$C$31</c:f>
              <c:numCache>
                <c:formatCode>0.0000</c:formatCode>
                <c:ptCount val="26"/>
                <c:pt idx="0" formatCode="General">
                  <c:v>0</c:v>
                </c:pt>
                <c:pt idx="1">
                  <c:v>1.6565562295846944E-3</c:v>
                </c:pt>
                <c:pt idx="2" formatCode="General">
                  <c:v>1.7448979591836729E-2</c:v>
                </c:pt>
                <c:pt idx="3" formatCode="General">
                  <c:v>7.6591836734693872E-2</c:v>
                </c:pt>
                <c:pt idx="4" formatCode="General">
                  <c:v>0.16530612244897958</c:v>
                </c:pt>
              </c:numCache>
            </c:numRef>
          </c:xVal>
          <c:yVal>
            <c:numRef>
              <c:f>Abaqus_input!$B$6:$B$31</c:f>
              <c:numCache>
                <c:formatCode>General</c:formatCode>
                <c:ptCount val="26"/>
                <c:pt idx="0">
                  <c:v>0</c:v>
                </c:pt>
                <c:pt idx="1">
                  <c:v>355</c:v>
                </c:pt>
                <c:pt idx="2">
                  <c:v>355</c:v>
                </c:pt>
                <c:pt idx="3">
                  <c:v>490</c:v>
                </c:pt>
                <c:pt idx="4">
                  <c:v>490</c:v>
                </c:pt>
              </c:numCache>
            </c:numRef>
          </c:yVal>
          <c:smooth val="0"/>
          <c:extLst>
            <c:ext xmlns:c16="http://schemas.microsoft.com/office/drawing/2014/chart" uri="{C3380CC4-5D6E-409C-BE32-E72D297353CC}">
              <c16:uniqueId val="{00000000-8F2A-4F9F-B2A4-49C44D84AF0C}"/>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Abaqus_input!$E$6:$E$31</c:f>
              <c:numCache>
                <c:formatCode>General</c:formatCode>
                <c:ptCount val="26"/>
                <c:pt idx="0">
                  <c:v>0</c:v>
                </c:pt>
                <c:pt idx="1">
                  <c:v>1.6551856537290433E-3</c:v>
                </c:pt>
                <c:pt idx="2">
                  <c:v>1.7298494170129568E-2</c:v>
                </c:pt>
                <c:pt idx="3">
                  <c:v>7.3800344666310885E-2</c:v>
                </c:pt>
                <c:pt idx="4">
                  <c:v>0.15298381855133791</c:v>
                </c:pt>
              </c:numCache>
            </c:numRef>
          </c:xVal>
          <c:yVal>
            <c:numRef>
              <c:f>Abaqus_input!$D$6:$D$31</c:f>
              <c:numCache>
                <c:formatCode>0.00</c:formatCode>
                <c:ptCount val="26"/>
                <c:pt idx="0" formatCode="General">
                  <c:v>0</c:v>
                </c:pt>
                <c:pt idx="1">
                  <c:v>355.58807746150256</c:v>
                </c:pt>
                <c:pt idx="2" formatCode="General">
                  <c:v>361.19438775510201</c:v>
                </c:pt>
                <c:pt idx="3" formatCode="General">
                  <c:v>527.53</c:v>
                </c:pt>
                <c:pt idx="4" formatCode="General">
                  <c:v>571</c:v>
                </c:pt>
              </c:numCache>
            </c:numRef>
          </c:yVal>
          <c:smooth val="0"/>
          <c:extLst>
            <c:ext xmlns:c16="http://schemas.microsoft.com/office/drawing/2014/chart" uri="{C3380CC4-5D6E-409C-BE32-E72D297353CC}">
              <c16:uniqueId val="{00000001-8F2A-4F9F-B2A4-49C44D84AF0C}"/>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Q460'!$I$6:$I$105</c:f>
              <c:numCache>
                <c:formatCode>0.00000</c:formatCode>
                <c:ptCount val="100"/>
                <c:pt idx="1">
                  <c:v>0</c:v>
                </c:pt>
                <c:pt idx="2">
                  <c:v>2.6170727391274941E-2</c:v>
                </c:pt>
                <c:pt idx="3">
                  <c:v>3.8177590194999146E-2</c:v>
                </c:pt>
                <c:pt idx="4">
                  <c:v>5.5921827995178322E-2</c:v>
                </c:pt>
              </c:numCache>
            </c:numRef>
          </c:xVal>
          <c:yVal>
            <c:numRef>
              <c:f>'Abaqus_input Q460'!$H$6:$H$105</c:f>
              <c:numCache>
                <c:formatCode>0.000</c:formatCode>
                <c:ptCount val="100"/>
                <c:pt idx="1">
                  <c:v>504.75330725571621</c:v>
                </c:pt>
                <c:pt idx="2">
                  <c:v>518.13744081666664</c:v>
                </c:pt>
                <c:pt idx="3">
                  <c:v>624.81420000000003</c:v>
                </c:pt>
                <c:pt idx="4">
                  <c:v>636</c:v>
                </c:pt>
              </c:numCache>
            </c:numRef>
          </c:yVal>
          <c:smooth val="0"/>
          <c:extLst>
            <c:ext xmlns:c16="http://schemas.microsoft.com/office/drawing/2014/chart" uri="{C3380CC4-5D6E-409C-BE32-E72D297353CC}">
              <c16:uniqueId val="{00000000-0B76-420D-8631-6A16D60D588C}"/>
            </c:ext>
          </c:extLst>
        </c:ser>
        <c:dLbls>
          <c:showLegendKey val="0"/>
          <c:showVal val="0"/>
          <c:showCatName val="0"/>
          <c:showSerName val="0"/>
          <c:showPercent val="0"/>
          <c:showBubbleSize val="0"/>
        </c:dLbls>
        <c:axId val="566237903"/>
        <c:axId val="576210943"/>
      </c:scatterChart>
      <c:valAx>
        <c:axId val="56623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0943"/>
        <c:crosses val="autoZero"/>
        <c:crossBetween val="midCat"/>
      </c:valAx>
      <c:valAx>
        <c:axId val="57621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379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Q460'!$C$6:$C$31</c:f>
              <c:numCache>
                <c:formatCode>General</c:formatCode>
                <c:ptCount val="26"/>
                <c:pt idx="0">
                  <c:v>0</c:v>
                </c:pt>
                <c:pt idx="1">
                  <c:v>2.3498366775548296E-3</c:v>
                </c:pt>
                <c:pt idx="2">
                  <c:v>2.8928333333333327E-2</c:v>
                </c:pt>
                <c:pt idx="3">
                  <c:v>4.1356999999999998E-2</c:v>
                </c:pt>
                <c:pt idx="4">
                  <c:v>0.06</c:v>
                </c:pt>
              </c:numCache>
            </c:numRef>
          </c:xVal>
          <c:yVal>
            <c:numRef>
              <c:f>'Abaqus_input Q460'!$B$6:$B$31</c:f>
              <c:numCache>
                <c:formatCode>General</c:formatCode>
                <c:ptCount val="26"/>
                <c:pt idx="0">
                  <c:v>0</c:v>
                </c:pt>
                <c:pt idx="1">
                  <c:v>503.57</c:v>
                </c:pt>
                <c:pt idx="2">
                  <c:v>503.57</c:v>
                </c:pt>
                <c:pt idx="3">
                  <c:v>600</c:v>
                </c:pt>
                <c:pt idx="4">
                  <c:v>600</c:v>
                </c:pt>
              </c:numCache>
            </c:numRef>
          </c:yVal>
          <c:smooth val="0"/>
          <c:extLst>
            <c:ext xmlns:c16="http://schemas.microsoft.com/office/drawing/2014/chart" uri="{C3380CC4-5D6E-409C-BE32-E72D297353CC}">
              <c16:uniqueId val="{00000000-861E-4FD6-B1F0-2ECAA1608C1A}"/>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'Abaqus_input Q460'!$E$6:$E$31</c:f>
              <c:numCache>
                <c:formatCode>General</c:formatCode>
                <c:ptCount val="26"/>
                <c:pt idx="0">
                  <c:v>0</c:v>
                </c:pt>
                <c:pt idx="1">
                  <c:v>2.3470801287975044E-3</c:v>
                </c:pt>
                <c:pt idx="2">
                  <c:v>2.8517807520072446E-2</c:v>
                </c:pt>
                <c:pt idx="3">
                  <c:v>4.0524670323796648E-2</c:v>
                </c:pt>
                <c:pt idx="4">
                  <c:v>5.8268908123975824E-2</c:v>
                </c:pt>
              </c:numCache>
            </c:numRef>
          </c:xVal>
          <c:yVal>
            <c:numRef>
              <c:f>'Abaqus_input Q460'!$D$6:$D$31</c:f>
              <c:numCache>
                <c:formatCode>General</c:formatCode>
                <c:ptCount val="26"/>
                <c:pt idx="0">
                  <c:v>0</c:v>
                </c:pt>
                <c:pt idx="1">
                  <c:v>504.75330725571621</c:v>
                </c:pt>
                <c:pt idx="2">
                  <c:v>518.13744081666664</c:v>
                </c:pt>
                <c:pt idx="3">
                  <c:v>624.81420000000003</c:v>
                </c:pt>
                <c:pt idx="4">
                  <c:v>636</c:v>
                </c:pt>
              </c:numCache>
            </c:numRef>
          </c:yVal>
          <c:smooth val="0"/>
          <c:extLst>
            <c:ext xmlns:c16="http://schemas.microsoft.com/office/drawing/2014/chart" uri="{C3380CC4-5D6E-409C-BE32-E72D297353CC}">
              <c16:uniqueId val="{00000001-861E-4FD6-B1F0-2ECAA1608C1A}"/>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Q690'!$I$6:$I$105</c:f>
              <c:numCache>
                <c:formatCode>0.00000</c:formatCode>
                <c:ptCount val="100"/>
                <c:pt idx="1">
                  <c:v>0</c:v>
                </c:pt>
                <c:pt idx="2">
                  <c:v>6.73398099671266E-3</c:v>
                </c:pt>
                <c:pt idx="3">
                  <c:v>1.4267512314325385E-2</c:v>
                </c:pt>
                <c:pt idx="4">
                  <c:v>2.3907143365717372E-2</c:v>
                </c:pt>
                <c:pt idx="5">
                  <c:v>3.6775516073755184E-2</c:v>
                </c:pt>
                <c:pt idx="6">
                  <c:v>4.7843474548407025E-2</c:v>
                </c:pt>
                <c:pt idx="7">
                  <c:v>6.0411007504652586E-2</c:v>
                </c:pt>
                <c:pt idx="8">
                  <c:v>7.6016542581909458E-2</c:v>
                </c:pt>
                <c:pt idx="9">
                  <c:v>9.2951870252477795E-2</c:v>
                </c:pt>
                <c:pt idx="10">
                  <c:v>0.11004684049390691</c:v>
                </c:pt>
                <c:pt idx="11">
                  <c:v>0.12382095005648815</c:v>
                </c:pt>
                <c:pt idx="12">
                  <c:v>0.1367685556355332</c:v>
                </c:pt>
                <c:pt idx="13">
                  <c:v>0.14232855303532915</c:v>
                </c:pt>
              </c:numCache>
            </c:numRef>
          </c:xVal>
          <c:yVal>
            <c:numRef>
              <c:f>'Abaqus_input Q690'!$H$6:$H$105</c:f>
              <c:numCache>
                <c:formatCode>0.000</c:formatCode>
                <c:ptCount val="100"/>
                <c:pt idx="1">
                  <c:v>697.97820361311813</c:v>
                </c:pt>
                <c:pt idx="2">
                  <c:v>704.87373028358877</c:v>
                </c:pt>
                <c:pt idx="3">
                  <c:v>724.54539207397625</c:v>
                </c:pt>
                <c:pt idx="4">
                  <c:v>743.17784669633011</c:v>
                </c:pt>
                <c:pt idx="5">
                  <c:v>766.78680500167536</c:v>
                </c:pt>
                <c:pt idx="6">
                  <c:v>784.27691631725418</c:v>
                </c:pt>
                <c:pt idx="7">
                  <c:v>802.53161865892093</c:v>
                </c:pt>
                <c:pt idx="8">
                  <c:v>821.37160153471609</c:v>
                </c:pt>
                <c:pt idx="9">
                  <c:v>837.87666407976462</c:v>
                </c:pt>
                <c:pt idx="10">
                  <c:v>849.34604447740639</c:v>
                </c:pt>
                <c:pt idx="11">
                  <c:v>852.49991546976378</c:v>
                </c:pt>
                <c:pt idx="12">
                  <c:v>847.249543673056</c:v>
                </c:pt>
                <c:pt idx="13">
                  <c:v>830.47141335555784</c:v>
                </c:pt>
              </c:numCache>
            </c:numRef>
          </c:yVal>
          <c:smooth val="0"/>
          <c:extLst>
            <c:ext xmlns:c16="http://schemas.microsoft.com/office/drawing/2014/chart" uri="{C3380CC4-5D6E-409C-BE32-E72D297353CC}">
              <c16:uniqueId val="{00000000-9913-492A-9E69-3E947DA89D6E}"/>
            </c:ext>
          </c:extLst>
        </c:ser>
        <c:dLbls>
          <c:showLegendKey val="0"/>
          <c:showVal val="0"/>
          <c:showCatName val="0"/>
          <c:showSerName val="0"/>
          <c:showPercent val="0"/>
          <c:showBubbleSize val="0"/>
        </c:dLbls>
        <c:axId val="566237903"/>
        <c:axId val="576210943"/>
      </c:scatterChart>
      <c:valAx>
        <c:axId val="56623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0943"/>
        <c:crosses val="autoZero"/>
        <c:crossBetween val="midCat"/>
      </c:valAx>
      <c:valAx>
        <c:axId val="57621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379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Q690'!$C$6:$C$31</c:f>
              <c:numCache>
                <c:formatCode>General</c:formatCode>
                <c:ptCount val="26"/>
                <c:pt idx="0">
                  <c:v>0</c:v>
                </c:pt>
                <c:pt idx="1">
                  <c:v>4.8475231826263796E-3</c:v>
                </c:pt>
                <c:pt idx="2">
                  <c:v>1.16369816941335E-2</c:v>
                </c:pt>
                <c:pt idx="3">
                  <c:v>1.9286960073031299E-2</c:v>
                </c:pt>
                <c:pt idx="4">
                  <c:v>2.9160020179695399E-2</c:v>
                </c:pt>
                <c:pt idx="5">
                  <c:v>4.2489213472349102E-2</c:v>
                </c:pt>
                <c:pt idx="6">
                  <c:v>5.4091529332628799E-2</c:v>
                </c:pt>
                <c:pt idx="7">
                  <c:v>6.7422452313458003E-2</c:v>
                </c:pt>
                <c:pt idx="8">
                  <c:v>8.4210805746408504E-2</c:v>
                </c:pt>
                <c:pt idx="9">
                  <c:v>0.102728631143996</c:v>
                </c:pt>
                <c:pt idx="10">
                  <c:v>0.12174179599288899</c:v>
                </c:pt>
                <c:pt idx="11">
                  <c:v>0.13729969249988</c:v>
                </c:pt>
                <c:pt idx="12">
                  <c:v>0.15212074184403901</c:v>
                </c:pt>
                <c:pt idx="13">
                  <c:v>0.15854437130639501</c:v>
                </c:pt>
              </c:numCache>
            </c:numRef>
          </c:xVal>
          <c:yVal>
            <c:numRef>
              <c:f>'Abaqus_input Q690'!$B$6:$B$31</c:f>
              <c:numCache>
                <c:formatCode>General</c:formatCode>
                <c:ptCount val="26"/>
                <c:pt idx="0">
                  <c:v>0</c:v>
                </c:pt>
                <c:pt idx="1">
                  <c:v>694.61106039494496</c:v>
                </c:pt>
                <c:pt idx="2">
                  <c:v>696.76548311151601</c:v>
                </c:pt>
                <c:pt idx="3">
                  <c:v>710.83553548263103</c:v>
                </c:pt>
                <c:pt idx="4">
                  <c:v>722.120789890933</c:v>
                </c:pt>
                <c:pt idx="5">
                  <c:v>735.534521693172</c:v>
                </c:pt>
                <c:pt idx="6">
                  <c:v>744.03113438716196</c:v>
                </c:pt>
                <c:pt idx="7">
                  <c:v>751.84067650026395</c:v>
                </c:pt>
                <c:pt idx="8">
                  <c:v>757.57555374045103</c:v>
                </c:pt>
                <c:pt idx="9">
                  <c:v>759.82126555518198</c:v>
                </c:pt>
                <c:pt idx="10">
                  <c:v>757.16715514342002</c:v>
                </c:pt>
                <c:pt idx="11">
                  <c:v>749.582472493154</c:v>
                </c:pt>
                <c:pt idx="12">
                  <c:v>735.38259741507795</c:v>
                </c:pt>
                <c:pt idx="13">
                  <c:v>716.823139384039</c:v>
                </c:pt>
              </c:numCache>
            </c:numRef>
          </c:yVal>
          <c:smooth val="0"/>
          <c:extLst>
            <c:ext xmlns:c16="http://schemas.microsoft.com/office/drawing/2014/chart" uri="{C3380CC4-5D6E-409C-BE32-E72D297353CC}">
              <c16:uniqueId val="{00000000-1226-4039-A3C0-DE7E0F6C45D2}"/>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'Abaqus_input Q690'!$E$6:$E$31</c:f>
              <c:numCache>
                <c:formatCode>General</c:formatCode>
                <c:ptCount val="26"/>
                <c:pt idx="0">
                  <c:v>0</c:v>
                </c:pt>
                <c:pt idx="1">
                  <c:v>4.8358117744223402E-3</c:v>
                </c:pt>
                <c:pt idx="2">
                  <c:v>1.1569792771135E-2</c:v>
                </c:pt>
                <c:pt idx="3">
                  <c:v>1.9103324088747726E-2</c:v>
                </c:pt>
                <c:pt idx="4">
                  <c:v>2.8742955140139713E-2</c:v>
                </c:pt>
                <c:pt idx="5">
                  <c:v>4.1611327848177525E-2</c:v>
                </c:pt>
                <c:pt idx="6">
                  <c:v>5.2679286322829366E-2</c:v>
                </c:pt>
                <c:pt idx="7">
                  <c:v>6.5246819279074927E-2</c:v>
                </c:pt>
                <c:pt idx="8">
                  <c:v>8.0852354356331799E-2</c:v>
                </c:pt>
                <c:pt idx="9">
                  <c:v>9.7787682026900136E-2</c:v>
                </c:pt>
                <c:pt idx="10">
                  <c:v>0.11488265226832925</c:v>
                </c:pt>
                <c:pt idx="11">
                  <c:v>0.12865676183091049</c:v>
                </c:pt>
                <c:pt idx="12">
                  <c:v>0.14160436740995552</c:v>
                </c:pt>
                <c:pt idx="13">
                  <c:v>0.14716436480975148</c:v>
                </c:pt>
              </c:numCache>
            </c:numRef>
          </c:xVal>
          <c:yVal>
            <c:numRef>
              <c:f>'Abaqus_input Q690'!$D$6:$D$31</c:f>
              <c:numCache>
                <c:formatCode>General</c:formatCode>
                <c:ptCount val="26"/>
                <c:pt idx="0">
                  <c:v>0</c:v>
                </c:pt>
                <c:pt idx="1">
                  <c:v>697.97820361311813</c:v>
                </c:pt>
                <c:pt idx="2">
                  <c:v>704.87373028358877</c:v>
                </c:pt>
                <c:pt idx="3">
                  <c:v>724.54539207397625</c:v>
                </c:pt>
                <c:pt idx="4">
                  <c:v>743.17784669633011</c:v>
                </c:pt>
                <c:pt idx="5">
                  <c:v>766.78680500167536</c:v>
                </c:pt>
                <c:pt idx="6">
                  <c:v>784.27691631725418</c:v>
                </c:pt>
                <c:pt idx="7">
                  <c:v>802.53161865892093</c:v>
                </c:pt>
                <c:pt idx="8">
                  <c:v>821.37160153471609</c:v>
                </c:pt>
                <c:pt idx="9">
                  <c:v>837.87666407976462</c:v>
                </c:pt>
                <c:pt idx="10">
                  <c:v>849.34604447740639</c:v>
                </c:pt>
                <c:pt idx="11">
                  <c:v>852.49991546976378</c:v>
                </c:pt>
                <c:pt idx="12">
                  <c:v>847.249543673056</c:v>
                </c:pt>
                <c:pt idx="13">
                  <c:v>830.47141335555784</c:v>
                </c:pt>
              </c:numCache>
            </c:numRef>
          </c:yVal>
          <c:smooth val="0"/>
          <c:extLst>
            <c:ext xmlns:c16="http://schemas.microsoft.com/office/drawing/2014/chart" uri="{C3380CC4-5D6E-409C-BE32-E72D297353CC}">
              <c16:uniqueId val="{00000001-1226-4039-A3C0-DE7E0F6C45D2}"/>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V 5 345'!$C$6:$C$31</c:f>
              <c:numCache>
                <c:formatCode>General</c:formatCode>
                <c:ptCount val="26"/>
                <c:pt idx="0">
                  <c:v>0</c:v>
                </c:pt>
                <c:pt idx="1">
                  <c:v>4.4185161609229398E-3</c:v>
                </c:pt>
                <c:pt idx="2">
                  <c:v>1.6819521840094099E-2</c:v>
                </c:pt>
                <c:pt idx="3">
                  <c:v>2.2517540709025098E-2</c:v>
                </c:pt>
                <c:pt idx="4">
                  <c:v>3.03417815599407E-2</c:v>
                </c:pt>
                <c:pt idx="5">
                  <c:v>4.2062140162089298E-2</c:v>
                </c:pt>
                <c:pt idx="6">
                  <c:v>5.3068779493817698E-2</c:v>
                </c:pt>
                <c:pt idx="7">
                  <c:v>7.0092424334021991E-2</c:v>
                </c:pt>
                <c:pt idx="8">
                  <c:v>9.2782082694708196E-2</c:v>
                </c:pt>
                <c:pt idx="9">
                  <c:v>0.114749487025387</c:v>
                </c:pt>
                <c:pt idx="10">
                  <c:v>0.14096400109529397</c:v>
                </c:pt>
                <c:pt idx="11">
                  <c:v>0.16009039732861999</c:v>
                </c:pt>
                <c:pt idx="12">
                  <c:v>0.18452754771464</c:v>
                </c:pt>
                <c:pt idx="13">
                  <c:v>0.20294129152249399</c:v>
                </c:pt>
                <c:pt idx="14">
                  <c:v>0.22206021984118199</c:v>
                </c:pt>
              </c:numCache>
            </c:numRef>
          </c:xVal>
          <c:yVal>
            <c:numRef>
              <c:f>'Abaqus_input V 5 345'!$B$6:$B$31</c:f>
              <c:numCache>
                <c:formatCode>General</c:formatCode>
                <c:ptCount val="26"/>
                <c:pt idx="0">
                  <c:v>0</c:v>
                </c:pt>
                <c:pt idx="1">
                  <c:v>390.071940911014</c:v>
                </c:pt>
                <c:pt idx="2">
                  <c:v>393.72375116908398</c:v>
                </c:pt>
                <c:pt idx="3">
                  <c:v>419.94573315362902</c:v>
                </c:pt>
                <c:pt idx="4">
                  <c:v>447.07773387908298</c:v>
                </c:pt>
                <c:pt idx="5">
                  <c:v>474.22146989896902</c:v>
                </c:pt>
                <c:pt idx="6">
                  <c:v>496.84498387285998</c:v>
                </c:pt>
                <c:pt idx="7">
                  <c:v>515.87216352599296</c:v>
                </c:pt>
                <c:pt idx="8">
                  <c:v>534.01279502707905</c:v>
                </c:pt>
                <c:pt idx="9">
                  <c:v>540.40426311241299</c:v>
                </c:pt>
                <c:pt idx="10">
                  <c:v>544.09768032346699</c:v>
                </c:pt>
                <c:pt idx="11">
                  <c:v>544.15528995067598</c:v>
                </c:pt>
                <c:pt idx="12">
                  <c:v>542.42166690966997</c:v>
                </c:pt>
                <c:pt idx="13">
                  <c:v>538.86267216210297</c:v>
                </c:pt>
                <c:pt idx="14">
                  <c:v>532.59495809077396</c:v>
                </c:pt>
              </c:numCache>
            </c:numRef>
          </c:yVal>
          <c:smooth val="0"/>
          <c:extLst>
            <c:ext xmlns:c16="http://schemas.microsoft.com/office/drawing/2014/chart" uri="{C3380CC4-5D6E-409C-BE32-E72D297353CC}">
              <c16:uniqueId val="{00000000-D574-4829-96F9-0E3B19F0DA6A}"/>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'Abaqus_input V 5 345'!$E$6:$E$31</c:f>
              <c:numCache>
                <c:formatCode>General</c:formatCode>
                <c:ptCount val="26"/>
                <c:pt idx="0">
                  <c:v>0</c:v>
                </c:pt>
                <c:pt idx="1">
                  <c:v>4.4087831780868772E-3</c:v>
                </c:pt>
                <c:pt idx="2">
                  <c:v>1.6679640000791949E-2</c:v>
                </c:pt>
                <c:pt idx="3">
                  <c:v>2.2267763515331922E-2</c:v>
                </c:pt>
                <c:pt idx="4">
                  <c:v>2.9890573956446002E-2</c:v>
                </c:pt>
                <c:pt idx="5">
                  <c:v>4.1201577025305712E-2</c:v>
                </c:pt>
                <c:pt idx="6">
                  <c:v>5.170854867667956E-2</c:v>
                </c:pt>
                <c:pt idx="7">
                  <c:v>6.7745022625723864E-2</c:v>
                </c:pt>
                <c:pt idx="8">
                  <c:v>8.8726813922805875E-2</c:v>
                </c:pt>
                <c:pt idx="9">
                  <c:v>0.10862970435524837</c:v>
                </c:pt>
                <c:pt idx="10">
                  <c:v>0.13187352007134409</c:v>
                </c:pt>
                <c:pt idx="11">
                  <c:v>0.14849793081355644</c:v>
                </c:pt>
                <c:pt idx="12">
                  <c:v>0.1693440011758493</c:v>
                </c:pt>
                <c:pt idx="13">
                  <c:v>0.18476963407476113</c:v>
                </c:pt>
                <c:pt idx="14">
                  <c:v>0.20053813927429867</c:v>
                </c:pt>
              </c:numCache>
            </c:numRef>
          </c:xVal>
          <c:yVal>
            <c:numRef>
              <c:f>'Abaqus_input V 5 345'!$D$6:$D$31</c:f>
              <c:numCache>
                <c:formatCode>General</c:formatCode>
                <c:ptCount val="26"/>
                <c:pt idx="0">
                  <c:v>0</c:v>
                </c:pt>
                <c:pt idx="1">
                  <c:v>391.79548008585186</c:v>
                </c:pt>
                <c:pt idx="2">
                  <c:v>400.34599640083621</c:v>
                </c:pt>
                <c:pt idx="3">
                  <c:v>429.40187829549723</c:v>
                </c:pt>
                <c:pt idx="4">
                  <c:v>460.64286882075544</c:v>
                </c:pt>
                <c:pt idx="5">
                  <c:v>494.16823983373149</c:v>
                </c:pt>
                <c:pt idx="6">
                  <c:v>523.21194076461813</c:v>
                </c:pt>
                <c:pt idx="7">
                  <c:v>552.03089411396684</c:v>
                </c:pt>
                <c:pt idx="8">
                  <c:v>583.55961433531377</c:v>
                </c:pt>
                <c:pt idx="9">
                  <c:v>602.4153750908946</c:v>
                </c:pt>
                <c:pt idx="10">
                  <c:v>620.79586632853113</c:v>
                </c:pt>
                <c:pt idx="11">
                  <c:v>631.26932652735013</c:v>
                </c:pt>
                <c:pt idx="12">
                  <c:v>642.51340693179861</c:v>
                </c:pt>
                <c:pt idx="13">
                  <c:v>648.22015880394235</c:v>
                </c:pt>
                <c:pt idx="14">
                  <c:v>650.86311157071634</c:v>
                </c:pt>
              </c:numCache>
            </c:numRef>
          </c:yVal>
          <c:smooth val="0"/>
          <c:extLst>
            <c:ext xmlns:c16="http://schemas.microsoft.com/office/drawing/2014/chart" uri="{C3380CC4-5D6E-409C-BE32-E72D297353CC}">
              <c16:uniqueId val="{00000001-D574-4829-96F9-0E3B19F0DA6A}"/>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V 5 235'!$C$6:$C$31</c:f>
              <c:numCache>
                <c:formatCode>General</c:formatCode>
                <c:ptCount val="26"/>
                <c:pt idx="0">
                  <c:v>0</c:v>
                </c:pt>
                <c:pt idx="1">
                  <c:v>1.4491899852724594E-3</c:v>
                </c:pt>
                <c:pt idx="2">
                  <c:v>1.7411620786406901E-2</c:v>
                </c:pt>
                <c:pt idx="3">
                  <c:v>2.3091503291216599E-2</c:v>
                </c:pt>
                <c:pt idx="4">
                  <c:v>2.9846765503924098E-2</c:v>
                </c:pt>
                <c:pt idx="5">
                  <c:v>4.0503479692606301E-2</c:v>
                </c:pt>
                <c:pt idx="6">
                  <c:v>5.4702119109682396E-2</c:v>
                </c:pt>
                <c:pt idx="7">
                  <c:v>7.3499927098928594E-2</c:v>
                </c:pt>
                <c:pt idx="8">
                  <c:v>9.0872430237230697E-2</c:v>
                </c:pt>
                <c:pt idx="9">
                  <c:v>0.10965210186235499</c:v>
                </c:pt>
                <c:pt idx="10">
                  <c:v>0.13658033520268201</c:v>
                </c:pt>
                <c:pt idx="11">
                  <c:v>0.15783402026294099</c:v>
                </c:pt>
                <c:pt idx="12">
                  <c:v>0.183339082442221</c:v>
                </c:pt>
                <c:pt idx="13">
                  <c:v>0.20388011507700798</c:v>
                </c:pt>
                <c:pt idx="14">
                  <c:v>0.220166570057929</c:v>
                </c:pt>
                <c:pt idx="15">
                  <c:v>0.23822398765304698</c:v>
                </c:pt>
              </c:numCache>
            </c:numRef>
          </c:xVal>
          <c:yVal>
            <c:numRef>
              <c:f>'Abaqus_input V 5 235'!$B$6:$B$31</c:f>
              <c:numCache>
                <c:formatCode>General</c:formatCode>
                <c:ptCount val="26"/>
                <c:pt idx="0">
                  <c:v>0</c:v>
                </c:pt>
                <c:pt idx="1">
                  <c:v>292.48336610918</c:v>
                </c:pt>
                <c:pt idx="2">
                  <c:v>295.23155869602999</c:v>
                </c:pt>
                <c:pt idx="3">
                  <c:v>306.09204026984003</c:v>
                </c:pt>
                <c:pt idx="4">
                  <c:v>327.79913443313097</c:v>
                </c:pt>
                <c:pt idx="5">
                  <c:v>354.03605224695298</c:v>
                </c:pt>
                <c:pt idx="6">
                  <c:v>380.28363851025699</c:v>
                </c:pt>
                <c:pt idx="7">
                  <c:v>402.02700540179097</c:v>
                </c:pt>
                <c:pt idx="8">
                  <c:v>416.537163543774</c:v>
                </c:pt>
                <c:pt idx="9">
                  <c:v>422.91903002457201</c:v>
                </c:pt>
                <c:pt idx="10">
                  <c:v>431.13266928162199</c:v>
                </c:pt>
                <c:pt idx="11">
                  <c:v>433.00391532096</c:v>
                </c:pt>
                <c:pt idx="12">
                  <c:v>435.79158117089702</c:v>
                </c:pt>
                <c:pt idx="13">
                  <c:v>434.04622283546001</c:v>
                </c:pt>
                <c:pt idx="14">
                  <c:v>428.67359167576399</c:v>
                </c:pt>
                <c:pt idx="15">
                  <c:v>423.30629474080899</c:v>
                </c:pt>
              </c:numCache>
            </c:numRef>
          </c:yVal>
          <c:smooth val="0"/>
          <c:extLst>
            <c:ext xmlns:c16="http://schemas.microsoft.com/office/drawing/2014/chart" uri="{C3380CC4-5D6E-409C-BE32-E72D297353CC}">
              <c16:uniqueId val="{00000000-5319-4160-BE84-FB7610B2B48E}"/>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'Abaqus_input V 5 235'!$E$6:$E$31</c:f>
              <c:numCache>
                <c:formatCode>General</c:formatCode>
                <c:ptCount val="26"/>
                <c:pt idx="0">
                  <c:v>0</c:v>
                </c:pt>
                <c:pt idx="1">
                  <c:v>1.4481409228705759E-3</c:v>
                </c:pt>
                <c:pt idx="2">
                  <c:v>1.7261775384157567E-2</c:v>
                </c:pt>
                <c:pt idx="3">
                  <c:v>2.2828929001901459E-2</c:v>
                </c:pt>
                <c:pt idx="4">
                  <c:v>2.9410019818575075E-2</c:v>
                </c:pt>
                <c:pt idx="5">
                  <c:v>3.9704711096422596E-2</c:v>
                </c:pt>
                <c:pt idx="6">
                  <c:v>5.3258375504521289E-2</c:v>
                </c:pt>
                <c:pt idx="7">
                  <c:v>7.0924270426988401E-2</c:v>
                </c:pt>
                <c:pt idx="8">
                  <c:v>8.6977770809076635E-2</c:v>
                </c:pt>
                <c:pt idx="9">
                  <c:v>0.10404654445175618</c:v>
                </c:pt>
                <c:pt idx="10">
                  <c:v>0.12802404830826883</c:v>
                </c:pt>
                <c:pt idx="11">
                  <c:v>0.14655103577136352</c:v>
                </c:pt>
                <c:pt idx="12">
                  <c:v>0.16834017320928962</c:v>
                </c:pt>
                <c:pt idx="13">
                  <c:v>0.18554976973381307</c:v>
                </c:pt>
                <c:pt idx="14">
                  <c:v>0.19898738225977405</c:v>
                </c:pt>
                <c:pt idx="15">
                  <c:v>0.21367808491893198</c:v>
                </c:pt>
              </c:numCache>
            </c:numRef>
          </c:xVal>
          <c:yVal>
            <c:numRef>
              <c:f>'Abaqus_input V 5 235'!$D$6:$D$31</c:f>
              <c:numCache>
                <c:formatCode>General</c:formatCode>
                <c:ptCount val="26"/>
                <c:pt idx="0">
                  <c:v>0</c:v>
                </c:pt>
                <c:pt idx="1">
                  <c:v>292.90723007420416</c:v>
                </c:pt>
                <c:pt idx="2">
                  <c:v>300.37201864022506</c:v>
                </c:pt>
                <c:pt idx="3">
                  <c:v>313.16016562514625</c:v>
                </c:pt>
                <c:pt idx="4">
                  <c:v>337.5828783309459</c:v>
                </c:pt>
                <c:pt idx="5">
                  <c:v>368.37574429958795</c:v>
                </c:pt>
                <c:pt idx="6">
                  <c:v>401.08595939950845</c:v>
                </c:pt>
                <c:pt idx="7">
                  <c:v>431.57596099062312</c:v>
                </c:pt>
                <c:pt idx="8">
                  <c:v>454.38890787911959</c:v>
                </c:pt>
                <c:pt idx="9">
                  <c:v>469.29299058435481</c:v>
                </c:pt>
                <c:pt idx="10">
                  <c:v>490.01691376893297</c:v>
                </c:pt>
                <c:pt idx="11">
                  <c:v>501.34666406566117</c:v>
                </c:pt>
                <c:pt idx="12">
                  <c:v>515.68920979881398</c:v>
                </c:pt>
                <c:pt idx="13">
                  <c:v>522.53961669589421</c:v>
                </c:pt>
                <c:pt idx="14">
                  <c:v>523.05318602943009</c:v>
                </c:pt>
                <c:pt idx="15">
                  <c:v>524.14800827260058</c:v>
                </c:pt>
              </c:numCache>
            </c:numRef>
          </c:yVal>
          <c:smooth val="0"/>
          <c:extLst>
            <c:ext xmlns:c16="http://schemas.microsoft.com/office/drawing/2014/chart" uri="{C3380CC4-5D6E-409C-BE32-E72D297353CC}">
              <c16:uniqueId val="{00000001-5319-4160-BE84-FB7610B2B48E}"/>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V 2'!$I$6:$I$105</c:f>
              <c:numCache>
                <c:formatCode>0.00000</c:formatCode>
                <c:ptCount val="100"/>
                <c:pt idx="1">
                  <c:v>0</c:v>
                </c:pt>
                <c:pt idx="2">
                  <c:v>4.2747974591477497E-4</c:v>
                </c:pt>
                <c:pt idx="3">
                  <c:v>9.7996145720228266E-4</c:v>
                </c:pt>
                <c:pt idx="4">
                  <c:v>2.6047391320880671E-3</c:v>
                </c:pt>
                <c:pt idx="5">
                  <c:v>4.7393432882536475E-3</c:v>
                </c:pt>
                <c:pt idx="6">
                  <c:v>5.762981799573976E-3</c:v>
                </c:pt>
                <c:pt idx="7">
                  <c:v>7.3829991908728942E-3</c:v>
                </c:pt>
                <c:pt idx="8">
                  <c:v>1.0191091805534094E-2</c:v>
                </c:pt>
                <c:pt idx="9">
                  <c:v>1.3246668535797836E-2</c:v>
                </c:pt>
                <c:pt idx="10">
                  <c:v>1.637728638649635E-2</c:v>
                </c:pt>
                <c:pt idx="11">
                  <c:v>2.1098361007570017E-2</c:v>
                </c:pt>
                <c:pt idx="12">
                  <c:v>2.4037631800032773E-2</c:v>
                </c:pt>
                <c:pt idx="13">
                  <c:v>2.7136002122467636E-2</c:v>
                </c:pt>
                <c:pt idx="14">
                  <c:v>3.322148085559385E-2</c:v>
                </c:pt>
                <c:pt idx="15">
                  <c:v>4.0757724863365243E-2</c:v>
                </c:pt>
                <c:pt idx="16">
                  <c:v>4.807482073720129E-2</c:v>
                </c:pt>
                <c:pt idx="17">
                  <c:v>5.3874165056258014E-2</c:v>
                </c:pt>
                <c:pt idx="18">
                  <c:v>6.2390332189652654E-2</c:v>
                </c:pt>
                <c:pt idx="19">
                  <c:v>6.7867641965417475E-2</c:v>
                </c:pt>
                <c:pt idx="20">
                  <c:v>7.7222688775859832E-2</c:v>
                </c:pt>
                <c:pt idx="21">
                  <c:v>8.3965101609841247E-2</c:v>
                </c:pt>
                <c:pt idx="22">
                  <c:v>8.9248320367196834E-2</c:v>
                </c:pt>
                <c:pt idx="23">
                  <c:v>9.4347747412965782E-2</c:v>
                </c:pt>
                <c:pt idx="24">
                  <c:v>0.1005890689301138</c:v>
                </c:pt>
                <c:pt idx="25">
                  <c:v>0.10632924569195036</c:v>
                </c:pt>
              </c:numCache>
            </c:numRef>
          </c:xVal>
          <c:yVal>
            <c:numRef>
              <c:f>'Abaqus_input V 2'!$H$6:$H$105</c:f>
              <c:numCache>
                <c:formatCode>0.000</c:formatCode>
                <c:ptCount val="100"/>
                <c:pt idx="1">
                  <c:v>1194.4961600000001</c:v>
                </c:pt>
                <c:pt idx="2">
                  <c:v>1211.3304712251168</c:v>
                </c:pt>
                <c:pt idx="3">
                  <c:v>1263.7411573269508</c:v>
                </c:pt>
                <c:pt idx="4">
                  <c:v>1308.1987244383977</c:v>
                </c:pt>
                <c:pt idx="5">
                  <c:v>1359.7826928160855</c:v>
                </c:pt>
                <c:pt idx="6">
                  <c:v>1378.5051099299508</c:v>
                </c:pt>
                <c:pt idx="7">
                  <c:v>1394.942020470957</c:v>
                </c:pt>
                <c:pt idx="8">
                  <c:v>1417.8537647558132</c:v>
                </c:pt>
                <c:pt idx="9">
                  <c:v>1431.7163635782856</c:v>
                </c:pt>
                <c:pt idx="10">
                  <c:v>1447.3512629672325</c:v>
                </c:pt>
                <c:pt idx="11">
                  <c:v>1457.4000323661498</c:v>
                </c:pt>
                <c:pt idx="12">
                  <c:v>1464.8990065580067</c:v>
                </c:pt>
                <c:pt idx="13">
                  <c:v>1467.8353762595959</c:v>
                </c:pt>
                <c:pt idx="14">
                  <c:v>1468.6986273355753</c:v>
                </c:pt>
                <c:pt idx="15">
                  <c:v>1452.0726909455866</c:v>
                </c:pt>
                <c:pt idx="16">
                  <c:v>1424.9355543956237</c:v>
                </c:pt>
                <c:pt idx="17">
                  <c:v>1400.1615879189851</c:v>
                </c:pt>
                <c:pt idx="18">
                  <c:v>1353.7837672956318</c:v>
                </c:pt>
                <c:pt idx="19">
                  <c:v>1317.6333682577665</c:v>
                </c:pt>
                <c:pt idx="20">
                  <c:v>1248.7952712428198</c:v>
                </c:pt>
                <c:pt idx="21">
                  <c:v>1192.5074925815875</c:v>
                </c:pt>
                <c:pt idx="22">
                  <c:v>1142.308433311862</c:v>
                </c:pt>
                <c:pt idx="23">
                  <c:v>1087.9007607791661</c:v>
                </c:pt>
                <c:pt idx="24">
                  <c:v>1013.3013931714207</c:v>
                </c:pt>
                <c:pt idx="25">
                  <c:v>926.80279120343789</c:v>
                </c:pt>
              </c:numCache>
            </c:numRef>
          </c:yVal>
          <c:smooth val="0"/>
          <c:extLst>
            <c:ext xmlns:c16="http://schemas.microsoft.com/office/drawing/2014/chart" uri="{C3380CC4-5D6E-409C-BE32-E72D297353CC}">
              <c16:uniqueId val="{00000000-9CBC-4B25-8648-13F8E634C703}"/>
            </c:ext>
          </c:extLst>
        </c:ser>
        <c:dLbls>
          <c:showLegendKey val="0"/>
          <c:showVal val="0"/>
          <c:showCatName val="0"/>
          <c:showSerName val="0"/>
          <c:showPercent val="0"/>
          <c:showBubbleSize val="0"/>
        </c:dLbls>
        <c:axId val="566237903"/>
        <c:axId val="576210943"/>
      </c:scatterChart>
      <c:valAx>
        <c:axId val="56623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0943"/>
        <c:crosses val="autoZero"/>
        <c:crossBetween val="midCat"/>
      </c:valAx>
      <c:valAx>
        <c:axId val="57621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379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V 2'!$C$6:$C$31</c:f>
              <c:numCache>
                <c:formatCode>General</c:formatCode>
                <c:ptCount val="26"/>
                <c:pt idx="0">
                  <c:v>0</c:v>
                </c:pt>
                <c:pt idx="1">
                  <c:v>6.4000000000000003E-3</c:v>
                </c:pt>
                <c:pt idx="2">
                  <c:v>6.8303075836239303E-3</c:v>
                </c:pt>
                <c:pt idx="3">
                  <c:v>7.38671660368472E-3</c:v>
                </c:pt>
                <c:pt idx="4">
                  <c:v>9.02482647260003E-3</c:v>
                </c:pt>
                <c:pt idx="5">
                  <c:v>1.1180995525852401E-2</c:v>
                </c:pt>
                <c:pt idx="6">
                  <c:v>1.2216609291425E-2</c:v>
                </c:pt>
                <c:pt idx="7">
                  <c:v>1.38577467789501E-2</c:v>
                </c:pt>
                <c:pt idx="8">
                  <c:v>1.67087543031431E-2</c:v>
                </c:pt>
                <c:pt idx="9">
                  <c:v>1.9820137027775499E-2</c:v>
                </c:pt>
                <c:pt idx="10">
                  <c:v>2.3017806882786301E-2</c:v>
                </c:pt>
                <c:pt idx="11">
                  <c:v>2.7858969039796299E-2</c:v>
                </c:pt>
                <c:pt idx="12">
                  <c:v>3.0884569237152201E-2</c:v>
                </c:pt>
                <c:pt idx="13">
                  <c:v>3.4083584700433905E-2</c:v>
                </c:pt>
                <c:pt idx="14">
                  <c:v>4.03956648986869E-2</c:v>
                </c:pt>
                <c:pt idx="15">
                  <c:v>4.8265959474764204E-2</c:v>
                </c:pt>
                <c:pt idx="16">
                  <c:v>5.5964352594220605E-2</c:v>
                </c:pt>
                <c:pt idx="17">
                  <c:v>6.2106045145157406E-2</c:v>
                </c:pt>
                <c:pt idx="18">
                  <c:v>7.1189741979614002E-2</c:v>
                </c:pt>
                <c:pt idx="19">
                  <c:v>7.7073077742517801E-2</c:v>
                </c:pt>
                <c:pt idx="20">
                  <c:v>8.7196425167360009E-2</c:v>
                </c:pt>
                <c:pt idx="21">
                  <c:v>9.4551519976676102E-2</c:v>
                </c:pt>
                <c:pt idx="22">
                  <c:v>0.100349577815404</c:v>
                </c:pt>
                <c:pt idx="23">
                  <c:v>0.10597506139337699</c:v>
                </c:pt>
                <c:pt idx="24">
                  <c:v>0.11289939335493701</c:v>
                </c:pt>
                <c:pt idx="25">
                  <c:v>0.11930600253422799</c:v>
                </c:pt>
              </c:numCache>
            </c:numRef>
          </c:xVal>
          <c:yVal>
            <c:numRef>
              <c:f>'Abaqus_input V 2'!$B$6:$B$31</c:f>
              <c:numCache>
                <c:formatCode>General</c:formatCode>
                <c:ptCount val="26"/>
                <c:pt idx="0">
                  <c:v>0</c:v>
                </c:pt>
                <c:pt idx="1">
                  <c:v>1186.9000000000001</c:v>
                </c:pt>
                <c:pt idx="2">
                  <c:v>1203.11284046692</c:v>
                </c:pt>
                <c:pt idx="3">
                  <c:v>1254.4747081712001</c:v>
                </c:pt>
                <c:pt idx="4">
                  <c:v>1296.4980544747</c:v>
                </c:pt>
                <c:pt idx="5">
                  <c:v>1344.74708171206</c:v>
                </c:pt>
                <c:pt idx="6">
                  <c:v>1361.8677042801501</c:v>
                </c:pt>
                <c:pt idx="7">
                  <c:v>1375.8754863813199</c:v>
                </c:pt>
                <c:pt idx="8">
                  <c:v>1394.5525291828701</c:v>
                </c:pt>
                <c:pt idx="9">
                  <c:v>1403.89105058365</c:v>
                </c:pt>
                <c:pt idx="10">
                  <c:v>1414.78599221789</c:v>
                </c:pt>
                <c:pt idx="11">
                  <c:v>1417.89883268482</c:v>
                </c:pt>
                <c:pt idx="12">
                  <c:v>1421.0116731517501</c:v>
                </c:pt>
                <c:pt idx="13">
                  <c:v>1419.4552529182799</c:v>
                </c:pt>
                <c:pt idx="14">
                  <c:v>1411.67315175097</c:v>
                </c:pt>
                <c:pt idx="15">
                  <c:v>1385.2140077821</c:v>
                </c:pt>
                <c:pt idx="16">
                  <c:v>1349.4163424124499</c:v>
                </c:pt>
                <c:pt idx="17">
                  <c:v>1318.28793774319</c:v>
                </c:pt>
                <c:pt idx="18">
                  <c:v>1263.8132295719799</c:v>
                </c:pt>
                <c:pt idx="19">
                  <c:v>1223.3463035019399</c:v>
                </c:pt>
                <c:pt idx="20">
                  <c:v>1148.63813229572</c:v>
                </c:pt>
                <c:pt idx="21">
                  <c:v>1089.49416342412</c:v>
                </c:pt>
                <c:pt idx="22">
                  <c:v>1038.1322957198399</c:v>
                </c:pt>
                <c:pt idx="23">
                  <c:v>983.65758754863805</c:v>
                </c:pt>
                <c:pt idx="24">
                  <c:v>910.50583657587504</c:v>
                </c:pt>
                <c:pt idx="25">
                  <c:v>828.01556420233396</c:v>
                </c:pt>
              </c:numCache>
            </c:numRef>
          </c:yVal>
          <c:smooth val="0"/>
          <c:extLst>
            <c:ext xmlns:c16="http://schemas.microsoft.com/office/drawing/2014/chart" uri="{C3380CC4-5D6E-409C-BE32-E72D297353CC}">
              <c16:uniqueId val="{00000002-E9C1-4FC1-8005-7EF43658FDFA}"/>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'Abaqus_input V 2'!$E$6:$E$31</c:f>
              <c:numCache>
                <c:formatCode>General</c:formatCode>
                <c:ptCount val="26"/>
                <c:pt idx="0">
                  <c:v>0</c:v>
                </c:pt>
                <c:pt idx="1">
                  <c:v>6.3796069640389879E-3</c:v>
                </c:pt>
                <c:pt idx="2">
                  <c:v>6.8070867099537628E-3</c:v>
                </c:pt>
                <c:pt idx="3">
                  <c:v>7.3595684212412705E-3</c:v>
                </c:pt>
                <c:pt idx="4">
                  <c:v>8.9843460961270549E-3</c:v>
                </c:pt>
                <c:pt idx="5">
                  <c:v>1.1118950252292635E-2</c:v>
                </c:pt>
                <c:pt idx="6">
                  <c:v>1.2142588763612964E-2</c:v>
                </c:pt>
                <c:pt idx="7">
                  <c:v>1.3762606154911882E-2</c:v>
                </c:pt>
                <c:pt idx="8">
                  <c:v>1.6570698769573081E-2</c:v>
                </c:pt>
                <c:pt idx="9">
                  <c:v>1.9626275499836823E-2</c:v>
                </c:pt>
                <c:pt idx="10">
                  <c:v>2.2756893350535337E-2</c:v>
                </c:pt>
                <c:pt idx="11">
                  <c:v>2.7477967971609004E-2</c:v>
                </c:pt>
                <c:pt idx="12">
                  <c:v>3.041723876407176E-2</c:v>
                </c:pt>
                <c:pt idx="13">
                  <c:v>3.3515609086506623E-2</c:v>
                </c:pt>
                <c:pt idx="14">
                  <c:v>3.9601087819632841E-2</c:v>
                </c:pt>
                <c:pt idx="15">
                  <c:v>4.7137331827404233E-2</c:v>
                </c:pt>
                <c:pt idx="16">
                  <c:v>5.4454427701240281E-2</c:v>
                </c:pt>
                <c:pt idx="17">
                  <c:v>6.0253772020297004E-2</c:v>
                </c:pt>
                <c:pt idx="18">
                  <c:v>6.8769939153691645E-2</c:v>
                </c:pt>
                <c:pt idx="19">
                  <c:v>7.4247248929456458E-2</c:v>
                </c:pt>
                <c:pt idx="20">
                  <c:v>8.3602295739898816E-2</c:v>
                </c:pt>
                <c:pt idx="21">
                  <c:v>9.0344708573880231E-2</c:v>
                </c:pt>
                <c:pt idx="22">
                  <c:v>9.5627927331235818E-2</c:v>
                </c:pt>
                <c:pt idx="23">
                  <c:v>0.10072735437700477</c:v>
                </c:pt>
                <c:pt idx="24">
                  <c:v>0.10696867589415278</c:v>
                </c:pt>
                <c:pt idx="25">
                  <c:v>0.11270885265598934</c:v>
                </c:pt>
              </c:numCache>
            </c:numRef>
          </c:xVal>
          <c:yVal>
            <c:numRef>
              <c:f>'Abaqus_input V 2'!$D$6:$D$31</c:f>
              <c:numCache>
                <c:formatCode>General</c:formatCode>
                <c:ptCount val="26"/>
                <c:pt idx="0">
                  <c:v>0</c:v>
                </c:pt>
                <c:pt idx="1">
                  <c:v>1194.4961600000001</c:v>
                </c:pt>
                <c:pt idx="2">
                  <c:v>1211.3304712251168</c:v>
                </c:pt>
                <c:pt idx="3">
                  <c:v>1263.7411573269508</c:v>
                </c:pt>
                <c:pt idx="4">
                  <c:v>1308.1987244383977</c:v>
                </c:pt>
                <c:pt idx="5">
                  <c:v>1359.7826928160855</c:v>
                </c:pt>
                <c:pt idx="6">
                  <c:v>1378.5051099299508</c:v>
                </c:pt>
                <c:pt idx="7">
                  <c:v>1394.942020470957</c:v>
                </c:pt>
                <c:pt idx="8">
                  <c:v>1417.8537647558132</c:v>
                </c:pt>
                <c:pt idx="9">
                  <c:v>1431.7163635782856</c:v>
                </c:pt>
                <c:pt idx="10">
                  <c:v>1447.3512629672325</c:v>
                </c:pt>
                <c:pt idx="11">
                  <c:v>1457.4000323661498</c:v>
                </c:pt>
                <c:pt idx="12">
                  <c:v>1464.8990065580067</c:v>
                </c:pt>
                <c:pt idx="13">
                  <c:v>1467.8353762595959</c:v>
                </c:pt>
                <c:pt idx="14">
                  <c:v>1468.6986273355753</c:v>
                </c:pt>
                <c:pt idx="15">
                  <c:v>1452.0726909455866</c:v>
                </c:pt>
                <c:pt idx="16">
                  <c:v>1424.9355543956237</c:v>
                </c:pt>
                <c:pt idx="17">
                  <c:v>1400.1615879189851</c:v>
                </c:pt>
                <c:pt idx="18">
                  <c:v>1353.7837672956318</c:v>
                </c:pt>
                <c:pt idx="19">
                  <c:v>1317.6333682577665</c:v>
                </c:pt>
                <c:pt idx="20">
                  <c:v>1248.7952712428198</c:v>
                </c:pt>
                <c:pt idx="21">
                  <c:v>1192.5074925815875</c:v>
                </c:pt>
                <c:pt idx="22">
                  <c:v>1142.308433311862</c:v>
                </c:pt>
                <c:pt idx="23">
                  <c:v>1087.9007607791661</c:v>
                </c:pt>
                <c:pt idx="24">
                  <c:v>1013.3013931714207</c:v>
                </c:pt>
                <c:pt idx="25">
                  <c:v>926.80279120343789</c:v>
                </c:pt>
              </c:numCache>
            </c:numRef>
          </c:yVal>
          <c:smooth val="0"/>
          <c:extLst>
            <c:ext xmlns:c16="http://schemas.microsoft.com/office/drawing/2014/chart" uri="{C3380CC4-5D6E-409C-BE32-E72D297353CC}">
              <c16:uniqueId val="{00000003-E9C1-4FC1-8005-7EF43658FDFA}"/>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V 1'!$I$6:$I$105</c:f>
              <c:numCache>
                <c:formatCode>0.00000</c:formatCode>
                <c:ptCount val="100"/>
                <c:pt idx="1">
                  <c:v>0</c:v>
                </c:pt>
                <c:pt idx="2">
                  <c:v>5.7321436706309096E-3</c:v>
                </c:pt>
                <c:pt idx="3">
                  <c:v>9.979023996970135E-3</c:v>
                </c:pt>
                <c:pt idx="4">
                  <c:v>1.149259373227755E-2</c:v>
                </c:pt>
                <c:pt idx="5">
                  <c:v>1.6135517509875293E-2</c:v>
                </c:pt>
                <c:pt idx="6">
                  <c:v>2.3567514028587321E-2</c:v>
                </c:pt>
                <c:pt idx="7">
                  <c:v>2.88082385981198E-2</c:v>
                </c:pt>
                <c:pt idx="8">
                  <c:v>3.5321897039961817E-2</c:v>
                </c:pt>
                <c:pt idx="9">
                  <c:v>4.3317168476768343E-2</c:v>
                </c:pt>
                <c:pt idx="10">
                  <c:v>5.1714205990478247E-2</c:v>
                </c:pt>
                <c:pt idx="11">
                  <c:v>6.1767742289066625E-2</c:v>
                </c:pt>
                <c:pt idx="12">
                  <c:v>7.0696778259374371E-2</c:v>
                </c:pt>
                <c:pt idx="13">
                  <c:v>7.8982045553814578E-2</c:v>
                </c:pt>
                <c:pt idx="14">
                  <c:v>8.5685090866888455E-2</c:v>
                </c:pt>
              </c:numCache>
            </c:numRef>
          </c:xVal>
          <c:yVal>
            <c:numRef>
              <c:f>'Abaqus_input V 1'!$H$6:$H$105</c:f>
              <c:numCache>
                <c:formatCode>0.000</c:formatCode>
                <c:ptCount val="100"/>
                <c:pt idx="1">
                  <c:v>774.46529761638089</c:v>
                </c:pt>
                <c:pt idx="2">
                  <c:v>778.91739180161539</c:v>
                </c:pt>
                <c:pt idx="3">
                  <c:v>792.03214964337212</c:v>
                </c:pt>
                <c:pt idx="4">
                  <c:v>786.28411808074713</c:v>
                </c:pt>
                <c:pt idx="5">
                  <c:v>799.13502945398989</c:v>
                </c:pt>
                <c:pt idx="6">
                  <c:v>819.34898681806362</c:v>
                </c:pt>
                <c:pt idx="7">
                  <c:v>835.81372379259619</c:v>
                </c:pt>
                <c:pt idx="8">
                  <c:v>848.53887421743343</c:v>
                </c:pt>
                <c:pt idx="9">
                  <c:v>862.70055783635064</c:v>
                </c:pt>
                <c:pt idx="10">
                  <c:v>873.76590642358167</c:v>
                </c:pt>
                <c:pt idx="11">
                  <c:v>884.99060030519058</c:v>
                </c:pt>
                <c:pt idx="12">
                  <c:v>890.14520388685128</c:v>
                </c:pt>
                <c:pt idx="13">
                  <c:v>893.2411555600064</c:v>
                </c:pt>
                <c:pt idx="14">
                  <c:v>892.62535200280377</c:v>
                </c:pt>
              </c:numCache>
            </c:numRef>
          </c:yVal>
          <c:smooth val="0"/>
          <c:extLst>
            <c:ext xmlns:c16="http://schemas.microsoft.com/office/drawing/2014/chart" uri="{C3380CC4-5D6E-409C-BE32-E72D297353CC}">
              <c16:uniqueId val="{00000000-7DCA-4A61-AE63-EB64992A6B66}"/>
            </c:ext>
          </c:extLst>
        </c:ser>
        <c:dLbls>
          <c:showLegendKey val="0"/>
          <c:showVal val="0"/>
          <c:showCatName val="0"/>
          <c:showSerName val="0"/>
          <c:showPercent val="0"/>
          <c:showBubbleSize val="0"/>
        </c:dLbls>
        <c:axId val="566237903"/>
        <c:axId val="576210943"/>
      </c:scatterChart>
      <c:valAx>
        <c:axId val="56623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0943"/>
        <c:crosses val="autoZero"/>
        <c:crossBetween val="midCat"/>
      </c:valAx>
      <c:valAx>
        <c:axId val="57621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379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'Abaqus_input V 1'!$C$6:$C$31</c:f>
              <c:numCache>
                <c:formatCode>General</c:formatCode>
                <c:ptCount val="26"/>
                <c:pt idx="0">
                  <c:v>0</c:v>
                </c:pt>
                <c:pt idx="1">
                  <c:v>3.1933906947939502E-3</c:v>
                </c:pt>
                <c:pt idx="2">
                  <c:v>8.9603520746313597E-3</c:v>
                </c:pt>
                <c:pt idx="3">
                  <c:v>1.3254397638780901E-2</c:v>
                </c:pt>
                <c:pt idx="4">
                  <c:v>1.47891900438775E-2</c:v>
                </c:pt>
                <c:pt idx="5">
                  <c:v>1.9511733624972001E-2</c:v>
                </c:pt>
                <c:pt idx="6">
                  <c:v>2.7116967309237901E-2</c:v>
                </c:pt>
                <c:pt idx="7">
                  <c:v>3.2513934091418097E-2</c:v>
                </c:pt>
                <c:pt idx="8">
                  <c:v>3.9261328449263999E-2</c:v>
                </c:pt>
                <c:pt idx="9">
                  <c:v>4.76038106281211E-2</c:v>
                </c:pt>
                <c:pt idx="10">
                  <c:v>5.6437616117428403E-2</c:v>
                </c:pt>
                <c:pt idx="11">
                  <c:v>6.7112118377188903E-2</c:v>
                </c:pt>
                <c:pt idx="12">
                  <c:v>7.6683066949520998E-2</c:v>
                </c:pt>
                <c:pt idx="13">
                  <c:v>8.5640731029212103E-2</c:v>
                </c:pt>
                <c:pt idx="14">
                  <c:v>9.2942273991013596E-2</c:v>
                </c:pt>
              </c:numCache>
            </c:numRef>
          </c:xVal>
          <c:yVal>
            <c:numRef>
              <c:f>'Abaqus_input V 1'!$B$6:$B$31</c:f>
              <c:numCache>
                <c:formatCode>General</c:formatCode>
                <c:ptCount val="26"/>
                <c:pt idx="0">
                  <c:v>0</c:v>
                </c:pt>
                <c:pt idx="1">
                  <c:v>772</c:v>
                </c:pt>
                <c:pt idx="2">
                  <c:v>772</c:v>
                </c:pt>
                <c:pt idx="3">
                  <c:v>781.67156391235005</c:v>
                </c:pt>
                <c:pt idx="4">
                  <c:v>774.82508268219703</c:v>
                </c:pt>
                <c:pt idx="5">
                  <c:v>783.84093394647698</c:v>
                </c:pt>
                <c:pt idx="6">
                  <c:v>797.71731253211703</c:v>
                </c:pt>
                <c:pt idx="7">
                  <c:v>809.493892717378</c:v>
                </c:pt>
                <c:pt idx="8">
                  <c:v>816.48267956201403</c:v>
                </c:pt>
                <c:pt idx="9">
                  <c:v>823.49887341388501</c:v>
                </c:pt>
                <c:pt idx="10">
                  <c:v>827.08708313019599</c:v>
                </c:pt>
                <c:pt idx="11">
                  <c:v>829.33234949204802</c:v>
                </c:pt>
                <c:pt idx="12">
                  <c:v>826.74765788676098</c:v>
                </c:pt>
                <c:pt idx="13">
                  <c:v>822.77785830050198</c:v>
                </c:pt>
                <c:pt idx="14">
                  <c:v>816.71774735482802</c:v>
                </c:pt>
              </c:numCache>
            </c:numRef>
          </c:yVal>
          <c:smooth val="0"/>
          <c:extLst>
            <c:ext xmlns:c16="http://schemas.microsoft.com/office/drawing/2014/chart" uri="{C3380CC4-5D6E-409C-BE32-E72D297353CC}">
              <c16:uniqueId val="{00000000-C42B-4C82-8339-F1ADCF3E3D56}"/>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'Abaqus_input V 1'!$E$6:$E$31</c:f>
              <c:numCache>
                <c:formatCode>General</c:formatCode>
                <c:ptCount val="26"/>
                <c:pt idx="0">
                  <c:v>0</c:v>
                </c:pt>
                <c:pt idx="1">
                  <c:v>3.1883026519238704E-3</c:v>
                </c:pt>
                <c:pt idx="2">
                  <c:v>8.92044632255478E-3</c:v>
                </c:pt>
                <c:pt idx="3">
                  <c:v>1.3167326648894005E-2</c:v>
                </c:pt>
                <c:pt idx="4">
                  <c:v>1.4680896384201421E-2</c:v>
                </c:pt>
                <c:pt idx="5">
                  <c:v>1.9323820161799163E-2</c:v>
                </c:pt>
                <c:pt idx="6">
                  <c:v>2.6755816680511191E-2</c:v>
                </c:pt>
                <c:pt idx="7">
                  <c:v>3.199654125004367E-2</c:v>
                </c:pt>
                <c:pt idx="8">
                  <c:v>3.851019969188569E-2</c:v>
                </c:pt>
                <c:pt idx="9">
                  <c:v>4.6505471128692216E-2</c:v>
                </c:pt>
                <c:pt idx="10">
                  <c:v>5.490250864240212E-2</c:v>
                </c:pt>
                <c:pt idx="11">
                  <c:v>6.4956044940990498E-2</c:v>
                </c:pt>
                <c:pt idx="12">
                  <c:v>7.3885080911298237E-2</c:v>
                </c:pt>
                <c:pt idx="13">
                  <c:v>8.2170348205738444E-2</c:v>
                </c:pt>
                <c:pt idx="14">
                  <c:v>8.8873393518812321E-2</c:v>
                </c:pt>
              </c:numCache>
            </c:numRef>
          </c:xVal>
          <c:yVal>
            <c:numRef>
              <c:f>'Abaqus_input V 1'!$D$6:$D$31</c:f>
              <c:numCache>
                <c:formatCode>General</c:formatCode>
                <c:ptCount val="26"/>
                <c:pt idx="0">
                  <c:v>0</c:v>
                </c:pt>
                <c:pt idx="1">
                  <c:v>774.46529761638089</c:v>
                </c:pt>
                <c:pt idx="2">
                  <c:v>778.91739180161539</c:v>
                </c:pt>
                <c:pt idx="3">
                  <c:v>792.03214964337212</c:v>
                </c:pt>
                <c:pt idx="4">
                  <c:v>786.28411808074713</c:v>
                </c:pt>
                <c:pt idx="5">
                  <c:v>799.13502945398989</c:v>
                </c:pt>
                <c:pt idx="6">
                  <c:v>819.34898681806362</c:v>
                </c:pt>
                <c:pt idx="7">
                  <c:v>835.81372379259619</c:v>
                </c:pt>
                <c:pt idx="8">
                  <c:v>848.53887421743343</c:v>
                </c:pt>
                <c:pt idx="9">
                  <c:v>862.70055783635064</c:v>
                </c:pt>
                <c:pt idx="10">
                  <c:v>873.76590642358167</c:v>
                </c:pt>
                <c:pt idx="11">
                  <c:v>884.99060030519058</c:v>
                </c:pt>
                <c:pt idx="12">
                  <c:v>890.14520388685128</c:v>
                </c:pt>
                <c:pt idx="13">
                  <c:v>893.2411555600064</c:v>
                </c:pt>
                <c:pt idx="14">
                  <c:v>892.62535200280377</c:v>
                </c:pt>
              </c:numCache>
            </c:numRef>
          </c:yVal>
          <c:smooth val="0"/>
          <c:extLst>
            <c:ext xmlns:c16="http://schemas.microsoft.com/office/drawing/2014/chart" uri="{C3380CC4-5D6E-409C-BE32-E72D297353CC}">
              <c16:uniqueId val="{00000001-C42B-4C82-8339-F1ADCF3E3D56}"/>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'Validation 2'!$B$1</c:f>
              <c:strCache>
                <c:ptCount val="1"/>
                <c:pt idx="0">
                  <c:v>σ (Mpa)</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'Validation 2'!$A$2:$A$35</c:f>
              <c:numCache>
                <c:formatCode>General</c:formatCode>
                <c:ptCount val="34"/>
                <c:pt idx="0">
                  <c:v>0</c:v>
                </c:pt>
                <c:pt idx="1">
                  <c:v>3.3354265017549302E-4</c:v>
                </c:pt>
                <c:pt idx="2">
                  <c:v>1.26352616647416E-3</c:v>
                </c:pt>
                <c:pt idx="3">
                  <c:v>2.1926686776034604E-3</c:v>
                </c:pt>
                <c:pt idx="4">
                  <c:v>2.8691732358514898E-3</c:v>
                </c:pt>
                <c:pt idx="5">
                  <c:v>3.4620818802632704E-3</c:v>
                </c:pt>
                <c:pt idx="6">
                  <c:v>4.3945884120700903E-3</c:v>
                </c:pt>
                <c:pt idx="7">
                  <c:v>4.9873288554480102E-3</c:v>
                </c:pt>
                <c:pt idx="8">
                  <c:v>5.8862792809967505E-3</c:v>
                </c:pt>
                <c:pt idx="9">
                  <c:v>6.4000000000000003E-3</c:v>
                </c:pt>
                <c:pt idx="10">
                  <c:v>6.8303075836239303E-3</c:v>
                </c:pt>
                <c:pt idx="11">
                  <c:v>7.38671660368472E-3</c:v>
                </c:pt>
                <c:pt idx="12">
                  <c:v>9.02482647260003E-3</c:v>
                </c:pt>
                <c:pt idx="13">
                  <c:v>1.1180995525852401E-2</c:v>
                </c:pt>
                <c:pt idx="14">
                  <c:v>1.2216609291425E-2</c:v>
                </c:pt>
                <c:pt idx="15">
                  <c:v>1.38577467789501E-2</c:v>
                </c:pt>
                <c:pt idx="16">
                  <c:v>1.67087543031431E-2</c:v>
                </c:pt>
                <c:pt idx="17">
                  <c:v>1.9820137027775499E-2</c:v>
                </c:pt>
                <c:pt idx="18">
                  <c:v>2.3017806882786301E-2</c:v>
                </c:pt>
                <c:pt idx="19">
                  <c:v>2.7858969039796299E-2</c:v>
                </c:pt>
                <c:pt idx="20">
                  <c:v>3.0884569237152201E-2</c:v>
                </c:pt>
                <c:pt idx="21">
                  <c:v>3.4083584700433905E-2</c:v>
                </c:pt>
                <c:pt idx="22">
                  <c:v>4.03956648986869E-2</c:v>
                </c:pt>
                <c:pt idx="23">
                  <c:v>4.8265959474764204E-2</c:v>
                </c:pt>
                <c:pt idx="24">
                  <c:v>5.5964352594220605E-2</c:v>
                </c:pt>
                <c:pt idx="25">
                  <c:v>6.2106045145157406E-2</c:v>
                </c:pt>
                <c:pt idx="26">
                  <c:v>7.1189741979614002E-2</c:v>
                </c:pt>
                <c:pt idx="27">
                  <c:v>7.7073077742517801E-2</c:v>
                </c:pt>
                <c:pt idx="28">
                  <c:v>8.7196425167360009E-2</c:v>
                </c:pt>
                <c:pt idx="29">
                  <c:v>9.4551519976676102E-2</c:v>
                </c:pt>
                <c:pt idx="30">
                  <c:v>0.100349577815404</c:v>
                </c:pt>
                <c:pt idx="31">
                  <c:v>0.10597506139337699</c:v>
                </c:pt>
                <c:pt idx="32">
                  <c:v>0.11289939335493701</c:v>
                </c:pt>
                <c:pt idx="33">
                  <c:v>0.11930600253422799</c:v>
                </c:pt>
              </c:numCache>
            </c:numRef>
          </c:xVal>
          <c:yVal>
            <c:numRef>
              <c:f>'Validation 2'!$B$2:$B$35</c:f>
              <c:numCache>
                <c:formatCode>General</c:formatCode>
                <c:ptCount val="34"/>
                <c:pt idx="0">
                  <c:v>0</c:v>
                </c:pt>
                <c:pt idx="1">
                  <c:v>119.844357976653</c:v>
                </c:pt>
                <c:pt idx="2">
                  <c:v>314.39688715953298</c:v>
                </c:pt>
                <c:pt idx="3">
                  <c:v>516.73151750972704</c:v>
                </c:pt>
                <c:pt idx="4">
                  <c:v>656.80933852140004</c:v>
                </c:pt>
                <c:pt idx="5">
                  <c:v>770.42801556420204</c:v>
                </c:pt>
                <c:pt idx="6">
                  <c:v>941.63424124513597</c:v>
                </c:pt>
                <c:pt idx="7">
                  <c:v>1056.8093385213999</c:v>
                </c:pt>
                <c:pt idx="8">
                  <c:v>1138.5214007782099</c:v>
                </c:pt>
                <c:pt idx="9">
                  <c:v>1186.9000000000001</c:v>
                </c:pt>
                <c:pt idx="10">
                  <c:v>1203.11284046692</c:v>
                </c:pt>
                <c:pt idx="11">
                  <c:v>1254.4747081712001</c:v>
                </c:pt>
                <c:pt idx="12">
                  <c:v>1296.4980544747</c:v>
                </c:pt>
                <c:pt idx="13">
                  <c:v>1344.74708171206</c:v>
                </c:pt>
                <c:pt idx="14">
                  <c:v>1361.8677042801501</c:v>
                </c:pt>
                <c:pt idx="15">
                  <c:v>1375.8754863813199</c:v>
                </c:pt>
                <c:pt idx="16">
                  <c:v>1394.5525291828701</c:v>
                </c:pt>
                <c:pt idx="17">
                  <c:v>1403.89105058365</c:v>
                </c:pt>
                <c:pt idx="18">
                  <c:v>1414.78599221789</c:v>
                </c:pt>
                <c:pt idx="19">
                  <c:v>1417.89883268482</c:v>
                </c:pt>
                <c:pt idx="20">
                  <c:v>1421.0116731517501</c:v>
                </c:pt>
                <c:pt idx="21">
                  <c:v>1419.4552529182799</c:v>
                </c:pt>
                <c:pt idx="22">
                  <c:v>1411.67315175097</c:v>
                </c:pt>
                <c:pt idx="23">
                  <c:v>1385.2140077821</c:v>
                </c:pt>
                <c:pt idx="24">
                  <c:v>1349.4163424124499</c:v>
                </c:pt>
                <c:pt idx="25">
                  <c:v>1318.28793774319</c:v>
                </c:pt>
                <c:pt idx="26">
                  <c:v>1263.8132295719799</c:v>
                </c:pt>
                <c:pt idx="27">
                  <c:v>1223.3463035019399</c:v>
                </c:pt>
                <c:pt idx="28">
                  <c:v>1148.63813229572</c:v>
                </c:pt>
                <c:pt idx="29">
                  <c:v>1089.49416342412</c:v>
                </c:pt>
                <c:pt idx="30">
                  <c:v>1038.1322957198399</c:v>
                </c:pt>
                <c:pt idx="31">
                  <c:v>983.65758754863805</c:v>
                </c:pt>
                <c:pt idx="32">
                  <c:v>910.50583657587504</c:v>
                </c:pt>
                <c:pt idx="33">
                  <c:v>828.01556420233396</c:v>
                </c:pt>
              </c:numCache>
            </c:numRef>
          </c:yVal>
          <c:smooth val="0"/>
          <c:extLst>
            <c:ext xmlns:c16="http://schemas.microsoft.com/office/drawing/2014/chart" uri="{C3380CC4-5D6E-409C-BE32-E72D297353CC}">
              <c16:uniqueId val="{00000000-93F0-4D49-90B1-A3451B2A188B}"/>
            </c:ext>
          </c:extLst>
        </c:ser>
        <c:dLbls>
          <c:showLegendKey val="0"/>
          <c:showVal val="0"/>
          <c:showCatName val="0"/>
          <c:showSerName val="0"/>
          <c:showPercent val="0"/>
          <c:showBubbleSize val="0"/>
        </c:dLbls>
        <c:axId val="567640832"/>
        <c:axId val="567628832"/>
      </c:scatterChart>
      <c:valAx>
        <c:axId val="567640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628832"/>
        <c:crosses val="autoZero"/>
        <c:crossBetween val="midCat"/>
      </c:valAx>
      <c:valAx>
        <c:axId val="56762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64083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'Validation 1'!$B$1</c:f>
              <c:strCache>
                <c:ptCount val="1"/>
                <c:pt idx="0">
                  <c:v>σ (Mpa)</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'Validation 1'!$A$2:$A$35</c:f>
              <c:numCache>
                <c:formatCode>General</c:formatCode>
                <c:ptCount val="34"/>
                <c:pt idx="0">
                  <c:v>0</c:v>
                </c:pt>
                <c:pt idx="1">
                  <c:v>3.1933906947939502E-3</c:v>
                </c:pt>
                <c:pt idx="2">
                  <c:v>8.9603520746313597E-3</c:v>
                </c:pt>
                <c:pt idx="3">
                  <c:v>1.3254397638780901E-2</c:v>
                </c:pt>
                <c:pt idx="4">
                  <c:v>1.47891900438775E-2</c:v>
                </c:pt>
                <c:pt idx="5">
                  <c:v>1.9511733624972001E-2</c:v>
                </c:pt>
                <c:pt idx="6">
                  <c:v>2.7116967309237901E-2</c:v>
                </c:pt>
                <c:pt idx="7">
                  <c:v>3.2513934091418097E-2</c:v>
                </c:pt>
                <c:pt idx="8">
                  <c:v>3.9261328449263999E-2</c:v>
                </c:pt>
                <c:pt idx="9">
                  <c:v>4.76038106281211E-2</c:v>
                </c:pt>
                <c:pt idx="10">
                  <c:v>5.6437616117428403E-2</c:v>
                </c:pt>
                <c:pt idx="11">
                  <c:v>6.7112118377188903E-2</c:v>
                </c:pt>
                <c:pt idx="12">
                  <c:v>7.6683066949520998E-2</c:v>
                </c:pt>
                <c:pt idx="13">
                  <c:v>8.5640731029212103E-2</c:v>
                </c:pt>
                <c:pt idx="14">
                  <c:v>9.2942273991013596E-2</c:v>
                </c:pt>
              </c:numCache>
            </c:numRef>
          </c:xVal>
          <c:yVal>
            <c:numRef>
              <c:f>'Validation 1'!$B$2:$B$35</c:f>
              <c:numCache>
                <c:formatCode>General</c:formatCode>
                <c:ptCount val="34"/>
                <c:pt idx="0">
                  <c:v>0</c:v>
                </c:pt>
                <c:pt idx="1">
                  <c:v>772.43683870712698</c:v>
                </c:pt>
                <c:pt idx="2">
                  <c:v>772.848642167261</c:v>
                </c:pt>
                <c:pt idx="3">
                  <c:v>781.67156391235005</c:v>
                </c:pt>
                <c:pt idx="4">
                  <c:v>774.82508268219703</c:v>
                </c:pt>
                <c:pt idx="5">
                  <c:v>783.84093394647698</c:v>
                </c:pt>
                <c:pt idx="6">
                  <c:v>797.71731253211703</c:v>
                </c:pt>
                <c:pt idx="7">
                  <c:v>809.493892717378</c:v>
                </c:pt>
                <c:pt idx="8">
                  <c:v>816.48267956201403</c:v>
                </c:pt>
                <c:pt idx="9">
                  <c:v>823.49887341388501</c:v>
                </c:pt>
                <c:pt idx="10">
                  <c:v>827.08708313019599</c:v>
                </c:pt>
                <c:pt idx="11">
                  <c:v>829.33234949204802</c:v>
                </c:pt>
                <c:pt idx="12">
                  <c:v>826.74765788676098</c:v>
                </c:pt>
                <c:pt idx="13">
                  <c:v>822.77785830050198</c:v>
                </c:pt>
                <c:pt idx="14">
                  <c:v>816.71774735482802</c:v>
                </c:pt>
              </c:numCache>
            </c:numRef>
          </c:yVal>
          <c:smooth val="0"/>
          <c:extLst>
            <c:ext xmlns:c16="http://schemas.microsoft.com/office/drawing/2014/chart" uri="{C3380CC4-5D6E-409C-BE32-E72D297353CC}">
              <c16:uniqueId val="{00000000-AD36-43A8-8646-96F213C0234C}"/>
            </c:ext>
          </c:extLst>
        </c:ser>
        <c:dLbls>
          <c:showLegendKey val="0"/>
          <c:showVal val="0"/>
          <c:showCatName val="0"/>
          <c:showSerName val="0"/>
          <c:showPercent val="0"/>
          <c:showBubbleSize val="0"/>
        </c:dLbls>
        <c:axId val="567640832"/>
        <c:axId val="567628832"/>
      </c:scatterChart>
      <c:valAx>
        <c:axId val="567640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628832"/>
        <c:crosses val="autoZero"/>
        <c:crossBetween val="midCat"/>
      </c:valAx>
      <c:valAx>
        <c:axId val="56762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64083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'Validation 5'!$B$1</c:f>
              <c:strCache>
                <c:ptCount val="1"/>
                <c:pt idx="0">
                  <c:v>σ (Mpa)</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'Validation 5'!$A$2:$A$16</c:f>
              <c:numCache>
                <c:formatCode>General</c:formatCode>
                <c:ptCount val="15"/>
                <c:pt idx="0">
                  <c:v>593.34359875249299</c:v>
                </c:pt>
                <c:pt idx="1">
                  <c:v>4418.5161609229399</c:v>
                </c:pt>
                <c:pt idx="2">
                  <c:v>16819.521840094101</c:v>
                </c:pt>
                <c:pt idx="3">
                  <c:v>22517.540709025099</c:v>
                </c:pt>
                <c:pt idx="4">
                  <c:v>30341.7815599407</c:v>
                </c:pt>
                <c:pt idx="5">
                  <c:v>42062.140162089301</c:v>
                </c:pt>
                <c:pt idx="6">
                  <c:v>53068.779493817703</c:v>
                </c:pt>
                <c:pt idx="7">
                  <c:v>70092.424334021998</c:v>
                </c:pt>
                <c:pt idx="8">
                  <c:v>92782.082694708195</c:v>
                </c:pt>
                <c:pt idx="9">
                  <c:v>114749.487025387</c:v>
                </c:pt>
                <c:pt idx="10">
                  <c:v>140964.00109529399</c:v>
                </c:pt>
                <c:pt idx="11">
                  <c:v>160090.39732861999</c:v>
                </c:pt>
                <c:pt idx="12">
                  <c:v>184527.54771464001</c:v>
                </c:pt>
                <c:pt idx="13">
                  <c:v>202941.29152249399</c:v>
                </c:pt>
                <c:pt idx="14">
                  <c:v>222060.219841182</c:v>
                </c:pt>
              </c:numCache>
            </c:numRef>
          </c:xVal>
          <c:yVal>
            <c:numRef>
              <c:f>'Validation 5'!$B$2:$B$16</c:f>
              <c:numCache>
                <c:formatCode>General</c:formatCode>
                <c:ptCount val="15"/>
                <c:pt idx="0">
                  <c:v>0.150780752694672</c:v>
                </c:pt>
                <c:pt idx="1">
                  <c:v>390.071940911014</c:v>
                </c:pt>
                <c:pt idx="2">
                  <c:v>393.72375116908398</c:v>
                </c:pt>
                <c:pt idx="3">
                  <c:v>419.94573315362902</c:v>
                </c:pt>
                <c:pt idx="4">
                  <c:v>447.07773387908298</c:v>
                </c:pt>
                <c:pt idx="5">
                  <c:v>474.22146989896902</c:v>
                </c:pt>
                <c:pt idx="6">
                  <c:v>496.84498387285998</c:v>
                </c:pt>
                <c:pt idx="7">
                  <c:v>515.87216352599296</c:v>
                </c:pt>
                <c:pt idx="8">
                  <c:v>534.01279502707905</c:v>
                </c:pt>
                <c:pt idx="9">
                  <c:v>540.40426311241299</c:v>
                </c:pt>
                <c:pt idx="10">
                  <c:v>544.09768032346699</c:v>
                </c:pt>
                <c:pt idx="11">
                  <c:v>544.15528995067598</c:v>
                </c:pt>
                <c:pt idx="12">
                  <c:v>542.42166690966997</c:v>
                </c:pt>
                <c:pt idx="13">
                  <c:v>538.86267216210297</c:v>
                </c:pt>
                <c:pt idx="14">
                  <c:v>532.59495809077396</c:v>
                </c:pt>
              </c:numCache>
            </c:numRef>
          </c:yVal>
          <c:smooth val="0"/>
          <c:extLst>
            <c:ext xmlns:c16="http://schemas.microsoft.com/office/drawing/2014/chart" uri="{C3380CC4-5D6E-409C-BE32-E72D297353CC}">
              <c16:uniqueId val="{00000000-BE6D-451D-B848-BFF99CBFFA83}"/>
            </c:ext>
          </c:extLst>
        </c:ser>
        <c:ser>
          <c:idx val="1"/>
          <c:order val="1"/>
          <c:tx>
            <c:v>mat2</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'Validation 5'!$A$19:$A$34</c:f>
              <c:numCache>
                <c:formatCode>General</c:formatCode>
                <c:ptCount val="16"/>
                <c:pt idx="0">
                  <c:v>767.77274780139805</c:v>
                </c:pt>
                <c:pt idx="1">
                  <c:v>5011.6819521839898</c:v>
                </c:pt>
                <c:pt idx="2">
                  <c:v>17411.6207864069</c:v>
                </c:pt>
                <c:pt idx="3">
                  <c:v>23091.503291216599</c:v>
                </c:pt>
                <c:pt idx="4">
                  <c:v>29846.7655039241</c:v>
                </c:pt>
                <c:pt idx="5">
                  <c:v>40503.479692606299</c:v>
                </c:pt>
                <c:pt idx="6">
                  <c:v>54702.119109682397</c:v>
                </c:pt>
                <c:pt idx="7">
                  <c:v>73499.927098928601</c:v>
                </c:pt>
                <c:pt idx="8">
                  <c:v>90872.430237230699</c:v>
                </c:pt>
                <c:pt idx="9">
                  <c:v>109652.101862355</c:v>
                </c:pt>
                <c:pt idx="10">
                  <c:v>136580.33520268201</c:v>
                </c:pt>
                <c:pt idx="11">
                  <c:v>157834.02026294099</c:v>
                </c:pt>
                <c:pt idx="12">
                  <c:v>183339.082442221</c:v>
                </c:pt>
                <c:pt idx="13">
                  <c:v>203880.115077008</c:v>
                </c:pt>
                <c:pt idx="14">
                  <c:v>220166.570057929</c:v>
                </c:pt>
                <c:pt idx="15">
                  <c:v>238223.98765304699</c:v>
                </c:pt>
              </c:numCache>
            </c:numRef>
          </c:xVal>
          <c:yVal>
            <c:numRef>
              <c:f>'Validation 5'!$B$19:$B$34</c:f>
              <c:numCache>
                <c:formatCode>General</c:formatCode>
                <c:ptCount val="16"/>
                <c:pt idx="0">
                  <c:v>-2.1077300028804</c:v>
                </c:pt>
                <c:pt idx="1">
                  <c:v>292.48336610918</c:v>
                </c:pt>
                <c:pt idx="2">
                  <c:v>295.23155869602999</c:v>
                </c:pt>
                <c:pt idx="3">
                  <c:v>306.09204026984003</c:v>
                </c:pt>
                <c:pt idx="4">
                  <c:v>327.79913443313097</c:v>
                </c:pt>
                <c:pt idx="5">
                  <c:v>354.03605224695298</c:v>
                </c:pt>
                <c:pt idx="6">
                  <c:v>380.28363851025699</c:v>
                </c:pt>
                <c:pt idx="7">
                  <c:v>402.02700540179097</c:v>
                </c:pt>
                <c:pt idx="8">
                  <c:v>416.537163543774</c:v>
                </c:pt>
                <c:pt idx="9">
                  <c:v>422.91903002457201</c:v>
                </c:pt>
                <c:pt idx="10">
                  <c:v>431.13266928162199</c:v>
                </c:pt>
                <c:pt idx="11">
                  <c:v>433.00391532096</c:v>
                </c:pt>
                <c:pt idx="12">
                  <c:v>435.79158117089702</c:v>
                </c:pt>
                <c:pt idx="13">
                  <c:v>434.04622283546001</c:v>
                </c:pt>
                <c:pt idx="14">
                  <c:v>428.67359167576399</c:v>
                </c:pt>
                <c:pt idx="15">
                  <c:v>423.30629474080899</c:v>
                </c:pt>
              </c:numCache>
            </c:numRef>
          </c:yVal>
          <c:smooth val="0"/>
          <c:extLst>
            <c:ext xmlns:c16="http://schemas.microsoft.com/office/drawing/2014/chart" uri="{C3380CC4-5D6E-409C-BE32-E72D297353CC}">
              <c16:uniqueId val="{00000001-BE6D-451D-B848-BFF99CBFFA83}"/>
            </c:ext>
          </c:extLst>
        </c:ser>
        <c:dLbls>
          <c:showLegendKey val="0"/>
          <c:showVal val="0"/>
          <c:showCatName val="0"/>
          <c:showSerName val="0"/>
          <c:showPercent val="0"/>
          <c:showBubbleSize val="0"/>
        </c:dLbls>
        <c:axId val="1560595759"/>
        <c:axId val="1560592399"/>
      </c:scatterChart>
      <c:valAx>
        <c:axId val="1560595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592399"/>
        <c:crosses val="autoZero"/>
        <c:crossBetween val="midCat"/>
      </c:valAx>
      <c:valAx>
        <c:axId val="1560592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59575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parametric_law!$I$6:$I$105</c:f>
              <c:numCache>
                <c:formatCode>0.00000</c:formatCode>
                <c:ptCount val="100"/>
                <c:pt idx="1">
                  <c:v>0</c:v>
                </c:pt>
                <c:pt idx="2">
                  <c:v>6.73398099671266E-3</c:v>
                </c:pt>
                <c:pt idx="3">
                  <c:v>1.4267512314325385E-2</c:v>
                </c:pt>
                <c:pt idx="4">
                  <c:v>2.3907143365717372E-2</c:v>
                </c:pt>
                <c:pt idx="5">
                  <c:v>3.6775516073755184E-2</c:v>
                </c:pt>
                <c:pt idx="6">
                  <c:v>4.7843474548407025E-2</c:v>
                </c:pt>
                <c:pt idx="7">
                  <c:v>6.0411007504652586E-2</c:v>
                </c:pt>
                <c:pt idx="8">
                  <c:v>7.6016542581909458E-2</c:v>
                </c:pt>
                <c:pt idx="9">
                  <c:v>9.2951870252477795E-2</c:v>
                </c:pt>
                <c:pt idx="10">
                  <c:v>0.11004684049390691</c:v>
                </c:pt>
                <c:pt idx="11">
                  <c:v>0.12382095005648815</c:v>
                </c:pt>
                <c:pt idx="12">
                  <c:v>0.1367685556355332</c:v>
                </c:pt>
                <c:pt idx="13">
                  <c:v>0.14232855303532915</c:v>
                </c:pt>
              </c:numCache>
            </c:numRef>
          </c:xVal>
          <c:yVal>
            <c:numRef>
              <c:f>parametric_law!$H$6:$H$105</c:f>
              <c:numCache>
                <c:formatCode>0.000</c:formatCode>
                <c:ptCount val="100"/>
                <c:pt idx="1">
                  <c:v>697.97820361311813</c:v>
                </c:pt>
                <c:pt idx="2">
                  <c:v>704.87373028358877</c:v>
                </c:pt>
                <c:pt idx="3">
                  <c:v>724.54539207397625</c:v>
                </c:pt>
                <c:pt idx="4">
                  <c:v>743.17784669633011</c:v>
                </c:pt>
                <c:pt idx="5">
                  <c:v>766.78680500167536</c:v>
                </c:pt>
                <c:pt idx="6">
                  <c:v>784.27691631725418</c:v>
                </c:pt>
                <c:pt idx="7">
                  <c:v>802.53161865892093</c:v>
                </c:pt>
                <c:pt idx="8">
                  <c:v>821.37160153471609</c:v>
                </c:pt>
                <c:pt idx="9">
                  <c:v>837.87666407976462</c:v>
                </c:pt>
                <c:pt idx="10">
                  <c:v>849.34604447740639</c:v>
                </c:pt>
                <c:pt idx="11">
                  <c:v>852.49991546976378</c:v>
                </c:pt>
                <c:pt idx="12">
                  <c:v>847.249543673056</c:v>
                </c:pt>
                <c:pt idx="13">
                  <c:v>830.47141335555784</c:v>
                </c:pt>
              </c:numCache>
            </c:numRef>
          </c:yVal>
          <c:smooth val="0"/>
          <c:extLst>
            <c:ext xmlns:c16="http://schemas.microsoft.com/office/drawing/2014/chart" uri="{C3380CC4-5D6E-409C-BE32-E72D297353CC}">
              <c16:uniqueId val="{00000000-5820-482D-A1BE-DEC2E4020C18}"/>
            </c:ext>
          </c:extLst>
        </c:ser>
        <c:dLbls>
          <c:showLegendKey val="0"/>
          <c:showVal val="0"/>
          <c:showCatName val="0"/>
          <c:showSerName val="0"/>
          <c:showPercent val="0"/>
          <c:showBubbleSize val="0"/>
        </c:dLbls>
        <c:axId val="566237903"/>
        <c:axId val="576210943"/>
      </c:scatterChart>
      <c:valAx>
        <c:axId val="56623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0943"/>
        <c:crosses val="autoZero"/>
        <c:crossBetween val="midCat"/>
      </c:valAx>
      <c:valAx>
        <c:axId val="57621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379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Eng</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parametric_law!$C$6:$C$31</c:f>
              <c:numCache>
                <c:formatCode>General</c:formatCode>
                <c:ptCount val="26"/>
                <c:pt idx="0">
                  <c:v>0</c:v>
                </c:pt>
                <c:pt idx="1">
                  <c:v>4.8475231826263796E-3</c:v>
                </c:pt>
                <c:pt idx="2">
                  <c:v>1.16369816941335E-2</c:v>
                </c:pt>
                <c:pt idx="3">
                  <c:v>1.9286960073031299E-2</c:v>
                </c:pt>
                <c:pt idx="4">
                  <c:v>2.9160020179695399E-2</c:v>
                </c:pt>
                <c:pt idx="5">
                  <c:v>4.2489213472349102E-2</c:v>
                </c:pt>
                <c:pt idx="6">
                  <c:v>5.4091529332628799E-2</c:v>
                </c:pt>
                <c:pt idx="7">
                  <c:v>6.7422452313458003E-2</c:v>
                </c:pt>
                <c:pt idx="8">
                  <c:v>8.4210805746408504E-2</c:v>
                </c:pt>
                <c:pt idx="9">
                  <c:v>0.102728631143996</c:v>
                </c:pt>
                <c:pt idx="10">
                  <c:v>0.12174179599288899</c:v>
                </c:pt>
                <c:pt idx="11">
                  <c:v>0.13729969249988</c:v>
                </c:pt>
                <c:pt idx="12">
                  <c:v>0.15212074184403901</c:v>
                </c:pt>
                <c:pt idx="13">
                  <c:v>0.15854437130639501</c:v>
                </c:pt>
              </c:numCache>
            </c:numRef>
          </c:xVal>
          <c:yVal>
            <c:numRef>
              <c:f>parametric_law!$B$6:$B$31</c:f>
              <c:numCache>
                <c:formatCode>General</c:formatCode>
                <c:ptCount val="26"/>
                <c:pt idx="0">
                  <c:v>0</c:v>
                </c:pt>
                <c:pt idx="1">
                  <c:v>694.61106039494496</c:v>
                </c:pt>
                <c:pt idx="2">
                  <c:v>696.76548311151601</c:v>
                </c:pt>
                <c:pt idx="3">
                  <c:v>710.83553548263103</c:v>
                </c:pt>
                <c:pt idx="4">
                  <c:v>722.120789890933</c:v>
                </c:pt>
                <c:pt idx="5">
                  <c:v>735.534521693172</c:v>
                </c:pt>
                <c:pt idx="6">
                  <c:v>744.03113438716196</c:v>
                </c:pt>
                <c:pt idx="7">
                  <c:v>751.84067650026395</c:v>
                </c:pt>
                <c:pt idx="8">
                  <c:v>757.57555374045103</c:v>
                </c:pt>
                <c:pt idx="9">
                  <c:v>759.82126555518198</c:v>
                </c:pt>
                <c:pt idx="10">
                  <c:v>757.16715514342002</c:v>
                </c:pt>
                <c:pt idx="11">
                  <c:v>749.582472493154</c:v>
                </c:pt>
                <c:pt idx="12">
                  <c:v>735.38259741507795</c:v>
                </c:pt>
                <c:pt idx="13">
                  <c:v>716.823139384039</c:v>
                </c:pt>
              </c:numCache>
            </c:numRef>
          </c:yVal>
          <c:smooth val="0"/>
          <c:extLst>
            <c:ext xmlns:c16="http://schemas.microsoft.com/office/drawing/2014/chart" uri="{C3380CC4-5D6E-409C-BE32-E72D297353CC}">
              <c16:uniqueId val="{00000000-19CB-4284-B726-516EA8C5E170}"/>
            </c:ext>
          </c:extLst>
        </c:ser>
        <c:ser>
          <c:idx val="1"/>
          <c:order val="1"/>
          <c:tx>
            <c:v>TRUE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parametric_law!$E$6:$E$31</c:f>
              <c:numCache>
                <c:formatCode>General</c:formatCode>
                <c:ptCount val="26"/>
                <c:pt idx="0">
                  <c:v>0</c:v>
                </c:pt>
                <c:pt idx="1">
                  <c:v>4.8358117744223402E-3</c:v>
                </c:pt>
                <c:pt idx="2">
                  <c:v>1.1569792771135E-2</c:v>
                </c:pt>
                <c:pt idx="3">
                  <c:v>1.9103324088747726E-2</c:v>
                </c:pt>
                <c:pt idx="4">
                  <c:v>2.8742955140139713E-2</c:v>
                </c:pt>
                <c:pt idx="5">
                  <c:v>4.1611327848177525E-2</c:v>
                </c:pt>
                <c:pt idx="6">
                  <c:v>5.2679286322829366E-2</c:v>
                </c:pt>
                <c:pt idx="7">
                  <c:v>6.5246819279074927E-2</c:v>
                </c:pt>
                <c:pt idx="8">
                  <c:v>8.0852354356331799E-2</c:v>
                </c:pt>
                <c:pt idx="9">
                  <c:v>9.7787682026900136E-2</c:v>
                </c:pt>
                <c:pt idx="10">
                  <c:v>0.11488265226832925</c:v>
                </c:pt>
                <c:pt idx="11">
                  <c:v>0.12865676183091049</c:v>
                </c:pt>
                <c:pt idx="12">
                  <c:v>0.14160436740995552</c:v>
                </c:pt>
                <c:pt idx="13">
                  <c:v>0.14716436480975148</c:v>
                </c:pt>
              </c:numCache>
            </c:numRef>
          </c:xVal>
          <c:yVal>
            <c:numRef>
              <c:f>parametric_law!$D$6:$D$31</c:f>
              <c:numCache>
                <c:formatCode>General</c:formatCode>
                <c:ptCount val="26"/>
                <c:pt idx="0">
                  <c:v>0</c:v>
                </c:pt>
                <c:pt idx="1">
                  <c:v>697.97820361311813</c:v>
                </c:pt>
                <c:pt idx="2">
                  <c:v>704.87373028358877</c:v>
                </c:pt>
                <c:pt idx="3">
                  <c:v>724.54539207397625</c:v>
                </c:pt>
                <c:pt idx="4">
                  <c:v>743.17784669633011</c:v>
                </c:pt>
                <c:pt idx="5">
                  <c:v>766.78680500167536</c:v>
                </c:pt>
                <c:pt idx="6">
                  <c:v>784.27691631725418</c:v>
                </c:pt>
                <c:pt idx="7">
                  <c:v>802.53161865892093</c:v>
                </c:pt>
                <c:pt idx="8">
                  <c:v>821.37160153471609</c:v>
                </c:pt>
                <c:pt idx="9">
                  <c:v>837.87666407976462</c:v>
                </c:pt>
                <c:pt idx="10">
                  <c:v>849.34604447740639</c:v>
                </c:pt>
                <c:pt idx="11">
                  <c:v>852.49991546976378</c:v>
                </c:pt>
                <c:pt idx="12">
                  <c:v>847.249543673056</c:v>
                </c:pt>
                <c:pt idx="13">
                  <c:v>830.47141335555784</c:v>
                </c:pt>
              </c:numCache>
            </c:numRef>
          </c:yVal>
          <c:smooth val="0"/>
          <c:extLst>
            <c:ext xmlns:c16="http://schemas.microsoft.com/office/drawing/2014/chart" uri="{C3380CC4-5D6E-409C-BE32-E72D297353CC}">
              <c16:uniqueId val="{00000001-19CB-4284-B726-516EA8C5E170}"/>
            </c:ext>
          </c:extLst>
        </c:ser>
        <c:dLbls>
          <c:showLegendKey val="0"/>
          <c:showVal val="0"/>
          <c:showCatName val="0"/>
          <c:showSerName val="0"/>
          <c:showPercent val="0"/>
          <c:showBubbleSize val="0"/>
        </c:dLbls>
        <c:axId val="526484048"/>
        <c:axId val="526484528"/>
      </c:scatterChart>
      <c:valAx>
        <c:axId val="52648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528"/>
        <c:crosses val="autoZero"/>
        <c:crossBetween val="midCat"/>
      </c:valAx>
      <c:valAx>
        <c:axId val="52648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840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'Validation 4'!$B$1</c:f>
              <c:strCache>
                <c:ptCount val="1"/>
                <c:pt idx="0">
                  <c:v>sig</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'Validation 4'!$A$2:$A$15</c:f>
              <c:numCache>
                <c:formatCode>General</c:formatCode>
                <c:ptCount val="14"/>
                <c:pt idx="0" formatCode="0.00E+00">
                  <c:v>7.2070340667584794E-8</c:v>
                </c:pt>
                <c:pt idx="1">
                  <c:v>4.8475231826263796E-3</c:v>
                </c:pt>
                <c:pt idx="2">
                  <c:v>1.16369816941335E-2</c:v>
                </c:pt>
                <c:pt idx="3">
                  <c:v>1.9286960073031299E-2</c:v>
                </c:pt>
                <c:pt idx="4">
                  <c:v>2.9160020179695399E-2</c:v>
                </c:pt>
                <c:pt idx="5">
                  <c:v>4.2489213472349102E-2</c:v>
                </c:pt>
                <c:pt idx="6">
                  <c:v>5.4091529332628799E-2</c:v>
                </c:pt>
                <c:pt idx="7">
                  <c:v>6.7422452313458003E-2</c:v>
                </c:pt>
                <c:pt idx="8">
                  <c:v>8.4210805746408504E-2</c:v>
                </c:pt>
                <c:pt idx="9">
                  <c:v>0.102728631143996</c:v>
                </c:pt>
                <c:pt idx="10">
                  <c:v>0.12174179599288899</c:v>
                </c:pt>
                <c:pt idx="11">
                  <c:v>0.13729969249988</c:v>
                </c:pt>
                <c:pt idx="12">
                  <c:v>0.15212074184403901</c:v>
                </c:pt>
                <c:pt idx="13">
                  <c:v>0.15854437130639501</c:v>
                </c:pt>
              </c:numCache>
            </c:numRef>
          </c:xVal>
          <c:yVal>
            <c:numRef>
              <c:f>'Validation 4'!$B$2:$B$15</c:f>
              <c:numCache>
                <c:formatCode>General</c:formatCode>
                <c:ptCount val="14"/>
                <c:pt idx="0">
                  <c:v>0.35266420025956702</c:v>
                </c:pt>
                <c:pt idx="1">
                  <c:v>694.61106039494496</c:v>
                </c:pt>
                <c:pt idx="2">
                  <c:v>696.76548311151601</c:v>
                </c:pt>
                <c:pt idx="3">
                  <c:v>710.83553548263103</c:v>
                </c:pt>
                <c:pt idx="4">
                  <c:v>722.120789890933</c:v>
                </c:pt>
                <c:pt idx="5">
                  <c:v>735.534521693172</c:v>
                </c:pt>
                <c:pt idx="6">
                  <c:v>744.03113438716196</c:v>
                </c:pt>
                <c:pt idx="7">
                  <c:v>751.84067650026395</c:v>
                </c:pt>
                <c:pt idx="8">
                  <c:v>757.57555374045103</c:v>
                </c:pt>
                <c:pt idx="9">
                  <c:v>759.82126555518198</c:v>
                </c:pt>
                <c:pt idx="10">
                  <c:v>757.16715514342002</c:v>
                </c:pt>
                <c:pt idx="11">
                  <c:v>749.582472493154</c:v>
                </c:pt>
                <c:pt idx="12">
                  <c:v>735.38259741507795</c:v>
                </c:pt>
                <c:pt idx="13">
                  <c:v>716.823139384039</c:v>
                </c:pt>
              </c:numCache>
            </c:numRef>
          </c:yVal>
          <c:smooth val="0"/>
          <c:extLst>
            <c:ext xmlns:c16="http://schemas.microsoft.com/office/drawing/2014/chart" uri="{C3380CC4-5D6E-409C-BE32-E72D297353CC}">
              <c16:uniqueId val="{00000000-6B75-49E7-AB26-784BA8A77156}"/>
            </c:ext>
          </c:extLst>
        </c:ser>
        <c:dLbls>
          <c:showLegendKey val="0"/>
          <c:showVal val="0"/>
          <c:showCatName val="0"/>
          <c:showSerName val="0"/>
          <c:showPercent val="0"/>
          <c:showBubbleSize val="0"/>
        </c:dLbls>
        <c:axId val="224393743"/>
        <c:axId val="224401423"/>
      </c:scatterChart>
      <c:valAx>
        <c:axId val="224393743"/>
        <c:scaling>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401423"/>
        <c:crosses val="autoZero"/>
        <c:crossBetween val="midCat"/>
      </c:valAx>
      <c:valAx>
        <c:axId val="224401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39374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2" name="Rectangle 1">
          <a:extLst>
            <a:ext uri="{FF2B5EF4-FFF2-40B4-BE49-F238E27FC236}">
              <a16:creationId xmlns:a16="http://schemas.microsoft.com/office/drawing/2014/main" id="{000EFC7C-719E-4AFD-8379-CAA6FB31086A}"/>
            </a:ext>
          </a:extLst>
        </xdr:cNvPr>
        <xdr:cNvSpPr/>
      </xdr:nvSpPr>
      <xdr:spPr>
        <a:xfrm>
          <a:off x="7515225" y="254000"/>
          <a:ext cx="1495425"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12</xdr:col>
      <xdr:colOff>298450</xdr:colOff>
      <xdr:row>1</xdr:row>
      <xdr:rowOff>166687</xdr:rowOff>
    </xdr:from>
    <xdr:to>
      <xdr:col>18</xdr:col>
      <xdr:colOff>298450</xdr:colOff>
      <xdr:row>16</xdr:row>
      <xdr:rowOff>52387</xdr:rowOff>
    </xdr:to>
    <xdr:graphicFrame macro="">
      <xdr:nvGraphicFramePr>
        <xdr:cNvPr id="3" name="Chart 2">
          <a:extLst>
            <a:ext uri="{FF2B5EF4-FFF2-40B4-BE49-F238E27FC236}">
              <a16:creationId xmlns:a16="http://schemas.microsoft.com/office/drawing/2014/main" id="{1D8A8527-89FE-4A2F-938E-4C95BF7A04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504824</xdr:colOff>
      <xdr:row>1</xdr:row>
      <xdr:rowOff>104776</xdr:rowOff>
    </xdr:from>
    <xdr:to>
      <xdr:col>24</xdr:col>
      <xdr:colOff>352425</xdr:colOff>
      <xdr:row>16</xdr:row>
      <xdr:rowOff>85726</xdr:rowOff>
    </xdr:to>
    <xdr:graphicFrame macro="">
      <xdr:nvGraphicFramePr>
        <xdr:cNvPr id="4" name="Chart 3">
          <a:extLst>
            <a:ext uri="{FF2B5EF4-FFF2-40B4-BE49-F238E27FC236}">
              <a16:creationId xmlns:a16="http://schemas.microsoft.com/office/drawing/2014/main" id="{24D88BA8-4E51-42AA-9B3B-18E9B68062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2" name="Rectangle 1">
          <a:extLst>
            <a:ext uri="{FF2B5EF4-FFF2-40B4-BE49-F238E27FC236}">
              <a16:creationId xmlns:a16="http://schemas.microsoft.com/office/drawing/2014/main" id="{1BA00E87-4ED9-404A-9756-DC9E0B886CB5}"/>
            </a:ext>
          </a:extLst>
        </xdr:cNvPr>
        <xdr:cNvSpPr/>
      </xdr:nvSpPr>
      <xdr:spPr>
        <a:xfrm>
          <a:off x="7524750" y="295275"/>
          <a:ext cx="1492250"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12</xdr:col>
      <xdr:colOff>298450</xdr:colOff>
      <xdr:row>1</xdr:row>
      <xdr:rowOff>166687</xdr:rowOff>
    </xdr:from>
    <xdr:to>
      <xdr:col>18</xdr:col>
      <xdr:colOff>298450</xdr:colOff>
      <xdr:row>16</xdr:row>
      <xdr:rowOff>52387</xdr:rowOff>
    </xdr:to>
    <xdr:graphicFrame macro="">
      <xdr:nvGraphicFramePr>
        <xdr:cNvPr id="3" name="Chart 2">
          <a:extLst>
            <a:ext uri="{FF2B5EF4-FFF2-40B4-BE49-F238E27FC236}">
              <a16:creationId xmlns:a16="http://schemas.microsoft.com/office/drawing/2014/main" id="{100B1E2E-017D-463C-BE2C-9DDE56D3B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504824</xdr:colOff>
      <xdr:row>1</xdr:row>
      <xdr:rowOff>104776</xdr:rowOff>
    </xdr:from>
    <xdr:to>
      <xdr:col>24</xdr:col>
      <xdr:colOff>352425</xdr:colOff>
      <xdr:row>16</xdr:row>
      <xdr:rowOff>85726</xdr:rowOff>
    </xdr:to>
    <xdr:graphicFrame macro="">
      <xdr:nvGraphicFramePr>
        <xdr:cNvPr id="4" name="Chart 3">
          <a:extLst>
            <a:ext uri="{FF2B5EF4-FFF2-40B4-BE49-F238E27FC236}">
              <a16:creationId xmlns:a16="http://schemas.microsoft.com/office/drawing/2014/main" id="{14C7E6AB-244D-4E25-8B72-F60A88173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2" name="Rectangle 1">
          <a:extLst>
            <a:ext uri="{FF2B5EF4-FFF2-40B4-BE49-F238E27FC236}">
              <a16:creationId xmlns:a16="http://schemas.microsoft.com/office/drawing/2014/main" id="{038B2E12-DB63-483D-A5D7-55DD86A020FB}"/>
            </a:ext>
          </a:extLst>
        </xdr:cNvPr>
        <xdr:cNvSpPr/>
      </xdr:nvSpPr>
      <xdr:spPr>
        <a:xfrm>
          <a:off x="7416800" y="295275"/>
          <a:ext cx="1492250"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12</xdr:col>
      <xdr:colOff>298450</xdr:colOff>
      <xdr:row>1</xdr:row>
      <xdr:rowOff>166687</xdr:rowOff>
    </xdr:from>
    <xdr:to>
      <xdr:col>18</xdr:col>
      <xdr:colOff>298450</xdr:colOff>
      <xdr:row>16</xdr:row>
      <xdr:rowOff>52387</xdr:rowOff>
    </xdr:to>
    <xdr:graphicFrame macro="">
      <xdr:nvGraphicFramePr>
        <xdr:cNvPr id="3" name="Chart 2">
          <a:extLst>
            <a:ext uri="{FF2B5EF4-FFF2-40B4-BE49-F238E27FC236}">
              <a16:creationId xmlns:a16="http://schemas.microsoft.com/office/drawing/2014/main" id="{0C37EFFE-BC53-4773-A64A-1327EB94C0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504824</xdr:colOff>
      <xdr:row>1</xdr:row>
      <xdr:rowOff>104776</xdr:rowOff>
    </xdr:from>
    <xdr:to>
      <xdr:col>24</xdr:col>
      <xdr:colOff>352425</xdr:colOff>
      <xdr:row>16</xdr:row>
      <xdr:rowOff>85726</xdr:rowOff>
    </xdr:to>
    <xdr:graphicFrame macro="">
      <xdr:nvGraphicFramePr>
        <xdr:cNvPr id="4" name="Chart 3">
          <a:extLst>
            <a:ext uri="{FF2B5EF4-FFF2-40B4-BE49-F238E27FC236}">
              <a16:creationId xmlns:a16="http://schemas.microsoft.com/office/drawing/2014/main" id="{8F77C070-D44D-4D22-9E15-12DFA1037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2" name="Rectangle 1">
          <a:extLst>
            <a:ext uri="{FF2B5EF4-FFF2-40B4-BE49-F238E27FC236}">
              <a16:creationId xmlns:a16="http://schemas.microsoft.com/office/drawing/2014/main" id="{4335A32C-CC0C-40BD-B5B6-EE5B92DCD853}"/>
            </a:ext>
          </a:extLst>
        </xdr:cNvPr>
        <xdr:cNvSpPr/>
      </xdr:nvSpPr>
      <xdr:spPr>
        <a:xfrm>
          <a:off x="7515225" y="292100"/>
          <a:ext cx="1495425"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12</xdr:col>
      <xdr:colOff>298450</xdr:colOff>
      <xdr:row>1</xdr:row>
      <xdr:rowOff>166687</xdr:rowOff>
    </xdr:from>
    <xdr:to>
      <xdr:col>18</xdr:col>
      <xdr:colOff>298450</xdr:colOff>
      <xdr:row>16</xdr:row>
      <xdr:rowOff>52387</xdr:rowOff>
    </xdr:to>
    <xdr:graphicFrame macro="">
      <xdr:nvGraphicFramePr>
        <xdr:cNvPr id="3" name="Chart 2">
          <a:extLst>
            <a:ext uri="{FF2B5EF4-FFF2-40B4-BE49-F238E27FC236}">
              <a16:creationId xmlns:a16="http://schemas.microsoft.com/office/drawing/2014/main" id="{EA27ED1C-7EF4-48EB-A57B-80FA8DB702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504824</xdr:colOff>
      <xdr:row>1</xdr:row>
      <xdr:rowOff>104776</xdr:rowOff>
    </xdr:from>
    <xdr:to>
      <xdr:col>24</xdr:col>
      <xdr:colOff>352425</xdr:colOff>
      <xdr:row>16</xdr:row>
      <xdr:rowOff>85726</xdr:rowOff>
    </xdr:to>
    <xdr:graphicFrame macro="">
      <xdr:nvGraphicFramePr>
        <xdr:cNvPr id="4" name="Chart 3">
          <a:extLst>
            <a:ext uri="{FF2B5EF4-FFF2-40B4-BE49-F238E27FC236}">
              <a16:creationId xmlns:a16="http://schemas.microsoft.com/office/drawing/2014/main" id="{6D2A48BD-7205-4E25-BBD7-ED9A4EF530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2" name="Rectangle 1">
          <a:extLst>
            <a:ext uri="{FF2B5EF4-FFF2-40B4-BE49-F238E27FC236}">
              <a16:creationId xmlns:a16="http://schemas.microsoft.com/office/drawing/2014/main" id="{9846C0EF-24B4-4BE5-9376-E3297556DC30}"/>
            </a:ext>
          </a:extLst>
        </xdr:cNvPr>
        <xdr:cNvSpPr/>
      </xdr:nvSpPr>
      <xdr:spPr>
        <a:xfrm>
          <a:off x="7410450" y="292100"/>
          <a:ext cx="1495425"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14</xdr:col>
      <xdr:colOff>657224</xdr:colOff>
      <xdr:row>3</xdr:row>
      <xdr:rowOff>1</xdr:rowOff>
    </xdr:from>
    <xdr:to>
      <xdr:col>20</xdr:col>
      <xdr:colOff>504825</xdr:colOff>
      <xdr:row>17</xdr:row>
      <xdr:rowOff>171451</xdr:rowOff>
    </xdr:to>
    <xdr:graphicFrame macro="">
      <xdr:nvGraphicFramePr>
        <xdr:cNvPr id="4" name="Chart 3">
          <a:extLst>
            <a:ext uri="{FF2B5EF4-FFF2-40B4-BE49-F238E27FC236}">
              <a16:creationId xmlns:a16="http://schemas.microsoft.com/office/drawing/2014/main" id="{DC3D5C5E-BED6-4ED2-9E29-7CD4E473EE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2" name="Rectangle 1">
          <a:extLst>
            <a:ext uri="{FF2B5EF4-FFF2-40B4-BE49-F238E27FC236}">
              <a16:creationId xmlns:a16="http://schemas.microsoft.com/office/drawing/2014/main" id="{AF6BCB22-E53B-480C-8270-670144762107}"/>
            </a:ext>
          </a:extLst>
        </xdr:cNvPr>
        <xdr:cNvSpPr/>
      </xdr:nvSpPr>
      <xdr:spPr>
        <a:xfrm>
          <a:off x="7410450" y="292100"/>
          <a:ext cx="1495425"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13</xdr:col>
      <xdr:colOff>161924</xdr:colOff>
      <xdr:row>6</xdr:row>
      <xdr:rowOff>123826</xdr:rowOff>
    </xdr:from>
    <xdr:to>
      <xdr:col>27</xdr:col>
      <xdr:colOff>409575</xdr:colOff>
      <xdr:row>37</xdr:row>
      <xdr:rowOff>38100</xdr:rowOff>
    </xdr:to>
    <xdr:graphicFrame macro="">
      <xdr:nvGraphicFramePr>
        <xdr:cNvPr id="4" name="Chart 3">
          <a:extLst>
            <a:ext uri="{FF2B5EF4-FFF2-40B4-BE49-F238E27FC236}">
              <a16:creationId xmlns:a16="http://schemas.microsoft.com/office/drawing/2014/main" id="{F26B4D75-524F-4E68-BFEC-277164836D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3" name="Rectangle 2">
          <a:extLst>
            <a:ext uri="{FF2B5EF4-FFF2-40B4-BE49-F238E27FC236}">
              <a16:creationId xmlns:a16="http://schemas.microsoft.com/office/drawing/2014/main" id="{BAA174C4-1916-475E-A44A-26F776F9E0EC}"/>
            </a:ext>
          </a:extLst>
        </xdr:cNvPr>
        <xdr:cNvSpPr/>
      </xdr:nvSpPr>
      <xdr:spPr>
        <a:xfrm>
          <a:off x="7680325" y="247650"/>
          <a:ext cx="1571625" cy="368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12</xdr:col>
      <xdr:colOff>298450</xdr:colOff>
      <xdr:row>1</xdr:row>
      <xdr:rowOff>166687</xdr:rowOff>
    </xdr:from>
    <xdr:to>
      <xdr:col>18</xdr:col>
      <xdr:colOff>298450</xdr:colOff>
      <xdr:row>16</xdr:row>
      <xdr:rowOff>52387</xdr:rowOff>
    </xdr:to>
    <xdr:graphicFrame macro="">
      <xdr:nvGraphicFramePr>
        <xdr:cNvPr id="4" name="Chart 3">
          <a:extLst>
            <a:ext uri="{FF2B5EF4-FFF2-40B4-BE49-F238E27FC236}">
              <a16:creationId xmlns:a16="http://schemas.microsoft.com/office/drawing/2014/main" id="{01DD4E45-0332-D4E1-02D0-A5C93A689A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504824</xdr:colOff>
      <xdr:row>1</xdr:row>
      <xdr:rowOff>104776</xdr:rowOff>
    </xdr:from>
    <xdr:to>
      <xdr:col>24</xdr:col>
      <xdr:colOff>352425</xdr:colOff>
      <xdr:row>16</xdr:row>
      <xdr:rowOff>85726</xdr:rowOff>
    </xdr:to>
    <xdr:graphicFrame macro="">
      <xdr:nvGraphicFramePr>
        <xdr:cNvPr id="5" name="Chart 4">
          <a:extLst>
            <a:ext uri="{FF2B5EF4-FFF2-40B4-BE49-F238E27FC236}">
              <a16:creationId xmlns:a16="http://schemas.microsoft.com/office/drawing/2014/main" id="{E45F6CD4-8098-00E2-9AE0-BF30A1F731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2" name="Rectangle 1">
          <a:extLst>
            <a:ext uri="{FF2B5EF4-FFF2-40B4-BE49-F238E27FC236}">
              <a16:creationId xmlns:a16="http://schemas.microsoft.com/office/drawing/2014/main" id="{BFE45F55-2117-4E06-9828-D0A336D9425C}"/>
            </a:ext>
          </a:extLst>
        </xdr:cNvPr>
        <xdr:cNvSpPr/>
      </xdr:nvSpPr>
      <xdr:spPr>
        <a:xfrm>
          <a:off x="7416800" y="295275"/>
          <a:ext cx="1492250"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12</xdr:col>
      <xdr:colOff>298450</xdr:colOff>
      <xdr:row>1</xdr:row>
      <xdr:rowOff>166687</xdr:rowOff>
    </xdr:from>
    <xdr:to>
      <xdr:col>18</xdr:col>
      <xdr:colOff>298450</xdr:colOff>
      <xdr:row>16</xdr:row>
      <xdr:rowOff>52387</xdr:rowOff>
    </xdr:to>
    <xdr:graphicFrame macro="">
      <xdr:nvGraphicFramePr>
        <xdr:cNvPr id="3" name="Chart 2">
          <a:extLst>
            <a:ext uri="{FF2B5EF4-FFF2-40B4-BE49-F238E27FC236}">
              <a16:creationId xmlns:a16="http://schemas.microsoft.com/office/drawing/2014/main" id="{AF9319DE-CD38-43A7-9318-688990BF1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504824</xdr:colOff>
      <xdr:row>1</xdr:row>
      <xdr:rowOff>104776</xdr:rowOff>
    </xdr:from>
    <xdr:to>
      <xdr:col>24</xdr:col>
      <xdr:colOff>352425</xdr:colOff>
      <xdr:row>16</xdr:row>
      <xdr:rowOff>85726</xdr:rowOff>
    </xdr:to>
    <xdr:graphicFrame macro="">
      <xdr:nvGraphicFramePr>
        <xdr:cNvPr id="4" name="Chart 3">
          <a:extLst>
            <a:ext uri="{FF2B5EF4-FFF2-40B4-BE49-F238E27FC236}">
              <a16:creationId xmlns:a16="http://schemas.microsoft.com/office/drawing/2014/main" id="{ED6EF044-A290-4619-A860-8ACAE77797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342899</xdr:colOff>
      <xdr:row>0</xdr:row>
      <xdr:rowOff>161925</xdr:rowOff>
    </xdr:from>
    <xdr:to>
      <xdr:col>9</xdr:col>
      <xdr:colOff>298450</xdr:colOff>
      <xdr:row>15</xdr:row>
      <xdr:rowOff>184150</xdr:rowOff>
    </xdr:to>
    <xdr:graphicFrame macro="">
      <xdr:nvGraphicFramePr>
        <xdr:cNvPr id="4" name="Chart 3">
          <a:extLst>
            <a:ext uri="{FF2B5EF4-FFF2-40B4-BE49-F238E27FC236}">
              <a16:creationId xmlns:a16="http://schemas.microsoft.com/office/drawing/2014/main" id="{3009CDB8-08FF-FE10-7369-0F05EE8E8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434975</xdr:colOff>
      <xdr:row>0</xdr:row>
      <xdr:rowOff>9525</xdr:rowOff>
    </xdr:from>
    <xdr:to>
      <xdr:col>9</xdr:col>
      <xdr:colOff>600076</xdr:colOff>
      <xdr:row>14</xdr:row>
      <xdr:rowOff>146050</xdr:rowOff>
    </xdr:to>
    <xdr:graphicFrame macro="">
      <xdr:nvGraphicFramePr>
        <xdr:cNvPr id="2" name="Chart 1">
          <a:extLst>
            <a:ext uri="{FF2B5EF4-FFF2-40B4-BE49-F238E27FC236}">
              <a16:creationId xmlns:a16="http://schemas.microsoft.com/office/drawing/2014/main" id="{DE751776-6389-46E3-8053-DD22813BBA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219075</xdr:colOff>
      <xdr:row>1</xdr:row>
      <xdr:rowOff>100012</xdr:rowOff>
    </xdr:from>
    <xdr:to>
      <xdr:col>12</xdr:col>
      <xdr:colOff>523875</xdr:colOff>
      <xdr:row>15</xdr:row>
      <xdr:rowOff>176212</xdr:rowOff>
    </xdr:to>
    <xdr:graphicFrame macro="">
      <xdr:nvGraphicFramePr>
        <xdr:cNvPr id="2" name="Chart 1">
          <a:extLst>
            <a:ext uri="{FF2B5EF4-FFF2-40B4-BE49-F238E27FC236}">
              <a16:creationId xmlns:a16="http://schemas.microsoft.com/office/drawing/2014/main" id="{A3E44D5E-BCD6-2510-333E-B4D1399646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390525</xdr:colOff>
      <xdr:row>1</xdr:row>
      <xdr:rowOff>63500</xdr:rowOff>
    </xdr:from>
    <xdr:to>
      <xdr:col>11</xdr:col>
      <xdr:colOff>361950</xdr:colOff>
      <xdr:row>3</xdr:row>
      <xdr:rowOff>63500</xdr:rowOff>
    </xdr:to>
    <xdr:sp macro="[0]!Create_material_files" textlink="">
      <xdr:nvSpPr>
        <xdr:cNvPr id="2" name="Rectangle 1">
          <a:extLst>
            <a:ext uri="{FF2B5EF4-FFF2-40B4-BE49-F238E27FC236}">
              <a16:creationId xmlns:a16="http://schemas.microsoft.com/office/drawing/2014/main" id="{C9EB728D-EA9F-4B89-B54C-2420D6DA1256}"/>
            </a:ext>
          </a:extLst>
        </xdr:cNvPr>
        <xdr:cNvSpPr/>
      </xdr:nvSpPr>
      <xdr:spPr>
        <a:xfrm>
          <a:off x="7854950" y="276225"/>
          <a:ext cx="1574800" cy="3619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100"/>
            <a:t>Get .dat files</a:t>
          </a:r>
        </a:p>
      </xdr:txBody>
    </xdr:sp>
    <xdr:clientData/>
  </xdr:twoCellAnchor>
  <xdr:twoCellAnchor>
    <xdr:from>
      <xdr:col>12</xdr:col>
      <xdr:colOff>298450</xdr:colOff>
      <xdr:row>1</xdr:row>
      <xdr:rowOff>166687</xdr:rowOff>
    </xdr:from>
    <xdr:to>
      <xdr:col>18</xdr:col>
      <xdr:colOff>298450</xdr:colOff>
      <xdr:row>16</xdr:row>
      <xdr:rowOff>52387</xdr:rowOff>
    </xdr:to>
    <xdr:graphicFrame macro="">
      <xdr:nvGraphicFramePr>
        <xdr:cNvPr id="3" name="Chart 2">
          <a:extLst>
            <a:ext uri="{FF2B5EF4-FFF2-40B4-BE49-F238E27FC236}">
              <a16:creationId xmlns:a16="http://schemas.microsoft.com/office/drawing/2014/main" id="{1078FCAD-E00E-4E53-B9BF-F61C1C6155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504824</xdr:colOff>
      <xdr:row>1</xdr:row>
      <xdr:rowOff>104776</xdr:rowOff>
    </xdr:from>
    <xdr:to>
      <xdr:col>24</xdr:col>
      <xdr:colOff>352425</xdr:colOff>
      <xdr:row>16</xdr:row>
      <xdr:rowOff>85726</xdr:rowOff>
    </xdr:to>
    <xdr:graphicFrame macro="">
      <xdr:nvGraphicFramePr>
        <xdr:cNvPr id="4" name="Chart 3">
          <a:extLst>
            <a:ext uri="{FF2B5EF4-FFF2-40B4-BE49-F238E27FC236}">
              <a16:creationId xmlns:a16="http://schemas.microsoft.com/office/drawing/2014/main" id="{3127ADD9-15EB-4B67-884B-3846FF2989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130175</xdr:colOff>
      <xdr:row>8</xdr:row>
      <xdr:rowOff>69850</xdr:rowOff>
    </xdr:from>
    <xdr:to>
      <xdr:col>16</xdr:col>
      <xdr:colOff>434975</xdr:colOff>
      <xdr:row>22</xdr:row>
      <xdr:rowOff>146050</xdr:rowOff>
    </xdr:to>
    <xdr:graphicFrame macro="">
      <xdr:nvGraphicFramePr>
        <xdr:cNvPr id="2" name="Chart 1">
          <a:extLst>
            <a:ext uri="{FF2B5EF4-FFF2-40B4-BE49-F238E27FC236}">
              <a16:creationId xmlns:a16="http://schemas.microsoft.com/office/drawing/2014/main" id="{674DB322-1029-6D27-0F7C-979FE1ACE7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E14"/>
  <sheetViews>
    <sheetView workbookViewId="0">
      <selection activeCell="O20" sqref="O20"/>
    </sheetView>
  </sheetViews>
  <sheetFormatPr defaultColWidth="10.85546875" defaultRowHeight="15" x14ac:dyDescent="0.25"/>
  <sheetData>
    <row r="1" spans="1:5" ht="15.75" x14ac:dyDescent="0.25">
      <c r="A1" s="20" t="s">
        <v>7</v>
      </c>
      <c r="B1" s="20"/>
      <c r="C1" s="20"/>
      <c r="D1" s="20"/>
      <c r="E1" s="20"/>
    </row>
    <row r="3" spans="1:5" ht="15" customHeight="1" x14ac:dyDescent="0.25">
      <c r="A3" s="19" t="s">
        <v>9</v>
      </c>
      <c r="B3" s="19"/>
      <c r="C3" s="19"/>
      <c r="D3" s="19"/>
      <c r="E3" s="19"/>
    </row>
    <row r="4" spans="1:5" x14ac:dyDescent="0.25">
      <c r="A4" s="19"/>
      <c r="B4" s="19"/>
      <c r="C4" s="19"/>
      <c r="D4" s="19"/>
      <c r="E4" s="19"/>
    </row>
    <row r="5" spans="1:5" x14ac:dyDescent="0.25">
      <c r="A5" s="19"/>
      <c r="B5" s="19"/>
      <c r="C5" s="19"/>
      <c r="D5" s="19"/>
      <c r="E5" s="19"/>
    </row>
    <row r="6" spans="1:5" x14ac:dyDescent="0.25">
      <c r="A6" s="6"/>
      <c r="B6" s="6"/>
      <c r="C6" s="6"/>
      <c r="D6" s="6"/>
      <c r="E6" s="6"/>
    </row>
    <row r="7" spans="1:5" ht="15" customHeight="1" x14ac:dyDescent="0.25">
      <c r="A7" s="19" t="s">
        <v>10</v>
      </c>
      <c r="B7" s="19"/>
      <c r="C7" s="19"/>
      <c r="D7" s="19"/>
      <c r="E7" s="19"/>
    </row>
    <row r="8" spans="1:5" x14ac:dyDescent="0.25">
      <c r="A8" s="19"/>
      <c r="B8" s="19"/>
      <c r="C8" s="19"/>
      <c r="D8" s="19"/>
      <c r="E8" s="19"/>
    </row>
    <row r="9" spans="1:5" x14ac:dyDescent="0.25">
      <c r="A9" s="19"/>
      <c r="B9" s="19"/>
      <c r="C9" s="19"/>
      <c r="D9" s="19"/>
      <c r="E9" s="19"/>
    </row>
    <row r="10" spans="1:5" x14ac:dyDescent="0.25">
      <c r="A10" s="19"/>
      <c r="B10" s="19"/>
      <c r="C10" s="19"/>
      <c r="D10" s="19"/>
      <c r="E10" s="19"/>
    </row>
    <row r="11" spans="1:5" x14ac:dyDescent="0.25">
      <c r="A11" s="19"/>
      <c r="B11" s="19"/>
      <c r="C11" s="19"/>
      <c r="D11" s="19"/>
      <c r="E11" s="19"/>
    </row>
    <row r="13" spans="1:5" x14ac:dyDescent="0.25">
      <c r="A13" s="19" t="s">
        <v>8</v>
      </c>
      <c r="B13" s="19"/>
      <c r="C13" s="19"/>
      <c r="D13" s="19"/>
      <c r="E13" s="19"/>
    </row>
    <row r="14" spans="1:5" x14ac:dyDescent="0.25">
      <c r="A14" s="19"/>
      <c r="B14" s="19"/>
      <c r="C14" s="19"/>
      <c r="D14" s="19"/>
      <c r="E14" s="19"/>
    </row>
  </sheetData>
  <mergeCells count="4">
    <mergeCell ref="A3:E5"/>
    <mergeCell ref="A1:E1"/>
    <mergeCell ref="A7:E11"/>
    <mergeCell ref="A13:E1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79AAD-3B60-4343-B64A-A5CAD2CD3715}">
  <sheetPr codeName="Feuil12"/>
  <dimension ref="A1:P120"/>
  <sheetViews>
    <sheetView tabSelected="1" workbookViewId="0">
      <selection activeCell="K14" sqref="K14"/>
    </sheetView>
  </sheetViews>
  <sheetFormatPr defaultColWidth="11.42578125" defaultRowHeight="15" x14ac:dyDescent="0.25"/>
  <cols>
    <col min="4" max="4" width="12" bestFit="1" customWidth="1"/>
    <col min="5" max="5" width="12.42578125" bestFit="1" customWidth="1"/>
    <col min="6" max="6" width="12.7109375" bestFit="1" customWidth="1"/>
    <col min="9" max="9" width="12.5703125" bestFit="1" customWidth="1"/>
  </cols>
  <sheetData>
    <row r="1" spans="1:10" x14ac:dyDescent="0.25">
      <c r="B1" t="s">
        <v>6</v>
      </c>
      <c r="D1" s="2">
        <v>210000</v>
      </c>
      <c r="F1" t="s">
        <v>18</v>
      </c>
      <c r="G1" s="2">
        <v>355</v>
      </c>
      <c r="I1" t="s">
        <v>19</v>
      </c>
      <c r="J1" s="2">
        <f>G1/D1</f>
        <v>1.6904761904761904E-3</v>
      </c>
    </row>
    <row r="4" spans="1:10" x14ac:dyDescent="0.25">
      <c r="A4" s="18" t="s">
        <v>0</v>
      </c>
      <c r="B4" s="18" t="s">
        <v>3</v>
      </c>
      <c r="C4" s="18"/>
      <c r="D4" s="18" t="b">
        <v>1</v>
      </c>
      <c r="E4" s="18"/>
      <c r="F4" t="s">
        <v>11</v>
      </c>
      <c r="H4" t="s">
        <v>4</v>
      </c>
      <c r="I4" t="s">
        <v>5</v>
      </c>
    </row>
    <row r="5" spans="1:10" x14ac:dyDescent="0.25">
      <c r="A5" s="18"/>
      <c r="B5" s="1" t="s">
        <v>1</v>
      </c>
      <c r="C5" s="1" t="s">
        <v>2</v>
      </c>
      <c r="D5" s="1" t="s">
        <v>1</v>
      </c>
      <c r="E5" s="1" t="s">
        <v>2</v>
      </c>
      <c r="F5" s="1" t="s">
        <v>2</v>
      </c>
      <c r="H5" t="s">
        <v>1</v>
      </c>
      <c r="I5" s="1" t="s">
        <v>2</v>
      </c>
    </row>
    <row r="6" spans="1:10" x14ac:dyDescent="0.25">
      <c r="A6" s="2">
        <v>1</v>
      </c>
      <c r="B6" s="2">
        <v>0</v>
      </c>
      <c r="C6" s="2">
        <v>0</v>
      </c>
      <c r="D6" s="3">
        <f>B6*(1+C6)</f>
        <v>0</v>
      </c>
      <c r="E6" s="3">
        <f>LN(1+C6)</f>
        <v>0</v>
      </c>
      <c r="F6" s="3">
        <v>0</v>
      </c>
      <c r="G6" s="3"/>
      <c r="H6" s="5"/>
      <c r="I6" s="5"/>
    </row>
    <row r="7" spans="1:10" x14ac:dyDescent="0.25">
      <c r="A7" s="2">
        <v>2</v>
      </c>
      <c r="B7" s="2">
        <v>355</v>
      </c>
      <c r="C7" s="2">
        <v>1.6565562295846944E-3</v>
      </c>
      <c r="D7" s="3">
        <f>B7*(1+C7)</f>
        <v>355.58807746150256</v>
      </c>
      <c r="E7" s="3">
        <f>LN(1+C7)</f>
        <v>1.6551856537290433E-3</v>
      </c>
      <c r="F7" s="3">
        <f>E7-$E$7</f>
        <v>0</v>
      </c>
      <c r="G7" s="3"/>
      <c r="H7" s="8">
        <f>D7</f>
        <v>355.58807746150256</v>
      </c>
      <c r="I7" s="7">
        <f>F7</f>
        <v>0</v>
      </c>
    </row>
    <row r="8" spans="1:10" x14ac:dyDescent="0.25">
      <c r="A8" s="2">
        <v>3</v>
      </c>
      <c r="B8" s="2">
        <v>355</v>
      </c>
      <c r="C8" s="2">
        <v>1.7448979591836729E-2</v>
      </c>
      <c r="D8" s="3">
        <f>B8*(1+C8)</f>
        <v>361.19438775510201</v>
      </c>
      <c r="E8" s="3">
        <f>LN(1+C8)</f>
        <v>1.7298494170129568E-2</v>
      </c>
      <c r="F8" s="3">
        <f>E8-$E$7</f>
        <v>1.5643308516400525E-2</v>
      </c>
      <c r="G8" s="3"/>
      <c r="H8" s="8">
        <f>D8</f>
        <v>361.19438775510201</v>
      </c>
      <c r="I8" s="7">
        <f>F8</f>
        <v>1.5643308516400525E-2</v>
      </c>
    </row>
    <row r="9" spans="1:10" x14ac:dyDescent="0.25">
      <c r="A9" s="2">
        <v>4</v>
      </c>
      <c r="B9" s="2">
        <v>490</v>
      </c>
      <c r="C9" s="2">
        <v>7.6591836734693872E-2</v>
      </c>
      <c r="D9" s="3">
        <f>B9*(1+C9)</f>
        <v>527.53</v>
      </c>
      <c r="E9" s="3">
        <f>LN(1+C9)</f>
        <v>7.3800344666310885E-2</v>
      </c>
      <c r="F9" s="3">
        <f>E9-$E$7</f>
        <v>7.2145159012581839E-2</v>
      </c>
      <c r="G9" s="3"/>
      <c r="H9" s="8">
        <f>D9</f>
        <v>527.53</v>
      </c>
      <c r="I9" s="7">
        <f>F9</f>
        <v>7.2145159012581839E-2</v>
      </c>
    </row>
    <row r="10" spans="1:10" x14ac:dyDescent="0.25">
      <c r="A10" s="2">
        <v>5</v>
      </c>
      <c r="B10" s="2">
        <v>490</v>
      </c>
      <c r="C10" s="2">
        <v>0.16530612244897958</v>
      </c>
      <c r="D10" s="3">
        <f>B10*(1+C10)</f>
        <v>571</v>
      </c>
      <c r="E10" s="3">
        <f>LN(1+C10)</f>
        <v>0.15298381855133791</v>
      </c>
      <c r="F10" s="3">
        <f>E10-$E$7</f>
        <v>0.15132863289760887</v>
      </c>
      <c r="G10" s="3"/>
      <c r="H10" s="8">
        <f>D10</f>
        <v>571</v>
      </c>
      <c r="I10" s="7">
        <f>F10</f>
        <v>0.15132863289760887</v>
      </c>
    </row>
    <row r="11" spans="1:10" x14ac:dyDescent="0.25">
      <c r="A11" s="2"/>
      <c r="B11" s="2"/>
      <c r="C11" s="2"/>
      <c r="D11" s="3"/>
      <c r="E11" s="3"/>
      <c r="F11" s="3"/>
      <c r="G11" s="3"/>
      <c r="H11" s="8"/>
      <c r="I11" s="7"/>
    </row>
    <row r="12" spans="1:10" x14ac:dyDescent="0.25">
      <c r="A12" s="2"/>
      <c r="B12" s="2"/>
      <c r="C12" s="2"/>
      <c r="D12" s="3"/>
      <c r="E12" s="3"/>
      <c r="F12" s="3"/>
      <c r="G12" s="3"/>
      <c r="H12" s="8"/>
      <c r="I12" s="7"/>
    </row>
    <row r="13" spans="1:10" x14ac:dyDescent="0.25">
      <c r="A13" s="2"/>
      <c r="B13" s="2"/>
      <c r="C13" s="2"/>
      <c r="D13" s="3"/>
      <c r="E13" s="3"/>
      <c r="F13" s="3"/>
      <c r="G13" s="3"/>
      <c r="H13" s="8"/>
      <c r="I13" s="7"/>
    </row>
    <row r="14" spans="1:10" x14ac:dyDescent="0.25">
      <c r="A14" s="2"/>
      <c r="B14" s="2"/>
      <c r="C14" s="2"/>
      <c r="D14" s="3"/>
      <c r="E14" s="3"/>
      <c r="F14" s="3"/>
      <c r="G14" s="3"/>
      <c r="H14" s="8"/>
      <c r="I14" s="7"/>
    </row>
    <row r="15" spans="1:10" x14ac:dyDescent="0.25">
      <c r="A15" s="2"/>
      <c r="B15" s="2"/>
      <c r="C15" s="2"/>
      <c r="D15" s="3"/>
      <c r="E15" s="3"/>
      <c r="F15" s="3"/>
      <c r="G15" s="3"/>
      <c r="H15" s="8"/>
      <c r="I15" s="7"/>
    </row>
    <row r="16" spans="1:10" x14ac:dyDescent="0.25">
      <c r="A16" s="2"/>
      <c r="B16" s="2"/>
      <c r="C16" s="2"/>
      <c r="D16" s="3"/>
      <c r="E16" s="3"/>
      <c r="F16" s="3"/>
      <c r="G16" s="3"/>
      <c r="H16" s="8"/>
      <c r="I16" s="7"/>
    </row>
    <row r="17" spans="1:16" x14ac:dyDescent="0.25">
      <c r="A17" s="2"/>
      <c r="B17" s="2"/>
      <c r="C17" s="2"/>
      <c r="D17" s="3"/>
      <c r="E17" s="3"/>
      <c r="F17" s="3"/>
      <c r="G17" s="3"/>
      <c r="H17" s="8"/>
      <c r="I17" s="7"/>
    </row>
    <row r="18" spans="1:16" x14ac:dyDescent="0.25">
      <c r="A18" s="2"/>
      <c r="B18" s="2"/>
      <c r="C18" s="2"/>
      <c r="D18" s="3"/>
      <c r="E18" s="3"/>
      <c r="F18" s="3"/>
      <c r="G18" s="3"/>
      <c r="H18" s="8"/>
      <c r="I18" s="7"/>
    </row>
    <row r="19" spans="1:16" x14ac:dyDescent="0.25">
      <c r="A19" s="2"/>
      <c r="B19" s="2"/>
      <c r="C19" s="2"/>
      <c r="D19" s="3"/>
      <c r="E19" s="3"/>
      <c r="F19" s="3"/>
      <c r="G19" s="3"/>
      <c r="H19" s="8"/>
      <c r="I19" s="7"/>
      <c r="K19" s="13"/>
      <c r="L19" s="14"/>
    </row>
    <row r="20" spans="1:16" x14ac:dyDescent="0.25">
      <c r="A20" s="2"/>
      <c r="B20" s="2"/>
      <c r="C20" s="2"/>
      <c r="D20" s="3"/>
      <c r="E20" s="3"/>
      <c r="F20" s="3"/>
      <c r="G20" s="3"/>
      <c r="H20" s="8"/>
      <c r="I20" s="7"/>
      <c r="K20" s="13"/>
      <c r="L20" s="14"/>
    </row>
    <row r="21" spans="1:16" x14ac:dyDescent="0.25">
      <c r="A21" s="2"/>
      <c r="B21" s="2"/>
      <c r="C21" s="2"/>
      <c r="D21" s="3"/>
      <c r="E21" s="3"/>
      <c r="F21" s="3"/>
      <c r="G21" s="3"/>
      <c r="H21" s="8"/>
      <c r="I21" s="7"/>
      <c r="K21" s="13"/>
      <c r="L21" s="14"/>
      <c r="O21" s="13"/>
      <c r="P21" s="14"/>
    </row>
    <row r="22" spans="1:16" x14ac:dyDescent="0.25">
      <c r="A22" s="2"/>
      <c r="B22" s="2"/>
      <c r="C22" s="2"/>
      <c r="D22" s="3"/>
      <c r="E22" s="3"/>
      <c r="F22" s="3"/>
      <c r="G22" s="3"/>
      <c r="H22" s="8"/>
      <c r="I22" s="7"/>
      <c r="K22" s="13"/>
      <c r="L22" s="14"/>
      <c r="M22" s="14"/>
      <c r="O22" s="13"/>
      <c r="P22" s="14"/>
    </row>
    <row r="23" spans="1:16" x14ac:dyDescent="0.25">
      <c r="A23" s="2"/>
      <c r="B23" s="2"/>
      <c r="C23" s="2"/>
      <c r="D23" s="3"/>
      <c r="E23" s="3"/>
      <c r="F23" s="3"/>
      <c r="G23" s="3"/>
      <c r="H23" s="8"/>
      <c r="I23" s="7"/>
      <c r="L23" s="13"/>
      <c r="M23" s="14"/>
      <c r="O23" s="13"/>
      <c r="P23" s="14"/>
    </row>
    <row r="24" spans="1:16" x14ac:dyDescent="0.25">
      <c r="A24" s="2"/>
      <c r="B24" s="2"/>
      <c r="C24" s="2"/>
      <c r="D24" s="3"/>
      <c r="E24" s="3"/>
      <c r="F24" s="3"/>
      <c r="G24" s="3"/>
      <c r="H24" s="8"/>
      <c r="I24" s="7"/>
      <c r="L24" s="13"/>
      <c r="M24" s="14"/>
      <c r="O24" s="13"/>
      <c r="P24" s="14"/>
    </row>
    <row r="25" spans="1:16" x14ac:dyDescent="0.25">
      <c r="A25" s="2"/>
      <c r="B25" s="2"/>
      <c r="C25" s="2"/>
      <c r="D25" s="3"/>
      <c r="E25" s="3"/>
      <c r="F25" s="3"/>
      <c r="G25" s="3"/>
      <c r="H25" s="8"/>
      <c r="I25" s="7"/>
      <c r="L25" s="13"/>
      <c r="M25" s="14"/>
    </row>
    <row r="26" spans="1:16" x14ac:dyDescent="0.25">
      <c r="A26" s="2"/>
      <c r="B26" s="2"/>
      <c r="C26" s="2"/>
      <c r="D26" s="3"/>
      <c r="E26" s="3"/>
      <c r="F26" s="3"/>
      <c r="G26" s="3"/>
      <c r="H26" s="8"/>
      <c r="I26" s="7"/>
      <c r="L26" s="13"/>
      <c r="M26" s="14"/>
    </row>
    <row r="27" spans="1:16" x14ac:dyDescent="0.25">
      <c r="A27" s="2"/>
      <c r="B27" s="2"/>
      <c r="C27" s="2"/>
      <c r="D27" s="3"/>
      <c r="E27" s="3"/>
      <c r="F27" s="3"/>
      <c r="G27" s="3"/>
      <c r="H27" s="8"/>
      <c r="I27" s="7"/>
      <c r="L27" s="13"/>
      <c r="M27" s="14"/>
    </row>
    <row r="28" spans="1:16" x14ac:dyDescent="0.25">
      <c r="A28" s="2"/>
      <c r="B28" s="2"/>
      <c r="C28" s="2"/>
      <c r="D28" s="3"/>
      <c r="E28" s="3"/>
      <c r="F28" s="3"/>
      <c r="G28" s="3"/>
      <c r="H28" s="8"/>
      <c r="I28" s="7"/>
      <c r="L28" s="13"/>
      <c r="M28" s="14"/>
    </row>
    <row r="29" spans="1:16" x14ac:dyDescent="0.25">
      <c r="A29" s="2"/>
      <c r="B29" s="2"/>
      <c r="C29" s="2"/>
      <c r="D29" s="3"/>
      <c r="E29" s="3"/>
      <c r="F29" s="3"/>
      <c r="G29" s="3"/>
      <c r="H29" s="8"/>
      <c r="I29" s="7"/>
      <c r="L29" s="13"/>
      <c r="M29" s="14"/>
    </row>
    <row r="30" spans="1:16" x14ac:dyDescent="0.25">
      <c r="A30" s="2"/>
      <c r="B30" s="2"/>
      <c r="C30" s="2"/>
      <c r="D30" s="3"/>
      <c r="E30" s="3"/>
      <c r="F30" s="3"/>
      <c r="G30" s="3"/>
      <c r="H30" s="8"/>
      <c r="I30" s="7"/>
      <c r="L30" s="13"/>
      <c r="M30" s="14"/>
    </row>
    <row r="31" spans="1:16" x14ac:dyDescent="0.25">
      <c r="A31" s="2"/>
      <c r="B31" s="2"/>
      <c r="C31" s="2"/>
      <c r="D31" s="3"/>
      <c r="E31" s="3"/>
      <c r="F31" s="3"/>
      <c r="G31" s="3"/>
      <c r="H31" s="8"/>
      <c r="I31" s="7"/>
      <c r="L31" s="13"/>
      <c r="M31" s="14"/>
    </row>
    <row r="32" spans="1:16" x14ac:dyDescent="0.25">
      <c r="A32" s="2"/>
      <c r="B32" s="2"/>
      <c r="C32" s="2"/>
      <c r="D32" s="3"/>
      <c r="E32" s="3"/>
      <c r="F32" s="3"/>
      <c r="G32" s="3"/>
      <c r="H32" s="4"/>
      <c r="I32" s="4"/>
      <c r="L32" s="13"/>
      <c r="M32" s="14"/>
    </row>
    <row r="33" spans="1:13" x14ac:dyDescent="0.25">
      <c r="A33" s="2"/>
      <c r="B33" s="2"/>
      <c r="C33" s="2"/>
      <c r="D33" s="3"/>
      <c r="E33" s="3"/>
      <c r="F33" s="3"/>
      <c r="G33" s="3"/>
      <c r="H33" s="4"/>
      <c r="I33" s="4"/>
      <c r="L33" s="13"/>
      <c r="M33" s="14"/>
    </row>
    <row r="34" spans="1:13" x14ac:dyDescent="0.25">
      <c r="A34" s="2"/>
      <c r="B34" s="2"/>
      <c r="C34" s="2"/>
      <c r="D34" s="3"/>
      <c r="E34" s="3"/>
      <c r="F34" s="3"/>
      <c r="G34" s="3"/>
      <c r="H34" s="4"/>
      <c r="I34" s="4"/>
      <c r="L34" s="13"/>
      <c r="M34" s="14"/>
    </row>
    <row r="35" spans="1:13" x14ac:dyDescent="0.25">
      <c r="A35" s="2"/>
      <c r="B35" s="2"/>
      <c r="C35" s="2"/>
      <c r="D35" s="3"/>
      <c r="E35" s="3"/>
      <c r="F35" s="3"/>
      <c r="G35" s="3"/>
      <c r="H35" s="4"/>
      <c r="I35" s="4"/>
      <c r="L35" s="13"/>
      <c r="M35" s="14"/>
    </row>
    <row r="36" spans="1:13" x14ac:dyDescent="0.25">
      <c r="A36" s="2"/>
      <c r="B36" s="2"/>
      <c r="C36" s="2"/>
      <c r="D36" s="3"/>
      <c r="E36" s="3"/>
      <c r="F36" s="3"/>
      <c r="G36" s="3"/>
      <c r="H36" s="4"/>
      <c r="I36" s="4"/>
    </row>
    <row r="37" spans="1:13" x14ac:dyDescent="0.25">
      <c r="A37" s="2"/>
      <c r="B37" s="2"/>
      <c r="C37" s="2"/>
      <c r="D37" s="3"/>
      <c r="E37" s="3"/>
      <c r="F37" s="3"/>
      <c r="G37" s="3"/>
      <c r="H37" s="4"/>
      <c r="I37" s="4"/>
    </row>
    <row r="38" spans="1:13" x14ac:dyDescent="0.25">
      <c r="A38" s="2"/>
      <c r="B38" s="2"/>
      <c r="C38" s="2"/>
      <c r="D38" s="3"/>
      <c r="E38" s="3"/>
      <c r="F38" s="3"/>
      <c r="G38" s="3"/>
      <c r="H38" s="3"/>
      <c r="I38" s="3"/>
    </row>
    <row r="39" spans="1:13" x14ac:dyDescent="0.25">
      <c r="A39" s="2"/>
      <c r="B39" s="2"/>
      <c r="C39" s="2"/>
      <c r="D39" s="3"/>
      <c r="E39" s="3"/>
      <c r="F39" s="3"/>
      <c r="G39" s="3"/>
      <c r="H39" s="4"/>
      <c r="I39" s="4"/>
    </row>
    <row r="40" spans="1:13" x14ac:dyDescent="0.25">
      <c r="A40" s="2"/>
      <c r="B40" s="2"/>
      <c r="C40" s="2"/>
      <c r="D40" s="3"/>
      <c r="E40" s="3"/>
      <c r="F40" s="3"/>
      <c r="G40" s="3"/>
      <c r="H40" s="4"/>
      <c r="I40" s="4"/>
    </row>
    <row r="41" spans="1:13" x14ac:dyDescent="0.25">
      <c r="A41" s="2"/>
      <c r="B41" s="2"/>
      <c r="C41" s="2"/>
      <c r="D41" s="3"/>
      <c r="E41" s="3"/>
      <c r="F41" s="3"/>
      <c r="G41" s="3"/>
      <c r="H41" s="4"/>
      <c r="I41" s="4"/>
    </row>
    <row r="42" spans="1:13" x14ac:dyDescent="0.25">
      <c r="A42" s="2"/>
      <c r="B42" s="2"/>
      <c r="C42" s="2"/>
      <c r="D42" s="3"/>
      <c r="E42" s="3"/>
      <c r="F42" s="3"/>
      <c r="G42" s="3"/>
      <c r="H42" s="4"/>
      <c r="I42" s="4"/>
    </row>
    <row r="43" spans="1:13" x14ac:dyDescent="0.25">
      <c r="A43" s="2"/>
      <c r="B43" s="2"/>
      <c r="C43" s="2"/>
      <c r="D43" s="3"/>
      <c r="E43" s="3"/>
      <c r="F43" s="3"/>
      <c r="G43" s="3"/>
      <c r="H43" s="4"/>
      <c r="I43" s="4"/>
    </row>
    <row r="44" spans="1:13" x14ac:dyDescent="0.25">
      <c r="A44" s="2"/>
      <c r="B44" s="2"/>
      <c r="C44" s="2"/>
      <c r="D44" s="3"/>
      <c r="E44" s="3"/>
      <c r="F44" s="3"/>
      <c r="G44" s="3"/>
      <c r="H44" s="4"/>
      <c r="I44" s="4"/>
    </row>
    <row r="45" spans="1:13" x14ac:dyDescent="0.25">
      <c r="A45" s="2"/>
      <c r="B45" s="2"/>
      <c r="C45" s="2"/>
      <c r="D45" s="3"/>
      <c r="E45" s="3"/>
      <c r="F45" s="3"/>
      <c r="G45" s="3"/>
      <c r="H45" s="4"/>
      <c r="I45" s="4"/>
    </row>
    <row r="46" spans="1:13" x14ac:dyDescent="0.25">
      <c r="A46" s="2"/>
      <c r="B46" s="2"/>
      <c r="C46" s="2"/>
      <c r="D46" s="3"/>
      <c r="E46" s="3"/>
      <c r="F46" s="3"/>
      <c r="G46" s="3"/>
      <c r="H46" s="4"/>
      <c r="I46" s="4"/>
    </row>
    <row r="47" spans="1:13" x14ac:dyDescent="0.25">
      <c r="A47" s="2"/>
      <c r="B47" s="2"/>
      <c r="C47" s="2"/>
      <c r="D47" s="3"/>
      <c r="E47" s="3"/>
      <c r="F47" s="3"/>
      <c r="G47" s="3"/>
      <c r="H47" s="4"/>
      <c r="I47" s="4"/>
    </row>
    <row r="48" spans="1:13"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A4:A5"/>
    <mergeCell ref="B4:C4"/>
    <mergeCell ref="D4:E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0C372-2100-4158-B571-B384A490FB81}">
  <sheetPr codeName="Sheet5"/>
  <dimension ref="A1:P120"/>
  <sheetViews>
    <sheetView workbookViewId="0">
      <selection activeCell="K10" sqref="K10"/>
    </sheetView>
  </sheetViews>
  <sheetFormatPr defaultColWidth="11.42578125" defaultRowHeight="15" x14ac:dyDescent="0.25"/>
  <cols>
    <col min="3" max="3" width="12.5703125" bestFit="1" customWidth="1"/>
    <col min="4" max="4" width="12" bestFit="1" customWidth="1"/>
    <col min="5" max="5" width="12.42578125" bestFit="1" customWidth="1"/>
    <col min="6" max="6" width="12.7109375" bestFit="1" customWidth="1"/>
    <col min="9" max="9" width="12.5703125" bestFit="1" customWidth="1"/>
  </cols>
  <sheetData>
    <row r="1" spans="1:10" ht="18" x14ac:dyDescent="0.35">
      <c r="B1" t="s">
        <v>6</v>
      </c>
      <c r="D1" s="2">
        <v>210000</v>
      </c>
      <c r="F1" t="s">
        <v>12</v>
      </c>
      <c r="G1" s="2">
        <v>460</v>
      </c>
      <c r="I1" t="s">
        <v>13</v>
      </c>
      <c r="J1" s="2">
        <f>E7</f>
        <v>1.6551856537290433E-3</v>
      </c>
    </row>
    <row r="4" spans="1:10" x14ac:dyDescent="0.25">
      <c r="A4" s="18" t="s">
        <v>0</v>
      </c>
      <c r="B4" s="18" t="s">
        <v>3</v>
      </c>
      <c r="C4" s="18"/>
      <c r="D4" s="18" t="b">
        <v>1</v>
      </c>
      <c r="E4" s="18"/>
      <c r="F4" t="s">
        <v>11</v>
      </c>
      <c r="H4" t="s">
        <v>4</v>
      </c>
      <c r="I4" t="s">
        <v>5</v>
      </c>
    </row>
    <row r="5" spans="1:10" x14ac:dyDescent="0.25">
      <c r="A5" s="18"/>
      <c r="B5" s="1" t="s">
        <v>1</v>
      </c>
      <c r="C5" s="1" t="s">
        <v>2</v>
      </c>
      <c r="D5" s="1" t="s">
        <v>1</v>
      </c>
      <c r="E5" s="1" t="s">
        <v>2</v>
      </c>
      <c r="F5" s="1" t="s">
        <v>2</v>
      </c>
      <c r="H5" t="s">
        <v>1</v>
      </c>
      <c r="I5" s="1" t="s">
        <v>2</v>
      </c>
    </row>
    <row r="6" spans="1:10" x14ac:dyDescent="0.25">
      <c r="A6" s="2">
        <v>1</v>
      </c>
      <c r="B6" s="2">
        <v>0</v>
      </c>
      <c r="C6" s="2">
        <v>0</v>
      </c>
      <c r="D6" s="3">
        <f>B6*(1+C6)</f>
        <v>0</v>
      </c>
      <c r="E6" s="3">
        <f>LN(1+C6)</f>
        <v>0</v>
      </c>
      <c r="F6" s="3">
        <v>0</v>
      </c>
      <c r="G6" s="3"/>
      <c r="H6" s="5"/>
      <c r="I6" s="5"/>
    </row>
    <row r="7" spans="1:10" x14ac:dyDescent="0.25">
      <c r="A7" s="2">
        <v>2</v>
      </c>
      <c r="B7" s="2">
        <v>355</v>
      </c>
      <c r="C7" s="16">
        <v>1.6565562295846944E-3</v>
      </c>
      <c r="D7" s="17">
        <f>B7*(1+C7)</f>
        <v>355.58807746150256</v>
      </c>
      <c r="E7" s="3">
        <f>LN(1+C7)</f>
        <v>1.6551856537290433E-3</v>
      </c>
      <c r="F7" s="3">
        <f>E7-$J$1</f>
        <v>0</v>
      </c>
      <c r="G7" s="3"/>
      <c r="H7" s="8">
        <f>D7</f>
        <v>355.58807746150256</v>
      </c>
      <c r="I7" s="7">
        <f>F7</f>
        <v>0</v>
      </c>
    </row>
    <row r="8" spans="1:10" x14ac:dyDescent="0.25">
      <c r="A8" s="2">
        <v>3</v>
      </c>
      <c r="B8" s="2">
        <v>355</v>
      </c>
      <c r="C8" s="2">
        <v>1.7448979591836729E-2</v>
      </c>
      <c r="D8" s="3">
        <f>B8*(1+C8)</f>
        <v>361.19438775510201</v>
      </c>
      <c r="E8" s="3">
        <f>LN(1+C8)</f>
        <v>1.7298494170129568E-2</v>
      </c>
      <c r="F8" s="3">
        <f>E8-$J$1</f>
        <v>1.5643308516400525E-2</v>
      </c>
      <c r="G8" s="3"/>
      <c r="H8" s="8">
        <f>D8</f>
        <v>361.19438775510201</v>
      </c>
      <c r="I8" s="7">
        <f>F8</f>
        <v>1.5643308516400525E-2</v>
      </c>
    </row>
    <row r="9" spans="1:10" x14ac:dyDescent="0.25">
      <c r="A9" s="2">
        <v>4</v>
      </c>
      <c r="B9" s="2">
        <v>490</v>
      </c>
      <c r="C9" s="2">
        <v>7.6591836734693872E-2</v>
      </c>
      <c r="D9" s="3">
        <f>B9*(1+C9)</f>
        <v>527.53</v>
      </c>
      <c r="E9" s="3">
        <f>LN(1+C9)</f>
        <v>7.3800344666310885E-2</v>
      </c>
      <c r="F9" s="3">
        <f>E9-$J$1</f>
        <v>7.2145159012581839E-2</v>
      </c>
      <c r="G9" s="3"/>
      <c r="H9" s="8">
        <f>D9</f>
        <v>527.53</v>
      </c>
      <c r="I9" s="7">
        <f>F9</f>
        <v>7.2145159012581839E-2</v>
      </c>
    </row>
    <row r="10" spans="1:10" x14ac:dyDescent="0.25">
      <c r="A10" s="2">
        <v>5</v>
      </c>
      <c r="B10" s="2">
        <v>490</v>
      </c>
      <c r="C10" s="2">
        <v>0.16530612244897958</v>
      </c>
      <c r="D10" s="3">
        <f>B10*(1+C10)</f>
        <v>571</v>
      </c>
      <c r="E10" s="3">
        <f>LN(1+C10)</f>
        <v>0.15298381855133791</v>
      </c>
      <c r="F10" s="3">
        <f>E10-$J$1</f>
        <v>0.15132863289760887</v>
      </c>
      <c r="G10" s="3"/>
      <c r="H10" s="8">
        <f>D10</f>
        <v>571</v>
      </c>
      <c r="I10" s="7">
        <f>F10</f>
        <v>0.15132863289760887</v>
      </c>
    </row>
    <row r="11" spans="1:10" x14ac:dyDescent="0.25">
      <c r="A11" s="2"/>
      <c r="B11" s="2"/>
      <c r="C11" s="2"/>
      <c r="D11" s="3"/>
      <c r="E11" s="3"/>
      <c r="F11" s="3"/>
      <c r="G11" s="3"/>
      <c r="H11" s="8"/>
      <c r="I11" s="7"/>
    </row>
    <row r="12" spans="1:10" x14ac:dyDescent="0.25">
      <c r="A12" s="2"/>
      <c r="B12" s="2"/>
      <c r="C12" s="2"/>
      <c r="D12" s="3"/>
      <c r="E12" s="3"/>
      <c r="F12" s="3"/>
      <c r="G12" s="3"/>
      <c r="H12" s="8"/>
      <c r="I12" s="7"/>
    </row>
    <row r="13" spans="1:10" x14ac:dyDescent="0.25">
      <c r="A13" s="2"/>
      <c r="B13" s="2"/>
      <c r="C13" s="2"/>
      <c r="D13" s="3"/>
      <c r="E13" s="3"/>
      <c r="F13" s="3"/>
      <c r="G13" s="3"/>
      <c r="H13" s="8"/>
      <c r="I13" s="7"/>
    </row>
    <row r="14" spans="1:10" x14ac:dyDescent="0.25">
      <c r="A14" s="2"/>
      <c r="B14" s="2"/>
      <c r="C14" s="2"/>
      <c r="D14" s="3"/>
      <c r="E14" s="3"/>
      <c r="F14" s="3"/>
      <c r="G14" s="3"/>
      <c r="H14" s="8"/>
      <c r="I14" s="7"/>
    </row>
    <row r="15" spans="1:10" x14ac:dyDescent="0.25">
      <c r="A15" s="2"/>
      <c r="B15" s="2"/>
      <c r="C15" s="2"/>
      <c r="D15" s="3"/>
      <c r="E15" s="3"/>
      <c r="F15" s="3"/>
      <c r="G15" s="3"/>
      <c r="H15" s="8"/>
      <c r="I15" s="7"/>
    </row>
    <row r="16" spans="1:10" x14ac:dyDescent="0.25">
      <c r="A16" s="2"/>
      <c r="B16" s="2"/>
      <c r="C16" s="2"/>
      <c r="D16" s="3"/>
      <c r="E16" s="3"/>
      <c r="F16" s="3"/>
      <c r="G16" s="3"/>
      <c r="H16" s="8"/>
      <c r="I16" s="7"/>
    </row>
    <row r="17" spans="1:16" x14ac:dyDescent="0.25">
      <c r="A17" s="2"/>
      <c r="B17" s="2"/>
      <c r="C17" s="2"/>
      <c r="D17" s="3"/>
      <c r="E17" s="3"/>
      <c r="F17" s="3"/>
      <c r="G17" s="3"/>
      <c r="H17" s="8"/>
      <c r="I17" s="7"/>
    </row>
    <row r="18" spans="1:16" x14ac:dyDescent="0.25">
      <c r="A18" s="2"/>
      <c r="B18" s="2"/>
      <c r="C18" s="2"/>
      <c r="D18" s="3"/>
      <c r="E18" s="3"/>
      <c r="F18" s="3"/>
      <c r="G18" s="3"/>
      <c r="H18" s="8"/>
      <c r="I18" s="7"/>
    </row>
    <row r="19" spans="1:16" x14ac:dyDescent="0.25">
      <c r="A19" s="2"/>
      <c r="B19" s="2"/>
      <c r="C19" s="2"/>
      <c r="D19" s="3"/>
      <c r="E19" s="3"/>
      <c r="F19" s="3"/>
      <c r="G19" s="3"/>
      <c r="H19" s="8"/>
      <c r="I19" s="7"/>
    </row>
    <row r="20" spans="1:16" x14ac:dyDescent="0.25">
      <c r="A20" s="2"/>
      <c r="B20" s="2"/>
      <c r="C20" s="2"/>
      <c r="D20" s="3"/>
      <c r="E20" s="3"/>
      <c r="F20" s="3"/>
      <c r="G20" s="3"/>
      <c r="H20" s="8"/>
      <c r="I20" s="7"/>
    </row>
    <row r="21" spans="1:16" x14ac:dyDescent="0.25">
      <c r="A21" s="2"/>
      <c r="B21" s="2"/>
      <c r="C21" s="2"/>
      <c r="D21" s="3"/>
      <c r="E21" s="3"/>
      <c r="F21" s="3"/>
      <c r="G21" s="3"/>
      <c r="H21" s="8"/>
      <c r="I21" s="7"/>
      <c r="O21" s="13"/>
      <c r="P21" s="14"/>
    </row>
    <row r="22" spans="1:16" x14ac:dyDescent="0.25">
      <c r="A22" s="2"/>
      <c r="B22" s="2"/>
      <c r="C22" s="2"/>
      <c r="D22" s="3"/>
      <c r="E22" s="3"/>
      <c r="F22" s="3"/>
      <c r="G22" s="3"/>
      <c r="H22" s="8"/>
      <c r="I22" s="7"/>
      <c r="O22" s="13"/>
      <c r="P22" s="14"/>
    </row>
    <row r="23" spans="1:16" x14ac:dyDescent="0.25">
      <c r="A23" s="2"/>
      <c r="B23" s="2"/>
      <c r="C23" s="2"/>
      <c r="D23" s="3"/>
      <c r="E23" s="3"/>
      <c r="F23" s="3"/>
      <c r="G23" s="3"/>
      <c r="H23" s="8"/>
      <c r="I23" s="7"/>
      <c r="O23" s="13"/>
      <c r="P23" s="14"/>
    </row>
    <row r="24" spans="1:16" x14ac:dyDescent="0.25">
      <c r="A24" s="2"/>
      <c r="B24" s="2"/>
      <c r="C24" s="2"/>
      <c r="D24" s="3"/>
      <c r="E24" s="3"/>
      <c r="F24" s="3"/>
      <c r="G24" s="3"/>
      <c r="H24" s="8"/>
      <c r="I24" s="7"/>
      <c r="O24" s="13"/>
      <c r="P24" s="14"/>
    </row>
    <row r="25" spans="1:16" x14ac:dyDescent="0.25">
      <c r="A25" s="2"/>
      <c r="B25" s="2"/>
      <c r="C25" s="2"/>
      <c r="D25" s="3"/>
      <c r="E25" s="3"/>
      <c r="F25" s="3"/>
      <c r="G25" s="3"/>
      <c r="H25" s="8"/>
      <c r="I25" s="7"/>
    </row>
    <row r="26" spans="1:16" x14ac:dyDescent="0.25">
      <c r="A26" s="2"/>
      <c r="B26" s="2"/>
      <c r="C26" s="2"/>
      <c r="D26" s="3"/>
      <c r="E26" s="3"/>
      <c r="F26" s="3"/>
      <c r="G26" s="3"/>
      <c r="H26" s="8"/>
      <c r="I26" s="7"/>
    </row>
    <row r="27" spans="1:16" x14ac:dyDescent="0.25">
      <c r="A27" s="2"/>
      <c r="B27" s="2"/>
      <c r="C27" s="2"/>
      <c r="D27" s="3"/>
      <c r="E27" s="3"/>
      <c r="F27" s="3"/>
      <c r="G27" s="3"/>
      <c r="H27" s="8"/>
      <c r="I27" s="7"/>
    </row>
    <row r="28" spans="1:16" x14ac:dyDescent="0.25">
      <c r="A28" s="2"/>
      <c r="B28" s="2"/>
      <c r="C28" s="2"/>
      <c r="D28" s="3"/>
      <c r="E28" s="3"/>
      <c r="F28" s="3"/>
      <c r="G28" s="3"/>
      <c r="H28" s="8"/>
      <c r="I28" s="7"/>
      <c r="L28" s="13"/>
      <c r="M28" s="14"/>
    </row>
    <row r="29" spans="1:16" x14ac:dyDescent="0.25">
      <c r="A29" s="2"/>
      <c r="B29" s="2"/>
      <c r="C29" s="2"/>
      <c r="D29" s="3"/>
      <c r="E29" s="3"/>
      <c r="F29" s="3"/>
      <c r="G29" s="3"/>
      <c r="H29" s="8"/>
      <c r="I29" s="7"/>
      <c r="L29" s="13"/>
      <c r="M29" s="14"/>
    </row>
    <row r="30" spans="1:16" x14ac:dyDescent="0.25">
      <c r="A30" s="2"/>
      <c r="B30" s="2"/>
      <c r="C30" s="2"/>
      <c r="D30" s="3"/>
      <c r="E30" s="3"/>
      <c r="F30" s="3"/>
      <c r="G30" s="3"/>
      <c r="H30" s="8"/>
      <c r="I30" s="7"/>
      <c r="L30" s="13"/>
      <c r="M30" s="14"/>
    </row>
    <row r="31" spans="1:16" x14ac:dyDescent="0.25">
      <c r="A31" s="2"/>
      <c r="B31" s="2"/>
      <c r="C31" s="2"/>
      <c r="D31" s="3"/>
      <c r="E31" s="3"/>
      <c r="F31" s="3"/>
      <c r="G31" s="3"/>
      <c r="H31" s="8"/>
      <c r="I31" s="7"/>
      <c r="L31" s="13"/>
      <c r="M31" s="14"/>
    </row>
    <row r="32" spans="1:16" x14ac:dyDescent="0.25">
      <c r="A32" s="2"/>
      <c r="B32" s="2"/>
      <c r="C32" s="2"/>
      <c r="D32" s="3"/>
      <c r="E32" s="3"/>
      <c r="F32" s="3"/>
      <c r="G32" s="3"/>
      <c r="H32" s="4"/>
      <c r="I32" s="4"/>
      <c r="L32" s="13"/>
      <c r="M32" s="14"/>
    </row>
    <row r="33" spans="1:13" x14ac:dyDescent="0.25">
      <c r="A33" s="2"/>
      <c r="B33" s="2"/>
      <c r="C33" s="2"/>
      <c r="D33" s="3"/>
      <c r="E33" s="3"/>
      <c r="F33" s="3"/>
      <c r="G33" s="3"/>
      <c r="H33" s="4"/>
      <c r="I33" s="4"/>
      <c r="L33" s="13"/>
      <c r="M33" s="14"/>
    </row>
    <row r="34" spans="1:13" x14ac:dyDescent="0.25">
      <c r="A34" s="2"/>
      <c r="B34" s="2"/>
      <c r="C34" s="2"/>
      <c r="D34" s="3"/>
      <c r="E34" s="3"/>
      <c r="F34" s="3"/>
      <c r="G34" s="3"/>
      <c r="H34" s="4"/>
      <c r="I34" s="4"/>
      <c r="L34" s="13"/>
      <c r="M34" s="14"/>
    </row>
    <row r="35" spans="1:13" x14ac:dyDescent="0.25">
      <c r="A35" s="2"/>
      <c r="B35" s="2"/>
      <c r="C35" s="2"/>
      <c r="D35" s="3"/>
      <c r="E35" s="3"/>
      <c r="F35" s="3"/>
      <c r="G35" s="3"/>
      <c r="H35" s="4"/>
      <c r="I35" s="4"/>
      <c r="L35" s="13"/>
      <c r="M35" s="14"/>
    </row>
    <row r="36" spans="1:13" x14ac:dyDescent="0.25">
      <c r="A36" s="2"/>
      <c r="B36" s="2"/>
      <c r="C36" s="2"/>
      <c r="D36" s="3"/>
      <c r="E36" s="3"/>
      <c r="F36" s="3"/>
      <c r="G36" s="3"/>
      <c r="H36" s="4"/>
      <c r="I36" s="4"/>
    </row>
    <row r="37" spans="1:13" x14ac:dyDescent="0.25">
      <c r="A37" s="2"/>
      <c r="B37" s="2"/>
      <c r="C37" s="2"/>
      <c r="D37" s="3"/>
      <c r="E37" s="3"/>
      <c r="F37" s="3"/>
      <c r="G37" s="3"/>
      <c r="H37" s="4"/>
      <c r="I37" s="4"/>
    </row>
    <row r="38" spans="1:13" x14ac:dyDescent="0.25">
      <c r="A38" s="2"/>
      <c r="B38" s="2"/>
      <c r="C38" s="2"/>
      <c r="D38" s="3"/>
      <c r="E38" s="3"/>
      <c r="F38" s="3"/>
      <c r="G38" s="3"/>
      <c r="H38" s="3"/>
      <c r="I38" s="3"/>
    </row>
    <row r="39" spans="1:13" x14ac:dyDescent="0.25">
      <c r="A39" s="2"/>
      <c r="B39" s="2"/>
      <c r="C39" s="2"/>
      <c r="D39" s="3"/>
      <c r="E39" s="3"/>
      <c r="F39" s="3"/>
      <c r="G39" s="3"/>
      <c r="H39" s="4"/>
      <c r="I39" s="4"/>
    </row>
    <row r="40" spans="1:13" x14ac:dyDescent="0.25">
      <c r="A40" s="2"/>
      <c r="B40" s="2"/>
      <c r="C40" s="2"/>
      <c r="D40" s="3"/>
      <c r="E40" s="3"/>
      <c r="F40" s="3"/>
      <c r="G40" s="3"/>
      <c r="H40" s="4"/>
      <c r="I40" s="4"/>
    </row>
    <row r="41" spans="1:13" x14ac:dyDescent="0.25">
      <c r="A41" s="2"/>
      <c r="B41" s="2"/>
      <c r="C41" s="2"/>
      <c r="D41" s="3"/>
      <c r="E41" s="3"/>
      <c r="F41" s="3"/>
      <c r="G41" s="3"/>
      <c r="H41" s="4"/>
      <c r="I41" s="4"/>
    </row>
    <row r="42" spans="1:13" x14ac:dyDescent="0.25">
      <c r="A42" s="2"/>
      <c r="B42" s="2"/>
      <c r="C42" s="2"/>
      <c r="D42" s="3"/>
      <c r="E42" s="3"/>
      <c r="F42" s="3"/>
      <c r="G42" s="3"/>
      <c r="H42" s="4"/>
      <c r="I42" s="4"/>
    </row>
    <row r="43" spans="1:13" x14ac:dyDescent="0.25">
      <c r="A43" s="2"/>
      <c r="B43" s="2"/>
      <c r="C43" s="2"/>
      <c r="D43" s="3"/>
      <c r="E43" s="3"/>
      <c r="F43" s="3"/>
      <c r="G43" s="3"/>
      <c r="H43" s="4"/>
      <c r="I43" s="4"/>
    </row>
    <row r="44" spans="1:13" x14ac:dyDescent="0.25">
      <c r="A44" s="2"/>
      <c r="B44" s="2"/>
      <c r="C44" s="2"/>
      <c r="D44" s="3"/>
      <c r="E44" s="3"/>
      <c r="F44" s="3"/>
      <c r="G44" s="3"/>
      <c r="H44" s="4"/>
      <c r="I44" s="4"/>
    </row>
    <row r="45" spans="1:13" x14ac:dyDescent="0.25">
      <c r="A45" s="2"/>
      <c r="B45" s="2"/>
      <c r="C45" s="2"/>
      <c r="D45" s="3"/>
      <c r="E45" s="3"/>
      <c r="F45" s="3"/>
      <c r="G45" s="3"/>
      <c r="H45" s="4"/>
      <c r="I45" s="4"/>
    </row>
    <row r="46" spans="1:13" x14ac:dyDescent="0.25">
      <c r="A46" s="2"/>
      <c r="B46" s="2"/>
      <c r="C46" s="2"/>
      <c r="D46" s="3"/>
      <c r="E46" s="3"/>
      <c r="F46" s="3"/>
      <c r="G46" s="3"/>
      <c r="H46" s="4"/>
      <c r="I46" s="4"/>
    </row>
    <row r="47" spans="1:13" x14ac:dyDescent="0.25">
      <c r="A47" s="2"/>
      <c r="B47" s="2"/>
      <c r="C47" s="2"/>
      <c r="D47" s="3"/>
      <c r="E47" s="3"/>
      <c r="F47" s="3"/>
      <c r="G47" s="3"/>
      <c r="H47" s="4"/>
      <c r="I47" s="4"/>
    </row>
    <row r="48" spans="1:13"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A4:A5"/>
    <mergeCell ref="B4:C4"/>
    <mergeCell ref="D4:E4"/>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C422D-B631-4833-8ADC-8ED2452AD14D}">
  <sheetPr codeName="Feuil9"/>
  <dimension ref="A1:P120"/>
  <sheetViews>
    <sheetView workbookViewId="0">
      <selection activeCell="B6" sqref="B6:B10"/>
    </sheetView>
  </sheetViews>
  <sheetFormatPr defaultColWidth="11.42578125" defaultRowHeight="15" x14ac:dyDescent="0.25"/>
  <cols>
    <col min="4" max="4" width="12" bestFit="1" customWidth="1"/>
    <col min="5" max="5" width="12.42578125" bestFit="1" customWidth="1"/>
    <col min="6" max="6" width="12.7109375" bestFit="1" customWidth="1"/>
    <col min="9" max="9" width="12.5703125" bestFit="1" customWidth="1"/>
  </cols>
  <sheetData>
    <row r="1" spans="1:10" x14ac:dyDescent="0.25">
      <c r="B1" t="s">
        <v>6</v>
      </c>
      <c r="D1" s="2">
        <v>214300</v>
      </c>
      <c r="F1" t="s">
        <v>18</v>
      </c>
      <c r="G1" s="2">
        <v>503.57</v>
      </c>
      <c r="I1" t="s">
        <v>19</v>
      </c>
      <c r="J1" s="2">
        <v>2.3470801287975044E-3</v>
      </c>
    </row>
    <row r="4" spans="1:10" x14ac:dyDescent="0.25">
      <c r="A4" s="18" t="s">
        <v>0</v>
      </c>
      <c r="B4" s="18" t="s">
        <v>3</v>
      </c>
      <c r="C4" s="18"/>
      <c r="D4" s="18" t="b">
        <v>1</v>
      </c>
      <c r="E4" s="18"/>
      <c r="F4" t="s">
        <v>11</v>
      </c>
      <c r="H4" t="s">
        <v>4</v>
      </c>
      <c r="I4" t="s">
        <v>5</v>
      </c>
    </row>
    <row r="5" spans="1:10" x14ac:dyDescent="0.25">
      <c r="A5" s="18"/>
      <c r="B5" s="1" t="s">
        <v>1</v>
      </c>
      <c r="C5" s="1" t="s">
        <v>2</v>
      </c>
      <c r="D5" s="1" t="s">
        <v>1</v>
      </c>
      <c r="E5" s="1" t="s">
        <v>2</v>
      </c>
      <c r="F5" s="1" t="s">
        <v>2</v>
      </c>
      <c r="H5" t="s">
        <v>1</v>
      </c>
      <c r="I5" s="1" t="s">
        <v>2</v>
      </c>
    </row>
    <row r="6" spans="1:10" x14ac:dyDescent="0.25">
      <c r="A6" s="2">
        <v>1</v>
      </c>
      <c r="B6" s="2">
        <v>0</v>
      </c>
      <c r="C6" s="2">
        <v>0</v>
      </c>
      <c r="D6" s="3">
        <f>B6*(1+C6)</f>
        <v>0</v>
      </c>
      <c r="E6" s="3">
        <f>LN(1+C6)</f>
        <v>0</v>
      </c>
      <c r="F6" s="3">
        <v>0</v>
      </c>
      <c r="G6" s="3"/>
      <c r="H6" s="5"/>
      <c r="I6" s="5"/>
    </row>
    <row r="7" spans="1:10" x14ac:dyDescent="0.25">
      <c r="A7" s="2">
        <v>2</v>
      </c>
      <c r="B7" s="2">
        <v>503.57</v>
      </c>
      <c r="C7" s="2">
        <v>2.3498366775548296E-3</v>
      </c>
      <c r="D7" s="3">
        <v>504.75330725571621</v>
      </c>
      <c r="E7" s="3">
        <v>2.3470801287975044E-3</v>
      </c>
      <c r="F7" s="3">
        <v>0</v>
      </c>
      <c r="G7" s="3"/>
      <c r="H7" s="8">
        <f>D7</f>
        <v>504.75330725571621</v>
      </c>
      <c r="I7" s="7">
        <f>F7</f>
        <v>0</v>
      </c>
    </row>
    <row r="8" spans="1:10" x14ac:dyDescent="0.25">
      <c r="A8" s="2">
        <v>3</v>
      </c>
      <c r="B8" s="2">
        <v>503.57</v>
      </c>
      <c r="C8" s="2">
        <v>2.8928333333333327E-2</v>
      </c>
      <c r="D8" s="3">
        <v>518.13744081666664</v>
      </c>
      <c r="E8" s="3">
        <v>2.8517807520072446E-2</v>
      </c>
      <c r="F8" s="3">
        <v>2.6170727391274941E-2</v>
      </c>
      <c r="G8" s="3"/>
      <c r="H8" s="8">
        <f>D8</f>
        <v>518.13744081666664</v>
      </c>
      <c r="I8" s="7">
        <f>F8</f>
        <v>2.6170727391274941E-2</v>
      </c>
    </row>
    <row r="9" spans="1:10" x14ac:dyDescent="0.25">
      <c r="A9" s="2">
        <v>4</v>
      </c>
      <c r="B9" s="2">
        <v>600</v>
      </c>
      <c r="C9" s="2">
        <v>4.1356999999999998E-2</v>
      </c>
      <c r="D9" s="3">
        <v>624.81420000000003</v>
      </c>
      <c r="E9" s="3">
        <v>4.0524670323796648E-2</v>
      </c>
      <c r="F9" s="3">
        <v>3.8177590194999146E-2</v>
      </c>
      <c r="G9" s="3"/>
      <c r="H9" s="8">
        <f>D9</f>
        <v>624.81420000000003</v>
      </c>
      <c r="I9" s="7">
        <f>F9</f>
        <v>3.8177590194999146E-2</v>
      </c>
    </row>
    <row r="10" spans="1:10" x14ac:dyDescent="0.25">
      <c r="A10" s="2">
        <v>5</v>
      </c>
      <c r="B10" s="2">
        <v>600</v>
      </c>
      <c r="C10" s="2">
        <v>0.06</v>
      </c>
      <c r="D10" s="3">
        <v>636</v>
      </c>
      <c r="E10" s="3">
        <v>5.8268908123975824E-2</v>
      </c>
      <c r="F10" s="3">
        <v>5.5921827995178322E-2</v>
      </c>
      <c r="G10" s="3"/>
      <c r="H10" s="8">
        <f>D10</f>
        <v>636</v>
      </c>
      <c r="I10" s="7">
        <f>F10</f>
        <v>5.5921827995178322E-2</v>
      </c>
    </row>
    <row r="11" spans="1:10" x14ac:dyDescent="0.25">
      <c r="A11" s="2"/>
      <c r="B11" s="2"/>
      <c r="C11" s="2"/>
      <c r="D11" s="3"/>
      <c r="E11" s="3"/>
      <c r="F11" s="3"/>
      <c r="G11" s="3"/>
      <c r="H11" s="8"/>
      <c r="I11" s="7"/>
    </row>
    <row r="12" spans="1:10" x14ac:dyDescent="0.25">
      <c r="A12" s="2"/>
      <c r="B12" s="2"/>
      <c r="C12" s="2"/>
      <c r="D12" s="3"/>
      <c r="E12" s="3"/>
      <c r="F12" s="3"/>
      <c r="G12" s="3"/>
      <c r="H12" s="8"/>
      <c r="I12" s="7"/>
    </row>
    <row r="13" spans="1:10" x14ac:dyDescent="0.25">
      <c r="A13" s="2"/>
      <c r="B13" s="2"/>
      <c r="C13" s="2"/>
      <c r="D13" s="3"/>
      <c r="E13" s="3"/>
      <c r="F13" s="3"/>
      <c r="G13" s="3"/>
      <c r="H13" s="8"/>
      <c r="I13" s="7"/>
    </row>
    <row r="14" spans="1:10" x14ac:dyDescent="0.25">
      <c r="A14" s="2"/>
      <c r="B14" s="2"/>
      <c r="C14" s="2"/>
      <c r="D14" s="3"/>
      <c r="E14" s="3"/>
      <c r="F14" s="3"/>
      <c r="G14" s="3"/>
      <c r="H14" s="8"/>
      <c r="I14" s="7"/>
    </row>
    <row r="15" spans="1:10" x14ac:dyDescent="0.25">
      <c r="A15" s="2"/>
      <c r="B15" s="2"/>
      <c r="C15" s="2"/>
      <c r="D15" s="3"/>
      <c r="E15" s="3"/>
      <c r="F15" s="3"/>
      <c r="G15" s="3"/>
      <c r="H15" s="8"/>
      <c r="I15" s="7"/>
    </row>
    <row r="16" spans="1:10" x14ac:dyDescent="0.25">
      <c r="A16" s="2"/>
      <c r="B16" s="2"/>
      <c r="C16" s="2"/>
      <c r="D16" s="3"/>
      <c r="E16" s="3"/>
      <c r="F16" s="3"/>
      <c r="G16" s="3"/>
      <c r="H16" s="8"/>
      <c r="I16" s="7"/>
    </row>
    <row r="17" spans="1:16" x14ac:dyDescent="0.25">
      <c r="A17" s="2"/>
      <c r="B17" s="2"/>
      <c r="C17" s="2"/>
      <c r="D17" s="3"/>
      <c r="E17" s="3"/>
      <c r="F17" s="3"/>
      <c r="G17" s="3"/>
      <c r="H17" s="8"/>
      <c r="I17" s="7"/>
    </row>
    <row r="18" spans="1:16" x14ac:dyDescent="0.25">
      <c r="A18" s="2"/>
      <c r="B18" s="2"/>
      <c r="C18" s="2"/>
      <c r="D18" s="3"/>
      <c r="E18" s="3"/>
      <c r="F18" s="3"/>
      <c r="G18" s="3"/>
      <c r="H18" s="8"/>
      <c r="I18" s="7"/>
    </row>
    <row r="19" spans="1:16" x14ac:dyDescent="0.25">
      <c r="A19" s="2"/>
      <c r="B19" s="2"/>
      <c r="C19" s="2"/>
      <c r="D19" s="3"/>
      <c r="E19" s="3"/>
      <c r="F19" s="3"/>
      <c r="G19" s="3"/>
      <c r="H19" s="8"/>
      <c r="I19" s="7"/>
      <c r="K19" s="13"/>
      <c r="L19" s="14"/>
    </row>
    <row r="20" spans="1:16" x14ac:dyDescent="0.25">
      <c r="A20" s="2"/>
      <c r="B20" s="2"/>
      <c r="C20" s="2"/>
      <c r="D20" s="3"/>
      <c r="E20" s="3"/>
      <c r="F20" s="3"/>
      <c r="G20" s="3"/>
      <c r="H20" s="8"/>
      <c r="I20" s="7"/>
      <c r="K20" s="13"/>
      <c r="L20" s="14"/>
    </row>
    <row r="21" spans="1:16" x14ac:dyDescent="0.25">
      <c r="A21" s="2"/>
      <c r="B21" s="2"/>
      <c r="C21" s="2"/>
      <c r="D21" s="3"/>
      <c r="E21" s="3"/>
      <c r="F21" s="3"/>
      <c r="G21" s="3"/>
      <c r="H21" s="8"/>
      <c r="I21" s="7"/>
      <c r="K21" s="13"/>
      <c r="L21" s="14"/>
      <c r="O21" s="13"/>
      <c r="P21" s="14"/>
    </row>
    <row r="22" spans="1:16" x14ac:dyDescent="0.25">
      <c r="A22" s="2"/>
      <c r="B22" s="2"/>
      <c r="C22" s="2"/>
      <c r="D22" s="3"/>
      <c r="E22" s="3"/>
      <c r="F22" s="3"/>
      <c r="G22" s="3"/>
      <c r="H22" s="8"/>
      <c r="I22" s="7"/>
      <c r="K22" s="13"/>
      <c r="L22" s="14"/>
      <c r="M22" s="14"/>
      <c r="O22" s="13"/>
      <c r="P22" s="14"/>
    </row>
    <row r="23" spans="1:16" x14ac:dyDescent="0.25">
      <c r="A23" s="2"/>
      <c r="B23" s="2"/>
      <c r="C23" s="2"/>
      <c r="D23" s="3"/>
      <c r="E23" s="3"/>
      <c r="F23" s="3"/>
      <c r="G23" s="3"/>
      <c r="H23" s="8"/>
      <c r="I23" s="7"/>
      <c r="L23" s="13"/>
      <c r="M23" s="14"/>
      <c r="O23" s="13"/>
      <c r="P23" s="14"/>
    </row>
    <row r="24" spans="1:16" x14ac:dyDescent="0.25">
      <c r="A24" s="2"/>
      <c r="B24" s="2"/>
      <c r="C24" s="2"/>
      <c r="D24" s="3"/>
      <c r="E24" s="3"/>
      <c r="F24" s="3"/>
      <c r="G24" s="3"/>
      <c r="H24" s="8"/>
      <c r="I24" s="7"/>
      <c r="L24" s="13"/>
      <c r="M24" s="14"/>
      <c r="O24" s="13"/>
      <c r="P24" s="14"/>
    </row>
    <row r="25" spans="1:16" x14ac:dyDescent="0.25">
      <c r="A25" s="2"/>
      <c r="B25" s="2"/>
      <c r="C25" s="2"/>
      <c r="D25" s="3"/>
      <c r="E25" s="3"/>
      <c r="F25" s="3"/>
      <c r="G25" s="3"/>
      <c r="H25" s="8"/>
      <c r="I25" s="7"/>
      <c r="L25" s="13"/>
      <c r="M25" s="14"/>
    </row>
    <row r="26" spans="1:16" x14ac:dyDescent="0.25">
      <c r="A26" s="2"/>
      <c r="B26" s="2"/>
      <c r="C26" s="2"/>
      <c r="D26" s="3"/>
      <c r="E26" s="3"/>
      <c r="F26" s="3"/>
      <c r="G26" s="3"/>
      <c r="H26" s="8"/>
      <c r="I26" s="7"/>
      <c r="L26" s="13"/>
      <c r="M26" s="14"/>
    </row>
    <row r="27" spans="1:16" x14ac:dyDescent="0.25">
      <c r="A27" s="2"/>
      <c r="B27" s="2"/>
      <c r="C27" s="2"/>
      <c r="D27" s="3"/>
      <c r="E27" s="3"/>
      <c r="F27" s="3"/>
      <c r="G27" s="3"/>
      <c r="H27" s="8"/>
      <c r="I27" s="7"/>
      <c r="L27" s="13"/>
      <c r="M27" s="14"/>
    </row>
    <row r="28" spans="1:16" x14ac:dyDescent="0.25">
      <c r="A28" s="2"/>
      <c r="B28" s="2"/>
      <c r="C28" s="2"/>
      <c r="D28" s="3"/>
      <c r="E28" s="3"/>
      <c r="F28" s="3"/>
      <c r="G28" s="3"/>
      <c r="H28" s="8"/>
      <c r="I28" s="7"/>
      <c r="L28" s="13"/>
      <c r="M28" s="14"/>
    </row>
    <row r="29" spans="1:16" x14ac:dyDescent="0.25">
      <c r="A29" s="2"/>
      <c r="B29" s="2"/>
      <c r="C29" s="2"/>
      <c r="D29" s="3"/>
      <c r="E29" s="3"/>
      <c r="F29" s="3"/>
      <c r="G29" s="3"/>
      <c r="H29" s="8"/>
      <c r="I29" s="7"/>
      <c r="L29" s="13"/>
      <c r="M29" s="14"/>
    </row>
    <row r="30" spans="1:16" x14ac:dyDescent="0.25">
      <c r="A30" s="2"/>
      <c r="B30" s="2"/>
      <c r="C30" s="2"/>
      <c r="D30" s="3"/>
      <c r="E30" s="3"/>
      <c r="F30" s="3"/>
      <c r="G30" s="3"/>
      <c r="H30" s="8"/>
      <c r="I30" s="7"/>
      <c r="L30" s="13"/>
      <c r="M30" s="14"/>
    </row>
    <row r="31" spans="1:16" x14ac:dyDescent="0.25">
      <c r="A31" s="2"/>
      <c r="B31" s="2"/>
      <c r="C31" s="2"/>
      <c r="D31" s="3"/>
      <c r="E31" s="3"/>
      <c r="F31" s="3"/>
      <c r="G31" s="3"/>
      <c r="H31" s="8"/>
      <c r="I31" s="7"/>
      <c r="L31" s="13"/>
      <c r="M31" s="14"/>
    </row>
    <row r="32" spans="1:16" x14ac:dyDescent="0.25">
      <c r="A32" s="2"/>
      <c r="B32" s="2"/>
      <c r="C32" s="2"/>
      <c r="D32" s="3"/>
      <c r="E32" s="3"/>
      <c r="F32" s="3"/>
      <c r="G32" s="3"/>
      <c r="H32" s="4"/>
      <c r="I32" s="4"/>
      <c r="L32" s="13"/>
      <c r="M32" s="14"/>
    </row>
    <row r="33" spans="1:13" x14ac:dyDescent="0.25">
      <c r="A33" s="2"/>
      <c r="B33" s="2"/>
      <c r="C33" s="2"/>
      <c r="D33" s="3"/>
      <c r="E33" s="3"/>
      <c r="F33" s="3"/>
      <c r="G33" s="3"/>
      <c r="H33" s="4"/>
      <c r="I33" s="4"/>
      <c r="L33" s="13"/>
      <c r="M33" s="14"/>
    </row>
    <row r="34" spans="1:13" x14ac:dyDescent="0.25">
      <c r="A34" s="2"/>
      <c r="B34" s="2"/>
      <c r="C34" s="2"/>
      <c r="D34" s="3"/>
      <c r="E34" s="3"/>
      <c r="F34" s="3"/>
      <c r="G34" s="3"/>
      <c r="H34" s="4"/>
      <c r="I34" s="4"/>
      <c r="L34" s="13"/>
      <c r="M34" s="14"/>
    </row>
    <row r="35" spans="1:13" x14ac:dyDescent="0.25">
      <c r="A35" s="2"/>
      <c r="B35" s="2"/>
      <c r="C35" s="2"/>
      <c r="D35" s="3"/>
      <c r="E35" s="3"/>
      <c r="F35" s="3"/>
      <c r="G35" s="3"/>
      <c r="H35" s="4"/>
      <c r="I35" s="4"/>
      <c r="L35" s="13"/>
      <c r="M35" s="14"/>
    </row>
    <row r="36" spans="1:13" x14ac:dyDescent="0.25">
      <c r="A36" s="2"/>
      <c r="B36" s="2"/>
      <c r="C36" s="2"/>
      <c r="D36" s="3"/>
      <c r="E36" s="3"/>
      <c r="F36" s="3"/>
      <c r="G36" s="3"/>
      <c r="H36" s="4"/>
      <c r="I36" s="4"/>
    </row>
    <row r="37" spans="1:13" x14ac:dyDescent="0.25">
      <c r="A37" s="2"/>
      <c r="B37" s="2"/>
      <c r="C37" s="2"/>
      <c r="D37" s="3"/>
      <c r="E37" s="3"/>
      <c r="F37" s="3"/>
      <c r="G37" s="3"/>
      <c r="H37" s="4"/>
      <c r="I37" s="4"/>
    </row>
    <row r="38" spans="1:13" x14ac:dyDescent="0.25">
      <c r="A38" s="2"/>
      <c r="B38" s="2"/>
      <c r="C38" s="2"/>
      <c r="D38" s="3"/>
      <c r="E38" s="3"/>
      <c r="F38" s="3"/>
      <c r="G38" s="3"/>
      <c r="H38" s="3"/>
      <c r="I38" s="3"/>
    </row>
    <row r="39" spans="1:13" x14ac:dyDescent="0.25">
      <c r="A39" s="2"/>
      <c r="B39" s="2"/>
      <c r="C39" s="2"/>
      <c r="D39" s="3"/>
      <c r="E39" s="3"/>
      <c r="F39" s="3"/>
      <c r="G39" s="3"/>
      <c r="H39" s="4"/>
      <c r="I39" s="4"/>
    </row>
    <row r="40" spans="1:13" x14ac:dyDescent="0.25">
      <c r="A40" s="2"/>
      <c r="B40" s="2"/>
      <c r="C40" s="2"/>
      <c r="D40" s="3"/>
      <c r="E40" s="3"/>
      <c r="F40" s="3"/>
      <c r="G40" s="3"/>
      <c r="H40" s="4"/>
      <c r="I40" s="4"/>
    </row>
    <row r="41" spans="1:13" x14ac:dyDescent="0.25">
      <c r="A41" s="2"/>
      <c r="B41" s="2"/>
      <c r="C41" s="2"/>
      <c r="D41" s="3"/>
      <c r="E41" s="3"/>
      <c r="F41" s="3"/>
      <c r="G41" s="3"/>
      <c r="H41" s="4"/>
      <c r="I41" s="4"/>
    </row>
    <row r="42" spans="1:13" x14ac:dyDescent="0.25">
      <c r="A42" s="2"/>
      <c r="B42" s="2"/>
      <c r="C42" s="2"/>
      <c r="D42" s="3"/>
      <c r="E42" s="3"/>
      <c r="F42" s="3"/>
      <c r="G42" s="3"/>
      <c r="H42" s="4"/>
      <c r="I42" s="4"/>
    </row>
    <row r="43" spans="1:13" x14ac:dyDescent="0.25">
      <c r="A43" s="2"/>
      <c r="B43" s="2"/>
      <c r="C43" s="2"/>
      <c r="D43" s="3"/>
      <c r="E43" s="3"/>
      <c r="F43" s="3"/>
      <c r="G43" s="3"/>
      <c r="H43" s="4"/>
      <c r="I43" s="4"/>
    </row>
    <row r="44" spans="1:13" x14ac:dyDescent="0.25">
      <c r="A44" s="2"/>
      <c r="B44" s="2"/>
      <c r="C44" s="2"/>
      <c r="D44" s="3"/>
      <c r="E44" s="3"/>
      <c r="F44" s="3"/>
      <c r="G44" s="3"/>
      <c r="H44" s="4"/>
      <c r="I44" s="4"/>
    </row>
    <row r="45" spans="1:13" x14ac:dyDescent="0.25">
      <c r="A45" s="2"/>
      <c r="B45" s="2"/>
      <c r="C45" s="2"/>
      <c r="D45" s="3"/>
      <c r="E45" s="3"/>
      <c r="F45" s="3"/>
      <c r="G45" s="3"/>
      <c r="H45" s="4"/>
      <c r="I45" s="4"/>
    </row>
    <row r="46" spans="1:13" x14ac:dyDescent="0.25">
      <c r="A46" s="2"/>
      <c r="B46" s="2"/>
      <c r="C46" s="2"/>
      <c r="D46" s="3"/>
      <c r="E46" s="3"/>
      <c r="F46" s="3"/>
      <c r="G46" s="3"/>
      <c r="H46" s="4"/>
      <c r="I46" s="4"/>
    </row>
    <row r="47" spans="1:13" x14ac:dyDescent="0.25">
      <c r="A47" s="2"/>
      <c r="B47" s="2"/>
      <c r="C47" s="2"/>
      <c r="D47" s="3"/>
      <c r="E47" s="3"/>
      <c r="F47" s="3"/>
      <c r="G47" s="3"/>
      <c r="H47" s="4"/>
      <c r="I47" s="4"/>
    </row>
    <row r="48" spans="1:13"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A4:A5"/>
    <mergeCell ref="B4:C4"/>
    <mergeCell ref="D4:E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D5E52-65C8-4141-86D8-92FFBE19FCBA}">
  <sheetPr codeName="Feuil11"/>
  <dimension ref="A1:P120"/>
  <sheetViews>
    <sheetView workbookViewId="0">
      <selection activeCell="E10" sqref="E10"/>
    </sheetView>
  </sheetViews>
  <sheetFormatPr defaultColWidth="11.42578125" defaultRowHeight="15" x14ac:dyDescent="0.25"/>
  <cols>
    <col min="4" max="4" width="12" bestFit="1" customWidth="1"/>
    <col min="5" max="5" width="12.42578125" bestFit="1" customWidth="1"/>
    <col min="6" max="6" width="12.7109375" bestFit="1" customWidth="1"/>
    <col min="9" max="9" width="12.5703125" bestFit="1" customWidth="1"/>
  </cols>
  <sheetData>
    <row r="1" spans="1:10" ht="18" x14ac:dyDescent="0.35">
      <c r="B1" t="s">
        <v>6</v>
      </c>
      <c r="D1" s="2">
        <v>197100</v>
      </c>
      <c r="F1" t="s">
        <v>12</v>
      </c>
      <c r="G1" s="2">
        <v>1186.9000000000001</v>
      </c>
      <c r="I1" t="s">
        <v>13</v>
      </c>
      <c r="J1" s="2">
        <f>E7</f>
        <v>4.8358117744223402E-3</v>
      </c>
    </row>
    <row r="4" spans="1:10" x14ac:dyDescent="0.25">
      <c r="A4" s="18" t="s">
        <v>0</v>
      </c>
      <c r="B4" s="18" t="s">
        <v>3</v>
      </c>
      <c r="C4" s="18"/>
      <c r="D4" s="18" t="b">
        <v>1</v>
      </c>
      <c r="E4" s="18"/>
      <c r="F4" t="s">
        <v>11</v>
      </c>
      <c r="H4" t="s">
        <v>4</v>
      </c>
      <c r="I4" t="s">
        <v>5</v>
      </c>
    </row>
    <row r="5" spans="1:10" x14ac:dyDescent="0.25">
      <c r="A5" s="18"/>
      <c r="B5" s="1" t="s">
        <v>1</v>
      </c>
      <c r="C5" s="1" t="s">
        <v>2</v>
      </c>
      <c r="D5" s="1" t="s">
        <v>1</v>
      </c>
      <c r="E5" s="1" t="s">
        <v>2</v>
      </c>
      <c r="F5" s="1" t="s">
        <v>2</v>
      </c>
      <c r="H5" t="s">
        <v>1</v>
      </c>
      <c r="I5" s="1" t="s">
        <v>2</v>
      </c>
    </row>
    <row r="6" spans="1:10" x14ac:dyDescent="0.25">
      <c r="A6" s="2">
        <v>1</v>
      </c>
      <c r="B6" s="2">
        <v>0</v>
      </c>
      <c r="C6" s="2">
        <v>0</v>
      </c>
      <c r="D6" s="3">
        <f>B6*(1+C6)</f>
        <v>0</v>
      </c>
      <c r="E6" s="3">
        <f>LN(1+C6)</f>
        <v>0</v>
      </c>
      <c r="F6" s="3">
        <v>0</v>
      </c>
      <c r="G6" s="3"/>
      <c r="H6" s="5"/>
      <c r="I6" s="5"/>
    </row>
    <row r="7" spans="1:10" x14ac:dyDescent="0.25">
      <c r="A7" s="2">
        <v>2</v>
      </c>
      <c r="B7" s="2">
        <v>694.61106039494496</v>
      </c>
      <c r="C7" s="2">
        <v>4.8475231826263796E-3</v>
      </c>
      <c r="D7" s="3">
        <f t="shared" ref="D7:D19" si="0">B7*(1+C7)</f>
        <v>697.97820361311813</v>
      </c>
      <c r="E7" s="3">
        <f t="shared" ref="E7:E19" si="1">LN(1+C7)</f>
        <v>4.8358117744223402E-3</v>
      </c>
      <c r="F7" s="3">
        <f>E7-$J$1</f>
        <v>0</v>
      </c>
      <c r="G7" s="3"/>
      <c r="H7" s="8">
        <f>D7</f>
        <v>697.97820361311813</v>
      </c>
      <c r="I7" s="7">
        <f>F7</f>
        <v>0</v>
      </c>
    </row>
    <row r="8" spans="1:10" x14ac:dyDescent="0.25">
      <c r="A8" s="2">
        <v>3</v>
      </c>
      <c r="B8" s="2">
        <v>696.76548311151601</v>
      </c>
      <c r="C8" s="2">
        <v>1.16369816941335E-2</v>
      </c>
      <c r="D8" s="3">
        <f t="shared" si="0"/>
        <v>704.87373028358877</v>
      </c>
      <c r="E8" s="3">
        <f t="shared" si="1"/>
        <v>1.1569792771135E-2</v>
      </c>
      <c r="F8" s="3">
        <f t="shared" ref="F8:F19" si="2">E8-$J$1</f>
        <v>6.73398099671266E-3</v>
      </c>
      <c r="G8" s="3"/>
      <c r="H8" s="8">
        <f t="shared" ref="H8:H19" si="3">D8</f>
        <v>704.87373028358877</v>
      </c>
      <c r="I8" s="7">
        <f t="shared" ref="I8:I19" si="4">F8</f>
        <v>6.73398099671266E-3</v>
      </c>
    </row>
    <row r="9" spans="1:10" x14ac:dyDescent="0.25">
      <c r="A9" s="2">
        <v>4</v>
      </c>
      <c r="B9" s="2">
        <v>710.83553548263103</v>
      </c>
      <c r="C9" s="2">
        <v>1.9286960073031299E-2</v>
      </c>
      <c r="D9" s="3">
        <f t="shared" si="0"/>
        <v>724.54539207397625</v>
      </c>
      <c r="E9" s="3">
        <f t="shared" si="1"/>
        <v>1.9103324088747726E-2</v>
      </c>
      <c r="F9" s="3">
        <f t="shared" si="2"/>
        <v>1.4267512314325385E-2</v>
      </c>
      <c r="G9" s="3"/>
      <c r="H9" s="8">
        <f t="shared" si="3"/>
        <v>724.54539207397625</v>
      </c>
      <c r="I9" s="7">
        <f t="shared" si="4"/>
        <v>1.4267512314325385E-2</v>
      </c>
    </row>
    <row r="10" spans="1:10" x14ac:dyDescent="0.25">
      <c r="A10" s="2">
        <v>5</v>
      </c>
      <c r="B10" s="2">
        <v>722.120789890933</v>
      </c>
      <c r="C10" s="2">
        <v>2.9160020179695399E-2</v>
      </c>
      <c r="D10" s="3">
        <f t="shared" si="0"/>
        <v>743.17784669633011</v>
      </c>
      <c r="E10" s="3">
        <f t="shared" si="1"/>
        <v>2.8742955140139713E-2</v>
      </c>
      <c r="F10" s="3">
        <f t="shared" si="2"/>
        <v>2.3907143365717372E-2</v>
      </c>
      <c r="G10" s="3"/>
      <c r="H10" s="8">
        <f t="shared" si="3"/>
        <v>743.17784669633011</v>
      </c>
      <c r="I10" s="7">
        <f t="shared" si="4"/>
        <v>2.3907143365717372E-2</v>
      </c>
    </row>
    <row r="11" spans="1:10" x14ac:dyDescent="0.25">
      <c r="A11" s="2">
        <v>6</v>
      </c>
      <c r="B11" s="2">
        <v>735.534521693172</v>
      </c>
      <c r="C11" s="2">
        <v>4.2489213472349102E-2</v>
      </c>
      <c r="D11" s="3">
        <f t="shared" si="0"/>
        <v>766.78680500167536</v>
      </c>
      <c r="E11" s="3">
        <f t="shared" si="1"/>
        <v>4.1611327848177525E-2</v>
      </c>
      <c r="F11" s="3">
        <f t="shared" si="2"/>
        <v>3.6775516073755184E-2</v>
      </c>
      <c r="G11" s="3"/>
      <c r="H11" s="8">
        <f t="shared" si="3"/>
        <v>766.78680500167536</v>
      </c>
      <c r="I11" s="7">
        <f t="shared" si="4"/>
        <v>3.6775516073755184E-2</v>
      </c>
    </row>
    <row r="12" spans="1:10" x14ac:dyDescent="0.25">
      <c r="A12" s="2">
        <v>7</v>
      </c>
      <c r="B12" s="2">
        <v>744.03113438716196</v>
      </c>
      <c r="C12" s="2">
        <v>5.4091529332628799E-2</v>
      </c>
      <c r="D12" s="3">
        <f t="shared" si="0"/>
        <v>784.27691631725418</v>
      </c>
      <c r="E12" s="3">
        <f t="shared" si="1"/>
        <v>5.2679286322829366E-2</v>
      </c>
      <c r="F12" s="3">
        <f t="shared" si="2"/>
        <v>4.7843474548407025E-2</v>
      </c>
      <c r="G12" s="3"/>
      <c r="H12" s="8">
        <f t="shared" si="3"/>
        <v>784.27691631725418</v>
      </c>
      <c r="I12" s="7">
        <f t="shared" si="4"/>
        <v>4.7843474548407025E-2</v>
      </c>
    </row>
    <row r="13" spans="1:10" x14ac:dyDescent="0.25">
      <c r="A13" s="2">
        <v>8</v>
      </c>
      <c r="B13" s="2">
        <v>751.84067650026395</v>
      </c>
      <c r="C13" s="2">
        <v>6.7422452313458003E-2</v>
      </c>
      <c r="D13" s="3">
        <f t="shared" si="0"/>
        <v>802.53161865892093</v>
      </c>
      <c r="E13" s="3">
        <f t="shared" si="1"/>
        <v>6.5246819279074927E-2</v>
      </c>
      <c r="F13" s="3">
        <f t="shared" si="2"/>
        <v>6.0411007504652586E-2</v>
      </c>
      <c r="G13" s="3"/>
      <c r="H13" s="8">
        <f t="shared" si="3"/>
        <v>802.53161865892093</v>
      </c>
      <c r="I13" s="7">
        <f t="shared" si="4"/>
        <v>6.0411007504652586E-2</v>
      </c>
    </row>
    <row r="14" spans="1:10" x14ac:dyDescent="0.25">
      <c r="A14" s="2">
        <v>9</v>
      </c>
      <c r="B14" s="2">
        <v>757.57555374045103</v>
      </c>
      <c r="C14" s="2">
        <v>8.4210805746408504E-2</v>
      </c>
      <c r="D14" s="3">
        <f t="shared" si="0"/>
        <v>821.37160153471609</v>
      </c>
      <c r="E14" s="3">
        <f t="shared" si="1"/>
        <v>8.0852354356331799E-2</v>
      </c>
      <c r="F14" s="3">
        <f t="shared" si="2"/>
        <v>7.6016542581909458E-2</v>
      </c>
      <c r="G14" s="3"/>
      <c r="H14" s="8">
        <f t="shared" si="3"/>
        <v>821.37160153471609</v>
      </c>
      <c r="I14" s="7">
        <f t="shared" si="4"/>
        <v>7.6016542581909458E-2</v>
      </c>
    </row>
    <row r="15" spans="1:10" x14ac:dyDescent="0.25">
      <c r="A15" s="2">
        <v>10</v>
      </c>
      <c r="B15" s="2">
        <v>759.82126555518198</v>
      </c>
      <c r="C15" s="2">
        <v>0.102728631143996</v>
      </c>
      <c r="D15" s="3">
        <f t="shared" si="0"/>
        <v>837.87666407976462</v>
      </c>
      <c r="E15" s="3">
        <f t="shared" si="1"/>
        <v>9.7787682026900136E-2</v>
      </c>
      <c r="F15" s="3">
        <f t="shared" si="2"/>
        <v>9.2951870252477795E-2</v>
      </c>
      <c r="G15" s="3"/>
      <c r="H15" s="8">
        <f t="shared" si="3"/>
        <v>837.87666407976462</v>
      </c>
      <c r="I15" s="7">
        <f t="shared" si="4"/>
        <v>9.2951870252477795E-2</v>
      </c>
    </row>
    <row r="16" spans="1:10" x14ac:dyDescent="0.25">
      <c r="A16" s="2">
        <v>11</v>
      </c>
      <c r="B16" s="2">
        <v>757.16715514342002</v>
      </c>
      <c r="C16" s="2">
        <v>0.12174179599288899</v>
      </c>
      <c r="D16" s="3">
        <f t="shared" si="0"/>
        <v>849.34604447740639</v>
      </c>
      <c r="E16" s="3">
        <f t="shared" si="1"/>
        <v>0.11488265226832925</v>
      </c>
      <c r="F16" s="3">
        <f t="shared" si="2"/>
        <v>0.11004684049390691</v>
      </c>
      <c r="G16" s="3"/>
      <c r="H16" s="8">
        <f t="shared" si="3"/>
        <v>849.34604447740639</v>
      </c>
      <c r="I16" s="7">
        <f t="shared" si="4"/>
        <v>0.11004684049390691</v>
      </c>
    </row>
    <row r="17" spans="1:16" x14ac:dyDescent="0.25">
      <c r="A17" s="2">
        <v>12</v>
      </c>
      <c r="B17" s="2">
        <v>749.582472493154</v>
      </c>
      <c r="C17" s="2">
        <v>0.13729969249988</v>
      </c>
      <c r="D17" s="3">
        <f t="shared" si="0"/>
        <v>852.49991546976378</v>
      </c>
      <c r="E17" s="3">
        <f t="shared" si="1"/>
        <v>0.12865676183091049</v>
      </c>
      <c r="F17" s="3">
        <f t="shared" si="2"/>
        <v>0.12382095005648815</v>
      </c>
      <c r="G17" s="3"/>
      <c r="H17" s="8">
        <f t="shared" si="3"/>
        <v>852.49991546976378</v>
      </c>
      <c r="I17" s="7">
        <f t="shared" si="4"/>
        <v>0.12382095005648815</v>
      </c>
    </row>
    <row r="18" spans="1:16" x14ac:dyDescent="0.25">
      <c r="A18" s="2">
        <v>13</v>
      </c>
      <c r="B18" s="2">
        <v>735.38259741507795</v>
      </c>
      <c r="C18" s="2">
        <v>0.15212074184403901</v>
      </c>
      <c r="D18" s="3">
        <f t="shared" si="0"/>
        <v>847.249543673056</v>
      </c>
      <c r="E18" s="3">
        <f t="shared" si="1"/>
        <v>0.14160436740995552</v>
      </c>
      <c r="F18" s="3">
        <f t="shared" si="2"/>
        <v>0.1367685556355332</v>
      </c>
      <c r="G18" s="3"/>
      <c r="H18" s="8">
        <f t="shared" si="3"/>
        <v>847.249543673056</v>
      </c>
      <c r="I18" s="7">
        <f t="shared" si="4"/>
        <v>0.1367685556355332</v>
      </c>
    </row>
    <row r="19" spans="1:16" x14ac:dyDescent="0.25">
      <c r="A19" s="2">
        <v>14</v>
      </c>
      <c r="B19" s="2">
        <v>716.823139384039</v>
      </c>
      <c r="C19" s="2">
        <v>0.15854437130639501</v>
      </c>
      <c r="D19" s="3">
        <f t="shared" si="0"/>
        <v>830.47141335555784</v>
      </c>
      <c r="E19" s="3">
        <f t="shared" si="1"/>
        <v>0.14716436480975148</v>
      </c>
      <c r="F19" s="3">
        <f t="shared" si="2"/>
        <v>0.14232855303532915</v>
      </c>
      <c r="G19" s="3"/>
      <c r="H19" s="8">
        <f t="shared" si="3"/>
        <v>830.47141335555784</v>
      </c>
      <c r="I19" s="7">
        <f t="shared" si="4"/>
        <v>0.14232855303532915</v>
      </c>
    </row>
    <row r="20" spans="1:16" x14ac:dyDescent="0.25">
      <c r="A20" s="2"/>
      <c r="B20" s="2"/>
      <c r="C20" s="2"/>
      <c r="D20" s="3"/>
      <c r="E20" s="3"/>
      <c r="F20" s="3"/>
      <c r="G20" s="3"/>
      <c r="H20" s="8"/>
      <c r="I20" s="7"/>
    </row>
    <row r="21" spans="1:16" x14ac:dyDescent="0.25">
      <c r="A21" s="2"/>
      <c r="B21" s="2"/>
      <c r="C21" s="2"/>
      <c r="D21" s="3"/>
      <c r="E21" s="3"/>
      <c r="F21" s="3"/>
      <c r="G21" s="3"/>
      <c r="H21" s="8"/>
      <c r="I21" s="7"/>
      <c r="O21" s="13"/>
      <c r="P21" s="14"/>
    </row>
    <row r="22" spans="1:16" x14ac:dyDescent="0.25">
      <c r="A22" s="2"/>
      <c r="B22" s="2"/>
      <c r="C22" s="2"/>
      <c r="D22" s="3"/>
      <c r="E22" s="3"/>
      <c r="F22" s="3"/>
      <c r="G22" s="3"/>
      <c r="H22" s="8"/>
      <c r="I22" s="7"/>
      <c r="L22" s="13"/>
      <c r="M22" s="14"/>
      <c r="O22" s="13"/>
      <c r="P22" s="14"/>
    </row>
    <row r="23" spans="1:16" x14ac:dyDescent="0.25">
      <c r="A23" s="2"/>
      <c r="B23" s="2"/>
      <c r="C23" s="2"/>
      <c r="D23" s="3"/>
      <c r="E23" s="3"/>
      <c r="F23" s="3"/>
      <c r="G23" s="3"/>
      <c r="H23" s="8"/>
      <c r="I23" s="7"/>
      <c r="L23" s="13"/>
      <c r="M23" s="14"/>
      <c r="O23" s="13"/>
      <c r="P23" s="14"/>
    </row>
    <row r="24" spans="1:16" x14ac:dyDescent="0.25">
      <c r="A24" s="2"/>
      <c r="B24" s="2"/>
      <c r="C24" s="2"/>
      <c r="D24" s="3"/>
      <c r="E24" s="3"/>
      <c r="F24" s="3"/>
      <c r="G24" s="3"/>
      <c r="H24" s="8"/>
      <c r="I24" s="7"/>
      <c r="L24" s="13"/>
      <c r="M24" s="14"/>
      <c r="O24" s="13"/>
      <c r="P24" s="14"/>
    </row>
    <row r="25" spans="1:16" x14ac:dyDescent="0.25">
      <c r="A25" s="2"/>
      <c r="B25" s="2"/>
      <c r="C25" s="2"/>
      <c r="D25" s="3"/>
      <c r="E25" s="3"/>
      <c r="F25" s="3"/>
      <c r="G25" s="3"/>
      <c r="H25" s="8"/>
      <c r="I25" s="7"/>
      <c r="L25" s="13"/>
      <c r="M25" s="14"/>
    </row>
    <row r="26" spans="1:16" x14ac:dyDescent="0.25">
      <c r="A26" s="2"/>
      <c r="B26" s="2"/>
      <c r="C26" s="2"/>
      <c r="D26" s="3"/>
      <c r="E26" s="3"/>
      <c r="F26" s="3"/>
      <c r="G26" s="3"/>
      <c r="H26" s="8"/>
      <c r="I26" s="7"/>
      <c r="L26" s="13"/>
      <c r="M26" s="14"/>
    </row>
    <row r="27" spans="1:16" x14ac:dyDescent="0.25">
      <c r="A27" s="2"/>
      <c r="B27" s="2"/>
      <c r="C27" s="2"/>
      <c r="D27" s="3"/>
      <c r="E27" s="3"/>
      <c r="F27" s="3"/>
      <c r="G27" s="3"/>
      <c r="H27" s="8"/>
      <c r="I27" s="7"/>
      <c r="L27" s="13"/>
      <c r="M27" s="14"/>
    </row>
    <row r="28" spans="1:16" x14ac:dyDescent="0.25">
      <c r="A28" s="2"/>
      <c r="B28" s="2"/>
      <c r="C28" s="2"/>
      <c r="D28" s="3"/>
      <c r="E28" s="3"/>
      <c r="F28" s="3"/>
      <c r="G28" s="3"/>
      <c r="H28" s="8"/>
      <c r="I28" s="7"/>
      <c r="L28" s="13"/>
      <c r="M28" s="14"/>
    </row>
    <row r="29" spans="1:16" x14ac:dyDescent="0.25">
      <c r="A29" s="2"/>
      <c r="B29" s="2"/>
      <c r="C29" s="2"/>
      <c r="D29" s="3"/>
      <c r="E29" s="3"/>
      <c r="F29" s="3"/>
      <c r="G29" s="3"/>
      <c r="H29" s="8"/>
      <c r="I29" s="7"/>
      <c r="L29" s="13"/>
      <c r="M29" s="14"/>
    </row>
    <row r="30" spans="1:16" x14ac:dyDescent="0.25">
      <c r="A30" s="2"/>
      <c r="B30" s="2"/>
      <c r="C30" s="2"/>
      <c r="D30" s="3"/>
      <c r="E30" s="3"/>
      <c r="F30" s="3"/>
      <c r="G30" s="3"/>
      <c r="H30" s="8"/>
      <c r="I30" s="7"/>
      <c r="L30" s="13"/>
      <c r="M30" s="14"/>
    </row>
    <row r="31" spans="1:16" x14ac:dyDescent="0.25">
      <c r="A31" s="2"/>
      <c r="B31" s="2"/>
      <c r="C31" s="2"/>
      <c r="D31" s="3"/>
      <c r="E31" s="3"/>
      <c r="F31" s="3"/>
      <c r="G31" s="3"/>
      <c r="H31" s="8"/>
      <c r="I31" s="7"/>
      <c r="L31" s="13"/>
      <c r="M31" s="14"/>
    </row>
    <row r="32" spans="1:16" x14ac:dyDescent="0.25">
      <c r="A32" s="2"/>
      <c r="B32" s="2"/>
      <c r="C32" s="2"/>
      <c r="D32" s="3"/>
      <c r="E32" s="3"/>
      <c r="F32" s="3"/>
      <c r="G32" s="3"/>
      <c r="H32" s="4"/>
      <c r="I32" s="4"/>
      <c r="L32" s="13"/>
      <c r="M32" s="14"/>
    </row>
    <row r="33" spans="1:13" x14ac:dyDescent="0.25">
      <c r="A33" s="2"/>
      <c r="B33" s="2"/>
      <c r="C33" s="2"/>
      <c r="D33" s="3"/>
      <c r="E33" s="3"/>
      <c r="F33" s="3"/>
      <c r="G33" s="3"/>
      <c r="H33" s="4"/>
      <c r="I33" s="4"/>
      <c r="L33" s="13"/>
      <c r="M33" s="14"/>
    </row>
    <row r="34" spans="1:13" x14ac:dyDescent="0.25">
      <c r="A34" s="2"/>
      <c r="B34" s="2"/>
      <c r="C34" s="2"/>
      <c r="D34" s="3"/>
      <c r="E34" s="3"/>
      <c r="F34" s="3"/>
      <c r="G34" s="3"/>
      <c r="H34" s="4"/>
      <c r="I34" s="4"/>
      <c r="L34" s="13"/>
      <c r="M34" s="14"/>
    </row>
    <row r="35" spans="1:13" x14ac:dyDescent="0.25">
      <c r="A35" s="2"/>
      <c r="B35" s="2"/>
      <c r="C35" s="2"/>
      <c r="D35" s="3"/>
      <c r="E35" s="3"/>
      <c r="F35" s="3"/>
      <c r="G35" s="3"/>
      <c r="H35" s="4"/>
      <c r="I35" s="4"/>
      <c r="L35" s="13"/>
      <c r="M35" s="14"/>
    </row>
    <row r="36" spans="1:13" x14ac:dyDescent="0.25">
      <c r="A36" s="2"/>
      <c r="B36" s="2"/>
      <c r="C36" s="2"/>
      <c r="D36" s="3"/>
      <c r="E36" s="3"/>
      <c r="F36" s="3"/>
      <c r="G36" s="3"/>
      <c r="H36" s="4"/>
      <c r="I36" s="4"/>
    </row>
    <row r="37" spans="1:13" x14ac:dyDescent="0.25">
      <c r="A37" s="2"/>
      <c r="B37" s="2"/>
      <c r="C37" s="2"/>
      <c r="D37" s="3"/>
      <c r="E37" s="3"/>
      <c r="F37" s="3"/>
      <c r="G37" s="3"/>
      <c r="H37" s="4"/>
      <c r="I37" s="4"/>
    </row>
    <row r="38" spans="1:13" x14ac:dyDescent="0.25">
      <c r="A38" s="2"/>
      <c r="B38" s="2"/>
      <c r="C38" s="2"/>
      <c r="D38" s="3"/>
      <c r="E38" s="3"/>
      <c r="F38" s="3"/>
      <c r="G38" s="3"/>
      <c r="H38" s="3"/>
      <c r="I38" s="3"/>
    </row>
    <row r="39" spans="1:13" x14ac:dyDescent="0.25">
      <c r="A39" s="2"/>
      <c r="B39" s="2"/>
      <c r="C39" s="2"/>
      <c r="D39" s="3"/>
      <c r="E39" s="3"/>
      <c r="F39" s="3"/>
      <c r="G39" s="3"/>
      <c r="H39" s="4"/>
      <c r="I39" s="4"/>
    </row>
    <row r="40" spans="1:13" x14ac:dyDescent="0.25">
      <c r="A40" s="2"/>
      <c r="B40" s="2"/>
      <c r="C40" s="2"/>
      <c r="D40" s="3"/>
      <c r="E40" s="3"/>
      <c r="F40" s="3"/>
      <c r="G40" s="3"/>
      <c r="H40" s="4"/>
      <c r="I40" s="4"/>
    </row>
    <row r="41" spans="1:13" x14ac:dyDescent="0.25">
      <c r="A41" s="2"/>
      <c r="B41" s="2"/>
      <c r="C41" s="2"/>
      <c r="D41" s="3"/>
      <c r="E41" s="3"/>
      <c r="F41" s="3"/>
      <c r="G41" s="3"/>
      <c r="H41" s="4"/>
      <c r="I41" s="4"/>
    </row>
    <row r="42" spans="1:13" x14ac:dyDescent="0.25">
      <c r="A42" s="2"/>
      <c r="B42" s="2"/>
      <c r="C42" s="2"/>
      <c r="D42" s="3"/>
      <c r="E42" s="3"/>
      <c r="F42" s="3"/>
      <c r="G42" s="3"/>
      <c r="H42" s="4"/>
      <c r="I42" s="4"/>
    </row>
    <row r="43" spans="1:13" x14ac:dyDescent="0.25">
      <c r="A43" s="2"/>
      <c r="B43" s="2"/>
      <c r="C43" s="2"/>
      <c r="D43" s="3"/>
      <c r="E43" s="3"/>
      <c r="F43" s="3"/>
      <c r="G43" s="3"/>
      <c r="H43" s="4"/>
      <c r="I43" s="4"/>
    </row>
    <row r="44" spans="1:13" x14ac:dyDescent="0.25">
      <c r="A44" s="2"/>
      <c r="B44" s="2"/>
      <c r="C44" s="2"/>
      <c r="D44" s="3"/>
      <c r="E44" s="3"/>
      <c r="F44" s="3"/>
      <c r="G44" s="3"/>
      <c r="H44" s="4"/>
      <c r="I44" s="4"/>
    </row>
    <row r="45" spans="1:13" x14ac:dyDescent="0.25">
      <c r="A45" s="2"/>
      <c r="B45" s="2"/>
      <c r="C45" s="2"/>
      <c r="D45" s="3"/>
      <c r="E45" s="3"/>
      <c r="F45" s="3"/>
      <c r="G45" s="3"/>
      <c r="H45" s="4"/>
      <c r="I45" s="4"/>
    </row>
    <row r="46" spans="1:13" x14ac:dyDescent="0.25">
      <c r="A46" s="2"/>
      <c r="B46" s="2"/>
      <c r="C46" s="2"/>
      <c r="D46" s="3"/>
      <c r="E46" s="3"/>
      <c r="F46" s="3"/>
      <c r="G46" s="3"/>
      <c r="H46" s="4"/>
      <c r="I46" s="4"/>
    </row>
    <row r="47" spans="1:13" x14ac:dyDescent="0.25">
      <c r="A47" s="2"/>
      <c r="B47" s="2"/>
      <c r="C47" s="2"/>
      <c r="D47" s="3"/>
      <c r="E47" s="3"/>
      <c r="F47" s="3"/>
      <c r="G47" s="3"/>
      <c r="H47" s="4"/>
      <c r="I47" s="4"/>
    </row>
    <row r="48" spans="1:13"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A4:A5"/>
    <mergeCell ref="B4:C4"/>
    <mergeCell ref="D4:E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B7621-F7EF-47AA-92FE-DEEBC06BAA73}">
  <sheetPr codeName="Feuil7"/>
  <dimension ref="A1:P120"/>
  <sheetViews>
    <sheetView workbookViewId="0">
      <selection activeCell="F13" sqref="F13"/>
    </sheetView>
  </sheetViews>
  <sheetFormatPr defaultColWidth="11.42578125" defaultRowHeight="15" x14ac:dyDescent="0.25"/>
  <cols>
    <col min="6" max="6" width="12.7109375" bestFit="1" customWidth="1"/>
    <col min="9" max="9" width="12.5703125" bestFit="1" customWidth="1"/>
  </cols>
  <sheetData>
    <row r="1" spans="1:10" ht="18" x14ac:dyDescent="0.35">
      <c r="B1" t="s">
        <v>6</v>
      </c>
      <c r="D1" s="2">
        <v>206325</v>
      </c>
      <c r="F1" t="s">
        <v>12</v>
      </c>
      <c r="G1" s="2">
        <v>388.875</v>
      </c>
      <c r="I1" t="s">
        <v>13</v>
      </c>
      <c r="J1" s="2">
        <f>E7</f>
        <v>4.4087831780868772E-3</v>
      </c>
    </row>
    <row r="4" spans="1:10" x14ac:dyDescent="0.25">
      <c r="A4" s="18" t="s">
        <v>0</v>
      </c>
      <c r="B4" s="18" t="s">
        <v>3</v>
      </c>
      <c r="C4" s="18"/>
      <c r="D4" s="18" t="b">
        <v>1</v>
      </c>
      <c r="E4" s="18"/>
      <c r="F4" t="s">
        <v>11</v>
      </c>
      <c r="H4" t="s">
        <v>4</v>
      </c>
      <c r="I4" t="s">
        <v>5</v>
      </c>
    </row>
    <row r="5" spans="1:10" x14ac:dyDescent="0.25">
      <c r="A5" s="18"/>
      <c r="B5" s="1" t="s">
        <v>1</v>
      </c>
      <c r="C5" s="1" t="s">
        <v>2</v>
      </c>
      <c r="D5" s="1" t="s">
        <v>1</v>
      </c>
      <c r="E5" s="1" t="s">
        <v>2</v>
      </c>
      <c r="F5" s="1" t="s">
        <v>2</v>
      </c>
      <c r="H5" t="s">
        <v>1</v>
      </c>
      <c r="I5" s="1" t="s">
        <v>2</v>
      </c>
    </row>
    <row r="6" spans="1:10" x14ac:dyDescent="0.25">
      <c r="A6" s="2">
        <v>1</v>
      </c>
      <c r="B6" s="2">
        <v>0</v>
      </c>
      <c r="C6" s="2">
        <v>0</v>
      </c>
      <c r="D6" s="3">
        <f>B6*(1+C6)</f>
        <v>0</v>
      </c>
      <c r="E6" s="3">
        <f>LN(1+C6)</f>
        <v>0</v>
      </c>
      <c r="F6" s="3">
        <v>0</v>
      </c>
      <c r="G6" s="3"/>
      <c r="H6" s="5"/>
      <c r="I6" s="5"/>
    </row>
    <row r="7" spans="1:10" x14ac:dyDescent="0.25">
      <c r="A7" s="2">
        <v>2</v>
      </c>
      <c r="B7" s="2">
        <v>390.071940911014</v>
      </c>
      <c r="C7" s="2">
        <v>4.4185161609229398E-3</v>
      </c>
      <c r="D7" s="3">
        <f t="shared" ref="D7:D20" si="0">B7*(1+C7)</f>
        <v>391.79548008585186</v>
      </c>
      <c r="E7" s="3">
        <f>LN(1+C7)</f>
        <v>4.4087831780868772E-3</v>
      </c>
      <c r="F7" s="3">
        <f>E7-$J$1</f>
        <v>0</v>
      </c>
      <c r="G7" s="3"/>
      <c r="H7" s="8">
        <v>772</v>
      </c>
      <c r="I7" s="7">
        <v>0</v>
      </c>
    </row>
    <row r="8" spans="1:10" x14ac:dyDescent="0.25">
      <c r="A8" s="2">
        <v>3</v>
      </c>
      <c r="B8" s="2">
        <v>393.72375116908398</v>
      </c>
      <c r="C8" s="2">
        <v>1.6819521840094099E-2</v>
      </c>
      <c r="D8" s="3">
        <f t="shared" si="0"/>
        <v>400.34599640083621</v>
      </c>
      <c r="E8" s="3">
        <f t="shared" ref="E8:E20" si="1">LN(1+C8)</f>
        <v>1.6679640000791949E-2</v>
      </c>
      <c r="F8" s="3">
        <f t="shared" ref="F8:F20" si="2">E8-$J$1</f>
        <v>1.2270856822705071E-2</v>
      </c>
      <c r="G8" s="3"/>
      <c r="H8" s="8">
        <v>772</v>
      </c>
      <c r="I8" s="7">
        <v>2.6693790149892933E-2</v>
      </c>
    </row>
    <row r="9" spans="1:10" x14ac:dyDescent="0.25">
      <c r="A9" s="2">
        <v>4</v>
      </c>
      <c r="B9" s="2">
        <v>419.94573315362902</v>
      </c>
      <c r="C9" s="2">
        <v>2.2517540709025098E-2</v>
      </c>
      <c r="D9" s="3">
        <f t="shared" si="0"/>
        <v>429.40187829549723</v>
      </c>
      <c r="E9" s="3">
        <f t="shared" si="1"/>
        <v>2.2267763515331922E-2</v>
      </c>
      <c r="F9" s="3">
        <f t="shared" si="2"/>
        <v>1.7858980337245044E-2</v>
      </c>
      <c r="G9" s="3"/>
      <c r="H9" s="8">
        <v>805.875</v>
      </c>
      <c r="I9" s="7">
        <v>3.4193790149892933E-2</v>
      </c>
    </row>
    <row r="10" spans="1:10" x14ac:dyDescent="0.25">
      <c r="A10" s="2">
        <v>5</v>
      </c>
      <c r="B10" s="2">
        <v>447.07773387908298</v>
      </c>
      <c r="C10" s="2">
        <v>3.03417815599407E-2</v>
      </c>
      <c r="D10" s="3">
        <f t="shared" si="0"/>
        <v>460.64286882075544</v>
      </c>
      <c r="E10" s="3">
        <f t="shared" si="1"/>
        <v>2.9890573956446002E-2</v>
      </c>
      <c r="F10" s="3">
        <f t="shared" si="2"/>
        <v>2.5481790778359124E-2</v>
      </c>
      <c r="G10" s="3"/>
      <c r="H10" s="8">
        <v>826.2</v>
      </c>
      <c r="I10" s="7">
        <v>5.6693790149892932E-2</v>
      </c>
    </row>
    <row r="11" spans="1:10" x14ac:dyDescent="0.25">
      <c r="A11" s="2">
        <v>6</v>
      </c>
      <c r="B11" s="2">
        <v>474.22146989896902</v>
      </c>
      <c r="C11" s="2">
        <v>4.2062140162089298E-2</v>
      </c>
      <c r="D11" s="3">
        <f t="shared" si="0"/>
        <v>494.16823983373149</v>
      </c>
      <c r="E11" s="3">
        <f t="shared" si="1"/>
        <v>4.1201577025305712E-2</v>
      </c>
      <c r="F11" s="3">
        <f t="shared" si="2"/>
        <v>3.6792793847218834E-2</v>
      </c>
      <c r="G11" s="3"/>
      <c r="H11" s="8"/>
      <c r="I11" s="7"/>
    </row>
    <row r="12" spans="1:10" x14ac:dyDescent="0.25">
      <c r="A12" s="2">
        <v>7</v>
      </c>
      <c r="B12" s="2">
        <v>496.84498387285998</v>
      </c>
      <c r="C12" s="2">
        <v>5.3068779493817698E-2</v>
      </c>
      <c r="D12" s="3">
        <f t="shared" si="0"/>
        <v>523.21194076461813</v>
      </c>
      <c r="E12" s="3">
        <f t="shared" si="1"/>
        <v>5.170854867667956E-2</v>
      </c>
      <c r="F12" s="3">
        <f t="shared" si="2"/>
        <v>4.7299765498592682E-2</v>
      </c>
      <c r="G12" s="3"/>
      <c r="H12" s="8"/>
      <c r="I12" s="7"/>
    </row>
    <row r="13" spans="1:10" x14ac:dyDescent="0.25">
      <c r="A13" s="2">
        <v>8</v>
      </c>
      <c r="B13" s="2">
        <v>515.87216352599296</v>
      </c>
      <c r="C13" s="2">
        <v>7.0092424334021991E-2</v>
      </c>
      <c r="D13" s="3">
        <f t="shared" si="0"/>
        <v>552.03089411396684</v>
      </c>
      <c r="E13" s="3">
        <f t="shared" si="1"/>
        <v>6.7745022625723864E-2</v>
      </c>
      <c r="F13" s="3">
        <f t="shared" si="2"/>
        <v>6.3336239447636986E-2</v>
      </c>
      <c r="G13" s="3"/>
      <c r="H13" s="8"/>
      <c r="I13" s="7"/>
    </row>
    <row r="14" spans="1:10" x14ac:dyDescent="0.25">
      <c r="A14" s="2">
        <v>9</v>
      </c>
      <c r="B14" s="2">
        <v>534.01279502707905</v>
      </c>
      <c r="C14" s="2">
        <v>9.2782082694708196E-2</v>
      </c>
      <c r="D14" s="3">
        <f t="shared" si="0"/>
        <v>583.55961433531377</v>
      </c>
      <c r="E14" s="3">
        <f t="shared" si="1"/>
        <v>8.8726813922805875E-2</v>
      </c>
      <c r="F14" s="3">
        <f t="shared" si="2"/>
        <v>8.4318030744718997E-2</v>
      </c>
      <c r="G14" s="3"/>
      <c r="H14" s="8"/>
      <c r="I14" s="7"/>
    </row>
    <row r="15" spans="1:10" x14ac:dyDescent="0.25">
      <c r="A15" s="2">
        <v>10</v>
      </c>
      <c r="B15" s="2">
        <v>540.40426311241299</v>
      </c>
      <c r="C15" s="2">
        <v>0.114749487025387</v>
      </c>
      <c r="D15" s="3">
        <f t="shared" si="0"/>
        <v>602.4153750908946</v>
      </c>
      <c r="E15" s="3">
        <f t="shared" si="1"/>
        <v>0.10862970435524837</v>
      </c>
      <c r="F15" s="3">
        <f t="shared" si="2"/>
        <v>0.10422092117716149</v>
      </c>
      <c r="G15" s="3"/>
      <c r="H15" s="8"/>
      <c r="I15" s="7"/>
    </row>
    <row r="16" spans="1:10" x14ac:dyDescent="0.25">
      <c r="A16" s="2">
        <v>11</v>
      </c>
      <c r="B16" s="2">
        <v>544.09768032346699</v>
      </c>
      <c r="C16" s="2">
        <v>0.14096400109529397</v>
      </c>
      <c r="D16" s="3">
        <f t="shared" si="0"/>
        <v>620.79586632853113</v>
      </c>
      <c r="E16" s="3">
        <f t="shared" si="1"/>
        <v>0.13187352007134409</v>
      </c>
      <c r="F16" s="3">
        <f t="shared" si="2"/>
        <v>0.12746473689325721</v>
      </c>
      <c r="G16" s="3"/>
      <c r="H16" s="8"/>
      <c r="I16" s="7"/>
    </row>
    <row r="17" spans="1:16" x14ac:dyDescent="0.25">
      <c r="A17" s="2">
        <v>12</v>
      </c>
      <c r="B17" s="2">
        <v>544.15528995067598</v>
      </c>
      <c r="C17" s="2">
        <v>0.16009039732861999</v>
      </c>
      <c r="D17" s="3">
        <f t="shared" si="0"/>
        <v>631.26932652735013</v>
      </c>
      <c r="E17" s="3">
        <f t="shared" si="1"/>
        <v>0.14849793081355644</v>
      </c>
      <c r="F17" s="3">
        <f t="shared" si="2"/>
        <v>0.14408914763546957</v>
      </c>
      <c r="G17" s="3"/>
      <c r="H17" s="8"/>
      <c r="I17" s="7"/>
    </row>
    <row r="18" spans="1:16" x14ac:dyDescent="0.25">
      <c r="A18" s="2">
        <v>13</v>
      </c>
      <c r="B18" s="2">
        <v>542.42166690966997</v>
      </c>
      <c r="C18" s="2">
        <v>0.18452754771464</v>
      </c>
      <c r="D18" s="3">
        <f t="shared" si="0"/>
        <v>642.51340693179861</v>
      </c>
      <c r="E18" s="3">
        <f t="shared" si="1"/>
        <v>0.1693440011758493</v>
      </c>
      <c r="F18" s="3">
        <f t="shared" si="2"/>
        <v>0.16493521799776242</v>
      </c>
      <c r="G18" s="3"/>
      <c r="H18" s="8"/>
      <c r="I18" s="7"/>
    </row>
    <row r="19" spans="1:16" x14ac:dyDescent="0.25">
      <c r="A19" s="2">
        <v>14</v>
      </c>
      <c r="B19" s="2">
        <v>538.86267216210297</v>
      </c>
      <c r="C19" s="2">
        <v>0.20294129152249399</v>
      </c>
      <c r="D19" s="3">
        <f t="shared" si="0"/>
        <v>648.22015880394235</v>
      </c>
      <c r="E19" s="3">
        <f t="shared" si="1"/>
        <v>0.18476963407476113</v>
      </c>
      <c r="F19" s="3">
        <f t="shared" si="2"/>
        <v>0.18036085089667425</v>
      </c>
      <c r="G19" s="3"/>
      <c r="H19" s="8"/>
      <c r="I19" s="7"/>
    </row>
    <row r="20" spans="1:16" x14ac:dyDescent="0.25">
      <c r="A20" s="2">
        <v>15</v>
      </c>
      <c r="B20" s="2">
        <v>532.59495809077396</v>
      </c>
      <c r="C20" s="2">
        <v>0.22206021984118199</v>
      </c>
      <c r="D20" s="3">
        <f t="shared" si="0"/>
        <v>650.86311157071634</v>
      </c>
      <c r="E20" s="3">
        <f t="shared" si="1"/>
        <v>0.20053813927429867</v>
      </c>
      <c r="F20" s="3">
        <f t="shared" si="2"/>
        <v>0.19612935609621179</v>
      </c>
      <c r="G20" s="3"/>
      <c r="H20" s="8"/>
      <c r="I20" s="7"/>
    </row>
    <row r="21" spans="1:16" x14ac:dyDescent="0.25">
      <c r="A21" s="2"/>
      <c r="B21" s="2"/>
      <c r="C21" s="2"/>
      <c r="D21" s="3"/>
      <c r="E21" s="3"/>
      <c r="F21" s="3"/>
      <c r="G21" s="3"/>
      <c r="H21" s="8"/>
      <c r="I21" s="7"/>
      <c r="O21" s="13"/>
      <c r="P21" s="14"/>
    </row>
    <row r="22" spans="1:16" x14ac:dyDescent="0.25">
      <c r="A22" s="2"/>
      <c r="B22" s="2"/>
      <c r="C22" s="2"/>
      <c r="D22" s="3"/>
      <c r="E22" s="3"/>
      <c r="F22" s="3"/>
      <c r="G22" s="3"/>
      <c r="H22" s="8"/>
      <c r="I22" s="7"/>
      <c r="L22" s="13"/>
      <c r="M22" s="14"/>
      <c r="O22" s="13"/>
      <c r="P22" s="14"/>
    </row>
    <row r="23" spans="1:16" x14ac:dyDescent="0.25">
      <c r="A23" s="2"/>
      <c r="B23" s="2"/>
      <c r="C23" s="2"/>
      <c r="D23" s="3"/>
      <c r="E23" s="3"/>
      <c r="F23" s="3"/>
      <c r="G23" s="3"/>
      <c r="H23" s="8"/>
      <c r="I23" s="7"/>
      <c r="L23" s="13"/>
      <c r="M23" s="14"/>
      <c r="O23" s="13"/>
      <c r="P23" s="14"/>
    </row>
    <row r="24" spans="1:16" x14ac:dyDescent="0.25">
      <c r="A24" s="2"/>
      <c r="B24" s="2"/>
      <c r="C24" s="2"/>
      <c r="D24" s="3"/>
      <c r="E24" s="3"/>
      <c r="F24" s="3"/>
      <c r="G24" s="3"/>
      <c r="H24" s="8"/>
      <c r="I24" s="7"/>
      <c r="L24" s="13"/>
      <c r="M24" s="14"/>
      <c r="O24" s="13"/>
      <c r="P24" s="14"/>
    </row>
    <row r="25" spans="1:16" x14ac:dyDescent="0.25">
      <c r="A25" s="2"/>
      <c r="B25" s="2"/>
      <c r="C25" s="2"/>
      <c r="D25" s="3"/>
      <c r="E25" s="3"/>
      <c r="F25" s="3"/>
      <c r="G25" s="3"/>
      <c r="H25" s="8"/>
      <c r="I25" s="7"/>
      <c r="L25" s="13"/>
      <c r="M25" s="14"/>
    </row>
    <row r="26" spans="1:16" x14ac:dyDescent="0.25">
      <c r="A26" s="2"/>
      <c r="B26" s="2"/>
      <c r="C26" s="2"/>
      <c r="D26" s="3"/>
      <c r="E26" s="3"/>
      <c r="F26" s="3"/>
      <c r="G26" s="3"/>
      <c r="H26" s="8"/>
      <c r="I26" s="7"/>
      <c r="L26" s="13"/>
      <c r="M26" s="14"/>
    </row>
    <row r="27" spans="1:16" x14ac:dyDescent="0.25">
      <c r="A27" s="2"/>
      <c r="B27" s="2"/>
      <c r="C27" s="2"/>
      <c r="D27" s="3"/>
      <c r="E27" s="3"/>
      <c r="F27" s="3"/>
      <c r="G27" s="3"/>
      <c r="H27" s="8"/>
      <c r="I27" s="7"/>
      <c r="L27" s="13"/>
      <c r="M27" s="14"/>
    </row>
    <row r="28" spans="1:16" x14ac:dyDescent="0.25">
      <c r="A28" s="2"/>
      <c r="B28" s="2"/>
      <c r="C28" s="2"/>
      <c r="D28" s="3"/>
      <c r="E28" s="3"/>
      <c r="F28" s="3"/>
      <c r="G28" s="3"/>
      <c r="H28" s="8"/>
      <c r="I28" s="7"/>
      <c r="L28" s="13"/>
      <c r="M28" s="14"/>
    </row>
    <row r="29" spans="1:16" x14ac:dyDescent="0.25">
      <c r="A29" s="2"/>
      <c r="B29" s="2"/>
      <c r="C29" s="2"/>
      <c r="D29" s="3"/>
      <c r="E29" s="3"/>
      <c r="F29" s="3"/>
      <c r="G29" s="3"/>
      <c r="H29" s="8"/>
      <c r="I29" s="7"/>
      <c r="L29" s="13"/>
      <c r="M29" s="14"/>
    </row>
    <row r="30" spans="1:16" x14ac:dyDescent="0.25">
      <c r="A30" s="2"/>
      <c r="B30" s="2"/>
      <c r="C30" s="2"/>
      <c r="D30" s="3"/>
      <c r="E30" s="3"/>
      <c r="F30" s="3"/>
      <c r="G30" s="3"/>
      <c r="H30" s="8"/>
      <c r="I30" s="7"/>
      <c r="L30" s="13"/>
      <c r="M30" s="14"/>
    </row>
    <row r="31" spans="1:16" x14ac:dyDescent="0.25">
      <c r="A31" s="2"/>
      <c r="B31" s="2"/>
      <c r="C31" s="2"/>
      <c r="D31" s="3"/>
      <c r="E31" s="3"/>
      <c r="F31" s="3"/>
      <c r="G31" s="3"/>
      <c r="H31" s="8"/>
      <c r="I31" s="7"/>
      <c r="L31" s="13"/>
      <c r="M31" s="14"/>
    </row>
    <row r="32" spans="1:16" x14ac:dyDescent="0.25">
      <c r="A32" s="2"/>
      <c r="B32" s="2"/>
      <c r="C32" s="2"/>
      <c r="D32" s="3"/>
      <c r="E32" s="3"/>
      <c r="F32" s="3"/>
      <c r="G32" s="3"/>
      <c r="H32" s="4"/>
      <c r="I32" s="4"/>
      <c r="L32" s="13"/>
      <c r="M32" s="14"/>
    </row>
    <row r="33" spans="1:13" x14ac:dyDescent="0.25">
      <c r="A33" s="2"/>
      <c r="B33" s="2"/>
      <c r="C33" s="2"/>
      <c r="D33" s="3"/>
      <c r="E33" s="3"/>
      <c r="F33" s="3"/>
      <c r="G33" s="3"/>
      <c r="H33" s="4"/>
      <c r="I33" s="4"/>
      <c r="L33" s="13"/>
      <c r="M33" s="14"/>
    </row>
    <row r="34" spans="1:13" x14ac:dyDescent="0.25">
      <c r="A34" s="2"/>
      <c r="B34" s="2"/>
      <c r="C34" s="2"/>
      <c r="D34" s="3"/>
      <c r="E34" s="3"/>
      <c r="F34" s="3"/>
      <c r="G34" s="3"/>
      <c r="H34" s="4"/>
      <c r="I34" s="4"/>
      <c r="L34" s="13"/>
      <c r="M34" s="14"/>
    </row>
    <row r="35" spans="1:13" x14ac:dyDescent="0.25">
      <c r="A35" s="2"/>
      <c r="B35" s="2"/>
      <c r="C35" s="2"/>
      <c r="D35" s="3"/>
      <c r="E35" s="3"/>
      <c r="F35" s="3"/>
      <c r="G35" s="3"/>
      <c r="H35" s="4"/>
      <c r="I35" s="4"/>
      <c r="L35" s="13"/>
      <c r="M35" s="14"/>
    </row>
    <row r="36" spans="1:13" x14ac:dyDescent="0.25">
      <c r="A36" s="2"/>
      <c r="B36" s="2"/>
      <c r="C36" s="2"/>
      <c r="D36" s="3"/>
      <c r="E36" s="3"/>
      <c r="F36" s="3"/>
      <c r="G36" s="3"/>
      <c r="H36" s="4"/>
      <c r="I36" s="4"/>
    </row>
    <row r="37" spans="1:13" x14ac:dyDescent="0.25">
      <c r="A37" s="2"/>
      <c r="B37" s="2"/>
      <c r="C37" s="2"/>
      <c r="D37" s="3"/>
      <c r="E37" s="3"/>
      <c r="F37" s="3"/>
      <c r="G37" s="3"/>
      <c r="H37" s="4"/>
      <c r="I37" s="4"/>
    </row>
    <row r="38" spans="1:13" x14ac:dyDescent="0.25">
      <c r="A38" s="2"/>
      <c r="B38" s="2"/>
      <c r="C38" s="2"/>
      <c r="D38" s="3"/>
      <c r="E38" s="3"/>
      <c r="F38" s="3"/>
      <c r="G38" s="3"/>
      <c r="H38" s="3"/>
      <c r="I38" s="3"/>
    </row>
    <row r="39" spans="1:13" x14ac:dyDescent="0.25">
      <c r="A39" s="2"/>
      <c r="B39" s="2"/>
      <c r="C39" s="2"/>
      <c r="D39" s="3"/>
      <c r="E39" s="3"/>
      <c r="F39" s="3"/>
      <c r="G39" s="3"/>
      <c r="H39" s="4"/>
      <c r="I39" s="4"/>
    </row>
    <row r="40" spans="1:13" x14ac:dyDescent="0.25">
      <c r="A40" s="2"/>
      <c r="B40" s="2"/>
      <c r="C40" s="2"/>
      <c r="D40" s="3"/>
      <c r="E40" s="3"/>
      <c r="F40" s="3"/>
      <c r="G40" s="3"/>
      <c r="H40" s="4"/>
      <c r="I40" s="4"/>
    </row>
    <row r="41" spans="1:13" x14ac:dyDescent="0.25">
      <c r="A41" s="2"/>
      <c r="B41" s="2"/>
      <c r="C41" s="2"/>
      <c r="D41" s="3"/>
      <c r="E41" s="3"/>
      <c r="F41" s="3"/>
      <c r="G41" s="3"/>
      <c r="H41" s="4"/>
      <c r="I41" s="4"/>
    </row>
    <row r="42" spans="1:13" x14ac:dyDescent="0.25">
      <c r="A42" s="2"/>
      <c r="B42" s="2"/>
      <c r="C42" s="2"/>
      <c r="D42" s="3"/>
      <c r="E42" s="3"/>
      <c r="F42" s="3"/>
      <c r="G42" s="3"/>
      <c r="H42" s="4"/>
      <c r="I42" s="4"/>
    </row>
    <row r="43" spans="1:13" x14ac:dyDescent="0.25">
      <c r="A43" s="2"/>
      <c r="B43" s="2"/>
      <c r="C43" s="2"/>
      <c r="D43" s="3"/>
      <c r="E43" s="3"/>
      <c r="F43" s="3"/>
      <c r="G43" s="3"/>
      <c r="H43" s="4"/>
      <c r="I43" s="4"/>
    </row>
    <row r="44" spans="1:13" x14ac:dyDescent="0.25">
      <c r="A44" s="2"/>
      <c r="B44" s="2"/>
      <c r="C44" s="2"/>
      <c r="D44" s="3"/>
      <c r="E44" s="3"/>
      <c r="F44" s="3"/>
      <c r="G44" s="3"/>
      <c r="H44" s="4"/>
      <c r="I44" s="4"/>
    </row>
    <row r="45" spans="1:13" x14ac:dyDescent="0.25">
      <c r="A45" s="2"/>
      <c r="B45" s="2"/>
      <c r="C45" s="2"/>
      <c r="D45" s="3"/>
      <c r="E45" s="3"/>
      <c r="F45" s="3"/>
      <c r="G45" s="3"/>
      <c r="H45" s="4"/>
      <c r="I45" s="4"/>
    </row>
    <row r="46" spans="1:13" x14ac:dyDescent="0.25">
      <c r="A46" s="2"/>
      <c r="B46" s="2"/>
      <c r="C46" s="2"/>
      <c r="D46" s="3"/>
      <c r="E46" s="3"/>
      <c r="F46" s="3"/>
      <c r="G46" s="3"/>
      <c r="H46" s="4"/>
      <c r="I46" s="4"/>
    </row>
    <row r="47" spans="1:13" x14ac:dyDescent="0.25">
      <c r="A47" s="2"/>
      <c r="B47" s="2"/>
      <c r="C47" s="2"/>
      <c r="D47" s="3"/>
      <c r="E47" s="3"/>
      <c r="F47" s="3"/>
      <c r="G47" s="3"/>
      <c r="H47" s="4"/>
      <c r="I47" s="4"/>
    </row>
    <row r="48" spans="1:13"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A4:A5"/>
    <mergeCell ref="B4:C4"/>
    <mergeCell ref="D4:E4"/>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B6260-FF64-47C4-8A6D-74857BFF7DCE}">
  <sheetPr codeName="Feuil8"/>
  <dimension ref="A1:P120"/>
  <sheetViews>
    <sheetView workbookViewId="0">
      <selection activeCell="A6" sqref="A6:F21"/>
    </sheetView>
  </sheetViews>
  <sheetFormatPr defaultColWidth="11.42578125" defaultRowHeight="15" x14ac:dyDescent="0.25"/>
  <cols>
    <col min="6" max="6" width="12.7109375" bestFit="1" customWidth="1"/>
    <col min="9" max="9" width="12.5703125" bestFit="1" customWidth="1"/>
  </cols>
  <sheetData>
    <row r="1" spans="1:12" ht="18" x14ac:dyDescent="0.35">
      <c r="B1" t="s">
        <v>6</v>
      </c>
      <c r="D1" s="2">
        <v>218250</v>
      </c>
      <c r="F1" t="s">
        <v>12</v>
      </c>
      <c r="G1" s="2">
        <v>316.28571428571428</v>
      </c>
      <c r="I1" t="s">
        <v>13</v>
      </c>
      <c r="J1" s="2">
        <f>E7</f>
        <v>1.4481409228705759E-3</v>
      </c>
      <c r="L1">
        <f>G1/D1</f>
        <v>1.4491899852724594E-3</v>
      </c>
    </row>
    <row r="4" spans="1:12" x14ac:dyDescent="0.25">
      <c r="A4" s="18" t="s">
        <v>0</v>
      </c>
      <c r="B4" s="18" t="s">
        <v>3</v>
      </c>
      <c r="C4" s="18"/>
      <c r="D4" s="18" t="b">
        <v>1</v>
      </c>
      <c r="E4" s="18"/>
      <c r="F4" t="s">
        <v>11</v>
      </c>
      <c r="H4" t="s">
        <v>4</v>
      </c>
      <c r="I4" t="s">
        <v>5</v>
      </c>
    </row>
    <row r="5" spans="1:12" x14ac:dyDescent="0.25">
      <c r="A5" s="18"/>
      <c r="B5" s="1" t="s">
        <v>1</v>
      </c>
      <c r="C5" s="1" t="s">
        <v>2</v>
      </c>
      <c r="D5" s="1" t="s">
        <v>1</v>
      </c>
      <c r="E5" s="1" t="s">
        <v>2</v>
      </c>
      <c r="F5" s="1" t="s">
        <v>2</v>
      </c>
      <c r="H5" t="s">
        <v>1</v>
      </c>
      <c r="I5" s="1" t="s">
        <v>2</v>
      </c>
    </row>
    <row r="6" spans="1:12" x14ac:dyDescent="0.25">
      <c r="A6" s="2">
        <v>1</v>
      </c>
      <c r="B6" s="2">
        <v>0</v>
      </c>
      <c r="C6" s="2">
        <v>0</v>
      </c>
      <c r="D6" s="3">
        <f>B6*(1+C6)</f>
        <v>0</v>
      </c>
      <c r="E6" s="3">
        <f>LN(1+C6)</f>
        <v>0</v>
      </c>
      <c r="F6" s="3">
        <v>0</v>
      </c>
      <c r="G6" s="3"/>
      <c r="H6" s="5"/>
      <c r="I6" s="5"/>
    </row>
    <row r="7" spans="1:12" x14ac:dyDescent="0.25">
      <c r="A7" s="2">
        <v>2</v>
      </c>
      <c r="B7" s="2">
        <v>292.48336610918</v>
      </c>
      <c r="C7" s="2">
        <v>1.4491899852724594E-3</v>
      </c>
      <c r="D7" s="3">
        <f t="shared" ref="D7:D20" si="0">B7*(1+C7)</f>
        <v>292.90723007420416</v>
      </c>
      <c r="E7" s="3">
        <f>LN(1+C7)</f>
        <v>1.4481409228705759E-3</v>
      </c>
      <c r="F7" s="3">
        <f>E7-$J$1</f>
        <v>0</v>
      </c>
      <c r="G7" s="3"/>
      <c r="H7" s="8">
        <v>293.94919971642338</v>
      </c>
      <c r="I7" s="7">
        <v>0</v>
      </c>
    </row>
    <row r="8" spans="1:12" x14ac:dyDescent="0.25">
      <c r="A8" s="2">
        <v>3</v>
      </c>
      <c r="B8" s="2">
        <v>295.23155869602999</v>
      </c>
      <c r="C8" s="2">
        <v>1.7411620786406901E-2</v>
      </c>
      <c r="D8" s="3">
        <f t="shared" si="0"/>
        <v>300.37201864022506</v>
      </c>
      <c r="E8" s="3">
        <f t="shared" ref="E8:E20" si="1">LN(1+C8)</f>
        <v>1.7261775384157567E-2</v>
      </c>
      <c r="F8" s="3">
        <f t="shared" ref="F8:F20" si="2">E8-$J$1</f>
        <v>1.5813634461286991E-2</v>
      </c>
      <c r="G8" s="3"/>
      <c r="H8" s="8">
        <v>300.37201864022506</v>
      </c>
      <c r="I8" s="7">
        <v>1.2262610107655877E-2</v>
      </c>
    </row>
    <row r="9" spans="1:12" x14ac:dyDescent="0.25">
      <c r="A9" s="2">
        <v>4</v>
      </c>
      <c r="B9" s="2">
        <v>306.09204026984003</v>
      </c>
      <c r="C9" s="2">
        <v>2.3091503291216599E-2</v>
      </c>
      <c r="D9" s="3">
        <f t="shared" si="0"/>
        <v>313.16016562514625</v>
      </c>
      <c r="E9" s="3">
        <f t="shared" si="1"/>
        <v>2.2828929001901459E-2</v>
      </c>
      <c r="F9" s="3">
        <f t="shared" si="2"/>
        <v>2.1380788079030884E-2</v>
      </c>
      <c r="G9" s="3"/>
      <c r="H9" s="8">
        <v>313.16016562514625</v>
      </c>
      <c r="I9" s="7">
        <v>1.782976372539977E-2</v>
      </c>
    </row>
    <row r="10" spans="1:12" x14ac:dyDescent="0.25">
      <c r="A10" s="2">
        <v>5</v>
      </c>
      <c r="B10" s="2">
        <v>327.79913443313097</v>
      </c>
      <c r="C10" s="2">
        <v>2.9846765503924098E-2</v>
      </c>
      <c r="D10" s="3">
        <f t="shared" si="0"/>
        <v>337.5828783309459</v>
      </c>
      <c r="E10" s="3">
        <f t="shared" si="1"/>
        <v>2.9410019818575075E-2</v>
      </c>
      <c r="F10" s="3">
        <f t="shared" si="2"/>
        <v>2.7961878895704499E-2</v>
      </c>
      <c r="G10" s="3"/>
      <c r="H10" s="8">
        <v>337.5828783309459</v>
      </c>
      <c r="I10" s="7">
        <v>2.4410854542073385E-2</v>
      </c>
    </row>
    <row r="11" spans="1:12" x14ac:dyDescent="0.25">
      <c r="A11" s="2">
        <v>6</v>
      </c>
      <c r="B11" s="2">
        <v>354.03605224695298</v>
      </c>
      <c r="C11" s="2">
        <v>4.0503479692606301E-2</v>
      </c>
      <c r="D11" s="3">
        <f t="shared" si="0"/>
        <v>368.37574429958795</v>
      </c>
      <c r="E11" s="3">
        <f t="shared" si="1"/>
        <v>3.9704711096422596E-2</v>
      </c>
      <c r="F11" s="3">
        <f t="shared" si="2"/>
        <v>3.8256570173552017E-2</v>
      </c>
      <c r="G11" s="3"/>
      <c r="H11" s="8">
        <v>368.37574429958795</v>
      </c>
      <c r="I11" s="7">
        <v>3.4705545819920906E-2</v>
      </c>
    </row>
    <row r="12" spans="1:12" x14ac:dyDescent="0.25">
      <c r="A12" s="2">
        <v>7</v>
      </c>
      <c r="B12" s="2">
        <v>380.28363851025699</v>
      </c>
      <c r="C12" s="2">
        <v>5.4702119109682396E-2</v>
      </c>
      <c r="D12" s="3">
        <f t="shared" si="0"/>
        <v>401.08595939950845</v>
      </c>
      <c r="E12" s="3">
        <f t="shared" si="1"/>
        <v>5.3258375504521289E-2</v>
      </c>
      <c r="F12" s="3">
        <f t="shared" si="2"/>
        <v>5.181023458165071E-2</v>
      </c>
      <c r="G12" s="3"/>
      <c r="H12" s="8">
        <v>401.08595939950845</v>
      </c>
      <c r="I12" s="7">
        <v>4.82592102280196E-2</v>
      </c>
    </row>
    <row r="13" spans="1:12" x14ac:dyDescent="0.25">
      <c r="A13" s="2">
        <v>8</v>
      </c>
      <c r="B13" s="2">
        <v>402.02700540179097</v>
      </c>
      <c r="C13" s="2">
        <v>7.3499927098928594E-2</v>
      </c>
      <c r="D13" s="3">
        <f t="shared" si="0"/>
        <v>431.57596099062312</v>
      </c>
      <c r="E13" s="3">
        <f t="shared" si="1"/>
        <v>7.0924270426988401E-2</v>
      </c>
      <c r="F13" s="3">
        <f t="shared" si="2"/>
        <v>6.9476129504117828E-2</v>
      </c>
      <c r="G13" s="3"/>
      <c r="H13" s="8">
        <v>431.57596099062312</v>
      </c>
      <c r="I13" s="7">
        <v>6.5925105150486718E-2</v>
      </c>
    </row>
    <row r="14" spans="1:12" x14ac:dyDescent="0.25">
      <c r="A14" s="2">
        <v>9</v>
      </c>
      <c r="B14" s="2">
        <v>416.537163543774</v>
      </c>
      <c r="C14" s="2">
        <v>9.0872430237230697E-2</v>
      </c>
      <c r="D14" s="3">
        <f t="shared" si="0"/>
        <v>454.38890787911959</v>
      </c>
      <c r="E14" s="3">
        <f t="shared" si="1"/>
        <v>8.6977770809076635E-2</v>
      </c>
      <c r="F14" s="3">
        <f t="shared" si="2"/>
        <v>8.5529629886206063E-2</v>
      </c>
      <c r="G14" s="3"/>
      <c r="H14" s="8">
        <v>454.38890787911959</v>
      </c>
      <c r="I14" s="7">
        <v>8.1978605532574952E-2</v>
      </c>
    </row>
    <row r="15" spans="1:12" x14ac:dyDescent="0.25">
      <c r="A15" s="2">
        <v>10</v>
      </c>
      <c r="B15" s="2">
        <v>422.91903002457201</v>
      </c>
      <c r="C15" s="2">
        <v>0.10965210186235499</v>
      </c>
      <c r="D15" s="3">
        <f t="shared" si="0"/>
        <v>469.29299058435481</v>
      </c>
      <c r="E15" s="3">
        <f t="shared" si="1"/>
        <v>0.10404654445175618</v>
      </c>
      <c r="F15" s="3">
        <f t="shared" si="2"/>
        <v>0.10259840352888561</v>
      </c>
      <c r="G15" s="3"/>
      <c r="H15" s="8">
        <v>469.29299058435481</v>
      </c>
      <c r="I15" s="7">
        <v>9.9047379175254496E-2</v>
      </c>
    </row>
    <row r="16" spans="1:12" x14ac:dyDescent="0.25">
      <c r="A16" s="2">
        <v>11</v>
      </c>
      <c r="B16" s="2">
        <v>431.13266928162199</v>
      </c>
      <c r="C16" s="2">
        <v>0.13658033520268201</v>
      </c>
      <c r="D16" s="3">
        <f t="shared" si="0"/>
        <v>490.01691376893297</v>
      </c>
      <c r="E16" s="3">
        <f t="shared" si="1"/>
        <v>0.12802404830826883</v>
      </c>
      <c r="F16" s="3">
        <f t="shared" si="2"/>
        <v>0.12657590738539826</v>
      </c>
      <c r="G16" s="3"/>
      <c r="H16" s="8">
        <v>490.01691376893297</v>
      </c>
      <c r="I16" s="7">
        <v>0.12302488303176715</v>
      </c>
    </row>
    <row r="17" spans="1:16" x14ac:dyDescent="0.25">
      <c r="A17" s="2">
        <v>12</v>
      </c>
      <c r="B17" s="2">
        <v>433.00391532096</v>
      </c>
      <c r="C17" s="2">
        <v>0.15783402026294099</v>
      </c>
      <c r="D17" s="3">
        <f t="shared" si="0"/>
        <v>501.34666406566117</v>
      </c>
      <c r="E17" s="3">
        <f t="shared" si="1"/>
        <v>0.14655103577136352</v>
      </c>
      <c r="F17" s="3">
        <f t="shared" si="2"/>
        <v>0.14510289484849295</v>
      </c>
      <c r="G17" s="3"/>
      <c r="H17" s="8">
        <v>501.34666406566117</v>
      </c>
      <c r="I17" s="7">
        <v>0.14155187049486184</v>
      </c>
    </row>
    <row r="18" spans="1:16" x14ac:dyDescent="0.25">
      <c r="A18" s="2">
        <v>13</v>
      </c>
      <c r="B18" s="2">
        <v>435.79158117089702</v>
      </c>
      <c r="C18" s="2">
        <v>0.183339082442221</v>
      </c>
      <c r="D18" s="3">
        <f t="shared" si="0"/>
        <v>515.68920979881398</v>
      </c>
      <c r="E18" s="3">
        <f t="shared" si="1"/>
        <v>0.16834017320928962</v>
      </c>
      <c r="F18" s="3">
        <f t="shared" si="2"/>
        <v>0.16689203228641905</v>
      </c>
      <c r="G18" s="3"/>
      <c r="H18" s="8">
        <v>515.68920979881398</v>
      </c>
      <c r="I18" s="7">
        <v>0.16334100793278794</v>
      </c>
    </row>
    <row r="19" spans="1:16" x14ac:dyDescent="0.25">
      <c r="A19" s="2">
        <v>14</v>
      </c>
      <c r="B19" s="2">
        <v>434.04622283546001</v>
      </c>
      <c r="C19" s="2">
        <v>0.20388011507700798</v>
      </c>
      <c r="D19" s="3">
        <f t="shared" si="0"/>
        <v>522.53961669589421</v>
      </c>
      <c r="E19" s="3">
        <f t="shared" si="1"/>
        <v>0.18554976973381307</v>
      </c>
      <c r="F19" s="3">
        <f t="shared" si="2"/>
        <v>0.1841016288109425</v>
      </c>
      <c r="G19" s="3"/>
      <c r="H19" s="8">
        <v>522.53961669589421</v>
      </c>
      <c r="I19" s="7">
        <v>0.18055060445731139</v>
      </c>
    </row>
    <row r="20" spans="1:16" x14ac:dyDescent="0.25">
      <c r="A20" s="2">
        <v>15</v>
      </c>
      <c r="B20" s="2">
        <v>428.67359167576399</v>
      </c>
      <c r="C20" s="2">
        <v>0.220166570057929</v>
      </c>
      <c r="D20" s="3">
        <f t="shared" si="0"/>
        <v>523.05318602943009</v>
      </c>
      <c r="E20" s="3">
        <f t="shared" si="1"/>
        <v>0.19898738225977405</v>
      </c>
      <c r="F20" s="3">
        <f t="shared" si="2"/>
        <v>0.19753924133690348</v>
      </c>
      <c r="G20" s="3"/>
      <c r="H20" s="8">
        <v>523.05318602943009</v>
      </c>
      <c r="I20" s="7">
        <v>0.19398821698327237</v>
      </c>
    </row>
    <row r="21" spans="1:16" x14ac:dyDescent="0.25">
      <c r="A21" s="2">
        <v>16</v>
      </c>
      <c r="B21" s="2">
        <v>423.30629474080899</v>
      </c>
      <c r="C21" s="2">
        <v>0.23822398765304698</v>
      </c>
      <c r="D21" s="3">
        <f>B21*(1+C21)</f>
        <v>524.14800827260058</v>
      </c>
      <c r="E21" s="3">
        <f>LN(1+C21)</f>
        <v>0.21367808491893198</v>
      </c>
      <c r="F21" s="3">
        <f>E21-$J$1</f>
        <v>0.2122299439960614</v>
      </c>
      <c r="G21" s="3"/>
      <c r="H21" s="8">
        <v>524.14800827260058</v>
      </c>
      <c r="I21" s="7">
        <v>0.20867891964243029</v>
      </c>
      <c r="O21" s="13"/>
      <c r="P21" s="14"/>
    </row>
    <row r="22" spans="1:16" x14ac:dyDescent="0.25">
      <c r="A22" s="2"/>
      <c r="B22" s="2"/>
      <c r="C22" s="2"/>
      <c r="D22" s="3"/>
      <c r="E22" s="3"/>
      <c r="F22" s="3"/>
      <c r="G22" s="3"/>
      <c r="H22" s="8"/>
      <c r="I22" s="7"/>
      <c r="L22" s="13"/>
      <c r="M22" s="14"/>
      <c r="O22" s="13"/>
      <c r="P22" s="14"/>
    </row>
    <row r="23" spans="1:16" x14ac:dyDescent="0.25">
      <c r="A23" s="2"/>
      <c r="B23" s="2"/>
      <c r="C23" s="2"/>
      <c r="D23" s="3"/>
      <c r="E23" s="3"/>
      <c r="F23" s="3"/>
      <c r="G23" s="3"/>
      <c r="H23" s="8"/>
      <c r="I23" s="7"/>
      <c r="L23" s="13"/>
      <c r="M23" s="14"/>
      <c r="O23" s="13"/>
      <c r="P23" s="14"/>
    </row>
    <row r="24" spans="1:16" x14ac:dyDescent="0.25">
      <c r="A24" s="2"/>
      <c r="B24" s="2"/>
      <c r="C24" s="2"/>
      <c r="D24" s="3"/>
      <c r="E24" s="3"/>
      <c r="F24" s="3"/>
      <c r="G24" s="3"/>
      <c r="H24" s="8"/>
      <c r="I24" s="7"/>
      <c r="L24" s="13"/>
      <c r="M24" s="14"/>
      <c r="O24" s="13"/>
      <c r="P24" s="14"/>
    </row>
    <row r="25" spans="1:16" x14ac:dyDescent="0.25">
      <c r="A25" s="2"/>
      <c r="B25" s="2"/>
      <c r="C25" s="2"/>
      <c r="D25" s="3"/>
      <c r="E25" s="3"/>
      <c r="F25" s="3"/>
      <c r="G25" s="3"/>
      <c r="H25" s="8"/>
      <c r="I25" s="7"/>
      <c r="L25" s="13"/>
      <c r="M25" s="14"/>
    </row>
    <row r="26" spans="1:16" x14ac:dyDescent="0.25">
      <c r="A26" s="2"/>
      <c r="B26" s="2"/>
      <c r="C26" s="2"/>
      <c r="D26" s="3"/>
      <c r="E26" s="3"/>
      <c r="F26" s="3"/>
      <c r="G26" s="3"/>
      <c r="H26" s="8"/>
      <c r="I26" s="7"/>
      <c r="L26" s="13"/>
      <c r="M26" s="14"/>
    </row>
    <row r="27" spans="1:16" x14ac:dyDescent="0.25">
      <c r="A27" s="2"/>
      <c r="B27" s="2"/>
      <c r="C27" s="2"/>
      <c r="D27" s="3"/>
      <c r="E27" s="3"/>
      <c r="F27" s="3"/>
      <c r="G27" s="3"/>
      <c r="H27" s="8"/>
      <c r="I27" s="7"/>
      <c r="L27" s="13"/>
      <c r="M27" s="14"/>
    </row>
    <row r="28" spans="1:16" x14ac:dyDescent="0.25">
      <c r="A28" s="2"/>
      <c r="B28" s="2"/>
      <c r="C28" s="2"/>
      <c r="D28" s="3"/>
      <c r="E28" s="3"/>
      <c r="F28" s="3"/>
      <c r="G28" s="3"/>
      <c r="H28" s="8"/>
      <c r="I28" s="7"/>
      <c r="L28" s="13"/>
      <c r="M28" s="14"/>
    </row>
    <row r="29" spans="1:16" x14ac:dyDescent="0.25">
      <c r="A29" s="2"/>
      <c r="B29" s="2"/>
      <c r="C29" s="2"/>
      <c r="D29" s="3"/>
      <c r="E29" s="3"/>
      <c r="F29" s="3"/>
      <c r="G29" s="3"/>
      <c r="H29" s="8"/>
      <c r="I29" s="7"/>
      <c r="L29" s="13"/>
      <c r="M29" s="14"/>
    </row>
    <row r="30" spans="1:16" x14ac:dyDescent="0.25">
      <c r="A30" s="2"/>
      <c r="B30" s="2"/>
      <c r="C30" s="2"/>
      <c r="D30" s="3"/>
      <c r="E30" s="3"/>
      <c r="F30" s="3"/>
      <c r="G30" s="3"/>
      <c r="H30" s="8"/>
      <c r="I30" s="7"/>
      <c r="L30" s="13"/>
      <c r="M30" s="14"/>
    </row>
    <row r="31" spans="1:16" x14ac:dyDescent="0.25">
      <c r="A31" s="2"/>
      <c r="B31" s="2"/>
      <c r="C31" s="2"/>
      <c r="D31" s="3"/>
      <c r="E31" s="3"/>
      <c r="F31" s="3"/>
      <c r="G31" s="3"/>
      <c r="H31" s="8"/>
      <c r="I31" s="7"/>
      <c r="L31" s="13"/>
      <c r="M31" s="14"/>
    </row>
    <row r="32" spans="1:16" x14ac:dyDescent="0.25">
      <c r="A32" s="2"/>
      <c r="B32" s="2"/>
      <c r="C32" s="2"/>
      <c r="D32" s="3"/>
      <c r="E32" s="3"/>
      <c r="F32" s="3"/>
      <c r="G32" s="3"/>
      <c r="H32" s="4"/>
      <c r="I32" s="4"/>
      <c r="L32" s="13"/>
      <c r="M32" s="14"/>
    </row>
    <row r="33" spans="1:13" x14ac:dyDescent="0.25">
      <c r="A33" s="2"/>
      <c r="B33" s="2"/>
      <c r="C33" s="2"/>
      <c r="D33" s="3"/>
      <c r="E33" s="3"/>
      <c r="F33" s="3"/>
      <c r="G33" s="3"/>
      <c r="H33" s="4"/>
      <c r="I33" s="4"/>
      <c r="L33" s="13"/>
      <c r="M33" s="14"/>
    </row>
    <row r="34" spans="1:13" x14ac:dyDescent="0.25">
      <c r="A34" s="2"/>
      <c r="B34" s="2"/>
      <c r="C34" s="2"/>
      <c r="D34" s="3"/>
      <c r="E34" s="3"/>
      <c r="F34" s="3"/>
      <c r="G34" s="3"/>
      <c r="H34" s="4"/>
      <c r="I34" s="4"/>
      <c r="L34" s="13"/>
      <c r="M34" s="14"/>
    </row>
    <row r="35" spans="1:13" x14ac:dyDescent="0.25">
      <c r="A35" s="2"/>
      <c r="B35" s="2"/>
      <c r="C35" s="2"/>
      <c r="D35" s="3"/>
      <c r="E35" s="3"/>
      <c r="F35" s="3"/>
      <c r="G35" s="3"/>
      <c r="H35" s="4"/>
      <c r="I35" s="4"/>
      <c r="L35" s="13"/>
      <c r="M35" s="14"/>
    </row>
    <row r="36" spans="1:13" x14ac:dyDescent="0.25">
      <c r="A36" s="2"/>
      <c r="B36" s="2"/>
      <c r="C36" s="2"/>
      <c r="D36" s="3"/>
      <c r="E36" s="3"/>
      <c r="F36" s="3"/>
      <c r="G36" s="3"/>
      <c r="H36" s="4"/>
      <c r="I36" s="4"/>
    </row>
    <row r="37" spans="1:13" x14ac:dyDescent="0.25">
      <c r="A37" s="2"/>
      <c r="B37" s="2"/>
      <c r="C37" s="2"/>
      <c r="D37" s="3"/>
      <c r="E37" s="3"/>
      <c r="F37" s="3"/>
      <c r="G37" s="3"/>
      <c r="H37" s="4"/>
      <c r="I37" s="4"/>
    </row>
    <row r="38" spans="1:13" x14ac:dyDescent="0.25">
      <c r="A38" s="2"/>
      <c r="B38" s="2"/>
      <c r="C38" s="2"/>
      <c r="D38" s="3"/>
      <c r="E38" s="3"/>
      <c r="F38" s="3"/>
      <c r="G38" s="3"/>
      <c r="H38" s="3"/>
      <c r="I38" s="3"/>
    </row>
    <row r="39" spans="1:13" x14ac:dyDescent="0.25">
      <c r="A39" s="2"/>
      <c r="B39" s="2"/>
      <c r="C39" s="2"/>
      <c r="D39" s="3"/>
      <c r="E39" s="3"/>
      <c r="F39" s="3"/>
      <c r="G39" s="3"/>
      <c r="H39" s="4"/>
      <c r="I39" s="4"/>
    </row>
    <row r="40" spans="1:13" x14ac:dyDescent="0.25">
      <c r="A40" s="2"/>
      <c r="B40" s="2"/>
      <c r="C40" s="2"/>
      <c r="D40" s="3"/>
      <c r="E40" s="3"/>
      <c r="F40" s="3"/>
      <c r="G40" s="3"/>
      <c r="H40" s="4"/>
      <c r="I40" s="4"/>
    </row>
    <row r="41" spans="1:13" x14ac:dyDescent="0.25">
      <c r="A41" s="2"/>
      <c r="B41" s="2"/>
      <c r="C41" s="2"/>
      <c r="D41" s="3"/>
      <c r="E41" s="3"/>
      <c r="F41" s="3"/>
      <c r="G41" s="3"/>
      <c r="H41" s="4"/>
      <c r="I41" s="4"/>
    </row>
    <row r="42" spans="1:13" x14ac:dyDescent="0.25">
      <c r="A42" s="2"/>
      <c r="B42" s="2"/>
      <c r="C42" s="2"/>
      <c r="D42" s="3"/>
      <c r="E42" s="3"/>
      <c r="F42" s="3"/>
      <c r="G42" s="3"/>
      <c r="H42" s="4"/>
      <c r="I42" s="4"/>
    </row>
    <row r="43" spans="1:13" x14ac:dyDescent="0.25">
      <c r="A43" s="2"/>
      <c r="B43" s="2"/>
      <c r="C43" s="2"/>
      <c r="D43" s="3"/>
      <c r="E43" s="3"/>
      <c r="F43" s="3"/>
      <c r="G43" s="3"/>
      <c r="H43" s="4"/>
      <c r="I43" s="4"/>
    </row>
    <row r="44" spans="1:13" x14ac:dyDescent="0.25">
      <c r="A44" s="2"/>
      <c r="B44" s="2"/>
      <c r="C44" s="2"/>
      <c r="D44" s="3"/>
      <c r="E44" s="3"/>
      <c r="F44" s="3"/>
      <c r="G44" s="3"/>
      <c r="H44" s="4"/>
      <c r="I44" s="4"/>
    </row>
    <row r="45" spans="1:13" x14ac:dyDescent="0.25">
      <c r="A45" s="2"/>
      <c r="B45" s="2"/>
      <c r="C45" s="2"/>
      <c r="D45" s="3"/>
      <c r="E45" s="3"/>
      <c r="F45" s="3"/>
      <c r="G45" s="3"/>
      <c r="H45" s="4"/>
      <c r="I45" s="4"/>
    </row>
    <row r="46" spans="1:13" x14ac:dyDescent="0.25">
      <c r="A46" s="2"/>
      <c r="B46" s="2"/>
      <c r="C46" s="2"/>
      <c r="D46" s="3"/>
      <c r="E46" s="3"/>
      <c r="F46" s="3"/>
      <c r="G46" s="3"/>
      <c r="H46" s="4"/>
      <c r="I46" s="4"/>
    </row>
    <row r="47" spans="1:13" x14ac:dyDescent="0.25">
      <c r="A47" s="2"/>
      <c r="B47" s="2"/>
      <c r="C47" s="2"/>
      <c r="D47" s="3"/>
      <c r="E47" s="3"/>
      <c r="F47" s="3"/>
      <c r="G47" s="3"/>
      <c r="H47" s="4"/>
      <c r="I47" s="4"/>
    </row>
    <row r="48" spans="1:13"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A4:A5"/>
    <mergeCell ref="B4:C4"/>
    <mergeCell ref="D4:E4"/>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dimension ref="A1:J120"/>
  <sheetViews>
    <sheetView topLeftCell="A2" workbookViewId="0">
      <selection activeCell="S36" sqref="S36"/>
    </sheetView>
  </sheetViews>
  <sheetFormatPr defaultColWidth="11.42578125" defaultRowHeight="15" x14ac:dyDescent="0.25"/>
  <cols>
    <col min="6" max="6" width="12.7109375" bestFit="1" customWidth="1"/>
    <col min="9" max="9" width="12.5703125" bestFit="1" customWidth="1"/>
  </cols>
  <sheetData>
    <row r="1" spans="1:10" ht="18" x14ac:dyDescent="0.35">
      <c r="B1" t="s">
        <v>6</v>
      </c>
      <c r="D1" s="2">
        <v>197100</v>
      </c>
      <c r="F1" t="s">
        <v>12</v>
      </c>
      <c r="G1" s="2">
        <v>1186.9000000000001</v>
      </c>
      <c r="I1" t="s">
        <v>13</v>
      </c>
      <c r="J1" s="2">
        <f>E7</f>
        <v>6.3796069640389879E-3</v>
      </c>
    </row>
    <row r="4" spans="1:10" x14ac:dyDescent="0.25">
      <c r="A4" s="18" t="s">
        <v>0</v>
      </c>
      <c r="B4" s="18" t="s">
        <v>3</v>
      </c>
      <c r="C4" s="18"/>
      <c r="D4" s="18" t="b">
        <v>1</v>
      </c>
      <c r="E4" s="18"/>
      <c r="F4" t="s">
        <v>11</v>
      </c>
      <c r="H4" t="s">
        <v>4</v>
      </c>
      <c r="I4" t="s">
        <v>5</v>
      </c>
    </row>
    <row r="5" spans="1:10" x14ac:dyDescent="0.25">
      <c r="A5" s="18"/>
      <c r="B5" s="1" t="s">
        <v>1</v>
      </c>
      <c r="C5" s="1" t="s">
        <v>2</v>
      </c>
      <c r="D5" s="1" t="s">
        <v>1</v>
      </c>
      <c r="E5" s="1" t="s">
        <v>2</v>
      </c>
      <c r="F5" s="1" t="s">
        <v>2</v>
      </c>
      <c r="H5" t="s">
        <v>1</v>
      </c>
      <c r="I5" s="1" t="s">
        <v>2</v>
      </c>
    </row>
    <row r="6" spans="1:10" x14ac:dyDescent="0.25">
      <c r="A6" s="2">
        <v>1</v>
      </c>
      <c r="B6" s="2">
        <v>0</v>
      </c>
      <c r="C6" s="2">
        <v>0</v>
      </c>
      <c r="D6" s="3">
        <f>B6*(1+C6)</f>
        <v>0</v>
      </c>
      <c r="E6" s="3">
        <f>LN(1+C6)</f>
        <v>0</v>
      </c>
      <c r="F6" s="3">
        <v>0</v>
      </c>
      <c r="G6" s="3"/>
      <c r="H6" s="5"/>
      <c r="I6" s="5"/>
    </row>
    <row r="7" spans="1:10" x14ac:dyDescent="0.25">
      <c r="A7" s="2">
        <v>2</v>
      </c>
      <c r="B7" s="2">
        <v>1186.9000000000001</v>
      </c>
      <c r="C7" s="2">
        <v>6.4000000000000003E-3</v>
      </c>
      <c r="D7" s="3">
        <f t="shared" ref="D7:D20" si="0">B7*(1+C7)</f>
        <v>1194.4961600000001</v>
      </c>
      <c r="E7" s="3">
        <f>LN(1+C7)</f>
        <v>6.3796069640389879E-3</v>
      </c>
      <c r="F7" s="3">
        <f>E7-$J$1</f>
        <v>0</v>
      </c>
      <c r="G7" s="3"/>
      <c r="H7" s="8">
        <v>1194.4961600000001</v>
      </c>
      <c r="I7" s="7">
        <v>0</v>
      </c>
    </row>
    <row r="8" spans="1:10" x14ac:dyDescent="0.25">
      <c r="A8" s="2">
        <v>3</v>
      </c>
      <c r="B8" s="2">
        <v>1203.11284046692</v>
      </c>
      <c r="C8" s="2">
        <v>6.8303075836239303E-3</v>
      </c>
      <c r="D8" s="3">
        <f t="shared" si="0"/>
        <v>1211.3304712251168</v>
      </c>
      <c r="E8" s="3">
        <f t="shared" ref="E8:E20" si="1">LN(1+C8)</f>
        <v>6.8070867099537628E-3</v>
      </c>
      <c r="F8" s="3">
        <f t="shared" ref="F8:F31" si="2">E8-$J$1</f>
        <v>4.2747974591477497E-4</v>
      </c>
      <c r="G8" s="3"/>
      <c r="H8" s="8">
        <v>1211.3304712251168</v>
      </c>
      <c r="I8" s="7">
        <v>4.2747974591477497E-4</v>
      </c>
    </row>
    <row r="9" spans="1:10" x14ac:dyDescent="0.25">
      <c r="A9" s="2">
        <v>4</v>
      </c>
      <c r="B9" s="2">
        <v>1254.4747081712001</v>
      </c>
      <c r="C9" s="2">
        <v>7.38671660368472E-3</v>
      </c>
      <c r="D9" s="3">
        <f t="shared" si="0"/>
        <v>1263.7411573269508</v>
      </c>
      <c r="E9" s="3">
        <f t="shared" si="1"/>
        <v>7.3595684212412705E-3</v>
      </c>
      <c r="F9" s="3">
        <f t="shared" si="2"/>
        <v>9.7996145720228266E-4</v>
      </c>
      <c r="G9" s="3"/>
      <c r="H9" s="8">
        <v>1263.7411573269508</v>
      </c>
      <c r="I9" s="7">
        <v>9.7996145720228266E-4</v>
      </c>
    </row>
    <row r="10" spans="1:10" x14ac:dyDescent="0.25">
      <c r="A10" s="2">
        <v>5</v>
      </c>
      <c r="B10" s="2">
        <v>1296.4980544747</v>
      </c>
      <c r="C10" s="2">
        <v>9.02482647260003E-3</v>
      </c>
      <c r="D10" s="3">
        <f t="shared" si="0"/>
        <v>1308.1987244383977</v>
      </c>
      <c r="E10" s="3">
        <f t="shared" si="1"/>
        <v>8.9843460961270549E-3</v>
      </c>
      <c r="F10" s="3">
        <f t="shared" si="2"/>
        <v>2.6047391320880671E-3</v>
      </c>
      <c r="G10" s="3"/>
      <c r="H10" s="8">
        <v>1308.1987244383977</v>
      </c>
      <c r="I10" s="7">
        <v>2.6047391320880671E-3</v>
      </c>
    </row>
    <row r="11" spans="1:10" x14ac:dyDescent="0.25">
      <c r="A11" s="2">
        <v>6</v>
      </c>
      <c r="B11" s="2">
        <v>1344.74708171206</v>
      </c>
      <c r="C11" s="2">
        <v>1.1180995525852401E-2</v>
      </c>
      <c r="D11" s="3">
        <f t="shared" si="0"/>
        <v>1359.7826928160855</v>
      </c>
      <c r="E11" s="3">
        <f t="shared" si="1"/>
        <v>1.1118950252292635E-2</v>
      </c>
      <c r="F11" s="3">
        <f t="shared" si="2"/>
        <v>4.7393432882536475E-3</v>
      </c>
      <c r="G11" s="3"/>
      <c r="H11" s="8">
        <v>1359.7826928160855</v>
      </c>
      <c r="I11" s="7">
        <v>4.7393432882536475E-3</v>
      </c>
    </row>
    <row r="12" spans="1:10" x14ac:dyDescent="0.25">
      <c r="A12" s="2">
        <v>7</v>
      </c>
      <c r="B12" s="2">
        <v>1361.8677042801501</v>
      </c>
      <c r="C12" s="2">
        <v>1.2216609291425E-2</v>
      </c>
      <c r="D12" s="3">
        <f t="shared" si="0"/>
        <v>1378.5051099299508</v>
      </c>
      <c r="E12" s="3">
        <f t="shared" si="1"/>
        <v>1.2142588763612964E-2</v>
      </c>
      <c r="F12" s="3">
        <f t="shared" si="2"/>
        <v>5.762981799573976E-3</v>
      </c>
      <c r="G12" s="3"/>
      <c r="H12" s="8">
        <v>1378.5051099299508</v>
      </c>
      <c r="I12" s="7">
        <v>5.762981799573976E-3</v>
      </c>
    </row>
    <row r="13" spans="1:10" x14ac:dyDescent="0.25">
      <c r="A13" s="2">
        <v>8</v>
      </c>
      <c r="B13" s="2">
        <v>1375.8754863813199</v>
      </c>
      <c r="C13" s="2">
        <v>1.38577467789501E-2</v>
      </c>
      <c r="D13" s="3">
        <f t="shared" si="0"/>
        <v>1394.942020470957</v>
      </c>
      <c r="E13" s="3">
        <f t="shared" si="1"/>
        <v>1.3762606154911882E-2</v>
      </c>
      <c r="F13" s="3">
        <f t="shared" si="2"/>
        <v>7.3829991908728942E-3</v>
      </c>
      <c r="G13" s="3"/>
      <c r="H13" s="8">
        <v>1394.942020470957</v>
      </c>
      <c r="I13" s="7">
        <v>7.3829991908728942E-3</v>
      </c>
    </row>
    <row r="14" spans="1:10" x14ac:dyDescent="0.25">
      <c r="A14" s="2">
        <v>9</v>
      </c>
      <c r="B14" s="2">
        <v>1394.5525291828701</v>
      </c>
      <c r="C14" s="2">
        <v>1.67087543031431E-2</v>
      </c>
      <c r="D14" s="3">
        <f t="shared" si="0"/>
        <v>1417.8537647558132</v>
      </c>
      <c r="E14" s="3">
        <f t="shared" si="1"/>
        <v>1.6570698769573081E-2</v>
      </c>
      <c r="F14" s="3">
        <f t="shared" si="2"/>
        <v>1.0191091805534094E-2</v>
      </c>
      <c r="G14" s="3"/>
      <c r="H14" s="8">
        <v>1417.8537647558132</v>
      </c>
      <c r="I14" s="7">
        <v>1.0191091805534094E-2</v>
      </c>
    </row>
    <row r="15" spans="1:10" x14ac:dyDescent="0.25">
      <c r="A15" s="2">
        <v>10</v>
      </c>
      <c r="B15" s="2">
        <v>1403.89105058365</v>
      </c>
      <c r="C15" s="2">
        <v>1.9820137027775499E-2</v>
      </c>
      <c r="D15" s="3">
        <f t="shared" si="0"/>
        <v>1431.7163635782856</v>
      </c>
      <c r="E15" s="3">
        <f t="shared" si="1"/>
        <v>1.9626275499836823E-2</v>
      </c>
      <c r="F15" s="3">
        <f t="shared" si="2"/>
        <v>1.3246668535797836E-2</v>
      </c>
      <c r="G15" s="3"/>
      <c r="H15" s="8">
        <v>1431.7163635782856</v>
      </c>
      <c r="I15" s="7">
        <v>1.3246668535797836E-2</v>
      </c>
    </row>
    <row r="16" spans="1:10" x14ac:dyDescent="0.25">
      <c r="A16" s="2">
        <v>11</v>
      </c>
      <c r="B16" s="2">
        <v>1414.78599221789</v>
      </c>
      <c r="C16" s="2">
        <v>2.3017806882786301E-2</v>
      </c>
      <c r="D16" s="3">
        <f t="shared" si="0"/>
        <v>1447.3512629672325</v>
      </c>
      <c r="E16" s="3">
        <f t="shared" si="1"/>
        <v>2.2756893350535337E-2</v>
      </c>
      <c r="F16" s="3">
        <f t="shared" si="2"/>
        <v>1.637728638649635E-2</v>
      </c>
      <c r="G16" s="3"/>
      <c r="H16" s="8">
        <v>1447.3512629672325</v>
      </c>
      <c r="I16" s="7">
        <v>1.637728638649635E-2</v>
      </c>
    </row>
    <row r="17" spans="1:9" x14ac:dyDescent="0.25">
      <c r="A17" s="2">
        <v>12</v>
      </c>
      <c r="B17" s="2">
        <v>1417.89883268482</v>
      </c>
      <c r="C17" s="2">
        <v>2.7858969039796299E-2</v>
      </c>
      <c r="D17" s="3">
        <f t="shared" si="0"/>
        <v>1457.4000323661498</v>
      </c>
      <c r="E17" s="3">
        <f t="shared" si="1"/>
        <v>2.7477967971609004E-2</v>
      </c>
      <c r="F17" s="3">
        <f t="shared" si="2"/>
        <v>2.1098361007570017E-2</v>
      </c>
      <c r="G17" s="3"/>
      <c r="H17" s="8">
        <v>1457.4000323661498</v>
      </c>
      <c r="I17" s="7">
        <v>2.1098361007570017E-2</v>
      </c>
    </row>
    <row r="18" spans="1:9" x14ac:dyDescent="0.25">
      <c r="A18" s="2">
        <v>13</v>
      </c>
      <c r="B18" s="2">
        <v>1421.0116731517501</v>
      </c>
      <c r="C18" s="2">
        <v>3.0884569237152201E-2</v>
      </c>
      <c r="D18" s="3">
        <f t="shared" si="0"/>
        <v>1464.8990065580067</v>
      </c>
      <c r="E18" s="3">
        <f t="shared" si="1"/>
        <v>3.041723876407176E-2</v>
      </c>
      <c r="F18" s="3">
        <f t="shared" si="2"/>
        <v>2.4037631800032773E-2</v>
      </c>
      <c r="G18" s="3"/>
      <c r="H18" s="8">
        <v>1464.8990065580067</v>
      </c>
      <c r="I18" s="7">
        <v>2.4037631800032773E-2</v>
      </c>
    </row>
    <row r="19" spans="1:9" x14ac:dyDescent="0.25">
      <c r="A19" s="2">
        <v>14</v>
      </c>
      <c r="B19" s="2">
        <v>1419.4552529182799</v>
      </c>
      <c r="C19" s="2">
        <v>3.4083584700433905E-2</v>
      </c>
      <c r="D19" s="3">
        <f t="shared" si="0"/>
        <v>1467.8353762595959</v>
      </c>
      <c r="E19" s="3">
        <f t="shared" si="1"/>
        <v>3.3515609086506623E-2</v>
      </c>
      <c r="F19" s="3">
        <f t="shared" si="2"/>
        <v>2.7136002122467636E-2</v>
      </c>
      <c r="G19" s="3"/>
      <c r="H19" s="8">
        <v>1467.8353762595959</v>
      </c>
      <c r="I19" s="7">
        <v>2.7136002122467636E-2</v>
      </c>
    </row>
    <row r="20" spans="1:9" x14ac:dyDescent="0.25">
      <c r="A20" s="2">
        <v>15</v>
      </c>
      <c r="B20" s="2">
        <v>1411.67315175097</v>
      </c>
      <c r="C20" s="2">
        <v>4.03956648986869E-2</v>
      </c>
      <c r="D20" s="3">
        <f t="shared" si="0"/>
        <v>1468.6986273355753</v>
      </c>
      <c r="E20" s="3">
        <f t="shared" si="1"/>
        <v>3.9601087819632841E-2</v>
      </c>
      <c r="F20" s="3">
        <f t="shared" si="2"/>
        <v>3.322148085559385E-2</v>
      </c>
      <c r="G20" s="3"/>
      <c r="H20" s="8">
        <v>1468.6986273355753</v>
      </c>
      <c r="I20" s="7">
        <v>3.322148085559385E-2</v>
      </c>
    </row>
    <row r="21" spans="1:9" x14ac:dyDescent="0.25">
      <c r="A21" s="2">
        <v>16</v>
      </c>
      <c r="B21" s="2">
        <v>1385.2140077821</v>
      </c>
      <c r="C21" s="2">
        <v>4.8265959474764204E-2</v>
      </c>
      <c r="D21" s="3">
        <f t="shared" ref="D21:D31" si="3">B21*(1+C21)</f>
        <v>1452.0726909455866</v>
      </c>
      <c r="E21" s="3">
        <f t="shared" ref="E21:E31" si="4">LN(1+C21)</f>
        <v>4.7137331827404233E-2</v>
      </c>
      <c r="F21" s="3">
        <f t="shared" si="2"/>
        <v>4.0757724863365243E-2</v>
      </c>
      <c r="G21" s="3"/>
      <c r="H21" s="8">
        <v>1452.0726909455866</v>
      </c>
      <c r="I21" s="7">
        <v>4.0757724863365243E-2</v>
      </c>
    </row>
    <row r="22" spans="1:9" x14ac:dyDescent="0.25">
      <c r="A22" s="2">
        <v>17</v>
      </c>
      <c r="B22" s="2">
        <v>1349.4163424124499</v>
      </c>
      <c r="C22" s="2">
        <v>5.5964352594220605E-2</v>
      </c>
      <c r="D22" s="3">
        <f t="shared" si="3"/>
        <v>1424.9355543956237</v>
      </c>
      <c r="E22" s="3">
        <f t="shared" si="4"/>
        <v>5.4454427701240281E-2</v>
      </c>
      <c r="F22" s="3">
        <f t="shared" si="2"/>
        <v>4.807482073720129E-2</v>
      </c>
      <c r="G22" s="3"/>
      <c r="H22" s="8">
        <v>1424.9355543956237</v>
      </c>
      <c r="I22" s="7">
        <v>4.807482073720129E-2</v>
      </c>
    </row>
    <row r="23" spans="1:9" x14ac:dyDescent="0.25">
      <c r="A23" s="2">
        <v>18</v>
      </c>
      <c r="B23" s="2">
        <v>1318.28793774319</v>
      </c>
      <c r="C23" s="2">
        <v>6.2106045145157406E-2</v>
      </c>
      <c r="D23" s="3">
        <f t="shared" si="3"/>
        <v>1400.1615879189851</v>
      </c>
      <c r="E23" s="3">
        <f t="shared" si="4"/>
        <v>6.0253772020297004E-2</v>
      </c>
      <c r="F23" s="3">
        <f t="shared" si="2"/>
        <v>5.3874165056258014E-2</v>
      </c>
      <c r="G23" s="3"/>
      <c r="H23" s="8">
        <v>1400.1615879189851</v>
      </c>
      <c r="I23" s="7">
        <v>5.3874165056258014E-2</v>
      </c>
    </row>
    <row r="24" spans="1:9" x14ac:dyDescent="0.25">
      <c r="A24" s="2">
        <v>19</v>
      </c>
      <c r="B24" s="2">
        <v>1263.8132295719799</v>
      </c>
      <c r="C24" s="2">
        <v>7.1189741979614002E-2</v>
      </c>
      <c r="D24" s="3">
        <f t="shared" si="3"/>
        <v>1353.7837672956318</v>
      </c>
      <c r="E24" s="3">
        <f t="shared" si="4"/>
        <v>6.8769939153691645E-2</v>
      </c>
      <c r="F24" s="3">
        <f t="shared" si="2"/>
        <v>6.2390332189652654E-2</v>
      </c>
      <c r="G24" s="3"/>
      <c r="H24" s="8">
        <v>1353.7837672956318</v>
      </c>
      <c r="I24" s="7">
        <v>6.2390332189652654E-2</v>
      </c>
    </row>
    <row r="25" spans="1:9" x14ac:dyDescent="0.25">
      <c r="A25" s="2">
        <v>20</v>
      </c>
      <c r="B25" s="2">
        <v>1223.3463035019399</v>
      </c>
      <c r="C25" s="2">
        <v>7.7073077742517801E-2</v>
      </c>
      <c r="D25" s="3">
        <f t="shared" si="3"/>
        <v>1317.6333682577665</v>
      </c>
      <c r="E25" s="3">
        <f t="shared" si="4"/>
        <v>7.4247248929456458E-2</v>
      </c>
      <c r="F25" s="3">
        <f t="shared" si="2"/>
        <v>6.7867641965417475E-2</v>
      </c>
      <c r="G25" s="3"/>
      <c r="H25" s="8">
        <v>1317.6333682577665</v>
      </c>
      <c r="I25" s="7">
        <v>6.7867641965417475E-2</v>
      </c>
    </row>
    <row r="26" spans="1:9" x14ac:dyDescent="0.25">
      <c r="A26" s="2">
        <v>21</v>
      </c>
      <c r="B26" s="2">
        <v>1148.63813229572</v>
      </c>
      <c r="C26" s="2">
        <v>8.7196425167360009E-2</v>
      </c>
      <c r="D26" s="3">
        <f t="shared" si="3"/>
        <v>1248.7952712428198</v>
      </c>
      <c r="E26" s="3">
        <f t="shared" si="4"/>
        <v>8.3602295739898816E-2</v>
      </c>
      <c r="F26" s="3">
        <f t="shared" si="2"/>
        <v>7.7222688775859832E-2</v>
      </c>
      <c r="G26" s="3"/>
      <c r="H26" s="8">
        <v>1248.7952712428198</v>
      </c>
      <c r="I26" s="7">
        <v>7.7222688775859832E-2</v>
      </c>
    </row>
    <row r="27" spans="1:9" x14ac:dyDescent="0.25">
      <c r="A27" s="2">
        <v>22</v>
      </c>
      <c r="B27" s="2">
        <v>1089.49416342412</v>
      </c>
      <c r="C27" s="2">
        <v>9.4551519976676102E-2</v>
      </c>
      <c r="D27" s="3">
        <f t="shared" si="3"/>
        <v>1192.5074925815875</v>
      </c>
      <c r="E27" s="3">
        <f t="shared" si="4"/>
        <v>9.0344708573880231E-2</v>
      </c>
      <c r="F27" s="3">
        <f t="shared" si="2"/>
        <v>8.3965101609841247E-2</v>
      </c>
      <c r="G27" s="3"/>
      <c r="H27" s="8">
        <v>1192.5074925815875</v>
      </c>
      <c r="I27" s="7">
        <v>8.3965101609841247E-2</v>
      </c>
    </row>
    <row r="28" spans="1:9" x14ac:dyDescent="0.25">
      <c r="A28" s="2">
        <v>23</v>
      </c>
      <c r="B28" s="2">
        <v>1038.1322957198399</v>
      </c>
      <c r="C28" s="2">
        <v>0.100349577815404</v>
      </c>
      <c r="D28" s="3">
        <f t="shared" si="3"/>
        <v>1142.308433311862</v>
      </c>
      <c r="E28" s="3">
        <f t="shared" si="4"/>
        <v>9.5627927331235818E-2</v>
      </c>
      <c r="F28" s="3">
        <f t="shared" si="2"/>
        <v>8.9248320367196834E-2</v>
      </c>
      <c r="G28" s="3"/>
      <c r="H28" s="8">
        <v>1142.308433311862</v>
      </c>
      <c r="I28" s="7">
        <v>8.9248320367196834E-2</v>
      </c>
    </row>
    <row r="29" spans="1:9" x14ac:dyDescent="0.25">
      <c r="A29" s="2">
        <v>24</v>
      </c>
      <c r="B29" s="2">
        <v>983.65758754863805</v>
      </c>
      <c r="C29" s="2">
        <v>0.10597506139337699</v>
      </c>
      <c r="D29" s="3">
        <f t="shared" si="3"/>
        <v>1087.9007607791661</v>
      </c>
      <c r="E29" s="3">
        <f t="shared" si="4"/>
        <v>0.10072735437700477</v>
      </c>
      <c r="F29" s="3">
        <f t="shared" si="2"/>
        <v>9.4347747412965782E-2</v>
      </c>
      <c r="G29" s="3"/>
      <c r="H29" s="8">
        <v>1087.9007607791661</v>
      </c>
      <c r="I29" s="7">
        <v>9.4347747412965782E-2</v>
      </c>
    </row>
    <row r="30" spans="1:9" x14ac:dyDescent="0.25">
      <c r="A30" s="2">
        <v>25</v>
      </c>
      <c r="B30" s="2">
        <v>910.50583657587504</v>
      </c>
      <c r="C30" s="2">
        <v>0.11289939335493701</v>
      </c>
      <c r="D30" s="3">
        <f t="shared" si="3"/>
        <v>1013.3013931714207</v>
      </c>
      <c r="E30" s="3">
        <f t="shared" si="4"/>
        <v>0.10696867589415278</v>
      </c>
      <c r="F30" s="3">
        <f t="shared" si="2"/>
        <v>0.1005890689301138</v>
      </c>
      <c r="G30" s="3"/>
      <c r="H30" s="8">
        <v>1013.3013931714207</v>
      </c>
      <c r="I30" s="7">
        <v>0.1005890689301138</v>
      </c>
    </row>
    <row r="31" spans="1:9" x14ac:dyDescent="0.25">
      <c r="A31" s="2">
        <v>26</v>
      </c>
      <c r="B31" s="2">
        <v>828.01556420233396</v>
      </c>
      <c r="C31" s="2">
        <v>0.11930600253422799</v>
      </c>
      <c r="D31" s="3">
        <f t="shared" si="3"/>
        <v>926.80279120343789</v>
      </c>
      <c r="E31" s="3">
        <f t="shared" si="4"/>
        <v>0.11270885265598934</v>
      </c>
      <c r="F31" s="3">
        <f t="shared" si="2"/>
        <v>0.10632924569195036</v>
      </c>
      <c r="G31" s="3"/>
      <c r="H31" s="8">
        <v>926.80279120343789</v>
      </c>
      <c r="I31" s="7">
        <v>0.10632924569195036</v>
      </c>
    </row>
    <row r="32" spans="1:9" x14ac:dyDescent="0.25">
      <c r="A32" s="2"/>
      <c r="B32" s="2"/>
      <c r="C32" s="2"/>
      <c r="D32" s="3"/>
      <c r="E32" s="3"/>
      <c r="F32" s="3"/>
      <c r="G32" s="3"/>
      <c r="H32" s="4"/>
      <c r="I32" s="4"/>
    </row>
    <row r="33" spans="1:9" x14ac:dyDescent="0.25">
      <c r="A33" s="2"/>
      <c r="B33" s="2"/>
      <c r="C33" s="2"/>
      <c r="D33" s="3"/>
      <c r="E33" s="3"/>
      <c r="F33" s="3"/>
      <c r="G33" s="3"/>
      <c r="H33" s="4"/>
      <c r="I33" s="4"/>
    </row>
    <row r="34" spans="1:9" x14ac:dyDescent="0.25">
      <c r="A34" s="2"/>
      <c r="B34" s="2"/>
      <c r="C34" s="2"/>
      <c r="D34" s="3"/>
      <c r="E34" s="3"/>
      <c r="F34" s="3"/>
      <c r="G34" s="3"/>
      <c r="H34" s="4"/>
      <c r="I34" s="4"/>
    </row>
    <row r="35" spans="1:9" x14ac:dyDescent="0.25">
      <c r="A35" s="2"/>
      <c r="B35" s="2"/>
      <c r="C35" s="2"/>
      <c r="D35" s="3"/>
      <c r="E35" s="3"/>
      <c r="F35" s="3"/>
      <c r="G35" s="3"/>
      <c r="H35" s="4"/>
      <c r="I35" s="4"/>
    </row>
    <row r="36" spans="1:9" x14ac:dyDescent="0.25">
      <c r="A36" s="2"/>
      <c r="B36" s="2"/>
      <c r="C36" s="2"/>
      <c r="D36" s="3"/>
      <c r="E36" s="3"/>
      <c r="F36" s="3"/>
      <c r="G36" s="3"/>
      <c r="H36" s="4"/>
      <c r="I36" s="4"/>
    </row>
    <row r="37" spans="1:9" x14ac:dyDescent="0.25">
      <c r="A37" s="2"/>
      <c r="B37" s="2"/>
      <c r="C37" s="2"/>
      <c r="D37" s="3"/>
      <c r="E37" s="3"/>
      <c r="F37" s="3"/>
      <c r="G37" s="3"/>
      <c r="H37" s="4"/>
      <c r="I37" s="4"/>
    </row>
    <row r="38" spans="1:9" x14ac:dyDescent="0.25">
      <c r="A38" s="2"/>
      <c r="B38" s="2"/>
      <c r="C38" s="2"/>
      <c r="D38" s="3"/>
      <c r="E38" s="3"/>
      <c r="F38" s="3"/>
      <c r="G38" s="3"/>
      <c r="H38" s="3"/>
      <c r="I38" s="3"/>
    </row>
    <row r="39" spans="1:9" x14ac:dyDescent="0.25">
      <c r="A39" s="2"/>
      <c r="B39" s="2"/>
      <c r="C39" s="2"/>
      <c r="D39" s="3"/>
      <c r="E39" s="3"/>
      <c r="F39" s="3"/>
      <c r="G39" s="3"/>
      <c r="H39" s="4"/>
      <c r="I39" s="4"/>
    </row>
    <row r="40" spans="1:9" x14ac:dyDescent="0.25">
      <c r="A40" s="2"/>
      <c r="B40" s="2"/>
      <c r="C40" s="2"/>
      <c r="D40" s="3"/>
      <c r="E40" s="3"/>
      <c r="F40" s="3"/>
      <c r="G40" s="3"/>
      <c r="H40" s="4"/>
      <c r="I40" s="4"/>
    </row>
    <row r="41" spans="1:9" x14ac:dyDescent="0.25">
      <c r="A41" s="2"/>
      <c r="B41" s="2"/>
      <c r="C41" s="2"/>
      <c r="D41" s="3"/>
      <c r="E41" s="3"/>
      <c r="F41" s="3"/>
      <c r="G41" s="3"/>
      <c r="H41" s="4"/>
      <c r="I41" s="4"/>
    </row>
    <row r="42" spans="1:9" x14ac:dyDescent="0.25">
      <c r="A42" s="2"/>
      <c r="B42" s="2"/>
      <c r="C42" s="2"/>
      <c r="D42" s="3"/>
      <c r="E42" s="3"/>
      <c r="F42" s="3"/>
      <c r="G42" s="3"/>
      <c r="H42" s="4"/>
      <c r="I42" s="4"/>
    </row>
    <row r="43" spans="1:9" x14ac:dyDescent="0.25">
      <c r="A43" s="2"/>
      <c r="B43" s="2"/>
      <c r="C43" s="2"/>
      <c r="D43" s="3"/>
      <c r="E43" s="3"/>
      <c r="F43" s="3"/>
      <c r="G43" s="3"/>
      <c r="H43" s="4"/>
      <c r="I43" s="4"/>
    </row>
    <row r="44" spans="1:9" x14ac:dyDescent="0.25">
      <c r="A44" s="2"/>
      <c r="B44" s="2"/>
      <c r="C44" s="2"/>
      <c r="D44" s="3"/>
      <c r="E44" s="3"/>
      <c r="F44" s="3"/>
      <c r="G44" s="3"/>
      <c r="H44" s="4"/>
      <c r="I44" s="4"/>
    </row>
    <row r="45" spans="1:9" x14ac:dyDescent="0.25">
      <c r="A45" s="2"/>
      <c r="B45" s="2"/>
      <c r="C45" s="2"/>
      <c r="D45" s="3"/>
      <c r="E45" s="3"/>
      <c r="F45" s="3"/>
      <c r="G45" s="3"/>
      <c r="H45" s="4"/>
      <c r="I45" s="4"/>
    </row>
    <row r="46" spans="1:9" x14ac:dyDescent="0.25">
      <c r="A46" s="2"/>
      <c r="B46" s="2"/>
      <c r="C46" s="2"/>
      <c r="D46" s="3"/>
      <c r="E46" s="3"/>
      <c r="F46" s="3"/>
      <c r="G46" s="3"/>
      <c r="H46" s="4"/>
      <c r="I46" s="4"/>
    </row>
    <row r="47" spans="1:9" x14ac:dyDescent="0.25">
      <c r="A47" s="2"/>
      <c r="B47" s="2"/>
      <c r="C47" s="2"/>
      <c r="D47" s="3"/>
      <c r="E47" s="3"/>
      <c r="F47" s="3"/>
      <c r="G47" s="3"/>
      <c r="H47" s="4"/>
      <c r="I47" s="4"/>
    </row>
    <row r="48" spans="1:9"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B4:C4"/>
    <mergeCell ref="D4:E4"/>
    <mergeCell ref="A4:A5"/>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A271F-CEF7-4B88-AC2E-6DE916BC18C3}">
  <sheetPr codeName="Feuil5"/>
  <dimension ref="A1:J120"/>
  <sheetViews>
    <sheetView workbookViewId="0">
      <selection activeCell="M34" sqref="M34"/>
    </sheetView>
  </sheetViews>
  <sheetFormatPr defaultColWidth="11.42578125" defaultRowHeight="15" x14ac:dyDescent="0.25"/>
  <cols>
    <col min="6" max="6" width="12.7109375" bestFit="1" customWidth="1"/>
    <col min="9" max="9" width="12.5703125" bestFit="1" customWidth="1"/>
  </cols>
  <sheetData>
    <row r="1" spans="1:10" ht="18" x14ac:dyDescent="0.35">
      <c r="B1" t="s">
        <v>6</v>
      </c>
      <c r="D1" s="2">
        <v>233500</v>
      </c>
      <c r="F1" t="s">
        <v>12</v>
      </c>
      <c r="G1" s="2">
        <v>772</v>
      </c>
      <c r="I1" t="s">
        <v>13</v>
      </c>
      <c r="J1" s="2">
        <f>E7</f>
        <v>3.1883026519238704E-3</v>
      </c>
    </row>
    <row r="4" spans="1:10" x14ac:dyDescent="0.25">
      <c r="A4" s="18" t="s">
        <v>0</v>
      </c>
      <c r="B4" s="18" t="s">
        <v>3</v>
      </c>
      <c r="C4" s="18"/>
      <c r="D4" s="18" t="b">
        <v>1</v>
      </c>
      <c r="E4" s="18"/>
      <c r="F4" t="s">
        <v>11</v>
      </c>
      <c r="H4" t="s">
        <v>4</v>
      </c>
      <c r="I4" t="s">
        <v>5</v>
      </c>
    </row>
    <row r="5" spans="1:10" x14ac:dyDescent="0.25">
      <c r="A5" s="18"/>
      <c r="B5" s="1" t="s">
        <v>1</v>
      </c>
      <c r="C5" s="1" t="s">
        <v>2</v>
      </c>
      <c r="D5" s="1" t="s">
        <v>1</v>
      </c>
      <c r="E5" s="1" t="s">
        <v>2</v>
      </c>
      <c r="F5" s="1" t="s">
        <v>2</v>
      </c>
      <c r="H5" t="s">
        <v>1</v>
      </c>
      <c r="I5" s="1" t="s">
        <v>2</v>
      </c>
    </row>
    <row r="6" spans="1:10" x14ac:dyDescent="0.25">
      <c r="A6" s="2">
        <v>1</v>
      </c>
      <c r="B6" s="2">
        <v>0</v>
      </c>
      <c r="C6" s="2">
        <v>0</v>
      </c>
      <c r="D6" s="3">
        <f>B6*(1+C6)</f>
        <v>0</v>
      </c>
      <c r="E6" s="3">
        <f>LN(1+C6)</f>
        <v>0</v>
      </c>
      <c r="F6" s="3">
        <v>0</v>
      </c>
      <c r="G6" s="3"/>
      <c r="H6" s="5"/>
      <c r="I6" s="5"/>
    </row>
    <row r="7" spans="1:10" x14ac:dyDescent="0.25">
      <c r="A7" s="2">
        <v>2</v>
      </c>
      <c r="B7" s="2">
        <v>772</v>
      </c>
      <c r="C7" s="2">
        <v>3.1933906947939502E-3</v>
      </c>
      <c r="D7" s="3">
        <f t="shared" ref="D7:D20" si="0">B7*(1+C7)</f>
        <v>774.46529761638089</v>
      </c>
      <c r="E7" s="3">
        <f>LN(1+C7)</f>
        <v>3.1883026519238704E-3</v>
      </c>
      <c r="F7" s="3">
        <f>E7-$J$1</f>
        <v>0</v>
      </c>
      <c r="G7" s="3"/>
      <c r="H7" s="8">
        <f>D7</f>
        <v>774.46529761638089</v>
      </c>
      <c r="I7" s="7">
        <f>F7</f>
        <v>0</v>
      </c>
    </row>
    <row r="8" spans="1:10" x14ac:dyDescent="0.25">
      <c r="A8" s="2">
        <v>3</v>
      </c>
      <c r="B8" s="2">
        <v>772</v>
      </c>
      <c r="C8" s="2">
        <v>8.9603520746313597E-3</v>
      </c>
      <c r="D8" s="3">
        <f t="shared" si="0"/>
        <v>778.91739180161539</v>
      </c>
      <c r="E8" s="3">
        <f t="shared" ref="E8:E20" si="1">LN(1+C8)</f>
        <v>8.92044632255478E-3</v>
      </c>
      <c r="F8" s="3">
        <f t="shared" ref="F8:F20" si="2">E8-$J$1</f>
        <v>5.7321436706309096E-3</v>
      </c>
      <c r="G8" s="3"/>
      <c r="H8" s="8">
        <f t="shared" ref="H8:H20" si="3">D8</f>
        <v>778.91739180161539</v>
      </c>
      <c r="I8" s="7">
        <f t="shared" ref="I8:I20" si="4">F8</f>
        <v>5.7321436706309096E-3</v>
      </c>
    </row>
    <row r="9" spans="1:10" x14ac:dyDescent="0.25">
      <c r="A9" s="2">
        <v>4</v>
      </c>
      <c r="B9" s="2">
        <v>781.67156391235005</v>
      </c>
      <c r="C9" s="2">
        <v>1.3254397638780901E-2</v>
      </c>
      <c r="D9" s="3">
        <f t="shared" si="0"/>
        <v>792.03214964337212</v>
      </c>
      <c r="E9" s="3">
        <f t="shared" si="1"/>
        <v>1.3167326648894005E-2</v>
      </c>
      <c r="F9" s="3">
        <f t="shared" si="2"/>
        <v>9.979023996970135E-3</v>
      </c>
      <c r="G9" s="3"/>
      <c r="H9" s="8">
        <f t="shared" si="3"/>
        <v>792.03214964337212</v>
      </c>
      <c r="I9" s="7">
        <f t="shared" si="4"/>
        <v>9.979023996970135E-3</v>
      </c>
    </row>
    <row r="10" spans="1:10" x14ac:dyDescent="0.25">
      <c r="A10" s="2">
        <v>5</v>
      </c>
      <c r="B10" s="2">
        <v>774.82508268219703</v>
      </c>
      <c r="C10" s="2">
        <v>1.47891900438775E-2</v>
      </c>
      <c r="D10" s="3">
        <f t="shared" si="0"/>
        <v>786.28411808074713</v>
      </c>
      <c r="E10" s="3">
        <f t="shared" si="1"/>
        <v>1.4680896384201421E-2</v>
      </c>
      <c r="F10" s="3">
        <f t="shared" si="2"/>
        <v>1.149259373227755E-2</v>
      </c>
      <c r="G10" s="3"/>
      <c r="H10" s="8">
        <f t="shared" si="3"/>
        <v>786.28411808074713</v>
      </c>
      <c r="I10" s="7">
        <f t="shared" si="4"/>
        <v>1.149259373227755E-2</v>
      </c>
    </row>
    <row r="11" spans="1:10" x14ac:dyDescent="0.25">
      <c r="A11" s="2">
        <v>6</v>
      </c>
      <c r="B11" s="2">
        <v>783.84093394647698</v>
      </c>
      <c r="C11" s="2">
        <v>1.9511733624972001E-2</v>
      </c>
      <c r="D11" s="3">
        <f t="shared" si="0"/>
        <v>799.13502945398989</v>
      </c>
      <c r="E11" s="3">
        <f t="shared" si="1"/>
        <v>1.9323820161799163E-2</v>
      </c>
      <c r="F11" s="3">
        <f t="shared" si="2"/>
        <v>1.6135517509875293E-2</v>
      </c>
      <c r="G11" s="3"/>
      <c r="H11" s="8">
        <f t="shared" si="3"/>
        <v>799.13502945398989</v>
      </c>
      <c r="I11" s="7">
        <f t="shared" si="4"/>
        <v>1.6135517509875293E-2</v>
      </c>
    </row>
    <row r="12" spans="1:10" x14ac:dyDescent="0.25">
      <c r="A12" s="2">
        <v>7</v>
      </c>
      <c r="B12" s="2">
        <v>797.71731253211703</v>
      </c>
      <c r="C12" s="2">
        <v>2.7116967309237901E-2</v>
      </c>
      <c r="D12" s="3">
        <f t="shared" si="0"/>
        <v>819.34898681806362</v>
      </c>
      <c r="E12" s="3">
        <f t="shared" si="1"/>
        <v>2.6755816680511191E-2</v>
      </c>
      <c r="F12" s="3">
        <f t="shared" si="2"/>
        <v>2.3567514028587321E-2</v>
      </c>
      <c r="G12" s="3"/>
      <c r="H12" s="8">
        <f t="shared" si="3"/>
        <v>819.34898681806362</v>
      </c>
      <c r="I12" s="7">
        <f t="shared" si="4"/>
        <v>2.3567514028587321E-2</v>
      </c>
    </row>
    <row r="13" spans="1:10" x14ac:dyDescent="0.25">
      <c r="A13" s="2">
        <v>8</v>
      </c>
      <c r="B13" s="2">
        <v>809.493892717378</v>
      </c>
      <c r="C13" s="2">
        <v>3.2513934091418097E-2</v>
      </c>
      <c r="D13" s="3">
        <f t="shared" si="0"/>
        <v>835.81372379259619</v>
      </c>
      <c r="E13" s="3">
        <f t="shared" si="1"/>
        <v>3.199654125004367E-2</v>
      </c>
      <c r="F13" s="3">
        <f t="shared" si="2"/>
        <v>2.88082385981198E-2</v>
      </c>
      <c r="G13" s="3"/>
      <c r="H13" s="8">
        <f t="shared" si="3"/>
        <v>835.81372379259619</v>
      </c>
      <c r="I13" s="7">
        <f t="shared" si="4"/>
        <v>2.88082385981198E-2</v>
      </c>
    </row>
    <row r="14" spans="1:10" x14ac:dyDescent="0.25">
      <c r="A14" s="2">
        <v>9</v>
      </c>
      <c r="B14" s="2">
        <v>816.48267956201403</v>
      </c>
      <c r="C14" s="2">
        <v>3.9261328449263999E-2</v>
      </c>
      <c r="D14" s="3">
        <f t="shared" si="0"/>
        <v>848.53887421743343</v>
      </c>
      <c r="E14" s="3">
        <f t="shared" si="1"/>
        <v>3.851019969188569E-2</v>
      </c>
      <c r="F14" s="3">
        <f t="shared" si="2"/>
        <v>3.5321897039961817E-2</v>
      </c>
      <c r="G14" s="3"/>
      <c r="H14" s="8">
        <f t="shared" si="3"/>
        <v>848.53887421743343</v>
      </c>
      <c r="I14" s="7">
        <f t="shared" si="4"/>
        <v>3.5321897039961817E-2</v>
      </c>
    </row>
    <row r="15" spans="1:10" x14ac:dyDescent="0.25">
      <c r="A15" s="2">
        <v>10</v>
      </c>
      <c r="B15" s="2">
        <v>823.49887341388501</v>
      </c>
      <c r="C15" s="2">
        <v>4.76038106281211E-2</v>
      </c>
      <c r="D15" s="3">
        <f t="shared" si="0"/>
        <v>862.70055783635064</v>
      </c>
      <c r="E15" s="3">
        <f t="shared" si="1"/>
        <v>4.6505471128692216E-2</v>
      </c>
      <c r="F15" s="3">
        <f t="shared" si="2"/>
        <v>4.3317168476768343E-2</v>
      </c>
      <c r="G15" s="3"/>
      <c r="H15" s="8">
        <f t="shared" si="3"/>
        <v>862.70055783635064</v>
      </c>
      <c r="I15" s="7">
        <f t="shared" si="4"/>
        <v>4.3317168476768343E-2</v>
      </c>
    </row>
    <row r="16" spans="1:10" x14ac:dyDescent="0.25">
      <c r="A16" s="2">
        <v>11</v>
      </c>
      <c r="B16" s="2">
        <v>827.08708313019599</v>
      </c>
      <c r="C16" s="2">
        <v>5.6437616117428403E-2</v>
      </c>
      <c r="D16" s="3">
        <f t="shared" si="0"/>
        <v>873.76590642358167</v>
      </c>
      <c r="E16" s="3">
        <f t="shared" si="1"/>
        <v>5.490250864240212E-2</v>
      </c>
      <c r="F16" s="3">
        <f t="shared" si="2"/>
        <v>5.1714205990478247E-2</v>
      </c>
      <c r="G16" s="3"/>
      <c r="H16" s="8">
        <f t="shared" si="3"/>
        <v>873.76590642358167</v>
      </c>
      <c r="I16" s="7">
        <f t="shared" si="4"/>
        <v>5.1714205990478247E-2</v>
      </c>
    </row>
    <row r="17" spans="1:9" x14ac:dyDescent="0.25">
      <c r="A17" s="2">
        <v>12</v>
      </c>
      <c r="B17" s="2">
        <v>829.33234949204802</v>
      </c>
      <c r="C17" s="2">
        <v>6.7112118377188903E-2</v>
      </c>
      <c r="D17" s="3">
        <f t="shared" si="0"/>
        <v>884.99060030519058</v>
      </c>
      <c r="E17" s="3">
        <f t="shared" si="1"/>
        <v>6.4956044940990498E-2</v>
      </c>
      <c r="F17" s="3">
        <f t="shared" si="2"/>
        <v>6.1767742289066625E-2</v>
      </c>
      <c r="G17" s="3"/>
      <c r="H17" s="8">
        <f t="shared" si="3"/>
        <v>884.99060030519058</v>
      </c>
      <c r="I17" s="7">
        <f t="shared" si="4"/>
        <v>6.1767742289066625E-2</v>
      </c>
    </row>
    <row r="18" spans="1:9" x14ac:dyDescent="0.25">
      <c r="A18" s="2">
        <v>13</v>
      </c>
      <c r="B18" s="2">
        <v>826.74765788676098</v>
      </c>
      <c r="C18" s="2">
        <v>7.6683066949520998E-2</v>
      </c>
      <c r="D18" s="3">
        <f t="shared" si="0"/>
        <v>890.14520388685128</v>
      </c>
      <c r="E18" s="3">
        <f t="shared" si="1"/>
        <v>7.3885080911298237E-2</v>
      </c>
      <c r="F18" s="3">
        <f t="shared" si="2"/>
        <v>7.0696778259374371E-2</v>
      </c>
      <c r="G18" s="3"/>
      <c r="H18" s="8">
        <f t="shared" si="3"/>
        <v>890.14520388685128</v>
      </c>
      <c r="I18" s="7">
        <f t="shared" si="4"/>
        <v>7.0696778259374371E-2</v>
      </c>
    </row>
    <row r="19" spans="1:9" x14ac:dyDescent="0.25">
      <c r="A19" s="2">
        <v>14</v>
      </c>
      <c r="B19" s="2">
        <v>822.77785830050198</v>
      </c>
      <c r="C19" s="2">
        <v>8.5640731029212103E-2</v>
      </c>
      <c r="D19" s="3">
        <f t="shared" si="0"/>
        <v>893.2411555600064</v>
      </c>
      <c r="E19" s="3">
        <f t="shared" si="1"/>
        <v>8.2170348205738444E-2</v>
      </c>
      <c r="F19" s="3">
        <f t="shared" si="2"/>
        <v>7.8982045553814578E-2</v>
      </c>
      <c r="G19" s="3"/>
      <c r="H19" s="8">
        <f t="shared" si="3"/>
        <v>893.2411555600064</v>
      </c>
      <c r="I19" s="7">
        <f t="shared" si="4"/>
        <v>7.8982045553814578E-2</v>
      </c>
    </row>
    <row r="20" spans="1:9" x14ac:dyDescent="0.25">
      <c r="A20" s="2">
        <v>15</v>
      </c>
      <c r="B20" s="2">
        <v>816.71774735482802</v>
      </c>
      <c r="C20" s="2">
        <v>9.2942273991013596E-2</v>
      </c>
      <c r="D20" s="3">
        <f t="shared" si="0"/>
        <v>892.62535200280377</v>
      </c>
      <c r="E20" s="3">
        <f t="shared" si="1"/>
        <v>8.8873393518812321E-2</v>
      </c>
      <c r="F20" s="3">
        <f t="shared" si="2"/>
        <v>8.5685090866888455E-2</v>
      </c>
      <c r="G20" s="3"/>
      <c r="H20" s="8">
        <f t="shared" si="3"/>
        <v>892.62535200280377</v>
      </c>
      <c r="I20" s="7">
        <f t="shared" si="4"/>
        <v>8.5685090866888455E-2</v>
      </c>
    </row>
    <row r="21" spans="1:9" x14ac:dyDescent="0.25">
      <c r="A21" s="2"/>
      <c r="B21" s="2"/>
      <c r="C21" s="2"/>
      <c r="D21" s="3"/>
      <c r="E21" s="3"/>
      <c r="F21" s="3"/>
      <c r="G21" s="3"/>
      <c r="H21" s="8"/>
      <c r="I21" s="7"/>
    </row>
    <row r="22" spans="1:9" x14ac:dyDescent="0.25">
      <c r="A22" s="2"/>
      <c r="B22" s="2"/>
      <c r="C22" s="2"/>
      <c r="D22" s="3"/>
      <c r="E22" s="3"/>
      <c r="F22" s="3"/>
      <c r="G22" s="3"/>
      <c r="H22" s="8"/>
      <c r="I22" s="7"/>
    </row>
    <row r="23" spans="1:9" x14ac:dyDescent="0.25">
      <c r="A23" s="2"/>
      <c r="B23" s="2"/>
      <c r="C23" s="2"/>
      <c r="D23" s="3"/>
      <c r="E23" s="3"/>
      <c r="F23" s="3"/>
      <c r="G23" s="3"/>
      <c r="H23" s="8"/>
      <c r="I23" s="7"/>
    </row>
    <row r="24" spans="1:9" x14ac:dyDescent="0.25">
      <c r="A24" s="2"/>
      <c r="B24" s="2"/>
      <c r="C24" s="2"/>
      <c r="D24" s="3"/>
      <c r="E24" s="3"/>
      <c r="F24" s="3"/>
      <c r="G24" s="3"/>
      <c r="H24" s="8"/>
      <c r="I24" s="7"/>
    </row>
    <row r="25" spans="1:9" x14ac:dyDescent="0.25">
      <c r="A25" s="2"/>
      <c r="B25" s="2"/>
      <c r="C25" s="2"/>
      <c r="D25" s="3"/>
      <c r="E25" s="3"/>
      <c r="F25" s="3"/>
      <c r="G25" s="3"/>
      <c r="H25" s="8"/>
      <c r="I25" s="7"/>
    </row>
    <row r="26" spans="1:9" x14ac:dyDescent="0.25">
      <c r="A26" s="2"/>
      <c r="B26" s="2"/>
      <c r="C26" s="2"/>
      <c r="D26" s="3"/>
      <c r="E26" s="3"/>
      <c r="F26" s="3"/>
      <c r="G26" s="3"/>
      <c r="H26" s="8"/>
      <c r="I26" s="7"/>
    </row>
    <row r="27" spans="1:9" x14ac:dyDescent="0.25">
      <c r="A27" s="2"/>
      <c r="B27" s="2"/>
      <c r="C27" s="2"/>
      <c r="D27" s="3"/>
      <c r="E27" s="3"/>
      <c r="F27" s="3"/>
      <c r="G27" s="3"/>
      <c r="H27" s="8"/>
      <c r="I27" s="7"/>
    </row>
    <row r="28" spans="1:9" x14ac:dyDescent="0.25">
      <c r="A28" s="2"/>
      <c r="B28" s="2"/>
      <c r="C28" s="2"/>
      <c r="D28" s="3"/>
      <c r="E28" s="3"/>
      <c r="F28" s="3"/>
      <c r="G28" s="3"/>
      <c r="H28" s="8"/>
      <c r="I28" s="7"/>
    </row>
    <row r="29" spans="1:9" x14ac:dyDescent="0.25">
      <c r="A29" s="2"/>
      <c r="B29" s="2"/>
      <c r="C29" s="2"/>
      <c r="D29" s="3"/>
      <c r="E29" s="3"/>
      <c r="F29" s="3"/>
      <c r="G29" s="3"/>
      <c r="H29" s="8"/>
      <c r="I29" s="7"/>
    </row>
    <row r="30" spans="1:9" x14ac:dyDescent="0.25">
      <c r="A30" s="2"/>
      <c r="B30" s="2"/>
      <c r="C30" s="2"/>
      <c r="D30" s="3"/>
      <c r="E30" s="3"/>
      <c r="F30" s="3"/>
      <c r="G30" s="3"/>
      <c r="H30" s="8"/>
      <c r="I30" s="7"/>
    </row>
    <row r="31" spans="1:9" x14ac:dyDescent="0.25">
      <c r="A31" s="2"/>
      <c r="B31" s="2"/>
      <c r="C31" s="2"/>
      <c r="D31" s="3"/>
      <c r="E31" s="3"/>
      <c r="F31" s="3"/>
      <c r="G31" s="3"/>
      <c r="H31" s="8"/>
      <c r="I31" s="7"/>
    </row>
    <row r="32" spans="1:9" x14ac:dyDescent="0.25">
      <c r="A32" s="2"/>
      <c r="B32" s="2"/>
      <c r="C32" s="2"/>
      <c r="D32" s="3"/>
      <c r="E32" s="3"/>
      <c r="F32" s="3"/>
      <c r="G32" s="3"/>
      <c r="H32" s="4"/>
      <c r="I32" s="4"/>
    </row>
    <row r="33" spans="1:9" x14ac:dyDescent="0.25">
      <c r="A33" s="2"/>
      <c r="B33" s="2"/>
      <c r="C33" s="2"/>
      <c r="D33" s="3"/>
      <c r="E33" s="3"/>
      <c r="F33" s="3"/>
      <c r="G33" s="3"/>
      <c r="H33" s="4"/>
      <c r="I33" s="4"/>
    </row>
    <row r="34" spans="1:9" x14ac:dyDescent="0.25">
      <c r="A34" s="2"/>
      <c r="B34" s="2"/>
      <c r="C34" s="2"/>
      <c r="D34" s="3"/>
      <c r="E34" s="3"/>
      <c r="F34" s="3"/>
      <c r="G34" s="3"/>
      <c r="H34" s="4"/>
      <c r="I34" s="4"/>
    </row>
    <row r="35" spans="1:9" x14ac:dyDescent="0.25">
      <c r="A35" s="2"/>
      <c r="B35" s="2"/>
      <c r="C35" s="2"/>
      <c r="D35" s="3"/>
      <c r="E35" s="3"/>
      <c r="F35" s="3"/>
      <c r="G35" s="3"/>
      <c r="H35" s="4"/>
      <c r="I35" s="4"/>
    </row>
    <row r="36" spans="1:9" x14ac:dyDescent="0.25">
      <c r="A36" s="2"/>
      <c r="B36" s="2"/>
      <c r="C36" s="2"/>
      <c r="D36" s="3"/>
      <c r="E36" s="3"/>
      <c r="F36" s="3"/>
      <c r="G36" s="3"/>
      <c r="H36" s="4"/>
      <c r="I36" s="4"/>
    </row>
    <row r="37" spans="1:9" x14ac:dyDescent="0.25">
      <c r="A37" s="2"/>
      <c r="B37" s="2"/>
      <c r="C37" s="2"/>
      <c r="D37" s="3"/>
      <c r="E37" s="3"/>
      <c r="F37" s="3"/>
      <c r="G37" s="3"/>
      <c r="H37" s="4"/>
      <c r="I37" s="4"/>
    </row>
    <row r="38" spans="1:9" x14ac:dyDescent="0.25">
      <c r="A38" s="2"/>
      <c r="B38" s="2"/>
      <c r="C38" s="2"/>
      <c r="D38" s="3"/>
      <c r="E38" s="3"/>
      <c r="F38" s="3"/>
      <c r="G38" s="3"/>
      <c r="H38" s="3"/>
      <c r="I38" s="3"/>
    </row>
    <row r="39" spans="1:9" x14ac:dyDescent="0.25">
      <c r="A39" s="2"/>
      <c r="B39" s="2"/>
      <c r="C39" s="2"/>
      <c r="D39" s="3"/>
      <c r="E39" s="3"/>
      <c r="F39" s="3"/>
      <c r="G39" s="3"/>
      <c r="H39" s="4"/>
      <c r="I39" s="4"/>
    </row>
    <row r="40" spans="1:9" x14ac:dyDescent="0.25">
      <c r="A40" s="2"/>
      <c r="B40" s="2"/>
      <c r="C40" s="2"/>
      <c r="D40" s="3"/>
      <c r="E40" s="3"/>
      <c r="F40" s="3"/>
      <c r="G40" s="3"/>
      <c r="H40" s="4"/>
      <c r="I40" s="4"/>
    </row>
    <row r="41" spans="1:9" x14ac:dyDescent="0.25">
      <c r="A41" s="2"/>
      <c r="B41" s="2"/>
      <c r="C41" s="2"/>
      <c r="D41" s="3"/>
      <c r="E41" s="3"/>
      <c r="F41" s="3"/>
      <c r="G41" s="3"/>
      <c r="H41" s="4"/>
      <c r="I41" s="4"/>
    </row>
    <row r="42" spans="1:9" x14ac:dyDescent="0.25">
      <c r="A42" s="2"/>
      <c r="B42" s="2"/>
      <c r="C42" s="2"/>
      <c r="D42" s="3"/>
      <c r="E42" s="3"/>
      <c r="F42" s="3"/>
      <c r="G42" s="3"/>
      <c r="H42" s="4"/>
      <c r="I42" s="4"/>
    </row>
    <row r="43" spans="1:9" x14ac:dyDescent="0.25">
      <c r="A43" s="2"/>
      <c r="B43" s="2"/>
      <c r="C43" s="2"/>
      <c r="D43" s="3"/>
      <c r="E43" s="3"/>
      <c r="F43" s="3"/>
      <c r="G43" s="3"/>
      <c r="H43" s="4"/>
      <c r="I43" s="4"/>
    </row>
    <row r="44" spans="1:9" x14ac:dyDescent="0.25">
      <c r="A44" s="2"/>
      <c r="B44" s="2"/>
      <c r="C44" s="2"/>
      <c r="D44" s="3"/>
      <c r="E44" s="3"/>
      <c r="F44" s="3"/>
      <c r="G44" s="3"/>
      <c r="H44" s="4"/>
      <c r="I44" s="4"/>
    </row>
    <row r="45" spans="1:9" x14ac:dyDescent="0.25">
      <c r="A45" s="2"/>
      <c r="B45" s="2"/>
      <c r="C45" s="2"/>
      <c r="D45" s="3"/>
      <c r="E45" s="3"/>
      <c r="F45" s="3"/>
      <c r="G45" s="3"/>
      <c r="H45" s="4"/>
      <c r="I45" s="4"/>
    </row>
    <row r="46" spans="1:9" x14ac:dyDescent="0.25">
      <c r="A46" s="2"/>
      <c r="B46" s="2"/>
      <c r="C46" s="2"/>
      <c r="D46" s="3"/>
      <c r="E46" s="3"/>
      <c r="F46" s="3"/>
      <c r="G46" s="3"/>
      <c r="H46" s="4"/>
      <c r="I46" s="4"/>
    </row>
    <row r="47" spans="1:9" x14ac:dyDescent="0.25">
      <c r="A47" s="2"/>
      <c r="B47" s="2"/>
      <c r="C47" s="2"/>
      <c r="D47" s="3"/>
      <c r="E47" s="3"/>
      <c r="F47" s="3"/>
      <c r="G47" s="3"/>
      <c r="H47" s="4"/>
      <c r="I47" s="4"/>
    </row>
    <row r="48" spans="1:9"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A4:A5"/>
    <mergeCell ref="B4:C4"/>
    <mergeCell ref="D4:E4"/>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29057-CE72-4C4F-8022-9387997EF1E1}">
  <sheetPr codeName="Sheet1"/>
  <dimension ref="A1:B35"/>
  <sheetViews>
    <sheetView workbookViewId="0">
      <selection activeCell="D5" sqref="D5"/>
    </sheetView>
  </sheetViews>
  <sheetFormatPr defaultRowHeight="15" x14ac:dyDescent="0.25"/>
  <sheetData>
    <row r="1" spans="1:2" x14ac:dyDescent="0.25">
      <c r="A1" s="9" t="s">
        <v>2</v>
      </c>
      <c r="B1" s="9" t="s">
        <v>1</v>
      </c>
    </row>
    <row r="2" spans="1:2" x14ac:dyDescent="0.25">
      <c r="A2" s="3">
        <v>0</v>
      </c>
      <c r="B2" s="3">
        <v>0</v>
      </c>
    </row>
    <row r="3" spans="1:2" x14ac:dyDescent="0.25">
      <c r="A3" s="3">
        <v>3.3354265017549302E-4</v>
      </c>
      <c r="B3" s="3">
        <v>119.844357976653</v>
      </c>
    </row>
    <row r="4" spans="1:2" x14ac:dyDescent="0.25">
      <c r="A4" s="3">
        <v>1.26352616647416E-3</v>
      </c>
      <c r="B4" s="3">
        <v>314.39688715953298</v>
      </c>
    </row>
    <row r="5" spans="1:2" x14ac:dyDescent="0.25">
      <c r="A5" s="3">
        <v>2.1926686776034604E-3</v>
      </c>
      <c r="B5" s="3">
        <v>516.73151750972704</v>
      </c>
    </row>
    <row r="6" spans="1:2" x14ac:dyDescent="0.25">
      <c r="A6" s="3">
        <v>2.8691732358514898E-3</v>
      </c>
      <c r="B6" s="3">
        <v>656.80933852140004</v>
      </c>
    </row>
    <row r="7" spans="1:2" x14ac:dyDescent="0.25">
      <c r="A7" s="3">
        <v>3.4620818802632704E-3</v>
      </c>
      <c r="B7" s="3">
        <v>770.42801556420204</v>
      </c>
    </row>
    <row r="8" spans="1:2" x14ac:dyDescent="0.25">
      <c r="A8" s="3">
        <v>4.3945884120700903E-3</v>
      </c>
      <c r="B8" s="3">
        <v>941.63424124513597</v>
      </c>
    </row>
    <row r="9" spans="1:2" x14ac:dyDescent="0.25">
      <c r="A9" s="3">
        <v>4.9873288554480102E-3</v>
      </c>
      <c r="B9" s="3">
        <v>1056.8093385213999</v>
      </c>
    </row>
    <row r="10" spans="1:2" x14ac:dyDescent="0.25">
      <c r="A10" s="3">
        <v>5.8862792809967505E-3</v>
      </c>
      <c r="B10" s="3">
        <v>1138.5214007782099</v>
      </c>
    </row>
    <row r="11" spans="1:2" x14ac:dyDescent="0.25">
      <c r="A11" s="3">
        <v>6.4000000000000003E-3</v>
      </c>
      <c r="B11" s="3">
        <v>1186.9000000000001</v>
      </c>
    </row>
    <row r="12" spans="1:2" x14ac:dyDescent="0.25">
      <c r="A12" s="3">
        <v>6.8303075836239303E-3</v>
      </c>
      <c r="B12" s="3">
        <v>1203.11284046692</v>
      </c>
    </row>
    <row r="13" spans="1:2" x14ac:dyDescent="0.25">
      <c r="A13" s="3">
        <v>7.38671660368472E-3</v>
      </c>
      <c r="B13" s="3">
        <v>1254.4747081712001</v>
      </c>
    </row>
    <row r="14" spans="1:2" x14ac:dyDescent="0.25">
      <c r="A14" s="3">
        <v>9.02482647260003E-3</v>
      </c>
      <c r="B14" s="3">
        <v>1296.4980544747</v>
      </c>
    </row>
    <row r="15" spans="1:2" x14ac:dyDescent="0.25">
      <c r="A15" s="3">
        <v>1.1180995525852401E-2</v>
      </c>
      <c r="B15" s="3">
        <v>1344.74708171206</v>
      </c>
    </row>
    <row r="16" spans="1:2" x14ac:dyDescent="0.25">
      <c r="A16" s="3">
        <v>1.2216609291425E-2</v>
      </c>
      <c r="B16" s="3">
        <v>1361.8677042801501</v>
      </c>
    </row>
    <row r="17" spans="1:2" x14ac:dyDescent="0.25">
      <c r="A17" s="3">
        <v>1.38577467789501E-2</v>
      </c>
      <c r="B17" s="3">
        <v>1375.8754863813199</v>
      </c>
    </row>
    <row r="18" spans="1:2" x14ac:dyDescent="0.25">
      <c r="A18" s="3">
        <v>1.67087543031431E-2</v>
      </c>
      <c r="B18" s="3">
        <v>1394.5525291828701</v>
      </c>
    </row>
    <row r="19" spans="1:2" x14ac:dyDescent="0.25">
      <c r="A19" s="3">
        <v>1.9820137027775499E-2</v>
      </c>
      <c r="B19" s="3">
        <v>1403.89105058365</v>
      </c>
    </row>
    <row r="20" spans="1:2" x14ac:dyDescent="0.25">
      <c r="A20" s="3">
        <v>2.3017806882786301E-2</v>
      </c>
      <c r="B20" s="3">
        <v>1414.78599221789</v>
      </c>
    </row>
    <row r="21" spans="1:2" x14ac:dyDescent="0.25">
      <c r="A21" s="3">
        <v>2.7858969039796299E-2</v>
      </c>
      <c r="B21" s="3">
        <v>1417.89883268482</v>
      </c>
    </row>
    <row r="22" spans="1:2" x14ac:dyDescent="0.25">
      <c r="A22" s="3">
        <v>3.0884569237152201E-2</v>
      </c>
      <c r="B22" s="3">
        <v>1421.0116731517501</v>
      </c>
    </row>
    <row r="23" spans="1:2" x14ac:dyDescent="0.25">
      <c r="A23" s="3">
        <v>3.4083584700433905E-2</v>
      </c>
      <c r="B23" s="3">
        <v>1419.4552529182799</v>
      </c>
    </row>
    <row r="24" spans="1:2" x14ac:dyDescent="0.25">
      <c r="A24" s="3">
        <v>4.03956648986869E-2</v>
      </c>
      <c r="B24" s="3">
        <v>1411.67315175097</v>
      </c>
    </row>
    <row r="25" spans="1:2" x14ac:dyDescent="0.25">
      <c r="A25" s="3">
        <v>4.8265959474764204E-2</v>
      </c>
      <c r="B25" s="3">
        <v>1385.2140077821</v>
      </c>
    </row>
    <row r="26" spans="1:2" x14ac:dyDescent="0.25">
      <c r="A26" s="3">
        <v>5.5964352594220605E-2</v>
      </c>
      <c r="B26" s="3">
        <v>1349.4163424124499</v>
      </c>
    </row>
    <row r="27" spans="1:2" x14ac:dyDescent="0.25">
      <c r="A27" s="3">
        <v>6.2106045145157406E-2</v>
      </c>
      <c r="B27" s="3">
        <v>1318.28793774319</v>
      </c>
    </row>
    <row r="28" spans="1:2" x14ac:dyDescent="0.25">
      <c r="A28" s="3">
        <v>7.1189741979614002E-2</v>
      </c>
      <c r="B28" s="3">
        <v>1263.8132295719799</v>
      </c>
    </row>
    <row r="29" spans="1:2" x14ac:dyDescent="0.25">
      <c r="A29" s="3">
        <v>7.7073077742517801E-2</v>
      </c>
      <c r="B29" s="3">
        <v>1223.3463035019399</v>
      </c>
    </row>
    <row r="30" spans="1:2" x14ac:dyDescent="0.25">
      <c r="A30" s="3">
        <v>8.7196425167360009E-2</v>
      </c>
      <c r="B30" s="3">
        <v>1148.63813229572</v>
      </c>
    </row>
    <row r="31" spans="1:2" x14ac:dyDescent="0.25">
      <c r="A31" s="3">
        <v>9.4551519976676102E-2</v>
      </c>
      <c r="B31" s="3">
        <v>1089.49416342412</v>
      </c>
    </row>
    <row r="32" spans="1:2" x14ac:dyDescent="0.25">
      <c r="A32" s="3">
        <v>0.100349577815404</v>
      </c>
      <c r="B32" s="3">
        <v>1038.1322957198399</v>
      </c>
    </row>
    <row r="33" spans="1:2" x14ac:dyDescent="0.25">
      <c r="A33" s="3">
        <v>0.10597506139337699</v>
      </c>
      <c r="B33" s="3">
        <v>983.65758754863805</v>
      </c>
    </row>
    <row r="34" spans="1:2" x14ac:dyDescent="0.25">
      <c r="A34" s="3">
        <v>0.11289939335493701</v>
      </c>
      <c r="B34" s="3">
        <v>910.50583657587504</v>
      </c>
    </row>
    <row r="35" spans="1:2" x14ac:dyDescent="0.25">
      <c r="A35" s="3">
        <v>0.11930600253422799</v>
      </c>
      <c r="B35" s="3">
        <v>828.01556420233396</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9F940-DAA7-4635-AE70-140C33A30F3F}">
  <sheetPr codeName="Sheet2"/>
  <dimension ref="A1:B16"/>
  <sheetViews>
    <sheetView workbookViewId="0">
      <selection sqref="A1:B2"/>
    </sheetView>
  </sheetViews>
  <sheetFormatPr defaultRowHeight="15" x14ac:dyDescent="0.25"/>
  <cols>
    <col min="2" max="2" width="12" bestFit="1" customWidth="1"/>
  </cols>
  <sheetData>
    <row r="1" spans="1:2" x14ac:dyDescent="0.25">
      <c r="A1" s="9" t="s">
        <v>2</v>
      </c>
      <c r="B1" s="9" t="s">
        <v>1</v>
      </c>
    </row>
    <row r="2" spans="1:2" x14ac:dyDescent="0.25">
      <c r="A2" s="3">
        <v>0</v>
      </c>
      <c r="B2" s="3">
        <v>0</v>
      </c>
    </row>
    <row r="3" spans="1:2" x14ac:dyDescent="0.25">
      <c r="A3" s="3">
        <v>3.1933906947939502E-3</v>
      </c>
      <c r="B3" s="3">
        <v>772.43683870712698</v>
      </c>
    </row>
    <row r="4" spans="1:2" x14ac:dyDescent="0.25">
      <c r="A4" s="3">
        <v>8.9603520746313597E-3</v>
      </c>
      <c r="B4" s="3">
        <v>772.848642167261</v>
      </c>
    </row>
    <row r="5" spans="1:2" x14ac:dyDescent="0.25">
      <c r="A5" s="3">
        <v>1.3254397638780901E-2</v>
      </c>
      <c r="B5" s="3">
        <v>781.67156391235005</v>
      </c>
    </row>
    <row r="6" spans="1:2" x14ac:dyDescent="0.25">
      <c r="A6" s="3">
        <v>1.47891900438775E-2</v>
      </c>
      <c r="B6" s="3">
        <v>774.82508268219703</v>
      </c>
    </row>
    <row r="7" spans="1:2" x14ac:dyDescent="0.25">
      <c r="A7" s="3">
        <v>1.9511733624972001E-2</v>
      </c>
      <c r="B7" s="3">
        <v>783.84093394647698</v>
      </c>
    </row>
    <row r="8" spans="1:2" x14ac:dyDescent="0.25">
      <c r="A8" s="3">
        <v>2.7116967309237901E-2</v>
      </c>
      <c r="B8" s="3">
        <v>797.71731253211703</v>
      </c>
    </row>
    <row r="9" spans="1:2" x14ac:dyDescent="0.25">
      <c r="A9" s="3">
        <v>3.2513934091418097E-2</v>
      </c>
      <c r="B9" s="3">
        <v>809.493892717378</v>
      </c>
    </row>
    <row r="10" spans="1:2" x14ac:dyDescent="0.25">
      <c r="A10" s="3">
        <v>3.9261328449263999E-2</v>
      </c>
      <c r="B10" s="3">
        <v>816.48267956201403</v>
      </c>
    </row>
    <row r="11" spans="1:2" x14ac:dyDescent="0.25">
      <c r="A11" s="3">
        <v>4.76038106281211E-2</v>
      </c>
      <c r="B11" s="3">
        <v>823.49887341388501</v>
      </c>
    </row>
    <row r="12" spans="1:2" x14ac:dyDescent="0.25">
      <c r="A12" s="3">
        <v>5.6437616117428403E-2</v>
      </c>
      <c r="B12" s="3">
        <v>827.08708313019599</v>
      </c>
    </row>
    <row r="13" spans="1:2" x14ac:dyDescent="0.25">
      <c r="A13" s="3">
        <v>6.7112118377188903E-2</v>
      </c>
      <c r="B13" s="3">
        <v>829.33234949204802</v>
      </c>
    </row>
    <row r="14" spans="1:2" x14ac:dyDescent="0.25">
      <c r="A14" s="3">
        <v>7.6683066949520998E-2</v>
      </c>
      <c r="B14" s="3">
        <v>826.74765788676098</v>
      </c>
    </row>
    <row r="15" spans="1:2" x14ac:dyDescent="0.25">
      <c r="A15" s="3">
        <v>8.5640731029212103E-2</v>
      </c>
      <c r="B15" s="3">
        <v>822.77785830050198</v>
      </c>
    </row>
    <row r="16" spans="1:2" x14ac:dyDescent="0.25">
      <c r="A16" s="3">
        <v>9.2942273991013596E-2</v>
      </c>
      <c r="B16" s="3">
        <v>816.71774735482802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745FD-C7F1-4E38-BBB4-31530444E4E1}">
  <sheetPr codeName="Sheet3"/>
  <dimension ref="A1:T34"/>
  <sheetViews>
    <sheetView workbookViewId="0">
      <selection activeCell="S35" sqref="S35"/>
    </sheetView>
  </sheetViews>
  <sheetFormatPr defaultRowHeight="15" x14ac:dyDescent="0.25"/>
  <cols>
    <col min="17" max="17" width="6" bestFit="1" customWidth="1"/>
    <col min="18" max="18" width="10.7109375" bestFit="1" customWidth="1"/>
  </cols>
  <sheetData>
    <row r="1" spans="1:20" x14ac:dyDescent="0.25">
      <c r="A1" t="s">
        <v>2</v>
      </c>
      <c r="B1" t="s">
        <v>1</v>
      </c>
      <c r="Q1">
        <v>235</v>
      </c>
    </row>
    <row r="2" spans="1:20" x14ac:dyDescent="0.25">
      <c r="A2">
        <v>593.34359875249299</v>
      </c>
      <c r="B2">
        <v>0.150780752694672</v>
      </c>
      <c r="C2">
        <f>A2*$T$2</f>
        <v>5.9334359875249298E-4</v>
      </c>
      <c r="Q2" t="s">
        <v>14</v>
      </c>
      <c r="R2" t="s">
        <v>15</v>
      </c>
      <c r="T2">
        <v>9.9999999999999995E-7</v>
      </c>
    </row>
    <row r="3" spans="1:20" ht="21" x14ac:dyDescent="0.35">
      <c r="A3">
        <v>4418.5161609229399</v>
      </c>
      <c r="B3">
        <v>390.071940911014</v>
      </c>
      <c r="C3">
        <f t="shared" ref="C3:C16" si="0">A3*$T$2</f>
        <v>4.4185161609229398E-3</v>
      </c>
      <c r="Q3" s="10">
        <v>315</v>
      </c>
      <c r="R3" s="10">
        <v>217350</v>
      </c>
    </row>
    <row r="4" spans="1:20" ht="21" x14ac:dyDescent="0.35">
      <c r="A4">
        <v>16819.521840094101</v>
      </c>
      <c r="B4">
        <v>393.72375116908398</v>
      </c>
      <c r="C4">
        <f t="shared" si="0"/>
        <v>1.6819521840094099E-2</v>
      </c>
      <c r="Q4" s="11">
        <v>312</v>
      </c>
      <c r="R4" s="11">
        <v>219450</v>
      </c>
    </row>
    <row r="5" spans="1:20" ht="21" x14ac:dyDescent="0.35">
      <c r="A5">
        <v>22517.540709025099</v>
      </c>
      <c r="B5">
        <v>419.94573315362902</v>
      </c>
      <c r="C5">
        <f t="shared" si="0"/>
        <v>2.2517540709025098E-2</v>
      </c>
      <c r="Q5" s="11">
        <v>312</v>
      </c>
      <c r="R5" s="11">
        <v>219450</v>
      </c>
    </row>
    <row r="6" spans="1:20" ht="21" x14ac:dyDescent="0.35">
      <c r="A6">
        <v>30341.7815599407</v>
      </c>
      <c r="B6">
        <v>447.07773387908298</v>
      </c>
      <c r="C6">
        <f t="shared" si="0"/>
        <v>3.03417815599407E-2</v>
      </c>
      <c r="Q6" s="11">
        <v>310</v>
      </c>
      <c r="R6" s="11">
        <v>215250</v>
      </c>
    </row>
    <row r="7" spans="1:20" ht="21" x14ac:dyDescent="0.35">
      <c r="A7">
        <v>42062.140162089301</v>
      </c>
      <c r="B7">
        <v>474.22146989896902</v>
      </c>
      <c r="C7">
        <f t="shared" si="0"/>
        <v>4.2062140162089298E-2</v>
      </c>
      <c r="Q7" s="11">
        <v>315</v>
      </c>
      <c r="R7" s="11">
        <v>217350</v>
      </c>
    </row>
    <row r="8" spans="1:20" ht="21" x14ac:dyDescent="0.35">
      <c r="A8">
        <v>53068.779493817703</v>
      </c>
      <c r="B8">
        <v>496.84498387285998</v>
      </c>
      <c r="C8">
        <f t="shared" si="0"/>
        <v>5.3068779493817698E-2</v>
      </c>
      <c r="Q8" s="11">
        <v>322</v>
      </c>
      <c r="R8" s="11">
        <v>218400</v>
      </c>
    </row>
    <row r="9" spans="1:20" ht="21.75" thickBot="1" x14ac:dyDescent="0.4">
      <c r="A9">
        <v>70092.424334021998</v>
      </c>
      <c r="B9">
        <v>515.87216352599296</v>
      </c>
      <c r="C9">
        <f t="shared" si="0"/>
        <v>7.0092424334021991E-2</v>
      </c>
      <c r="Q9" s="12">
        <v>328</v>
      </c>
      <c r="R9" s="12">
        <v>220500</v>
      </c>
    </row>
    <row r="10" spans="1:20" x14ac:dyDescent="0.25">
      <c r="A10">
        <v>92782.082694708195</v>
      </c>
      <c r="B10">
        <v>534.01279502707905</v>
      </c>
      <c r="C10">
        <f t="shared" si="0"/>
        <v>9.2782082694708196E-2</v>
      </c>
      <c r="Q10">
        <f>AVERAGE(Q3:Q9)</f>
        <v>316.28571428571428</v>
      </c>
      <c r="R10">
        <f>AVERAGE(R3:R9)</f>
        <v>218250</v>
      </c>
    </row>
    <row r="11" spans="1:20" x14ac:dyDescent="0.25">
      <c r="A11">
        <v>114749.487025387</v>
      </c>
      <c r="B11">
        <v>540.40426311241299</v>
      </c>
      <c r="C11">
        <f t="shared" si="0"/>
        <v>0.114749487025387</v>
      </c>
    </row>
    <row r="12" spans="1:20" x14ac:dyDescent="0.25">
      <c r="A12">
        <v>140964.00109529399</v>
      </c>
      <c r="B12">
        <v>544.09768032346699</v>
      </c>
      <c r="C12">
        <f t="shared" si="0"/>
        <v>0.14096400109529397</v>
      </c>
    </row>
    <row r="13" spans="1:20" x14ac:dyDescent="0.25">
      <c r="A13">
        <v>160090.39732861999</v>
      </c>
      <c r="B13">
        <v>544.15528995067598</v>
      </c>
      <c r="C13">
        <f t="shared" si="0"/>
        <v>0.16009039732861999</v>
      </c>
      <c r="Q13">
        <v>345</v>
      </c>
    </row>
    <row r="14" spans="1:20" ht="21" x14ac:dyDescent="0.35">
      <c r="A14">
        <v>184527.54771464001</v>
      </c>
      <c r="B14">
        <v>542.42166690966997</v>
      </c>
      <c r="C14">
        <f t="shared" si="0"/>
        <v>0.18452754771464</v>
      </c>
      <c r="Q14" s="10">
        <v>377</v>
      </c>
      <c r="R14" s="10">
        <v>200550</v>
      </c>
    </row>
    <row r="15" spans="1:20" ht="21" x14ac:dyDescent="0.35">
      <c r="A15">
        <v>202941.29152249399</v>
      </c>
      <c r="B15">
        <v>538.86267216210297</v>
      </c>
      <c r="C15">
        <f t="shared" si="0"/>
        <v>0.20294129152249399</v>
      </c>
      <c r="Q15" s="11">
        <v>416</v>
      </c>
      <c r="R15" s="11">
        <v>213150</v>
      </c>
    </row>
    <row r="16" spans="1:20" ht="21" x14ac:dyDescent="0.35">
      <c r="A16">
        <v>222060.219841182</v>
      </c>
      <c r="B16">
        <v>532.59495809077396</v>
      </c>
      <c r="C16">
        <f t="shared" si="0"/>
        <v>0.22206021984118199</v>
      </c>
      <c r="Q16" s="11">
        <v>377</v>
      </c>
      <c r="R16" s="11">
        <v>200550</v>
      </c>
    </row>
    <row r="17" spans="1:18" ht="21" x14ac:dyDescent="0.35">
      <c r="Q17" s="11">
        <v>384</v>
      </c>
      <c r="R17" s="11">
        <v>206850</v>
      </c>
    </row>
    <row r="18" spans="1:18" ht="21" x14ac:dyDescent="0.35">
      <c r="Q18" s="10">
        <v>398</v>
      </c>
      <c r="R18" s="10">
        <v>211050</v>
      </c>
    </row>
    <row r="19" spans="1:18" ht="21" x14ac:dyDescent="0.35">
      <c r="A19">
        <v>767.77274780139805</v>
      </c>
      <c r="B19">
        <v>-2.1077300028804</v>
      </c>
      <c r="C19">
        <f>A19*$T$2</f>
        <v>7.6777274780139807E-4</v>
      </c>
      <c r="Q19" s="11">
        <v>384</v>
      </c>
      <c r="R19" s="11">
        <v>206850</v>
      </c>
    </row>
    <row r="20" spans="1:18" ht="21" x14ac:dyDescent="0.35">
      <c r="A20">
        <v>5011.6819521839898</v>
      </c>
      <c r="B20">
        <v>292.48336610918</v>
      </c>
      <c r="C20">
        <f t="shared" ref="C20:C34" si="1">A20*$T$2</f>
        <v>5.0116819521839892E-3</v>
      </c>
      <c r="Q20" s="11">
        <v>377</v>
      </c>
      <c r="R20" s="11">
        <v>200550</v>
      </c>
    </row>
    <row r="21" spans="1:18" ht="21.75" thickBot="1" x14ac:dyDescent="0.4">
      <c r="A21">
        <v>17411.6207864069</v>
      </c>
      <c r="B21">
        <v>295.23155869602999</v>
      </c>
      <c r="C21">
        <f t="shared" si="1"/>
        <v>1.7411620786406901E-2</v>
      </c>
      <c r="Q21" s="12">
        <v>398</v>
      </c>
      <c r="R21" s="12">
        <v>211050</v>
      </c>
    </row>
    <row r="22" spans="1:18" x14ac:dyDescent="0.25">
      <c r="A22">
        <v>23091.503291216599</v>
      </c>
      <c r="B22">
        <v>306.09204026984003</v>
      </c>
      <c r="C22">
        <f t="shared" si="1"/>
        <v>2.3091503291216599E-2</v>
      </c>
      <c r="Q22">
        <f>AVERAGE(Q14:Q21)</f>
        <v>388.875</v>
      </c>
      <c r="R22">
        <f>AVERAGE(R14:R21)</f>
        <v>206325</v>
      </c>
    </row>
    <row r="23" spans="1:18" x14ac:dyDescent="0.25">
      <c r="A23">
        <v>29846.7655039241</v>
      </c>
      <c r="B23">
        <v>327.79913443313097</v>
      </c>
      <c r="C23">
        <f t="shared" si="1"/>
        <v>2.9846765503924098E-2</v>
      </c>
    </row>
    <row r="24" spans="1:18" x14ac:dyDescent="0.25">
      <c r="A24">
        <v>40503.479692606299</v>
      </c>
      <c r="B24">
        <v>354.03605224695298</v>
      </c>
      <c r="C24">
        <f t="shared" si="1"/>
        <v>4.0503479692606301E-2</v>
      </c>
    </row>
    <row r="25" spans="1:18" x14ac:dyDescent="0.25">
      <c r="A25">
        <v>54702.119109682397</v>
      </c>
      <c r="B25">
        <v>380.28363851025699</v>
      </c>
      <c r="C25">
        <f t="shared" si="1"/>
        <v>5.4702119109682396E-2</v>
      </c>
    </row>
    <row r="26" spans="1:18" x14ac:dyDescent="0.25">
      <c r="A26">
        <v>73499.927098928601</v>
      </c>
      <c r="B26">
        <v>402.02700540179097</v>
      </c>
      <c r="C26">
        <f t="shared" si="1"/>
        <v>7.3499927098928594E-2</v>
      </c>
    </row>
    <row r="27" spans="1:18" x14ac:dyDescent="0.25">
      <c r="A27">
        <v>90872.430237230699</v>
      </c>
      <c r="B27">
        <v>416.537163543774</v>
      </c>
      <c r="C27">
        <f t="shared" si="1"/>
        <v>9.0872430237230697E-2</v>
      </c>
    </row>
    <row r="28" spans="1:18" x14ac:dyDescent="0.25">
      <c r="A28">
        <v>109652.101862355</v>
      </c>
      <c r="B28">
        <v>422.91903002457201</v>
      </c>
      <c r="C28">
        <f t="shared" si="1"/>
        <v>0.10965210186235499</v>
      </c>
    </row>
    <row r="29" spans="1:18" x14ac:dyDescent="0.25">
      <c r="A29">
        <v>136580.33520268201</v>
      </c>
      <c r="B29">
        <v>431.13266928162199</v>
      </c>
      <c r="C29">
        <f t="shared" si="1"/>
        <v>0.13658033520268201</v>
      </c>
    </row>
    <row r="30" spans="1:18" x14ac:dyDescent="0.25">
      <c r="A30">
        <v>157834.02026294099</v>
      </c>
      <c r="B30">
        <v>433.00391532096</v>
      </c>
      <c r="C30">
        <f t="shared" si="1"/>
        <v>0.15783402026294099</v>
      </c>
    </row>
    <row r="31" spans="1:18" x14ac:dyDescent="0.25">
      <c r="A31">
        <v>183339.082442221</v>
      </c>
      <c r="B31">
        <v>435.79158117089702</v>
      </c>
      <c r="C31">
        <f t="shared" si="1"/>
        <v>0.183339082442221</v>
      </c>
    </row>
    <row r="32" spans="1:18" x14ac:dyDescent="0.25">
      <c r="A32">
        <v>203880.115077008</v>
      </c>
      <c r="B32">
        <v>434.04622283546001</v>
      </c>
      <c r="C32">
        <f t="shared" si="1"/>
        <v>0.20388011507700798</v>
      </c>
    </row>
    <row r="33" spans="1:3" x14ac:dyDescent="0.25">
      <c r="A33">
        <v>220166.570057929</v>
      </c>
      <c r="B33">
        <v>428.67359167576399</v>
      </c>
      <c r="C33">
        <f t="shared" si="1"/>
        <v>0.220166570057929</v>
      </c>
    </row>
    <row r="34" spans="1:3" x14ac:dyDescent="0.25">
      <c r="A34">
        <v>238223.98765304699</v>
      </c>
      <c r="B34">
        <v>423.30629474080899</v>
      </c>
      <c r="C34">
        <f t="shared" si="1"/>
        <v>0.23822398765304698</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F72B9-1C16-4B6E-9065-C621ACA7F1B0}">
  <sheetPr codeName="Feuil10"/>
  <dimension ref="A1:P120"/>
  <sheetViews>
    <sheetView workbookViewId="0">
      <selection activeCell="O39" sqref="O39"/>
    </sheetView>
  </sheetViews>
  <sheetFormatPr defaultColWidth="11.42578125" defaultRowHeight="15" x14ac:dyDescent="0.25"/>
  <cols>
    <col min="4" max="4" width="12" bestFit="1" customWidth="1"/>
    <col min="5" max="5" width="12.42578125" bestFit="1" customWidth="1"/>
    <col min="6" max="6" width="12.7109375" bestFit="1" customWidth="1"/>
    <col min="9" max="9" width="12.5703125" bestFit="1" customWidth="1"/>
  </cols>
  <sheetData>
    <row r="1" spans="1:10" ht="18" x14ac:dyDescent="0.35">
      <c r="B1" t="s">
        <v>6</v>
      </c>
      <c r="D1" s="2">
        <v>197100</v>
      </c>
      <c r="F1" t="s">
        <v>12</v>
      </c>
      <c r="G1" s="2">
        <v>1186.9000000000001</v>
      </c>
      <c r="I1" t="s">
        <v>13</v>
      </c>
      <c r="J1" s="2">
        <f>E7</f>
        <v>4.8358117744223402E-3</v>
      </c>
    </row>
    <row r="4" spans="1:10" x14ac:dyDescent="0.25">
      <c r="A4" s="18" t="s">
        <v>0</v>
      </c>
      <c r="B4" s="18" t="s">
        <v>3</v>
      </c>
      <c r="C4" s="18"/>
      <c r="D4" s="18" t="b">
        <v>1</v>
      </c>
      <c r="E4" s="18"/>
      <c r="F4" t="s">
        <v>11</v>
      </c>
      <c r="H4" t="s">
        <v>4</v>
      </c>
      <c r="I4" t="s">
        <v>5</v>
      </c>
    </row>
    <row r="5" spans="1:10" x14ac:dyDescent="0.25">
      <c r="A5" s="18"/>
      <c r="B5" s="1" t="s">
        <v>1</v>
      </c>
      <c r="C5" s="1" t="s">
        <v>2</v>
      </c>
      <c r="D5" s="1" t="s">
        <v>1</v>
      </c>
      <c r="E5" s="1" t="s">
        <v>2</v>
      </c>
      <c r="F5" s="1" t="s">
        <v>2</v>
      </c>
      <c r="H5" t="s">
        <v>1</v>
      </c>
      <c r="I5" s="1" t="s">
        <v>2</v>
      </c>
    </row>
    <row r="6" spans="1:10" x14ac:dyDescent="0.25">
      <c r="A6" s="2">
        <v>1</v>
      </c>
      <c r="B6" s="2">
        <v>0</v>
      </c>
      <c r="C6" s="2">
        <v>0</v>
      </c>
      <c r="D6" s="3">
        <f>B6*(1+C6)</f>
        <v>0</v>
      </c>
      <c r="E6" s="3">
        <f>LN(1+C6)</f>
        <v>0</v>
      </c>
      <c r="F6" s="3">
        <v>0</v>
      </c>
      <c r="G6" s="3"/>
      <c r="H6" s="5"/>
      <c r="I6" s="5"/>
    </row>
    <row r="7" spans="1:10" x14ac:dyDescent="0.25">
      <c r="A7" s="2">
        <v>2</v>
      </c>
      <c r="B7" s="2">
        <v>694.61106039494496</v>
      </c>
      <c r="C7" s="2">
        <v>4.8475231826263796E-3</v>
      </c>
      <c r="D7" s="3">
        <f t="shared" ref="D7:D19" si="0">B7*(1+C7)</f>
        <v>697.97820361311813</v>
      </c>
      <c r="E7" s="3">
        <f t="shared" ref="E7:E19" si="1">LN(1+C7)</f>
        <v>4.8358117744223402E-3</v>
      </c>
      <c r="F7" s="3">
        <f>E7-$J$1</f>
        <v>0</v>
      </c>
      <c r="G7" s="3"/>
      <c r="H7" s="8">
        <f>D7</f>
        <v>697.97820361311813</v>
      </c>
      <c r="I7" s="7">
        <f>F7</f>
        <v>0</v>
      </c>
    </row>
    <row r="8" spans="1:10" x14ac:dyDescent="0.25">
      <c r="A8" s="2">
        <v>3</v>
      </c>
      <c r="B8" s="2">
        <v>696.76548311151601</v>
      </c>
      <c r="C8" s="2">
        <v>1.16369816941335E-2</v>
      </c>
      <c r="D8" s="3">
        <f t="shared" si="0"/>
        <v>704.87373028358877</v>
      </c>
      <c r="E8" s="3">
        <f t="shared" si="1"/>
        <v>1.1569792771135E-2</v>
      </c>
      <c r="F8" s="3">
        <f t="shared" ref="F8:F19" si="2">E8-$J$1</f>
        <v>6.73398099671266E-3</v>
      </c>
      <c r="G8" s="3"/>
      <c r="H8" s="8">
        <f t="shared" ref="H8:H19" si="3">D8</f>
        <v>704.87373028358877</v>
      </c>
      <c r="I8" s="7">
        <f t="shared" ref="I8:I19" si="4">F8</f>
        <v>6.73398099671266E-3</v>
      </c>
    </row>
    <row r="9" spans="1:10" x14ac:dyDescent="0.25">
      <c r="A9" s="2">
        <v>4</v>
      </c>
      <c r="B9" s="2">
        <v>710.83553548263103</v>
      </c>
      <c r="C9" s="2">
        <v>1.9286960073031299E-2</v>
      </c>
      <c r="D9" s="3">
        <f t="shared" si="0"/>
        <v>724.54539207397625</v>
      </c>
      <c r="E9" s="3">
        <f t="shared" si="1"/>
        <v>1.9103324088747726E-2</v>
      </c>
      <c r="F9" s="3">
        <f t="shared" si="2"/>
        <v>1.4267512314325385E-2</v>
      </c>
      <c r="G9" s="3"/>
      <c r="H9" s="8">
        <f t="shared" si="3"/>
        <v>724.54539207397625</v>
      </c>
      <c r="I9" s="7">
        <f t="shared" si="4"/>
        <v>1.4267512314325385E-2</v>
      </c>
    </row>
    <row r="10" spans="1:10" x14ac:dyDescent="0.25">
      <c r="A10" s="2">
        <v>5</v>
      </c>
      <c r="B10" s="2">
        <v>722.120789890933</v>
      </c>
      <c r="C10" s="2">
        <v>2.9160020179695399E-2</v>
      </c>
      <c r="D10" s="3">
        <f t="shared" si="0"/>
        <v>743.17784669633011</v>
      </c>
      <c r="E10" s="3">
        <f t="shared" si="1"/>
        <v>2.8742955140139713E-2</v>
      </c>
      <c r="F10" s="3">
        <f t="shared" si="2"/>
        <v>2.3907143365717372E-2</v>
      </c>
      <c r="G10" s="3"/>
      <c r="H10" s="8">
        <f t="shared" si="3"/>
        <v>743.17784669633011</v>
      </c>
      <c r="I10" s="7">
        <f t="shared" si="4"/>
        <v>2.3907143365717372E-2</v>
      </c>
    </row>
    <row r="11" spans="1:10" x14ac:dyDescent="0.25">
      <c r="A11" s="2">
        <v>6</v>
      </c>
      <c r="B11" s="2">
        <v>735.534521693172</v>
      </c>
      <c r="C11" s="2">
        <v>4.2489213472349102E-2</v>
      </c>
      <c r="D11" s="3">
        <f t="shared" si="0"/>
        <v>766.78680500167536</v>
      </c>
      <c r="E11" s="3">
        <f t="shared" si="1"/>
        <v>4.1611327848177525E-2</v>
      </c>
      <c r="F11" s="3">
        <f t="shared" si="2"/>
        <v>3.6775516073755184E-2</v>
      </c>
      <c r="G11" s="3"/>
      <c r="H11" s="8">
        <f t="shared" si="3"/>
        <v>766.78680500167536</v>
      </c>
      <c r="I11" s="7">
        <f t="shared" si="4"/>
        <v>3.6775516073755184E-2</v>
      </c>
    </row>
    <row r="12" spans="1:10" x14ac:dyDescent="0.25">
      <c r="A12" s="2">
        <v>7</v>
      </c>
      <c r="B12" s="2">
        <v>744.03113438716196</v>
      </c>
      <c r="C12" s="2">
        <v>5.4091529332628799E-2</v>
      </c>
      <c r="D12" s="3">
        <f t="shared" si="0"/>
        <v>784.27691631725418</v>
      </c>
      <c r="E12" s="3">
        <f t="shared" si="1"/>
        <v>5.2679286322829366E-2</v>
      </c>
      <c r="F12" s="3">
        <f t="shared" si="2"/>
        <v>4.7843474548407025E-2</v>
      </c>
      <c r="G12" s="3"/>
      <c r="H12" s="8">
        <f t="shared" si="3"/>
        <v>784.27691631725418</v>
      </c>
      <c r="I12" s="7">
        <f t="shared" si="4"/>
        <v>4.7843474548407025E-2</v>
      </c>
    </row>
    <row r="13" spans="1:10" x14ac:dyDescent="0.25">
      <c r="A13" s="2">
        <v>8</v>
      </c>
      <c r="B13" s="2">
        <v>751.84067650026395</v>
      </c>
      <c r="C13" s="2">
        <v>6.7422452313458003E-2</v>
      </c>
      <c r="D13" s="3">
        <f t="shared" si="0"/>
        <v>802.53161865892093</v>
      </c>
      <c r="E13" s="3">
        <f t="shared" si="1"/>
        <v>6.5246819279074927E-2</v>
      </c>
      <c r="F13" s="3">
        <f t="shared" si="2"/>
        <v>6.0411007504652586E-2</v>
      </c>
      <c r="G13" s="3"/>
      <c r="H13" s="8">
        <f t="shared" si="3"/>
        <v>802.53161865892093</v>
      </c>
      <c r="I13" s="7">
        <f t="shared" si="4"/>
        <v>6.0411007504652586E-2</v>
      </c>
    </row>
    <row r="14" spans="1:10" x14ac:dyDescent="0.25">
      <c r="A14" s="2">
        <v>9</v>
      </c>
      <c r="B14" s="2">
        <v>757.57555374045103</v>
      </c>
      <c r="C14" s="2">
        <v>8.4210805746408504E-2</v>
      </c>
      <c r="D14" s="3">
        <f t="shared" si="0"/>
        <v>821.37160153471609</v>
      </c>
      <c r="E14" s="3">
        <f t="shared" si="1"/>
        <v>8.0852354356331799E-2</v>
      </c>
      <c r="F14" s="3">
        <f t="shared" si="2"/>
        <v>7.6016542581909458E-2</v>
      </c>
      <c r="G14" s="3"/>
      <c r="H14" s="8">
        <f t="shared" si="3"/>
        <v>821.37160153471609</v>
      </c>
      <c r="I14" s="7">
        <f t="shared" si="4"/>
        <v>7.6016542581909458E-2</v>
      </c>
    </row>
    <row r="15" spans="1:10" x14ac:dyDescent="0.25">
      <c r="A15" s="2">
        <v>10</v>
      </c>
      <c r="B15" s="2">
        <v>759.82126555518198</v>
      </c>
      <c r="C15" s="2">
        <v>0.102728631143996</v>
      </c>
      <c r="D15" s="3">
        <f t="shared" si="0"/>
        <v>837.87666407976462</v>
      </c>
      <c r="E15" s="3">
        <f t="shared" si="1"/>
        <v>9.7787682026900136E-2</v>
      </c>
      <c r="F15" s="3">
        <f t="shared" si="2"/>
        <v>9.2951870252477795E-2</v>
      </c>
      <c r="G15" s="3"/>
      <c r="H15" s="8">
        <f t="shared" si="3"/>
        <v>837.87666407976462</v>
      </c>
      <c r="I15" s="7">
        <f t="shared" si="4"/>
        <v>9.2951870252477795E-2</v>
      </c>
    </row>
    <row r="16" spans="1:10" x14ac:dyDescent="0.25">
      <c r="A16" s="2">
        <v>11</v>
      </c>
      <c r="B16" s="2">
        <v>757.16715514342002</v>
      </c>
      <c r="C16" s="2">
        <v>0.12174179599288899</v>
      </c>
      <c r="D16" s="3">
        <f t="shared" si="0"/>
        <v>849.34604447740639</v>
      </c>
      <c r="E16" s="3">
        <f t="shared" si="1"/>
        <v>0.11488265226832925</v>
      </c>
      <c r="F16" s="3">
        <f t="shared" si="2"/>
        <v>0.11004684049390691</v>
      </c>
      <c r="G16" s="3"/>
      <c r="H16" s="8">
        <f t="shared" si="3"/>
        <v>849.34604447740639</v>
      </c>
      <c r="I16" s="7">
        <f t="shared" si="4"/>
        <v>0.11004684049390691</v>
      </c>
    </row>
    <row r="17" spans="1:16" x14ac:dyDescent="0.25">
      <c r="A17" s="2">
        <v>12</v>
      </c>
      <c r="B17" s="2">
        <v>749.582472493154</v>
      </c>
      <c r="C17" s="2">
        <v>0.13729969249988</v>
      </c>
      <c r="D17" s="3">
        <f t="shared" si="0"/>
        <v>852.49991546976378</v>
      </c>
      <c r="E17" s="3">
        <f t="shared" si="1"/>
        <v>0.12865676183091049</v>
      </c>
      <c r="F17" s="3">
        <f t="shared" si="2"/>
        <v>0.12382095005648815</v>
      </c>
      <c r="G17" s="3"/>
      <c r="H17" s="8">
        <f t="shared" si="3"/>
        <v>852.49991546976378</v>
      </c>
      <c r="I17" s="7">
        <f t="shared" si="4"/>
        <v>0.12382095005648815</v>
      </c>
    </row>
    <row r="18" spans="1:16" x14ac:dyDescent="0.25">
      <c r="A18" s="2">
        <v>13</v>
      </c>
      <c r="B18" s="2">
        <v>735.38259741507795</v>
      </c>
      <c r="C18" s="2">
        <v>0.15212074184403901</v>
      </c>
      <c r="D18" s="3">
        <f t="shared" si="0"/>
        <v>847.249543673056</v>
      </c>
      <c r="E18" s="3">
        <f t="shared" si="1"/>
        <v>0.14160436740995552</v>
      </c>
      <c r="F18" s="3">
        <f t="shared" si="2"/>
        <v>0.1367685556355332</v>
      </c>
      <c r="G18" s="3"/>
      <c r="H18" s="8">
        <f t="shared" si="3"/>
        <v>847.249543673056</v>
      </c>
      <c r="I18" s="7">
        <f t="shared" si="4"/>
        <v>0.1367685556355332</v>
      </c>
    </row>
    <row r="19" spans="1:16" x14ac:dyDescent="0.25">
      <c r="A19" s="2">
        <v>14</v>
      </c>
      <c r="B19" s="2">
        <v>716.823139384039</v>
      </c>
      <c r="C19" s="2">
        <v>0.15854437130639501</v>
      </c>
      <c r="D19" s="3">
        <f t="shared" si="0"/>
        <v>830.47141335555784</v>
      </c>
      <c r="E19" s="3">
        <f t="shared" si="1"/>
        <v>0.14716436480975148</v>
      </c>
      <c r="F19" s="3">
        <f t="shared" si="2"/>
        <v>0.14232855303532915</v>
      </c>
      <c r="G19" s="3"/>
      <c r="H19" s="8">
        <f t="shared" si="3"/>
        <v>830.47141335555784</v>
      </c>
      <c r="I19" s="7">
        <f t="shared" si="4"/>
        <v>0.14232855303532915</v>
      </c>
    </row>
    <row r="20" spans="1:16" x14ac:dyDescent="0.25">
      <c r="A20" s="2"/>
      <c r="B20" s="2"/>
      <c r="C20" s="2"/>
      <c r="D20" s="3"/>
      <c r="E20" s="3"/>
      <c r="F20" s="3"/>
      <c r="G20" s="3"/>
      <c r="H20" s="8"/>
      <c r="I20" s="7"/>
    </row>
    <row r="21" spans="1:16" x14ac:dyDescent="0.25">
      <c r="A21" s="2"/>
      <c r="B21" s="2"/>
      <c r="C21" s="2"/>
      <c r="D21" s="3"/>
      <c r="E21" s="3"/>
      <c r="F21" s="3"/>
      <c r="G21" s="3"/>
      <c r="H21" s="8"/>
      <c r="I21" s="7"/>
      <c r="O21" s="13"/>
      <c r="P21" s="14"/>
    </row>
    <row r="22" spans="1:16" x14ac:dyDescent="0.25">
      <c r="A22" s="2"/>
      <c r="B22" s="2"/>
      <c r="C22" s="2"/>
      <c r="D22" s="3"/>
      <c r="E22" s="3"/>
      <c r="F22" s="3"/>
      <c r="G22" s="3"/>
      <c r="H22" s="8"/>
      <c r="I22" s="7"/>
      <c r="L22" s="13"/>
      <c r="M22" s="14"/>
      <c r="O22" s="13"/>
      <c r="P22" s="14"/>
    </row>
    <row r="23" spans="1:16" x14ac:dyDescent="0.25">
      <c r="A23" s="2"/>
      <c r="B23" s="2"/>
      <c r="C23" s="2"/>
      <c r="D23" s="3"/>
      <c r="E23" s="3"/>
      <c r="F23" s="3"/>
      <c r="G23" s="3"/>
      <c r="H23" s="8"/>
      <c r="I23" s="7"/>
      <c r="L23" s="13"/>
      <c r="M23" s="14"/>
      <c r="O23" s="13"/>
      <c r="P23" s="14"/>
    </row>
    <row r="24" spans="1:16" x14ac:dyDescent="0.25">
      <c r="A24" s="2"/>
      <c r="B24" s="2"/>
      <c r="C24" s="2"/>
      <c r="D24" s="3"/>
      <c r="E24" s="3"/>
      <c r="F24" s="3"/>
      <c r="G24" s="3"/>
      <c r="H24" s="8"/>
      <c r="I24" s="7"/>
      <c r="L24" s="13"/>
      <c r="M24" s="14"/>
      <c r="O24" s="13"/>
      <c r="P24" s="14"/>
    </row>
    <row r="25" spans="1:16" x14ac:dyDescent="0.25">
      <c r="A25" s="2"/>
      <c r="B25" s="2"/>
      <c r="C25" s="2"/>
      <c r="D25" s="3"/>
      <c r="E25" s="3"/>
      <c r="F25" s="3"/>
      <c r="G25" s="3"/>
      <c r="H25" s="8"/>
      <c r="I25" s="7"/>
      <c r="L25" s="13"/>
      <c r="M25" s="14"/>
    </row>
    <row r="26" spans="1:16" x14ac:dyDescent="0.25">
      <c r="A26" s="2"/>
      <c r="B26" s="2"/>
      <c r="C26" s="2"/>
      <c r="D26" s="3"/>
      <c r="E26" s="3"/>
      <c r="F26" s="3"/>
      <c r="G26" s="3"/>
      <c r="H26" s="8"/>
      <c r="I26" s="7"/>
      <c r="L26" s="13"/>
      <c r="M26" s="14"/>
    </row>
    <row r="27" spans="1:16" x14ac:dyDescent="0.25">
      <c r="A27" s="2"/>
      <c r="B27" s="2"/>
      <c r="C27" s="2"/>
      <c r="D27" s="3"/>
      <c r="E27" s="3"/>
      <c r="F27" s="3"/>
      <c r="G27" s="3"/>
      <c r="H27" s="8"/>
      <c r="I27" s="7"/>
      <c r="L27" s="13"/>
      <c r="M27" s="14"/>
    </row>
    <row r="28" spans="1:16" x14ac:dyDescent="0.25">
      <c r="A28" s="2"/>
      <c r="B28" s="2"/>
      <c r="C28" s="2"/>
      <c r="D28" s="3"/>
      <c r="E28" s="3"/>
      <c r="F28" s="3"/>
      <c r="G28" s="3"/>
      <c r="H28" s="8"/>
      <c r="I28" s="7"/>
      <c r="L28" s="13"/>
      <c r="M28" s="14"/>
    </row>
    <row r="29" spans="1:16" x14ac:dyDescent="0.25">
      <c r="A29" s="2"/>
      <c r="B29" s="2"/>
      <c r="C29" s="2"/>
      <c r="D29" s="3"/>
      <c r="E29" s="3"/>
      <c r="F29" s="3"/>
      <c r="G29" s="3"/>
      <c r="H29" s="8"/>
      <c r="I29" s="7"/>
      <c r="L29" s="13"/>
      <c r="M29" s="14"/>
    </row>
    <row r="30" spans="1:16" x14ac:dyDescent="0.25">
      <c r="A30" s="2"/>
      <c r="B30" s="2"/>
      <c r="C30" s="2"/>
      <c r="D30" s="3"/>
      <c r="E30" s="3"/>
      <c r="F30" s="3"/>
      <c r="G30" s="3"/>
      <c r="H30" s="8"/>
      <c r="I30" s="7"/>
      <c r="L30" s="13"/>
      <c r="M30" s="14"/>
    </row>
    <row r="31" spans="1:16" x14ac:dyDescent="0.25">
      <c r="A31" s="2"/>
      <c r="B31" s="2"/>
      <c r="C31" s="2"/>
      <c r="D31" s="3"/>
      <c r="E31" s="3"/>
      <c r="F31" s="3"/>
      <c r="G31" s="3"/>
      <c r="H31" s="8"/>
      <c r="I31" s="7"/>
      <c r="L31" s="13"/>
      <c r="M31" s="14"/>
    </row>
    <row r="32" spans="1:16" x14ac:dyDescent="0.25">
      <c r="A32" s="2"/>
      <c r="B32" s="2"/>
      <c r="C32" s="2"/>
      <c r="D32" s="3"/>
      <c r="E32" s="3"/>
      <c r="F32" s="3"/>
      <c r="G32" s="3"/>
      <c r="H32" s="4"/>
      <c r="I32" s="4"/>
      <c r="L32" s="13"/>
      <c r="M32" s="14"/>
    </row>
    <row r="33" spans="1:13" x14ac:dyDescent="0.25">
      <c r="A33" s="2"/>
      <c r="B33" s="2"/>
      <c r="C33" s="2"/>
      <c r="D33" s="3"/>
      <c r="E33" s="3"/>
      <c r="F33" s="3"/>
      <c r="G33" s="3"/>
      <c r="H33" s="4"/>
      <c r="I33" s="4"/>
      <c r="L33" s="13"/>
      <c r="M33" s="14"/>
    </row>
    <row r="34" spans="1:13" x14ac:dyDescent="0.25">
      <c r="A34" s="2"/>
      <c r="B34" s="2"/>
      <c r="C34" s="2"/>
      <c r="D34" s="3"/>
      <c r="E34" s="3"/>
      <c r="F34" s="3"/>
      <c r="G34" s="3"/>
      <c r="H34" s="4"/>
      <c r="I34" s="4"/>
      <c r="L34" s="13"/>
      <c r="M34" s="14"/>
    </row>
    <row r="35" spans="1:13" x14ac:dyDescent="0.25">
      <c r="A35" s="2"/>
      <c r="B35" s="2"/>
      <c r="C35" s="2"/>
      <c r="D35" s="3"/>
      <c r="E35" s="3"/>
      <c r="F35" s="3"/>
      <c r="G35" s="3"/>
      <c r="H35" s="4"/>
      <c r="I35" s="4"/>
      <c r="L35" s="13"/>
      <c r="M35" s="14"/>
    </row>
    <row r="36" spans="1:13" x14ac:dyDescent="0.25">
      <c r="A36" s="2"/>
      <c r="B36" s="2"/>
      <c r="C36" s="2"/>
      <c r="D36" s="3"/>
      <c r="E36" s="3"/>
      <c r="F36" s="3"/>
      <c r="G36" s="3"/>
      <c r="H36" s="4"/>
      <c r="I36" s="4"/>
    </row>
    <row r="37" spans="1:13" x14ac:dyDescent="0.25">
      <c r="A37" s="2"/>
      <c r="B37" s="2"/>
      <c r="C37" s="2"/>
      <c r="D37" s="3"/>
      <c r="E37" s="3"/>
      <c r="F37" s="3"/>
      <c r="G37" s="3"/>
      <c r="H37" s="4"/>
      <c r="I37" s="4"/>
    </row>
    <row r="38" spans="1:13" x14ac:dyDescent="0.25">
      <c r="A38" s="2"/>
      <c r="B38" s="2"/>
      <c r="C38" s="2"/>
      <c r="D38" s="3"/>
      <c r="E38" s="3"/>
      <c r="F38" s="3"/>
      <c r="G38" s="3"/>
      <c r="H38" s="3"/>
      <c r="I38" s="3"/>
    </row>
    <row r="39" spans="1:13" x14ac:dyDescent="0.25">
      <c r="A39" s="2"/>
      <c r="B39" s="2"/>
      <c r="C39" s="2"/>
      <c r="D39" s="3"/>
      <c r="E39" s="3"/>
      <c r="F39" s="3"/>
      <c r="G39" s="3"/>
      <c r="H39" s="4"/>
      <c r="I39" s="4"/>
    </row>
    <row r="40" spans="1:13" x14ac:dyDescent="0.25">
      <c r="A40" s="2"/>
      <c r="B40" s="2"/>
      <c r="C40" s="2"/>
      <c r="D40" s="3"/>
      <c r="E40" s="3"/>
      <c r="F40" s="3"/>
      <c r="G40" s="3"/>
      <c r="H40" s="4"/>
      <c r="I40" s="4"/>
    </row>
    <row r="41" spans="1:13" x14ac:dyDescent="0.25">
      <c r="A41" s="2"/>
      <c r="B41" s="2"/>
      <c r="C41" s="2"/>
      <c r="D41" s="3"/>
      <c r="E41" s="3"/>
      <c r="F41" s="3"/>
      <c r="G41" s="3"/>
      <c r="H41" s="4"/>
      <c r="I41" s="4"/>
    </row>
    <row r="42" spans="1:13" x14ac:dyDescent="0.25">
      <c r="A42" s="2"/>
      <c r="B42" s="2"/>
      <c r="C42" s="2"/>
      <c r="D42" s="3"/>
      <c r="E42" s="3"/>
      <c r="F42" s="3"/>
      <c r="G42" s="3"/>
      <c r="H42" s="4"/>
      <c r="I42" s="4"/>
    </row>
    <row r="43" spans="1:13" x14ac:dyDescent="0.25">
      <c r="A43" s="2"/>
      <c r="B43" s="2"/>
      <c r="C43" s="2"/>
      <c r="D43" s="3"/>
      <c r="E43" s="3"/>
      <c r="F43" s="3"/>
      <c r="G43" s="3"/>
      <c r="H43" s="4"/>
      <c r="I43" s="4"/>
    </row>
    <row r="44" spans="1:13" x14ac:dyDescent="0.25">
      <c r="A44" s="2"/>
      <c r="B44" s="2"/>
      <c r="C44" s="2"/>
      <c r="D44" s="3"/>
      <c r="E44" s="3"/>
      <c r="F44" s="3"/>
      <c r="G44" s="3"/>
      <c r="H44" s="4"/>
      <c r="I44" s="4"/>
    </row>
    <row r="45" spans="1:13" x14ac:dyDescent="0.25">
      <c r="A45" s="2"/>
      <c r="B45" s="2"/>
      <c r="C45" s="2"/>
      <c r="D45" s="3"/>
      <c r="E45" s="3"/>
      <c r="F45" s="3"/>
      <c r="G45" s="3"/>
      <c r="H45" s="4"/>
      <c r="I45" s="4"/>
    </row>
    <row r="46" spans="1:13" x14ac:dyDescent="0.25">
      <c r="A46" s="2"/>
      <c r="B46" s="2"/>
      <c r="C46" s="2"/>
      <c r="D46" s="3"/>
      <c r="E46" s="3"/>
      <c r="F46" s="3"/>
      <c r="G46" s="3"/>
      <c r="H46" s="4"/>
      <c r="I46" s="4"/>
    </row>
    <row r="47" spans="1:13" x14ac:dyDescent="0.25">
      <c r="A47" s="2"/>
      <c r="B47" s="2"/>
      <c r="C47" s="2"/>
      <c r="D47" s="3"/>
      <c r="E47" s="3"/>
      <c r="F47" s="3"/>
      <c r="G47" s="3"/>
      <c r="H47" s="4"/>
      <c r="I47" s="4"/>
    </row>
    <row r="48" spans="1:13" x14ac:dyDescent="0.25">
      <c r="A48" s="2"/>
      <c r="B48" s="2"/>
      <c r="C48" s="2"/>
      <c r="D48" s="3"/>
      <c r="E48" s="3"/>
      <c r="F48" s="3"/>
      <c r="G48" s="3"/>
      <c r="H48" s="4"/>
      <c r="I48" s="4"/>
    </row>
    <row r="49" spans="1:9" x14ac:dyDescent="0.25">
      <c r="A49" s="2"/>
      <c r="B49" s="2"/>
      <c r="C49" s="2"/>
      <c r="D49" s="3"/>
      <c r="E49" s="3"/>
      <c r="F49" s="3"/>
      <c r="G49" s="3"/>
      <c r="H49" s="4"/>
      <c r="I49" s="4"/>
    </row>
    <row r="50" spans="1:9" x14ac:dyDescent="0.25">
      <c r="A50" s="2"/>
      <c r="B50" s="2"/>
      <c r="C50" s="2"/>
      <c r="D50" s="3"/>
      <c r="E50" s="3"/>
      <c r="F50" s="3"/>
      <c r="G50" s="3"/>
      <c r="H50" s="4"/>
      <c r="I50" s="4"/>
    </row>
    <row r="51" spans="1:9" x14ac:dyDescent="0.25">
      <c r="A51" s="2"/>
      <c r="B51" s="2"/>
      <c r="C51" s="2"/>
      <c r="D51" s="3"/>
      <c r="E51" s="3"/>
      <c r="F51" s="3"/>
      <c r="G51" s="3"/>
      <c r="H51" s="4"/>
      <c r="I51" s="4"/>
    </row>
    <row r="52" spans="1:9" x14ac:dyDescent="0.25">
      <c r="A52" s="2"/>
      <c r="B52" s="2"/>
      <c r="C52" s="2"/>
      <c r="D52" s="3"/>
      <c r="E52" s="3"/>
      <c r="F52" s="3"/>
      <c r="G52" s="3"/>
      <c r="H52" s="4"/>
      <c r="I52" s="4"/>
    </row>
    <row r="53" spans="1:9" x14ac:dyDescent="0.25">
      <c r="A53" s="2"/>
      <c r="B53" s="2"/>
      <c r="C53" s="2"/>
      <c r="D53" s="3"/>
      <c r="E53" s="3"/>
      <c r="F53" s="3"/>
      <c r="G53" s="3"/>
      <c r="H53" s="4"/>
      <c r="I53" s="4"/>
    </row>
    <row r="54" spans="1:9" x14ac:dyDescent="0.25">
      <c r="A54" s="2"/>
      <c r="B54" s="2"/>
      <c r="C54" s="2"/>
      <c r="D54" s="3"/>
      <c r="E54" s="3"/>
      <c r="F54" s="3"/>
      <c r="G54" s="3"/>
      <c r="H54" s="4"/>
      <c r="I54" s="4"/>
    </row>
    <row r="55" spans="1:9" x14ac:dyDescent="0.25">
      <c r="A55" s="2"/>
      <c r="B55" s="2"/>
      <c r="C55" s="2"/>
      <c r="D55" s="3"/>
      <c r="E55" s="3"/>
      <c r="F55" s="3"/>
      <c r="G55" s="3"/>
      <c r="H55" s="4"/>
      <c r="I55" s="4"/>
    </row>
    <row r="56" spans="1:9" x14ac:dyDescent="0.25">
      <c r="A56" s="2"/>
      <c r="B56" s="2"/>
      <c r="C56" s="2"/>
      <c r="D56" s="3"/>
      <c r="E56" s="3"/>
      <c r="F56" s="3"/>
      <c r="G56" s="3"/>
      <c r="H56" s="4"/>
      <c r="I56" s="4"/>
    </row>
    <row r="57" spans="1:9" x14ac:dyDescent="0.25">
      <c r="A57" s="2"/>
      <c r="B57" s="2"/>
      <c r="C57" s="2"/>
      <c r="D57" s="3"/>
      <c r="E57" s="3"/>
      <c r="F57" s="3"/>
      <c r="G57" s="3"/>
      <c r="H57" s="4"/>
      <c r="I57" s="4"/>
    </row>
    <row r="58" spans="1:9" x14ac:dyDescent="0.25">
      <c r="A58" s="2"/>
      <c r="B58" s="2"/>
      <c r="C58" s="2"/>
      <c r="D58" s="3"/>
      <c r="E58" s="3"/>
      <c r="F58" s="3"/>
      <c r="G58" s="3"/>
      <c r="H58" s="4"/>
      <c r="I58" s="4"/>
    </row>
    <row r="59" spans="1:9" x14ac:dyDescent="0.25">
      <c r="A59" s="2"/>
      <c r="B59" s="2"/>
      <c r="C59" s="2"/>
      <c r="D59" s="3"/>
      <c r="E59" s="3"/>
      <c r="F59" s="3"/>
      <c r="G59" s="3"/>
      <c r="H59" s="4"/>
      <c r="I59" s="4"/>
    </row>
    <row r="60" spans="1:9" x14ac:dyDescent="0.25">
      <c r="A60" s="2"/>
      <c r="B60" s="2"/>
      <c r="C60" s="2"/>
      <c r="D60" s="3"/>
      <c r="E60" s="3"/>
      <c r="F60" s="3"/>
      <c r="G60" s="3"/>
      <c r="H60" s="4"/>
      <c r="I60" s="4"/>
    </row>
    <row r="61" spans="1:9" x14ac:dyDescent="0.25">
      <c r="A61" s="2"/>
      <c r="B61" s="2"/>
      <c r="C61" s="2"/>
      <c r="D61" s="3"/>
      <c r="E61" s="3"/>
      <c r="F61" s="3"/>
      <c r="G61" s="3"/>
      <c r="H61" s="4"/>
      <c r="I61" s="4"/>
    </row>
    <row r="62" spans="1:9" x14ac:dyDescent="0.25">
      <c r="A62" s="2"/>
      <c r="B62" s="2"/>
      <c r="C62" s="2"/>
      <c r="D62" s="3"/>
      <c r="E62" s="3"/>
      <c r="F62" s="3"/>
      <c r="G62" s="3"/>
      <c r="H62" s="4"/>
      <c r="I62" s="4"/>
    </row>
    <row r="63" spans="1:9" x14ac:dyDescent="0.25">
      <c r="A63" s="2"/>
      <c r="B63" s="2"/>
      <c r="C63" s="2"/>
      <c r="D63" s="3"/>
      <c r="E63" s="3"/>
      <c r="F63" s="3"/>
      <c r="G63" s="3"/>
      <c r="H63" s="4"/>
      <c r="I63" s="4"/>
    </row>
    <row r="64" spans="1:9" x14ac:dyDescent="0.25">
      <c r="A64" s="2"/>
      <c r="B64" s="2"/>
      <c r="C64" s="2"/>
      <c r="D64" s="3"/>
      <c r="E64" s="3"/>
      <c r="F64" s="3"/>
      <c r="G64" s="3"/>
      <c r="H64" s="4"/>
      <c r="I64" s="4"/>
    </row>
    <row r="65" spans="1:9" x14ac:dyDescent="0.25">
      <c r="A65" s="2"/>
      <c r="B65" s="2"/>
      <c r="C65" s="2"/>
      <c r="D65" s="3"/>
      <c r="E65" s="3"/>
      <c r="F65" s="3"/>
      <c r="G65" s="3"/>
      <c r="H65" s="4"/>
      <c r="I65" s="4"/>
    </row>
    <row r="66" spans="1:9" x14ac:dyDescent="0.25">
      <c r="A66" s="2"/>
      <c r="B66" s="2"/>
      <c r="C66" s="2"/>
      <c r="D66" s="3"/>
      <c r="E66" s="3"/>
      <c r="F66" s="3"/>
      <c r="G66" s="3"/>
      <c r="H66" s="4"/>
      <c r="I66" s="4"/>
    </row>
    <row r="67" spans="1:9" x14ac:dyDescent="0.25">
      <c r="A67" s="2"/>
      <c r="B67" s="2"/>
      <c r="C67" s="2"/>
      <c r="D67" s="3"/>
      <c r="E67" s="3"/>
      <c r="F67" s="3"/>
      <c r="G67" s="3"/>
      <c r="H67" s="4"/>
      <c r="I67" s="4"/>
    </row>
    <row r="68" spans="1:9" x14ac:dyDescent="0.25">
      <c r="A68" s="2"/>
      <c r="B68" s="2"/>
      <c r="C68" s="2"/>
      <c r="D68" s="3"/>
      <c r="E68" s="3"/>
      <c r="F68" s="3"/>
      <c r="G68" s="3"/>
      <c r="H68" s="4"/>
      <c r="I68" s="4"/>
    </row>
    <row r="69" spans="1:9" x14ac:dyDescent="0.25">
      <c r="A69" s="2"/>
      <c r="B69" s="2"/>
      <c r="C69" s="2"/>
      <c r="D69" s="3"/>
      <c r="E69" s="3"/>
      <c r="F69" s="3"/>
      <c r="G69" s="3"/>
      <c r="H69" s="4"/>
      <c r="I69" s="4"/>
    </row>
    <row r="70" spans="1:9" x14ac:dyDescent="0.25">
      <c r="A70" s="2"/>
      <c r="B70" s="2"/>
      <c r="C70" s="2"/>
      <c r="D70" s="3"/>
      <c r="E70" s="3"/>
      <c r="F70" s="3"/>
      <c r="G70" s="3"/>
      <c r="H70" s="4"/>
      <c r="I70" s="4"/>
    </row>
    <row r="71" spans="1:9" x14ac:dyDescent="0.25">
      <c r="A71" s="2"/>
      <c r="B71" s="2"/>
      <c r="C71" s="2"/>
      <c r="D71" s="3"/>
      <c r="E71" s="3"/>
      <c r="F71" s="3"/>
      <c r="G71" s="3"/>
      <c r="H71" s="4"/>
      <c r="I71" s="4"/>
    </row>
    <row r="72" spans="1:9" x14ac:dyDescent="0.25">
      <c r="A72" s="2"/>
      <c r="B72" s="2"/>
      <c r="C72" s="2"/>
      <c r="D72" s="3"/>
      <c r="E72" s="3"/>
      <c r="F72" s="3"/>
      <c r="G72" s="3"/>
      <c r="H72" s="4"/>
      <c r="I72" s="4"/>
    </row>
    <row r="73" spans="1:9" x14ac:dyDescent="0.25">
      <c r="A73" s="2"/>
      <c r="B73" s="2"/>
      <c r="C73" s="2"/>
      <c r="D73" s="3"/>
      <c r="E73" s="3"/>
      <c r="F73" s="3"/>
      <c r="G73" s="3"/>
      <c r="H73" s="4"/>
      <c r="I73" s="4"/>
    </row>
    <row r="74" spans="1:9" x14ac:dyDescent="0.25">
      <c r="A74" s="2"/>
      <c r="B74" s="2"/>
      <c r="C74" s="2"/>
      <c r="D74" s="3"/>
      <c r="E74" s="3"/>
      <c r="F74" s="3"/>
      <c r="G74" s="3"/>
      <c r="H74" s="4"/>
      <c r="I74" s="4"/>
    </row>
    <row r="75" spans="1:9" x14ac:dyDescent="0.25">
      <c r="A75" s="2"/>
      <c r="B75" s="2"/>
      <c r="C75" s="2"/>
      <c r="D75" s="3"/>
      <c r="E75" s="3"/>
      <c r="F75" s="3"/>
      <c r="G75" s="3"/>
      <c r="H75" s="4"/>
      <c r="I75" s="4"/>
    </row>
    <row r="76" spans="1:9" x14ac:dyDescent="0.25">
      <c r="A76" s="2"/>
      <c r="B76" s="2"/>
      <c r="C76" s="2"/>
      <c r="D76" s="3"/>
      <c r="E76" s="3"/>
      <c r="F76" s="3"/>
      <c r="G76" s="3"/>
      <c r="H76" s="4"/>
      <c r="I76" s="4"/>
    </row>
    <row r="77" spans="1:9" x14ac:dyDescent="0.25">
      <c r="A77" s="2"/>
      <c r="B77" s="2"/>
      <c r="C77" s="2"/>
      <c r="D77" s="3"/>
      <c r="E77" s="3"/>
      <c r="F77" s="3"/>
      <c r="G77" s="3"/>
      <c r="H77" s="4"/>
      <c r="I77" s="4"/>
    </row>
    <row r="78" spans="1:9" x14ac:dyDescent="0.25">
      <c r="A78" s="2"/>
      <c r="B78" s="2"/>
      <c r="C78" s="2"/>
      <c r="D78" s="3"/>
      <c r="E78" s="3"/>
      <c r="F78" s="3"/>
      <c r="G78" s="3"/>
      <c r="H78" s="4"/>
      <c r="I78" s="4"/>
    </row>
    <row r="79" spans="1:9" x14ac:dyDescent="0.25">
      <c r="A79" s="2"/>
      <c r="B79" s="2"/>
      <c r="C79" s="2"/>
      <c r="D79" s="3"/>
      <c r="E79" s="3"/>
      <c r="F79" s="3"/>
      <c r="G79" s="3"/>
      <c r="H79" s="4"/>
      <c r="I79" s="4"/>
    </row>
    <row r="80" spans="1:9" x14ac:dyDescent="0.25">
      <c r="A80" s="2"/>
      <c r="B80" s="2"/>
      <c r="C80" s="2"/>
      <c r="D80" s="3"/>
      <c r="E80" s="3"/>
      <c r="F80" s="3"/>
      <c r="G80" s="3"/>
      <c r="H80" s="4"/>
      <c r="I80" s="4"/>
    </row>
    <row r="81" spans="1:9" x14ac:dyDescent="0.25">
      <c r="A81" s="2"/>
      <c r="B81" s="2"/>
      <c r="C81" s="2"/>
      <c r="D81" s="3"/>
      <c r="E81" s="3"/>
      <c r="F81" s="3"/>
      <c r="G81" s="3"/>
      <c r="H81" s="4"/>
      <c r="I81" s="4"/>
    </row>
    <row r="82" spans="1:9" x14ac:dyDescent="0.25">
      <c r="A82" s="2"/>
      <c r="B82" s="2"/>
      <c r="C82" s="2"/>
      <c r="D82" s="3"/>
      <c r="E82" s="3"/>
      <c r="F82" s="3"/>
      <c r="G82" s="3"/>
      <c r="H82" s="4"/>
      <c r="I82" s="4"/>
    </row>
    <row r="83" spans="1:9" x14ac:dyDescent="0.25">
      <c r="A83" s="2"/>
      <c r="B83" s="2"/>
      <c r="C83" s="2"/>
      <c r="D83" s="3"/>
      <c r="E83" s="3"/>
      <c r="F83" s="3"/>
      <c r="G83" s="3"/>
      <c r="H83" s="4"/>
      <c r="I83" s="4"/>
    </row>
    <row r="84" spans="1:9" x14ac:dyDescent="0.25">
      <c r="A84" s="2"/>
      <c r="B84" s="2"/>
      <c r="C84" s="2"/>
      <c r="D84" s="3"/>
      <c r="E84" s="3"/>
      <c r="F84" s="3"/>
      <c r="G84" s="3"/>
      <c r="H84" s="4"/>
      <c r="I84" s="4"/>
    </row>
    <row r="85" spans="1:9" x14ac:dyDescent="0.25">
      <c r="A85" s="2"/>
      <c r="B85" s="2"/>
      <c r="C85" s="2"/>
      <c r="D85" s="3"/>
      <c r="E85" s="3"/>
      <c r="F85" s="3"/>
      <c r="G85" s="3"/>
      <c r="H85" s="4"/>
      <c r="I85" s="4"/>
    </row>
    <row r="86" spans="1:9" x14ac:dyDescent="0.25">
      <c r="A86" s="2"/>
      <c r="B86" s="2"/>
      <c r="C86" s="2"/>
      <c r="D86" s="3"/>
      <c r="E86" s="3"/>
      <c r="F86" s="3"/>
      <c r="G86" s="3"/>
      <c r="H86" s="4"/>
      <c r="I86" s="4"/>
    </row>
    <row r="87" spans="1:9" x14ac:dyDescent="0.25">
      <c r="A87" s="2"/>
      <c r="B87" s="2"/>
      <c r="C87" s="2"/>
      <c r="D87" s="3"/>
      <c r="E87" s="3"/>
      <c r="F87" s="3"/>
      <c r="G87" s="3"/>
      <c r="H87" s="4"/>
      <c r="I87" s="4"/>
    </row>
    <row r="88" spans="1:9" x14ac:dyDescent="0.25">
      <c r="A88" s="2"/>
      <c r="B88" s="2"/>
      <c r="C88" s="2"/>
      <c r="D88" s="3"/>
      <c r="E88" s="3"/>
      <c r="F88" s="3"/>
      <c r="G88" s="3"/>
      <c r="H88" s="4"/>
      <c r="I88" s="4"/>
    </row>
    <row r="89" spans="1:9" x14ac:dyDescent="0.25">
      <c r="A89" s="2"/>
      <c r="B89" s="2"/>
      <c r="C89" s="2"/>
      <c r="D89" s="3"/>
      <c r="E89" s="3"/>
      <c r="F89" s="3"/>
      <c r="G89" s="3"/>
      <c r="H89" s="4"/>
      <c r="I89" s="4"/>
    </row>
    <row r="90" spans="1:9" x14ac:dyDescent="0.25">
      <c r="A90" s="2"/>
      <c r="B90" s="2"/>
      <c r="C90" s="2"/>
      <c r="D90" s="3"/>
      <c r="E90" s="3"/>
      <c r="F90" s="3"/>
      <c r="G90" s="3"/>
      <c r="H90" s="4"/>
      <c r="I90" s="4"/>
    </row>
    <row r="91" spans="1:9" x14ac:dyDescent="0.25">
      <c r="A91" s="2"/>
      <c r="B91" s="2"/>
      <c r="C91" s="2"/>
      <c r="D91" s="3"/>
      <c r="E91" s="3"/>
      <c r="F91" s="3"/>
      <c r="G91" s="3"/>
      <c r="H91" s="4"/>
      <c r="I91" s="4"/>
    </row>
    <row r="92" spans="1:9" x14ac:dyDescent="0.25">
      <c r="A92" s="2"/>
      <c r="B92" s="2"/>
      <c r="C92" s="2"/>
      <c r="D92" s="3"/>
      <c r="E92" s="3"/>
      <c r="F92" s="3"/>
      <c r="G92" s="3"/>
      <c r="H92" s="4"/>
      <c r="I92" s="4"/>
    </row>
    <row r="93" spans="1:9" x14ac:dyDescent="0.25">
      <c r="A93" s="2"/>
      <c r="B93" s="2"/>
      <c r="C93" s="2"/>
      <c r="D93" s="3"/>
      <c r="E93" s="3"/>
      <c r="F93" s="3"/>
      <c r="G93" s="3"/>
      <c r="H93" s="4"/>
      <c r="I93" s="4"/>
    </row>
    <row r="94" spans="1:9" x14ac:dyDescent="0.25">
      <c r="A94" s="2"/>
      <c r="B94" s="2"/>
      <c r="C94" s="2"/>
      <c r="D94" s="3"/>
      <c r="E94" s="3"/>
      <c r="F94" s="3"/>
      <c r="G94" s="3"/>
      <c r="H94" s="4"/>
      <c r="I94" s="4"/>
    </row>
    <row r="95" spans="1:9" x14ac:dyDescent="0.25">
      <c r="A95" s="2"/>
      <c r="B95" s="2"/>
      <c r="C95" s="2"/>
      <c r="D95" s="3"/>
      <c r="E95" s="3"/>
      <c r="F95" s="3"/>
      <c r="G95" s="3"/>
      <c r="H95" s="4"/>
      <c r="I95" s="4"/>
    </row>
    <row r="96" spans="1:9" x14ac:dyDescent="0.25">
      <c r="A96" s="2"/>
      <c r="B96" s="2"/>
      <c r="C96" s="2"/>
      <c r="D96" s="3"/>
      <c r="E96" s="3"/>
      <c r="F96" s="3"/>
      <c r="G96" s="3"/>
      <c r="H96" s="4"/>
      <c r="I96" s="4"/>
    </row>
    <row r="97" spans="1:9" x14ac:dyDescent="0.25">
      <c r="A97" s="2"/>
      <c r="B97" s="2"/>
      <c r="C97" s="2"/>
      <c r="D97" s="3"/>
      <c r="E97" s="3"/>
      <c r="F97" s="3"/>
      <c r="G97" s="3"/>
      <c r="H97" s="4"/>
      <c r="I97" s="4"/>
    </row>
    <row r="98" spans="1:9" x14ac:dyDescent="0.25">
      <c r="A98" s="2"/>
      <c r="B98" s="2"/>
      <c r="C98" s="2"/>
      <c r="D98" s="3"/>
      <c r="E98" s="3"/>
      <c r="F98" s="3"/>
      <c r="G98" s="3"/>
      <c r="H98" s="4"/>
      <c r="I98" s="4"/>
    </row>
    <row r="99" spans="1:9" x14ac:dyDescent="0.25">
      <c r="A99" s="2"/>
      <c r="B99" s="2"/>
      <c r="C99" s="2"/>
      <c r="D99" s="3"/>
      <c r="E99" s="3"/>
      <c r="F99" s="3"/>
      <c r="G99" s="3"/>
      <c r="H99" s="4"/>
      <c r="I99" s="4"/>
    </row>
    <row r="100" spans="1:9" x14ac:dyDescent="0.25">
      <c r="A100" s="2"/>
      <c r="B100" s="2"/>
      <c r="C100" s="2"/>
      <c r="D100" s="3"/>
      <c r="E100" s="3"/>
      <c r="F100" s="3"/>
      <c r="G100" s="3"/>
      <c r="H100" s="4"/>
      <c r="I100" s="4"/>
    </row>
    <row r="101" spans="1:9" x14ac:dyDescent="0.25">
      <c r="A101" s="2"/>
      <c r="B101" s="2"/>
      <c r="C101" s="2"/>
      <c r="D101" s="3"/>
      <c r="E101" s="3"/>
      <c r="F101" s="3"/>
      <c r="G101" s="3"/>
      <c r="H101" s="4"/>
      <c r="I101" s="4"/>
    </row>
    <row r="102" spans="1:9" x14ac:dyDescent="0.25">
      <c r="A102" s="2"/>
      <c r="B102" s="2"/>
      <c r="C102" s="2"/>
      <c r="D102" s="3"/>
      <c r="E102" s="3"/>
      <c r="F102" s="3"/>
      <c r="G102" s="3"/>
      <c r="H102" s="4"/>
      <c r="I102" s="4"/>
    </row>
    <row r="103" spans="1:9" x14ac:dyDescent="0.25">
      <c r="A103" s="2"/>
      <c r="B103" s="2"/>
      <c r="C103" s="2"/>
      <c r="D103" s="3"/>
      <c r="E103" s="3"/>
      <c r="F103" s="3"/>
      <c r="G103" s="3"/>
      <c r="H103" s="4"/>
      <c r="I103" s="4"/>
    </row>
    <row r="104" spans="1:9" x14ac:dyDescent="0.25">
      <c r="A104" s="2"/>
      <c r="B104" s="2"/>
      <c r="C104" s="2"/>
      <c r="D104" s="3"/>
      <c r="E104" s="3"/>
      <c r="F104" s="3"/>
      <c r="G104" s="3"/>
      <c r="H104" s="4"/>
      <c r="I104" s="4"/>
    </row>
    <row r="105" spans="1:9" x14ac:dyDescent="0.25">
      <c r="A105" s="2"/>
      <c r="B105" s="2"/>
      <c r="C105" s="2"/>
      <c r="D105" s="3"/>
      <c r="E105" s="3"/>
      <c r="F105" s="3"/>
      <c r="G105" s="3"/>
      <c r="H105" s="4"/>
      <c r="I105" s="4"/>
    </row>
    <row r="106" spans="1:9" x14ac:dyDescent="0.25">
      <c r="A106" s="2"/>
      <c r="B106" s="2"/>
      <c r="C106" s="2"/>
      <c r="D106" s="3"/>
      <c r="E106" s="3"/>
      <c r="F106" s="3"/>
      <c r="G106" s="3"/>
      <c r="H106" s="3"/>
      <c r="I106" s="3"/>
    </row>
    <row r="107" spans="1:9" x14ac:dyDescent="0.25">
      <c r="A107" s="2"/>
      <c r="B107" s="2"/>
      <c r="C107" s="2"/>
      <c r="D107" s="3"/>
      <c r="E107" s="3"/>
      <c r="F107" s="3"/>
      <c r="G107" s="3"/>
      <c r="H107" s="3"/>
      <c r="I107" s="3"/>
    </row>
    <row r="108" spans="1:9" x14ac:dyDescent="0.25">
      <c r="A108" s="2"/>
      <c r="B108" s="2"/>
      <c r="C108" s="2"/>
      <c r="D108" s="3"/>
      <c r="E108" s="3"/>
      <c r="F108" s="3"/>
      <c r="G108" s="3"/>
      <c r="H108" s="3"/>
      <c r="I108" s="3"/>
    </row>
    <row r="109" spans="1:9" x14ac:dyDescent="0.25">
      <c r="A109" s="2"/>
      <c r="B109" s="2"/>
      <c r="C109" s="2"/>
      <c r="D109" s="3"/>
      <c r="E109" s="3"/>
      <c r="F109" s="3"/>
      <c r="G109" s="3"/>
      <c r="H109" s="3"/>
      <c r="I109" s="3"/>
    </row>
    <row r="110" spans="1:9" x14ac:dyDescent="0.25">
      <c r="A110" s="2"/>
      <c r="B110" s="2"/>
      <c r="C110" s="2"/>
      <c r="D110" s="3"/>
      <c r="E110" s="3"/>
      <c r="F110" s="3"/>
      <c r="G110" s="3"/>
      <c r="H110" s="3"/>
      <c r="I110" s="3"/>
    </row>
    <row r="111" spans="1:9" x14ac:dyDescent="0.25">
      <c r="A111" s="2"/>
      <c r="B111" s="2"/>
      <c r="C111" s="2"/>
      <c r="D111" s="3"/>
      <c r="E111" s="3"/>
      <c r="F111" s="3"/>
      <c r="G111" s="3"/>
      <c r="H111" s="3"/>
      <c r="I111" s="3"/>
    </row>
    <row r="112" spans="1:9" x14ac:dyDescent="0.25">
      <c r="A112" s="2"/>
      <c r="B112" s="2"/>
      <c r="C112" s="2"/>
      <c r="D112" s="3"/>
      <c r="E112" s="3"/>
      <c r="F112" s="3"/>
      <c r="G112" s="3"/>
      <c r="H112" s="3"/>
      <c r="I112" s="3"/>
    </row>
    <row r="113" spans="1:9" x14ac:dyDescent="0.25">
      <c r="A113" s="2"/>
      <c r="B113" s="2"/>
      <c r="C113" s="2"/>
      <c r="D113" s="3"/>
      <c r="E113" s="3"/>
      <c r="F113" s="3"/>
      <c r="G113" s="3"/>
      <c r="H113" s="3"/>
      <c r="I113" s="3"/>
    </row>
    <row r="114" spans="1:9" x14ac:dyDescent="0.25">
      <c r="A114" s="2"/>
      <c r="B114" s="2"/>
      <c r="C114" s="2"/>
      <c r="D114" s="3"/>
      <c r="E114" s="3"/>
      <c r="F114" s="3"/>
      <c r="G114" s="3"/>
      <c r="H114" s="3"/>
      <c r="I114" s="3"/>
    </row>
    <row r="115" spans="1:9" x14ac:dyDescent="0.25">
      <c r="A115" s="2"/>
      <c r="B115" s="2"/>
      <c r="C115" s="2"/>
      <c r="D115" s="3"/>
      <c r="E115" s="3"/>
      <c r="F115" s="3"/>
      <c r="G115" s="3"/>
      <c r="H115" s="3"/>
      <c r="I115" s="3"/>
    </row>
    <row r="116" spans="1:9" x14ac:dyDescent="0.25">
      <c r="A116" s="2"/>
      <c r="B116" s="2"/>
      <c r="C116" s="2"/>
      <c r="D116" s="3"/>
      <c r="E116" s="3"/>
      <c r="F116" s="3"/>
      <c r="G116" s="3"/>
      <c r="H116" s="3"/>
      <c r="I116" s="3"/>
    </row>
    <row r="117" spans="1:9" x14ac:dyDescent="0.25">
      <c r="A117" s="2"/>
      <c r="B117" s="2"/>
      <c r="C117" s="2"/>
      <c r="D117" s="3"/>
      <c r="E117" s="3"/>
      <c r="F117" s="3"/>
      <c r="G117" s="3"/>
      <c r="H117" s="3"/>
      <c r="I117" s="3"/>
    </row>
    <row r="118" spans="1:9" x14ac:dyDescent="0.25">
      <c r="A118" s="2"/>
      <c r="B118" s="2"/>
      <c r="C118" s="2"/>
      <c r="D118" s="3"/>
      <c r="E118" s="3"/>
      <c r="F118" s="3"/>
      <c r="G118" s="3"/>
      <c r="H118" s="3"/>
      <c r="I118" s="3"/>
    </row>
    <row r="119" spans="1:9" x14ac:dyDescent="0.25">
      <c r="A119" s="2"/>
      <c r="B119" s="2"/>
      <c r="C119" s="2"/>
      <c r="D119" s="3"/>
      <c r="E119" s="3"/>
      <c r="F119" s="3"/>
      <c r="G119" s="3"/>
      <c r="H119" s="3"/>
      <c r="I119" s="3"/>
    </row>
    <row r="120" spans="1:9" x14ac:dyDescent="0.25">
      <c r="A120" s="2"/>
      <c r="B120" s="2"/>
      <c r="C120" s="2"/>
      <c r="D120" s="3"/>
      <c r="E120" s="3"/>
      <c r="F120" s="3"/>
      <c r="G120" s="3"/>
      <c r="H120" s="3"/>
      <c r="I120" s="3"/>
    </row>
  </sheetData>
  <mergeCells count="3">
    <mergeCell ref="A4:A5"/>
    <mergeCell ref="B4:C4"/>
    <mergeCell ref="D4:E4"/>
  </mergeCell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0FD5E-4FBD-433E-9314-8377CF680999}">
  <sheetPr codeName="Sheet4"/>
  <dimension ref="A1:B15"/>
  <sheetViews>
    <sheetView workbookViewId="0">
      <selection activeCell="V39" sqref="V39"/>
    </sheetView>
  </sheetViews>
  <sheetFormatPr defaultRowHeight="15" x14ac:dyDescent="0.25"/>
  <cols>
    <col min="1" max="2" width="12" bestFit="1" customWidth="1"/>
  </cols>
  <sheetData>
    <row r="1" spans="1:2" x14ac:dyDescent="0.25">
      <c r="A1" t="s">
        <v>16</v>
      </c>
      <c r="B1" t="s">
        <v>17</v>
      </c>
    </row>
    <row r="2" spans="1:2" x14ac:dyDescent="0.25">
      <c r="A2" s="15">
        <v>7.2070340667584794E-8</v>
      </c>
      <c r="B2">
        <v>0.35266420025956702</v>
      </c>
    </row>
    <row r="3" spans="1:2" x14ac:dyDescent="0.25">
      <c r="A3">
        <v>4.8475231826263796E-3</v>
      </c>
      <c r="B3">
        <v>694.61106039494496</v>
      </c>
    </row>
    <row r="4" spans="1:2" x14ac:dyDescent="0.25">
      <c r="A4">
        <v>1.16369816941335E-2</v>
      </c>
      <c r="B4">
        <v>696.76548311151601</v>
      </c>
    </row>
    <row r="5" spans="1:2" x14ac:dyDescent="0.25">
      <c r="A5">
        <v>1.9286960073031299E-2</v>
      </c>
      <c r="B5">
        <v>710.83553548263103</v>
      </c>
    </row>
    <row r="6" spans="1:2" x14ac:dyDescent="0.25">
      <c r="A6">
        <v>2.9160020179695399E-2</v>
      </c>
      <c r="B6">
        <v>722.120789890933</v>
      </c>
    </row>
    <row r="7" spans="1:2" x14ac:dyDescent="0.25">
      <c r="A7">
        <v>4.2489213472349102E-2</v>
      </c>
      <c r="B7">
        <v>735.534521693172</v>
      </c>
    </row>
    <row r="8" spans="1:2" x14ac:dyDescent="0.25">
      <c r="A8">
        <v>5.4091529332628799E-2</v>
      </c>
      <c r="B8">
        <v>744.03113438716196</v>
      </c>
    </row>
    <row r="9" spans="1:2" x14ac:dyDescent="0.25">
      <c r="A9">
        <v>6.7422452313458003E-2</v>
      </c>
      <c r="B9">
        <v>751.84067650026395</v>
      </c>
    </row>
    <row r="10" spans="1:2" x14ac:dyDescent="0.25">
      <c r="A10">
        <v>8.4210805746408504E-2</v>
      </c>
      <c r="B10">
        <v>757.57555374045103</v>
      </c>
    </row>
    <row r="11" spans="1:2" x14ac:dyDescent="0.25">
      <c r="A11">
        <v>0.102728631143996</v>
      </c>
      <c r="B11">
        <v>759.82126555518198</v>
      </c>
    </row>
    <row r="12" spans="1:2" x14ac:dyDescent="0.25">
      <c r="A12">
        <v>0.12174179599288899</v>
      </c>
      <c r="B12">
        <v>757.16715514342002</v>
      </c>
    </row>
    <row r="13" spans="1:2" x14ac:dyDescent="0.25">
      <c r="A13">
        <v>0.13729969249988</v>
      </c>
      <c r="B13">
        <v>749.582472493154</v>
      </c>
    </row>
    <row r="14" spans="1:2" x14ac:dyDescent="0.25">
      <c r="A14">
        <v>0.15212074184403901</v>
      </c>
      <c r="B14">
        <v>735.38259741507795</v>
      </c>
    </row>
    <row r="15" spans="1:2" x14ac:dyDescent="0.25">
      <c r="A15">
        <v>0.15854437130639501</v>
      </c>
      <c r="B15">
        <v>716.823139384039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Information</vt:lpstr>
      <vt:lpstr>Abaqus_input Q355</vt:lpstr>
      <vt:lpstr>Abaqus_input</vt:lpstr>
      <vt:lpstr>Abaqus_input Q460</vt:lpstr>
      <vt:lpstr>Abaqus_input Q690</vt:lpstr>
      <vt:lpstr>Abaqus_input V 5 345</vt:lpstr>
      <vt:lpstr>Abaqus_input V 5 235</vt:lpstr>
      <vt:lpstr>Abaqus_input V 2</vt:lpstr>
      <vt:lpstr>Abaqus_input V 1</vt:lpstr>
      <vt:lpstr>Validation 2</vt:lpstr>
      <vt:lpstr>Validation 1</vt:lpstr>
      <vt:lpstr>Validation 5</vt:lpstr>
      <vt:lpstr>parametric_law</vt:lpstr>
      <vt:lpstr>Validation 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Jeanne</dc:creator>
  <cp:lastModifiedBy>Kokou Evignon Attiogbe</cp:lastModifiedBy>
  <dcterms:created xsi:type="dcterms:W3CDTF">2019-07-11T12:55:06Z</dcterms:created>
  <dcterms:modified xsi:type="dcterms:W3CDTF">2026-09-03T04:34:58Z</dcterms:modified>
</cp:coreProperties>
</file>