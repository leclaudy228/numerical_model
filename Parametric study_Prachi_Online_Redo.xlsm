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HD_PRVER\MEMBERS\NUMERICAL WORK\PARAMETRIC STUDY\DESIGN\PRACHI\TOOLS\Two-decimal_based optimization\STEP1_Calibrate_Khi_G\"/>
    </mc:Choice>
  </mc:AlternateContent>
  <xr:revisionPtr revIDLastSave="0" documentId="13_ncr:1_{B4EB4FDE-2C6D-46AF-A5DD-09B7CC2FED1B}" xr6:coauthVersionLast="47" xr6:coauthVersionMax="47" xr10:uidLastSave="{00000000-0000-0000-0000-000000000000}"/>
  <bookViews>
    <workbookView xWindow="-110" yWindow="-110" windowWidth="25820" windowHeight="13900" tabRatio="598" xr2:uid="{00000000-000D-0000-FFFF-FFFF00000000}"/>
  </bookViews>
  <sheets>
    <sheet name="OIC-N-Prachi" sheetId="44" r:id="rId1"/>
    <sheet name="CONTROL_PANEL" sheetId="55" r:id="rId2"/>
  </sheets>
  <definedNames>
    <definedName name="_xlpm.alphaG" hidden="1" xlm="1">#NAME?</definedName>
    <definedName name="_xlpm.alphaL" hidden="1" xlm="1">#NAME?</definedName>
    <definedName name="_xlpm.phiG" hidden="1" xlm="1">#NAME?</definedName>
    <definedName name="_xlpm.phiL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" i="44" l="1"/>
  <c r="L18" i="44"/>
  <c r="L19" i="44"/>
  <c r="L20" i="44"/>
  <c r="L21" i="44"/>
  <c r="L36" i="44"/>
  <c r="L37" i="44"/>
  <c r="L38" i="44"/>
  <c r="L39" i="44"/>
  <c r="L40" i="44"/>
  <c r="L41" i="44"/>
  <c r="L42" i="44"/>
  <c r="L43" i="44"/>
  <c r="L44" i="44"/>
  <c r="L45" i="44"/>
  <c r="L60" i="44"/>
  <c r="L61" i="44"/>
  <c r="L62" i="44"/>
  <c r="L63" i="44"/>
  <c r="L65" i="44"/>
  <c r="L66" i="44"/>
  <c r="L67" i="44"/>
  <c r="L68" i="44"/>
  <c r="L69" i="44"/>
  <c r="L84" i="44"/>
  <c r="L85" i="44"/>
  <c r="L86" i="44"/>
  <c r="L87" i="44"/>
  <c r="L88" i="44"/>
  <c r="L89" i="44"/>
  <c r="L90" i="44"/>
  <c r="L91" i="44"/>
  <c r="L92" i="44"/>
  <c r="L93" i="44"/>
  <c r="L108" i="44"/>
  <c r="L109" i="44"/>
  <c r="L110" i="44"/>
  <c r="L111" i="44"/>
  <c r="L113" i="44"/>
  <c r="L114" i="44"/>
  <c r="L115" i="44"/>
  <c r="L116" i="44"/>
  <c r="L117" i="44"/>
  <c r="L132" i="44"/>
  <c r="L133" i="44"/>
  <c r="L134" i="44"/>
  <c r="L135" i="44"/>
  <c r="L136" i="44"/>
  <c r="L137" i="44"/>
  <c r="L138" i="44"/>
  <c r="L139" i="44"/>
  <c r="L140" i="44"/>
  <c r="L141" i="44"/>
  <c r="L156" i="44"/>
  <c r="L157" i="44"/>
  <c r="L158" i="44"/>
  <c r="L159" i="44"/>
  <c r="L161" i="44"/>
  <c r="L162" i="44"/>
  <c r="L163" i="44"/>
  <c r="L164" i="44"/>
  <c r="L165" i="44"/>
  <c r="L180" i="44"/>
  <c r="L181" i="44"/>
  <c r="L182" i="44"/>
  <c r="L183" i="44"/>
  <c r="L184" i="44"/>
  <c r="L185" i="44"/>
  <c r="L186" i="44"/>
  <c r="L187" i="44"/>
  <c r="L188" i="44"/>
  <c r="L189" i="44"/>
  <c r="L206" i="44"/>
  <c r="L207" i="44"/>
  <c r="L208" i="44"/>
  <c r="L209" i="44"/>
  <c r="L210" i="44"/>
  <c r="L211" i="44"/>
  <c r="L212" i="44"/>
  <c r="L213" i="44"/>
  <c r="L214" i="44"/>
  <c r="L215" i="44"/>
  <c r="L227" i="44"/>
  <c r="L228" i="44"/>
  <c r="L230" i="44"/>
  <c r="L231" i="44"/>
  <c r="L232" i="44"/>
  <c r="L233" i="44"/>
  <c r="L234" i="44"/>
  <c r="L235" i="44"/>
  <c r="L236" i="44"/>
  <c r="L237" i="44"/>
  <c r="L238" i="44"/>
  <c r="L239" i="44"/>
  <c r="L254" i="44"/>
  <c r="L255" i="44"/>
  <c r="L256" i="44"/>
  <c r="L257" i="44"/>
  <c r="L258" i="44"/>
  <c r="L259" i="44"/>
  <c r="L260" i="44"/>
  <c r="L261" i="44"/>
  <c r="L262" i="44"/>
  <c r="L263" i="44"/>
  <c r="L275" i="44"/>
  <c r="L276" i="44"/>
  <c r="L278" i="44"/>
  <c r="L279" i="44"/>
  <c r="L280" i="44"/>
  <c r="L281" i="44"/>
  <c r="L282" i="44"/>
  <c r="L283" i="44"/>
  <c r="L284" i="44"/>
  <c r="L285" i="44"/>
  <c r="L286" i="44"/>
  <c r="L287" i="44"/>
  <c r="L302" i="44"/>
  <c r="L303" i="44"/>
  <c r="L304" i="44"/>
  <c r="L305" i="44"/>
  <c r="L306" i="44"/>
  <c r="L307" i="44"/>
  <c r="L308" i="44"/>
  <c r="L309" i="44"/>
  <c r="L310" i="44"/>
  <c r="L311" i="44"/>
  <c r="L12" i="44"/>
  <c r="L13" i="44"/>
  <c r="L15" i="44"/>
  <c r="K5" i="44"/>
  <c r="K6" i="44"/>
  <c r="K7" i="44"/>
  <c r="K8" i="44"/>
  <c r="K9" i="44"/>
  <c r="K10" i="44"/>
  <c r="K11" i="44"/>
  <c r="K12" i="44"/>
  <c r="K13" i="44"/>
  <c r="K14" i="44"/>
  <c r="K15" i="44"/>
  <c r="K16" i="44"/>
  <c r="K17" i="44"/>
  <c r="K18" i="44"/>
  <c r="K19" i="44"/>
  <c r="K20" i="44"/>
  <c r="K21" i="44"/>
  <c r="K22" i="44"/>
  <c r="K23" i="44"/>
  <c r="K24" i="44"/>
  <c r="K25" i="44"/>
  <c r="K26" i="44"/>
  <c r="K27" i="44"/>
  <c r="L27" i="44" s="1"/>
  <c r="K28" i="44"/>
  <c r="K29" i="44"/>
  <c r="K30" i="44"/>
  <c r="K31" i="44"/>
  <c r="K32" i="44"/>
  <c r="K33" i="44"/>
  <c r="K34" i="44"/>
  <c r="K35" i="44"/>
  <c r="K36" i="44"/>
  <c r="K37" i="44"/>
  <c r="K38" i="44"/>
  <c r="K39" i="44"/>
  <c r="K40" i="44"/>
  <c r="K41" i="44"/>
  <c r="K42" i="44"/>
  <c r="K43" i="44"/>
  <c r="K44" i="44"/>
  <c r="K45" i="44"/>
  <c r="K46" i="44"/>
  <c r="K47" i="44"/>
  <c r="K48" i="44"/>
  <c r="K49" i="44"/>
  <c r="K50" i="44"/>
  <c r="K51" i="44"/>
  <c r="L51" i="44" s="1"/>
  <c r="K52" i="44"/>
  <c r="K53" i="44"/>
  <c r="K54" i="44"/>
  <c r="K55" i="44"/>
  <c r="K56" i="44"/>
  <c r="K57" i="44"/>
  <c r="K58" i="44"/>
  <c r="K59" i="44"/>
  <c r="K60" i="44"/>
  <c r="K61" i="44"/>
  <c r="K62" i="44"/>
  <c r="K63" i="44"/>
  <c r="K64" i="44"/>
  <c r="K65" i="44"/>
  <c r="K66" i="44"/>
  <c r="K67" i="44"/>
  <c r="K68" i="44"/>
  <c r="K69" i="44"/>
  <c r="K70" i="44"/>
  <c r="K71" i="44"/>
  <c r="K72" i="44"/>
  <c r="K73" i="44"/>
  <c r="K74" i="44"/>
  <c r="K75" i="44"/>
  <c r="L75" i="44" s="1"/>
  <c r="K76" i="44"/>
  <c r="K77" i="44"/>
  <c r="K78" i="44"/>
  <c r="K79" i="44"/>
  <c r="K80" i="44"/>
  <c r="K81" i="44"/>
  <c r="K82" i="44"/>
  <c r="K83" i="44"/>
  <c r="K84" i="44"/>
  <c r="K85" i="44"/>
  <c r="K86" i="44"/>
  <c r="K87" i="44"/>
  <c r="K88" i="44"/>
  <c r="K89" i="44"/>
  <c r="K90" i="44"/>
  <c r="K91" i="44"/>
  <c r="K92" i="44"/>
  <c r="K93" i="44"/>
  <c r="K94" i="44"/>
  <c r="K95" i="44"/>
  <c r="K96" i="44"/>
  <c r="K97" i="44"/>
  <c r="K98" i="44"/>
  <c r="K99" i="44"/>
  <c r="L99" i="44" s="1"/>
  <c r="K100" i="44"/>
  <c r="K101" i="44"/>
  <c r="K102" i="44"/>
  <c r="K103" i="44"/>
  <c r="K104" i="44"/>
  <c r="K105" i="44"/>
  <c r="K106" i="44"/>
  <c r="K107" i="44"/>
  <c r="K108" i="44"/>
  <c r="K109" i="44"/>
  <c r="K110" i="44"/>
  <c r="K111" i="44"/>
  <c r="K112" i="44"/>
  <c r="K113" i="44"/>
  <c r="K114" i="44"/>
  <c r="K115" i="44"/>
  <c r="K116" i="44"/>
  <c r="K117" i="44"/>
  <c r="K118" i="44"/>
  <c r="K119" i="44"/>
  <c r="K120" i="44"/>
  <c r="K121" i="44"/>
  <c r="K122" i="44"/>
  <c r="K123" i="44"/>
  <c r="L123" i="44" s="1"/>
  <c r="K124" i="44"/>
  <c r="K125" i="44"/>
  <c r="K126" i="44"/>
  <c r="K127" i="44"/>
  <c r="K128" i="44"/>
  <c r="K129" i="44"/>
  <c r="K130" i="44"/>
  <c r="K131" i="44"/>
  <c r="K132" i="44"/>
  <c r="K133" i="44"/>
  <c r="K134" i="44"/>
  <c r="K135" i="44"/>
  <c r="K136" i="44"/>
  <c r="K137" i="44"/>
  <c r="K138" i="44"/>
  <c r="K139" i="44"/>
  <c r="K140" i="44"/>
  <c r="K141" i="44"/>
  <c r="K142" i="44"/>
  <c r="K143" i="44"/>
  <c r="K144" i="44"/>
  <c r="K145" i="44"/>
  <c r="K146" i="44"/>
  <c r="K147" i="44"/>
  <c r="L147" i="44" s="1"/>
  <c r="K148" i="44"/>
  <c r="K149" i="44"/>
  <c r="K150" i="44"/>
  <c r="K151" i="44"/>
  <c r="K152" i="44"/>
  <c r="K153" i="44"/>
  <c r="K154" i="44"/>
  <c r="K155" i="44"/>
  <c r="K156" i="44"/>
  <c r="K157" i="44"/>
  <c r="K158" i="44"/>
  <c r="K159" i="44"/>
  <c r="K160" i="44"/>
  <c r="K161" i="44"/>
  <c r="K162" i="44"/>
  <c r="K163" i="44"/>
  <c r="K164" i="44"/>
  <c r="K165" i="44"/>
  <c r="K166" i="44"/>
  <c r="K167" i="44"/>
  <c r="K168" i="44"/>
  <c r="K169" i="44"/>
  <c r="K170" i="44"/>
  <c r="K171" i="44"/>
  <c r="L171" i="44" s="1"/>
  <c r="K172" i="44"/>
  <c r="K173" i="44"/>
  <c r="K174" i="44"/>
  <c r="K175" i="44"/>
  <c r="K176" i="44"/>
  <c r="K177" i="44"/>
  <c r="K178" i="44"/>
  <c r="K179" i="44"/>
  <c r="K180" i="44"/>
  <c r="K181" i="44"/>
  <c r="K182" i="44"/>
  <c r="K183" i="44"/>
  <c r="K184" i="44"/>
  <c r="K185" i="44"/>
  <c r="K186" i="44"/>
  <c r="K187" i="44"/>
  <c r="K188" i="44"/>
  <c r="K189" i="44"/>
  <c r="K190" i="44"/>
  <c r="K191" i="44"/>
  <c r="K192" i="44"/>
  <c r="K193" i="44"/>
  <c r="K194" i="44"/>
  <c r="K195" i="44"/>
  <c r="K196" i="44"/>
  <c r="K197" i="44"/>
  <c r="K198" i="44"/>
  <c r="K199" i="44"/>
  <c r="K200" i="44"/>
  <c r="K201" i="44"/>
  <c r="K202" i="44"/>
  <c r="K203" i="44"/>
  <c r="K204" i="44"/>
  <c r="K205" i="44"/>
  <c r="K206" i="44"/>
  <c r="K207" i="44"/>
  <c r="K208" i="44"/>
  <c r="K209" i="44"/>
  <c r="K210" i="44"/>
  <c r="K211" i="44"/>
  <c r="K212" i="44"/>
  <c r="K213" i="44"/>
  <c r="K214" i="44"/>
  <c r="K215" i="44"/>
  <c r="K216" i="44"/>
  <c r="K217" i="44"/>
  <c r="K218" i="44"/>
  <c r="K219" i="44"/>
  <c r="L219" i="44" s="1"/>
  <c r="K220" i="44"/>
  <c r="K221" i="44"/>
  <c r="K222" i="44"/>
  <c r="K223" i="44"/>
  <c r="K224" i="44"/>
  <c r="K225" i="44"/>
  <c r="K226" i="44"/>
  <c r="K227" i="44"/>
  <c r="K228" i="44"/>
  <c r="K229" i="44"/>
  <c r="K230" i="44"/>
  <c r="K231" i="44"/>
  <c r="K232" i="44"/>
  <c r="K233" i="44"/>
  <c r="K234" i="44"/>
  <c r="K235" i="44"/>
  <c r="K236" i="44"/>
  <c r="K237" i="44"/>
  <c r="K238" i="44"/>
  <c r="K239" i="44"/>
  <c r="K240" i="44"/>
  <c r="K241" i="44"/>
  <c r="K242" i="44"/>
  <c r="K243" i="44"/>
  <c r="L243" i="44" s="1"/>
  <c r="K244" i="44"/>
  <c r="K245" i="44"/>
  <c r="K246" i="44"/>
  <c r="K247" i="44"/>
  <c r="K248" i="44"/>
  <c r="K249" i="44"/>
  <c r="K250" i="44"/>
  <c r="K251" i="44"/>
  <c r="K252" i="44"/>
  <c r="K253" i="44"/>
  <c r="K254" i="44"/>
  <c r="K255" i="44"/>
  <c r="K256" i="44"/>
  <c r="K257" i="44"/>
  <c r="K258" i="44"/>
  <c r="K259" i="44"/>
  <c r="K260" i="44"/>
  <c r="K261" i="44"/>
  <c r="K262" i="44"/>
  <c r="K263" i="44"/>
  <c r="K264" i="44"/>
  <c r="K265" i="44"/>
  <c r="K266" i="44"/>
  <c r="K267" i="44"/>
  <c r="L267" i="44" s="1"/>
  <c r="K268" i="44"/>
  <c r="K269" i="44"/>
  <c r="K270" i="44"/>
  <c r="K271" i="44"/>
  <c r="K272" i="44"/>
  <c r="K273" i="44"/>
  <c r="K274" i="44"/>
  <c r="K275" i="44"/>
  <c r="K276" i="44"/>
  <c r="K277" i="44"/>
  <c r="K278" i="44"/>
  <c r="K279" i="44"/>
  <c r="K280" i="44"/>
  <c r="K281" i="44"/>
  <c r="K282" i="44"/>
  <c r="K283" i="44"/>
  <c r="K284" i="44"/>
  <c r="K285" i="44"/>
  <c r="K286" i="44"/>
  <c r="K287" i="44"/>
  <c r="K288" i="44"/>
  <c r="K289" i="44"/>
  <c r="K290" i="44"/>
  <c r="K291" i="44"/>
  <c r="L291" i="44" s="1"/>
  <c r="K292" i="44"/>
  <c r="K293" i="44"/>
  <c r="K294" i="44"/>
  <c r="K295" i="44"/>
  <c r="K296" i="44"/>
  <c r="K297" i="44"/>
  <c r="K298" i="44"/>
  <c r="K299" i="44"/>
  <c r="K300" i="44"/>
  <c r="K301" i="44"/>
  <c r="K302" i="44"/>
  <c r="K303" i="44"/>
  <c r="K304" i="44"/>
  <c r="K305" i="44"/>
  <c r="K306" i="44"/>
  <c r="K307" i="44"/>
  <c r="K308" i="44"/>
  <c r="K309" i="44"/>
  <c r="K310" i="44"/>
  <c r="K311" i="44"/>
  <c r="K312" i="44"/>
  <c r="K313" i="44"/>
  <c r="K314" i="44"/>
  <c r="K315" i="44"/>
  <c r="L315" i="44" s="1"/>
  <c r="J7" i="44"/>
  <c r="J8" i="44"/>
  <c r="L8" i="44" s="1"/>
  <c r="J9" i="44"/>
  <c r="L9" i="44" s="1"/>
  <c r="J10" i="44"/>
  <c r="L10" i="44" s="1"/>
  <c r="J11" i="44"/>
  <c r="L11" i="44" s="1"/>
  <c r="J12" i="44"/>
  <c r="J13" i="44"/>
  <c r="J14" i="44"/>
  <c r="L14" i="44" s="1"/>
  <c r="J15" i="44"/>
  <c r="J16" i="44"/>
  <c r="L16" i="44" s="1"/>
  <c r="J17" i="44"/>
  <c r="J18" i="44"/>
  <c r="J19" i="44"/>
  <c r="J20" i="44"/>
  <c r="J21" i="44"/>
  <c r="J22" i="44"/>
  <c r="L22" i="44" s="1"/>
  <c r="J23" i="44"/>
  <c r="L23" i="44" s="1"/>
  <c r="J24" i="44"/>
  <c r="L24" i="44" s="1"/>
  <c r="J25" i="44"/>
  <c r="J26" i="44"/>
  <c r="J27" i="44"/>
  <c r="J28" i="44"/>
  <c r="J29" i="44"/>
  <c r="J30" i="44"/>
  <c r="J31" i="44"/>
  <c r="J32" i="44"/>
  <c r="L32" i="44" s="1"/>
  <c r="J33" i="44"/>
  <c r="L33" i="44" s="1"/>
  <c r="J34" i="44"/>
  <c r="L34" i="44" s="1"/>
  <c r="J35" i="44"/>
  <c r="L35" i="44" s="1"/>
  <c r="J36" i="44"/>
  <c r="J37" i="44"/>
  <c r="J38" i="44"/>
  <c r="J39" i="44"/>
  <c r="J40" i="44"/>
  <c r="J41" i="44"/>
  <c r="J42" i="44"/>
  <c r="J43" i="44"/>
  <c r="J44" i="44"/>
  <c r="J45" i="44"/>
  <c r="J46" i="44"/>
  <c r="L46" i="44" s="1"/>
  <c r="J47" i="44"/>
  <c r="L47" i="44" s="1"/>
  <c r="J48" i="44"/>
  <c r="L48" i="44" s="1"/>
  <c r="J49" i="44"/>
  <c r="J50" i="44"/>
  <c r="J51" i="44"/>
  <c r="J52" i="44"/>
  <c r="J53" i="44"/>
  <c r="J54" i="44"/>
  <c r="J55" i="44"/>
  <c r="J56" i="44"/>
  <c r="L56" i="44" s="1"/>
  <c r="J57" i="44"/>
  <c r="L57" i="44" s="1"/>
  <c r="J58" i="44"/>
  <c r="L58" i="44" s="1"/>
  <c r="J59" i="44"/>
  <c r="L59" i="44" s="1"/>
  <c r="J60" i="44"/>
  <c r="J61" i="44"/>
  <c r="J62" i="44"/>
  <c r="J63" i="44"/>
  <c r="J64" i="44"/>
  <c r="L64" i="44" s="1"/>
  <c r="J65" i="44"/>
  <c r="J66" i="44"/>
  <c r="J67" i="44"/>
  <c r="J68" i="44"/>
  <c r="J69" i="44"/>
  <c r="J70" i="44"/>
  <c r="L70" i="44" s="1"/>
  <c r="J71" i="44"/>
  <c r="L71" i="44" s="1"/>
  <c r="J72" i="44"/>
  <c r="L72" i="44" s="1"/>
  <c r="J73" i="44"/>
  <c r="J74" i="44"/>
  <c r="J75" i="44"/>
  <c r="J76" i="44"/>
  <c r="J77" i="44"/>
  <c r="J78" i="44"/>
  <c r="J79" i="44"/>
  <c r="J80" i="44"/>
  <c r="L80" i="44" s="1"/>
  <c r="J81" i="44"/>
  <c r="L81" i="44" s="1"/>
  <c r="J82" i="44"/>
  <c r="L82" i="44" s="1"/>
  <c r="J83" i="44"/>
  <c r="L83" i="44" s="1"/>
  <c r="J84" i="44"/>
  <c r="J85" i="44"/>
  <c r="J86" i="44"/>
  <c r="J87" i="44"/>
  <c r="J88" i="44"/>
  <c r="J89" i="44"/>
  <c r="J90" i="44"/>
  <c r="J91" i="44"/>
  <c r="J92" i="44"/>
  <c r="J93" i="44"/>
  <c r="J94" i="44"/>
  <c r="L94" i="44" s="1"/>
  <c r="J95" i="44"/>
  <c r="L95" i="44" s="1"/>
  <c r="J96" i="44"/>
  <c r="L96" i="44" s="1"/>
  <c r="J97" i="44"/>
  <c r="J98" i="44"/>
  <c r="J99" i="44"/>
  <c r="J100" i="44"/>
  <c r="J101" i="44"/>
  <c r="J102" i="44"/>
  <c r="J103" i="44"/>
  <c r="J104" i="44"/>
  <c r="L104" i="44" s="1"/>
  <c r="J105" i="44"/>
  <c r="L105" i="44" s="1"/>
  <c r="J106" i="44"/>
  <c r="L106" i="44" s="1"/>
  <c r="J107" i="44"/>
  <c r="L107" i="44" s="1"/>
  <c r="J108" i="44"/>
  <c r="J109" i="44"/>
  <c r="J110" i="44"/>
  <c r="J111" i="44"/>
  <c r="J112" i="44"/>
  <c r="L112" i="44" s="1"/>
  <c r="J113" i="44"/>
  <c r="J114" i="44"/>
  <c r="J115" i="44"/>
  <c r="J116" i="44"/>
  <c r="J117" i="44"/>
  <c r="J118" i="44"/>
  <c r="L118" i="44" s="1"/>
  <c r="J119" i="44"/>
  <c r="L119" i="44" s="1"/>
  <c r="J120" i="44"/>
  <c r="L120" i="44" s="1"/>
  <c r="J121" i="44"/>
  <c r="J122" i="44"/>
  <c r="J123" i="44"/>
  <c r="J124" i="44"/>
  <c r="J125" i="44"/>
  <c r="J126" i="44"/>
  <c r="J127" i="44"/>
  <c r="J128" i="44"/>
  <c r="L128" i="44" s="1"/>
  <c r="J129" i="44"/>
  <c r="L129" i="44" s="1"/>
  <c r="J130" i="44"/>
  <c r="L130" i="44" s="1"/>
  <c r="J131" i="44"/>
  <c r="L131" i="44" s="1"/>
  <c r="J132" i="44"/>
  <c r="J133" i="44"/>
  <c r="J134" i="44"/>
  <c r="J135" i="44"/>
  <c r="J136" i="44"/>
  <c r="J137" i="44"/>
  <c r="J138" i="44"/>
  <c r="J139" i="44"/>
  <c r="J140" i="44"/>
  <c r="J141" i="44"/>
  <c r="J142" i="44"/>
  <c r="L142" i="44" s="1"/>
  <c r="J143" i="44"/>
  <c r="L143" i="44" s="1"/>
  <c r="J144" i="44"/>
  <c r="L144" i="44" s="1"/>
  <c r="J145" i="44"/>
  <c r="J146" i="44"/>
  <c r="J147" i="44"/>
  <c r="J148" i="44"/>
  <c r="J149" i="44"/>
  <c r="J150" i="44"/>
  <c r="J151" i="44"/>
  <c r="J152" i="44"/>
  <c r="L152" i="44" s="1"/>
  <c r="J153" i="44"/>
  <c r="L153" i="44" s="1"/>
  <c r="J154" i="44"/>
  <c r="L154" i="44" s="1"/>
  <c r="J155" i="44"/>
  <c r="L155" i="44" s="1"/>
  <c r="J156" i="44"/>
  <c r="J157" i="44"/>
  <c r="J158" i="44"/>
  <c r="J159" i="44"/>
  <c r="J160" i="44"/>
  <c r="L160" i="44" s="1"/>
  <c r="J161" i="44"/>
  <c r="J162" i="44"/>
  <c r="J163" i="44"/>
  <c r="J164" i="44"/>
  <c r="J165" i="44"/>
  <c r="J166" i="44"/>
  <c r="L166" i="44" s="1"/>
  <c r="J167" i="44"/>
  <c r="L167" i="44" s="1"/>
  <c r="J168" i="44"/>
  <c r="L168" i="44" s="1"/>
  <c r="J169" i="44"/>
  <c r="J170" i="44"/>
  <c r="J171" i="44"/>
  <c r="J172" i="44"/>
  <c r="J173" i="44"/>
  <c r="J174" i="44"/>
  <c r="J175" i="44"/>
  <c r="J176" i="44"/>
  <c r="L176" i="44" s="1"/>
  <c r="J177" i="44"/>
  <c r="L177" i="44" s="1"/>
  <c r="J178" i="44"/>
  <c r="L178" i="44" s="1"/>
  <c r="J179" i="44"/>
  <c r="L179" i="44" s="1"/>
  <c r="J180" i="44"/>
  <c r="J181" i="44"/>
  <c r="J182" i="44"/>
  <c r="J183" i="44"/>
  <c r="J184" i="44"/>
  <c r="J185" i="44"/>
  <c r="J186" i="44"/>
  <c r="J187" i="44"/>
  <c r="J188" i="44"/>
  <c r="J189" i="44"/>
  <c r="J190" i="44"/>
  <c r="L190" i="44" s="1"/>
  <c r="J191" i="44"/>
  <c r="L191" i="44" s="1"/>
  <c r="J192" i="44"/>
  <c r="L192" i="44" s="1"/>
  <c r="J193" i="44"/>
  <c r="J194" i="44"/>
  <c r="J195" i="44"/>
  <c r="J196" i="44"/>
  <c r="J197" i="44"/>
  <c r="J198" i="44"/>
  <c r="J199" i="44"/>
  <c r="J200" i="44"/>
  <c r="L200" i="44" s="1"/>
  <c r="J201" i="44"/>
  <c r="L201" i="44" s="1"/>
  <c r="J202" i="44"/>
  <c r="L202" i="44" s="1"/>
  <c r="J203" i="44"/>
  <c r="L203" i="44" s="1"/>
  <c r="J204" i="44"/>
  <c r="L204" i="44" s="1"/>
  <c r="J205" i="44"/>
  <c r="J206" i="44"/>
  <c r="J207" i="44"/>
  <c r="J208" i="44"/>
  <c r="J209" i="44"/>
  <c r="J210" i="44"/>
  <c r="J211" i="44"/>
  <c r="J212" i="44"/>
  <c r="J213" i="44"/>
  <c r="J214" i="44"/>
  <c r="J215" i="44"/>
  <c r="J216" i="44"/>
  <c r="L216" i="44" s="1"/>
  <c r="J217" i="44"/>
  <c r="J218" i="44"/>
  <c r="J219" i="44"/>
  <c r="J220" i="44"/>
  <c r="J221" i="44"/>
  <c r="J222" i="44"/>
  <c r="J223" i="44"/>
  <c r="J224" i="44"/>
  <c r="L224" i="44" s="1"/>
  <c r="J225" i="44"/>
  <c r="L225" i="44" s="1"/>
  <c r="J226" i="44"/>
  <c r="L226" i="44" s="1"/>
  <c r="J227" i="44"/>
  <c r="J228" i="44"/>
  <c r="J229" i="44"/>
  <c r="J230" i="44"/>
  <c r="J231" i="44"/>
  <c r="J232" i="44"/>
  <c r="J233" i="44"/>
  <c r="J234" i="44"/>
  <c r="J235" i="44"/>
  <c r="J236" i="44"/>
  <c r="J237" i="44"/>
  <c r="J238" i="44"/>
  <c r="J239" i="44"/>
  <c r="J240" i="44"/>
  <c r="L240" i="44" s="1"/>
  <c r="J241" i="44"/>
  <c r="J242" i="44"/>
  <c r="J243" i="44"/>
  <c r="J244" i="44"/>
  <c r="J245" i="44"/>
  <c r="J246" i="44"/>
  <c r="J247" i="44"/>
  <c r="J248" i="44"/>
  <c r="L248" i="44" s="1"/>
  <c r="J249" i="44"/>
  <c r="L249" i="44" s="1"/>
  <c r="J250" i="44"/>
  <c r="L250" i="44" s="1"/>
  <c r="J251" i="44"/>
  <c r="L251" i="44" s="1"/>
  <c r="J252" i="44"/>
  <c r="L252" i="44" s="1"/>
  <c r="J253" i="44"/>
  <c r="J254" i="44"/>
  <c r="J255" i="44"/>
  <c r="J256" i="44"/>
  <c r="J257" i="44"/>
  <c r="J258" i="44"/>
  <c r="J259" i="44"/>
  <c r="J260" i="44"/>
  <c r="J261" i="44"/>
  <c r="J262" i="44"/>
  <c r="J263" i="44"/>
  <c r="J264" i="44"/>
  <c r="L264" i="44" s="1"/>
  <c r="J265" i="44"/>
  <c r="J266" i="44"/>
  <c r="J267" i="44"/>
  <c r="J268" i="44"/>
  <c r="J269" i="44"/>
  <c r="J270" i="44"/>
  <c r="J271" i="44"/>
  <c r="J272" i="44"/>
  <c r="L272" i="44" s="1"/>
  <c r="J273" i="44"/>
  <c r="L273" i="44" s="1"/>
  <c r="J274" i="44"/>
  <c r="L274" i="44" s="1"/>
  <c r="J275" i="44"/>
  <c r="J276" i="44"/>
  <c r="J277" i="44"/>
  <c r="J278" i="44"/>
  <c r="J279" i="44"/>
  <c r="J280" i="44"/>
  <c r="J281" i="44"/>
  <c r="J282" i="44"/>
  <c r="J283" i="44"/>
  <c r="J284" i="44"/>
  <c r="J285" i="44"/>
  <c r="J286" i="44"/>
  <c r="J287" i="44"/>
  <c r="J288" i="44"/>
  <c r="L288" i="44" s="1"/>
  <c r="J289" i="44"/>
  <c r="J290" i="44"/>
  <c r="J291" i="44"/>
  <c r="J292" i="44"/>
  <c r="J293" i="44"/>
  <c r="J294" i="44"/>
  <c r="J295" i="44"/>
  <c r="J296" i="44"/>
  <c r="L296" i="44" s="1"/>
  <c r="J297" i="44"/>
  <c r="L297" i="44" s="1"/>
  <c r="J298" i="44"/>
  <c r="L298" i="44" s="1"/>
  <c r="J299" i="44"/>
  <c r="L299" i="44" s="1"/>
  <c r="J300" i="44"/>
  <c r="L300" i="44" s="1"/>
  <c r="J301" i="44"/>
  <c r="J302" i="44"/>
  <c r="J303" i="44"/>
  <c r="J304" i="44"/>
  <c r="J305" i="44"/>
  <c r="J306" i="44"/>
  <c r="J307" i="44"/>
  <c r="J308" i="44"/>
  <c r="J309" i="44"/>
  <c r="J310" i="44"/>
  <c r="J311" i="44"/>
  <c r="J312" i="44"/>
  <c r="L312" i="44" s="1"/>
  <c r="J313" i="44"/>
  <c r="J314" i="44"/>
  <c r="J315" i="44"/>
  <c r="J5" i="44"/>
  <c r="J6" i="44"/>
  <c r="J4" i="44"/>
  <c r="L293" i="44" l="1"/>
  <c r="L101" i="44"/>
  <c r="L149" i="44"/>
  <c r="L271" i="44"/>
  <c r="L199" i="44"/>
  <c r="L79" i="44"/>
  <c r="L270" i="44"/>
  <c r="L150" i="44"/>
  <c r="L78" i="44"/>
  <c r="L30" i="44"/>
  <c r="L269" i="44"/>
  <c r="L221" i="44"/>
  <c r="L173" i="44"/>
  <c r="L29" i="44"/>
  <c r="L102" i="44"/>
  <c r="L295" i="44"/>
  <c r="L247" i="44"/>
  <c r="L223" i="44"/>
  <c r="L175" i="44"/>
  <c r="L151" i="44"/>
  <c r="L127" i="44"/>
  <c r="L103" i="44"/>
  <c r="L55" i="44"/>
  <c r="L31" i="44"/>
  <c r="L7" i="44"/>
  <c r="L294" i="44"/>
  <c r="L174" i="44"/>
  <c r="L126" i="44"/>
  <c r="L54" i="44"/>
  <c r="L6" i="44"/>
  <c r="L245" i="44"/>
  <c r="L197" i="44"/>
  <c r="L77" i="44"/>
  <c r="L222" i="44"/>
  <c r="L53" i="44"/>
  <c r="L198" i="44"/>
  <c r="L246" i="44"/>
  <c r="L125" i="44"/>
  <c r="L52" i="44"/>
  <c r="L124" i="44"/>
  <c r="L98" i="44"/>
  <c r="L292" i="44"/>
  <c r="L5" i="44"/>
  <c r="L268" i="44"/>
  <c r="L244" i="44"/>
  <c r="L220" i="44"/>
  <c r="L196" i="44"/>
  <c r="L172" i="44"/>
  <c r="L148" i="44"/>
  <c r="L100" i="44"/>
  <c r="L76" i="44"/>
  <c r="L28" i="44"/>
  <c r="L314" i="44"/>
  <c r="L290" i="44"/>
  <c r="L266" i="44"/>
  <c r="L242" i="44"/>
  <c r="L218" i="44"/>
  <c r="L194" i="44"/>
  <c r="L170" i="44"/>
  <c r="L146" i="44"/>
  <c r="L122" i="44"/>
  <c r="L74" i="44"/>
  <c r="L50" i="44"/>
  <c r="L26" i="44"/>
  <c r="L313" i="44"/>
  <c r="L289" i="44"/>
  <c r="L265" i="44"/>
  <c r="L241" i="44"/>
  <c r="L217" i="44"/>
  <c r="L193" i="44"/>
  <c r="L169" i="44"/>
  <c r="L145" i="44"/>
  <c r="L121" i="44"/>
  <c r="L97" i="44"/>
  <c r="L73" i="44"/>
  <c r="L49" i="44"/>
  <c r="L25" i="44"/>
  <c r="L301" i="44"/>
  <c r="L277" i="44"/>
  <c r="L253" i="44"/>
  <c r="L229" i="44"/>
  <c r="L205" i="44"/>
  <c r="L195" i="44"/>
  <c r="R5" i="44" l="1"/>
  <c r="R6" i="44"/>
  <c r="R7" i="44"/>
  <c r="R8" i="44"/>
  <c r="R9" i="44"/>
  <c r="R10" i="44"/>
  <c r="R11" i="44"/>
  <c r="R12" i="44"/>
  <c r="R13" i="44"/>
  <c r="R14" i="44"/>
  <c r="R15" i="44"/>
  <c r="R16" i="44"/>
  <c r="R17" i="44"/>
  <c r="R18" i="44"/>
  <c r="R19" i="44"/>
  <c r="R20" i="44"/>
  <c r="R21" i="44"/>
  <c r="R22" i="44"/>
  <c r="R23" i="44"/>
  <c r="R24" i="44"/>
  <c r="R25" i="44"/>
  <c r="R26" i="44"/>
  <c r="R27" i="44"/>
  <c r="R28" i="44"/>
  <c r="R29" i="44"/>
  <c r="R30" i="44"/>
  <c r="R31" i="44"/>
  <c r="R32" i="44"/>
  <c r="R33" i="44"/>
  <c r="R34" i="44"/>
  <c r="R35" i="44"/>
  <c r="R36" i="44"/>
  <c r="R37" i="44"/>
  <c r="R38" i="44"/>
  <c r="R39" i="44"/>
  <c r="R40" i="44"/>
  <c r="R41" i="44"/>
  <c r="R42" i="44"/>
  <c r="R43" i="44"/>
  <c r="R44" i="44"/>
  <c r="R45" i="44"/>
  <c r="R46" i="44"/>
  <c r="R47" i="44"/>
  <c r="R48" i="44"/>
  <c r="R49" i="44"/>
  <c r="R50" i="44"/>
  <c r="R51" i="44"/>
  <c r="R52" i="44"/>
  <c r="R53" i="44"/>
  <c r="R54" i="44"/>
  <c r="R55" i="44"/>
  <c r="R56" i="44"/>
  <c r="R57" i="44"/>
  <c r="R58" i="44"/>
  <c r="R59" i="44"/>
  <c r="R60" i="44"/>
  <c r="R61" i="44"/>
  <c r="R62" i="44"/>
  <c r="R63" i="44"/>
  <c r="R64" i="44"/>
  <c r="R65" i="44"/>
  <c r="R66" i="44"/>
  <c r="R67" i="44"/>
  <c r="R68" i="44"/>
  <c r="R69" i="44"/>
  <c r="R70" i="44"/>
  <c r="R71" i="44"/>
  <c r="R72" i="44"/>
  <c r="R73" i="44"/>
  <c r="R74" i="44"/>
  <c r="R75" i="44"/>
  <c r="R76" i="44"/>
  <c r="R77" i="44"/>
  <c r="R78" i="44"/>
  <c r="R79" i="44"/>
  <c r="R80" i="44"/>
  <c r="R81" i="44"/>
  <c r="R82" i="44"/>
  <c r="R83" i="44"/>
  <c r="R84" i="44"/>
  <c r="R85" i="44"/>
  <c r="R86" i="44"/>
  <c r="R87" i="44"/>
  <c r="R88" i="44"/>
  <c r="R89" i="44"/>
  <c r="R90" i="44"/>
  <c r="R91" i="44"/>
  <c r="R92" i="44"/>
  <c r="R93" i="44"/>
  <c r="R94" i="44"/>
  <c r="R95" i="44"/>
  <c r="R96" i="44"/>
  <c r="R97" i="44"/>
  <c r="R98" i="44"/>
  <c r="R99" i="44"/>
  <c r="R100" i="44"/>
  <c r="R101" i="44"/>
  <c r="R102" i="44"/>
  <c r="R103" i="44"/>
  <c r="R104" i="44"/>
  <c r="R105" i="44"/>
  <c r="R106" i="44"/>
  <c r="R107" i="44"/>
  <c r="R108" i="44"/>
  <c r="R109" i="44"/>
  <c r="R110" i="44"/>
  <c r="R111" i="44"/>
  <c r="R112" i="44"/>
  <c r="R113" i="44"/>
  <c r="R114" i="44"/>
  <c r="R115" i="44"/>
  <c r="R116" i="44"/>
  <c r="R117" i="44"/>
  <c r="R118" i="44"/>
  <c r="R119" i="44"/>
  <c r="R120" i="44"/>
  <c r="R121" i="44"/>
  <c r="R122" i="44"/>
  <c r="R123" i="44"/>
  <c r="R124" i="44"/>
  <c r="R125" i="44"/>
  <c r="R126" i="44"/>
  <c r="R127" i="44"/>
  <c r="R128" i="44"/>
  <c r="R129" i="44"/>
  <c r="R130" i="44"/>
  <c r="R131" i="44"/>
  <c r="R132" i="44"/>
  <c r="R133" i="44"/>
  <c r="R134" i="44"/>
  <c r="R135" i="44"/>
  <c r="R136" i="44"/>
  <c r="R137" i="44"/>
  <c r="R138" i="44"/>
  <c r="R139" i="44"/>
  <c r="R140" i="44"/>
  <c r="R141" i="44"/>
  <c r="R142" i="44"/>
  <c r="R143" i="44"/>
  <c r="R144" i="44"/>
  <c r="R145" i="44"/>
  <c r="R146" i="44"/>
  <c r="R147" i="44"/>
  <c r="R148" i="44"/>
  <c r="R149" i="44"/>
  <c r="R150" i="44"/>
  <c r="R151" i="44"/>
  <c r="R152" i="44"/>
  <c r="R153" i="44"/>
  <c r="R154" i="44"/>
  <c r="R155" i="44"/>
  <c r="R156" i="44"/>
  <c r="R157" i="44"/>
  <c r="R158" i="44"/>
  <c r="R159" i="44"/>
  <c r="R160" i="44"/>
  <c r="R161" i="44"/>
  <c r="R162" i="44"/>
  <c r="R163" i="44"/>
  <c r="R164" i="44"/>
  <c r="R165" i="44"/>
  <c r="R166" i="44"/>
  <c r="R167" i="44"/>
  <c r="R168" i="44"/>
  <c r="R169" i="44"/>
  <c r="R170" i="44"/>
  <c r="R171" i="44"/>
  <c r="R172" i="44"/>
  <c r="R173" i="44"/>
  <c r="R174" i="44"/>
  <c r="R175" i="44"/>
  <c r="R176" i="44"/>
  <c r="R177" i="44"/>
  <c r="R178" i="44"/>
  <c r="R179" i="44"/>
  <c r="R180" i="44"/>
  <c r="R181" i="44"/>
  <c r="R182" i="44"/>
  <c r="R183" i="44"/>
  <c r="R184" i="44"/>
  <c r="R185" i="44"/>
  <c r="R186" i="44"/>
  <c r="R187" i="44"/>
  <c r="R188" i="44"/>
  <c r="R189" i="44"/>
  <c r="R190" i="44"/>
  <c r="R191" i="44"/>
  <c r="R192" i="44"/>
  <c r="R193" i="44"/>
  <c r="R194" i="44"/>
  <c r="R195" i="44"/>
  <c r="R196" i="44"/>
  <c r="R197" i="44"/>
  <c r="R198" i="44"/>
  <c r="R199" i="44"/>
  <c r="R200" i="44"/>
  <c r="R201" i="44"/>
  <c r="R202" i="44"/>
  <c r="R203" i="44"/>
  <c r="R204" i="44"/>
  <c r="R205" i="44"/>
  <c r="R206" i="44"/>
  <c r="R207" i="44"/>
  <c r="R208" i="44"/>
  <c r="R209" i="44"/>
  <c r="R210" i="44"/>
  <c r="R211" i="44"/>
  <c r="R212" i="44"/>
  <c r="R213" i="44"/>
  <c r="R214" i="44"/>
  <c r="R215" i="44"/>
  <c r="R216" i="44"/>
  <c r="R217" i="44"/>
  <c r="R218" i="44"/>
  <c r="R219" i="44"/>
  <c r="R220" i="44"/>
  <c r="R221" i="44"/>
  <c r="R222" i="44"/>
  <c r="R223" i="44"/>
  <c r="R224" i="44"/>
  <c r="R225" i="44"/>
  <c r="R226" i="44"/>
  <c r="R227" i="44"/>
  <c r="R228" i="44"/>
  <c r="R229" i="44"/>
  <c r="R230" i="44"/>
  <c r="R231" i="44"/>
  <c r="R232" i="44"/>
  <c r="R233" i="44"/>
  <c r="R234" i="44"/>
  <c r="R235" i="44"/>
  <c r="R236" i="44"/>
  <c r="R237" i="44"/>
  <c r="R238" i="44"/>
  <c r="R239" i="44"/>
  <c r="R240" i="44"/>
  <c r="R241" i="44"/>
  <c r="R242" i="44"/>
  <c r="R243" i="44"/>
  <c r="R244" i="44"/>
  <c r="R245" i="44"/>
  <c r="R246" i="44"/>
  <c r="R247" i="44"/>
  <c r="R248" i="44"/>
  <c r="R249" i="44"/>
  <c r="R250" i="44"/>
  <c r="R251" i="44"/>
  <c r="R252" i="44"/>
  <c r="R253" i="44"/>
  <c r="R254" i="44"/>
  <c r="R255" i="44"/>
  <c r="R256" i="44"/>
  <c r="R257" i="44"/>
  <c r="R258" i="44"/>
  <c r="R259" i="44"/>
  <c r="R260" i="44"/>
  <c r="R261" i="44"/>
  <c r="R262" i="44"/>
  <c r="R263" i="44"/>
  <c r="R264" i="44"/>
  <c r="R265" i="44"/>
  <c r="R266" i="44"/>
  <c r="R267" i="44"/>
  <c r="R268" i="44"/>
  <c r="R269" i="44"/>
  <c r="R270" i="44"/>
  <c r="R271" i="44"/>
  <c r="R272" i="44"/>
  <c r="R273" i="44"/>
  <c r="R274" i="44"/>
  <c r="R275" i="44"/>
  <c r="R276" i="44"/>
  <c r="R277" i="44"/>
  <c r="R278" i="44"/>
  <c r="R279" i="44"/>
  <c r="R280" i="44"/>
  <c r="R281" i="44"/>
  <c r="R282" i="44"/>
  <c r="R283" i="44"/>
  <c r="R284" i="44"/>
  <c r="R285" i="44"/>
  <c r="R286" i="44"/>
  <c r="R287" i="44"/>
  <c r="R288" i="44"/>
  <c r="R289" i="44"/>
  <c r="R290" i="44"/>
  <c r="R291" i="44"/>
  <c r="R292" i="44"/>
  <c r="R293" i="44"/>
  <c r="R294" i="44"/>
  <c r="R295" i="44"/>
  <c r="R296" i="44"/>
  <c r="R297" i="44"/>
  <c r="R298" i="44"/>
  <c r="R299" i="44"/>
  <c r="R300" i="44"/>
  <c r="R301" i="44"/>
  <c r="R302" i="44"/>
  <c r="R303" i="44"/>
  <c r="R304" i="44"/>
  <c r="R305" i="44"/>
  <c r="R306" i="44"/>
  <c r="R307" i="44"/>
  <c r="R308" i="44"/>
  <c r="R309" i="44"/>
  <c r="R310" i="44"/>
  <c r="R311" i="44"/>
  <c r="R312" i="44"/>
  <c r="R313" i="44"/>
  <c r="R314" i="44"/>
  <c r="R315" i="44"/>
  <c r="R4" i="44"/>
  <c r="K4" i="44"/>
  <c r="L4" i="44"/>
  <c r="X4" i="44" l="1"/>
  <c r="W4" i="44"/>
  <c r="Y4" i="44"/>
  <c r="Z4" i="44"/>
  <c r="AA4" i="44" s="1"/>
  <c r="W75" i="44"/>
  <c r="X75" i="44"/>
  <c r="Y75" i="44" s="1"/>
  <c r="Z75" i="44"/>
  <c r="AA75" i="44" s="1"/>
  <c r="W25" i="44"/>
  <c r="X25" i="44"/>
  <c r="Y25" i="44" s="1"/>
  <c r="Z25" i="44"/>
  <c r="AA25" i="44" s="1"/>
  <c r="W288" i="44"/>
  <c r="X288" i="44"/>
  <c r="Y288" i="44" s="1"/>
  <c r="Z288" i="44"/>
  <c r="AA288" i="44" s="1"/>
  <c r="X71" i="44"/>
  <c r="W71" i="44"/>
  <c r="Y71" i="44"/>
  <c r="Z71" i="44"/>
  <c r="AA71" i="44" s="1"/>
  <c r="X262" i="44"/>
  <c r="W262" i="44"/>
  <c r="Y262" i="44"/>
  <c r="W93" i="44"/>
  <c r="X93" i="44"/>
  <c r="Y93" i="44"/>
  <c r="Z93" i="44"/>
  <c r="AA93" i="44" s="1"/>
  <c r="Y211" i="44"/>
  <c r="W211" i="44"/>
  <c r="Z211" i="44" s="1"/>
  <c r="AA211" i="44" s="1"/>
  <c r="X211" i="44"/>
  <c r="W163" i="44"/>
  <c r="X163" i="44"/>
  <c r="Y163" i="44"/>
  <c r="Z163" i="44"/>
  <c r="AA163" i="44" s="1"/>
  <c r="W139" i="44"/>
  <c r="X139" i="44"/>
  <c r="Y139" i="44"/>
  <c r="Z139" i="44"/>
  <c r="AA139" i="44" s="1"/>
  <c r="W115" i="44"/>
  <c r="X115" i="44"/>
  <c r="Y115" i="44"/>
  <c r="Z115" i="44"/>
  <c r="AA115" i="44" s="1"/>
  <c r="W91" i="44"/>
  <c r="X91" i="44"/>
  <c r="Y91" i="44"/>
  <c r="W67" i="44"/>
  <c r="X67" i="44"/>
  <c r="Y67" i="44"/>
  <c r="Z67" i="44"/>
  <c r="AA67" i="44" s="1"/>
  <c r="W43" i="44"/>
  <c r="Z43" i="44" s="1"/>
  <c r="AA43" i="44" s="1"/>
  <c r="X43" i="44"/>
  <c r="Y43" i="44" s="1"/>
  <c r="W19" i="44"/>
  <c r="X19" i="44"/>
  <c r="Y19" i="44"/>
  <c r="Z19" i="44"/>
  <c r="AA19" i="44" s="1"/>
  <c r="W28" i="44"/>
  <c r="X28" i="44"/>
  <c r="Y28" i="44" s="1"/>
  <c r="Z28" i="44"/>
  <c r="AA28" i="44" s="1"/>
  <c r="W48" i="44"/>
  <c r="X48" i="44"/>
  <c r="Y48" i="44"/>
  <c r="Z48" i="44"/>
  <c r="AA48" i="44" s="1"/>
  <c r="X124" i="44"/>
  <c r="W124" i="44"/>
  <c r="Y124" i="44"/>
  <c r="W243" i="44"/>
  <c r="X243" i="44"/>
  <c r="Y243" i="44" s="1"/>
  <c r="Z243" i="44"/>
  <c r="AA243" i="44" s="1"/>
  <c r="W99" i="44"/>
  <c r="Z99" i="44" s="1"/>
  <c r="AA99" i="44" s="1"/>
  <c r="X99" i="44"/>
  <c r="Y99" i="44"/>
  <c r="X146" i="44"/>
  <c r="W146" i="44"/>
  <c r="Z146" i="44" s="1"/>
  <c r="AA146" i="44" s="1"/>
  <c r="Y146" i="44"/>
  <c r="W49" i="44"/>
  <c r="X49" i="44"/>
  <c r="Y49" i="44"/>
  <c r="Z49" i="44"/>
  <c r="AA49" i="44" s="1"/>
  <c r="W192" i="44"/>
  <c r="Z192" i="44" s="1"/>
  <c r="AA192" i="44" s="1"/>
  <c r="X192" i="44"/>
  <c r="Y192" i="44"/>
  <c r="W287" i="44"/>
  <c r="X287" i="44"/>
  <c r="Y287" i="44" s="1"/>
  <c r="Y23" i="44"/>
  <c r="W23" i="44"/>
  <c r="X23" i="44"/>
  <c r="Z23" i="44"/>
  <c r="AA23" i="44" s="1"/>
  <c r="X166" i="44"/>
  <c r="Y166" i="44" s="1"/>
  <c r="W166" i="44"/>
  <c r="Z166" i="44" s="1"/>
  <c r="AA166" i="44" s="1"/>
  <c r="Y261" i="44"/>
  <c r="W261" i="44"/>
  <c r="Z261" i="44" s="1"/>
  <c r="AA261" i="44" s="1"/>
  <c r="X261" i="44"/>
  <c r="W21" i="44"/>
  <c r="X21" i="44"/>
  <c r="Y21" i="44"/>
  <c r="Z21" i="44"/>
  <c r="AA21" i="44" s="1"/>
  <c r="Y308" i="44"/>
  <c r="W308" i="44"/>
  <c r="Z308" i="44" s="1"/>
  <c r="AA308" i="44" s="1"/>
  <c r="X308" i="44"/>
  <c r="Y236" i="44"/>
  <c r="W236" i="44"/>
  <c r="X236" i="44"/>
  <c r="Z236" i="44"/>
  <c r="AA236" i="44" s="1"/>
  <c r="W188" i="44"/>
  <c r="X188" i="44"/>
  <c r="Y188" i="44" s="1"/>
  <c r="Z188" i="44"/>
  <c r="AA188" i="44" s="1"/>
  <c r="W164" i="44"/>
  <c r="Z164" i="44" s="1"/>
  <c r="AA164" i="44" s="1"/>
  <c r="X164" i="44"/>
  <c r="Y164" i="44"/>
  <c r="Y282" i="44"/>
  <c r="W282" i="44"/>
  <c r="Z282" i="44" s="1"/>
  <c r="AA282" i="44" s="1"/>
  <c r="X282" i="44"/>
  <c r="W66" i="44"/>
  <c r="X66" i="44"/>
  <c r="Y66" i="44"/>
  <c r="Z66" i="44"/>
  <c r="AA66" i="44" s="1"/>
  <c r="Y209" i="44"/>
  <c r="W209" i="44"/>
  <c r="Z209" i="44" s="1"/>
  <c r="AA209" i="44" s="1"/>
  <c r="X209" i="44"/>
  <c r="W89" i="44"/>
  <c r="X89" i="44"/>
  <c r="Y89" i="44"/>
  <c r="Y256" i="44"/>
  <c r="W256" i="44"/>
  <c r="X256" i="44"/>
  <c r="Z256" i="44"/>
  <c r="AA256" i="44" s="1"/>
  <c r="W136" i="44"/>
  <c r="Z136" i="44" s="1"/>
  <c r="AA136" i="44" s="1"/>
  <c r="X136" i="44"/>
  <c r="Y136" i="44"/>
  <c r="W158" i="44"/>
  <c r="X158" i="44"/>
  <c r="Y158" i="44" s="1"/>
  <c r="Z158" i="44"/>
  <c r="AA158" i="44" s="1"/>
  <c r="W38" i="44"/>
  <c r="X38" i="44"/>
  <c r="Y38" i="44"/>
  <c r="Z38" i="44"/>
  <c r="AA38" i="44"/>
  <c r="W14" i="44"/>
  <c r="Z14" i="44" s="1"/>
  <c r="AA14" i="44" s="1"/>
  <c r="X14" i="44"/>
  <c r="Y14" i="44" s="1"/>
  <c r="W292" i="44"/>
  <c r="X292" i="44"/>
  <c r="Y292" i="44" s="1"/>
  <c r="Z292" i="44"/>
  <c r="AA292" i="44" s="1"/>
  <c r="X196" i="44"/>
  <c r="W196" i="44"/>
  <c r="Z196" i="44" s="1"/>
  <c r="AA196" i="44" s="1"/>
  <c r="Y196" i="44"/>
  <c r="X315" i="44"/>
  <c r="Y315" i="44" s="1"/>
  <c r="W315" i="44"/>
  <c r="Z315" i="44"/>
  <c r="AA315" i="44" s="1"/>
  <c r="X147" i="44"/>
  <c r="Y147" i="44" s="1"/>
  <c r="W147" i="44"/>
  <c r="Z147" i="44"/>
  <c r="AA147" i="44" s="1"/>
  <c r="X170" i="44"/>
  <c r="W170" i="44"/>
  <c r="Y170" i="44"/>
  <c r="Z170" i="44"/>
  <c r="AA170" i="44" s="1"/>
  <c r="W26" i="44"/>
  <c r="X26" i="44"/>
  <c r="Y26" i="44" s="1"/>
  <c r="W241" i="44"/>
  <c r="X241" i="44"/>
  <c r="Y241" i="44" s="1"/>
  <c r="Z241" i="44"/>
  <c r="AA241" i="44" s="1"/>
  <c r="W193" i="44"/>
  <c r="Z193" i="44" s="1"/>
  <c r="AA193" i="44" s="1"/>
  <c r="Y193" i="44"/>
  <c r="X193" i="44"/>
  <c r="W240" i="44"/>
  <c r="X240" i="44"/>
  <c r="Y240" i="44" s="1"/>
  <c r="Z240" i="44"/>
  <c r="AA240" i="44" s="1"/>
  <c r="W24" i="44"/>
  <c r="X24" i="44"/>
  <c r="Y24" i="44"/>
  <c r="Z24" i="44"/>
  <c r="AA24" i="44" s="1"/>
  <c r="X263" i="44"/>
  <c r="W263" i="44"/>
  <c r="Y263" i="44"/>
  <c r="Z263" i="44"/>
  <c r="AA263" i="44" s="1"/>
  <c r="W191" i="44"/>
  <c r="X191" i="44"/>
  <c r="Y191" i="44" s="1"/>
  <c r="X214" i="44"/>
  <c r="W214" i="44"/>
  <c r="Y214" i="44"/>
  <c r="Z214" i="44"/>
  <c r="AA214" i="44" s="1"/>
  <c r="X46" i="44"/>
  <c r="Y46" i="44" s="1"/>
  <c r="W46" i="44"/>
  <c r="Z46" i="44"/>
  <c r="AA46" i="44" s="1"/>
  <c r="W189" i="44"/>
  <c r="X189" i="44"/>
  <c r="Y189" i="44"/>
  <c r="Z189" i="44"/>
  <c r="AA189" i="44" s="1"/>
  <c r="W44" i="44"/>
  <c r="X44" i="44"/>
  <c r="Y44" i="44"/>
  <c r="Z44" i="44"/>
  <c r="AA44" i="44" s="1"/>
  <c r="W306" i="44"/>
  <c r="X306" i="44"/>
  <c r="Y306" i="44" s="1"/>
  <c r="Z306" i="44"/>
  <c r="AA306" i="44" s="1"/>
  <c r="W138" i="44"/>
  <c r="X138" i="44"/>
  <c r="Y138" i="44"/>
  <c r="W257" i="44"/>
  <c r="X257" i="44"/>
  <c r="Y257" i="44" s="1"/>
  <c r="Z257" i="44"/>
  <c r="AA257" i="44" s="1"/>
  <c r="W41" i="44"/>
  <c r="Z41" i="44" s="1"/>
  <c r="AA41" i="44" s="1"/>
  <c r="X41" i="44"/>
  <c r="Y41" i="44" s="1"/>
  <c r="W232" i="44"/>
  <c r="X232" i="44"/>
  <c r="Y232" i="44" s="1"/>
  <c r="Z232" i="44"/>
  <c r="AA232" i="44" s="1"/>
  <c r="W112" i="44"/>
  <c r="X112" i="44"/>
  <c r="Y112" i="44"/>
  <c r="Z112" i="44"/>
  <c r="AA112" i="44" s="1"/>
  <c r="W255" i="44"/>
  <c r="X255" i="44"/>
  <c r="Y255" i="44" s="1"/>
  <c r="Z255" i="44"/>
  <c r="AA255" i="44" s="1"/>
  <c r="W87" i="44"/>
  <c r="X87" i="44"/>
  <c r="Y87" i="44"/>
  <c r="W302" i="44"/>
  <c r="X302" i="44"/>
  <c r="Y302" i="44" s="1"/>
  <c r="Z302" i="44"/>
  <c r="AA302" i="44" s="1"/>
  <c r="W11" i="44"/>
  <c r="Z11" i="44" s="1"/>
  <c r="AA11" i="44" s="1"/>
  <c r="X11" i="44"/>
  <c r="Y11" i="44" s="1"/>
  <c r="X244" i="44"/>
  <c r="W244" i="44"/>
  <c r="Y244" i="44"/>
  <c r="Z244" i="44"/>
  <c r="AA244" i="44" s="1"/>
  <c r="X100" i="44"/>
  <c r="W100" i="44"/>
  <c r="Y100" i="44"/>
  <c r="Z100" i="44"/>
  <c r="AA100" i="44" s="1"/>
  <c r="X123" i="44"/>
  <c r="W123" i="44"/>
  <c r="Y123" i="44"/>
  <c r="X290" i="44"/>
  <c r="Y290" i="44" s="1"/>
  <c r="W290" i="44"/>
  <c r="X122" i="44"/>
  <c r="W122" i="44"/>
  <c r="Z122" i="44" s="1"/>
  <c r="AA122" i="44" s="1"/>
  <c r="Y122" i="44"/>
  <c r="W73" i="44"/>
  <c r="Z73" i="44" s="1"/>
  <c r="AA73" i="44" s="1"/>
  <c r="X73" i="44"/>
  <c r="Y73" i="44" s="1"/>
  <c r="W144" i="44"/>
  <c r="X144" i="44"/>
  <c r="Y144" i="44"/>
  <c r="Z144" i="44"/>
  <c r="AA144" i="44" s="1"/>
  <c r="X215" i="44"/>
  <c r="W215" i="44"/>
  <c r="Y215" i="44"/>
  <c r="Z215" i="44"/>
  <c r="AA215" i="44" s="1"/>
  <c r="X95" i="44"/>
  <c r="W95" i="44"/>
  <c r="Z95" i="44" s="1"/>
  <c r="AA95" i="44" s="1"/>
  <c r="Y95" i="44"/>
  <c r="X118" i="44"/>
  <c r="Y118" i="44" s="1"/>
  <c r="W118" i="44"/>
  <c r="Z118" i="44"/>
  <c r="AA118" i="44" s="1"/>
  <c r="W309" i="44"/>
  <c r="Z309" i="44" s="1"/>
  <c r="AA309" i="44" s="1"/>
  <c r="X309" i="44"/>
  <c r="Y309" i="44" s="1"/>
  <c r="W165" i="44"/>
  <c r="Z165" i="44" s="1"/>
  <c r="AA165" i="44" s="1"/>
  <c r="X165" i="44"/>
  <c r="Y165" i="44"/>
  <c r="W20" i="44"/>
  <c r="X20" i="44"/>
  <c r="Y20" i="44"/>
  <c r="Z20" i="44"/>
  <c r="AA20" i="44" s="1"/>
  <c r="W114" i="44"/>
  <c r="X114" i="44"/>
  <c r="Y114" i="44"/>
  <c r="Z114" i="44"/>
  <c r="AA114" i="44" s="1"/>
  <c r="W113" i="44"/>
  <c r="Z113" i="44" s="1"/>
  <c r="AA113" i="44" s="1"/>
  <c r="X113" i="44"/>
  <c r="Y113" i="44"/>
  <c r="W160" i="44"/>
  <c r="X160" i="44"/>
  <c r="Y160" i="44" s="1"/>
  <c r="W277" i="44"/>
  <c r="Z277" i="44" s="1"/>
  <c r="X277" i="44"/>
  <c r="Y277" i="44" s="1"/>
  <c r="X268" i="44"/>
  <c r="W268" i="44"/>
  <c r="Z268" i="44" s="1"/>
  <c r="AA268" i="44" s="1"/>
  <c r="Y268" i="44"/>
  <c r="X52" i="44"/>
  <c r="Y52" i="44" s="1"/>
  <c r="W52" i="44"/>
  <c r="Z52" i="44" s="1"/>
  <c r="AA52" i="44" s="1"/>
  <c r="X267" i="44"/>
  <c r="W267" i="44"/>
  <c r="Y267" i="44"/>
  <c r="Z267" i="44"/>
  <c r="AA267" i="44" s="1"/>
  <c r="W171" i="44"/>
  <c r="X171" i="44"/>
  <c r="Y171" i="44" s="1"/>
  <c r="X218" i="44"/>
  <c r="W218" i="44"/>
  <c r="Y218" i="44"/>
  <c r="Z218" i="44"/>
  <c r="AA218" i="44" s="1"/>
  <c r="W74" i="44"/>
  <c r="Z74" i="44" s="1"/>
  <c r="AA74" i="44" s="1"/>
  <c r="X74" i="44"/>
  <c r="Y74" i="44" s="1"/>
  <c r="X265" i="44"/>
  <c r="Y265" i="44" s="1"/>
  <c r="W265" i="44"/>
  <c r="Z265" i="44"/>
  <c r="AA265" i="44" s="1"/>
  <c r="X169" i="44"/>
  <c r="Y169" i="44" s="1"/>
  <c r="W169" i="44"/>
  <c r="Z169" i="44"/>
  <c r="AA169" i="44" s="1"/>
  <c r="W120" i="44"/>
  <c r="X120" i="44"/>
  <c r="Y120" i="44"/>
  <c r="Z120" i="44"/>
  <c r="AA120" i="44" s="1"/>
  <c r="W239" i="44"/>
  <c r="Z239" i="44" s="1"/>
  <c r="Y239" i="44"/>
  <c r="X239" i="44"/>
  <c r="X47" i="44"/>
  <c r="Y47" i="44"/>
  <c r="W47" i="44"/>
  <c r="Z47" i="44"/>
  <c r="AA47" i="44" s="1"/>
  <c r="W286" i="44"/>
  <c r="Y286" i="44"/>
  <c r="X286" i="44"/>
  <c r="W142" i="44"/>
  <c r="Z142" i="44" s="1"/>
  <c r="AA142" i="44" s="1"/>
  <c r="X142" i="44"/>
  <c r="Y142" i="44" s="1"/>
  <c r="W45" i="44"/>
  <c r="X45" i="44"/>
  <c r="Y45" i="44"/>
  <c r="Z45" i="44"/>
  <c r="AA45" i="44" s="1"/>
  <c r="W212" i="44"/>
  <c r="Z212" i="44" s="1"/>
  <c r="AA212" i="44" s="1"/>
  <c r="X212" i="44"/>
  <c r="Y212" i="44" s="1"/>
  <c r="W116" i="44"/>
  <c r="X116" i="44"/>
  <c r="Y116" i="44" s="1"/>
  <c r="W259" i="44"/>
  <c r="Z259" i="44" s="1"/>
  <c r="AA259" i="44" s="1"/>
  <c r="X259" i="44"/>
  <c r="Y259" i="44" s="1"/>
  <c r="W187" i="44"/>
  <c r="Z187" i="44" s="1"/>
  <c r="AA187" i="44" s="1"/>
  <c r="X187" i="44"/>
  <c r="Y187" i="44"/>
  <c r="W234" i="44"/>
  <c r="Z234" i="44" s="1"/>
  <c r="AA234" i="44" s="1"/>
  <c r="X234" i="44"/>
  <c r="Y234" i="44" s="1"/>
  <c r="W162" i="44"/>
  <c r="X162" i="44"/>
  <c r="Y162" i="44"/>
  <c r="Z162" i="44"/>
  <c r="AA162" i="44" s="1"/>
  <c r="W233" i="44"/>
  <c r="Z233" i="44" s="1"/>
  <c r="AA233" i="44" s="1"/>
  <c r="X233" i="44"/>
  <c r="Y233" i="44" s="1"/>
  <c r="W17" i="44"/>
  <c r="X17" i="44"/>
  <c r="Y17" i="44" s="1"/>
  <c r="W184" i="44"/>
  <c r="Z184" i="44" s="1"/>
  <c r="AA184" i="44" s="1"/>
  <c r="X184" i="44"/>
  <c r="Y184" i="44"/>
  <c r="W88" i="44"/>
  <c r="Z88" i="44" s="1"/>
  <c r="AA88" i="44" s="1"/>
  <c r="X88" i="44"/>
  <c r="Y88" i="44"/>
  <c r="W183" i="44"/>
  <c r="X183" i="44"/>
  <c r="Y183" i="44"/>
  <c r="Z183" i="44"/>
  <c r="AA183" i="44" s="1"/>
  <c r="W15" i="44"/>
  <c r="X15" i="44"/>
  <c r="Y15" i="44"/>
  <c r="Z15" i="44"/>
  <c r="AA15" i="44" s="1"/>
  <c r="W206" i="44"/>
  <c r="Z206" i="44" s="1"/>
  <c r="AA206" i="44" s="1"/>
  <c r="X206" i="44"/>
  <c r="Y206" i="44" s="1"/>
  <c r="W134" i="44"/>
  <c r="X134" i="44"/>
  <c r="Y134" i="44" s="1"/>
  <c r="W253" i="44"/>
  <c r="Z253" i="44" s="1"/>
  <c r="AA253" i="44" s="1"/>
  <c r="X253" i="44"/>
  <c r="Y253" i="44" s="1"/>
  <c r="W133" i="44"/>
  <c r="Z133" i="44" s="1"/>
  <c r="AA133" i="44" s="1"/>
  <c r="X133" i="44"/>
  <c r="Y133" i="44"/>
  <c r="W13" i="44"/>
  <c r="X13" i="44"/>
  <c r="Y13" i="44"/>
  <c r="Z13" i="44"/>
  <c r="AA13" i="44" s="1"/>
  <c r="W276" i="44"/>
  <c r="X276" i="44"/>
  <c r="Y276" i="44" s="1"/>
  <c r="Z276" i="44"/>
  <c r="AA276" i="44" s="1"/>
  <c r="W228" i="44"/>
  <c r="Z228" i="44" s="1"/>
  <c r="AA228" i="44" s="1"/>
  <c r="X228" i="44"/>
  <c r="Y228" i="44" s="1"/>
  <c r="W156" i="44"/>
  <c r="X156" i="44"/>
  <c r="Y156" i="44" s="1"/>
  <c r="W84" i="44"/>
  <c r="Z84" i="44" s="1"/>
  <c r="AA84" i="44" s="1"/>
  <c r="X84" i="44"/>
  <c r="Y84" i="44"/>
  <c r="Y299" i="44"/>
  <c r="W299" i="44"/>
  <c r="X299" i="44"/>
  <c r="Z299" i="44"/>
  <c r="AA299" i="44" s="1"/>
  <c r="W179" i="44"/>
  <c r="X179" i="44"/>
  <c r="Y179" i="44"/>
  <c r="Z179" i="44"/>
  <c r="AA179" i="44" s="1"/>
  <c r="W35" i="44"/>
  <c r="X35" i="44"/>
  <c r="Y35" i="44"/>
  <c r="Z35" i="44"/>
  <c r="AA35" i="44" s="1"/>
  <c r="W250" i="44"/>
  <c r="Z250" i="44" s="1"/>
  <c r="AA250" i="44" s="1"/>
  <c r="X250" i="44"/>
  <c r="Y250" i="44" s="1"/>
  <c r="X154" i="44"/>
  <c r="Y154" i="44" s="1"/>
  <c r="W154" i="44"/>
  <c r="Z154" i="44"/>
  <c r="AA154" i="44" s="1"/>
  <c r="X58" i="44"/>
  <c r="Y58" i="44" s="1"/>
  <c r="W58" i="44"/>
  <c r="Z58" i="44" s="1"/>
  <c r="AA58" i="44" s="1"/>
  <c r="Y249" i="44"/>
  <c r="W249" i="44"/>
  <c r="X249" i="44"/>
  <c r="Z249" i="44"/>
  <c r="AA249" i="44" s="1"/>
  <c r="W153" i="44"/>
  <c r="Z153" i="44" s="1"/>
  <c r="AA153" i="44" s="1"/>
  <c r="X153" i="44"/>
  <c r="Y153" i="44" s="1"/>
  <c r="X176" i="44"/>
  <c r="Y176" i="44" s="1"/>
  <c r="W176" i="44"/>
  <c r="Z176" i="44"/>
  <c r="AA176" i="44"/>
  <c r="X104" i="44"/>
  <c r="Y104" i="44" s="1"/>
  <c r="W104" i="44"/>
  <c r="Z104" i="44" s="1"/>
  <c r="W80" i="44"/>
  <c r="X80" i="44"/>
  <c r="Y80" i="44" s="1"/>
  <c r="Z80" i="44"/>
  <c r="AA80" i="44" s="1"/>
  <c r="X56" i="44"/>
  <c r="Y56" i="44" s="1"/>
  <c r="W56" i="44"/>
  <c r="Z56" i="44" s="1"/>
  <c r="AA56" i="44" s="1"/>
  <c r="X32" i="44"/>
  <c r="Y32" i="44" s="1"/>
  <c r="W32" i="44"/>
  <c r="Z32" i="44"/>
  <c r="AA32" i="44" s="1"/>
  <c r="W8" i="44"/>
  <c r="X8" i="44"/>
  <c r="Y8" i="44"/>
  <c r="Z8" i="44"/>
  <c r="AA8" i="44" s="1"/>
  <c r="X172" i="44"/>
  <c r="Y172" i="44"/>
  <c r="W172" i="44"/>
  <c r="Z172" i="44"/>
  <c r="AA172" i="44"/>
  <c r="W27" i="44"/>
  <c r="X27" i="44"/>
  <c r="Y27" i="44" s="1"/>
  <c r="X314" i="44"/>
  <c r="W314" i="44"/>
  <c r="Y314" i="44"/>
  <c r="Z314" i="44"/>
  <c r="AA314" i="44" s="1"/>
  <c r="Y242" i="44"/>
  <c r="W242" i="44"/>
  <c r="Z242" i="44" s="1"/>
  <c r="AA242" i="44" s="1"/>
  <c r="X242" i="44"/>
  <c r="X289" i="44"/>
  <c r="W289" i="44"/>
  <c r="Y289" i="44"/>
  <c r="Z289" i="44"/>
  <c r="AA289" i="44" s="1"/>
  <c r="X97" i="44"/>
  <c r="W97" i="44"/>
  <c r="Y97" i="44"/>
  <c r="Z97" i="44"/>
  <c r="AA97" i="44" s="1"/>
  <c r="W312" i="44"/>
  <c r="X312" i="44"/>
  <c r="Y312" i="44" s="1"/>
  <c r="Z312" i="44"/>
  <c r="AA312" i="44" s="1"/>
  <c r="W168" i="44"/>
  <c r="X168" i="44"/>
  <c r="Y168" i="44"/>
  <c r="W311" i="44"/>
  <c r="X311" i="44"/>
  <c r="Y311" i="44" s="1"/>
  <c r="Z311" i="44"/>
  <c r="AA311" i="44" s="1"/>
  <c r="X143" i="44"/>
  <c r="Y143" i="44" s="1"/>
  <c r="W143" i="44"/>
  <c r="Z143" i="44" s="1"/>
  <c r="AA143" i="44" s="1"/>
  <c r="W190" i="44"/>
  <c r="X190" i="44"/>
  <c r="Y190" i="44" s="1"/>
  <c r="Z190" i="44"/>
  <c r="AA190" i="44" s="1"/>
  <c r="W70" i="44"/>
  <c r="X70" i="44"/>
  <c r="Y70" i="44" s="1"/>
  <c r="Z70" i="44"/>
  <c r="AA70" i="44" s="1"/>
  <c r="W237" i="44"/>
  <c r="X237" i="44"/>
  <c r="Y237" i="44" s="1"/>
  <c r="Z237" i="44"/>
  <c r="AA237" i="44" s="1"/>
  <c r="W117" i="44"/>
  <c r="X117" i="44"/>
  <c r="Y117" i="44"/>
  <c r="W68" i="44"/>
  <c r="X68" i="44"/>
  <c r="Y68" i="44"/>
  <c r="Z68" i="44"/>
  <c r="AA68" i="44" s="1"/>
  <c r="W186" i="44"/>
  <c r="Z186" i="44" s="1"/>
  <c r="AA186" i="44" s="1"/>
  <c r="X186" i="44"/>
  <c r="Y186" i="44" s="1"/>
  <c r="W18" i="44"/>
  <c r="X18" i="44"/>
  <c r="Y18" i="44"/>
  <c r="Z18" i="44"/>
  <c r="AA18" i="44" s="1"/>
  <c r="W281" i="44"/>
  <c r="X281" i="44"/>
  <c r="Y281" i="44" s="1"/>
  <c r="Z281" i="44"/>
  <c r="AA281" i="44" s="1"/>
  <c r="W185" i="44"/>
  <c r="X185" i="44"/>
  <c r="Y185" i="44"/>
  <c r="Z185" i="44"/>
  <c r="AA185" i="44" s="1"/>
  <c r="W304" i="44"/>
  <c r="X304" i="44"/>
  <c r="Y304" i="44" s="1"/>
  <c r="W16" i="44"/>
  <c r="X16" i="44"/>
  <c r="Y16" i="44"/>
  <c r="Z16" i="44"/>
  <c r="AA16" i="44" s="1"/>
  <c r="Y303" i="44"/>
  <c r="W303" i="44"/>
  <c r="Z303" i="44" s="1"/>
  <c r="AA303" i="44" s="1"/>
  <c r="X303" i="44"/>
  <c r="W207" i="44"/>
  <c r="X207" i="44"/>
  <c r="Y207" i="44" s="1"/>
  <c r="Z207" i="44"/>
  <c r="AA207" i="44" s="1"/>
  <c r="W111" i="44"/>
  <c r="X111" i="44"/>
  <c r="Y111" i="44"/>
  <c r="Z111" i="44"/>
  <c r="AA111" i="44" s="1"/>
  <c r="W254" i="44"/>
  <c r="Z254" i="44" s="1"/>
  <c r="AA254" i="44" s="1"/>
  <c r="X254" i="44"/>
  <c r="Y254" i="44" s="1"/>
  <c r="W110" i="44"/>
  <c r="X110" i="44"/>
  <c r="Y110" i="44" s="1"/>
  <c r="W157" i="44"/>
  <c r="Z157" i="44" s="1"/>
  <c r="AA157" i="44" s="1"/>
  <c r="X157" i="44"/>
  <c r="Y157" i="44"/>
  <c r="W37" i="44"/>
  <c r="Z37" i="44" s="1"/>
  <c r="AA37" i="44" s="1"/>
  <c r="X37" i="44"/>
  <c r="Y37" i="44"/>
  <c r="W252" i="44"/>
  <c r="Z252" i="44" s="1"/>
  <c r="AA252" i="44" s="1"/>
  <c r="X252" i="44"/>
  <c r="Y252" i="44" s="1"/>
  <c r="W132" i="44"/>
  <c r="X132" i="44"/>
  <c r="Y132" i="44"/>
  <c r="Z132" i="44"/>
  <c r="AA132" i="44" s="1"/>
  <c r="W60" i="44"/>
  <c r="Z60" i="44" s="1"/>
  <c r="AA60" i="44" s="1"/>
  <c r="X60" i="44"/>
  <c r="Y60" i="44"/>
  <c r="Y227" i="44"/>
  <c r="W227" i="44"/>
  <c r="X227" i="44"/>
  <c r="W59" i="44"/>
  <c r="Z59" i="44" s="1"/>
  <c r="AA59" i="44" s="1"/>
  <c r="X59" i="44"/>
  <c r="Y59" i="44"/>
  <c r="X298" i="44"/>
  <c r="W298" i="44"/>
  <c r="Z298" i="44" s="1"/>
  <c r="AA298" i="44" s="1"/>
  <c r="Y298" i="44"/>
  <c r="W226" i="44"/>
  <c r="Y226" i="44"/>
  <c r="X226" i="44"/>
  <c r="Z226" i="44"/>
  <c r="AA226" i="44" s="1"/>
  <c r="X202" i="44"/>
  <c r="W202" i="44"/>
  <c r="Y202" i="44"/>
  <c r="Z202" i="44"/>
  <c r="AA202" i="44" s="1"/>
  <c r="Y130" i="44"/>
  <c r="W130" i="44"/>
  <c r="Z130" i="44" s="1"/>
  <c r="AA130" i="44" s="1"/>
  <c r="X130" i="44"/>
  <c r="Y82" i="44"/>
  <c r="X82" i="44"/>
  <c r="W82" i="44"/>
  <c r="Z82" i="44"/>
  <c r="AA82" i="44" s="1"/>
  <c r="Y297" i="44"/>
  <c r="W297" i="44"/>
  <c r="Z297" i="44" s="1"/>
  <c r="AA297" i="44" s="1"/>
  <c r="X297" i="44"/>
  <c r="W129" i="44"/>
  <c r="Z129" i="44" s="1"/>
  <c r="AA129" i="44" s="1"/>
  <c r="X129" i="44"/>
  <c r="Y129" i="44" s="1"/>
  <c r="Y79" i="44"/>
  <c r="W79" i="44"/>
  <c r="Z79" i="44" s="1"/>
  <c r="AA79" i="44" s="1"/>
  <c r="X79" i="44"/>
  <c r="X7" i="44"/>
  <c r="Y7" i="44" s="1"/>
  <c r="W7" i="44"/>
  <c r="Z7" i="44"/>
  <c r="AA7" i="44" s="1"/>
  <c r="X220" i="44"/>
  <c r="Y220" i="44" s="1"/>
  <c r="W220" i="44"/>
  <c r="Z220" i="44" s="1"/>
  <c r="AA220" i="44" s="1"/>
  <c r="Y76" i="44"/>
  <c r="W76" i="44"/>
  <c r="X76" i="44"/>
  <c r="Z76" i="44"/>
  <c r="AA76" i="44" s="1"/>
  <c r="X291" i="44"/>
  <c r="Y291" i="44" s="1"/>
  <c r="W291" i="44"/>
  <c r="Z291" i="44"/>
  <c r="AA291" i="44" s="1"/>
  <c r="X195" i="44"/>
  <c r="Y195" i="44" s="1"/>
  <c r="W195" i="44"/>
  <c r="Z195" i="44"/>
  <c r="AA195" i="44" s="1"/>
  <c r="AB195" i="44" s="1"/>
  <c r="AC195" i="44" s="1"/>
  <c r="X266" i="44"/>
  <c r="W266" i="44"/>
  <c r="Z266" i="44" s="1"/>
  <c r="AA266" i="44" s="1"/>
  <c r="Y266" i="44"/>
  <c r="X50" i="44"/>
  <c r="W50" i="44"/>
  <c r="Y50" i="44"/>
  <c r="Z50" i="44"/>
  <c r="AA50" i="44" s="1"/>
  <c r="X217" i="44"/>
  <c r="W217" i="44"/>
  <c r="Z217" i="44" s="1"/>
  <c r="AA217" i="44" s="1"/>
  <c r="Y217" i="44"/>
  <c r="X145" i="44"/>
  <c r="Y145" i="44" s="1"/>
  <c r="W145" i="44"/>
  <c r="W264" i="44"/>
  <c r="Z264" i="44" s="1"/>
  <c r="AA264" i="44" s="1"/>
  <c r="X264" i="44"/>
  <c r="Y264" i="44" s="1"/>
  <c r="W96" i="44"/>
  <c r="Z96" i="44" s="1"/>
  <c r="AA96" i="44" s="1"/>
  <c r="X96" i="44"/>
  <c r="Y96" i="44"/>
  <c r="X167" i="44"/>
  <c r="W167" i="44"/>
  <c r="Z167" i="44" s="1"/>
  <c r="AA167" i="44" s="1"/>
  <c r="Y167" i="44"/>
  <c r="W238" i="44"/>
  <c r="X238" i="44"/>
  <c r="Y238" i="44" s="1"/>
  <c r="Z238" i="44"/>
  <c r="AA238" i="44" s="1"/>
  <c r="X94" i="44"/>
  <c r="Y94" i="44" s="1"/>
  <c r="W94" i="44"/>
  <c r="Z94" i="44" s="1"/>
  <c r="AA94" i="44" s="1"/>
  <c r="Y285" i="44"/>
  <c r="W285" i="44"/>
  <c r="X285" i="44"/>
  <c r="W69" i="44"/>
  <c r="Z69" i="44" s="1"/>
  <c r="AA69" i="44" s="1"/>
  <c r="X69" i="44"/>
  <c r="Y69" i="44"/>
  <c r="Y260" i="44"/>
  <c r="W260" i="44"/>
  <c r="X260" i="44"/>
  <c r="Z260" i="44"/>
  <c r="AA260" i="44" s="1"/>
  <c r="W140" i="44"/>
  <c r="X140" i="44"/>
  <c r="Y140" i="44"/>
  <c r="Z140" i="44"/>
  <c r="AA140" i="44" s="1"/>
  <c r="W283" i="44"/>
  <c r="X283" i="44"/>
  <c r="Y283" i="44" s="1"/>
  <c r="Z283" i="44"/>
  <c r="AA283" i="44" s="1"/>
  <c r="W235" i="44"/>
  <c r="X235" i="44"/>
  <c r="Y235" i="44" s="1"/>
  <c r="Y210" i="44"/>
  <c r="W210" i="44"/>
  <c r="X210" i="44"/>
  <c r="Z210" i="44"/>
  <c r="AA210" i="44" s="1"/>
  <c r="W90" i="44"/>
  <c r="X90" i="44"/>
  <c r="Y90" i="44" s="1"/>
  <c r="Z90" i="44"/>
  <c r="AA90" i="44" s="1"/>
  <c r="W305" i="44"/>
  <c r="Z305" i="44" s="1"/>
  <c r="AA305" i="44" s="1"/>
  <c r="X305" i="44"/>
  <c r="Y305" i="44" s="1"/>
  <c r="W137" i="44"/>
  <c r="X137" i="44"/>
  <c r="Y137" i="44" s="1"/>
  <c r="Z137" i="44"/>
  <c r="AA137" i="44" s="1"/>
  <c r="W280" i="44"/>
  <c r="X280" i="44"/>
  <c r="Y280" i="44" s="1"/>
  <c r="Z280" i="44"/>
  <c r="AA280" i="44" s="1"/>
  <c r="W40" i="44"/>
  <c r="Z40" i="44" s="1"/>
  <c r="AA40" i="44" s="1"/>
  <c r="X40" i="44"/>
  <c r="Y40" i="44" s="1"/>
  <c r="Y279" i="44"/>
  <c r="W279" i="44"/>
  <c r="X279" i="44"/>
  <c r="Z279" i="44"/>
  <c r="AA279" i="44" s="1"/>
  <c r="Y231" i="44"/>
  <c r="W231" i="44"/>
  <c r="Z231" i="44" s="1"/>
  <c r="AA231" i="44" s="1"/>
  <c r="X231" i="44"/>
  <c r="W135" i="44"/>
  <c r="Z135" i="44" s="1"/>
  <c r="AA135" i="44" s="1"/>
  <c r="X135" i="44"/>
  <c r="Y135" i="44"/>
  <c r="W63" i="44"/>
  <c r="X63" i="44"/>
  <c r="Y63" i="44" s="1"/>
  <c r="Z63" i="44"/>
  <c r="AA63" i="44" s="1"/>
  <c r="W230" i="44"/>
  <c r="X230" i="44"/>
  <c r="Y230" i="44" s="1"/>
  <c r="Z230" i="44"/>
  <c r="AA230" i="44" s="1"/>
  <c r="W86" i="44"/>
  <c r="Z86" i="44" s="1"/>
  <c r="AA86" i="44" s="1"/>
  <c r="X86" i="44"/>
  <c r="Y86" i="44" s="1"/>
  <c r="Y229" i="44"/>
  <c r="W229" i="44"/>
  <c r="X229" i="44"/>
  <c r="Z229" i="44"/>
  <c r="AA229" i="44" s="1"/>
  <c r="W181" i="44"/>
  <c r="Z181" i="44" s="1"/>
  <c r="AA181" i="44" s="1"/>
  <c r="X181" i="44"/>
  <c r="Y181" i="44" s="1"/>
  <c r="W85" i="44"/>
  <c r="Z85" i="44" s="1"/>
  <c r="AA85" i="44" s="1"/>
  <c r="X85" i="44"/>
  <c r="Y85" i="44"/>
  <c r="Y300" i="44"/>
  <c r="W300" i="44"/>
  <c r="Z300" i="44" s="1"/>
  <c r="AA300" i="44" s="1"/>
  <c r="X300" i="44"/>
  <c r="W204" i="44"/>
  <c r="X204" i="44"/>
  <c r="Y204" i="44" s="1"/>
  <c r="Z204" i="44"/>
  <c r="AA204" i="44" s="1"/>
  <c r="W108" i="44"/>
  <c r="Z108" i="44" s="1"/>
  <c r="AA108" i="44" s="1"/>
  <c r="X108" i="44"/>
  <c r="Y108" i="44" s="1"/>
  <c r="W36" i="44"/>
  <c r="X36" i="44"/>
  <c r="Y36" i="44"/>
  <c r="Y275" i="44"/>
  <c r="W275" i="44"/>
  <c r="Z275" i="44" s="1"/>
  <c r="AA275" i="44" s="1"/>
  <c r="X275" i="44"/>
  <c r="W203" i="44"/>
  <c r="Z203" i="44" s="1"/>
  <c r="AA203" i="44" s="1"/>
  <c r="X203" i="44"/>
  <c r="Y203" i="44" s="1"/>
  <c r="W131" i="44"/>
  <c r="X131" i="44"/>
  <c r="Y131" i="44" s="1"/>
  <c r="Z131" i="44"/>
  <c r="AA131" i="44" s="1"/>
  <c r="W107" i="44"/>
  <c r="X107" i="44"/>
  <c r="Y107" i="44"/>
  <c r="Z107" i="44"/>
  <c r="AA107" i="44"/>
  <c r="W274" i="44"/>
  <c r="Z274" i="44" s="1"/>
  <c r="AA274" i="44" s="1"/>
  <c r="X274" i="44"/>
  <c r="Y274" i="44" s="1"/>
  <c r="X106" i="44"/>
  <c r="Y106" i="44" s="1"/>
  <c r="W106" i="44"/>
  <c r="Z106" i="44"/>
  <c r="AA106" i="44"/>
  <c r="X10" i="44"/>
  <c r="Y10" i="44" s="1"/>
  <c r="W10" i="44"/>
  <c r="Z10" i="44"/>
  <c r="AA10" i="44" s="1"/>
  <c r="W273" i="44"/>
  <c r="X273" i="44"/>
  <c r="Y273" i="44" s="1"/>
  <c r="Z273" i="44"/>
  <c r="AA273" i="44" s="1"/>
  <c r="W201" i="44"/>
  <c r="X201" i="44"/>
  <c r="Y201" i="44" s="1"/>
  <c r="Z201" i="44"/>
  <c r="AA201" i="44" s="1"/>
  <c r="AB201" i="44" s="1"/>
  <c r="AC201" i="44" s="1"/>
  <c r="W177" i="44"/>
  <c r="X177" i="44"/>
  <c r="Y177" i="44" s="1"/>
  <c r="Z177" i="44"/>
  <c r="AA177" i="44" s="1"/>
  <c r="Y81" i="44"/>
  <c r="W81" i="44"/>
  <c r="X81" i="44"/>
  <c r="W57" i="44"/>
  <c r="X57" i="44"/>
  <c r="Y57" i="44" s="1"/>
  <c r="Z57" i="44"/>
  <c r="AA57" i="44" s="1"/>
  <c r="Y33" i="44"/>
  <c r="W33" i="44"/>
  <c r="Z33" i="44" s="1"/>
  <c r="AA33" i="44" s="1"/>
  <c r="X33" i="44"/>
  <c r="W9" i="44"/>
  <c r="X9" i="44"/>
  <c r="Y9" i="44" s="1"/>
  <c r="Z9" i="44"/>
  <c r="AA9" i="44" s="1"/>
  <c r="X296" i="44"/>
  <c r="Y296" i="44"/>
  <c r="W296" i="44"/>
  <c r="Z296" i="44"/>
  <c r="AA296" i="44" s="1"/>
  <c r="X272" i="44"/>
  <c r="W272" i="44"/>
  <c r="Y272" i="44"/>
  <c r="Z272" i="44"/>
  <c r="AA272" i="44" s="1"/>
  <c r="X248" i="44"/>
  <c r="Y248" i="44" s="1"/>
  <c r="W248" i="44"/>
  <c r="W224" i="44"/>
  <c r="X224" i="44"/>
  <c r="Y224" i="44" s="1"/>
  <c r="Z224" i="44"/>
  <c r="AA224" i="44" s="1"/>
  <c r="Y200" i="44"/>
  <c r="W200" i="44"/>
  <c r="Z200" i="44" s="1"/>
  <c r="AA200" i="44" s="1"/>
  <c r="X200" i="44"/>
  <c r="X152" i="44"/>
  <c r="W152" i="44"/>
  <c r="Y152" i="44"/>
  <c r="Z152" i="44"/>
  <c r="AA152" i="44" s="1"/>
  <c r="X128" i="44"/>
  <c r="Y128" i="44" s="1"/>
  <c r="W128" i="44"/>
  <c r="Z128" i="44"/>
  <c r="AA128" i="44"/>
  <c r="X295" i="44"/>
  <c r="Y295" i="44" s="1"/>
  <c r="W295" i="44"/>
  <c r="Z295" i="44" s="1"/>
  <c r="AA295" i="44" s="1"/>
  <c r="W271" i="44"/>
  <c r="X271" i="44"/>
  <c r="Y271" i="44"/>
  <c r="X247" i="44"/>
  <c r="Y247" i="44" s="1"/>
  <c r="W247" i="44"/>
  <c r="Z247" i="44" s="1"/>
  <c r="AA247" i="44" s="1"/>
  <c r="X223" i="44"/>
  <c r="Y223" i="44" s="1"/>
  <c r="W223" i="44"/>
  <c r="Z223" i="44" s="1"/>
  <c r="AA223" i="44" s="1"/>
  <c r="W199" i="44"/>
  <c r="X199" i="44"/>
  <c r="Y199" i="44" s="1"/>
  <c r="Z199" i="44"/>
  <c r="AA199" i="44" s="1"/>
  <c r="X175" i="44"/>
  <c r="Y175" i="44" s="1"/>
  <c r="W175" i="44"/>
  <c r="Z175" i="44"/>
  <c r="AA175" i="44" s="1"/>
  <c r="X151" i="44"/>
  <c r="Y151" i="44" s="1"/>
  <c r="W151" i="44"/>
  <c r="Z151" i="44" s="1"/>
  <c r="AA151" i="44" s="1"/>
  <c r="Y127" i="44"/>
  <c r="X127" i="44"/>
  <c r="W127" i="44"/>
  <c r="Z127" i="44"/>
  <c r="AA127" i="44" s="1"/>
  <c r="X103" i="44"/>
  <c r="Y103" i="44" s="1"/>
  <c r="W103" i="44"/>
  <c r="Z103" i="44"/>
  <c r="AA103" i="44" s="1"/>
  <c r="X55" i="44"/>
  <c r="Y55" i="44" s="1"/>
  <c r="W55" i="44"/>
  <c r="Z55" i="44" s="1"/>
  <c r="AA55" i="44" s="1"/>
  <c r="X246" i="44"/>
  <c r="Y246" i="44" s="1"/>
  <c r="W246" i="44"/>
  <c r="Z246" i="44" s="1"/>
  <c r="AA246" i="44" s="1"/>
  <c r="X222" i="44"/>
  <c r="Y222" i="44"/>
  <c r="W222" i="44"/>
  <c r="Z222" i="44"/>
  <c r="AA222" i="44" s="1"/>
  <c r="X198" i="44"/>
  <c r="Y198" i="44" s="1"/>
  <c r="W198" i="44"/>
  <c r="Z198" i="44"/>
  <c r="AA198" i="44" s="1"/>
  <c r="X174" i="44"/>
  <c r="Y174" i="44" s="1"/>
  <c r="W174" i="44"/>
  <c r="Z174" i="44"/>
  <c r="AA174" i="44" s="1"/>
  <c r="X150" i="44"/>
  <c r="Y150" i="44" s="1"/>
  <c r="W150" i="44"/>
  <c r="Z150" i="44" s="1"/>
  <c r="AA150" i="44" s="1"/>
  <c r="X126" i="44"/>
  <c r="Y126" i="44" s="1"/>
  <c r="W126" i="44"/>
  <c r="Z126" i="44"/>
  <c r="AA126" i="44" s="1"/>
  <c r="X102" i="44"/>
  <c r="Y102" i="44" s="1"/>
  <c r="W102" i="44"/>
  <c r="Z102" i="44"/>
  <c r="AA102" i="44"/>
  <c r="W78" i="44"/>
  <c r="AA78" i="44" s="1"/>
  <c r="X78" i="44"/>
  <c r="Y78" i="44" s="1"/>
  <c r="Z78" i="44"/>
  <c r="X54" i="44"/>
  <c r="Y54" i="44" s="1"/>
  <c r="W54" i="44"/>
  <c r="W30" i="44"/>
  <c r="Z30" i="44" s="1"/>
  <c r="AA30" i="44" s="1"/>
  <c r="X30" i="44"/>
  <c r="Y30" i="44" s="1"/>
  <c r="X6" i="44"/>
  <c r="Y6" i="44" s="1"/>
  <c r="W6" i="44"/>
  <c r="Z6" i="44"/>
  <c r="AA6" i="44" s="1"/>
  <c r="X148" i="44"/>
  <c r="W148" i="44"/>
  <c r="Z148" i="44" s="1"/>
  <c r="AA148" i="44" s="1"/>
  <c r="Y148" i="44"/>
  <c r="X219" i="44"/>
  <c r="W219" i="44"/>
  <c r="Y219" i="44"/>
  <c r="Z219" i="44"/>
  <c r="AA219" i="44" s="1"/>
  <c r="W51" i="44"/>
  <c r="Z51" i="44" s="1"/>
  <c r="AA51" i="44" s="1"/>
  <c r="X51" i="44"/>
  <c r="Y51" i="44" s="1"/>
  <c r="X194" i="44"/>
  <c r="Y194" i="44" s="1"/>
  <c r="W194" i="44"/>
  <c r="X98" i="44"/>
  <c r="W98" i="44"/>
  <c r="Z98" i="44" s="1"/>
  <c r="AA98" i="44" s="1"/>
  <c r="Y98" i="44"/>
  <c r="X313" i="44"/>
  <c r="Y313" i="44" s="1"/>
  <c r="W313" i="44"/>
  <c r="Z313" i="44"/>
  <c r="AA313" i="44" s="1"/>
  <c r="W121" i="44"/>
  <c r="X121" i="44"/>
  <c r="Y121" i="44"/>
  <c r="Z121" i="44"/>
  <c r="AA121" i="44"/>
  <c r="W216" i="44"/>
  <c r="X216" i="44"/>
  <c r="Y216" i="44" s="1"/>
  <c r="Z216" i="44"/>
  <c r="AA216" i="44" s="1"/>
  <c r="W72" i="44"/>
  <c r="Z72" i="44" s="1"/>
  <c r="AA72" i="44" s="1"/>
  <c r="X72" i="44"/>
  <c r="Y72" i="44" s="1"/>
  <c r="X119" i="44"/>
  <c r="Y119" i="44" s="1"/>
  <c r="W119" i="44"/>
  <c r="Z119" i="44"/>
  <c r="AA119" i="44" s="1"/>
  <c r="X310" i="44"/>
  <c r="Y310" i="44" s="1"/>
  <c r="W310" i="44"/>
  <c r="Z310" i="44"/>
  <c r="AA310" i="44" s="1"/>
  <c r="X22" i="44"/>
  <c r="Y22" i="44" s="1"/>
  <c r="W22" i="44"/>
  <c r="Z22" i="44" s="1"/>
  <c r="AA22" i="44" s="1"/>
  <c r="Y213" i="44"/>
  <c r="W213" i="44"/>
  <c r="Z213" i="44" s="1"/>
  <c r="AA213" i="44" s="1"/>
  <c r="X213" i="44"/>
  <c r="W141" i="44"/>
  <c r="X141" i="44"/>
  <c r="Y141" i="44"/>
  <c r="Z141" i="44"/>
  <c r="AA141" i="44" s="1"/>
  <c r="Y284" i="44"/>
  <c r="W284" i="44"/>
  <c r="Z284" i="44" s="1"/>
  <c r="AA284" i="44" s="1"/>
  <c r="X284" i="44"/>
  <c r="W92" i="44"/>
  <c r="X92" i="44"/>
  <c r="Y92" i="44"/>
  <c r="Y307" i="44"/>
  <c r="W307" i="44"/>
  <c r="Z307" i="44" s="1"/>
  <c r="AA307" i="44" s="1"/>
  <c r="X307" i="44"/>
  <c r="W258" i="44"/>
  <c r="Z258" i="44" s="1"/>
  <c r="AA258" i="44" s="1"/>
  <c r="X258" i="44"/>
  <c r="Y258" i="44" s="1"/>
  <c r="W42" i="44"/>
  <c r="X42" i="44"/>
  <c r="Y42" i="44" s="1"/>
  <c r="Z42" i="44"/>
  <c r="AA42" i="44" s="1"/>
  <c r="W161" i="44"/>
  <c r="X161" i="44"/>
  <c r="Y161" i="44"/>
  <c r="Z161" i="44"/>
  <c r="AA161" i="44" s="1"/>
  <c r="W65" i="44"/>
  <c r="Z65" i="44" s="1"/>
  <c r="AA65" i="44" s="1"/>
  <c r="X65" i="44"/>
  <c r="Y65" i="44" s="1"/>
  <c r="Y208" i="44"/>
  <c r="W208" i="44"/>
  <c r="X208" i="44"/>
  <c r="Z208" i="44"/>
  <c r="AA208" i="44" s="1"/>
  <c r="W64" i="44"/>
  <c r="Z64" i="44" s="1"/>
  <c r="X64" i="44"/>
  <c r="Y64" i="44" s="1"/>
  <c r="W159" i="44"/>
  <c r="X159" i="44"/>
  <c r="Y159" i="44" s="1"/>
  <c r="Z159" i="44"/>
  <c r="AA159" i="44" s="1"/>
  <c r="W39" i="44"/>
  <c r="X39" i="44"/>
  <c r="Y39" i="44"/>
  <c r="Z39" i="44"/>
  <c r="AA39" i="44" s="1"/>
  <c r="W278" i="44"/>
  <c r="X278" i="44"/>
  <c r="Y278" i="44" s="1"/>
  <c r="Z278" i="44"/>
  <c r="AA278" i="44" s="1"/>
  <c r="W182" i="44"/>
  <c r="X182" i="44"/>
  <c r="Y182" i="44"/>
  <c r="W62" i="44"/>
  <c r="X62" i="44"/>
  <c r="Y62" i="44"/>
  <c r="Z62" i="44"/>
  <c r="AA62" i="44" s="1"/>
  <c r="Y301" i="44"/>
  <c r="W301" i="44"/>
  <c r="Z301" i="44" s="1"/>
  <c r="AA301" i="44" s="1"/>
  <c r="X301" i="44"/>
  <c r="W205" i="44"/>
  <c r="X205" i="44"/>
  <c r="Y205" i="44" s="1"/>
  <c r="Z205" i="44"/>
  <c r="AA205" i="44" s="1"/>
  <c r="W109" i="44"/>
  <c r="X109" i="44"/>
  <c r="Y109" i="44"/>
  <c r="Z109" i="44"/>
  <c r="AA109" i="44" s="1"/>
  <c r="W61" i="44"/>
  <c r="X61" i="44"/>
  <c r="Y61" i="44"/>
  <c r="Z61" i="44"/>
  <c r="AA61" i="44" s="1"/>
  <c r="W180" i="44"/>
  <c r="X180" i="44"/>
  <c r="Y180" i="44"/>
  <c r="W12" i="44"/>
  <c r="X12" i="44"/>
  <c r="Y12" i="44"/>
  <c r="Z12" i="44"/>
  <c r="AA12" i="44" s="1"/>
  <c r="Y251" i="44"/>
  <c r="W251" i="44"/>
  <c r="Z251" i="44" s="1"/>
  <c r="AA251" i="44" s="1"/>
  <c r="X251" i="44"/>
  <c r="W155" i="44"/>
  <c r="X155" i="44"/>
  <c r="Y155" i="44"/>
  <c r="Z155" i="44"/>
  <c r="AA155" i="44" s="1"/>
  <c r="W83" i="44"/>
  <c r="X83" i="44"/>
  <c r="Y83" i="44"/>
  <c r="Z83" i="44"/>
  <c r="AA83" i="44"/>
  <c r="W178" i="44"/>
  <c r="Z178" i="44" s="1"/>
  <c r="AA178" i="44" s="1"/>
  <c r="X178" i="44"/>
  <c r="Y178" i="44" s="1"/>
  <c r="X34" i="44"/>
  <c r="Y34" i="44" s="1"/>
  <c r="W34" i="44"/>
  <c r="Z34" i="44"/>
  <c r="AA34" i="44" s="1"/>
  <c r="W225" i="44"/>
  <c r="Z225" i="44" s="1"/>
  <c r="AA225" i="44" s="1"/>
  <c r="X225" i="44"/>
  <c r="Y225" i="44" s="1"/>
  <c r="Y105" i="44"/>
  <c r="W105" i="44"/>
  <c r="Z105" i="44" s="1"/>
  <c r="AA105" i="44" s="1"/>
  <c r="X105" i="44"/>
  <c r="X31" i="44"/>
  <c r="Y31" i="44" s="1"/>
  <c r="W31" i="44"/>
  <c r="Z31" i="44"/>
  <c r="AA31" i="44" s="1"/>
  <c r="X294" i="44"/>
  <c r="W294" i="44"/>
  <c r="Y294" i="44"/>
  <c r="Z294" i="44"/>
  <c r="AA294" i="44" s="1"/>
  <c r="X270" i="44"/>
  <c r="Y270" i="44"/>
  <c r="W270" i="44"/>
  <c r="Z270" i="44" s="1"/>
  <c r="AA270" i="44" s="1"/>
  <c r="W293" i="44"/>
  <c r="X293" i="44"/>
  <c r="Y293" i="44" s="1"/>
  <c r="X269" i="44"/>
  <c r="Y269" i="44" s="1"/>
  <c r="W269" i="44"/>
  <c r="Z269" i="44" s="1"/>
  <c r="AA269" i="44" s="1"/>
  <c r="X245" i="44"/>
  <c r="W245" i="44"/>
  <c r="Z245" i="44" s="1"/>
  <c r="AA245" i="44" s="1"/>
  <c r="Y245" i="44"/>
  <c r="W221" i="44"/>
  <c r="X221" i="44"/>
  <c r="Y221" i="44" s="1"/>
  <c r="Z221" i="44"/>
  <c r="AA221" i="44" s="1"/>
  <c r="X197" i="44"/>
  <c r="W197" i="44"/>
  <c r="Y197" i="44"/>
  <c r="Z197" i="44"/>
  <c r="AA197" i="44" s="1"/>
  <c r="X173" i="44"/>
  <c r="Y173" i="44" s="1"/>
  <c r="W173" i="44"/>
  <c r="Z173" i="44" s="1"/>
  <c r="AA173" i="44" s="1"/>
  <c r="W149" i="44"/>
  <c r="X149" i="44"/>
  <c r="Y149" i="44"/>
  <c r="X125" i="44"/>
  <c r="Y125" i="44" s="1"/>
  <c r="W125" i="44"/>
  <c r="Z125" i="44" s="1"/>
  <c r="AA125" i="44" s="1"/>
  <c r="X101" i="44"/>
  <c r="W101" i="44"/>
  <c r="Z101" i="44" s="1"/>
  <c r="AA101" i="44" s="1"/>
  <c r="Y101" i="44"/>
  <c r="Y77" i="44"/>
  <c r="W77" i="44"/>
  <c r="Z77" i="44" s="1"/>
  <c r="AA77" i="44" s="1"/>
  <c r="X77" i="44"/>
  <c r="X53" i="44"/>
  <c r="W53" i="44"/>
  <c r="Y53" i="44"/>
  <c r="Z53" i="44"/>
  <c r="AA53" i="44" s="1"/>
  <c r="Y29" i="44"/>
  <c r="W29" i="44"/>
  <c r="Z29" i="44" s="1"/>
  <c r="AA29" i="44" s="1"/>
  <c r="X29" i="44"/>
  <c r="X5" i="44"/>
  <c r="Y5" i="44" s="1"/>
  <c r="W5" i="44"/>
  <c r="Z5" i="44"/>
  <c r="AA5" i="44" s="1"/>
  <c r="AB115" i="44" l="1"/>
  <c r="AC115" i="44" s="1"/>
  <c r="AB92" i="44"/>
  <c r="AC92" i="44" s="1"/>
  <c r="AB194" i="44"/>
  <c r="AC194" i="44" s="1"/>
  <c r="AB248" i="44"/>
  <c r="AC248" i="44" s="1"/>
  <c r="AB285" i="44"/>
  <c r="AC285" i="44" s="1"/>
  <c r="AA104" i="44"/>
  <c r="AB89" i="44"/>
  <c r="AC89" i="44" s="1"/>
  <c r="AB198" i="44"/>
  <c r="AC198" i="44" s="1"/>
  <c r="Z235" i="44"/>
  <c r="AA235" i="44" s="1"/>
  <c r="AB235" i="44" s="1"/>
  <c r="AC235" i="44" s="1"/>
  <c r="AB27" i="44"/>
  <c r="AC27" i="44" s="1"/>
  <c r="AB156" i="44"/>
  <c r="AC156" i="44" s="1"/>
  <c r="AB134" i="44"/>
  <c r="AC134" i="44" s="1"/>
  <c r="AB17" i="44"/>
  <c r="AC17" i="44" s="1"/>
  <c r="AB160" i="44"/>
  <c r="AC160" i="44" s="1"/>
  <c r="AB191" i="44"/>
  <c r="AC191" i="44" s="1"/>
  <c r="AB271" i="44"/>
  <c r="AC271" i="44" s="1"/>
  <c r="AB145" i="44"/>
  <c r="AC145" i="44" s="1"/>
  <c r="AB227" i="44"/>
  <c r="AC227" i="44" s="1"/>
  <c r="Z171" i="44"/>
  <c r="AA171" i="44" s="1"/>
  <c r="AB171" i="44" s="1"/>
  <c r="AC171" i="44" s="1"/>
  <c r="AB173" i="44"/>
  <c r="AC173" i="44" s="1"/>
  <c r="AB270" i="44"/>
  <c r="AC270" i="44" s="1"/>
  <c r="AB151" i="44"/>
  <c r="AC151" i="44" s="1"/>
  <c r="AB81" i="44"/>
  <c r="AC81" i="44" s="1"/>
  <c r="AB220" i="44"/>
  <c r="AC220" i="44" s="1"/>
  <c r="AB168" i="44"/>
  <c r="AC168" i="44" s="1"/>
  <c r="Z123" i="44"/>
  <c r="AA123" i="44" s="1"/>
  <c r="AB123" i="44" s="1"/>
  <c r="AC123" i="44" s="1"/>
  <c r="AB91" i="44"/>
  <c r="AC91" i="44" s="1"/>
  <c r="AB238" i="44"/>
  <c r="AC238" i="44" s="1"/>
  <c r="AB132" i="44"/>
  <c r="AC132" i="44" s="1"/>
  <c r="AB281" i="44"/>
  <c r="AC281" i="44" s="1"/>
  <c r="AB70" i="44"/>
  <c r="AC70" i="44" s="1"/>
  <c r="AB97" i="44"/>
  <c r="AC97" i="44" s="1"/>
  <c r="AB35" i="44"/>
  <c r="AC35" i="44" s="1"/>
  <c r="AB15" i="44"/>
  <c r="AC15" i="44" s="1"/>
  <c r="AB162" i="44"/>
  <c r="AC162" i="44" s="1"/>
  <c r="AB45" i="44"/>
  <c r="AC45" i="44" s="1"/>
  <c r="AB114" i="44"/>
  <c r="AC114" i="44" s="1"/>
  <c r="AB100" i="44"/>
  <c r="AC100" i="44" s="1"/>
  <c r="AB49" i="44"/>
  <c r="AC49" i="44" s="1"/>
  <c r="AB28" i="44"/>
  <c r="AC28" i="44" s="1"/>
  <c r="AB288" i="44"/>
  <c r="AC288" i="44" s="1"/>
  <c r="AB209" i="44"/>
  <c r="AC209" i="44" s="1"/>
  <c r="AB217" i="44"/>
  <c r="AC217" i="44" s="1"/>
  <c r="AB233" i="44"/>
  <c r="AC233" i="44" s="1"/>
  <c r="AB254" i="44"/>
  <c r="AC254" i="44" s="1"/>
  <c r="AB172" i="44"/>
  <c r="AC172" i="44" s="1"/>
  <c r="AB113" i="44"/>
  <c r="AC113" i="44" s="1"/>
  <c r="AB294" i="44"/>
  <c r="AC294" i="44" s="1"/>
  <c r="AB280" i="44"/>
  <c r="AC280" i="44" s="1"/>
  <c r="AB202" i="44"/>
  <c r="AC202" i="44" s="1"/>
  <c r="AB120" i="44"/>
  <c r="AC120" i="44" s="1"/>
  <c r="AB66" i="44"/>
  <c r="AC66" i="44" s="1"/>
  <c r="AB31" i="44"/>
  <c r="AC31" i="44" s="1"/>
  <c r="AB83" i="44"/>
  <c r="AC83" i="44" s="1"/>
  <c r="AB109" i="44"/>
  <c r="AC109" i="44" s="1"/>
  <c r="AB102" i="44"/>
  <c r="AC102" i="44" s="1"/>
  <c r="AB111" i="44"/>
  <c r="AC111" i="44" s="1"/>
  <c r="AB169" i="44"/>
  <c r="AC169" i="44" s="1"/>
  <c r="AB112" i="44"/>
  <c r="AC112" i="44" s="1"/>
  <c r="AB44" i="44"/>
  <c r="AC44" i="44" s="1"/>
  <c r="AB24" i="44"/>
  <c r="AC24" i="44" s="1"/>
  <c r="AB147" i="44"/>
  <c r="AC147" i="44" s="1"/>
  <c r="AB139" i="44"/>
  <c r="AC139" i="44" s="1"/>
  <c r="AB86" i="44"/>
  <c r="AC86" i="44" s="1"/>
  <c r="AB228" i="44"/>
  <c r="AC228" i="44" s="1"/>
  <c r="AB237" i="44"/>
  <c r="AC237" i="44" s="1"/>
  <c r="AB48" i="44"/>
  <c r="AC48" i="44" s="1"/>
  <c r="AB230" i="44"/>
  <c r="AC230" i="44" s="1"/>
  <c r="AB77" i="44"/>
  <c r="AC77" i="44" s="1"/>
  <c r="AB39" i="44"/>
  <c r="AC39" i="44" s="1"/>
  <c r="AB213" i="44"/>
  <c r="AC213" i="44" s="1"/>
  <c r="AB246" i="44"/>
  <c r="AC246" i="44" s="1"/>
  <c r="AB300" i="44"/>
  <c r="AC300" i="44" s="1"/>
  <c r="AB79" i="44"/>
  <c r="AC79" i="44" s="1"/>
  <c r="AB8" i="44"/>
  <c r="AC8" i="44" s="1"/>
  <c r="AB52" i="44"/>
  <c r="AC52" i="44" s="1"/>
  <c r="AB282" i="44"/>
  <c r="AC282" i="44" s="1"/>
  <c r="AB261" i="44"/>
  <c r="AC261" i="44" s="1"/>
  <c r="AB274" i="44"/>
  <c r="AC274" i="44" s="1"/>
  <c r="AB72" i="44"/>
  <c r="AC72" i="44" s="1"/>
  <c r="AB108" i="44"/>
  <c r="AC108" i="44" s="1"/>
  <c r="AB206" i="44"/>
  <c r="AC206" i="44" s="1"/>
  <c r="AB272" i="44"/>
  <c r="AC272" i="44" s="1"/>
  <c r="AB192" i="44"/>
  <c r="AC192" i="44" s="1"/>
  <c r="AB176" i="44"/>
  <c r="AC176" i="44" s="1"/>
  <c r="AB221" i="44"/>
  <c r="AC221" i="44" s="1"/>
  <c r="AB42" i="44"/>
  <c r="AC42" i="44" s="1"/>
  <c r="AB148" i="44"/>
  <c r="AC148" i="44" s="1"/>
  <c r="AB199" i="44"/>
  <c r="AC199" i="44" s="1"/>
  <c r="AB131" i="44"/>
  <c r="AC131" i="44" s="1"/>
  <c r="AB63" i="44"/>
  <c r="AC63" i="44" s="1"/>
  <c r="AB137" i="44"/>
  <c r="AC137" i="44" s="1"/>
  <c r="AB167" i="44"/>
  <c r="AC167" i="44" s="1"/>
  <c r="AB266" i="44"/>
  <c r="AC266" i="44" s="1"/>
  <c r="AB226" i="44"/>
  <c r="AC226" i="44" s="1"/>
  <c r="AB252" i="44"/>
  <c r="AC252" i="44" s="1"/>
  <c r="AB153" i="44"/>
  <c r="AC153" i="44" s="1"/>
  <c r="AB234" i="44"/>
  <c r="AC234" i="44" s="1"/>
  <c r="AB142" i="44"/>
  <c r="AC142" i="44" s="1"/>
  <c r="AB158" i="44"/>
  <c r="AC158" i="44" s="1"/>
  <c r="AB146" i="44"/>
  <c r="AC146" i="44" s="1"/>
  <c r="AB308" i="44"/>
  <c r="AC308" i="44" s="1"/>
  <c r="AB278" i="44"/>
  <c r="AC278" i="44" s="1"/>
  <c r="AB267" i="44"/>
  <c r="AC267" i="44" s="1"/>
  <c r="AB204" i="44"/>
  <c r="AC204" i="44" s="1"/>
  <c r="AB161" i="44"/>
  <c r="AC161" i="44" s="1"/>
  <c r="AB141" i="44"/>
  <c r="AC141" i="44" s="1"/>
  <c r="AB219" i="44"/>
  <c r="AC219" i="44" s="1"/>
  <c r="AB296" i="44"/>
  <c r="AC296" i="44" s="1"/>
  <c r="AB107" i="44"/>
  <c r="AC107" i="44" s="1"/>
  <c r="AB283" i="44"/>
  <c r="AC283" i="44" s="1"/>
  <c r="AB50" i="44"/>
  <c r="AC50" i="44" s="1"/>
  <c r="AB276" i="44"/>
  <c r="AC276" i="44" s="1"/>
  <c r="AB205" i="44"/>
  <c r="AC205" i="44" s="1"/>
  <c r="AB121" i="44"/>
  <c r="AC121" i="44" s="1"/>
  <c r="AB126" i="44"/>
  <c r="AC126" i="44" s="1"/>
  <c r="AB152" i="44"/>
  <c r="AC152" i="44" s="1"/>
  <c r="AB9" i="44"/>
  <c r="AC9" i="44" s="1"/>
  <c r="AB273" i="44"/>
  <c r="AC273" i="44" s="1"/>
  <c r="AB140" i="44"/>
  <c r="AC140" i="44" s="1"/>
  <c r="AB207" i="44"/>
  <c r="AC207" i="44" s="1"/>
  <c r="AB190" i="44"/>
  <c r="AC190" i="44" s="1"/>
  <c r="AB289" i="44"/>
  <c r="AC289" i="44" s="1"/>
  <c r="AB179" i="44"/>
  <c r="AC179" i="44" s="1"/>
  <c r="AB13" i="44"/>
  <c r="AC13" i="44" s="1"/>
  <c r="AB183" i="44"/>
  <c r="AC183" i="44" s="1"/>
  <c r="AB20" i="44"/>
  <c r="AC20" i="44" s="1"/>
  <c r="AB144" i="44"/>
  <c r="AC144" i="44" s="1"/>
  <c r="AB244" i="44"/>
  <c r="AC244" i="44" s="1"/>
  <c r="AB232" i="44"/>
  <c r="AC232" i="44" s="1"/>
  <c r="AB240" i="44"/>
  <c r="AC240" i="44" s="1"/>
  <c r="AB295" i="44"/>
  <c r="AC295" i="44" s="1"/>
  <c r="AB94" i="44"/>
  <c r="AC94" i="44" s="1"/>
  <c r="AB130" i="44"/>
  <c r="AC130" i="44" s="1"/>
  <c r="AB104" i="44"/>
  <c r="AC104" i="44" s="1"/>
  <c r="AB65" i="44"/>
  <c r="AC65" i="44" s="1"/>
  <c r="AB40" i="44"/>
  <c r="AC40" i="44" s="1"/>
  <c r="AB212" i="44"/>
  <c r="AC212" i="44" s="1"/>
  <c r="AB95" i="44"/>
  <c r="AC95" i="44" s="1"/>
  <c r="AB51" i="44"/>
  <c r="AC51" i="44" s="1"/>
  <c r="AB60" i="44"/>
  <c r="AC60" i="44" s="1"/>
  <c r="AB250" i="44"/>
  <c r="AC250" i="44" s="1"/>
  <c r="AB61" i="44"/>
  <c r="AC61" i="44" s="1"/>
  <c r="AB222" i="44"/>
  <c r="AC222" i="44" s="1"/>
  <c r="AB177" i="44"/>
  <c r="AC177" i="44" s="1"/>
  <c r="AB7" i="44"/>
  <c r="AC7" i="44" s="1"/>
  <c r="AB53" i="44"/>
  <c r="AC53" i="44" s="1"/>
  <c r="AB128" i="44"/>
  <c r="AC128" i="44" s="1"/>
  <c r="AB21" i="44"/>
  <c r="AC21" i="44" s="1"/>
  <c r="AB155" i="44"/>
  <c r="AC155" i="44" s="1"/>
  <c r="AB22" i="44"/>
  <c r="AC22" i="44" s="1"/>
  <c r="AB55" i="44"/>
  <c r="AC55" i="44" s="1"/>
  <c r="AB223" i="44"/>
  <c r="AC223" i="44" s="1"/>
  <c r="AB18" i="44"/>
  <c r="AC18" i="44" s="1"/>
  <c r="AB32" i="44"/>
  <c r="AC32" i="44" s="1"/>
  <c r="Z286" i="44"/>
  <c r="AA286" i="44" s="1"/>
  <c r="AB286" i="44" s="1"/>
  <c r="AC286" i="44" s="1"/>
  <c r="AB265" i="44"/>
  <c r="AC265" i="44" s="1"/>
  <c r="AB189" i="44"/>
  <c r="AC189" i="44" s="1"/>
  <c r="AB315" i="44"/>
  <c r="AC315" i="44" s="1"/>
  <c r="AB166" i="44"/>
  <c r="AC166" i="44" s="1"/>
  <c r="AB19" i="44"/>
  <c r="AC19" i="44" s="1"/>
  <c r="AB163" i="44"/>
  <c r="AC163" i="44" s="1"/>
  <c r="AB25" i="44"/>
  <c r="AC25" i="44" s="1"/>
  <c r="AB312" i="44"/>
  <c r="AC312" i="44" s="1"/>
  <c r="AB38" i="44"/>
  <c r="AC38" i="44" s="1"/>
  <c r="AB101" i="44"/>
  <c r="AC101" i="44" s="1"/>
  <c r="AB245" i="44"/>
  <c r="AC245" i="44" s="1"/>
  <c r="AB159" i="44"/>
  <c r="AC159" i="44" s="1"/>
  <c r="AB258" i="44"/>
  <c r="AC258" i="44" s="1"/>
  <c r="AB203" i="44"/>
  <c r="AC203" i="44" s="1"/>
  <c r="AB305" i="44"/>
  <c r="AC305" i="44" s="1"/>
  <c r="AB129" i="44"/>
  <c r="AC129" i="44" s="1"/>
  <c r="AB298" i="44"/>
  <c r="AC298" i="44" s="1"/>
  <c r="AB268" i="44"/>
  <c r="AC268" i="44" s="1"/>
  <c r="AB14" i="44"/>
  <c r="AC14" i="44" s="1"/>
  <c r="AB78" i="44"/>
  <c r="AC78" i="44" s="1"/>
  <c r="AB170" i="44"/>
  <c r="AC170" i="44" s="1"/>
  <c r="AB175" i="44"/>
  <c r="AC175" i="44" s="1"/>
  <c r="AB185" i="44"/>
  <c r="AC185" i="44" s="1"/>
  <c r="AB197" i="44"/>
  <c r="AC197" i="44" s="1"/>
  <c r="AB105" i="44"/>
  <c r="AC105" i="44" s="1"/>
  <c r="AA64" i="44"/>
  <c r="AB313" i="44"/>
  <c r="AC313" i="44" s="1"/>
  <c r="AB6" i="44"/>
  <c r="AC6" i="44" s="1"/>
  <c r="AB10" i="44"/>
  <c r="AC10" i="44" s="1"/>
  <c r="AB85" i="44"/>
  <c r="AC85" i="44" s="1"/>
  <c r="AB135" i="44"/>
  <c r="AC135" i="44" s="1"/>
  <c r="AB260" i="44"/>
  <c r="AC260" i="44" s="1"/>
  <c r="AB249" i="44"/>
  <c r="AC249" i="44" s="1"/>
  <c r="AB299" i="44"/>
  <c r="AC299" i="44" s="1"/>
  <c r="AB46" i="44"/>
  <c r="AC46" i="44" s="1"/>
  <c r="AB136" i="44"/>
  <c r="AC136" i="44" s="1"/>
  <c r="AB164" i="44"/>
  <c r="AC164" i="44" s="1"/>
  <c r="AB251" i="44"/>
  <c r="AC251" i="44" s="1"/>
  <c r="AB301" i="44"/>
  <c r="AC301" i="44" s="1"/>
  <c r="AB200" i="44"/>
  <c r="AC200" i="44" s="1"/>
  <c r="AB33" i="44"/>
  <c r="AC33" i="44" s="1"/>
  <c r="AB96" i="44"/>
  <c r="AC96" i="44" s="1"/>
  <c r="AB37" i="44"/>
  <c r="AC37" i="44" s="1"/>
  <c r="AB303" i="44"/>
  <c r="AC303" i="44" s="1"/>
  <c r="AB143" i="44"/>
  <c r="AC143" i="44" s="1"/>
  <c r="AB242" i="44"/>
  <c r="AC242" i="44" s="1"/>
  <c r="AB56" i="44"/>
  <c r="AC56" i="44" s="1"/>
  <c r="AB133" i="44"/>
  <c r="AC133" i="44" s="1"/>
  <c r="AB88" i="44"/>
  <c r="AC88" i="44" s="1"/>
  <c r="AB187" i="44"/>
  <c r="AC187" i="44" s="1"/>
  <c r="AA277" i="44"/>
  <c r="AB277" i="44" s="1"/>
  <c r="AC277" i="44" s="1"/>
  <c r="AB165" i="44"/>
  <c r="AC165" i="44" s="1"/>
  <c r="AB73" i="44"/>
  <c r="AC73" i="44" s="1"/>
  <c r="AB99" i="44"/>
  <c r="AC99" i="44" s="1"/>
  <c r="AB211" i="44"/>
  <c r="AC211" i="44" s="1"/>
  <c r="AB255" i="44"/>
  <c r="AC255" i="44" s="1"/>
  <c r="AB310" i="44"/>
  <c r="AC310" i="44" s="1"/>
  <c r="AB150" i="44"/>
  <c r="AC150" i="44" s="1"/>
  <c r="AB103" i="44"/>
  <c r="AC103" i="44" s="1"/>
  <c r="AB291" i="44"/>
  <c r="AC291" i="44" s="1"/>
  <c r="AB186" i="44"/>
  <c r="AC186" i="44" s="1"/>
  <c r="AB11" i="44"/>
  <c r="AC11" i="44" s="1"/>
  <c r="AB41" i="44"/>
  <c r="AC41" i="44" s="1"/>
  <c r="AB193" i="44"/>
  <c r="AC193" i="44" s="1"/>
  <c r="AB196" i="44"/>
  <c r="AC196" i="44" s="1"/>
  <c r="AB43" i="44"/>
  <c r="AC43" i="44" s="1"/>
  <c r="AB75" i="44"/>
  <c r="AC75" i="44" s="1"/>
  <c r="AB125" i="44"/>
  <c r="AC125" i="44" s="1"/>
  <c r="AB269" i="44"/>
  <c r="AC269" i="44" s="1"/>
  <c r="AB307" i="44"/>
  <c r="AC307" i="44" s="1"/>
  <c r="AB247" i="44"/>
  <c r="AC247" i="44" s="1"/>
  <c r="AB275" i="44"/>
  <c r="AC275" i="44" s="1"/>
  <c r="AB231" i="44"/>
  <c r="AC231" i="44" s="1"/>
  <c r="AB297" i="44"/>
  <c r="AC297" i="44" s="1"/>
  <c r="AB58" i="44"/>
  <c r="AC58" i="44" s="1"/>
  <c r="AB74" i="44"/>
  <c r="AC74" i="44" s="1"/>
  <c r="AB256" i="44"/>
  <c r="AC256" i="44" s="1"/>
  <c r="AB23" i="44"/>
  <c r="AC23" i="44" s="1"/>
  <c r="AB225" i="44"/>
  <c r="AC225" i="44" s="1"/>
  <c r="AB64" i="44"/>
  <c r="AC64" i="44" s="1"/>
  <c r="AB98" i="44"/>
  <c r="AC98" i="44" s="1"/>
  <c r="AB181" i="44"/>
  <c r="AC181" i="44" s="1"/>
  <c r="AB90" i="44"/>
  <c r="AC90" i="44" s="1"/>
  <c r="AB264" i="44"/>
  <c r="AC264" i="44" s="1"/>
  <c r="AB253" i="44"/>
  <c r="AC253" i="44" s="1"/>
  <c r="AB259" i="44"/>
  <c r="AC259" i="44" s="1"/>
  <c r="AB47" i="44"/>
  <c r="AC47" i="44" s="1"/>
  <c r="AB309" i="44"/>
  <c r="AC309" i="44" s="1"/>
  <c r="AB122" i="44"/>
  <c r="AC122" i="44" s="1"/>
  <c r="AB188" i="44"/>
  <c r="AC188" i="44" s="1"/>
  <c r="AB306" i="44"/>
  <c r="AC306" i="44" s="1"/>
  <c r="AB215" i="44"/>
  <c r="AC215" i="44" s="1"/>
  <c r="Z149" i="44"/>
  <c r="AA149" i="44" s="1"/>
  <c r="AB149" i="44" s="1"/>
  <c r="AC149" i="44" s="1"/>
  <c r="Z293" i="44"/>
  <c r="AA293" i="44" s="1"/>
  <c r="AB293" i="44" s="1"/>
  <c r="AC293" i="44" s="1"/>
  <c r="Z92" i="44"/>
  <c r="AA92" i="44" s="1"/>
  <c r="AB30" i="44"/>
  <c r="AC30" i="44" s="1"/>
  <c r="AB174" i="44"/>
  <c r="AC174" i="44" s="1"/>
  <c r="Z271" i="44"/>
  <c r="AA271" i="44" s="1"/>
  <c r="AB57" i="44"/>
  <c r="AC57" i="44" s="1"/>
  <c r="AB106" i="44"/>
  <c r="AC106" i="44" s="1"/>
  <c r="Z36" i="44"/>
  <c r="AA36" i="44" s="1"/>
  <c r="AB36" i="44" s="1"/>
  <c r="AC36" i="44" s="1"/>
  <c r="AB69" i="44"/>
  <c r="AC69" i="44" s="1"/>
  <c r="AB59" i="44"/>
  <c r="AC59" i="44" s="1"/>
  <c r="AB157" i="44"/>
  <c r="AC157" i="44" s="1"/>
  <c r="AB314" i="44"/>
  <c r="AC314" i="44" s="1"/>
  <c r="AB84" i="44"/>
  <c r="AC84" i="44" s="1"/>
  <c r="AB184" i="44"/>
  <c r="AC184" i="44" s="1"/>
  <c r="AB302" i="44"/>
  <c r="AC302" i="44" s="1"/>
  <c r="AB257" i="44"/>
  <c r="AC257" i="44" s="1"/>
  <c r="AB214" i="44"/>
  <c r="AC214" i="44" s="1"/>
  <c r="AB241" i="44"/>
  <c r="AC241" i="44" s="1"/>
  <c r="Z89" i="44"/>
  <c r="AA89" i="44" s="1"/>
  <c r="Z287" i="44"/>
  <c r="AA287" i="44" s="1"/>
  <c r="AB287" i="44" s="1"/>
  <c r="AC287" i="44" s="1"/>
  <c r="AB243" i="44"/>
  <c r="AC243" i="44" s="1"/>
  <c r="AB29" i="44"/>
  <c r="AC29" i="44" s="1"/>
  <c r="AB284" i="44"/>
  <c r="AC284" i="44" s="1"/>
  <c r="AB178" i="44"/>
  <c r="AC178" i="44" s="1"/>
  <c r="AB263" i="44"/>
  <c r="AC263" i="44" s="1"/>
  <c r="AB216" i="44"/>
  <c r="AC216" i="44" s="1"/>
  <c r="AB12" i="44"/>
  <c r="AC12" i="44" s="1"/>
  <c r="AB62" i="44"/>
  <c r="AC62" i="44" s="1"/>
  <c r="Z194" i="44"/>
  <c r="AA194" i="44" s="1"/>
  <c r="Z54" i="44"/>
  <c r="AA54" i="44" s="1"/>
  <c r="AB54" i="44" s="1"/>
  <c r="AC54" i="44" s="1"/>
  <c r="AB127" i="44"/>
  <c r="AC127" i="44" s="1"/>
  <c r="AB224" i="44"/>
  <c r="AC224" i="44" s="1"/>
  <c r="Z285" i="44"/>
  <c r="AA285" i="44" s="1"/>
  <c r="Z145" i="44"/>
  <c r="AA145" i="44" s="1"/>
  <c r="AB82" i="44"/>
  <c r="AC82" i="44" s="1"/>
  <c r="Z227" i="44"/>
  <c r="AA227" i="44" s="1"/>
  <c r="Z110" i="44"/>
  <c r="AA110" i="44" s="1"/>
  <c r="AB110" i="44" s="1"/>
  <c r="AC110" i="44" s="1"/>
  <c r="AB16" i="44"/>
  <c r="AC16" i="44" s="1"/>
  <c r="AB68" i="44"/>
  <c r="AC68" i="44" s="1"/>
  <c r="AB311" i="44"/>
  <c r="AC311" i="44" s="1"/>
  <c r="Z156" i="44"/>
  <c r="AA156" i="44" s="1"/>
  <c r="Z134" i="44"/>
  <c r="AA134" i="44" s="1"/>
  <c r="Z17" i="44"/>
  <c r="AA17" i="44" s="1"/>
  <c r="Z116" i="44"/>
  <c r="AA116" i="44" s="1"/>
  <c r="AB116" i="44" s="1"/>
  <c r="AC116" i="44" s="1"/>
  <c r="AB218" i="44"/>
  <c r="AC218" i="44" s="1"/>
  <c r="Z160" i="44"/>
  <c r="AA160" i="44" s="1"/>
  <c r="Z290" i="44"/>
  <c r="AA290" i="44" s="1"/>
  <c r="AB290" i="44" s="1"/>
  <c r="AC290" i="44" s="1"/>
  <c r="AB292" i="44"/>
  <c r="AC292" i="44" s="1"/>
  <c r="AB67" i="44"/>
  <c r="AC67" i="44" s="1"/>
  <c r="AB93" i="44"/>
  <c r="AC93" i="44" s="1"/>
  <c r="AB4" i="44"/>
  <c r="AC4" i="44" s="1"/>
  <c r="AB71" i="44"/>
  <c r="AC71" i="44" s="1"/>
  <c r="AB5" i="44"/>
  <c r="AC5" i="44" s="1"/>
  <c r="AB34" i="44"/>
  <c r="AC34" i="44" s="1"/>
  <c r="Z180" i="44"/>
  <c r="AA180" i="44" s="1"/>
  <c r="AB180" i="44" s="1"/>
  <c r="AC180" i="44" s="1"/>
  <c r="Z182" i="44"/>
  <c r="AA182" i="44" s="1"/>
  <c r="AB182" i="44" s="1"/>
  <c r="AC182" i="44" s="1"/>
  <c r="AB208" i="44"/>
  <c r="AC208" i="44" s="1"/>
  <c r="AB119" i="44"/>
  <c r="AC119" i="44" s="1"/>
  <c r="Z248" i="44"/>
  <c r="AA248" i="44" s="1"/>
  <c r="Z81" i="44"/>
  <c r="AA81" i="44" s="1"/>
  <c r="AB229" i="44"/>
  <c r="AC229" i="44" s="1"/>
  <c r="AB279" i="44"/>
  <c r="AC279" i="44" s="1"/>
  <c r="AB210" i="44"/>
  <c r="AC210" i="44" s="1"/>
  <c r="AB76" i="44"/>
  <c r="AC76" i="44" s="1"/>
  <c r="Z304" i="44"/>
  <c r="AA304" i="44" s="1"/>
  <c r="AB304" i="44" s="1"/>
  <c r="AC304" i="44" s="1"/>
  <c r="Z117" i="44"/>
  <c r="AA117" i="44" s="1"/>
  <c r="AB117" i="44" s="1"/>
  <c r="AC117" i="44" s="1"/>
  <c r="Z168" i="44"/>
  <c r="AA168" i="44" s="1"/>
  <c r="Z27" i="44"/>
  <c r="AA27" i="44" s="1"/>
  <c r="AB80" i="44"/>
  <c r="AC80" i="44" s="1"/>
  <c r="AB154" i="44"/>
  <c r="AC154" i="44" s="1"/>
  <c r="AA239" i="44"/>
  <c r="AB239" i="44" s="1"/>
  <c r="AC239" i="44" s="1"/>
  <c r="AB118" i="44"/>
  <c r="AC118" i="44" s="1"/>
  <c r="Z87" i="44"/>
  <c r="AA87" i="44" s="1"/>
  <c r="AB87" i="44" s="1"/>
  <c r="AC87" i="44" s="1"/>
  <c r="Z138" i="44"/>
  <c r="AA138" i="44" s="1"/>
  <c r="AB138" i="44" s="1"/>
  <c r="AC138" i="44" s="1"/>
  <c r="Z191" i="44"/>
  <c r="AA191" i="44" s="1"/>
  <c r="Z26" i="44"/>
  <c r="AA26" i="44" s="1"/>
  <c r="AB26" i="44" s="1"/>
  <c r="AC26" i="44" s="1"/>
  <c r="AB236" i="44"/>
  <c r="AC236" i="44" s="1"/>
  <c r="Z124" i="44"/>
  <c r="AA124" i="44" s="1"/>
  <c r="AB124" i="44" s="1"/>
  <c r="AC124" i="44" s="1"/>
  <c r="Z91" i="44"/>
  <c r="AA91" i="44" s="1"/>
  <c r="Z262" i="44"/>
  <c r="AA262" i="44" s="1"/>
  <c r="AB262" i="44" s="1"/>
  <c r="AC262" i="44" s="1"/>
</calcChain>
</file>

<file path=xl/sharedStrings.xml><?xml version="1.0" encoding="utf-8"?>
<sst xmlns="http://schemas.openxmlformats.org/spreadsheetml/2006/main" count="2609" uniqueCount="87">
  <si>
    <t>Designation</t>
  </si>
  <si>
    <t>Number</t>
  </si>
  <si>
    <t>[-]</t>
  </si>
  <si>
    <t>RT 6 x 6 x 0.188</t>
  </si>
  <si>
    <t>[mm]</t>
  </si>
  <si>
    <t>6061-T6</t>
  </si>
  <si>
    <t>Alloy</t>
  </si>
  <si>
    <t>RT 5 x 3 x 3/16</t>
  </si>
  <si>
    <t>RT 6 x 4 x 1/2</t>
  </si>
  <si>
    <t>ADM 2015</t>
  </si>
  <si>
    <t>H-26334</t>
  </si>
  <si>
    <t>H-12575</t>
  </si>
  <si>
    <t>H-7567</t>
  </si>
  <si>
    <t>H-13989</t>
  </si>
  <si>
    <t>Sahar</t>
  </si>
  <si>
    <t>RT 250x250x35</t>
  </si>
  <si>
    <t>RT 250x250x20</t>
  </si>
  <si>
    <t>RT 300x300x80</t>
  </si>
  <si>
    <t>RT 150x150x10</t>
  </si>
  <si>
    <t>6063-T6</t>
  </si>
  <si>
    <t>6082-T6</t>
  </si>
  <si>
    <t>Source</t>
  </si>
  <si>
    <t>Extruded aluminum</t>
  </si>
  <si>
    <t>Prachi</t>
  </si>
  <si>
    <t>RT 250x150x42</t>
  </si>
  <si>
    <t>RT 180x100x10</t>
  </si>
  <si>
    <t>ΧL+G</t>
  </si>
  <si>
    <t>ΧG</t>
  </si>
  <si>
    <t xml:space="preserve">λG (LBA) </t>
  </si>
  <si>
    <t>t</t>
  </si>
  <si>
    <t/>
  </si>
  <si>
    <t>b</t>
  </si>
  <si>
    <t>h</t>
  </si>
  <si>
    <t>f_FE</t>
  </si>
  <si>
    <t>χ_predicted=χL.χG.f_model</t>
  </si>
  <si>
    <r>
      <t>Member Length 
(</t>
    </r>
    <r>
      <rPr>
        <b/>
        <i/>
        <sz val="11"/>
        <color theme="1"/>
        <rFont val="Calibri"/>
        <family val="2"/>
        <scheme val="minor"/>
      </rPr>
      <t>L</t>
    </r>
    <r>
      <rPr>
        <b/>
        <sz val="11"/>
        <color theme="1"/>
        <rFont val="Calibri"/>
        <family val="2"/>
        <scheme val="minor"/>
      </rPr>
      <t>)</t>
    </r>
  </si>
  <si>
    <t>1/χL</t>
  </si>
  <si>
    <t>F/(1/χL)</t>
  </si>
  <si>
    <t>Gamma_E, sahar</t>
  </si>
  <si>
    <t xml:space="preserve">λL (LBA) </t>
  </si>
  <si>
    <t>Beam/SHELL</t>
  </si>
  <si>
    <t>SHELL</t>
  </si>
  <si>
    <t>BEAM</t>
  </si>
  <si>
    <t>χL+G,OIC​=χL,OIC​×χG,OIC​×fL/G,OIC​</t>
  </si>
  <si>
    <t>XL+G_OIC</t>
  </si>
  <si>
    <t>XL+G_OIC / XL+G_FE</t>
  </si>
  <si>
    <t>χL,FE</t>
  </si>
  <si>
    <t>Gamma_Prachi (h^2)/(bt)</t>
  </si>
  <si>
    <t>XL_OIC-Based on Sahars design model</t>
  </si>
  <si>
    <r>
      <t>alphaG_used_</t>
    </r>
    <r>
      <rPr>
        <b/>
        <sz val="11"/>
        <color rgb="FFFF0000"/>
        <rFont val="Calibri"/>
        <family val="2"/>
        <scheme val="minor"/>
      </rPr>
      <t>Change this</t>
    </r>
    <r>
      <rPr>
        <b/>
        <sz val="11"/>
        <color theme="1"/>
        <rFont val="Calibri"/>
        <family val="2"/>
        <scheme val="minor"/>
      </rPr>
      <t xml:space="preserve"> if calibration changes</t>
    </r>
  </si>
  <si>
    <t xml:space="preserve">FE simulations </t>
  </si>
  <si>
    <t>XG_OIC (later include lambda0 in formula)</t>
  </si>
  <si>
    <r>
      <t xml:space="preserve">f_OIC </t>
    </r>
    <r>
      <rPr>
        <b/>
        <sz val="11"/>
        <color rgb="FFFF0000"/>
        <rFont val="Calibri"/>
        <family val="2"/>
        <scheme val="minor"/>
      </rPr>
      <t>Change</t>
    </r>
    <r>
      <rPr>
        <b/>
        <sz val="11"/>
        <color theme="1"/>
        <rFont val="Calibri"/>
        <family val="2"/>
        <scheme val="minor"/>
      </rPr>
      <t xml:space="preserve"> if recalibration of f happens</t>
    </r>
  </si>
  <si>
    <r>
      <t xml:space="preserve">F0_used </t>
    </r>
    <r>
      <rPr>
        <b/>
        <sz val="11"/>
        <color rgb="FFFF0000"/>
        <rFont val="Calibri"/>
        <family val="2"/>
        <scheme val="minor"/>
      </rPr>
      <t>Change</t>
    </r>
    <r>
      <rPr>
        <b/>
        <sz val="11"/>
        <color theme="1"/>
        <rFont val="Calibri"/>
        <family val="2"/>
        <scheme val="minor"/>
      </rPr>
      <t xml:space="preserve"> if recalibration of f happens</t>
    </r>
  </si>
  <si>
    <t>Model Family</t>
  </si>
  <si>
    <t>Grouping</t>
  </si>
  <si>
    <t>Row selection</t>
  </si>
  <si>
    <t>Fit Goal</t>
  </si>
  <si>
    <t>AP fit mode</t>
  </si>
  <si>
    <t>Delta_G</t>
  </si>
  <si>
    <t>Lambda_0 Trials</t>
  </si>
  <si>
    <t>Practical  range min</t>
  </si>
  <si>
    <t>Practical  range max</t>
  </si>
  <si>
    <t>Weight Practical</t>
  </si>
  <si>
    <t>f mode</t>
  </si>
  <si>
    <t>Use old f as option</t>
  </si>
  <si>
    <t>Preferred scenario index</t>
  </si>
  <si>
    <t>ModifiedAP</t>
  </si>
  <si>
    <t>separate</t>
  </si>
  <si>
    <t>shell_and_beam</t>
  </si>
  <si>
    <t>free_alpha_lambda0</t>
  </si>
  <si>
    <t>no</t>
  </si>
  <si>
    <t>alpha_only</t>
  </si>
  <si>
    <t>alpha_lambda0_fixed</t>
  </si>
  <si>
    <t>0.08,0.10,0.12,0.15</t>
  </si>
  <si>
    <t xml:space="preserve">Note: </t>
  </si>
  <si>
    <t>Fits alpha only, lambdo_0 is fixed to zero in the matlab code</t>
  </si>
  <si>
    <t>Fits alphs, but tries several values of lambda_0_trials</t>
  </si>
  <si>
    <t>Fits both alpha and lambda_zero</t>
  </si>
  <si>
    <t>Practical range</t>
  </si>
  <si>
    <t>Means MATLAB pays attention to slenderness between min and max for safety design fit</t>
  </si>
  <si>
    <t>Beta min</t>
  </si>
  <si>
    <t>Beta max</t>
  </si>
  <si>
    <t>Beta seeds</t>
  </si>
  <si>
    <t>0.70,0.75,0.80,0.85,0.90,0.95,1.00</t>
  </si>
  <si>
    <t>recalibrate</t>
  </si>
  <si>
    <t>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</si>
</sst>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center" vertical="center" textRotation="90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2" fillId="0" borderId="3" xfId="0" applyFont="1" applyBorder="1" applyAlignment="1">
      <alignment horizontal="center" vertical="center" textRotation="90" wrapText="1"/>
    </xf>
    <xf numFmtId="0" fontId="1" fillId="0" borderId="3" xfId="0" applyFont="1" applyBorder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textRotation="90" wrapText="1"/>
    </xf>
    <xf numFmtId="166" fontId="0" fillId="4" borderId="0" xfId="0" applyNumberFormat="1" applyFill="1"/>
    <xf numFmtId="0" fontId="5" fillId="0" borderId="0" xfId="0" applyFont="1"/>
    <xf numFmtId="0" fontId="8" fillId="0" borderId="0" xfId="0" applyFont="1"/>
    <xf numFmtId="0" fontId="8" fillId="4" borderId="0" xfId="0" applyFont="1" applyFill="1"/>
    <xf numFmtId="0" fontId="8" fillId="2" borderId="0" xfId="0" applyFont="1" applyFill="1"/>
    <xf numFmtId="0" fontId="7" fillId="0" borderId="1" xfId="0" applyFont="1" applyBorder="1" applyAlignment="1">
      <alignment horizontal="center"/>
    </xf>
  </cellXfs>
  <cellStyles count="2">
    <cellStyle name="Normal" xfId="0" builtinId="0"/>
    <cellStyle name="Normal 2" xfId="1" xr:uid="{DD06E9BE-20AE-4FE2-8665-D6BBECA3C750}"/>
  </cellStyles>
  <dxfs count="0"/>
  <tableStyles count="0" defaultTableStyle="TableStyleMedium2" defaultPivotStyle="PivotStyleLight16"/>
  <colors>
    <mruColors>
      <color rgb="FFEAE0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f_FE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'OIC-N-Prachi'!$F$4:$F$315</c:f>
              <c:numCache>
                <c:formatCode>General</c:formatCode>
                <c:ptCount val="312"/>
                <c:pt idx="0">
                  <c:v>0.3520228696271529</c:v>
                </c:pt>
                <c:pt idx="1">
                  <c:v>0.36227678558144188</c:v>
                </c:pt>
                <c:pt idx="2">
                  <c:v>0.33723238957270568</c:v>
                </c:pt>
                <c:pt idx="3">
                  <c:v>0.36348195687131518</c:v>
                </c:pt>
                <c:pt idx="4">
                  <c:v>0.34749474707375994</c:v>
                </c:pt>
                <c:pt idx="5">
                  <c:v>0.33398327735428257</c:v>
                </c:pt>
                <c:pt idx="6">
                  <c:v>0.38078445421102458</c:v>
                </c:pt>
                <c:pt idx="7">
                  <c:v>0.33363613629741562</c:v>
                </c:pt>
                <c:pt idx="8">
                  <c:v>0.35441715741883628</c:v>
                </c:pt>
                <c:pt idx="9">
                  <c:v>0.35138558279728999</c:v>
                </c:pt>
                <c:pt idx="10">
                  <c:v>0.34054179802374657</c:v>
                </c:pt>
                <c:pt idx="11">
                  <c:v>0.41682654541392183</c:v>
                </c:pt>
                <c:pt idx="12">
                  <c:v>0.49471595713976174</c:v>
                </c:pt>
                <c:pt idx="13">
                  <c:v>0.66475925712916917</c:v>
                </c:pt>
                <c:pt idx="14">
                  <c:v>0.65832362144919243</c:v>
                </c:pt>
                <c:pt idx="15">
                  <c:v>0.63108264317112994</c:v>
                </c:pt>
                <c:pt idx="16">
                  <c:v>0.64422678650721921</c:v>
                </c:pt>
                <c:pt idx="17">
                  <c:v>0.63177229416296687</c:v>
                </c:pt>
                <c:pt idx="18">
                  <c:v>0.62258660873539096</c:v>
                </c:pt>
                <c:pt idx="19">
                  <c:v>0.65114051677499962</c:v>
                </c:pt>
                <c:pt idx="20">
                  <c:v>0.62112043493460412</c:v>
                </c:pt>
                <c:pt idx="21">
                  <c:v>0.63266145777590554</c:v>
                </c:pt>
                <c:pt idx="22">
                  <c:v>0.62806070302572747</c:v>
                </c:pt>
                <c:pt idx="23">
                  <c:v>0.61799012309234203</c:v>
                </c:pt>
                <c:pt idx="24">
                  <c:v>0.64864204900431999</c:v>
                </c:pt>
                <c:pt idx="25">
                  <c:v>0.65618568561485846</c:v>
                </c:pt>
                <c:pt idx="26">
                  <c:v>0.98550481868304884</c:v>
                </c:pt>
                <c:pt idx="27">
                  <c:v>0.96762544651359206</c:v>
                </c:pt>
                <c:pt idx="28">
                  <c:v>0.93420844229430411</c:v>
                </c:pt>
                <c:pt idx="29">
                  <c:v>0.94169000298360384</c:v>
                </c:pt>
                <c:pt idx="30">
                  <c:v>0.92966300076750841</c:v>
                </c:pt>
                <c:pt idx="31">
                  <c:v>0.92132361806953866</c:v>
                </c:pt>
                <c:pt idx="32">
                  <c:v>0.94255801154632746</c:v>
                </c:pt>
                <c:pt idx="33">
                  <c:v>0.9191033840670102</c:v>
                </c:pt>
                <c:pt idx="34">
                  <c:v>0.92739106652817282</c:v>
                </c:pt>
                <c:pt idx="35">
                  <c:v>0.92215845890848136</c:v>
                </c:pt>
                <c:pt idx="36">
                  <c:v>0.91426446275688567</c:v>
                </c:pt>
                <c:pt idx="37">
                  <c:v>0.93542090762492425</c:v>
                </c:pt>
                <c:pt idx="38">
                  <c:v>0.94057870847457281</c:v>
                </c:pt>
                <c:pt idx="39">
                  <c:v>1.308367325601274</c:v>
                </c:pt>
                <c:pt idx="40">
                  <c:v>1.280590395012595</c:v>
                </c:pt>
                <c:pt idx="41">
                  <c:v>1.2396310124221992</c:v>
                </c:pt>
                <c:pt idx="42">
                  <c:v>1.2437845469282025</c:v>
                </c:pt>
                <c:pt idx="43">
                  <c:v>1.2310179211517354</c:v>
                </c:pt>
                <c:pt idx="44">
                  <c:v>1.2223936185740472</c:v>
                </c:pt>
                <c:pt idx="45">
                  <c:v>1.2402081969746122</c:v>
                </c:pt>
                <c:pt idx="46">
                  <c:v>1.2194693669263841</c:v>
                </c:pt>
                <c:pt idx="47">
                  <c:v>1.226262672174806</c:v>
                </c:pt>
                <c:pt idx="48">
                  <c:v>1.2202101247164803</c:v>
                </c:pt>
                <c:pt idx="49">
                  <c:v>1.2130132658318244</c:v>
                </c:pt>
                <c:pt idx="50">
                  <c:v>1.2292732675590257</c:v>
                </c:pt>
                <c:pt idx="51">
                  <c:v>1.2331083992590666</c:v>
                </c:pt>
                <c:pt idx="52">
                  <c:v>1.6320393555011896</c:v>
                </c:pt>
                <c:pt idx="53">
                  <c:v>1.5951263751321128</c:v>
                </c:pt>
                <c:pt idx="54">
                  <c:v>1.5459710018509198</c:v>
                </c:pt>
                <c:pt idx="55">
                  <c:v>1.5477952811655213</c:v>
                </c:pt>
                <c:pt idx="56">
                  <c:v>1.5337808288012733</c:v>
                </c:pt>
                <c:pt idx="57">
                  <c:v>1.5244413177698863</c:v>
                </c:pt>
                <c:pt idx="58">
                  <c:v>1.5405706897240159</c:v>
                </c:pt>
                <c:pt idx="59">
                  <c:v>1.5208182536291428</c:v>
                </c:pt>
                <c:pt idx="60">
                  <c:v>1.5268599045469813</c:v>
                </c:pt>
                <c:pt idx="61">
                  <c:v>1.5198104800115733</c:v>
                </c:pt>
                <c:pt idx="62">
                  <c:v>1.5127256311483561</c:v>
                </c:pt>
                <c:pt idx="63">
                  <c:v>1.5262000775356239</c:v>
                </c:pt>
                <c:pt idx="64">
                  <c:v>1.5289579626906391</c:v>
                </c:pt>
                <c:pt idx="65">
                  <c:v>1.9562606567481391</c:v>
                </c:pt>
                <c:pt idx="66">
                  <c:v>1.9104302743412696</c:v>
                </c:pt>
                <c:pt idx="67">
                  <c:v>1.8527946221249463</c:v>
                </c:pt>
                <c:pt idx="68">
                  <c:v>1.8528261467874236</c:v>
                </c:pt>
                <c:pt idx="69">
                  <c:v>1.837248329205295</c:v>
                </c:pt>
                <c:pt idx="70">
                  <c:v>1.8269606348279521</c:v>
                </c:pt>
                <c:pt idx="71">
                  <c:v>1.842383679312656</c:v>
                </c:pt>
                <c:pt idx="72">
                  <c:v>1.8225649590039736</c:v>
                </c:pt>
                <c:pt idx="73">
                  <c:v>1.8283038330196857</c:v>
                </c:pt>
                <c:pt idx="74">
                  <c:v>1.8202365497172088</c:v>
                </c:pt>
                <c:pt idx="75">
                  <c:v>1.8129387105548591</c:v>
                </c:pt>
                <c:pt idx="76">
                  <c:v>1.8244910157374075</c:v>
                </c:pt>
                <c:pt idx="77">
                  <c:v>1.8267155528266967</c:v>
                </c:pt>
                <c:pt idx="78">
                  <c:v>2.2805322881544825</c:v>
                </c:pt>
                <c:pt idx="79">
                  <c:v>2.2261183403591125</c:v>
                </c:pt>
                <c:pt idx="80">
                  <c:v>2.159889175233439</c:v>
                </c:pt>
                <c:pt idx="81">
                  <c:v>2.1583084348663566</c:v>
                </c:pt>
                <c:pt idx="82">
                  <c:v>2.1410232234284807</c:v>
                </c:pt>
                <c:pt idx="83">
                  <c:v>2.129772535879157</c:v>
                </c:pt>
                <c:pt idx="84">
                  <c:v>2.1448864969407726</c:v>
                </c:pt>
                <c:pt idx="85">
                  <c:v>2.124611927251729</c:v>
                </c:pt>
                <c:pt idx="86">
                  <c:v>2.1302400784398903</c:v>
                </c:pt>
                <c:pt idx="87">
                  <c:v>2.1210316251810237</c:v>
                </c:pt>
                <c:pt idx="88">
                  <c:v>2.1133969037606217</c:v>
                </c:pt>
                <c:pt idx="89">
                  <c:v>2.1236898701374618</c:v>
                </c:pt>
                <c:pt idx="90">
                  <c:v>2.1254126373339028</c:v>
                </c:pt>
                <c:pt idx="91">
                  <c:v>2.6051130183107332</c:v>
                </c:pt>
                <c:pt idx="92">
                  <c:v>2.5421659741585256</c:v>
                </c:pt>
                <c:pt idx="93">
                  <c:v>2.4671661924270305</c:v>
                </c:pt>
                <c:pt idx="94">
                  <c:v>2.4642404790924348</c:v>
                </c:pt>
                <c:pt idx="95">
                  <c:v>2.4451481853888914</c:v>
                </c:pt>
                <c:pt idx="96">
                  <c:v>2.4327707672167209</c:v>
                </c:pt>
                <c:pt idx="97">
                  <c:v>2.4478183100443269</c:v>
                </c:pt>
                <c:pt idx="98">
                  <c:v>2.4268460174729003</c:v>
                </c:pt>
                <c:pt idx="99">
                  <c:v>2.432438736408324</c:v>
                </c:pt>
                <c:pt idx="100">
                  <c:v>2.422140684031751</c:v>
                </c:pt>
                <c:pt idx="101">
                  <c:v>2.4140775984892939</c:v>
                </c:pt>
                <c:pt idx="102">
                  <c:v>2.4234560732319794</c:v>
                </c:pt>
                <c:pt idx="103">
                  <c:v>2.4248561556719372</c:v>
                </c:pt>
                <c:pt idx="104">
                  <c:v>0.34455655163535986</c:v>
                </c:pt>
                <c:pt idx="105">
                  <c:v>0.34977922387528826</c:v>
                </c:pt>
                <c:pt idx="106">
                  <c:v>0.32884355796068393</c:v>
                </c:pt>
                <c:pt idx="107">
                  <c:v>0.34784642243391678</c:v>
                </c:pt>
                <c:pt idx="108">
                  <c:v>0.3353029761961181</c:v>
                </c:pt>
                <c:pt idx="109">
                  <c:v>0.32504290774501005</c:v>
                </c:pt>
                <c:pt idx="110">
                  <c:v>0.36029040151565567</c:v>
                </c:pt>
                <c:pt idx="111">
                  <c:v>0.32446860724362964</c:v>
                </c:pt>
                <c:pt idx="112">
                  <c:v>0.33965917690914249</c:v>
                </c:pt>
                <c:pt idx="113">
                  <c:v>0.33620666881091366</c:v>
                </c:pt>
                <c:pt idx="114">
                  <c:v>0.32416618489046545</c:v>
                </c:pt>
                <c:pt idx="115">
                  <c:v>0.36565581294375643</c:v>
                </c:pt>
                <c:pt idx="116">
                  <c:v>0.41586611020687841</c:v>
                </c:pt>
                <c:pt idx="117">
                  <c:v>0.66069981065576944</c:v>
                </c:pt>
                <c:pt idx="118">
                  <c:v>0.65143357617793674</c:v>
                </c:pt>
                <c:pt idx="119">
                  <c:v>0.62678157841837168</c:v>
                </c:pt>
                <c:pt idx="120">
                  <c:v>0.63566635179097652</c:v>
                </c:pt>
                <c:pt idx="121">
                  <c:v>0.62552602629992449</c:v>
                </c:pt>
                <c:pt idx="122">
                  <c:v>0.61820294233504225</c:v>
                </c:pt>
                <c:pt idx="123">
                  <c:v>0.63926093031633802</c:v>
                </c:pt>
                <c:pt idx="124">
                  <c:v>0.61674341097316365</c:v>
                </c:pt>
                <c:pt idx="125">
                  <c:v>0.6251293852630998</c:v>
                </c:pt>
                <c:pt idx="126">
                  <c:v>0.62110118527503111</c:v>
                </c:pt>
                <c:pt idx="127">
                  <c:v>0.61352629896797028</c:v>
                </c:pt>
                <c:pt idx="128">
                  <c:v>0.63559004658883567</c:v>
                </c:pt>
                <c:pt idx="129">
                  <c:v>0.64099478893141393</c:v>
                </c:pt>
                <c:pt idx="130">
                  <c:v>0.98269686476305196</c:v>
                </c:pt>
                <c:pt idx="131">
                  <c:v>0.96287784852091096</c:v>
                </c:pt>
                <c:pt idx="132">
                  <c:v>0.93124587718090535</c:v>
                </c:pt>
                <c:pt idx="133">
                  <c:v>0.93577820690276425</c:v>
                </c:pt>
                <c:pt idx="134">
                  <c:v>0.9254119200244777</c:v>
                </c:pt>
                <c:pt idx="135">
                  <c:v>0.91832346192862857</c:v>
                </c:pt>
                <c:pt idx="136">
                  <c:v>0.93428808178359235</c:v>
                </c:pt>
                <c:pt idx="137">
                  <c:v>0.91611552575737876</c:v>
                </c:pt>
                <c:pt idx="138">
                  <c:v>0.92228831066097561</c:v>
                </c:pt>
                <c:pt idx="139">
                  <c:v>0.91750910371580408</c:v>
                </c:pt>
                <c:pt idx="140">
                  <c:v>0.91125147432479414</c:v>
                </c:pt>
                <c:pt idx="141">
                  <c:v>0.92645618293843823</c:v>
                </c:pt>
                <c:pt idx="142">
                  <c:v>0.93009765833123037</c:v>
                </c:pt>
                <c:pt idx="143">
                  <c:v>1.3062111999086947</c:v>
                </c:pt>
                <c:pt idx="144">
                  <c:v>1.2769659561170199</c:v>
                </c:pt>
                <c:pt idx="145">
                  <c:v>1.2373254580325503</c:v>
                </c:pt>
                <c:pt idx="146">
                  <c:v>1.2392724275558027</c:v>
                </c:pt>
                <c:pt idx="147">
                  <c:v>1.227798657810357</c:v>
                </c:pt>
                <c:pt idx="148">
                  <c:v>1.2201012458805527</c:v>
                </c:pt>
                <c:pt idx="149">
                  <c:v>1.2339366742953402</c:v>
                </c:pt>
                <c:pt idx="150">
                  <c:v>1.2171862784209431</c:v>
                </c:pt>
                <c:pt idx="151">
                  <c:v>1.2224214944248373</c:v>
                </c:pt>
                <c:pt idx="152">
                  <c:v>1.2167167274631097</c:v>
                </c:pt>
                <c:pt idx="153">
                  <c:v>1.2107585258101046</c:v>
                </c:pt>
                <c:pt idx="154">
                  <c:v>1.2225183103888855</c:v>
                </c:pt>
                <c:pt idx="155">
                  <c:v>1.2251105095214625</c:v>
                </c:pt>
                <c:pt idx="156">
                  <c:v>1.6302746113418871</c:v>
                </c:pt>
                <c:pt idx="157">
                  <c:v>1.5921380867700705</c:v>
                </c:pt>
                <c:pt idx="158">
                  <c:v>1.5440742740659996</c:v>
                </c:pt>
                <c:pt idx="159">
                  <c:v>1.5441157370401861</c:v>
                </c:pt>
                <c:pt idx="160">
                  <c:v>1.5311764532752616</c:v>
                </c:pt>
                <c:pt idx="161">
                  <c:v>1.5225955935916229</c:v>
                </c:pt>
                <c:pt idx="162">
                  <c:v>1.5355631188901691</c:v>
                </c:pt>
                <c:pt idx="163">
                  <c:v>1.518914313629089</c:v>
                </c:pt>
                <c:pt idx="164">
                  <c:v>1.5237444166883616</c:v>
                </c:pt>
                <c:pt idx="165">
                  <c:v>1.5170157689638357</c:v>
                </c:pt>
                <c:pt idx="166">
                  <c:v>1.5108633033898438</c:v>
                </c:pt>
                <c:pt idx="167">
                  <c:v>1.5206812173314197</c:v>
                </c:pt>
                <c:pt idx="168">
                  <c:v>1.5225204152578657</c:v>
                </c:pt>
                <c:pt idx="169">
                  <c:v>1.954638674872933</c:v>
                </c:pt>
                <c:pt idx="170">
                  <c:v>1.9078977432281112</c:v>
                </c:pt>
                <c:pt idx="171">
                  <c:v>1.8511946912992159</c:v>
                </c:pt>
                <c:pt idx="172">
                  <c:v>1.8497016102845478</c:v>
                </c:pt>
                <c:pt idx="173">
                  <c:v>1.8350100376226455</c:v>
                </c:pt>
                <c:pt idx="174">
                  <c:v>1.8254038162780117</c:v>
                </c:pt>
                <c:pt idx="175">
                  <c:v>1.8381175616120951</c:v>
                </c:pt>
                <c:pt idx="176">
                  <c:v>1.8209329280774289</c:v>
                </c:pt>
                <c:pt idx="177">
                  <c:v>1.825673053507147</c:v>
                </c:pt>
                <c:pt idx="178">
                  <c:v>1.8177697317880748</c:v>
                </c:pt>
                <c:pt idx="179">
                  <c:v>1.8113334887573531</c:v>
                </c:pt>
                <c:pt idx="180">
                  <c:v>1.8199642764425967</c:v>
                </c:pt>
                <c:pt idx="181">
                  <c:v>1.8212726879321752</c:v>
                </c:pt>
                <c:pt idx="182">
                  <c:v>2.2791692844126921</c:v>
                </c:pt>
                <c:pt idx="183">
                  <c:v>2.2239672908029524</c:v>
                </c:pt>
                <c:pt idx="184">
                  <c:v>2.1584858107661722</c:v>
                </c:pt>
                <c:pt idx="185">
                  <c:v>2.1556995393132743</c:v>
                </c:pt>
                <c:pt idx="186">
                  <c:v>2.1391499085928443</c:v>
                </c:pt>
                <c:pt idx="187">
                  <c:v>2.1284069408066935</c:v>
                </c:pt>
                <c:pt idx="188">
                  <c:v>2.1412153718829314</c:v>
                </c:pt>
                <c:pt idx="189">
                  <c:v>2.1232520070839529</c:v>
                </c:pt>
                <c:pt idx="190">
                  <c:v>2.1279919669592062</c:v>
                </c:pt>
                <c:pt idx="191">
                  <c:v>2.1189143683357874</c:v>
                </c:pt>
                <c:pt idx="192">
                  <c:v>2.1120551323612573</c:v>
                </c:pt>
                <c:pt idx="193">
                  <c:v>2.1197932764410994</c:v>
                </c:pt>
                <c:pt idx="194">
                  <c:v>2.120806870956641</c:v>
                </c:pt>
                <c:pt idx="195">
                  <c:v>2.6038500893656984</c:v>
                </c:pt>
                <c:pt idx="196">
                  <c:v>2.5401744659882151</c:v>
                </c:pt>
                <c:pt idx="197">
                  <c:v>2.4658892270949599</c:v>
                </c:pt>
                <c:pt idx="198">
                  <c:v>2.4619191683519537</c:v>
                </c:pt>
                <c:pt idx="199">
                  <c:v>2.4434366377599566</c:v>
                </c:pt>
                <c:pt idx="200">
                  <c:v>2.4315281302995415</c:v>
                </c:pt>
                <c:pt idx="201">
                  <c:v>2.4446090729134755</c:v>
                </c:pt>
                <c:pt idx="202">
                  <c:v>2.4256087983924228</c:v>
                </c:pt>
                <c:pt idx="203">
                  <c:v>2.4304034498066254</c:v>
                </c:pt>
                <c:pt idx="204">
                  <c:v>2.4203064137937762</c:v>
                </c:pt>
                <c:pt idx="205">
                  <c:v>2.4128832043826698</c:v>
                </c:pt>
                <c:pt idx="206">
                  <c:v>2.4199695483058363</c:v>
                </c:pt>
                <c:pt idx="207">
                  <c:v>2.4206570503334337</c:v>
                </c:pt>
                <c:pt idx="208">
                  <c:v>0.35413617890550031</c:v>
                </c:pt>
                <c:pt idx="209">
                  <c:v>0.36575555063632553</c:v>
                </c:pt>
                <c:pt idx="210">
                  <c:v>0.33961050035179291</c:v>
                </c:pt>
                <c:pt idx="211">
                  <c:v>0.36784664919323679</c:v>
                </c:pt>
                <c:pt idx="212">
                  <c:v>0.35098716057126389</c:v>
                </c:pt>
                <c:pt idx="213">
                  <c:v>0.33658410933506894</c:v>
                </c:pt>
                <c:pt idx="214">
                  <c:v>0.38650411256243317</c:v>
                </c:pt>
                <c:pt idx="215">
                  <c:v>0.336341979610015</c:v>
                </c:pt>
                <c:pt idx="216">
                  <c:v>0.35866701181985255</c:v>
                </c:pt>
                <c:pt idx="217">
                  <c:v>0.3561093657549354</c:v>
                </c:pt>
                <c:pt idx="218">
                  <c:v>0.34969339573968788</c:v>
                </c:pt>
                <c:pt idx="219">
                  <c:v>0.43466770617766759</c:v>
                </c:pt>
                <c:pt idx="220">
                  <c:v>0.51500232620346365</c:v>
                </c:pt>
                <c:pt idx="221">
                  <c:v>0.66586794546252925</c:v>
                </c:pt>
                <c:pt idx="222">
                  <c:v>0.66027177224717026</c:v>
                </c:pt>
                <c:pt idx="223">
                  <c:v>0.63232626890871857</c:v>
                </c:pt>
                <c:pt idx="224">
                  <c:v>0.64665065449747583</c:v>
                </c:pt>
                <c:pt idx="225">
                  <c:v>0.63358017287715451</c:v>
                </c:pt>
                <c:pt idx="226">
                  <c:v>0.62383127917766046</c:v>
                </c:pt>
                <c:pt idx="227">
                  <c:v>0.65448327594494449</c:v>
                </c:pt>
                <c:pt idx="228">
                  <c:v>0.62237108068540237</c:v>
                </c:pt>
                <c:pt idx="229">
                  <c:v>0.63480119438718074</c:v>
                </c:pt>
                <c:pt idx="230">
                  <c:v>0.63001398366987593</c:v>
                </c:pt>
                <c:pt idx="231">
                  <c:v>0.61927324339205381</c:v>
                </c:pt>
                <c:pt idx="232">
                  <c:v>0.65229123637753561</c:v>
                </c:pt>
                <c:pt idx="233">
                  <c:v>0.66054438937280391</c:v>
                </c:pt>
                <c:pt idx="234">
                  <c:v>0.98628719603045245</c:v>
                </c:pt>
                <c:pt idx="235">
                  <c:v>0.96893846319938248</c:v>
                </c:pt>
                <c:pt idx="236">
                  <c:v>0.93505148544648831</c:v>
                </c:pt>
                <c:pt idx="237">
                  <c:v>0.94336421939684867</c:v>
                </c:pt>
                <c:pt idx="238">
                  <c:v>0.93089270128162394</c:v>
                </c:pt>
                <c:pt idx="239">
                  <c:v>0.92214429297353084</c:v>
                </c:pt>
                <c:pt idx="240">
                  <c:v>0.9448803861616859</c:v>
                </c:pt>
                <c:pt idx="241">
                  <c:v>0.91994991387120306</c:v>
                </c:pt>
                <c:pt idx="242">
                  <c:v>0.92880021756488751</c:v>
                </c:pt>
                <c:pt idx="243">
                  <c:v>0.92351643624631885</c:v>
                </c:pt>
                <c:pt idx="244">
                  <c:v>0.91511210135694498</c:v>
                </c:pt>
                <c:pt idx="245">
                  <c:v>0.93790163256563375</c:v>
                </c:pt>
                <c:pt idx="246">
                  <c:v>0.94348858205039288</c:v>
                </c:pt>
                <c:pt idx="247">
                  <c:v>1.3089934634299814</c:v>
                </c:pt>
                <c:pt idx="248">
                  <c:v>1.2816238455294844</c:v>
                </c:pt>
                <c:pt idx="249">
                  <c:v>1.2402849246982155</c:v>
                </c:pt>
                <c:pt idx="250">
                  <c:v>1.2450609129949957</c:v>
                </c:pt>
                <c:pt idx="251">
                  <c:v>1.231963698152702</c:v>
                </c:pt>
                <c:pt idx="252">
                  <c:v>1.2230789496832353</c:v>
                </c:pt>
                <c:pt idx="253">
                  <c:v>1.24204687466132</c:v>
                </c:pt>
                <c:pt idx="254">
                  <c:v>1.2201031323051483</c:v>
                </c:pt>
                <c:pt idx="255">
                  <c:v>1.2274022739880239</c:v>
                </c:pt>
                <c:pt idx="256">
                  <c:v>1.2212474514490494</c:v>
                </c:pt>
                <c:pt idx="257">
                  <c:v>1.2136551472517494</c:v>
                </c:pt>
                <c:pt idx="258">
                  <c:v>1.2312296797711155</c:v>
                </c:pt>
                <c:pt idx="259">
                  <c:v>1.2352963728647364</c:v>
                </c:pt>
                <c:pt idx="260">
                  <c:v>1.632577592441512</c:v>
                </c:pt>
                <c:pt idx="261">
                  <c:v>1.5959309685655196</c:v>
                </c:pt>
                <c:pt idx="262">
                  <c:v>1.5465142230613849</c:v>
                </c:pt>
                <c:pt idx="263">
                  <c:v>1.5488221753202531</c:v>
                </c:pt>
                <c:pt idx="264">
                  <c:v>1.5345178114212428</c:v>
                </c:pt>
                <c:pt idx="265">
                  <c:v>1.5249698979027524</c:v>
                </c:pt>
                <c:pt idx="266">
                  <c:v>1.5420689935524832</c:v>
                </c:pt>
                <c:pt idx="267">
                  <c:v>1.521344727866826</c:v>
                </c:pt>
                <c:pt idx="268">
                  <c:v>1.5277249908389099</c:v>
                </c:pt>
                <c:pt idx="269">
                  <c:v>1.520614192873134</c:v>
                </c:pt>
                <c:pt idx="270">
                  <c:v>1.5132993615039374</c:v>
                </c:pt>
                <c:pt idx="271">
                  <c:v>1.5276904612894955</c:v>
                </c:pt>
                <c:pt idx="272">
                  <c:v>1.5308281266338035</c:v>
                </c:pt>
                <c:pt idx="273">
                  <c:v>1.9566428934922648</c:v>
                </c:pt>
                <c:pt idx="274">
                  <c:v>1.9111557177887772</c:v>
                </c:pt>
                <c:pt idx="275">
                  <c:v>1.8533007430843924</c:v>
                </c:pt>
                <c:pt idx="276">
                  <c:v>1.8536735913604871</c:v>
                </c:pt>
                <c:pt idx="277">
                  <c:v>1.8379131423933137</c:v>
                </c:pt>
                <c:pt idx="278">
                  <c:v>1.8274530956911914</c:v>
                </c:pt>
                <c:pt idx="279">
                  <c:v>1.8435596540347734</c:v>
                </c:pt>
                <c:pt idx="280">
                  <c:v>1.8230553772002167</c:v>
                </c:pt>
                <c:pt idx="281">
                  <c:v>1.8290459053197332</c:v>
                </c:pt>
                <c:pt idx="282">
                  <c:v>1.8209208513217547</c:v>
                </c:pt>
                <c:pt idx="283">
                  <c:v>1.8134186600886049</c:v>
                </c:pt>
                <c:pt idx="284">
                  <c:v>1.8257572469051384</c:v>
                </c:pt>
                <c:pt idx="285">
                  <c:v>1.8282563180375457</c:v>
                </c:pt>
                <c:pt idx="286">
                  <c:v>2.2809871557891461</c:v>
                </c:pt>
                <c:pt idx="287">
                  <c:v>2.2267648657718611</c:v>
                </c:pt>
                <c:pt idx="288">
                  <c:v>2.160290637095637</c:v>
                </c:pt>
                <c:pt idx="289">
                  <c:v>2.1590123866704105</c:v>
                </c:pt>
                <c:pt idx="290">
                  <c:v>2.1416158613928169</c:v>
                </c:pt>
                <c:pt idx="291">
                  <c:v>2.1301631711563012</c:v>
                </c:pt>
                <c:pt idx="292">
                  <c:v>2.1458818712470977</c:v>
                </c:pt>
                <c:pt idx="293">
                  <c:v>2.1250010454757144</c:v>
                </c:pt>
                <c:pt idx="294">
                  <c:v>2.1309256008985908</c:v>
                </c:pt>
                <c:pt idx="295">
                  <c:v>2.1216369859573021</c:v>
                </c:pt>
                <c:pt idx="296">
                  <c:v>2.1138394237365121</c:v>
                </c:pt>
                <c:pt idx="297">
                  <c:v>2.1248335821083617</c:v>
                </c:pt>
                <c:pt idx="298">
                  <c:v>2.1267673950040429</c:v>
                </c:pt>
                <c:pt idx="299">
                  <c:v>2.6054685745729462</c:v>
                </c:pt>
                <c:pt idx="300">
                  <c:v>2.5426646302791531</c:v>
                </c:pt>
                <c:pt idx="301">
                  <c:v>2.4675147669526565</c:v>
                </c:pt>
                <c:pt idx="302">
                  <c:v>2.4648221023161909</c:v>
                </c:pt>
                <c:pt idx="303">
                  <c:v>2.4456053915409419</c:v>
                </c:pt>
                <c:pt idx="304">
                  <c:v>2.4331100465777662</c:v>
                </c:pt>
                <c:pt idx="305">
                  <c:v>2.4487372155806399</c:v>
                </c:pt>
                <c:pt idx="306">
                  <c:v>2.4271839422653474</c:v>
                </c:pt>
                <c:pt idx="307">
                  <c:v>2.4330051488302504</c:v>
                </c:pt>
                <c:pt idx="308">
                  <c:v>2.4225984444416584</c:v>
                </c:pt>
                <c:pt idx="309">
                  <c:v>2.4144932400476167</c:v>
                </c:pt>
                <c:pt idx="310">
                  <c:v>2.4244930435615513</c:v>
                </c:pt>
                <c:pt idx="311">
                  <c:v>2.4260143385098485</c:v>
                </c:pt>
              </c:numCache>
            </c:numRef>
          </c:xVal>
          <c:yVal>
            <c:numRef>
              <c:f>'OIC-N-Prachi'!$J$4:$J$315</c:f>
              <c:numCache>
                <c:formatCode>General</c:formatCode>
                <c:ptCount val="312"/>
                <c:pt idx="0">
                  <c:v>0.97894569475517423</c:v>
                </c:pt>
                <c:pt idx="1">
                  <c:v>0.87130249922640646</c:v>
                </c:pt>
                <c:pt idx="2">
                  <c:v>0</c:v>
                </c:pt>
                <c:pt idx="3">
                  <c:v>0.9204213114736649</c:v>
                </c:pt>
                <c:pt idx="4">
                  <c:v>0.95946328773617351</c:v>
                </c:pt>
                <c:pt idx="5">
                  <c:v>0.98368097517146014</c:v>
                </c:pt>
                <c:pt idx="6">
                  <c:v>1.0260306959891885</c:v>
                </c:pt>
                <c:pt idx="7">
                  <c:v>1.0053221912475783</c:v>
                </c:pt>
                <c:pt idx="8">
                  <c:v>1.0398135771384251</c:v>
                </c:pt>
                <c:pt idx="9">
                  <c:v>1.0532708265338633</c:v>
                </c:pt>
                <c:pt idx="10">
                  <c:v>1.0438108817290614</c:v>
                </c:pt>
                <c:pt idx="11">
                  <c:v>1.038688848474328</c:v>
                </c:pt>
                <c:pt idx="12">
                  <c:v>1.0334768185766907</c:v>
                </c:pt>
                <c:pt idx="13">
                  <c:v>0.9798271846194837</c:v>
                </c:pt>
                <c:pt idx="14">
                  <c:v>0.87290438343108012</c:v>
                </c:pt>
                <c:pt idx="15">
                  <c:v>0</c:v>
                </c:pt>
                <c:pt idx="16">
                  <c:v>0.92113559922381827</c:v>
                </c:pt>
                <c:pt idx="17">
                  <c:v>0.95951773329467926</c:v>
                </c:pt>
                <c:pt idx="18">
                  <c:v>0.99390377852397249</c:v>
                </c:pt>
                <c:pt idx="19">
                  <c:v>1.0268818271425353</c:v>
                </c:pt>
                <c:pt idx="20">
                  <c:v>1.005707082563819</c:v>
                </c:pt>
                <c:pt idx="21">
                  <c:v>1.0286534983176647</c:v>
                </c:pt>
                <c:pt idx="22">
                  <c:v>1.0613283686240171</c:v>
                </c:pt>
                <c:pt idx="23">
                  <c:v>1.1073423512089839</c:v>
                </c:pt>
                <c:pt idx="24">
                  <c:v>1.0338331317109013</c:v>
                </c:pt>
                <c:pt idx="25">
                  <c:v>1.0182539252113179</c:v>
                </c:pt>
                <c:pt idx="26">
                  <c:v>0.97924379272937712</c:v>
                </c:pt>
                <c:pt idx="27">
                  <c:v>0.87154331797943696</c:v>
                </c:pt>
                <c:pt idx="28">
                  <c:v>0</c:v>
                </c:pt>
                <c:pt idx="29">
                  <c:v>0.91994296890274296</c:v>
                </c:pt>
                <c:pt idx="30">
                  <c:v>0.95901542180194788</c:v>
                </c:pt>
                <c:pt idx="31">
                  <c:v>0.98348077584366878</c:v>
                </c:pt>
                <c:pt idx="32">
                  <c:v>1.0242525378491694</c:v>
                </c:pt>
                <c:pt idx="33">
                  <c:v>1.0052061119366409</c:v>
                </c:pt>
                <c:pt idx="34">
                  <c:v>1.0267141380478437</c:v>
                </c:pt>
                <c:pt idx="35">
                  <c:v>1.0567551822930628</c:v>
                </c:pt>
                <c:pt idx="36">
                  <c:v>1.1508884569606808</c:v>
                </c:pt>
                <c:pt idx="37">
                  <c:v>1.0105508540317447</c:v>
                </c:pt>
                <c:pt idx="38">
                  <c:v>0.96416064216581099</c:v>
                </c:pt>
                <c:pt idx="39">
                  <c:v>0.97877941012977998</c:v>
                </c:pt>
                <c:pt idx="40">
                  <c:v>0.86970370490057713</c:v>
                </c:pt>
                <c:pt idx="41">
                  <c:v>0</c:v>
                </c:pt>
                <c:pt idx="42">
                  <c:v>0.91898570774786503</c:v>
                </c:pt>
                <c:pt idx="43">
                  <c:v>0.95843790940385909</c:v>
                </c:pt>
                <c:pt idx="44">
                  <c:v>0.98366994359662652</c:v>
                </c:pt>
                <c:pt idx="45">
                  <c:v>1.0232240609880867</c:v>
                </c:pt>
                <c:pt idx="46">
                  <c:v>1.005620164175254</c:v>
                </c:pt>
                <c:pt idx="47">
                  <c:v>1.0266317660149626</c:v>
                </c:pt>
                <c:pt idx="48">
                  <c:v>1.0576233953403427</c:v>
                </c:pt>
                <c:pt idx="49">
                  <c:v>1.1826327363830316</c:v>
                </c:pt>
                <c:pt idx="50">
                  <c:v>1.0962469854945391</c:v>
                </c:pt>
                <c:pt idx="51">
                  <c:v>1.0344528622101763</c:v>
                </c:pt>
                <c:pt idx="52">
                  <c:v>0.97844743361360342</c:v>
                </c:pt>
                <c:pt idx="53">
                  <c:v>0.86889607966502191</c:v>
                </c:pt>
                <c:pt idx="54">
                  <c:v>0</c:v>
                </c:pt>
                <c:pt idx="55">
                  <c:v>0.91813363411776872</c:v>
                </c:pt>
                <c:pt idx="56">
                  <c:v>0.95802631230655111</c:v>
                </c:pt>
                <c:pt idx="57">
                  <c:v>0.98351566540323687</c:v>
                </c:pt>
                <c:pt idx="58">
                  <c:v>1.0224521810578975</c:v>
                </c:pt>
                <c:pt idx="59">
                  <c:v>1.0055131398719308</c:v>
                </c:pt>
                <c:pt idx="60">
                  <c:v>1.0266415027966542</c:v>
                </c:pt>
                <c:pt idx="61">
                  <c:v>1.0615628312942003</c:v>
                </c:pt>
                <c:pt idx="62">
                  <c:v>1.1934029660242575</c:v>
                </c:pt>
                <c:pt idx="63">
                  <c:v>1.201181773839878</c:v>
                </c:pt>
                <c:pt idx="64">
                  <c:v>1.1594241059199144</c:v>
                </c:pt>
                <c:pt idx="65">
                  <c:v>0.97798352866814098</c:v>
                </c:pt>
                <c:pt idx="66">
                  <c:v>0.8682184890285255</c:v>
                </c:pt>
                <c:pt idx="67">
                  <c:v>0</c:v>
                </c:pt>
                <c:pt idx="68">
                  <c:v>0.91750862932732757</c:v>
                </c:pt>
                <c:pt idx="69">
                  <c:v>0.95747292483623914</c:v>
                </c:pt>
                <c:pt idx="70">
                  <c:v>0.9831146049691204</c:v>
                </c:pt>
                <c:pt idx="71">
                  <c:v>1.0218361975040431</c:v>
                </c:pt>
                <c:pt idx="72">
                  <c:v>1.0051670560413724</c:v>
                </c:pt>
                <c:pt idx="73">
                  <c:v>1.0264082827877994</c:v>
                </c:pt>
                <c:pt idx="74">
                  <c:v>1.0623164398809277</c:v>
                </c:pt>
                <c:pt idx="75">
                  <c:v>1.1969286064458895</c:v>
                </c:pt>
                <c:pt idx="76">
                  <c:v>1.2599928422265108</c:v>
                </c:pt>
                <c:pt idx="77">
                  <c:v>1.254793832856643</c:v>
                </c:pt>
                <c:pt idx="78">
                  <c:v>0.97739973699533744</c:v>
                </c:pt>
                <c:pt idx="79">
                  <c:v>0.86742330869873518</c:v>
                </c:pt>
                <c:pt idx="80">
                  <c:v>0</c:v>
                </c:pt>
                <c:pt idx="81">
                  <c:v>0.91670110361892332</c:v>
                </c:pt>
                <c:pt idx="82">
                  <c:v>0.95664725873339795</c:v>
                </c:pt>
                <c:pt idx="83">
                  <c:v>0.98264096640060494</c:v>
                </c:pt>
                <c:pt idx="84">
                  <c:v>1.0207656375993739</c:v>
                </c:pt>
                <c:pt idx="85">
                  <c:v>1.0046858954255975</c:v>
                </c:pt>
                <c:pt idx="86">
                  <c:v>1.0256236016864786</c:v>
                </c:pt>
                <c:pt idx="87">
                  <c:v>1.0624248550043551</c:v>
                </c:pt>
                <c:pt idx="88">
                  <c:v>1.1975782957225767</c:v>
                </c:pt>
                <c:pt idx="89">
                  <c:v>1.2883262200000907</c:v>
                </c:pt>
                <c:pt idx="90">
                  <c:v>1.319617423816317</c:v>
                </c:pt>
                <c:pt idx="91">
                  <c:v>0.97653441873038327</c:v>
                </c:pt>
                <c:pt idx="92">
                  <c:v>0.86611267313477447</c:v>
                </c:pt>
                <c:pt idx="93">
                  <c:v>0</c:v>
                </c:pt>
                <c:pt idx="94">
                  <c:v>0.91557887825025275</c:v>
                </c:pt>
                <c:pt idx="95">
                  <c:v>0.95542217629976312</c:v>
                </c:pt>
                <c:pt idx="96">
                  <c:v>0.98195416649506384</c:v>
                </c:pt>
                <c:pt idx="97">
                  <c:v>1.0195740402028279</c:v>
                </c:pt>
                <c:pt idx="98">
                  <c:v>1.0047273799289744</c:v>
                </c:pt>
                <c:pt idx="99">
                  <c:v>1.0244895375786218</c:v>
                </c:pt>
                <c:pt idx="100">
                  <c:v>1.0617999548771659</c:v>
                </c:pt>
                <c:pt idx="101">
                  <c:v>1.1992479949580306</c:v>
                </c:pt>
                <c:pt idx="102">
                  <c:v>1.3042910423409753</c:v>
                </c:pt>
                <c:pt idx="103">
                  <c:v>1.3628534783365029</c:v>
                </c:pt>
                <c:pt idx="104">
                  <c:v>1.0015191595456592</c:v>
                </c:pt>
                <c:pt idx="105">
                  <c:v>0.83998474030181736</c:v>
                </c:pt>
                <c:pt idx="106">
                  <c:v>0</c:v>
                </c:pt>
                <c:pt idx="107">
                  <c:v>0.82925312419047337</c:v>
                </c:pt>
                <c:pt idx="108">
                  <c:v>0.84280276193993808</c:v>
                </c:pt>
                <c:pt idx="109">
                  <c:v>0.89255385479922633</c:v>
                </c:pt>
                <c:pt idx="110">
                  <c:v>0.93147901767466657</c:v>
                </c:pt>
                <c:pt idx="111">
                  <c:v>0.92037686584077505</c:v>
                </c:pt>
                <c:pt idx="112">
                  <c:v>0.94737604876021608</c:v>
                </c:pt>
                <c:pt idx="113">
                  <c:v>1.0288893794654124</c:v>
                </c:pt>
                <c:pt idx="114">
                  <c:v>1.0579835606892138</c:v>
                </c:pt>
                <c:pt idx="115">
                  <c:v>1.0455446510675037</c:v>
                </c:pt>
                <c:pt idx="116">
                  <c:v>1.0430305726324947</c:v>
                </c:pt>
                <c:pt idx="117">
                  <c:v>1.022328073188586</c:v>
                </c:pt>
                <c:pt idx="118">
                  <c:v>0.85420929257687539</c:v>
                </c:pt>
                <c:pt idx="119">
                  <c:v>0</c:v>
                </c:pt>
                <c:pt idx="120">
                  <c:v>0.84055526345205034</c:v>
                </c:pt>
                <c:pt idx="121">
                  <c:v>0.86250752022022659</c:v>
                </c:pt>
                <c:pt idx="122">
                  <c:v>0.8863592712482864</c:v>
                </c:pt>
                <c:pt idx="123">
                  <c:v>0.93832232353708744</c:v>
                </c:pt>
                <c:pt idx="124">
                  <c:v>0.94887752631845013</c:v>
                </c:pt>
                <c:pt idx="125">
                  <c:v>0.96881244329847716</c:v>
                </c:pt>
                <c:pt idx="126">
                  <c:v>1.0667145677127359</c:v>
                </c:pt>
                <c:pt idx="127">
                  <c:v>1.109330958398099</c:v>
                </c:pt>
                <c:pt idx="128">
                  <c:v>1.1093359237586844</c:v>
                </c:pt>
                <c:pt idx="129">
                  <c:v>1.0782881476869053</c:v>
                </c:pt>
                <c:pt idx="130">
                  <c:v>1.0202137559582469</c:v>
                </c:pt>
                <c:pt idx="131">
                  <c:v>0.85636512026106959</c:v>
                </c:pt>
                <c:pt idx="132">
                  <c:v>0</c:v>
                </c:pt>
                <c:pt idx="133">
                  <c:v>0.83084187606506688</c:v>
                </c:pt>
                <c:pt idx="134">
                  <c:v>0.84355424551998093</c:v>
                </c:pt>
                <c:pt idx="135">
                  <c:v>0.89165527259356625</c:v>
                </c:pt>
                <c:pt idx="136">
                  <c:v>0.9327814833582363</c:v>
                </c:pt>
                <c:pt idx="137">
                  <c:v>0.92788834118499763</c:v>
                </c:pt>
                <c:pt idx="138">
                  <c:v>0.94937342176927586</c:v>
                </c:pt>
                <c:pt idx="139">
                  <c:v>1.0487442786136938</c:v>
                </c:pt>
                <c:pt idx="140">
                  <c:v>1.1240107472705163</c:v>
                </c:pt>
                <c:pt idx="141">
                  <c:v>1.1279025376668319</c:v>
                </c:pt>
                <c:pt idx="142">
                  <c:v>1.0907090377147164</c:v>
                </c:pt>
                <c:pt idx="143">
                  <c:v>1.0026817175004832</c:v>
                </c:pt>
                <c:pt idx="144">
                  <c:v>0.84201126619073396</c:v>
                </c:pt>
                <c:pt idx="145">
                  <c:v>0</c:v>
                </c:pt>
                <c:pt idx="146">
                  <c:v>0.82980992712882606</c:v>
                </c:pt>
                <c:pt idx="147">
                  <c:v>0.84289427267995665</c:v>
                </c:pt>
                <c:pt idx="148">
                  <c:v>0.88289382719095211</c:v>
                </c:pt>
                <c:pt idx="149">
                  <c:v>0.93117275778002118</c:v>
                </c:pt>
                <c:pt idx="150">
                  <c:v>0.92056038222067793</c:v>
                </c:pt>
                <c:pt idx="151">
                  <c:v>0.94786100275208063</c:v>
                </c:pt>
                <c:pt idx="152">
                  <c:v>1.0331535939004419</c:v>
                </c:pt>
                <c:pt idx="153">
                  <c:v>1.1432675333398967</c:v>
                </c:pt>
                <c:pt idx="154">
                  <c:v>1.1891348181251087</c:v>
                </c:pt>
                <c:pt idx="155">
                  <c:v>1.1427819260802385</c:v>
                </c:pt>
                <c:pt idx="156">
                  <c:v>1.0024138277485466</c:v>
                </c:pt>
                <c:pt idx="157">
                  <c:v>0.84098902755641558</c:v>
                </c:pt>
                <c:pt idx="158">
                  <c:v>0</c:v>
                </c:pt>
                <c:pt idx="159">
                  <c:v>0.82913244411540143</c:v>
                </c:pt>
                <c:pt idx="160">
                  <c:v>0.84259384235625023</c:v>
                </c:pt>
                <c:pt idx="161">
                  <c:v>0.88278584784476077</c:v>
                </c:pt>
                <c:pt idx="162">
                  <c:v>0.93053964863830196</c:v>
                </c:pt>
                <c:pt idx="163">
                  <c:v>0.92052087330227017</c:v>
                </c:pt>
                <c:pt idx="164">
                  <c:v>0.94753750332496278</c:v>
                </c:pt>
                <c:pt idx="165">
                  <c:v>1.0362020439221902</c:v>
                </c:pt>
                <c:pt idx="166">
                  <c:v>1.1343501395054927</c:v>
                </c:pt>
                <c:pt idx="167">
                  <c:v>1.2408719733702649</c:v>
                </c:pt>
                <c:pt idx="168">
                  <c:v>1.2410125023705665</c:v>
                </c:pt>
                <c:pt idx="169">
                  <c:v>1.0020804995431889</c:v>
                </c:pt>
                <c:pt idx="170">
                  <c:v>0.84052339358606265</c:v>
                </c:pt>
                <c:pt idx="171">
                  <c:v>0</c:v>
                </c:pt>
                <c:pt idx="172">
                  <c:v>0.82875231116844916</c:v>
                </c:pt>
                <c:pt idx="173">
                  <c:v>0.84361736843045143</c:v>
                </c:pt>
                <c:pt idx="174">
                  <c:v>0.88248620795259369</c:v>
                </c:pt>
                <c:pt idx="175">
                  <c:v>0.92985577754009296</c:v>
                </c:pt>
                <c:pt idx="176">
                  <c:v>0.92033097521716145</c:v>
                </c:pt>
                <c:pt idx="177">
                  <c:v>0.95011937227100185</c:v>
                </c:pt>
                <c:pt idx="178">
                  <c:v>1.0309797744672884</c:v>
                </c:pt>
                <c:pt idx="179">
                  <c:v>1.1483467803416665</c:v>
                </c:pt>
                <c:pt idx="180">
                  <c:v>1.2660632615948735</c:v>
                </c:pt>
                <c:pt idx="181">
                  <c:v>1.3096932316181193</c:v>
                </c:pt>
                <c:pt idx="182">
                  <c:v>1.0016295864190135</c:v>
                </c:pt>
                <c:pt idx="183">
                  <c:v>0.83991938385245912</c:v>
                </c:pt>
                <c:pt idx="184">
                  <c:v>0</c:v>
                </c:pt>
                <c:pt idx="185">
                  <c:v>0.82822891696699863</c:v>
                </c:pt>
                <c:pt idx="186">
                  <c:v>0.84173985951274566</c:v>
                </c:pt>
                <c:pt idx="187">
                  <c:v>0.88222982273429285</c:v>
                </c:pt>
                <c:pt idx="188">
                  <c:v>0.92932976983896232</c:v>
                </c:pt>
                <c:pt idx="189">
                  <c:v>0.92154150754502695</c:v>
                </c:pt>
                <c:pt idx="190">
                  <c:v>0.94672532717466995</c:v>
                </c:pt>
                <c:pt idx="191">
                  <c:v>1.0298602859723442</c:v>
                </c:pt>
                <c:pt idx="192">
                  <c:v>1.1403917917349562</c:v>
                </c:pt>
                <c:pt idx="193">
                  <c:v>1.2757422789415285</c:v>
                </c:pt>
                <c:pt idx="194">
                  <c:v>1.3463469844413318</c:v>
                </c:pt>
                <c:pt idx="195">
                  <c:v>1.0010262415308351</c:v>
                </c:pt>
                <c:pt idx="196">
                  <c:v>0.83907091716241322</c:v>
                </c:pt>
                <c:pt idx="197">
                  <c:v>0</c:v>
                </c:pt>
                <c:pt idx="198">
                  <c:v>0.82747492462438754</c:v>
                </c:pt>
                <c:pt idx="199">
                  <c:v>0.84131075918165066</c:v>
                </c:pt>
                <c:pt idx="200">
                  <c:v>0.88332809794945844</c:v>
                </c:pt>
                <c:pt idx="201">
                  <c:v>0.92867786245504302</c:v>
                </c:pt>
                <c:pt idx="202">
                  <c:v>0.92174937728801265</c:v>
                </c:pt>
                <c:pt idx="203">
                  <c:v>0.94687670076260078</c:v>
                </c:pt>
                <c:pt idx="204">
                  <c:v>1.0294366175105789</c:v>
                </c:pt>
                <c:pt idx="205">
                  <c:v>1.140204466841408</c:v>
                </c:pt>
                <c:pt idx="206">
                  <c:v>1.2841598883044585</c:v>
                </c:pt>
                <c:pt idx="207">
                  <c:v>1.3671363419169107</c:v>
                </c:pt>
                <c:pt idx="208">
                  <c:v>0.93650056173675233</c:v>
                </c:pt>
                <c:pt idx="209">
                  <c:v>0.86474798834079636</c:v>
                </c:pt>
                <c:pt idx="210">
                  <c:v>0</c:v>
                </c:pt>
                <c:pt idx="211">
                  <c:v>0.86334613010303163</c:v>
                </c:pt>
                <c:pt idx="212">
                  <c:v>0.86303414568162728</c:v>
                </c:pt>
                <c:pt idx="213">
                  <c:v>0.93385498595390326</c:v>
                </c:pt>
                <c:pt idx="214">
                  <c:v>0.95694719584859711</c:v>
                </c:pt>
                <c:pt idx="215">
                  <c:v>0.95047000709841212</c:v>
                </c:pt>
                <c:pt idx="216">
                  <c:v>0.99650202899402107</c:v>
                </c:pt>
                <c:pt idx="217">
                  <c:v>1.0301100328897406</c:v>
                </c:pt>
                <c:pt idx="218">
                  <c:v>1.0483787925838932</c:v>
                </c:pt>
                <c:pt idx="219">
                  <c:v>1.0328093571623922</c:v>
                </c:pt>
                <c:pt idx="220">
                  <c:v>1.0305868191067526</c:v>
                </c:pt>
                <c:pt idx="221">
                  <c:v>0.9383268793970736</c:v>
                </c:pt>
                <c:pt idx="222">
                  <c:v>0.8654563365604051</c:v>
                </c:pt>
                <c:pt idx="223">
                  <c:v>0</c:v>
                </c:pt>
                <c:pt idx="224">
                  <c:v>0.84625775830248617</c:v>
                </c:pt>
                <c:pt idx="225">
                  <c:v>0.86369720514757742</c:v>
                </c:pt>
                <c:pt idx="226">
                  <c:v>0.90213848580550915</c:v>
                </c:pt>
                <c:pt idx="227">
                  <c:v>0.9545832889251431</c:v>
                </c:pt>
                <c:pt idx="228">
                  <c:v>0.94092231905461698</c:v>
                </c:pt>
                <c:pt idx="229">
                  <c:v>0.97144652526385744</c:v>
                </c:pt>
                <c:pt idx="230">
                  <c:v>1.0630886514212206</c:v>
                </c:pt>
                <c:pt idx="231">
                  <c:v>1.1291653401185049</c:v>
                </c:pt>
                <c:pt idx="232">
                  <c:v>1.0612971409190075</c:v>
                </c:pt>
                <c:pt idx="233">
                  <c:v>1.0465404347815248</c:v>
                </c:pt>
                <c:pt idx="234">
                  <c:v>0.93811349318483905</c:v>
                </c:pt>
                <c:pt idx="235">
                  <c:v>0.86492605748683271</c:v>
                </c:pt>
                <c:pt idx="236">
                  <c:v>0</c:v>
                </c:pt>
                <c:pt idx="237">
                  <c:v>0.84546944469092122</c:v>
                </c:pt>
                <c:pt idx="238">
                  <c:v>0.862748737328625</c:v>
                </c:pt>
                <c:pt idx="239">
                  <c:v>0.90188175389457448</c:v>
                </c:pt>
                <c:pt idx="240">
                  <c:v>0.94985045454275907</c:v>
                </c:pt>
                <c:pt idx="241">
                  <c:v>0.94055591492007806</c:v>
                </c:pt>
                <c:pt idx="242">
                  <c:v>0.96851263950977162</c:v>
                </c:pt>
                <c:pt idx="243">
                  <c:v>1.0587159658934555</c:v>
                </c:pt>
                <c:pt idx="244">
                  <c:v>1.1876565967855299</c:v>
                </c:pt>
                <c:pt idx="245">
                  <c:v>1.0283684315174455</c:v>
                </c:pt>
                <c:pt idx="246">
                  <c:v>0.97742999284071685</c:v>
                </c:pt>
                <c:pt idx="247">
                  <c:v>0.93767271979335132</c:v>
                </c:pt>
                <c:pt idx="248">
                  <c:v>0.86289205622520826</c:v>
                </c:pt>
                <c:pt idx="249">
                  <c:v>0</c:v>
                </c:pt>
                <c:pt idx="250">
                  <c:v>0.84423696960187411</c:v>
                </c:pt>
                <c:pt idx="251">
                  <c:v>0.86229599686727132</c:v>
                </c:pt>
                <c:pt idx="252">
                  <c:v>0.90196702529070205</c:v>
                </c:pt>
                <c:pt idx="253">
                  <c:v>0.95106921747567008</c:v>
                </c:pt>
                <c:pt idx="254">
                  <c:v>0.9408522836776817</c:v>
                </c:pt>
                <c:pt idx="255">
                  <c:v>0.96816827123259241</c:v>
                </c:pt>
                <c:pt idx="256">
                  <c:v>1.0620441471074653</c:v>
                </c:pt>
                <c:pt idx="257">
                  <c:v>1.2386923665818088</c:v>
                </c:pt>
                <c:pt idx="258">
                  <c:v>1.1042893261144389</c:v>
                </c:pt>
                <c:pt idx="259">
                  <c:v>1.035550191732949</c:v>
                </c:pt>
                <c:pt idx="260">
                  <c:v>0.93737164302168985</c:v>
                </c:pt>
                <c:pt idx="261">
                  <c:v>0.86227680491455949</c:v>
                </c:pt>
                <c:pt idx="262">
                  <c:v>0</c:v>
                </c:pt>
                <c:pt idx="263">
                  <c:v>0.8438045529360173</c:v>
                </c:pt>
                <c:pt idx="264">
                  <c:v>0.86215816424615088</c:v>
                </c:pt>
                <c:pt idx="265">
                  <c:v>0.90182010985239025</c:v>
                </c:pt>
                <c:pt idx="266">
                  <c:v>0.95056386193935327</c:v>
                </c:pt>
                <c:pt idx="267">
                  <c:v>0.94078512878018383</c:v>
                </c:pt>
                <c:pt idx="268">
                  <c:v>0.9687854005072023</c:v>
                </c:pt>
                <c:pt idx="269">
                  <c:v>1.0665019122137882</c:v>
                </c:pt>
                <c:pt idx="270">
                  <c:v>1.254009879603404</c:v>
                </c:pt>
                <c:pt idx="271">
                  <c:v>1.2196391757331522</c:v>
                </c:pt>
                <c:pt idx="272">
                  <c:v>1.1629151588026516</c:v>
                </c:pt>
                <c:pt idx="273">
                  <c:v>0.93696312327795372</c:v>
                </c:pt>
                <c:pt idx="274">
                  <c:v>0.86150444277600091</c:v>
                </c:pt>
                <c:pt idx="275">
                  <c:v>0</c:v>
                </c:pt>
                <c:pt idx="276">
                  <c:v>0.84329533540782875</c:v>
                </c:pt>
                <c:pt idx="277">
                  <c:v>0.86166120343249675</c:v>
                </c:pt>
                <c:pt idx="278">
                  <c:v>0.90153884479629931</c:v>
                </c:pt>
                <c:pt idx="279">
                  <c:v>0.94998156195174943</c:v>
                </c:pt>
                <c:pt idx="280">
                  <c:v>0.94050144219027809</c:v>
                </c:pt>
                <c:pt idx="281">
                  <c:v>0.96862033934051295</c:v>
                </c:pt>
                <c:pt idx="282">
                  <c:v>1.0678378252701981</c:v>
                </c:pt>
                <c:pt idx="283">
                  <c:v>1.2589767182029865</c:v>
                </c:pt>
                <c:pt idx="284">
                  <c:v>1.2872241835302711</c:v>
                </c:pt>
                <c:pt idx="285">
                  <c:v>1.2632574843838276</c:v>
                </c:pt>
                <c:pt idx="286">
                  <c:v>0.93638503989733979</c:v>
                </c:pt>
                <c:pt idx="287">
                  <c:v>0.86071256849454292</c:v>
                </c:pt>
                <c:pt idx="288">
                  <c:v>0</c:v>
                </c:pt>
                <c:pt idx="289">
                  <c:v>0.8425309611245767</c:v>
                </c:pt>
                <c:pt idx="290">
                  <c:v>0.86090179285946589</c:v>
                </c:pt>
                <c:pt idx="291">
                  <c:v>0.90109760572540509</c:v>
                </c:pt>
                <c:pt idx="292">
                  <c:v>0.9489911375065756</c:v>
                </c:pt>
                <c:pt idx="293">
                  <c:v>0.94006089567153928</c:v>
                </c:pt>
                <c:pt idx="294">
                  <c:v>0.96770589097286608</c:v>
                </c:pt>
                <c:pt idx="295">
                  <c:v>1.0677938339557564</c:v>
                </c:pt>
                <c:pt idx="296">
                  <c:v>1.2604727374704987</c:v>
                </c:pt>
                <c:pt idx="297">
                  <c:v>1.3225543426732262</c:v>
                </c:pt>
                <c:pt idx="298">
                  <c:v>1.3357750355690809</c:v>
                </c:pt>
                <c:pt idx="299">
                  <c:v>0.9355623555461835</c:v>
                </c:pt>
                <c:pt idx="300">
                  <c:v>0.85944272002434519</c:v>
                </c:pt>
                <c:pt idx="301">
                  <c:v>0</c:v>
                </c:pt>
                <c:pt idx="302">
                  <c:v>0.84146690504986077</c:v>
                </c:pt>
                <c:pt idx="303">
                  <c:v>0.85995374262796698</c:v>
                </c:pt>
                <c:pt idx="304">
                  <c:v>0.90049328749325286</c:v>
                </c:pt>
                <c:pt idx="305">
                  <c:v>0.94795816101149288</c:v>
                </c:pt>
                <c:pt idx="306">
                  <c:v>0.93944226521306917</c:v>
                </c:pt>
                <c:pt idx="307">
                  <c:v>0.96682038238738122</c:v>
                </c:pt>
                <c:pt idx="308">
                  <c:v>1.0674822409672937</c:v>
                </c:pt>
                <c:pt idx="309">
                  <c:v>1.2603784008300252</c:v>
                </c:pt>
                <c:pt idx="310">
                  <c:v>1.3421023326628183</c:v>
                </c:pt>
                <c:pt idx="311">
                  <c:v>1.3839589273791923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B-4410-896C-159BBB6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9871"/>
        <c:axId val="51520991"/>
      </c:scatterChart>
      <c:valAx>
        <c:axId val="51499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Lambda_G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0991"/>
        <c:crosses val="autoZero"/>
        <c:crossBetween val="midCat"/>
        <c:majorUnit val="0.2"/>
      </c:valAx>
      <c:valAx>
        <c:axId val="51520991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9871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'OIC-N-Prachi'!$F$4:$F$315</c:f>
              <c:numCache>
                <c:formatCode>General</c:formatCode>
                <c:ptCount val="312"/>
                <c:pt idx="0">
                  <c:v>0.3520228696271529</c:v>
                </c:pt>
                <c:pt idx="1">
                  <c:v>0.36227678558144188</c:v>
                </c:pt>
                <c:pt idx="2">
                  <c:v>0.33723238957270568</c:v>
                </c:pt>
                <c:pt idx="3">
                  <c:v>0.36348195687131518</c:v>
                </c:pt>
                <c:pt idx="4">
                  <c:v>0.34749474707375994</c:v>
                </c:pt>
                <c:pt idx="5">
                  <c:v>0.33398327735428257</c:v>
                </c:pt>
                <c:pt idx="6">
                  <c:v>0.38078445421102458</c:v>
                </c:pt>
                <c:pt idx="7">
                  <c:v>0.33363613629741562</c:v>
                </c:pt>
                <c:pt idx="8">
                  <c:v>0.35441715741883628</c:v>
                </c:pt>
                <c:pt idx="9">
                  <c:v>0.35138558279728999</c:v>
                </c:pt>
                <c:pt idx="10">
                  <c:v>0.34054179802374657</c:v>
                </c:pt>
                <c:pt idx="11">
                  <c:v>0.41682654541392183</c:v>
                </c:pt>
                <c:pt idx="12">
                  <c:v>0.49471595713976174</c:v>
                </c:pt>
                <c:pt idx="13">
                  <c:v>0.66475925712916917</c:v>
                </c:pt>
                <c:pt idx="14">
                  <c:v>0.65832362144919243</c:v>
                </c:pt>
                <c:pt idx="15">
                  <c:v>0.63108264317112994</c:v>
                </c:pt>
                <c:pt idx="16">
                  <c:v>0.64422678650721921</c:v>
                </c:pt>
                <c:pt idx="17">
                  <c:v>0.63177229416296687</c:v>
                </c:pt>
                <c:pt idx="18">
                  <c:v>0.62258660873539096</c:v>
                </c:pt>
                <c:pt idx="19">
                  <c:v>0.65114051677499962</c:v>
                </c:pt>
                <c:pt idx="20">
                  <c:v>0.62112043493460412</c:v>
                </c:pt>
                <c:pt idx="21">
                  <c:v>0.63266145777590554</c:v>
                </c:pt>
                <c:pt idx="22">
                  <c:v>0.62806070302572747</c:v>
                </c:pt>
                <c:pt idx="23">
                  <c:v>0.61799012309234203</c:v>
                </c:pt>
                <c:pt idx="24">
                  <c:v>0.64864204900431999</c:v>
                </c:pt>
                <c:pt idx="25">
                  <c:v>0.65618568561485846</c:v>
                </c:pt>
                <c:pt idx="26">
                  <c:v>0.98550481868304884</c:v>
                </c:pt>
                <c:pt idx="27">
                  <c:v>0.96762544651359206</c:v>
                </c:pt>
                <c:pt idx="28">
                  <c:v>0.93420844229430411</c:v>
                </c:pt>
                <c:pt idx="29">
                  <c:v>0.94169000298360384</c:v>
                </c:pt>
                <c:pt idx="30">
                  <c:v>0.92966300076750841</c:v>
                </c:pt>
                <c:pt idx="31">
                  <c:v>0.92132361806953866</c:v>
                </c:pt>
                <c:pt idx="32">
                  <c:v>0.94255801154632746</c:v>
                </c:pt>
                <c:pt idx="33">
                  <c:v>0.9191033840670102</c:v>
                </c:pt>
                <c:pt idx="34">
                  <c:v>0.92739106652817282</c:v>
                </c:pt>
                <c:pt idx="35">
                  <c:v>0.92215845890848136</c:v>
                </c:pt>
                <c:pt idx="36">
                  <c:v>0.91426446275688567</c:v>
                </c:pt>
                <c:pt idx="37">
                  <c:v>0.93542090762492425</c:v>
                </c:pt>
                <c:pt idx="38">
                  <c:v>0.94057870847457281</c:v>
                </c:pt>
                <c:pt idx="39">
                  <c:v>1.308367325601274</c:v>
                </c:pt>
                <c:pt idx="40">
                  <c:v>1.280590395012595</c:v>
                </c:pt>
                <c:pt idx="41">
                  <c:v>1.2396310124221992</c:v>
                </c:pt>
                <c:pt idx="42">
                  <c:v>1.2437845469282025</c:v>
                </c:pt>
                <c:pt idx="43">
                  <c:v>1.2310179211517354</c:v>
                </c:pt>
                <c:pt idx="44">
                  <c:v>1.2223936185740472</c:v>
                </c:pt>
                <c:pt idx="45">
                  <c:v>1.2402081969746122</c:v>
                </c:pt>
                <c:pt idx="46">
                  <c:v>1.2194693669263841</c:v>
                </c:pt>
                <c:pt idx="47">
                  <c:v>1.226262672174806</c:v>
                </c:pt>
                <c:pt idx="48">
                  <c:v>1.2202101247164803</c:v>
                </c:pt>
                <c:pt idx="49">
                  <c:v>1.2130132658318244</c:v>
                </c:pt>
                <c:pt idx="50">
                  <c:v>1.2292732675590257</c:v>
                </c:pt>
                <c:pt idx="51">
                  <c:v>1.2331083992590666</c:v>
                </c:pt>
                <c:pt idx="52">
                  <c:v>1.6320393555011896</c:v>
                </c:pt>
                <c:pt idx="53">
                  <c:v>1.5951263751321128</c:v>
                </c:pt>
                <c:pt idx="54">
                  <c:v>1.5459710018509198</c:v>
                </c:pt>
                <c:pt idx="55">
                  <c:v>1.5477952811655213</c:v>
                </c:pt>
                <c:pt idx="56">
                  <c:v>1.5337808288012733</c:v>
                </c:pt>
                <c:pt idx="57">
                  <c:v>1.5244413177698863</c:v>
                </c:pt>
                <c:pt idx="58">
                  <c:v>1.5405706897240159</c:v>
                </c:pt>
                <c:pt idx="59">
                  <c:v>1.5208182536291428</c:v>
                </c:pt>
                <c:pt idx="60">
                  <c:v>1.5268599045469813</c:v>
                </c:pt>
                <c:pt idx="61">
                  <c:v>1.5198104800115733</c:v>
                </c:pt>
                <c:pt idx="62">
                  <c:v>1.5127256311483561</c:v>
                </c:pt>
                <c:pt idx="63">
                  <c:v>1.5262000775356239</c:v>
                </c:pt>
                <c:pt idx="64">
                  <c:v>1.5289579626906391</c:v>
                </c:pt>
                <c:pt idx="65">
                  <c:v>1.9562606567481391</c:v>
                </c:pt>
                <c:pt idx="66">
                  <c:v>1.9104302743412696</c:v>
                </c:pt>
                <c:pt idx="67">
                  <c:v>1.8527946221249463</c:v>
                </c:pt>
                <c:pt idx="68">
                  <c:v>1.8528261467874236</c:v>
                </c:pt>
                <c:pt idx="69">
                  <c:v>1.837248329205295</c:v>
                </c:pt>
                <c:pt idx="70">
                  <c:v>1.8269606348279521</c:v>
                </c:pt>
                <c:pt idx="71">
                  <c:v>1.842383679312656</c:v>
                </c:pt>
                <c:pt idx="72">
                  <c:v>1.8225649590039736</c:v>
                </c:pt>
                <c:pt idx="73">
                  <c:v>1.8283038330196857</c:v>
                </c:pt>
                <c:pt idx="74">
                  <c:v>1.8202365497172088</c:v>
                </c:pt>
                <c:pt idx="75">
                  <c:v>1.8129387105548591</c:v>
                </c:pt>
                <c:pt idx="76">
                  <c:v>1.8244910157374075</c:v>
                </c:pt>
                <c:pt idx="77">
                  <c:v>1.8267155528266967</c:v>
                </c:pt>
                <c:pt idx="78">
                  <c:v>2.2805322881544825</c:v>
                </c:pt>
                <c:pt idx="79">
                  <c:v>2.2261183403591125</c:v>
                </c:pt>
                <c:pt idx="80">
                  <c:v>2.159889175233439</c:v>
                </c:pt>
                <c:pt idx="81">
                  <c:v>2.1583084348663566</c:v>
                </c:pt>
                <c:pt idx="82">
                  <c:v>2.1410232234284807</c:v>
                </c:pt>
                <c:pt idx="83">
                  <c:v>2.129772535879157</c:v>
                </c:pt>
                <c:pt idx="84">
                  <c:v>2.1448864969407726</c:v>
                </c:pt>
                <c:pt idx="85">
                  <c:v>2.124611927251729</c:v>
                </c:pt>
                <c:pt idx="86">
                  <c:v>2.1302400784398903</c:v>
                </c:pt>
                <c:pt idx="87">
                  <c:v>2.1210316251810237</c:v>
                </c:pt>
                <c:pt idx="88">
                  <c:v>2.1133969037606217</c:v>
                </c:pt>
                <c:pt idx="89">
                  <c:v>2.1236898701374618</c:v>
                </c:pt>
                <c:pt idx="90">
                  <c:v>2.1254126373339028</c:v>
                </c:pt>
                <c:pt idx="91">
                  <c:v>2.6051130183107332</c:v>
                </c:pt>
                <c:pt idx="92">
                  <c:v>2.5421659741585256</c:v>
                </c:pt>
                <c:pt idx="93">
                  <c:v>2.4671661924270305</c:v>
                </c:pt>
                <c:pt idx="94">
                  <c:v>2.4642404790924348</c:v>
                </c:pt>
                <c:pt idx="95">
                  <c:v>2.4451481853888914</c:v>
                </c:pt>
                <c:pt idx="96">
                  <c:v>2.4327707672167209</c:v>
                </c:pt>
                <c:pt idx="97">
                  <c:v>2.4478183100443269</c:v>
                </c:pt>
                <c:pt idx="98">
                  <c:v>2.4268460174729003</c:v>
                </c:pt>
                <c:pt idx="99">
                  <c:v>2.432438736408324</c:v>
                </c:pt>
                <c:pt idx="100">
                  <c:v>2.422140684031751</c:v>
                </c:pt>
                <c:pt idx="101">
                  <c:v>2.4140775984892939</c:v>
                </c:pt>
                <c:pt idx="102">
                  <c:v>2.4234560732319794</c:v>
                </c:pt>
                <c:pt idx="103">
                  <c:v>2.4248561556719372</c:v>
                </c:pt>
                <c:pt idx="104">
                  <c:v>0.34455655163535986</c:v>
                </c:pt>
                <c:pt idx="105">
                  <c:v>0.34977922387528826</c:v>
                </c:pt>
                <c:pt idx="106">
                  <c:v>0.32884355796068393</c:v>
                </c:pt>
                <c:pt idx="107">
                  <c:v>0.34784642243391678</c:v>
                </c:pt>
                <c:pt idx="108">
                  <c:v>0.3353029761961181</c:v>
                </c:pt>
                <c:pt idx="109">
                  <c:v>0.32504290774501005</c:v>
                </c:pt>
                <c:pt idx="110">
                  <c:v>0.36029040151565567</c:v>
                </c:pt>
                <c:pt idx="111">
                  <c:v>0.32446860724362964</c:v>
                </c:pt>
                <c:pt idx="112">
                  <c:v>0.33965917690914249</c:v>
                </c:pt>
                <c:pt idx="113">
                  <c:v>0.33620666881091366</c:v>
                </c:pt>
                <c:pt idx="114">
                  <c:v>0.32416618489046545</c:v>
                </c:pt>
                <c:pt idx="115">
                  <c:v>0.36565581294375643</c:v>
                </c:pt>
                <c:pt idx="116">
                  <c:v>0.41586611020687841</c:v>
                </c:pt>
                <c:pt idx="117">
                  <c:v>0.66069981065576944</c:v>
                </c:pt>
                <c:pt idx="118">
                  <c:v>0.65143357617793674</c:v>
                </c:pt>
                <c:pt idx="119">
                  <c:v>0.62678157841837168</c:v>
                </c:pt>
                <c:pt idx="120">
                  <c:v>0.63566635179097652</c:v>
                </c:pt>
                <c:pt idx="121">
                  <c:v>0.62552602629992449</c:v>
                </c:pt>
                <c:pt idx="122">
                  <c:v>0.61820294233504225</c:v>
                </c:pt>
                <c:pt idx="123">
                  <c:v>0.63926093031633802</c:v>
                </c:pt>
                <c:pt idx="124">
                  <c:v>0.61674341097316365</c:v>
                </c:pt>
                <c:pt idx="125">
                  <c:v>0.6251293852630998</c:v>
                </c:pt>
                <c:pt idx="126">
                  <c:v>0.62110118527503111</c:v>
                </c:pt>
                <c:pt idx="127">
                  <c:v>0.61352629896797028</c:v>
                </c:pt>
                <c:pt idx="128">
                  <c:v>0.63559004658883567</c:v>
                </c:pt>
                <c:pt idx="129">
                  <c:v>0.64099478893141393</c:v>
                </c:pt>
                <c:pt idx="130">
                  <c:v>0.98269686476305196</c:v>
                </c:pt>
                <c:pt idx="131">
                  <c:v>0.96287784852091096</c:v>
                </c:pt>
                <c:pt idx="132">
                  <c:v>0.93124587718090535</c:v>
                </c:pt>
                <c:pt idx="133">
                  <c:v>0.93577820690276425</c:v>
                </c:pt>
                <c:pt idx="134">
                  <c:v>0.9254119200244777</c:v>
                </c:pt>
                <c:pt idx="135">
                  <c:v>0.91832346192862857</c:v>
                </c:pt>
                <c:pt idx="136">
                  <c:v>0.93428808178359235</c:v>
                </c:pt>
                <c:pt idx="137">
                  <c:v>0.91611552575737876</c:v>
                </c:pt>
                <c:pt idx="138">
                  <c:v>0.92228831066097561</c:v>
                </c:pt>
                <c:pt idx="139">
                  <c:v>0.91750910371580408</c:v>
                </c:pt>
                <c:pt idx="140">
                  <c:v>0.91125147432479414</c:v>
                </c:pt>
                <c:pt idx="141">
                  <c:v>0.92645618293843823</c:v>
                </c:pt>
                <c:pt idx="142">
                  <c:v>0.93009765833123037</c:v>
                </c:pt>
                <c:pt idx="143">
                  <c:v>1.3062111999086947</c:v>
                </c:pt>
                <c:pt idx="144">
                  <c:v>1.2769659561170199</c:v>
                </c:pt>
                <c:pt idx="145">
                  <c:v>1.2373254580325503</c:v>
                </c:pt>
                <c:pt idx="146">
                  <c:v>1.2392724275558027</c:v>
                </c:pt>
                <c:pt idx="147">
                  <c:v>1.227798657810357</c:v>
                </c:pt>
                <c:pt idx="148">
                  <c:v>1.2201012458805527</c:v>
                </c:pt>
                <c:pt idx="149">
                  <c:v>1.2339366742953402</c:v>
                </c:pt>
                <c:pt idx="150">
                  <c:v>1.2171862784209431</c:v>
                </c:pt>
                <c:pt idx="151">
                  <c:v>1.2224214944248373</c:v>
                </c:pt>
                <c:pt idx="152">
                  <c:v>1.2167167274631097</c:v>
                </c:pt>
                <c:pt idx="153">
                  <c:v>1.2107585258101046</c:v>
                </c:pt>
                <c:pt idx="154">
                  <c:v>1.2225183103888855</c:v>
                </c:pt>
                <c:pt idx="155">
                  <c:v>1.2251105095214625</c:v>
                </c:pt>
                <c:pt idx="156">
                  <c:v>1.6302746113418871</c:v>
                </c:pt>
                <c:pt idx="157">
                  <c:v>1.5921380867700705</c:v>
                </c:pt>
                <c:pt idx="158">
                  <c:v>1.5440742740659996</c:v>
                </c:pt>
                <c:pt idx="159">
                  <c:v>1.5441157370401861</c:v>
                </c:pt>
                <c:pt idx="160">
                  <c:v>1.5311764532752616</c:v>
                </c:pt>
                <c:pt idx="161">
                  <c:v>1.5225955935916229</c:v>
                </c:pt>
                <c:pt idx="162">
                  <c:v>1.5355631188901691</c:v>
                </c:pt>
                <c:pt idx="163">
                  <c:v>1.518914313629089</c:v>
                </c:pt>
                <c:pt idx="164">
                  <c:v>1.5237444166883616</c:v>
                </c:pt>
                <c:pt idx="165">
                  <c:v>1.5170157689638357</c:v>
                </c:pt>
                <c:pt idx="166">
                  <c:v>1.5108633033898438</c:v>
                </c:pt>
                <c:pt idx="167">
                  <c:v>1.5206812173314197</c:v>
                </c:pt>
                <c:pt idx="168">
                  <c:v>1.5225204152578657</c:v>
                </c:pt>
                <c:pt idx="169">
                  <c:v>1.954638674872933</c:v>
                </c:pt>
                <c:pt idx="170">
                  <c:v>1.9078977432281112</c:v>
                </c:pt>
                <c:pt idx="171">
                  <c:v>1.8511946912992159</c:v>
                </c:pt>
                <c:pt idx="172">
                  <c:v>1.8497016102845478</c:v>
                </c:pt>
                <c:pt idx="173">
                  <c:v>1.8350100376226455</c:v>
                </c:pt>
                <c:pt idx="174">
                  <c:v>1.8254038162780117</c:v>
                </c:pt>
                <c:pt idx="175">
                  <c:v>1.8381175616120951</c:v>
                </c:pt>
                <c:pt idx="176">
                  <c:v>1.8209329280774289</c:v>
                </c:pt>
                <c:pt idx="177">
                  <c:v>1.825673053507147</c:v>
                </c:pt>
                <c:pt idx="178">
                  <c:v>1.8177697317880748</c:v>
                </c:pt>
                <c:pt idx="179">
                  <c:v>1.8113334887573531</c:v>
                </c:pt>
                <c:pt idx="180">
                  <c:v>1.8199642764425967</c:v>
                </c:pt>
                <c:pt idx="181">
                  <c:v>1.8212726879321752</c:v>
                </c:pt>
                <c:pt idx="182">
                  <c:v>2.2791692844126921</c:v>
                </c:pt>
                <c:pt idx="183">
                  <c:v>2.2239672908029524</c:v>
                </c:pt>
                <c:pt idx="184">
                  <c:v>2.1584858107661722</c:v>
                </c:pt>
                <c:pt idx="185">
                  <c:v>2.1556995393132743</c:v>
                </c:pt>
                <c:pt idx="186">
                  <c:v>2.1391499085928443</c:v>
                </c:pt>
                <c:pt idx="187">
                  <c:v>2.1284069408066935</c:v>
                </c:pt>
                <c:pt idx="188">
                  <c:v>2.1412153718829314</c:v>
                </c:pt>
                <c:pt idx="189">
                  <c:v>2.1232520070839529</c:v>
                </c:pt>
                <c:pt idx="190">
                  <c:v>2.1279919669592062</c:v>
                </c:pt>
                <c:pt idx="191">
                  <c:v>2.1189143683357874</c:v>
                </c:pt>
                <c:pt idx="192">
                  <c:v>2.1120551323612573</c:v>
                </c:pt>
                <c:pt idx="193">
                  <c:v>2.1197932764410994</c:v>
                </c:pt>
                <c:pt idx="194">
                  <c:v>2.120806870956641</c:v>
                </c:pt>
                <c:pt idx="195">
                  <c:v>2.6038500893656984</c:v>
                </c:pt>
                <c:pt idx="196">
                  <c:v>2.5401744659882151</c:v>
                </c:pt>
                <c:pt idx="197">
                  <c:v>2.4658892270949599</c:v>
                </c:pt>
                <c:pt idx="198">
                  <c:v>2.4619191683519537</c:v>
                </c:pt>
                <c:pt idx="199">
                  <c:v>2.4434366377599566</c:v>
                </c:pt>
                <c:pt idx="200">
                  <c:v>2.4315281302995415</c:v>
                </c:pt>
                <c:pt idx="201">
                  <c:v>2.4446090729134755</c:v>
                </c:pt>
                <c:pt idx="202">
                  <c:v>2.4256087983924228</c:v>
                </c:pt>
                <c:pt idx="203">
                  <c:v>2.4304034498066254</c:v>
                </c:pt>
                <c:pt idx="204">
                  <c:v>2.4203064137937762</c:v>
                </c:pt>
                <c:pt idx="205">
                  <c:v>2.4128832043826698</c:v>
                </c:pt>
                <c:pt idx="206">
                  <c:v>2.4199695483058363</c:v>
                </c:pt>
                <c:pt idx="207">
                  <c:v>2.4206570503334337</c:v>
                </c:pt>
                <c:pt idx="208">
                  <c:v>0.35413617890550031</c:v>
                </c:pt>
                <c:pt idx="209">
                  <c:v>0.36575555063632553</c:v>
                </c:pt>
                <c:pt idx="210">
                  <c:v>0.33961050035179291</c:v>
                </c:pt>
                <c:pt idx="211">
                  <c:v>0.36784664919323679</c:v>
                </c:pt>
                <c:pt idx="212">
                  <c:v>0.35098716057126389</c:v>
                </c:pt>
                <c:pt idx="213">
                  <c:v>0.33658410933506894</c:v>
                </c:pt>
                <c:pt idx="214">
                  <c:v>0.38650411256243317</c:v>
                </c:pt>
                <c:pt idx="215">
                  <c:v>0.336341979610015</c:v>
                </c:pt>
                <c:pt idx="216">
                  <c:v>0.35866701181985255</c:v>
                </c:pt>
                <c:pt idx="217">
                  <c:v>0.3561093657549354</c:v>
                </c:pt>
                <c:pt idx="218">
                  <c:v>0.34969339573968788</c:v>
                </c:pt>
                <c:pt idx="219">
                  <c:v>0.43466770617766759</c:v>
                </c:pt>
                <c:pt idx="220">
                  <c:v>0.51500232620346365</c:v>
                </c:pt>
                <c:pt idx="221">
                  <c:v>0.66586794546252925</c:v>
                </c:pt>
                <c:pt idx="222">
                  <c:v>0.66027177224717026</c:v>
                </c:pt>
                <c:pt idx="223">
                  <c:v>0.63232626890871857</c:v>
                </c:pt>
                <c:pt idx="224">
                  <c:v>0.64665065449747583</c:v>
                </c:pt>
                <c:pt idx="225">
                  <c:v>0.63358017287715451</c:v>
                </c:pt>
                <c:pt idx="226">
                  <c:v>0.62383127917766046</c:v>
                </c:pt>
                <c:pt idx="227">
                  <c:v>0.65448327594494449</c:v>
                </c:pt>
                <c:pt idx="228">
                  <c:v>0.62237108068540237</c:v>
                </c:pt>
                <c:pt idx="229">
                  <c:v>0.63480119438718074</c:v>
                </c:pt>
                <c:pt idx="230">
                  <c:v>0.63001398366987593</c:v>
                </c:pt>
                <c:pt idx="231">
                  <c:v>0.61927324339205381</c:v>
                </c:pt>
                <c:pt idx="232">
                  <c:v>0.65229123637753561</c:v>
                </c:pt>
                <c:pt idx="233">
                  <c:v>0.66054438937280391</c:v>
                </c:pt>
                <c:pt idx="234">
                  <c:v>0.98628719603045245</c:v>
                </c:pt>
                <c:pt idx="235">
                  <c:v>0.96893846319938248</c:v>
                </c:pt>
                <c:pt idx="236">
                  <c:v>0.93505148544648831</c:v>
                </c:pt>
                <c:pt idx="237">
                  <c:v>0.94336421939684867</c:v>
                </c:pt>
                <c:pt idx="238">
                  <c:v>0.93089270128162394</c:v>
                </c:pt>
                <c:pt idx="239">
                  <c:v>0.92214429297353084</c:v>
                </c:pt>
                <c:pt idx="240">
                  <c:v>0.9448803861616859</c:v>
                </c:pt>
                <c:pt idx="241">
                  <c:v>0.91994991387120306</c:v>
                </c:pt>
                <c:pt idx="242">
                  <c:v>0.92880021756488751</c:v>
                </c:pt>
                <c:pt idx="243">
                  <c:v>0.92351643624631885</c:v>
                </c:pt>
                <c:pt idx="244">
                  <c:v>0.91511210135694498</c:v>
                </c:pt>
                <c:pt idx="245">
                  <c:v>0.93790163256563375</c:v>
                </c:pt>
                <c:pt idx="246">
                  <c:v>0.94348858205039288</c:v>
                </c:pt>
                <c:pt idx="247">
                  <c:v>1.3089934634299814</c:v>
                </c:pt>
                <c:pt idx="248">
                  <c:v>1.2816238455294844</c:v>
                </c:pt>
                <c:pt idx="249">
                  <c:v>1.2402849246982155</c:v>
                </c:pt>
                <c:pt idx="250">
                  <c:v>1.2450609129949957</c:v>
                </c:pt>
                <c:pt idx="251">
                  <c:v>1.231963698152702</c:v>
                </c:pt>
                <c:pt idx="252">
                  <c:v>1.2230789496832353</c:v>
                </c:pt>
                <c:pt idx="253">
                  <c:v>1.24204687466132</c:v>
                </c:pt>
                <c:pt idx="254">
                  <c:v>1.2201031323051483</c:v>
                </c:pt>
                <c:pt idx="255">
                  <c:v>1.2274022739880239</c:v>
                </c:pt>
                <c:pt idx="256">
                  <c:v>1.2212474514490494</c:v>
                </c:pt>
                <c:pt idx="257">
                  <c:v>1.2136551472517494</c:v>
                </c:pt>
                <c:pt idx="258">
                  <c:v>1.2312296797711155</c:v>
                </c:pt>
                <c:pt idx="259">
                  <c:v>1.2352963728647364</c:v>
                </c:pt>
                <c:pt idx="260">
                  <c:v>1.632577592441512</c:v>
                </c:pt>
                <c:pt idx="261">
                  <c:v>1.5959309685655196</c:v>
                </c:pt>
                <c:pt idx="262">
                  <c:v>1.5465142230613849</c:v>
                </c:pt>
                <c:pt idx="263">
                  <c:v>1.5488221753202531</c:v>
                </c:pt>
                <c:pt idx="264">
                  <c:v>1.5345178114212428</c:v>
                </c:pt>
                <c:pt idx="265">
                  <c:v>1.5249698979027524</c:v>
                </c:pt>
                <c:pt idx="266">
                  <c:v>1.5420689935524832</c:v>
                </c:pt>
                <c:pt idx="267">
                  <c:v>1.521344727866826</c:v>
                </c:pt>
                <c:pt idx="268">
                  <c:v>1.5277249908389099</c:v>
                </c:pt>
                <c:pt idx="269">
                  <c:v>1.520614192873134</c:v>
                </c:pt>
                <c:pt idx="270">
                  <c:v>1.5132993615039374</c:v>
                </c:pt>
                <c:pt idx="271">
                  <c:v>1.5276904612894955</c:v>
                </c:pt>
                <c:pt idx="272">
                  <c:v>1.5308281266338035</c:v>
                </c:pt>
                <c:pt idx="273">
                  <c:v>1.9566428934922648</c:v>
                </c:pt>
                <c:pt idx="274">
                  <c:v>1.9111557177887772</c:v>
                </c:pt>
                <c:pt idx="275">
                  <c:v>1.8533007430843924</c:v>
                </c:pt>
                <c:pt idx="276">
                  <c:v>1.8536735913604871</c:v>
                </c:pt>
                <c:pt idx="277">
                  <c:v>1.8379131423933137</c:v>
                </c:pt>
                <c:pt idx="278">
                  <c:v>1.8274530956911914</c:v>
                </c:pt>
                <c:pt idx="279">
                  <c:v>1.8435596540347734</c:v>
                </c:pt>
                <c:pt idx="280">
                  <c:v>1.8230553772002167</c:v>
                </c:pt>
                <c:pt idx="281">
                  <c:v>1.8290459053197332</c:v>
                </c:pt>
                <c:pt idx="282">
                  <c:v>1.8209208513217547</c:v>
                </c:pt>
                <c:pt idx="283">
                  <c:v>1.8134186600886049</c:v>
                </c:pt>
                <c:pt idx="284">
                  <c:v>1.8257572469051384</c:v>
                </c:pt>
                <c:pt idx="285">
                  <c:v>1.8282563180375457</c:v>
                </c:pt>
                <c:pt idx="286">
                  <c:v>2.2809871557891461</c:v>
                </c:pt>
                <c:pt idx="287">
                  <c:v>2.2267648657718611</c:v>
                </c:pt>
                <c:pt idx="288">
                  <c:v>2.160290637095637</c:v>
                </c:pt>
                <c:pt idx="289">
                  <c:v>2.1590123866704105</c:v>
                </c:pt>
                <c:pt idx="290">
                  <c:v>2.1416158613928169</c:v>
                </c:pt>
                <c:pt idx="291">
                  <c:v>2.1301631711563012</c:v>
                </c:pt>
                <c:pt idx="292">
                  <c:v>2.1458818712470977</c:v>
                </c:pt>
                <c:pt idx="293">
                  <c:v>2.1250010454757144</c:v>
                </c:pt>
                <c:pt idx="294">
                  <c:v>2.1309256008985908</c:v>
                </c:pt>
                <c:pt idx="295">
                  <c:v>2.1216369859573021</c:v>
                </c:pt>
                <c:pt idx="296">
                  <c:v>2.1138394237365121</c:v>
                </c:pt>
                <c:pt idx="297">
                  <c:v>2.1248335821083617</c:v>
                </c:pt>
                <c:pt idx="298">
                  <c:v>2.1267673950040429</c:v>
                </c:pt>
                <c:pt idx="299">
                  <c:v>2.6054685745729462</c:v>
                </c:pt>
                <c:pt idx="300">
                  <c:v>2.5426646302791531</c:v>
                </c:pt>
                <c:pt idx="301">
                  <c:v>2.4675147669526565</c:v>
                </c:pt>
                <c:pt idx="302">
                  <c:v>2.4648221023161909</c:v>
                </c:pt>
                <c:pt idx="303">
                  <c:v>2.4456053915409419</c:v>
                </c:pt>
                <c:pt idx="304">
                  <c:v>2.4331100465777662</c:v>
                </c:pt>
                <c:pt idx="305">
                  <c:v>2.4487372155806399</c:v>
                </c:pt>
                <c:pt idx="306">
                  <c:v>2.4271839422653474</c:v>
                </c:pt>
                <c:pt idx="307">
                  <c:v>2.4330051488302504</c:v>
                </c:pt>
                <c:pt idx="308">
                  <c:v>2.4225984444416584</c:v>
                </c:pt>
                <c:pt idx="309">
                  <c:v>2.4144932400476167</c:v>
                </c:pt>
                <c:pt idx="310">
                  <c:v>2.4244930435615513</c:v>
                </c:pt>
                <c:pt idx="311">
                  <c:v>2.4260143385098485</c:v>
                </c:pt>
              </c:numCache>
            </c:numRef>
          </c:xVal>
          <c:yVal>
            <c:numRef>
              <c:f>'OIC-N-Prachi'!$L$4:$L$315</c:f>
              <c:numCache>
                <c:formatCode>General</c:formatCode>
                <c:ptCount val="312"/>
                <c:pt idx="0">
                  <c:v>0.99807685802066048</c:v>
                </c:pt>
                <c:pt idx="1">
                  <c:v>0.99678514731932155</c:v>
                </c:pt>
                <c:pt idx="2">
                  <c:v>0</c:v>
                </c:pt>
                <c:pt idx="3">
                  <c:v>0.99819587592453884</c:v>
                </c:pt>
                <c:pt idx="4">
                  <c:v>0.99916079002148828</c:v>
                </c:pt>
                <c:pt idx="5">
                  <c:v>0.99895261559147519</c:v>
                </c:pt>
                <c:pt idx="6">
                  <c:v>0.99719451722658559</c:v>
                </c:pt>
                <c:pt idx="7">
                  <c:v>0.99823710524481724</c:v>
                </c:pt>
                <c:pt idx="8">
                  <c:v>1.0085589198825744</c:v>
                </c:pt>
                <c:pt idx="9">
                  <c:v>0.98193014999139039</c:v>
                </c:pt>
                <c:pt idx="10">
                  <c:v>0.86279964224559302</c:v>
                </c:pt>
                <c:pt idx="11">
                  <c:v>0.72613564701776301</c:v>
                </c:pt>
                <c:pt idx="12">
                  <c:v>0.6388661149818029</c:v>
                </c:pt>
                <c:pt idx="13">
                  <c:v>0.99897557450601815</c:v>
                </c:pt>
                <c:pt idx="14">
                  <c:v>0.99861773058903769</c:v>
                </c:pt>
                <c:pt idx="15">
                  <c:v>0</c:v>
                </c:pt>
                <c:pt idx="16">
                  <c:v>0.99897052018531218</c:v>
                </c:pt>
                <c:pt idx="17">
                  <c:v>0.99921748824845025</c:v>
                </c:pt>
                <c:pt idx="18">
                  <c:v>1.0093341278962034</c:v>
                </c:pt>
                <c:pt idx="19">
                  <c:v>0.99802172768225317</c:v>
                </c:pt>
                <c:pt idx="20">
                  <c:v>0.99861928400969779</c:v>
                </c:pt>
                <c:pt idx="21">
                  <c:v>0.99773429007513714</c:v>
                </c:pt>
                <c:pt idx="22">
                  <c:v>0.98944193453324802</c:v>
                </c:pt>
                <c:pt idx="23">
                  <c:v>0.91531387647911011</c:v>
                </c:pt>
                <c:pt idx="24">
                  <c:v>0.7227410702502115</c:v>
                </c:pt>
                <c:pt idx="25">
                  <c:v>0.6294557532123809</c:v>
                </c:pt>
                <c:pt idx="26">
                  <c:v>0.99838078161015897</c:v>
                </c:pt>
                <c:pt idx="27">
                  <c:v>0.99706064814300788</c:v>
                </c:pt>
                <c:pt idx="28">
                  <c:v>0</c:v>
                </c:pt>
                <c:pt idx="29">
                  <c:v>0.99767711394497438</c:v>
                </c:pt>
                <c:pt idx="30">
                  <c:v>0.99869439377018365</c:v>
                </c:pt>
                <c:pt idx="31">
                  <c:v>0.99874930817048746</c:v>
                </c:pt>
                <c:pt idx="32">
                  <c:v>0.99546633350370062</c:v>
                </c:pt>
                <c:pt idx="33">
                  <c:v>0.99812184401181381</c:v>
                </c:pt>
                <c:pt idx="34">
                  <c:v>0.99585322298580692</c:v>
                </c:pt>
                <c:pt idx="35">
                  <c:v>0.98517850159010822</c:v>
                </c:pt>
                <c:pt idx="36">
                  <c:v>0.95130848538902668</c:v>
                </c:pt>
                <c:pt idx="37">
                  <c:v>0.70646469278506974</c:v>
                </c:pt>
                <c:pt idx="38">
                  <c:v>0.59601681683305507</c:v>
                </c:pt>
                <c:pt idx="39">
                  <c:v>0.99790732375809565</c:v>
                </c:pt>
                <c:pt idx="40">
                  <c:v>0.99495609892451031</c:v>
                </c:pt>
                <c:pt idx="41">
                  <c:v>0</c:v>
                </c:pt>
                <c:pt idx="42">
                  <c:v>0.99663896530035856</c:v>
                </c:pt>
                <c:pt idx="43">
                  <c:v>0.99809298697192761</c:v>
                </c:pt>
                <c:pt idx="44">
                  <c:v>0.9989414127515176</c:v>
                </c:pt>
                <c:pt idx="45">
                  <c:v>0.99446676156986358</c:v>
                </c:pt>
                <c:pt idx="46">
                  <c:v>0.99853297818520781</c:v>
                </c:pt>
                <c:pt idx="47">
                  <c:v>0.99577332688679676</c:v>
                </c:pt>
                <c:pt idx="48">
                  <c:v>0.98598790838868589</c:v>
                </c:pt>
                <c:pt idx="49">
                  <c:v>0.97754786783690739</c:v>
                </c:pt>
                <c:pt idx="50">
                  <c:v>0.76637389076871743</c:v>
                </c:pt>
                <c:pt idx="51">
                  <c:v>0.63946947752750216</c:v>
                </c:pt>
                <c:pt idx="52">
                  <c:v>0.99756885955116636</c:v>
                </c:pt>
                <c:pt idx="53">
                  <c:v>0.99403216166951969</c:v>
                </c:pt>
                <c:pt idx="54">
                  <c:v>0</c:v>
                </c:pt>
                <c:pt idx="55">
                  <c:v>0.99571489240793021</c:v>
                </c:pt>
                <c:pt idx="56">
                  <c:v>0.99766436016965865</c:v>
                </c:pt>
                <c:pt idx="57">
                  <c:v>0.99878473939022949</c:v>
                </c:pt>
                <c:pt idx="58">
                  <c:v>0.99371657501370037</c:v>
                </c:pt>
                <c:pt idx="59">
                  <c:v>0.99842670814395107</c:v>
                </c:pt>
                <c:pt idx="60">
                  <c:v>0.9957827710008591</c:v>
                </c:pt>
                <c:pt idx="61">
                  <c:v>0.98966051645833364</c:v>
                </c:pt>
                <c:pt idx="62">
                  <c:v>0.98645039074025131</c:v>
                </c:pt>
                <c:pt idx="63">
                  <c:v>0.83973261657167175</c:v>
                </c:pt>
                <c:pt idx="64">
                  <c:v>0.71672316287212401</c:v>
                </c:pt>
                <c:pt idx="65">
                  <c:v>0.99709588868785082</c:v>
                </c:pt>
                <c:pt idx="66">
                  <c:v>0.99325698624764047</c:v>
                </c:pt>
                <c:pt idx="67">
                  <c:v>0</c:v>
                </c:pt>
                <c:pt idx="68">
                  <c:v>0.99503707541643471</c:v>
                </c:pt>
                <c:pt idx="69">
                  <c:v>0.99708807646074316</c:v>
                </c:pt>
                <c:pt idx="70">
                  <c:v>0.99837745249561305</c:v>
                </c:pt>
                <c:pt idx="71">
                  <c:v>0.99311790342911077</c:v>
                </c:pt>
                <c:pt idx="72">
                  <c:v>0.99808306336599195</c:v>
                </c:pt>
                <c:pt idx="73">
                  <c:v>0.99555656110574209</c:v>
                </c:pt>
                <c:pt idx="74">
                  <c:v>0.99036308124410222</c:v>
                </c:pt>
                <c:pt idx="75">
                  <c:v>0.98936463636435501</c:v>
                </c:pt>
                <c:pt idx="76">
                  <c:v>0.88084677049511106</c:v>
                </c:pt>
                <c:pt idx="77">
                  <c:v>0.77567802846732359</c:v>
                </c:pt>
                <c:pt idx="78">
                  <c:v>0.99650068819649351</c:v>
                </c:pt>
                <c:pt idx="79">
                  <c:v>0.99234728618035128</c:v>
                </c:pt>
                <c:pt idx="80">
                  <c:v>0</c:v>
                </c:pt>
                <c:pt idx="81">
                  <c:v>0.99416131469492164</c:v>
                </c:pt>
                <c:pt idx="82">
                  <c:v>0.99622824867352755</c:v>
                </c:pt>
                <c:pt idx="83">
                  <c:v>0.9978964606915568</c:v>
                </c:pt>
                <c:pt idx="84">
                  <c:v>0.99207743117864899</c:v>
                </c:pt>
                <c:pt idx="85">
                  <c:v>0.99760529376692153</c:v>
                </c:pt>
                <c:pt idx="86">
                  <c:v>0.99479546590425583</c:v>
                </c:pt>
                <c:pt idx="87">
                  <c:v>0.9904641531391235</c:v>
                </c:pt>
                <c:pt idx="88">
                  <c:v>0.98990166053732387</c:v>
                </c:pt>
                <c:pt idx="89">
                  <c:v>0.90065431500859749</c:v>
                </c:pt>
                <c:pt idx="90">
                  <c:v>0.81575013746016134</c:v>
                </c:pt>
                <c:pt idx="91">
                  <c:v>0.99561845934590409</c:v>
                </c:pt>
                <c:pt idx="92">
                  <c:v>0.99084789639911641</c:v>
                </c:pt>
                <c:pt idx="93">
                  <c:v>0</c:v>
                </c:pt>
                <c:pt idx="94">
                  <c:v>0.99294426254619272</c:v>
                </c:pt>
                <c:pt idx="95">
                  <c:v>0.99495247882607452</c:v>
                </c:pt>
                <c:pt idx="96">
                  <c:v>0.99719899822217373</c:v>
                </c:pt>
                <c:pt idx="97">
                  <c:v>0.99091932314618758</c:v>
                </c:pt>
                <c:pt idx="98">
                  <c:v>0.99764648590504801</c:v>
                </c:pt>
                <c:pt idx="99">
                  <c:v>0.99369548943073716</c:v>
                </c:pt>
                <c:pt idx="100">
                  <c:v>0.9898815790659008</c:v>
                </c:pt>
                <c:pt idx="101">
                  <c:v>0.99128181083870892</c:v>
                </c:pt>
                <c:pt idx="102">
                  <c:v>0.91181514206190573</c:v>
                </c:pt>
                <c:pt idx="103">
                  <c:v>0.84247744249685663</c:v>
                </c:pt>
                <c:pt idx="104">
                  <c:v>0.99653519461613116</c:v>
                </c:pt>
                <c:pt idx="105">
                  <c:v>0.99283592378850638</c:v>
                </c:pt>
                <c:pt idx="106">
                  <c:v>0</c:v>
                </c:pt>
                <c:pt idx="107">
                  <c:v>0.99606507787354348</c:v>
                </c:pt>
                <c:pt idx="108">
                  <c:v>0.99826014159742926</c:v>
                </c:pt>
                <c:pt idx="109">
                  <c:v>1.0100085707897548</c:v>
                </c:pt>
                <c:pt idx="110">
                  <c:v>0.99590869167297791</c:v>
                </c:pt>
                <c:pt idx="111">
                  <c:v>0.99859281866409932</c:v>
                </c:pt>
                <c:pt idx="112">
                  <c:v>0.9968420770833849</c:v>
                </c:pt>
                <c:pt idx="113">
                  <c:v>0.9944689090171871</c:v>
                </c:pt>
                <c:pt idx="114">
                  <c:v>0.93032046000042401</c:v>
                </c:pt>
                <c:pt idx="115">
                  <c:v>0.77160469480411054</c:v>
                </c:pt>
                <c:pt idx="116">
                  <c:v>0.67976956114828735</c:v>
                </c:pt>
                <c:pt idx="117">
                  <c:v>1.0172405546776517</c:v>
                </c:pt>
                <c:pt idx="118">
                  <c:v>1.0096489036212242</c:v>
                </c:pt>
                <c:pt idx="119">
                  <c:v>0</c:v>
                </c:pt>
                <c:pt idx="120">
                  <c:v>1.0096407472262638</c:v>
                </c:pt>
                <c:pt idx="121">
                  <c:v>1.0215994988934911</c:v>
                </c:pt>
                <c:pt idx="122">
                  <c:v>1.002998817321904</c:v>
                </c:pt>
                <c:pt idx="123">
                  <c:v>1.0032253436413445</c:v>
                </c:pt>
                <c:pt idx="124">
                  <c:v>1.0295155373204306</c:v>
                </c:pt>
                <c:pt idx="125">
                  <c:v>1.019397745536966</c:v>
                </c:pt>
                <c:pt idx="126">
                  <c:v>1.0310286932276431</c:v>
                </c:pt>
                <c:pt idx="127">
                  <c:v>0.97547195046898649</c:v>
                </c:pt>
                <c:pt idx="128">
                  <c:v>0.81868221124091578</c:v>
                </c:pt>
                <c:pt idx="129">
                  <c:v>0.70274781984055112</c:v>
                </c:pt>
                <c:pt idx="130">
                  <c:v>1.0151367591460994</c:v>
                </c:pt>
                <c:pt idx="131">
                  <c:v>1.0121970251139989</c:v>
                </c:pt>
                <c:pt idx="132">
                  <c:v>0</c:v>
                </c:pt>
                <c:pt idx="133">
                  <c:v>0.99797342191654426</c:v>
                </c:pt>
                <c:pt idx="134">
                  <c:v>0.99915023847287732</c:v>
                </c:pt>
                <c:pt idx="135">
                  <c:v>1.008991740573409</c:v>
                </c:pt>
                <c:pt idx="136">
                  <c:v>0.99730124788762142</c:v>
                </c:pt>
                <c:pt idx="137">
                  <c:v>1.0067426381725035</c:v>
                </c:pt>
                <c:pt idx="138">
                  <c:v>0.99894374036869493</c:v>
                </c:pt>
                <c:pt idx="139">
                  <c:v>1.0136595822700267</c:v>
                </c:pt>
                <c:pt idx="140">
                  <c:v>0.98838038160528852</c:v>
                </c:pt>
                <c:pt idx="141">
                  <c:v>0.83238424342434758</c:v>
                </c:pt>
                <c:pt idx="142">
                  <c:v>0.71084282988610159</c:v>
                </c:pt>
                <c:pt idx="143">
                  <c:v>0.99769196721176334</c:v>
                </c:pt>
                <c:pt idx="144">
                  <c:v>0.99523121456757568</c:v>
                </c:pt>
                <c:pt idx="145">
                  <c:v>0</c:v>
                </c:pt>
                <c:pt idx="146">
                  <c:v>0.99673388688489561</c:v>
                </c:pt>
                <c:pt idx="147">
                  <c:v>0.9983685317551434</c:v>
                </c:pt>
                <c:pt idx="148">
                  <c:v>0.999077341681325</c:v>
                </c:pt>
                <c:pt idx="149">
                  <c:v>0.99558124802132208</c:v>
                </c:pt>
                <c:pt idx="150">
                  <c:v>0.99879193072990602</c:v>
                </c:pt>
                <c:pt idx="151">
                  <c:v>0.99735235232748964</c:v>
                </c:pt>
                <c:pt idx="152">
                  <c:v>0.99859046840117305</c:v>
                </c:pt>
                <c:pt idx="153">
                  <c:v>1.0053135200205254</c:v>
                </c:pt>
                <c:pt idx="154">
                  <c:v>0.87757324135660131</c:v>
                </c:pt>
                <c:pt idx="155">
                  <c:v>0.7447800560813177</c:v>
                </c:pt>
                <c:pt idx="156">
                  <c:v>0.99742541058772149</c:v>
                </c:pt>
                <c:pt idx="157">
                  <c:v>0.99402296019086978</c:v>
                </c:pt>
                <c:pt idx="158">
                  <c:v>0</c:v>
                </c:pt>
                <c:pt idx="159">
                  <c:v>0.99592012188258272</c:v>
                </c:pt>
                <c:pt idx="160">
                  <c:v>0.99801268619906924</c:v>
                </c:pt>
                <c:pt idx="161">
                  <c:v>0.99895515290298387</c:v>
                </c:pt>
                <c:pt idx="162">
                  <c:v>0.99490434721620269</c:v>
                </c:pt>
                <c:pt idx="163">
                  <c:v>0.99874906424373122</c:v>
                </c:pt>
                <c:pt idx="164">
                  <c:v>0.99701196179166662</c:v>
                </c:pt>
                <c:pt idx="165">
                  <c:v>1.0015369355606423</c:v>
                </c:pt>
                <c:pt idx="166">
                  <c:v>0.99747215627700636</c:v>
                </c:pt>
                <c:pt idx="167">
                  <c:v>0.9157549027923062</c:v>
                </c:pt>
                <c:pt idx="168">
                  <c:v>0.80879942184898546</c:v>
                </c:pt>
                <c:pt idx="169">
                  <c:v>0.99709374115850369</c:v>
                </c:pt>
                <c:pt idx="170">
                  <c:v>0.99347259527241127</c:v>
                </c:pt>
                <c:pt idx="171">
                  <c:v>0</c:v>
                </c:pt>
                <c:pt idx="172">
                  <c:v>0.99546352166925467</c:v>
                </c:pt>
                <c:pt idx="173">
                  <c:v>0.99922500458470076</c:v>
                </c:pt>
                <c:pt idx="174">
                  <c:v>0.99861608220421094</c:v>
                </c:pt>
                <c:pt idx="175">
                  <c:v>0.99417317328982646</c:v>
                </c:pt>
                <c:pt idx="176">
                  <c:v>0.99854302813927698</c:v>
                </c:pt>
                <c:pt idx="177">
                  <c:v>0.99972863972150738</c:v>
                </c:pt>
                <c:pt idx="178">
                  <c:v>0.99648937193421205</c:v>
                </c:pt>
                <c:pt idx="179">
                  <c:v>1.0097798724126779</c:v>
                </c:pt>
                <c:pt idx="180">
                  <c:v>0.93434589863588458</c:v>
                </c:pt>
                <c:pt idx="181">
                  <c:v>0.85356040048657256</c:v>
                </c:pt>
                <c:pt idx="182">
                  <c:v>0.99664507196064334</c:v>
                </c:pt>
                <c:pt idx="183">
                  <c:v>0.99275867449139321</c:v>
                </c:pt>
                <c:pt idx="184">
                  <c:v>0</c:v>
                </c:pt>
                <c:pt idx="185">
                  <c:v>0.99483484187195481</c:v>
                </c:pt>
                <c:pt idx="186">
                  <c:v>0.99700118377789027</c:v>
                </c:pt>
                <c:pt idx="187">
                  <c:v>0.99832595823408266</c:v>
                </c:pt>
                <c:pt idx="188">
                  <c:v>0.99361078204804554</c:v>
                </c:pt>
                <c:pt idx="189">
                  <c:v>0.99985643456465789</c:v>
                </c:pt>
                <c:pt idx="190">
                  <c:v>0.99615737890277578</c:v>
                </c:pt>
                <c:pt idx="191">
                  <c:v>0.99540733481297861</c:v>
                </c:pt>
                <c:pt idx="192">
                  <c:v>1.0027847838925201</c:v>
                </c:pt>
                <c:pt idx="193">
                  <c:v>0.94148894625048829</c:v>
                </c:pt>
                <c:pt idx="194">
                  <c:v>0.87744858375256007</c:v>
                </c:pt>
                <c:pt idx="195">
                  <c:v>0.99604472956096901</c:v>
                </c:pt>
                <c:pt idx="196">
                  <c:v>0.99175581316594486</c:v>
                </c:pt>
                <c:pt idx="197">
                  <c:v>0</c:v>
                </c:pt>
                <c:pt idx="198">
                  <c:v>0.99392917697959504</c:v>
                </c:pt>
                <c:pt idx="199">
                  <c:v>0.99649293466359867</c:v>
                </c:pt>
                <c:pt idx="200">
                  <c:v>0.99956875985825211</c:v>
                </c:pt>
                <c:pt idx="201">
                  <c:v>0.99291378274103836</c:v>
                </c:pt>
                <c:pt idx="202">
                  <c:v>1.0000819696039089</c:v>
                </c:pt>
                <c:pt idx="203">
                  <c:v>0.99631665626893462</c:v>
                </c:pt>
                <c:pt idx="204">
                  <c:v>0.99499783975805278</c:v>
                </c:pt>
                <c:pt idx="205">
                  <c:v>1.0026200628253781</c:v>
                </c:pt>
                <c:pt idx="206">
                  <c:v>0.94770108352920934</c:v>
                </c:pt>
                <c:pt idx="207">
                  <c:v>0.89099753694581263</c:v>
                </c:pt>
                <c:pt idx="208">
                  <c:v>0.99666553859016971</c:v>
                </c:pt>
                <c:pt idx="209">
                  <c:v>0.99709510545165125</c:v>
                </c:pt>
                <c:pt idx="210">
                  <c:v>0</c:v>
                </c:pt>
                <c:pt idx="211">
                  <c:v>1.01874762622772</c:v>
                </c:pt>
                <c:pt idx="212">
                  <c:v>0.9986651113150623</c:v>
                </c:pt>
                <c:pt idx="213">
                  <c:v>1.0342204460955049</c:v>
                </c:pt>
                <c:pt idx="214">
                  <c:v>0.99996292046439605</c:v>
                </c:pt>
                <c:pt idx="215">
                  <c:v>1.0086887700491682</c:v>
                </c:pt>
                <c:pt idx="216">
                  <c:v>1.0239194370829159</c:v>
                </c:pt>
                <c:pt idx="217">
                  <c:v>0.95426215779902801</c:v>
                </c:pt>
                <c:pt idx="218">
                  <c:v>0.82296145399508691</c:v>
                </c:pt>
                <c:pt idx="219">
                  <c:v>0.69735373081533558</c:v>
                </c:pt>
                <c:pt idx="220">
                  <c:v>0.61970504498360435</c:v>
                </c:pt>
                <c:pt idx="221">
                  <c:v>0.99860918705011847</c:v>
                </c:pt>
                <c:pt idx="222">
                  <c:v>0.99791186426722522</c:v>
                </c:pt>
                <c:pt idx="223">
                  <c:v>0</c:v>
                </c:pt>
                <c:pt idx="224">
                  <c:v>0.99858336348199506</c:v>
                </c:pt>
                <c:pt idx="225">
                  <c:v>0.99943237453249689</c:v>
                </c:pt>
                <c:pt idx="226">
                  <c:v>0.99909523562339475</c:v>
                </c:pt>
                <c:pt idx="227">
                  <c:v>0.99749275358252665</c:v>
                </c:pt>
                <c:pt idx="228">
                  <c:v>0.9985562612505906</c:v>
                </c:pt>
                <c:pt idx="229">
                  <c:v>0.99817456499156965</c:v>
                </c:pt>
                <c:pt idx="230">
                  <c:v>0.98481253268742552</c:v>
                </c:pt>
                <c:pt idx="231">
                  <c:v>0.88637766871883816</c:v>
                </c:pt>
                <c:pt idx="232">
                  <c:v>0.71658870593205748</c:v>
                </c:pt>
                <c:pt idx="233">
                  <c:v>0.62929815828186575</c:v>
                </c:pt>
                <c:pt idx="234">
                  <c:v>0.99838209195500183</c:v>
                </c:pt>
                <c:pt idx="235">
                  <c:v>0.99730042755281678</c:v>
                </c:pt>
                <c:pt idx="236">
                  <c:v>0</c:v>
                </c:pt>
                <c:pt idx="237">
                  <c:v>0.99765315415748124</c:v>
                </c:pt>
                <c:pt idx="238">
                  <c:v>0.99833484933638217</c:v>
                </c:pt>
                <c:pt idx="239">
                  <c:v>0.99881091161651214</c:v>
                </c:pt>
                <c:pt idx="240">
                  <c:v>0.99254717360526756</c:v>
                </c:pt>
                <c:pt idx="241">
                  <c:v>0.9981674139086979</c:v>
                </c:pt>
                <c:pt idx="242">
                  <c:v>0.99515995733159157</c:v>
                </c:pt>
                <c:pt idx="243">
                  <c:v>0.98076181170240984</c:v>
                </c:pt>
                <c:pt idx="244">
                  <c:v>0.93229241820938813</c:v>
                </c:pt>
                <c:pt idx="245">
                  <c:v>0.6943552141527003</c:v>
                </c:pt>
                <c:pt idx="246">
                  <c:v>0.58774116498664208</c:v>
                </c:pt>
                <c:pt idx="247">
                  <c:v>0.99791300131312466</c:v>
                </c:pt>
                <c:pt idx="248">
                  <c:v>0.99495512842544953</c:v>
                </c:pt>
                <c:pt idx="249">
                  <c:v>0</c:v>
                </c:pt>
                <c:pt idx="250">
                  <c:v>0.99619883470486292</c:v>
                </c:pt>
                <c:pt idx="251">
                  <c:v>0.99781095801006914</c:v>
                </c:pt>
                <c:pt idx="252">
                  <c:v>0.99890534750074322</c:v>
                </c:pt>
                <c:pt idx="253">
                  <c:v>0.99382072113958753</c:v>
                </c:pt>
                <c:pt idx="254">
                  <c:v>0.99848193602444646</c:v>
                </c:pt>
                <c:pt idx="255">
                  <c:v>0.99480611422614951</c:v>
                </c:pt>
                <c:pt idx="256">
                  <c:v>0.98384493611186519</c:v>
                </c:pt>
                <c:pt idx="257">
                  <c:v>0.97235472356543939</c:v>
                </c:pt>
                <c:pt idx="258">
                  <c:v>0.74561706487751578</c:v>
                </c:pt>
                <c:pt idx="259">
                  <c:v>0.6226895844707806</c:v>
                </c:pt>
                <c:pt idx="260">
                  <c:v>0.99759258202557144</c:v>
                </c:pt>
                <c:pt idx="261">
                  <c:v>0.99424571472487799</c:v>
                </c:pt>
                <c:pt idx="262">
                  <c:v>0</c:v>
                </c:pt>
                <c:pt idx="263">
                  <c:v>0.9956885834434942</c:v>
                </c:pt>
                <c:pt idx="264">
                  <c:v>0.99765146417010597</c:v>
                </c:pt>
                <c:pt idx="265">
                  <c:v>0.99874264242079558</c:v>
                </c:pt>
                <c:pt idx="266">
                  <c:v>0.99329264937119699</c:v>
                </c:pt>
                <c:pt idx="267">
                  <c:v>0.99841066771460607</c:v>
                </c:pt>
                <c:pt idx="268">
                  <c:v>0.99544022297964974</c:v>
                </c:pt>
                <c:pt idx="269">
                  <c:v>0.98797447219393553</c:v>
                </c:pt>
                <c:pt idx="270">
                  <c:v>0.98437873900433615</c:v>
                </c:pt>
                <c:pt idx="271">
                  <c:v>0.82350137859210371</c:v>
                </c:pt>
                <c:pt idx="272">
                  <c:v>0.69927576933551205</c:v>
                </c:pt>
                <c:pt idx="273">
                  <c:v>0.9971578171497657</c:v>
                </c:pt>
                <c:pt idx="274">
                  <c:v>0.99335514484975107</c:v>
                </c:pt>
                <c:pt idx="275">
                  <c:v>0</c:v>
                </c:pt>
                <c:pt idx="276">
                  <c:v>0.99508770723638851</c:v>
                </c:pt>
                <c:pt idx="277">
                  <c:v>0.99707640299926992</c:v>
                </c:pt>
                <c:pt idx="278">
                  <c:v>0.99843114858486104</c:v>
                </c:pt>
                <c:pt idx="279">
                  <c:v>0.99268417442219581</c:v>
                </c:pt>
                <c:pt idx="280">
                  <c:v>0.9981096045823511</c:v>
                </c:pt>
                <c:pt idx="281">
                  <c:v>0.99527062037778513</c:v>
                </c:pt>
                <c:pt idx="282">
                  <c:v>0.98921202083936077</c:v>
                </c:pt>
                <c:pt idx="283">
                  <c:v>0.98827763198518037</c:v>
                </c:pt>
                <c:pt idx="284">
                  <c:v>0.86913483166614847</c:v>
                </c:pt>
                <c:pt idx="285">
                  <c:v>0.7596128940058412</c:v>
                </c:pt>
                <c:pt idx="286">
                  <c:v>0.99654259511207555</c:v>
                </c:pt>
                <c:pt idx="287">
                  <c:v>0.9924420765560743</c:v>
                </c:pt>
                <c:pt idx="288">
                  <c:v>0</c:v>
                </c:pt>
                <c:pt idx="289">
                  <c:v>0.99418574629689882</c:v>
                </c:pt>
                <c:pt idx="290">
                  <c:v>0.9961976465233594</c:v>
                </c:pt>
                <c:pt idx="291">
                  <c:v>0.99794248763043147</c:v>
                </c:pt>
                <c:pt idx="292">
                  <c:v>0.99164922941687916</c:v>
                </c:pt>
                <c:pt idx="293">
                  <c:v>0.99764207344216005</c:v>
                </c:pt>
                <c:pt idx="294">
                  <c:v>0.99433101219777209</c:v>
                </c:pt>
                <c:pt idx="295">
                  <c:v>0.98917126864269911</c:v>
                </c:pt>
                <c:pt idx="296">
                  <c:v>0.98945198442373183</c:v>
                </c:pt>
                <c:pt idx="297">
                  <c:v>0.89298978429393094</c:v>
                </c:pt>
                <c:pt idx="298">
                  <c:v>0.80321862569791647</c:v>
                </c:pt>
                <c:pt idx="299">
                  <c:v>0.99566705784553688</c:v>
                </c:pt>
                <c:pt idx="300">
                  <c:v>0.9909778815404503</c:v>
                </c:pt>
                <c:pt idx="301">
                  <c:v>0</c:v>
                </c:pt>
                <c:pt idx="302">
                  <c:v>0.9929301611237068</c:v>
                </c:pt>
                <c:pt idx="303">
                  <c:v>0.9951006045410582</c:v>
                </c:pt>
                <c:pt idx="304">
                  <c:v>0.99727322068744706</c:v>
                </c:pt>
                <c:pt idx="305">
                  <c:v>0.99056981960484869</c:v>
                </c:pt>
                <c:pt idx="306">
                  <c:v>0.99698555025720015</c:v>
                </c:pt>
                <c:pt idx="307">
                  <c:v>0.99342114003895965</c:v>
                </c:pt>
                <c:pt idx="308">
                  <c:v>0.98888261851015802</c:v>
                </c:pt>
                <c:pt idx="309">
                  <c:v>0.98937793159153198</c:v>
                </c:pt>
                <c:pt idx="310">
                  <c:v>0.90618860327697726</c:v>
                </c:pt>
                <c:pt idx="311">
                  <c:v>0.83219221655710363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5-4CF9-846B-0E2067329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401903"/>
        <c:axId val="2122418703"/>
      </c:scatterChart>
      <c:valAx>
        <c:axId val="212240190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418703"/>
        <c:crosses val="autoZero"/>
        <c:crossBetween val="midCat"/>
      </c:valAx>
      <c:valAx>
        <c:axId val="2122418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F/(1/KHI_L)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401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Final _Khi_G for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'OIC-N-Prachi'!$F$4:$F$627</c:f>
              <c:numCache>
                <c:formatCode>General</c:formatCode>
                <c:ptCount val="624"/>
                <c:pt idx="0">
                  <c:v>0.3520228696271529</c:v>
                </c:pt>
                <c:pt idx="1">
                  <c:v>0.36227678558144188</c:v>
                </c:pt>
                <c:pt idx="2">
                  <c:v>0.33723238957270568</c:v>
                </c:pt>
                <c:pt idx="3">
                  <c:v>0.36348195687131518</c:v>
                </c:pt>
                <c:pt idx="4">
                  <c:v>0.34749474707375994</c:v>
                </c:pt>
                <c:pt idx="5">
                  <c:v>0.33398327735428257</c:v>
                </c:pt>
                <c:pt idx="6">
                  <c:v>0.38078445421102458</c:v>
                </c:pt>
                <c:pt idx="7">
                  <c:v>0.33363613629741562</c:v>
                </c:pt>
                <c:pt idx="8">
                  <c:v>0.35441715741883628</c:v>
                </c:pt>
                <c:pt idx="9">
                  <c:v>0.35138558279728999</c:v>
                </c:pt>
                <c:pt idx="10">
                  <c:v>0.34054179802374657</c:v>
                </c:pt>
                <c:pt idx="11">
                  <c:v>0.41682654541392183</c:v>
                </c:pt>
                <c:pt idx="12">
                  <c:v>0.49471595713976174</c:v>
                </c:pt>
                <c:pt idx="13">
                  <c:v>0.66475925712916917</c:v>
                </c:pt>
                <c:pt idx="14">
                  <c:v>0.65832362144919243</c:v>
                </c:pt>
                <c:pt idx="15">
                  <c:v>0.63108264317112994</c:v>
                </c:pt>
                <c:pt idx="16">
                  <c:v>0.64422678650721921</c:v>
                </c:pt>
                <c:pt idx="17">
                  <c:v>0.63177229416296687</c:v>
                </c:pt>
                <c:pt idx="18">
                  <c:v>0.62258660873539096</c:v>
                </c:pt>
                <c:pt idx="19">
                  <c:v>0.65114051677499962</c:v>
                </c:pt>
                <c:pt idx="20">
                  <c:v>0.62112043493460412</c:v>
                </c:pt>
                <c:pt idx="21">
                  <c:v>0.63266145777590554</c:v>
                </c:pt>
                <c:pt idx="22">
                  <c:v>0.62806070302572747</c:v>
                </c:pt>
                <c:pt idx="23">
                  <c:v>0.61799012309234203</c:v>
                </c:pt>
                <c:pt idx="24">
                  <c:v>0.64864204900431999</c:v>
                </c:pt>
                <c:pt idx="25">
                  <c:v>0.65618568561485846</c:v>
                </c:pt>
                <c:pt idx="26">
                  <c:v>0.98550481868304884</c:v>
                </c:pt>
                <c:pt idx="27">
                  <c:v>0.96762544651359206</c:v>
                </c:pt>
                <c:pt idx="28">
                  <c:v>0.93420844229430411</c:v>
                </c:pt>
                <c:pt idx="29">
                  <c:v>0.94169000298360384</c:v>
                </c:pt>
                <c:pt idx="30">
                  <c:v>0.92966300076750841</c:v>
                </c:pt>
                <c:pt idx="31">
                  <c:v>0.92132361806953866</c:v>
                </c:pt>
                <c:pt idx="32">
                  <c:v>0.94255801154632746</c:v>
                </c:pt>
                <c:pt idx="33">
                  <c:v>0.9191033840670102</c:v>
                </c:pt>
                <c:pt idx="34">
                  <c:v>0.92739106652817282</c:v>
                </c:pt>
                <c:pt idx="35">
                  <c:v>0.92215845890848136</c:v>
                </c:pt>
                <c:pt idx="36">
                  <c:v>0.91426446275688567</c:v>
                </c:pt>
                <c:pt idx="37">
                  <c:v>0.93542090762492425</c:v>
                </c:pt>
                <c:pt idx="38">
                  <c:v>0.94057870847457281</c:v>
                </c:pt>
                <c:pt idx="39">
                  <c:v>1.308367325601274</c:v>
                </c:pt>
                <c:pt idx="40">
                  <c:v>1.280590395012595</c:v>
                </c:pt>
                <c:pt idx="41">
                  <c:v>1.2396310124221992</c:v>
                </c:pt>
                <c:pt idx="42">
                  <c:v>1.2437845469282025</c:v>
                </c:pt>
                <c:pt idx="43">
                  <c:v>1.2310179211517354</c:v>
                </c:pt>
                <c:pt idx="44">
                  <c:v>1.2223936185740472</c:v>
                </c:pt>
                <c:pt idx="45">
                  <c:v>1.2402081969746122</c:v>
                </c:pt>
                <c:pt idx="46">
                  <c:v>1.2194693669263841</c:v>
                </c:pt>
                <c:pt idx="47">
                  <c:v>1.226262672174806</c:v>
                </c:pt>
                <c:pt idx="48">
                  <c:v>1.2202101247164803</c:v>
                </c:pt>
                <c:pt idx="49">
                  <c:v>1.2130132658318244</c:v>
                </c:pt>
                <c:pt idx="50">
                  <c:v>1.2292732675590257</c:v>
                </c:pt>
                <c:pt idx="51">
                  <c:v>1.2331083992590666</c:v>
                </c:pt>
                <c:pt idx="52">
                  <c:v>1.6320393555011896</c:v>
                </c:pt>
                <c:pt idx="53">
                  <c:v>1.5951263751321128</c:v>
                </c:pt>
                <c:pt idx="54">
                  <c:v>1.5459710018509198</c:v>
                </c:pt>
                <c:pt idx="55">
                  <c:v>1.5477952811655213</c:v>
                </c:pt>
                <c:pt idx="56">
                  <c:v>1.5337808288012733</c:v>
                </c:pt>
                <c:pt idx="57">
                  <c:v>1.5244413177698863</c:v>
                </c:pt>
                <c:pt idx="58">
                  <c:v>1.5405706897240159</c:v>
                </c:pt>
                <c:pt idx="59">
                  <c:v>1.5208182536291428</c:v>
                </c:pt>
                <c:pt idx="60">
                  <c:v>1.5268599045469813</c:v>
                </c:pt>
                <c:pt idx="61">
                  <c:v>1.5198104800115733</c:v>
                </c:pt>
                <c:pt idx="62">
                  <c:v>1.5127256311483561</c:v>
                </c:pt>
                <c:pt idx="63">
                  <c:v>1.5262000775356239</c:v>
                </c:pt>
                <c:pt idx="64">
                  <c:v>1.5289579626906391</c:v>
                </c:pt>
                <c:pt idx="65">
                  <c:v>1.9562606567481391</c:v>
                </c:pt>
                <c:pt idx="66">
                  <c:v>1.9104302743412696</c:v>
                </c:pt>
                <c:pt idx="67">
                  <c:v>1.8527946221249463</c:v>
                </c:pt>
                <c:pt idx="68">
                  <c:v>1.8528261467874236</c:v>
                </c:pt>
                <c:pt idx="69">
                  <c:v>1.837248329205295</c:v>
                </c:pt>
                <c:pt idx="70">
                  <c:v>1.8269606348279521</c:v>
                </c:pt>
                <c:pt idx="71">
                  <c:v>1.842383679312656</c:v>
                </c:pt>
                <c:pt idx="72">
                  <c:v>1.8225649590039736</c:v>
                </c:pt>
                <c:pt idx="73">
                  <c:v>1.8283038330196857</c:v>
                </c:pt>
                <c:pt idx="74">
                  <c:v>1.8202365497172088</c:v>
                </c:pt>
                <c:pt idx="75">
                  <c:v>1.8129387105548591</c:v>
                </c:pt>
                <c:pt idx="76">
                  <c:v>1.8244910157374075</c:v>
                </c:pt>
                <c:pt idx="77">
                  <c:v>1.8267155528266967</c:v>
                </c:pt>
                <c:pt idx="78">
                  <c:v>2.2805322881544825</c:v>
                </c:pt>
                <c:pt idx="79">
                  <c:v>2.2261183403591125</c:v>
                </c:pt>
                <c:pt idx="80">
                  <c:v>2.159889175233439</c:v>
                </c:pt>
                <c:pt idx="81">
                  <c:v>2.1583084348663566</c:v>
                </c:pt>
                <c:pt idx="82">
                  <c:v>2.1410232234284807</c:v>
                </c:pt>
                <c:pt idx="83">
                  <c:v>2.129772535879157</c:v>
                </c:pt>
                <c:pt idx="84">
                  <c:v>2.1448864969407726</c:v>
                </c:pt>
                <c:pt idx="85">
                  <c:v>2.124611927251729</c:v>
                </c:pt>
                <c:pt idx="86">
                  <c:v>2.1302400784398903</c:v>
                </c:pt>
                <c:pt idx="87">
                  <c:v>2.1210316251810237</c:v>
                </c:pt>
                <c:pt idx="88">
                  <c:v>2.1133969037606217</c:v>
                </c:pt>
                <c:pt idx="89">
                  <c:v>2.1236898701374618</c:v>
                </c:pt>
                <c:pt idx="90">
                  <c:v>2.1254126373339028</c:v>
                </c:pt>
                <c:pt idx="91">
                  <c:v>2.6051130183107332</c:v>
                </c:pt>
                <c:pt idx="92">
                  <c:v>2.5421659741585256</c:v>
                </c:pt>
                <c:pt idx="93">
                  <c:v>2.4671661924270305</c:v>
                </c:pt>
                <c:pt idx="94">
                  <c:v>2.4642404790924348</c:v>
                </c:pt>
                <c:pt idx="95">
                  <c:v>2.4451481853888914</c:v>
                </c:pt>
                <c:pt idx="96">
                  <c:v>2.4327707672167209</c:v>
                </c:pt>
                <c:pt idx="97">
                  <c:v>2.4478183100443269</c:v>
                </c:pt>
                <c:pt idx="98">
                  <c:v>2.4268460174729003</c:v>
                </c:pt>
                <c:pt idx="99">
                  <c:v>2.432438736408324</c:v>
                </c:pt>
                <c:pt idx="100">
                  <c:v>2.422140684031751</c:v>
                </c:pt>
                <c:pt idx="101">
                  <c:v>2.4140775984892939</c:v>
                </c:pt>
                <c:pt idx="102">
                  <c:v>2.4234560732319794</c:v>
                </c:pt>
                <c:pt idx="103">
                  <c:v>2.4248561556719372</c:v>
                </c:pt>
                <c:pt idx="104">
                  <c:v>0.34455655163535986</c:v>
                </c:pt>
                <c:pt idx="105">
                  <c:v>0.34977922387528826</c:v>
                </c:pt>
                <c:pt idx="106">
                  <c:v>0.32884355796068393</c:v>
                </c:pt>
                <c:pt idx="107">
                  <c:v>0.34784642243391678</c:v>
                </c:pt>
                <c:pt idx="108">
                  <c:v>0.3353029761961181</c:v>
                </c:pt>
                <c:pt idx="109">
                  <c:v>0.32504290774501005</c:v>
                </c:pt>
                <c:pt idx="110">
                  <c:v>0.36029040151565567</c:v>
                </c:pt>
                <c:pt idx="111">
                  <c:v>0.32446860724362964</c:v>
                </c:pt>
                <c:pt idx="112">
                  <c:v>0.33965917690914249</c:v>
                </c:pt>
                <c:pt idx="113">
                  <c:v>0.33620666881091366</c:v>
                </c:pt>
                <c:pt idx="114">
                  <c:v>0.32416618489046545</c:v>
                </c:pt>
                <c:pt idx="115">
                  <c:v>0.36565581294375643</c:v>
                </c:pt>
                <c:pt idx="116">
                  <c:v>0.41586611020687841</c:v>
                </c:pt>
                <c:pt idx="117">
                  <c:v>0.66069981065576944</c:v>
                </c:pt>
                <c:pt idx="118">
                  <c:v>0.65143357617793674</c:v>
                </c:pt>
                <c:pt idx="119">
                  <c:v>0.62678157841837168</c:v>
                </c:pt>
                <c:pt idx="120">
                  <c:v>0.63566635179097652</c:v>
                </c:pt>
                <c:pt idx="121">
                  <c:v>0.62552602629992449</c:v>
                </c:pt>
                <c:pt idx="122">
                  <c:v>0.61820294233504225</c:v>
                </c:pt>
                <c:pt idx="123">
                  <c:v>0.63926093031633802</c:v>
                </c:pt>
                <c:pt idx="124">
                  <c:v>0.61674341097316365</c:v>
                </c:pt>
                <c:pt idx="125">
                  <c:v>0.6251293852630998</c:v>
                </c:pt>
                <c:pt idx="126">
                  <c:v>0.62110118527503111</c:v>
                </c:pt>
                <c:pt idx="127">
                  <c:v>0.61352629896797028</c:v>
                </c:pt>
                <c:pt idx="128">
                  <c:v>0.63559004658883567</c:v>
                </c:pt>
                <c:pt idx="129">
                  <c:v>0.64099478893141393</c:v>
                </c:pt>
                <c:pt idx="130">
                  <c:v>0.98269686476305196</c:v>
                </c:pt>
                <c:pt idx="131">
                  <c:v>0.96287784852091096</c:v>
                </c:pt>
                <c:pt idx="132">
                  <c:v>0.93124587718090535</c:v>
                </c:pt>
                <c:pt idx="133">
                  <c:v>0.93577820690276425</c:v>
                </c:pt>
                <c:pt idx="134">
                  <c:v>0.9254119200244777</c:v>
                </c:pt>
                <c:pt idx="135">
                  <c:v>0.91832346192862857</c:v>
                </c:pt>
                <c:pt idx="136">
                  <c:v>0.93428808178359235</c:v>
                </c:pt>
                <c:pt idx="137">
                  <c:v>0.91611552575737876</c:v>
                </c:pt>
                <c:pt idx="138">
                  <c:v>0.92228831066097561</c:v>
                </c:pt>
                <c:pt idx="139">
                  <c:v>0.91750910371580408</c:v>
                </c:pt>
                <c:pt idx="140">
                  <c:v>0.91125147432479414</c:v>
                </c:pt>
                <c:pt idx="141">
                  <c:v>0.92645618293843823</c:v>
                </c:pt>
                <c:pt idx="142">
                  <c:v>0.93009765833123037</c:v>
                </c:pt>
                <c:pt idx="143">
                  <c:v>1.3062111999086947</c:v>
                </c:pt>
                <c:pt idx="144">
                  <c:v>1.2769659561170199</c:v>
                </c:pt>
                <c:pt idx="145">
                  <c:v>1.2373254580325503</c:v>
                </c:pt>
                <c:pt idx="146">
                  <c:v>1.2392724275558027</c:v>
                </c:pt>
                <c:pt idx="147">
                  <c:v>1.227798657810357</c:v>
                </c:pt>
                <c:pt idx="148">
                  <c:v>1.2201012458805527</c:v>
                </c:pt>
                <c:pt idx="149">
                  <c:v>1.2339366742953402</c:v>
                </c:pt>
                <c:pt idx="150">
                  <c:v>1.2171862784209431</c:v>
                </c:pt>
                <c:pt idx="151">
                  <c:v>1.2224214944248373</c:v>
                </c:pt>
                <c:pt idx="152">
                  <c:v>1.2167167274631097</c:v>
                </c:pt>
                <c:pt idx="153">
                  <c:v>1.2107585258101046</c:v>
                </c:pt>
                <c:pt idx="154">
                  <c:v>1.2225183103888855</c:v>
                </c:pt>
                <c:pt idx="155">
                  <c:v>1.2251105095214625</c:v>
                </c:pt>
                <c:pt idx="156">
                  <c:v>1.6302746113418871</c:v>
                </c:pt>
                <c:pt idx="157">
                  <c:v>1.5921380867700705</c:v>
                </c:pt>
                <c:pt idx="158">
                  <c:v>1.5440742740659996</c:v>
                </c:pt>
                <c:pt idx="159">
                  <c:v>1.5441157370401861</c:v>
                </c:pt>
                <c:pt idx="160">
                  <c:v>1.5311764532752616</c:v>
                </c:pt>
                <c:pt idx="161">
                  <c:v>1.5225955935916229</c:v>
                </c:pt>
                <c:pt idx="162">
                  <c:v>1.5355631188901691</c:v>
                </c:pt>
                <c:pt idx="163">
                  <c:v>1.518914313629089</c:v>
                </c:pt>
                <c:pt idx="164">
                  <c:v>1.5237444166883616</c:v>
                </c:pt>
                <c:pt idx="165">
                  <c:v>1.5170157689638357</c:v>
                </c:pt>
                <c:pt idx="166">
                  <c:v>1.5108633033898438</c:v>
                </c:pt>
                <c:pt idx="167">
                  <c:v>1.5206812173314197</c:v>
                </c:pt>
                <c:pt idx="168">
                  <c:v>1.5225204152578657</c:v>
                </c:pt>
                <c:pt idx="169">
                  <c:v>1.954638674872933</c:v>
                </c:pt>
                <c:pt idx="170">
                  <c:v>1.9078977432281112</c:v>
                </c:pt>
                <c:pt idx="171">
                  <c:v>1.8511946912992159</c:v>
                </c:pt>
                <c:pt idx="172">
                  <c:v>1.8497016102845478</c:v>
                </c:pt>
                <c:pt idx="173">
                  <c:v>1.8350100376226455</c:v>
                </c:pt>
                <c:pt idx="174">
                  <c:v>1.8254038162780117</c:v>
                </c:pt>
                <c:pt idx="175">
                  <c:v>1.8381175616120951</c:v>
                </c:pt>
                <c:pt idx="176">
                  <c:v>1.8209329280774289</c:v>
                </c:pt>
                <c:pt idx="177">
                  <c:v>1.825673053507147</c:v>
                </c:pt>
                <c:pt idx="178">
                  <c:v>1.8177697317880748</c:v>
                </c:pt>
                <c:pt idx="179">
                  <c:v>1.8113334887573531</c:v>
                </c:pt>
                <c:pt idx="180">
                  <c:v>1.8199642764425967</c:v>
                </c:pt>
                <c:pt idx="181">
                  <c:v>1.8212726879321752</c:v>
                </c:pt>
                <c:pt idx="182">
                  <c:v>2.2791692844126921</c:v>
                </c:pt>
                <c:pt idx="183">
                  <c:v>2.2239672908029524</c:v>
                </c:pt>
                <c:pt idx="184">
                  <c:v>2.1584858107661722</c:v>
                </c:pt>
                <c:pt idx="185">
                  <c:v>2.1556995393132743</c:v>
                </c:pt>
                <c:pt idx="186">
                  <c:v>2.1391499085928443</c:v>
                </c:pt>
                <c:pt idx="187">
                  <c:v>2.1284069408066935</c:v>
                </c:pt>
                <c:pt idx="188">
                  <c:v>2.1412153718829314</c:v>
                </c:pt>
                <c:pt idx="189">
                  <c:v>2.1232520070839529</c:v>
                </c:pt>
                <c:pt idx="190">
                  <c:v>2.1279919669592062</c:v>
                </c:pt>
                <c:pt idx="191">
                  <c:v>2.1189143683357874</c:v>
                </c:pt>
                <c:pt idx="192">
                  <c:v>2.1120551323612573</c:v>
                </c:pt>
                <c:pt idx="193">
                  <c:v>2.1197932764410994</c:v>
                </c:pt>
                <c:pt idx="194">
                  <c:v>2.120806870956641</c:v>
                </c:pt>
                <c:pt idx="195">
                  <c:v>2.6038500893656984</c:v>
                </c:pt>
                <c:pt idx="196">
                  <c:v>2.5401744659882151</c:v>
                </c:pt>
                <c:pt idx="197">
                  <c:v>2.4658892270949599</c:v>
                </c:pt>
                <c:pt idx="198">
                  <c:v>2.4619191683519537</c:v>
                </c:pt>
                <c:pt idx="199">
                  <c:v>2.4434366377599566</c:v>
                </c:pt>
                <c:pt idx="200">
                  <c:v>2.4315281302995415</c:v>
                </c:pt>
                <c:pt idx="201">
                  <c:v>2.4446090729134755</c:v>
                </c:pt>
                <c:pt idx="202">
                  <c:v>2.4256087983924228</c:v>
                </c:pt>
                <c:pt idx="203">
                  <c:v>2.4304034498066254</c:v>
                </c:pt>
                <c:pt idx="204">
                  <c:v>2.4203064137937762</c:v>
                </c:pt>
                <c:pt idx="205">
                  <c:v>2.4128832043826698</c:v>
                </c:pt>
                <c:pt idx="206">
                  <c:v>2.4199695483058363</c:v>
                </c:pt>
                <c:pt idx="207">
                  <c:v>2.4206570503334337</c:v>
                </c:pt>
                <c:pt idx="208">
                  <c:v>0.35413617890550031</c:v>
                </c:pt>
                <c:pt idx="209">
                  <c:v>0.36575555063632553</c:v>
                </c:pt>
                <c:pt idx="210">
                  <c:v>0.33961050035179291</c:v>
                </c:pt>
                <c:pt idx="211">
                  <c:v>0.36784664919323679</c:v>
                </c:pt>
                <c:pt idx="212">
                  <c:v>0.35098716057126389</c:v>
                </c:pt>
                <c:pt idx="213">
                  <c:v>0.33658410933506894</c:v>
                </c:pt>
                <c:pt idx="214">
                  <c:v>0.38650411256243317</c:v>
                </c:pt>
                <c:pt idx="215">
                  <c:v>0.336341979610015</c:v>
                </c:pt>
                <c:pt idx="216">
                  <c:v>0.35866701181985255</c:v>
                </c:pt>
                <c:pt idx="217">
                  <c:v>0.3561093657549354</c:v>
                </c:pt>
                <c:pt idx="218">
                  <c:v>0.34969339573968788</c:v>
                </c:pt>
                <c:pt idx="219">
                  <c:v>0.43466770617766759</c:v>
                </c:pt>
                <c:pt idx="220">
                  <c:v>0.51500232620346365</c:v>
                </c:pt>
                <c:pt idx="221">
                  <c:v>0.66586794546252925</c:v>
                </c:pt>
                <c:pt idx="222">
                  <c:v>0.66027177224717026</c:v>
                </c:pt>
                <c:pt idx="223">
                  <c:v>0.63232626890871857</c:v>
                </c:pt>
                <c:pt idx="224">
                  <c:v>0.64665065449747583</c:v>
                </c:pt>
                <c:pt idx="225">
                  <c:v>0.63358017287715451</c:v>
                </c:pt>
                <c:pt idx="226">
                  <c:v>0.62383127917766046</c:v>
                </c:pt>
                <c:pt idx="227">
                  <c:v>0.65448327594494449</c:v>
                </c:pt>
                <c:pt idx="228">
                  <c:v>0.62237108068540237</c:v>
                </c:pt>
                <c:pt idx="229">
                  <c:v>0.63480119438718074</c:v>
                </c:pt>
                <c:pt idx="230">
                  <c:v>0.63001398366987593</c:v>
                </c:pt>
                <c:pt idx="231">
                  <c:v>0.61927324339205381</c:v>
                </c:pt>
                <c:pt idx="232">
                  <c:v>0.65229123637753561</c:v>
                </c:pt>
                <c:pt idx="233">
                  <c:v>0.66054438937280391</c:v>
                </c:pt>
                <c:pt idx="234">
                  <c:v>0.98628719603045245</c:v>
                </c:pt>
                <c:pt idx="235">
                  <c:v>0.96893846319938248</c:v>
                </c:pt>
                <c:pt idx="236">
                  <c:v>0.93505148544648831</c:v>
                </c:pt>
                <c:pt idx="237">
                  <c:v>0.94336421939684867</c:v>
                </c:pt>
                <c:pt idx="238">
                  <c:v>0.93089270128162394</c:v>
                </c:pt>
                <c:pt idx="239">
                  <c:v>0.92214429297353084</c:v>
                </c:pt>
                <c:pt idx="240">
                  <c:v>0.9448803861616859</c:v>
                </c:pt>
                <c:pt idx="241">
                  <c:v>0.91994991387120306</c:v>
                </c:pt>
                <c:pt idx="242">
                  <c:v>0.92880021756488751</c:v>
                </c:pt>
                <c:pt idx="243">
                  <c:v>0.92351643624631885</c:v>
                </c:pt>
                <c:pt idx="244">
                  <c:v>0.91511210135694498</c:v>
                </c:pt>
                <c:pt idx="245">
                  <c:v>0.93790163256563375</c:v>
                </c:pt>
                <c:pt idx="246">
                  <c:v>0.94348858205039288</c:v>
                </c:pt>
                <c:pt idx="247">
                  <c:v>1.3089934634299814</c:v>
                </c:pt>
                <c:pt idx="248">
                  <c:v>1.2816238455294844</c:v>
                </c:pt>
                <c:pt idx="249">
                  <c:v>1.2402849246982155</c:v>
                </c:pt>
                <c:pt idx="250">
                  <c:v>1.2450609129949957</c:v>
                </c:pt>
                <c:pt idx="251">
                  <c:v>1.231963698152702</c:v>
                </c:pt>
                <c:pt idx="252">
                  <c:v>1.2230789496832353</c:v>
                </c:pt>
                <c:pt idx="253">
                  <c:v>1.24204687466132</c:v>
                </c:pt>
                <c:pt idx="254">
                  <c:v>1.2201031323051483</c:v>
                </c:pt>
                <c:pt idx="255">
                  <c:v>1.2274022739880239</c:v>
                </c:pt>
                <c:pt idx="256">
                  <c:v>1.2212474514490494</c:v>
                </c:pt>
                <c:pt idx="257">
                  <c:v>1.2136551472517494</c:v>
                </c:pt>
                <c:pt idx="258">
                  <c:v>1.2312296797711155</c:v>
                </c:pt>
                <c:pt idx="259">
                  <c:v>1.2352963728647364</c:v>
                </c:pt>
                <c:pt idx="260">
                  <c:v>1.632577592441512</c:v>
                </c:pt>
                <c:pt idx="261">
                  <c:v>1.5959309685655196</c:v>
                </c:pt>
                <c:pt idx="262">
                  <c:v>1.5465142230613849</c:v>
                </c:pt>
                <c:pt idx="263">
                  <c:v>1.5488221753202531</c:v>
                </c:pt>
                <c:pt idx="264">
                  <c:v>1.5345178114212428</c:v>
                </c:pt>
                <c:pt idx="265">
                  <c:v>1.5249698979027524</c:v>
                </c:pt>
                <c:pt idx="266">
                  <c:v>1.5420689935524832</c:v>
                </c:pt>
                <c:pt idx="267">
                  <c:v>1.521344727866826</c:v>
                </c:pt>
                <c:pt idx="268">
                  <c:v>1.5277249908389099</c:v>
                </c:pt>
                <c:pt idx="269">
                  <c:v>1.520614192873134</c:v>
                </c:pt>
                <c:pt idx="270">
                  <c:v>1.5132993615039374</c:v>
                </c:pt>
                <c:pt idx="271">
                  <c:v>1.5276904612894955</c:v>
                </c:pt>
                <c:pt idx="272">
                  <c:v>1.5308281266338035</c:v>
                </c:pt>
                <c:pt idx="273">
                  <c:v>1.9566428934922648</c:v>
                </c:pt>
                <c:pt idx="274">
                  <c:v>1.9111557177887772</c:v>
                </c:pt>
                <c:pt idx="275">
                  <c:v>1.8533007430843924</c:v>
                </c:pt>
                <c:pt idx="276">
                  <c:v>1.8536735913604871</c:v>
                </c:pt>
                <c:pt idx="277">
                  <c:v>1.8379131423933137</c:v>
                </c:pt>
                <c:pt idx="278">
                  <c:v>1.8274530956911914</c:v>
                </c:pt>
                <c:pt idx="279">
                  <c:v>1.8435596540347734</c:v>
                </c:pt>
                <c:pt idx="280">
                  <c:v>1.8230553772002167</c:v>
                </c:pt>
                <c:pt idx="281">
                  <c:v>1.8290459053197332</c:v>
                </c:pt>
                <c:pt idx="282">
                  <c:v>1.8209208513217547</c:v>
                </c:pt>
                <c:pt idx="283">
                  <c:v>1.8134186600886049</c:v>
                </c:pt>
                <c:pt idx="284">
                  <c:v>1.8257572469051384</c:v>
                </c:pt>
                <c:pt idx="285">
                  <c:v>1.8282563180375457</c:v>
                </c:pt>
                <c:pt idx="286">
                  <c:v>2.2809871557891461</c:v>
                </c:pt>
                <c:pt idx="287">
                  <c:v>2.2267648657718611</c:v>
                </c:pt>
                <c:pt idx="288">
                  <c:v>2.160290637095637</c:v>
                </c:pt>
                <c:pt idx="289">
                  <c:v>2.1590123866704105</c:v>
                </c:pt>
                <c:pt idx="290">
                  <c:v>2.1416158613928169</c:v>
                </c:pt>
                <c:pt idx="291">
                  <c:v>2.1301631711563012</c:v>
                </c:pt>
                <c:pt idx="292">
                  <c:v>2.1458818712470977</c:v>
                </c:pt>
                <c:pt idx="293">
                  <c:v>2.1250010454757144</c:v>
                </c:pt>
                <c:pt idx="294">
                  <c:v>2.1309256008985908</c:v>
                </c:pt>
                <c:pt idx="295">
                  <c:v>2.1216369859573021</c:v>
                </c:pt>
                <c:pt idx="296">
                  <c:v>2.1138394237365121</c:v>
                </c:pt>
                <c:pt idx="297">
                  <c:v>2.1248335821083617</c:v>
                </c:pt>
                <c:pt idx="298">
                  <c:v>2.1267673950040429</c:v>
                </c:pt>
                <c:pt idx="299">
                  <c:v>2.6054685745729462</c:v>
                </c:pt>
                <c:pt idx="300">
                  <c:v>2.5426646302791531</c:v>
                </c:pt>
                <c:pt idx="301">
                  <c:v>2.4675147669526565</c:v>
                </c:pt>
                <c:pt idx="302">
                  <c:v>2.4648221023161909</c:v>
                </c:pt>
                <c:pt idx="303">
                  <c:v>2.4456053915409419</c:v>
                </c:pt>
                <c:pt idx="304">
                  <c:v>2.4331100465777662</c:v>
                </c:pt>
                <c:pt idx="305">
                  <c:v>2.4487372155806399</c:v>
                </c:pt>
                <c:pt idx="306">
                  <c:v>2.4271839422653474</c:v>
                </c:pt>
                <c:pt idx="307">
                  <c:v>2.4330051488302504</c:v>
                </c:pt>
                <c:pt idx="308">
                  <c:v>2.4225984444416584</c:v>
                </c:pt>
                <c:pt idx="309">
                  <c:v>2.4144932400476167</c:v>
                </c:pt>
                <c:pt idx="310">
                  <c:v>2.4244930435615513</c:v>
                </c:pt>
                <c:pt idx="311">
                  <c:v>2.4260143385098485</c:v>
                </c:pt>
                <c:pt idx="313">
                  <c:v>0.40557303056788202</c:v>
                </c:pt>
                <c:pt idx="316">
                  <c:v>0.38463373614771801</c:v>
                </c:pt>
                <c:pt idx="318">
                  <c:v>0.38539904325431312</c:v>
                </c:pt>
                <c:pt idx="320">
                  <c:v>0.38216301350763804</c:v>
                </c:pt>
                <c:pt idx="321">
                  <c:v>0.38020036259216433</c:v>
                </c:pt>
                <c:pt idx="323">
                  <c:v>0.37940332057508952</c:v>
                </c:pt>
                <c:pt idx="324">
                  <c:v>0.37906981326644879</c:v>
                </c:pt>
                <c:pt idx="326">
                  <c:v>0.50792979391137583</c:v>
                </c:pt>
                <c:pt idx="328">
                  <c:v>0.48639545071908102</c:v>
                </c:pt>
                <c:pt idx="330">
                  <c:v>0.4776689767706615</c:v>
                </c:pt>
                <c:pt idx="331">
                  <c:v>0.4817296935287031</c:v>
                </c:pt>
                <c:pt idx="334">
                  <c:v>0.47497386187144752</c:v>
                </c:pt>
                <c:pt idx="335">
                  <c:v>0.47368716561350677</c:v>
                </c:pt>
                <c:pt idx="336">
                  <c:v>0.47397871784575024</c:v>
                </c:pt>
                <c:pt idx="338">
                  <c:v>0.62377638023687842</c:v>
                </c:pt>
                <c:pt idx="339">
                  <c:v>0.61226688737178814</c:v>
                </c:pt>
                <c:pt idx="340">
                  <c:v>0.58438750326739664</c:v>
                </c:pt>
                <c:pt idx="341">
                  <c:v>0.58577902051444464</c:v>
                </c:pt>
                <c:pt idx="342">
                  <c:v>0.578718675736967</c:v>
                </c:pt>
                <c:pt idx="343">
                  <c:v>0.57503486248322977</c:v>
                </c:pt>
                <c:pt idx="344">
                  <c:v>0.58006940099046822</c:v>
                </c:pt>
                <c:pt idx="345">
                  <c:v>0.57347974448995986</c:v>
                </c:pt>
                <c:pt idx="346">
                  <c:v>0.57484332725242548</c:v>
                </c:pt>
                <c:pt idx="347">
                  <c:v>0.57176191330229142</c:v>
                </c:pt>
                <c:pt idx="348">
                  <c:v>0.57019481821845386</c:v>
                </c:pt>
                <c:pt idx="349">
                  <c:v>0.57056882669167364</c:v>
                </c:pt>
                <c:pt idx="351">
                  <c:v>0.83956833217212246</c:v>
                </c:pt>
                <c:pt idx="352">
                  <c:v>0.82386890793951062</c:v>
                </c:pt>
                <c:pt idx="353">
                  <c:v>0.78554130751457729</c:v>
                </c:pt>
                <c:pt idx="354">
                  <c:v>0.78750313228083835</c:v>
                </c:pt>
                <c:pt idx="355">
                  <c:v>0.77781058218466492</c:v>
                </c:pt>
                <c:pt idx="356">
                  <c:v>0.77277584067083482</c:v>
                </c:pt>
                <c:pt idx="357">
                  <c:v>0.779711452182836</c:v>
                </c:pt>
                <c:pt idx="358">
                  <c:v>0.77064683453014415</c:v>
                </c:pt>
                <c:pt idx="359">
                  <c:v>0.77252972415534149</c:v>
                </c:pt>
                <c:pt idx="360">
                  <c:v>0.7683300223491264</c:v>
                </c:pt>
                <c:pt idx="361">
                  <c:v>0.7661896991213456</c:v>
                </c:pt>
                <c:pt idx="362">
                  <c:v>0.76671115861690053</c:v>
                </c:pt>
                <c:pt idx="363">
                  <c:v>0.76605768486448644</c:v>
                </c:pt>
                <c:pt idx="364">
                  <c:v>1.1664582754056125</c:v>
                </c:pt>
                <c:pt idx="365">
                  <c:v>1.1445000489244834</c:v>
                </c:pt>
                <c:pt idx="366">
                  <c:v>1.0905756698282991</c:v>
                </c:pt>
                <c:pt idx="367">
                  <c:v>1.0934225704957528</c:v>
                </c:pt>
                <c:pt idx="368">
                  <c:v>1.0797632287204069</c:v>
                </c:pt>
                <c:pt idx="369">
                  <c:v>1.0726740508253505</c:v>
                </c:pt>
                <c:pt idx="370">
                  <c:v>1.0825084949805877</c:v>
                </c:pt>
                <c:pt idx="371">
                  <c:v>1.0697476182444543</c:v>
                </c:pt>
                <c:pt idx="372">
                  <c:v>1.0723720751100778</c:v>
                </c:pt>
                <c:pt idx="373">
                  <c:v>1.066483719743397</c:v>
                </c:pt>
                <c:pt idx="374">
                  <c:v>1.0634999537372192</c:v>
                </c:pt>
                <c:pt idx="375">
                  <c:v>1.0642515205622201</c:v>
                </c:pt>
                <c:pt idx="376">
                  <c:v>1.0633536722341808</c:v>
                </c:pt>
                <c:pt idx="377">
                  <c:v>1.4950514176874414</c:v>
                </c:pt>
                <c:pt idx="378">
                  <c:v>1.4667874731791444</c:v>
                </c:pt>
                <c:pt idx="379">
                  <c:v>1.3973226628764086</c:v>
                </c:pt>
                <c:pt idx="380">
                  <c:v>1.4009788141880526</c:v>
                </c:pt>
                <c:pt idx="381">
                  <c:v>1.3833943654526824</c:v>
                </c:pt>
                <c:pt idx="382">
                  <c:v>1.3743043701393149</c:v>
                </c:pt>
                <c:pt idx="383">
                  <c:v>1.3869269097989336</c:v>
                </c:pt>
                <c:pt idx="384">
                  <c:v>1.3704961868374901</c:v>
                </c:pt>
                <c:pt idx="385">
                  <c:v>1.3738859469307461</c:v>
                </c:pt>
                <c:pt idx="386">
                  <c:v>1.3663256122012051</c:v>
                </c:pt>
                <c:pt idx="387">
                  <c:v>1.3624859818155548</c:v>
                </c:pt>
                <c:pt idx="388">
                  <c:v>1.3634505300405675</c:v>
                </c:pt>
                <c:pt idx="389">
                  <c:v>1.36232015041863</c:v>
                </c:pt>
                <c:pt idx="390">
                  <c:v>1.8243280345653337</c:v>
                </c:pt>
                <c:pt idx="391">
                  <c:v>1.7897877395619994</c:v>
                </c:pt>
                <c:pt idx="392">
                  <c:v>1.7048145898429594</c:v>
                </c:pt>
                <c:pt idx="393">
                  <c:v>1.7093114105508864</c:v>
                </c:pt>
                <c:pt idx="394">
                  <c:v>1.6877609746203914</c:v>
                </c:pt>
                <c:pt idx="395">
                  <c:v>1.6766618692304935</c:v>
                </c:pt>
                <c:pt idx="396">
                  <c:v>1.6921665733535143</c:v>
                </c:pt>
                <c:pt idx="397">
                  <c:v>1.6719856123756134</c:v>
                </c:pt>
                <c:pt idx="398">
                  <c:v>1.6761432487143544</c:v>
                </c:pt>
                <c:pt idx="399">
                  <c:v>1.666955687550435</c:v>
                </c:pt>
                <c:pt idx="400">
                  <c:v>1.6621991273372989</c:v>
                </c:pt>
                <c:pt idx="401">
                  <c:v>1.6634255057274701</c:v>
                </c:pt>
                <c:pt idx="402">
                  <c:v>1.6620013520559476</c:v>
                </c:pt>
                <c:pt idx="403">
                  <c:v>2.1540114826539973</c:v>
                </c:pt>
                <c:pt idx="404">
                  <c:v>2.1131955333736072</c:v>
                </c:pt>
                <c:pt idx="405">
                  <c:v>2.0126514733292833</c:v>
                </c:pt>
                <c:pt idx="406">
                  <c:v>2.0180292363780503</c:v>
                </c:pt>
                <c:pt idx="407">
                  <c:v>1.9926206755825557</c:v>
                </c:pt>
                <c:pt idx="408">
                  <c:v>1.979470863054462</c:v>
                </c:pt>
                <c:pt idx="409">
                  <c:v>1.9977525014582329</c:v>
                </c:pt>
                <c:pt idx="410">
                  <c:v>1.9739732747456407</c:v>
                </c:pt>
                <c:pt idx="411">
                  <c:v>1.978897475400629</c:v>
                </c:pt>
                <c:pt idx="412">
                  <c:v>1.9679890692893662</c:v>
                </c:pt>
                <c:pt idx="413">
                  <c:v>1.9623694167312047</c:v>
                </c:pt>
                <c:pt idx="414">
                  <c:v>1.9638180396630485</c:v>
                </c:pt>
                <c:pt idx="415">
                  <c:v>1.9621611036820779</c:v>
                </c:pt>
                <c:pt idx="416">
                  <c:v>0.40516686389316325</c:v>
                </c:pt>
                <c:pt idx="417">
                  <c:v>0.39783575441308616</c:v>
                </c:pt>
                <c:pt idx="418">
                  <c:v>0.38031767581901182</c:v>
                </c:pt>
                <c:pt idx="420">
                  <c:v>0.37670302818040874</c:v>
                </c:pt>
                <c:pt idx="422">
                  <c:v>0.37751338551579838</c:v>
                </c:pt>
                <c:pt idx="424">
                  <c:v>0.37423569869550727</c:v>
                </c:pt>
                <c:pt idx="425">
                  <c:v>0.37227444758638145</c:v>
                </c:pt>
                <c:pt idx="427">
                  <c:v>0.37149502931049683</c:v>
                </c:pt>
                <c:pt idx="429">
                  <c:v>0.5111941224596106</c:v>
                </c:pt>
                <c:pt idx="430">
                  <c:v>0.50176951217282983</c:v>
                </c:pt>
                <c:pt idx="431">
                  <c:v>0.47898694741004377</c:v>
                </c:pt>
                <c:pt idx="432">
                  <c:v>0.48011106992308938</c:v>
                </c:pt>
                <c:pt idx="433">
                  <c:v>0.47434552889085208</c:v>
                </c:pt>
                <c:pt idx="434">
                  <c:v>0.47133653080808657</c:v>
                </c:pt>
                <c:pt idx="435">
                  <c:v>0.47544490029200887</c:v>
                </c:pt>
                <c:pt idx="437">
                  <c:v>0.47117888578632405</c:v>
                </c:pt>
                <c:pt idx="438">
                  <c:v>0.46865685456597111</c:v>
                </c:pt>
                <c:pt idx="439">
                  <c:v>0.46736844106165337</c:v>
                </c:pt>
                <c:pt idx="440">
                  <c:v>0.46767606127906064</c:v>
                </c:pt>
                <c:pt idx="442">
                  <c:v>0.61867977075247627</c:v>
                </c:pt>
                <c:pt idx="443">
                  <c:v>0.60716621538916504</c:v>
                </c:pt>
                <c:pt idx="444">
                  <c:v>0.57914648087554954</c:v>
                </c:pt>
                <c:pt idx="445">
                  <c:v>0.5805680366196998</c:v>
                </c:pt>
                <c:pt idx="446">
                  <c:v>0.57348170490453798</c:v>
                </c:pt>
                <c:pt idx="447">
                  <c:v>0.56978694826783849</c:v>
                </c:pt>
                <c:pt idx="448">
                  <c:v>0.57486151459959067</c:v>
                </c:pt>
                <c:pt idx="449">
                  <c:v>0.56824115059779734</c:v>
                </c:pt>
                <c:pt idx="450">
                  <c:v>0.56959948142031469</c:v>
                </c:pt>
                <c:pt idx="451">
                  <c:v>0.56652803173036126</c:v>
                </c:pt>
                <c:pt idx="452">
                  <c:v>0.56495660636395817</c:v>
                </c:pt>
                <c:pt idx="453">
                  <c:v>0.56533987914179484</c:v>
                </c:pt>
                <c:pt idx="454">
                  <c:v>0.56485284663143986</c:v>
                </c:pt>
                <c:pt idx="455">
                  <c:v>0.83578285888851311</c:v>
                </c:pt>
                <c:pt idx="456">
                  <c:v>0.82009171963376182</c:v>
                </c:pt>
                <c:pt idx="457">
                  <c:v>0.78164759548373175</c:v>
                </c:pt>
                <c:pt idx="458">
                  <c:v>0.78364455323742688</c:v>
                </c:pt>
                <c:pt idx="459">
                  <c:v>0.77391595147753744</c:v>
                </c:pt>
                <c:pt idx="460">
                  <c:v>0.7688606484543743</c:v>
                </c:pt>
                <c:pt idx="461">
                  <c:v>0.7758561448918565</c:v>
                </c:pt>
                <c:pt idx="462">
                  <c:v>0.76675325287814977</c:v>
                </c:pt>
                <c:pt idx="463">
                  <c:v>0.76862997493172591</c:v>
                </c:pt>
                <c:pt idx="464">
                  <c:v>0.76444130250796816</c:v>
                </c:pt>
                <c:pt idx="465">
                  <c:v>0.76229759148467879</c:v>
                </c:pt>
                <c:pt idx="466">
                  <c:v>0.76283046848119773</c:v>
                </c:pt>
                <c:pt idx="467">
                  <c:v>0.7621773049553543</c:v>
                </c:pt>
                <c:pt idx="468">
                  <c:v>1.1637676404641111</c:v>
                </c:pt>
                <c:pt idx="469">
                  <c:v>1.1417704667594355</c:v>
                </c:pt>
                <c:pt idx="470">
                  <c:v>1.0877609094069955</c:v>
                </c:pt>
                <c:pt idx="471">
                  <c:v>1.0906142496865285</c:v>
                </c:pt>
                <c:pt idx="472">
                  <c:v>1.0769628330312611</c:v>
                </c:pt>
                <c:pt idx="473">
                  <c:v>1.0698762432431639</c:v>
                </c:pt>
                <c:pt idx="474">
                  <c:v>1.0797198780758437</c:v>
                </c:pt>
                <c:pt idx="475">
                  <c:v>1.0669254819431646</c:v>
                </c:pt>
                <c:pt idx="476">
                  <c:v>1.0695712677622931</c:v>
                </c:pt>
                <c:pt idx="477">
                  <c:v>1.0637061744936334</c:v>
                </c:pt>
                <c:pt idx="478">
                  <c:v>1.0607028670944074</c:v>
                </c:pt>
                <c:pt idx="479">
                  <c:v>1.061452809828237</c:v>
                </c:pt>
                <c:pt idx="480">
                  <c:v>1.060571498588138</c:v>
                </c:pt>
                <c:pt idx="481">
                  <c:v>1.4929380706134383</c:v>
                </c:pt>
                <c:pt idx="482">
                  <c:v>1.464617928897429</c:v>
                </c:pt>
                <c:pt idx="483">
                  <c:v>1.3951140461435143</c:v>
                </c:pt>
                <c:pt idx="484">
                  <c:v>1.3988011011047323</c:v>
                </c:pt>
                <c:pt idx="485">
                  <c:v>1.3812275120189519</c:v>
                </c:pt>
                <c:pt idx="486">
                  <c:v>1.372109966305167</c:v>
                </c:pt>
                <c:pt idx="487">
                  <c:v>1.3847380692849001</c:v>
                </c:pt>
                <c:pt idx="488">
                  <c:v>1.3683157854106172</c:v>
                </c:pt>
                <c:pt idx="489">
                  <c:v>1.3716926280535722</c:v>
                </c:pt>
                <c:pt idx="490">
                  <c:v>1.3641708490080733</c:v>
                </c:pt>
                <c:pt idx="491">
                  <c:v>1.3602709807296827</c:v>
                </c:pt>
                <c:pt idx="492">
                  <c:v>1.3612995830741752</c:v>
                </c:pt>
                <c:pt idx="493">
                  <c:v>1.3601212139817369</c:v>
                </c:pt>
                <c:pt idx="494">
                  <c:v>1.8226078316493441</c:v>
                </c:pt>
                <c:pt idx="495">
                  <c:v>1.7880433720649045</c:v>
                </c:pt>
                <c:pt idx="496">
                  <c:v>1.7029725777917573</c:v>
                </c:pt>
                <c:pt idx="497">
                  <c:v>1.707520100894965</c:v>
                </c:pt>
                <c:pt idx="498">
                  <c:v>1.6860293001854219</c:v>
                </c:pt>
                <c:pt idx="499">
                  <c:v>1.674882950533469</c:v>
                </c:pt>
                <c:pt idx="500">
                  <c:v>1.6903452525352016</c:v>
                </c:pt>
                <c:pt idx="501">
                  <c:v>1.6702170590204457</c:v>
                </c:pt>
                <c:pt idx="502">
                  <c:v>1.6743631200153379</c:v>
                </c:pt>
                <c:pt idx="503">
                  <c:v>1.6651322863051792</c:v>
                </c:pt>
                <c:pt idx="504">
                  <c:v>1.6604228083992782</c:v>
                </c:pt>
                <c:pt idx="505">
                  <c:v>1.6616879979581158</c:v>
                </c:pt>
                <c:pt idx="506">
                  <c:v>1.6602586090036862</c:v>
                </c:pt>
                <c:pt idx="507">
                  <c:v>2.1525397263698824</c:v>
                </c:pt>
                <c:pt idx="508">
                  <c:v>2.1117241993524112</c:v>
                </c:pt>
                <c:pt idx="509">
                  <c:v>2.0111633904679236</c:v>
                </c:pt>
                <c:pt idx="510">
                  <c:v>2.0165181095386271</c:v>
                </c:pt>
                <c:pt idx="511">
                  <c:v>1.9910691461671302</c:v>
                </c:pt>
                <c:pt idx="512">
                  <c:v>1.9779455567830673</c:v>
                </c:pt>
                <c:pt idx="513">
                  <c:v>1.9962768558252317</c:v>
                </c:pt>
                <c:pt idx="514">
                  <c:v>1.9724509522147387</c:v>
                </c:pt>
                <c:pt idx="515">
                  <c:v>1.9773670401658145</c:v>
                </c:pt>
                <c:pt idx="516">
                  <c:v>1.9664311168881938</c:v>
                </c:pt>
                <c:pt idx="517">
                  <c:v>1.9608995443402979</c:v>
                </c:pt>
                <c:pt idx="518">
                  <c:v>1.9622831549665252</c:v>
                </c:pt>
                <c:pt idx="519">
                  <c:v>1.9606684991446908</c:v>
                </c:pt>
                <c:pt idx="521">
                  <c:v>0.40775781736649025</c:v>
                </c:pt>
                <c:pt idx="524">
                  <c:v>0.38686915126079596</c:v>
                </c:pt>
                <c:pt idx="526">
                  <c:v>0.38762180835916893</c:v>
                </c:pt>
                <c:pt idx="528">
                  <c:v>0.3843948094253764</c:v>
                </c:pt>
                <c:pt idx="529">
                  <c:v>0.38243207567870219</c:v>
                </c:pt>
                <c:pt idx="531">
                  <c:v>0.38163171807968915</c:v>
                </c:pt>
                <c:pt idx="532">
                  <c:v>0.38130361516589639</c:v>
                </c:pt>
                <c:pt idx="533">
                  <c:v>0.51909989273536739</c:v>
                </c:pt>
                <c:pt idx="534">
                  <c:v>0.50967841339066455</c:v>
                </c:pt>
                <c:pt idx="535">
                  <c:v>0.4871055776261573</c:v>
                </c:pt>
                <c:pt idx="536">
                  <c:v>0.48817469408889336</c:v>
                </c:pt>
                <c:pt idx="538">
                  <c:v>0.47946092032525628</c:v>
                </c:pt>
                <c:pt idx="539">
                  <c:v>0.48351032697675095</c:v>
                </c:pt>
                <c:pt idx="542">
                  <c:v>0.4767662265745693</c:v>
                </c:pt>
                <c:pt idx="544">
                  <c:v>0.47576715147481496</c:v>
                </c:pt>
                <c:pt idx="545">
                  <c:v>0.47535744810746944</c:v>
                </c:pt>
                <c:pt idx="546">
                  <c:v>0.62523118001442946</c:v>
                </c:pt>
                <c:pt idx="547">
                  <c:v>0.61371882259454935</c:v>
                </c:pt>
                <c:pt idx="548">
                  <c:v>0.58587521248116359</c:v>
                </c:pt>
                <c:pt idx="549">
                  <c:v>0.58725572987894048</c:v>
                </c:pt>
                <c:pt idx="550">
                  <c:v>0.58020485399993849</c:v>
                </c:pt>
                <c:pt idx="552">
                  <c:v>0.58154285526118343</c:v>
                </c:pt>
                <c:pt idx="553">
                  <c:v>0.5749721894809815</c:v>
                </c:pt>
                <c:pt idx="554">
                  <c:v>0.57633642921468697</c:v>
                </c:pt>
                <c:pt idx="555">
                  <c:v>0.57325542184383216</c:v>
                </c:pt>
                <c:pt idx="556">
                  <c:v>0.5716814162611481</c:v>
                </c:pt>
                <c:pt idx="557">
                  <c:v>0.57205090385249513</c:v>
                </c:pt>
                <c:pt idx="558">
                  <c:v>0.57156159049385724</c:v>
                </c:pt>
                <c:pt idx="559">
                  <c:v>0.84065250957083304</c:v>
                </c:pt>
                <c:pt idx="560">
                  <c:v>0.82493487715911462</c:v>
                </c:pt>
                <c:pt idx="561">
                  <c:v>0.78664458164689144</c:v>
                </c:pt>
                <c:pt idx="562">
                  <c:v>0.78859918559050901</c:v>
                </c:pt>
                <c:pt idx="563">
                  <c:v>0.77891428824656428</c:v>
                </c:pt>
                <c:pt idx="564">
                  <c:v>0.77388077354119789</c:v>
                </c:pt>
                <c:pt idx="565">
                  <c:v>0.78082356729448599</c:v>
                </c:pt>
                <c:pt idx="566">
                  <c:v>0.77176741522146353</c:v>
                </c:pt>
                <c:pt idx="567">
                  <c:v>0.77363442331843357</c:v>
                </c:pt>
                <c:pt idx="568">
                  <c:v>0.76942858807679393</c:v>
                </c:pt>
                <c:pt idx="569">
                  <c:v>0.76729478594474321</c:v>
                </c:pt>
                <c:pt idx="570">
                  <c:v>0.76781956668538598</c:v>
                </c:pt>
                <c:pt idx="571">
                  <c:v>0.76716916262058321</c:v>
                </c:pt>
                <c:pt idx="572">
                  <c:v>1.1672792318790084</c:v>
                </c:pt>
                <c:pt idx="573">
                  <c:v>1.1452891778628294</c:v>
                </c:pt>
                <c:pt idx="574">
                  <c:v>1.0913967552273764</c:v>
                </c:pt>
                <c:pt idx="575">
                  <c:v>1.0942105284105998</c:v>
                </c:pt>
                <c:pt idx="576">
                  <c:v>1.0805670992211758</c:v>
                </c:pt>
                <c:pt idx="577">
                  <c:v>1.0735069791710774</c:v>
                </c:pt>
                <c:pt idx="578">
                  <c:v>1.0832800969149399</c:v>
                </c:pt>
                <c:pt idx="579">
                  <c:v>1.0705358699161469</c:v>
                </c:pt>
                <c:pt idx="580">
                  <c:v>1.0731650152325534</c:v>
                </c:pt>
                <c:pt idx="581">
                  <c:v>1.0673019792322693</c:v>
                </c:pt>
                <c:pt idx="582">
                  <c:v>1.0643119319889431</c:v>
                </c:pt>
                <c:pt idx="583">
                  <c:v>1.0650562598297943</c:v>
                </c:pt>
                <c:pt idx="584">
                  <c:v>1.0641447346529762</c:v>
                </c:pt>
                <c:pt idx="585">
                  <c:v>1.4956164943088432</c:v>
                </c:pt>
                <c:pt idx="586">
                  <c:v>1.4673972575134979</c:v>
                </c:pt>
                <c:pt idx="587">
                  <c:v>1.3979226533149272</c:v>
                </c:pt>
                <c:pt idx="588">
                  <c:v>1.4015857526111117</c:v>
                </c:pt>
                <c:pt idx="589">
                  <c:v>1.3840406643757237</c:v>
                </c:pt>
                <c:pt idx="590">
                  <c:v>1.3748815817046838</c:v>
                </c:pt>
                <c:pt idx="591">
                  <c:v>1.3875764693847417</c:v>
                </c:pt>
                <c:pt idx="592">
                  <c:v>1.3711293035608945</c:v>
                </c:pt>
                <c:pt idx="593">
                  <c:v>1.374523558671418</c:v>
                </c:pt>
                <c:pt idx="594">
                  <c:v>1.3669684959825019</c:v>
                </c:pt>
                <c:pt idx="595">
                  <c:v>1.363094766081981</c:v>
                </c:pt>
                <c:pt idx="596">
                  <c:v>1.3640797108674843</c:v>
                </c:pt>
                <c:pt idx="597">
                  <c:v>1.3629389577268851</c:v>
                </c:pt>
                <c:pt idx="598">
                  <c:v>1.8247820502696446</c:v>
                </c:pt>
                <c:pt idx="599">
                  <c:v>1.7903118404598233</c:v>
                </c:pt>
                <c:pt idx="600">
                  <c:v>1.7052751117216891</c:v>
                </c:pt>
                <c:pt idx="601">
                  <c:v>1.7097776174737644</c:v>
                </c:pt>
                <c:pt idx="602">
                  <c:v>1.6882877672546981</c:v>
                </c:pt>
                <c:pt idx="603">
                  <c:v>1.6771841697695078</c:v>
                </c:pt>
                <c:pt idx="604">
                  <c:v>1.6926273620220658</c:v>
                </c:pt>
                <c:pt idx="605">
                  <c:v>1.6725029003721956</c:v>
                </c:pt>
                <c:pt idx="606">
                  <c:v>1.6766633642179225</c:v>
                </c:pt>
                <c:pt idx="607">
                  <c:v>1.6674220375332311</c:v>
                </c:pt>
                <c:pt idx="608">
                  <c:v>1.6627430368582066</c:v>
                </c:pt>
                <c:pt idx="609">
                  <c:v>1.6639316482181792</c:v>
                </c:pt>
                <c:pt idx="610">
                  <c:v>1.6625528782818551</c:v>
                </c:pt>
                <c:pt idx="611">
                  <c:v>2.1544309128359505</c:v>
                </c:pt>
                <c:pt idx="612">
                  <c:v>2.113618373042065</c:v>
                </c:pt>
                <c:pt idx="613">
                  <c:v>2.0131205522425257</c:v>
                </c:pt>
                <c:pt idx="614">
                  <c:v>2.0184953255358757</c:v>
                </c:pt>
                <c:pt idx="615">
                  <c:v>1.9930757595536572</c:v>
                </c:pt>
                <c:pt idx="616">
                  <c:v>1.9798354426414559</c:v>
                </c:pt>
                <c:pt idx="617">
                  <c:v>1.9982148806161715</c:v>
                </c:pt>
                <c:pt idx="618">
                  <c:v>1.9744219203920872</c:v>
                </c:pt>
                <c:pt idx="619">
                  <c:v>1.9792580945335365</c:v>
                </c:pt>
                <c:pt idx="620">
                  <c:v>1.9683615486412611</c:v>
                </c:pt>
                <c:pt idx="621">
                  <c:v>1.9628633824124442</c:v>
                </c:pt>
                <c:pt idx="622">
                  <c:v>1.9642800758955683</c:v>
                </c:pt>
                <c:pt idx="623">
                  <c:v>1.9625727708972707</c:v>
                </c:pt>
              </c:numCache>
            </c:numRef>
          </c:xVal>
          <c:yVal>
            <c:numRef>
              <c:f>'OIC-N-Prachi'!$H$4:$H$627</c:f>
              <c:numCache>
                <c:formatCode>General</c:formatCode>
                <c:ptCount val="624"/>
                <c:pt idx="0">
                  <c:v>0.90942627535799447</c:v>
                </c:pt>
                <c:pt idx="1">
                  <c:v>0.92958861961558914</c:v>
                </c:pt>
                <c:pt idx="2">
                  <c:v>0.945323350799539</c:v>
                </c:pt>
                <c:pt idx="3">
                  <c:v>0.94962770446920974</c:v>
                </c:pt>
                <c:pt idx="4">
                  <c:v>0.95378805136482003</c:v>
                </c:pt>
                <c:pt idx="5">
                  <c:v>0.95917035289491692</c:v>
                </c:pt>
                <c:pt idx="6">
                  <c:v>0.95779991958340216</c:v>
                </c:pt>
                <c:pt idx="7">
                  <c:v>0.96206440925315939</c:v>
                </c:pt>
                <c:pt idx="8">
                  <c:v>0.9492164337145268</c:v>
                </c:pt>
                <c:pt idx="9">
                  <c:v>0.96413588478583956</c:v>
                </c:pt>
                <c:pt idx="10">
                  <c:v>0.96874039990659866</c:v>
                </c:pt>
                <c:pt idx="11">
                  <c:v>0.96756120875198726</c:v>
                </c:pt>
                <c:pt idx="12">
                  <c:v>0.96893651276041304</c:v>
                </c:pt>
                <c:pt idx="13">
                  <c:v>0.83416448329712678</c:v>
                </c:pt>
                <c:pt idx="14">
                  <c:v>0.86454783639462018</c:v>
                </c:pt>
                <c:pt idx="15">
                  <c:v>0.87238144673089568</c:v>
                </c:pt>
                <c:pt idx="16">
                  <c:v>0.88737473708955494</c:v>
                </c:pt>
                <c:pt idx="17">
                  <c:v>0.89211893901374362</c:v>
                </c:pt>
                <c:pt idx="18">
                  <c:v>0.87721423496822581</c:v>
                </c:pt>
                <c:pt idx="19">
                  <c:v>0.89484805271916834</c:v>
                </c:pt>
                <c:pt idx="20">
                  <c:v>0.88903409481068696</c:v>
                </c:pt>
                <c:pt idx="21">
                  <c:v>0.89883723833234408</c:v>
                </c:pt>
                <c:pt idx="22">
                  <c:v>0.90280900122394359</c:v>
                </c:pt>
                <c:pt idx="23">
                  <c:v>0.89154198451715005</c:v>
                </c:pt>
                <c:pt idx="24">
                  <c:v>0.90629652704254571</c:v>
                </c:pt>
                <c:pt idx="25">
                  <c:v>0.90681848839115509</c:v>
                </c:pt>
                <c:pt idx="26">
                  <c:v>0.69238027455302598</c:v>
                </c:pt>
                <c:pt idx="27">
                  <c:v>0.75040866728147448</c:v>
                </c:pt>
                <c:pt idx="28">
                  <c:v>0.74034028519090112</c:v>
                </c:pt>
                <c:pt idx="29">
                  <c:v>0.78117480451620447</c:v>
                </c:pt>
                <c:pt idx="30">
                  <c:v>0.78515926081521326</c:v>
                </c:pt>
                <c:pt idx="31">
                  <c:v>0.75502769158649041</c:v>
                </c:pt>
                <c:pt idx="32">
                  <c:v>0.78903987126043695</c:v>
                </c:pt>
                <c:pt idx="33">
                  <c:v>0.75781152008211861</c:v>
                </c:pt>
                <c:pt idx="34">
                  <c:v>0.79404706588280771</c:v>
                </c:pt>
                <c:pt idx="35">
                  <c:v>0.79796898161293728</c:v>
                </c:pt>
                <c:pt idx="36">
                  <c:v>0.75585103789173969</c:v>
                </c:pt>
                <c:pt idx="37">
                  <c:v>0.80130543377728869</c:v>
                </c:pt>
                <c:pt idx="38">
                  <c:v>0.80068321049821201</c:v>
                </c:pt>
                <c:pt idx="39">
                  <c:v>0.48614002370147746</c:v>
                </c:pt>
                <c:pt idx="40">
                  <c:v>0.53443715874365261</c:v>
                </c:pt>
                <c:pt idx="41">
                  <c:v>0.53373477581131745</c:v>
                </c:pt>
                <c:pt idx="42">
                  <c:v>0.56761939252219784</c:v>
                </c:pt>
                <c:pt idx="43">
                  <c:v>0.57571728612747941</c:v>
                </c:pt>
                <c:pt idx="44">
                  <c:v>0.5471218724135124</c:v>
                </c:pt>
                <c:pt idx="45">
                  <c:v>0.57383195100266005</c:v>
                </c:pt>
                <c:pt idx="46">
                  <c:v>0.54950844905640928</c:v>
                </c:pt>
                <c:pt idx="47">
                  <c:v>0.58270015700939681</c:v>
                </c:pt>
                <c:pt idx="48">
                  <c:v>0.58716656251228061</c:v>
                </c:pt>
                <c:pt idx="49">
                  <c:v>0.55435814534917049</c:v>
                </c:pt>
                <c:pt idx="50">
                  <c:v>0.58607308940795089</c:v>
                </c:pt>
                <c:pt idx="51">
                  <c:v>0.58426289158838118</c:v>
                </c:pt>
                <c:pt idx="52">
                  <c:v>0.33491555080321184</c:v>
                </c:pt>
                <c:pt idx="53">
                  <c:v>0.36501546611459057</c:v>
                </c:pt>
                <c:pt idx="54">
                  <c:v>0.37086752192758349</c:v>
                </c:pt>
                <c:pt idx="55">
                  <c:v>0.3890223285719242</c:v>
                </c:pt>
                <c:pt idx="56">
                  <c:v>0.39577440492863059</c:v>
                </c:pt>
                <c:pt idx="57">
                  <c:v>0.3808197309254826</c:v>
                </c:pt>
                <c:pt idx="58">
                  <c:v>0.39364851707624815</c:v>
                </c:pt>
                <c:pt idx="59">
                  <c:v>0.38256399188222628</c:v>
                </c:pt>
                <c:pt idx="60">
                  <c:v>0.40032095841406373</c:v>
                </c:pt>
                <c:pt idx="61">
                  <c:v>0.40382411348856839</c:v>
                </c:pt>
                <c:pt idx="62">
                  <c:v>0.38615700697245936</c:v>
                </c:pt>
                <c:pt idx="63">
                  <c:v>0.40257044904593425</c:v>
                </c:pt>
                <c:pt idx="64">
                  <c:v>0.40150285117289131</c:v>
                </c:pt>
                <c:pt idx="65">
                  <c:v>0.24108273180216472</c:v>
                </c:pt>
                <c:pt idx="66">
                  <c:v>0.26120741081417315</c:v>
                </c:pt>
                <c:pt idx="67">
                  <c:v>0.26747814219756788</c:v>
                </c:pt>
                <c:pt idx="68">
                  <c:v>0.27843000166807758</c:v>
                </c:pt>
                <c:pt idx="69">
                  <c:v>0.28334713841791948</c:v>
                </c:pt>
                <c:pt idx="70">
                  <c:v>0.27470850506733324</c:v>
                </c:pt>
                <c:pt idx="71">
                  <c:v>0.28187354461589276</c:v>
                </c:pt>
                <c:pt idx="72">
                  <c:v>0.27594911582846526</c:v>
                </c:pt>
                <c:pt idx="73">
                  <c:v>0.28643585469891691</c:v>
                </c:pt>
                <c:pt idx="74">
                  <c:v>0.2889708529534335</c:v>
                </c:pt>
                <c:pt idx="75">
                  <c:v>0.27848498303719749</c:v>
                </c:pt>
                <c:pt idx="76">
                  <c:v>0.28813829974582134</c:v>
                </c:pt>
                <c:pt idx="77">
                  <c:v>0.28754114891467664</c:v>
                </c:pt>
                <c:pt idx="78">
                  <c:v>0.18142517355840215</c:v>
                </c:pt>
                <c:pt idx="79">
                  <c:v>0.19594801181400293</c:v>
                </c:pt>
                <c:pt idx="80">
                  <c:v>0.2012067183958495</c:v>
                </c:pt>
                <c:pt idx="81">
                  <c:v>0.20869434993689856</c:v>
                </c:pt>
                <c:pt idx="82">
                  <c:v>0.21231861077806041</c:v>
                </c:pt>
                <c:pt idx="83">
                  <c:v>0.20653916761026542</c:v>
                </c:pt>
                <c:pt idx="84">
                  <c:v>0.21126379327429692</c:v>
                </c:pt>
                <c:pt idx="85">
                  <c:v>0.20744046064155325</c:v>
                </c:pt>
                <c:pt idx="86">
                  <c:v>0.21446120370652566</c:v>
                </c:pt>
                <c:pt idx="87">
                  <c:v>0.21626439147288379</c:v>
                </c:pt>
                <c:pt idx="88">
                  <c:v>0.20921917844645746</c:v>
                </c:pt>
                <c:pt idx="89">
                  <c:v>0.21569638366288124</c:v>
                </c:pt>
                <c:pt idx="90">
                  <c:v>0.21535434515656823</c:v>
                </c:pt>
                <c:pt idx="91">
                  <c:v>0.14171892110094775</c:v>
                </c:pt>
                <c:pt idx="92">
                  <c:v>0.15264951835724885</c:v>
                </c:pt>
                <c:pt idx="93">
                  <c:v>0.15688014389729385</c:v>
                </c:pt>
                <c:pt idx="94">
                  <c:v>0.16227553818692803</c:v>
                </c:pt>
                <c:pt idx="95">
                  <c:v>0.16499077587956218</c:v>
                </c:pt>
                <c:pt idx="96">
                  <c:v>0.16088290980382772</c:v>
                </c:pt>
                <c:pt idx="97">
                  <c:v>0.16424358960389646</c:v>
                </c:pt>
                <c:pt idx="98">
                  <c:v>0.16142886767104578</c:v>
                </c:pt>
                <c:pt idx="99">
                  <c:v>0.1665003084257258</c:v>
                </c:pt>
                <c:pt idx="100">
                  <c:v>0.16777627449388444</c:v>
                </c:pt>
                <c:pt idx="101">
                  <c:v>0.16254856996651218</c:v>
                </c:pt>
                <c:pt idx="102">
                  <c:v>0.16729158353673473</c:v>
                </c:pt>
                <c:pt idx="103">
                  <c:v>0.16708567123505957</c:v>
                </c:pt>
                <c:pt idx="104">
                  <c:v>0.90999869480906836</c:v>
                </c:pt>
                <c:pt idx="105">
                  <c:v>0.93119634581782185</c:v>
                </c:pt>
                <c:pt idx="106">
                  <c:v>0.94622507191492244</c:v>
                </c:pt>
                <c:pt idx="107">
                  <c:v>0.94904748411745887</c:v>
                </c:pt>
                <c:pt idx="108">
                  <c:v>0.95162291185788783</c:v>
                </c:pt>
                <c:pt idx="109">
                  <c:v>0.9496431731052779</c:v>
                </c:pt>
                <c:pt idx="110">
                  <c:v>0.95688591630789677</c:v>
                </c:pt>
                <c:pt idx="111">
                  <c:v>0.96280592423136757</c:v>
                </c:pt>
                <c:pt idx="112">
                  <c:v>0.95663839721048416</c:v>
                </c:pt>
                <c:pt idx="113">
                  <c:v>0.94950751624068919</c:v>
                </c:pt>
                <c:pt idx="114">
                  <c:v>0.95101700284384827</c:v>
                </c:pt>
                <c:pt idx="115">
                  <c:v>0.95593782134661609</c:v>
                </c:pt>
                <c:pt idx="116">
                  <c:v>0.94788609838125437</c:v>
                </c:pt>
                <c:pt idx="117">
                  <c:v>0.76519983019188731</c:v>
                </c:pt>
                <c:pt idx="118">
                  <c:v>0.79793959969662953</c:v>
                </c:pt>
                <c:pt idx="119">
                  <c:v>0.80118186679901437</c:v>
                </c:pt>
                <c:pt idx="120">
                  <c:v>0.81976526377899772</c:v>
                </c:pt>
                <c:pt idx="121">
                  <c:v>0.81595251301098115</c:v>
                </c:pt>
                <c:pt idx="122">
                  <c:v>0.82777043890416147</c:v>
                </c:pt>
                <c:pt idx="123">
                  <c:v>0.83115752602934856</c:v>
                </c:pt>
                <c:pt idx="124">
                  <c:v>0.80885769430547805</c:v>
                </c:pt>
                <c:pt idx="125">
                  <c:v>0.82259704209963125</c:v>
                </c:pt>
                <c:pt idx="126">
                  <c:v>0.81488627554272119</c:v>
                </c:pt>
                <c:pt idx="127">
                  <c:v>0.83756951633923715</c:v>
                </c:pt>
                <c:pt idx="128">
                  <c:v>0.84428736005801852</c:v>
                </c:pt>
                <c:pt idx="129">
                  <c:v>0.84513816118251672</c:v>
                </c:pt>
                <c:pt idx="130">
                  <c:v>0.62608355608571487</c:v>
                </c:pt>
                <c:pt idx="131">
                  <c:v>0.67471190757676214</c:v>
                </c:pt>
                <c:pt idx="132">
                  <c:v>0.67950885188340771</c:v>
                </c:pt>
                <c:pt idx="133">
                  <c:v>0.71134390385070445</c:v>
                </c:pt>
                <c:pt idx="134">
                  <c:v>0.7151457596493116</c:v>
                </c:pt>
                <c:pt idx="135">
                  <c:v>0.68565673827787654</c:v>
                </c:pt>
                <c:pt idx="136">
                  <c:v>0.71835903352208585</c:v>
                </c:pt>
                <c:pt idx="137">
                  <c:v>0.69004377960178021</c:v>
                </c:pt>
                <c:pt idx="138">
                  <c:v>0.72200896511936485</c:v>
                </c:pt>
                <c:pt idx="139">
                  <c:v>0.71270812760582913</c:v>
                </c:pt>
                <c:pt idx="140">
                  <c:v>0.69955679292922501</c:v>
                </c:pt>
                <c:pt idx="141">
                  <c:v>0.72903066824977847</c:v>
                </c:pt>
                <c:pt idx="142">
                  <c:v>0.72202678704933654</c:v>
                </c:pt>
                <c:pt idx="143">
                  <c:v>0.45982336046522693</c:v>
                </c:pt>
                <c:pt idx="144">
                  <c:v>0.50758664542893861</c:v>
                </c:pt>
                <c:pt idx="145">
                  <c:v>0.50254843607920963</c:v>
                </c:pt>
                <c:pt idx="146">
                  <c:v>0.53710562041717969</c:v>
                </c:pt>
                <c:pt idx="147">
                  <c:v>0.54251800962081576</c:v>
                </c:pt>
                <c:pt idx="148">
                  <c:v>0.51472076619496765</c:v>
                </c:pt>
                <c:pt idx="149">
                  <c:v>0.54396759438007813</c:v>
                </c:pt>
                <c:pt idx="150">
                  <c:v>0.51693742180326019</c:v>
                </c:pt>
                <c:pt idx="151">
                  <c:v>0.54920259387192027</c:v>
                </c:pt>
                <c:pt idx="152">
                  <c:v>0.54986196966819789</c:v>
                </c:pt>
                <c:pt idx="153">
                  <c:v>0.51381115196993432</c:v>
                </c:pt>
                <c:pt idx="154">
                  <c:v>0.55128200076660372</c:v>
                </c:pt>
                <c:pt idx="155">
                  <c:v>0.55374404005971256</c:v>
                </c:pt>
                <c:pt idx="156">
                  <c:v>0.322676767477861</c:v>
                </c:pt>
                <c:pt idx="157">
                  <c:v>0.35438797033812952</c:v>
                </c:pt>
                <c:pt idx="158">
                  <c:v>0.35634177918486371</c:v>
                </c:pt>
                <c:pt idx="159">
                  <c:v>0.37766857452397035</c:v>
                </c:pt>
                <c:pt idx="160">
                  <c:v>0.382897470412154</c:v>
                </c:pt>
                <c:pt idx="161">
                  <c:v>0.36573125586351035</c:v>
                </c:pt>
                <c:pt idx="162">
                  <c:v>0.38299869613845133</c:v>
                </c:pt>
                <c:pt idx="163">
                  <c:v>0.36739706016318785</c:v>
                </c:pt>
                <c:pt idx="164">
                  <c:v>0.38757847853397281</c:v>
                </c:pt>
                <c:pt idx="165">
                  <c:v>0.38765061424044511</c:v>
                </c:pt>
                <c:pt idx="166">
                  <c:v>0.36912028240048983</c:v>
                </c:pt>
                <c:pt idx="167">
                  <c:v>0.39009836705096373</c:v>
                </c:pt>
                <c:pt idx="168">
                  <c:v>0.39050485026606552</c:v>
                </c:pt>
                <c:pt idx="169">
                  <c:v>0.2342115397704273</c:v>
                </c:pt>
                <c:pt idx="170">
                  <c:v>0.25544518057948418</c:v>
                </c:pt>
                <c:pt idx="171">
                  <c:v>0.2595022698704747</c:v>
                </c:pt>
                <c:pt idx="172">
                  <c:v>0.27254492627271193</c:v>
                </c:pt>
                <c:pt idx="173">
                  <c:v>0.27621430597473479</c:v>
                </c:pt>
                <c:pt idx="174">
                  <c:v>0.26646936358600626</c:v>
                </c:pt>
                <c:pt idx="175">
                  <c:v>0.27643560598262784</c:v>
                </c:pt>
                <c:pt idx="176">
                  <c:v>0.26768030759481448</c:v>
                </c:pt>
                <c:pt idx="177">
                  <c:v>0.27906952522907846</c:v>
                </c:pt>
                <c:pt idx="178">
                  <c:v>0.28154246954519863</c:v>
                </c:pt>
                <c:pt idx="179">
                  <c:v>0.26588499325862647</c:v>
                </c:pt>
                <c:pt idx="180">
                  <c:v>0.28217433198271785</c:v>
                </c:pt>
                <c:pt idx="181">
                  <c:v>0.28155676175993799</c:v>
                </c:pt>
                <c:pt idx="182">
                  <c:v>0.1769031574164551</c:v>
                </c:pt>
                <c:pt idx="183">
                  <c:v>0.19204347561166896</c:v>
                </c:pt>
                <c:pt idx="184">
                  <c:v>0.19611804489572895</c:v>
                </c:pt>
                <c:pt idx="185">
                  <c:v>0.20480613464527628</c:v>
                </c:pt>
                <c:pt idx="186">
                  <c:v>0.208047416564307</c:v>
                </c:pt>
                <c:pt idx="187">
                  <c:v>0.2013533858549082</c:v>
                </c:pt>
                <c:pt idx="188">
                  <c:v>0.20767815012272428</c:v>
                </c:pt>
                <c:pt idx="189">
                  <c:v>0.20191100222425104</c:v>
                </c:pt>
                <c:pt idx="190">
                  <c:v>0.2103699592467807</c:v>
                </c:pt>
                <c:pt idx="191">
                  <c:v>0.21177800614344366</c:v>
                </c:pt>
                <c:pt idx="192">
                  <c:v>0.20227404475887892</c:v>
                </c:pt>
                <c:pt idx="193">
                  <c:v>0.21216918228098908</c:v>
                </c:pt>
                <c:pt idx="194">
                  <c:v>0.21173594854455069</c:v>
                </c:pt>
                <c:pt idx="195">
                  <c:v>0.13832288350436869</c:v>
                </c:pt>
                <c:pt idx="196">
                  <c:v>0.14968224557507298</c:v>
                </c:pt>
                <c:pt idx="197">
                  <c:v>0.15322699997160799</c:v>
                </c:pt>
                <c:pt idx="198">
                  <c:v>0.15942938769635639</c:v>
                </c:pt>
                <c:pt idx="199">
                  <c:v>0.16189824475098308</c:v>
                </c:pt>
                <c:pt idx="200">
                  <c:v>0.15694352692877303</c:v>
                </c:pt>
                <c:pt idx="201">
                  <c:v>0.16161146232774962</c:v>
                </c:pt>
                <c:pt idx="202">
                  <c:v>0.15752647379569892</c:v>
                </c:pt>
                <c:pt idx="203">
                  <c:v>0.16349106531648674</c:v>
                </c:pt>
                <c:pt idx="204">
                  <c:v>0.16467827856125636</c:v>
                </c:pt>
                <c:pt idx="205">
                  <c:v>0.15786703397309135</c:v>
                </c:pt>
                <c:pt idx="206">
                  <c:v>0.16471110882842735</c:v>
                </c:pt>
                <c:pt idx="207">
                  <c:v>0.16476075858056424</c:v>
                </c:pt>
                <c:pt idx="208">
                  <c:v>0.93662365751789978</c:v>
                </c:pt>
                <c:pt idx="209">
                  <c:v>0.95456962698472925</c:v>
                </c:pt>
                <c:pt idx="210">
                  <c:v>0.96024775538272289</c:v>
                </c:pt>
                <c:pt idx="211">
                  <c:v>0.95578463789088908</c:v>
                </c:pt>
                <c:pt idx="212">
                  <c:v>0.97856962480023135</c:v>
                </c:pt>
                <c:pt idx="213">
                  <c:v>0.95365280644844175</c:v>
                </c:pt>
                <c:pt idx="214">
                  <c:v>0.97858662926968021</c:v>
                </c:pt>
                <c:pt idx="215">
                  <c:v>0.97927406472479128</c:v>
                </c:pt>
                <c:pt idx="216">
                  <c:v>0.95483683500290495</c:v>
                </c:pt>
                <c:pt idx="217">
                  <c:v>0.97683765234900521</c:v>
                </c:pt>
                <c:pt idx="218">
                  <c:v>0.9871888740429462</c:v>
                </c:pt>
                <c:pt idx="219">
                  <c:v>0.97278620232854085</c:v>
                </c:pt>
                <c:pt idx="220">
                  <c:v>0.9646832632673128</c:v>
                </c:pt>
                <c:pt idx="221">
                  <c:v>0.81225268730899891</c:v>
                </c:pt>
                <c:pt idx="222">
                  <c:v>0.8380066255937344</c:v>
                </c:pt>
                <c:pt idx="223">
                  <c:v>0.85037879945814498</c:v>
                </c:pt>
                <c:pt idx="224">
                  <c:v>0.8594676193453642</c:v>
                </c:pt>
                <c:pt idx="225">
                  <c:v>0.86524064210703977</c:v>
                </c:pt>
                <c:pt idx="226">
                  <c:v>0.86412737910378934</c:v>
                </c:pt>
                <c:pt idx="227">
                  <c:v>0.86594777373651377</c:v>
                </c:pt>
                <c:pt idx="228">
                  <c:v>0.8669717659983629</c:v>
                </c:pt>
                <c:pt idx="229">
                  <c:v>0.8709172579308162</c:v>
                </c:pt>
                <c:pt idx="230">
                  <c:v>0.87595557364912946</c:v>
                </c:pt>
                <c:pt idx="231">
                  <c:v>0.87291942289083468</c:v>
                </c:pt>
                <c:pt idx="232">
                  <c:v>0.87638526309713938</c:v>
                </c:pt>
                <c:pt idx="233">
                  <c:v>0.87096227400899917</c:v>
                </c:pt>
                <c:pt idx="234">
                  <c:v>0.67823709773856511</c:v>
                </c:pt>
                <c:pt idx="235">
                  <c:v>0.73389134381121712</c:v>
                </c:pt>
                <c:pt idx="236">
                  <c:v>0.7234350464750845</c:v>
                </c:pt>
                <c:pt idx="237">
                  <c:v>0.76391975396444289</c:v>
                </c:pt>
                <c:pt idx="238">
                  <c:v>0.76599275997424965</c:v>
                </c:pt>
                <c:pt idx="239">
                  <c:v>0.73744399303083519</c:v>
                </c:pt>
                <c:pt idx="240">
                  <c:v>0.77261761204276114</c:v>
                </c:pt>
                <c:pt idx="241">
                  <c:v>0.74014367396954461</c:v>
                </c:pt>
                <c:pt idx="242">
                  <c:v>0.77539498418376773</c:v>
                </c:pt>
                <c:pt idx="243">
                  <c:v>0.77861607904650432</c:v>
                </c:pt>
                <c:pt idx="244">
                  <c:v>0.74609183049551553</c:v>
                </c:pt>
                <c:pt idx="245">
                  <c:v>0.78444739473807135</c:v>
                </c:pt>
                <c:pt idx="246">
                  <c:v>0.78439635710912869</c:v>
                </c:pt>
                <c:pt idx="247">
                  <c:v>0.48300491032121406</c:v>
                </c:pt>
                <c:pt idx="248">
                  <c:v>0.53134884625510259</c:v>
                </c:pt>
                <c:pt idx="249">
                  <c:v>0.52949812788474027</c:v>
                </c:pt>
                <c:pt idx="250">
                  <c:v>0.56440760702728787</c:v>
                </c:pt>
                <c:pt idx="251">
                  <c:v>0.5722044604860701</c:v>
                </c:pt>
                <c:pt idx="252">
                  <c:v>0.5426487390350393</c:v>
                </c:pt>
                <c:pt idx="253">
                  <c:v>0.57048467906179301</c:v>
                </c:pt>
                <c:pt idx="254">
                  <c:v>0.54499008011111205</c:v>
                </c:pt>
                <c:pt idx="255">
                  <c:v>0.5796146150604643</c:v>
                </c:pt>
                <c:pt idx="256">
                  <c:v>0.58375603756290151</c:v>
                </c:pt>
                <c:pt idx="257">
                  <c:v>0.55003888107225107</c:v>
                </c:pt>
                <c:pt idx="258">
                  <c:v>0.58322815783999393</c:v>
                </c:pt>
                <c:pt idx="259">
                  <c:v>0.58132319156463919</c:v>
                </c:pt>
                <c:pt idx="260">
                  <c:v>0.33405409331197444</c:v>
                </c:pt>
                <c:pt idx="261">
                  <c:v>0.36424517128610273</c:v>
                </c:pt>
                <c:pt idx="262">
                  <c:v>0.3697617106085212</c:v>
                </c:pt>
                <c:pt idx="263">
                  <c:v>0.38825461863634986</c:v>
                </c:pt>
                <c:pt idx="264">
                  <c:v>0.39510998215643894</c:v>
                </c:pt>
                <c:pt idx="265">
                  <c:v>0.37964873042637892</c:v>
                </c:pt>
                <c:pt idx="266">
                  <c:v>0.39279798867263704</c:v>
                </c:pt>
                <c:pt idx="267">
                  <c:v>0.38137151005653291</c:v>
                </c:pt>
                <c:pt idx="268">
                  <c:v>0.39973063690140093</c:v>
                </c:pt>
                <c:pt idx="269">
                  <c:v>0.40331857772092089</c:v>
                </c:pt>
                <c:pt idx="270">
                  <c:v>0.38501058422098511</c:v>
                </c:pt>
                <c:pt idx="271">
                  <c:v>0.40194279064330646</c:v>
                </c:pt>
                <c:pt idx="272">
                  <c:v>0.40078158687409593</c:v>
                </c:pt>
                <c:pt idx="273">
                  <c:v>0.24070664007967091</c:v>
                </c:pt>
                <c:pt idx="274">
                  <c:v>0.26087149424486522</c:v>
                </c:pt>
                <c:pt idx="275">
                  <c:v>0.26705096424633212</c:v>
                </c:pt>
                <c:pt idx="276">
                  <c:v>0.27810813665995532</c:v>
                </c:pt>
                <c:pt idx="277">
                  <c:v>0.2830576464542327</c:v>
                </c:pt>
                <c:pt idx="278">
                  <c:v>0.27426790437054094</c:v>
                </c:pt>
                <c:pt idx="279">
                  <c:v>0.28152081747206786</c:v>
                </c:pt>
                <c:pt idx="280">
                  <c:v>0.27550638220391599</c:v>
                </c:pt>
                <c:pt idx="281">
                  <c:v>0.28620383979545122</c:v>
                </c:pt>
                <c:pt idx="282">
                  <c:v>0.28881800365021687</c:v>
                </c:pt>
                <c:pt idx="283">
                  <c:v>0.27803849463410762</c:v>
                </c:pt>
                <c:pt idx="284">
                  <c:v>0.28790142964018089</c:v>
                </c:pt>
                <c:pt idx="285">
                  <c:v>0.28726736745563036</c:v>
                </c:pt>
                <c:pt idx="286">
                  <c:v>0.18118920649511389</c:v>
                </c:pt>
                <c:pt idx="287">
                  <c:v>0.19573470729638509</c:v>
                </c:pt>
                <c:pt idx="288">
                  <c:v>0.20096280496131466</c:v>
                </c:pt>
                <c:pt idx="289">
                  <c:v>0.20850411923522172</c:v>
                </c:pt>
                <c:pt idx="290">
                  <c:v>0.21217766333643104</c:v>
                </c:pt>
                <c:pt idx="291">
                  <c:v>0.20630278186788623</c:v>
                </c:pt>
                <c:pt idx="292">
                  <c:v>0.2110560867080408</c:v>
                </c:pt>
                <c:pt idx="293">
                  <c:v>0.20720717271770211</c:v>
                </c:pt>
                <c:pt idx="294">
                  <c:v>0.21436790604256187</c:v>
                </c:pt>
                <c:pt idx="295">
                  <c:v>0.21623796707461265</c:v>
                </c:pt>
                <c:pt idx="296">
                  <c:v>0.20899144186754703</c:v>
                </c:pt>
                <c:pt idx="297">
                  <c:v>0.21557990070620742</c:v>
                </c:pt>
                <c:pt idx="298">
                  <c:v>0.21521856149542645</c:v>
                </c:pt>
                <c:pt idx="299">
                  <c:v>0.14152473093633164</c:v>
                </c:pt>
                <c:pt idx="300">
                  <c:v>0.15253166949035429</c:v>
                </c:pt>
                <c:pt idx="301">
                  <c:v>0.15668849399798526</c:v>
                </c:pt>
                <c:pt idx="302">
                  <c:v>0.16219331480737159</c:v>
                </c:pt>
                <c:pt idx="303">
                  <c:v>0.16496309754005059</c:v>
                </c:pt>
                <c:pt idx="304">
                  <c:v>0.16071031596149196</c:v>
                </c:pt>
                <c:pt idx="305">
                  <c:v>0.16413716005262696</c:v>
                </c:pt>
                <c:pt idx="306">
                  <c:v>0.16137630763613994</c:v>
                </c:pt>
                <c:pt idx="307">
                  <c:v>0.1665145985894699</c:v>
                </c:pt>
                <c:pt idx="308">
                  <c:v>0.16784558528897559</c:v>
                </c:pt>
                <c:pt idx="309">
                  <c:v>0.16263253130788219</c:v>
                </c:pt>
                <c:pt idx="310">
                  <c:v>0.16730495408905455</c:v>
                </c:pt>
                <c:pt idx="311">
                  <c:v>0.16707495973083511</c:v>
                </c:pt>
                <c:pt idx="313">
                  <c:v>0.9059707319285939</c:v>
                </c:pt>
                <c:pt idx="316">
                  <c:v>0.93675933532684952</c:v>
                </c:pt>
                <c:pt idx="318">
                  <c:v>0.93746153224112139</c:v>
                </c:pt>
                <c:pt idx="320">
                  <c:v>0.94295188180014733</c:v>
                </c:pt>
                <c:pt idx="321">
                  <c:v>0.94850124902134225</c:v>
                </c:pt>
                <c:pt idx="323">
                  <c:v>0.95065875608430672</c:v>
                </c:pt>
                <c:pt idx="324">
                  <c:v>0.95156324925689695</c:v>
                </c:pt>
                <c:pt idx="326">
                  <c:v>0.88760635151317402</c:v>
                </c:pt>
                <c:pt idx="328">
                  <c:v>0.91180788512420763</c:v>
                </c:pt>
                <c:pt idx="330">
                  <c:v>0.91966985983245664</c:v>
                </c:pt>
                <c:pt idx="331">
                  <c:v>0.91968413629616752</c:v>
                </c:pt>
                <c:pt idx="334">
                  <c:v>0.92999116521155889</c:v>
                </c:pt>
                <c:pt idx="335">
                  <c:v>0.93001967993494217</c:v>
                </c:pt>
                <c:pt idx="336">
                  <c:v>0.93275440664168574</c:v>
                </c:pt>
                <c:pt idx="338">
                  <c:v>0.84123254114330892</c:v>
                </c:pt>
                <c:pt idx="339">
                  <c:v>0.86813776852548874</c:v>
                </c:pt>
                <c:pt idx="340">
                  <c:v>0.88138387584799671</c:v>
                </c:pt>
                <c:pt idx="341">
                  <c:v>0.89314234609155074</c:v>
                </c:pt>
                <c:pt idx="342">
                  <c:v>0.8989099295004066</c:v>
                </c:pt>
                <c:pt idx="343">
                  <c:v>0.89585750670812792</c:v>
                </c:pt>
                <c:pt idx="344">
                  <c:v>0.90136052449102044</c:v>
                </c:pt>
                <c:pt idx="345">
                  <c:v>0.8988225972915691</c:v>
                </c:pt>
                <c:pt idx="346">
                  <c:v>0.90588918652512451</c:v>
                </c:pt>
                <c:pt idx="347">
                  <c:v>0.91099338667948049</c:v>
                </c:pt>
                <c:pt idx="348">
                  <c:v>0.90611466109784222</c:v>
                </c:pt>
                <c:pt idx="349">
                  <c:v>0.91452684912232829</c:v>
                </c:pt>
                <c:pt idx="351">
                  <c:v>0.76762890663754013</c:v>
                </c:pt>
                <c:pt idx="352">
                  <c:v>0.81283933903907324</c:v>
                </c:pt>
                <c:pt idx="353">
                  <c:v>0.81484052275916707</c:v>
                </c:pt>
                <c:pt idx="354">
                  <c:v>0.8428064632052723</c:v>
                </c:pt>
                <c:pt idx="355">
                  <c:v>0.84667300484295094</c:v>
                </c:pt>
                <c:pt idx="356">
                  <c:v>0.83000821880507814</c:v>
                </c:pt>
                <c:pt idx="357">
                  <c:v>0.85271154016778117</c:v>
                </c:pt>
                <c:pt idx="358">
                  <c:v>0.8329871229323228</c:v>
                </c:pt>
                <c:pt idx="359">
                  <c:v>0.85560172251391586</c:v>
                </c:pt>
                <c:pt idx="360">
                  <c:v>0.85983437786568784</c:v>
                </c:pt>
                <c:pt idx="361">
                  <c:v>0.84006987157734891</c:v>
                </c:pt>
                <c:pt idx="362">
                  <c:v>0.86674241463419921</c:v>
                </c:pt>
                <c:pt idx="363">
                  <c:v>0.86822934238379113</c:v>
                </c:pt>
                <c:pt idx="364">
                  <c:v>0.57377360115336429</c:v>
                </c:pt>
                <c:pt idx="365">
                  <c:v>0.63379612395821516</c:v>
                </c:pt>
                <c:pt idx="366">
                  <c:v>0.63330627543788154</c:v>
                </c:pt>
                <c:pt idx="367">
                  <c:v>0.6784760169679106</c:v>
                </c:pt>
                <c:pt idx="368">
                  <c:v>0.68512558090265008</c:v>
                </c:pt>
                <c:pt idx="369">
                  <c:v>0.64970505472499418</c:v>
                </c:pt>
                <c:pt idx="370">
                  <c:v>0.69152705641296297</c:v>
                </c:pt>
                <c:pt idx="371">
                  <c:v>0.65263308747817794</c:v>
                </c:pt>
                <c:pt idx="372">
                  <c:v>0.69571452488640984</c:v>
                </c:pt>
                <c:pt idx="373">
                  <c:v>0.70021827450847651</c:v>
                </c:pt>
                <c:pt idx="374">
                  <c:v>0.65925635920615466</c:v>
                </c:pt>
                <c:pt idx="375">
                  <c:v>0.70933001875539237</c:v>
                </c:pt>
                <c:pt idx="376">
                  <c:v>0.71135811282837291</c:v>
                </c:pt>
                <c:pt idx="377">
                  <c:v>0.39034645482158375</c:v>
                </c:pt>
                <c:pt idx="378">
                  <c:v>0.42732758633518064</c:v>
                </c:pt>
                <c:pt idx="379">
                  <c:v>0.4404111447574926</c:v>
                </c:pt>
                <c:pt idx="380">
                  <c:v>0.46546623753302474</c:v>
                </c:pt>
                <c:pt idx="381">
                  <c:v>0.47374104171181275</c:v>
                </c:pt>
                <c:pt idx="382">
                  <c:v>0.45387989538937351</c:v>
                </c:pt>
                <c:pt idx="383">
                  <c:v>0.47544985114029797</c:v>
                </c:pt>
                <c:pt idx="384">
                  <c:v>0.45621093520018025</c:v>
                </c:pt>
                <c:pt idx="385">
                  <c:v>0.48139433914352203</c:v>
                </c:pt>
                <c:pt idx="386">
                  <c:v>0.48560916816108513</c:v>
                </c:pt>
                <c:pt idx="387">
                  <c:v>0.46129482786173309</c:v>
                </c:pt>
                <c:pt idx="388">
                  <c:v>0.49080328594613326</c:v>
                </c:pt>
                <c:pt idx="389">
                  <c:v>0.4920457766952962</c:v>
                </c:pt>
                <c:pt idx="390">
                  <c:v>0.27294907489248471</c:v>
                </c:pt>
                <c:pt idx="391">
                  <c:v>0.29581575286173178</c:v>
                </c:pt>
                <c:pt idx="392">
                  <c:v>0.31015581721620794</c:v>
                </c:pt>
                <c:pt idx="393">
                  <c:v>0.32346173214417817</c:v>
                </c:pt>
                <c:pt idx="394">
                  <c:v>0.33031194852762702</c:v>
                </c:pt>
                <c:pt idx="395">
                  <c:v>0.320139093949315</c:v>
                </c:pt>
                <c:pt idx="396">
                  <c:v>0.33037453552740631</c:v>
                </c:pt>
                <c:pt idx="397">
                  <c:v>0.32184703454032382</c:v>
                </c:pt>
                <c:pt idx="398">
                  <c:v>0.3354190830138879</c:v>
                </c:pt>
                <c:pt idx="399">
                  <c:v>0.33869879332045028</c:v>
                </c:pt>
                <c:pt idx="400">
                  <c:v>0.32553682599075678</c:v>
                </c:pt>
                <c:pt idx="401">
                  <c:v>0.34152765574912253</c:v>
                </c:pt>
                <c:pt idx="402">
                  <c:v>0.34230260082381669</c:v>
                </c:pt>
                <c:pt idx="403">
                  <c:v>0.1997755044535563</c:v>
                </c:pt>
                <c:pt idx="404">
                  <c:v>0.21516934875579388</c:v>
                </c:pt>
                <c:pt idx="405">
                  <c:v>0.22764384515041161</c:v>
                </c:pt>
                <c:pt idx="406">
                  <c:v>0.23556957584861335</c:v>
                </c:pt>
                <c:pt idx="407">
                  <c:v>0.24089823998140561</c:v>
                </c:pt>
                <c:pt idx="408">
                  <c:v>0.23511390192586518</c:v>
                </c:pt>
                <c:pt idx="409">
                  <c:v>0.24056949123164478</c:v>
                </c:pt>
                <c:pt idx="410">
                  <c:v>0.23638868214349831</c:v>
                </c:pt>
                <c:pt idx="411">
                  <c:v>0.24452064734560877</c:v>
                </c:pt>
                <c:pt idx="412">
                  <c:v>0.24702107465765677</c:v>
                </c:pt>
                <c:pt idx="413">
                  <c:v>0.2391258526852891</c:v>
                </c:pt>
                <c:pt idx="414">
                  <c:v>0.24880552856043325</c:v>
                </c:pt>
                <c:pt idx="415">
                  <c:v>0.2493358232098504</c:v>
                </c:pt>
                <c:pt idx="416">
                  <c:v>0.87160993907943163</c:v>
                </c:pt>
                <c:pt idx="417">
                  <c:v>0.88560886868665711</c:v>
                </c:pt>
                <c:pt idx="418">
                  <c:v>0.913262106630085</c:v>
                </c:pt>
                <c:pt idx="420">
                  <c:v>0.9196832161333427</c:v>
                </c:pt>
                <c:pt idx="422">
                  <c:v>0.91869501445384139</c:v>
                </c:pt>
                <c:pt idx="424">
                  <c:v>0.92548659959069346</c:v>
                </c:pt>
                <c:pt idx="425">
                  <c:v>0.93145385230619426</c:v>
                </c:pt>
                <c:pt idx="427">
                  <c:v>0.93233679926902036</c:v>
                </c:pt>
                <c:pt idx="429">
                  <c:v>0.83038882578054252</c:v>
                </c:pt>
                <c:pt idx="430">
                  <c:v>0.84855270131726479</c:v>
                </c:pt>
                <c:pt idx="431">
                  <c:v>0.8715370758985187</c:v>
                </c:pt>
                <c:pt idx="432">
                  <c:v>0.87412405627752343</c:v>
                </c:pt>
                <c:pt idx="433">
                  <c:v>0.88193570599090887</c:v>
                </c:pt>
                <c:pt idx="434">
                  <c:v>0.88619257717203959</c:v>
                </c:pt>
                <c:pt idx="435">
                  <c:v>0.88168247174673253</c:v>
                </c:pt>
                <c:pt idx="437">
                  <c:v>0.88794957993735613</c:v>
                </c:pt>
                <c:pt idx="438">
                  <c:v>0.8935747954539619</c:v>
                </c:pt>
                <c:pt idx="439">
                  <c:v>0.89642885320277299</c:v>
                </c:pt>
                <c:pt idx="440">
                  <c:v>0.89501739455313611</c:v>
                </c:pt>
                <c:pt idx="442">
                  <c:v>0.79139639459618838</c:v>
                </c:pt>
                <c:pt idx="443">
                  <c:v>0.8142504936477134</c:v>
                </c:pt>
                <c:pt idx="444">
                  <c:v>0.83287897329923632</c:v>
                </c:pt>
                <c:pt idx="445">
                  <c:v>0.84004847624818857</c:v>
                </c:pt>
                <c:pt idx="446">
                  <c:v>0.84759261565602495</c:v>
                </c:pt>
                <c:pt idx="447">
                  <c:v>0.8472959446255709</c:v>
                </c:pt>
                <c:pt idx="448">
                  <c:v>0.84762911467631152</c:v>
                </c:pt>
                <c:pt idx="449">
                  <c:v>0.85019785033922313</c:v>
                </c:pt>
                <c:pt idx="450">
                  <c:v>0.85368646213828114</c:v>
                </c:pt>
                <c:pt idx="451">
                  <c:v>0.85908107167501691</c:v>
                </c:pt>
                <c:pt idx="452">
                  <c:v>0.85721889281637542</c:v>
                </c:pt>
                <c:pt idx="453">
                  <c:v>0.86081877935574336</c:v>
                </c:pt>
                <c:pt idx="454">
                  <c:v>0.86163736436786198</c:v>
                </c:pt>
                <c:pt idx="455">
                  <c:v>0.70570575256543555</c:v>
                </c:pt>
                <c:pt idx="456">
                  <c:v>0.74278935601314511</c:v>
                </c:pt>
                <c:pt idx="457">
                  <c:v>0.75061425343097754</c:v>
                </c:pt>
                <c:pt idx="458">
                  <c:v>0.77120446083097549</c:v>
                </c:pt>
                <c:pt idx="459">
                  <c:v>0.77722355873860705</c:v>
                </c:pt>
                <c:pt idx="460">
                  <c:v>0.76498437045117462</c:v>
                </c:pt>
                <c:pt idx="461">
                  <c:v>0.77968516534202625</c:v>
                </c:pt>
                <c:pt idx="462">
                  <c:v>0.76778570119655554</c:v>
                </c:pt>
                <c:pt idx="463">
                  <c:v>0.78444714536996718</c:v>
                </c:pt>
                <c:pt idx="464">
                  <c:v>0.7891141284251707</c:v>
                </c:pt>
                <c:pt idx="465">
                  <c:v>0.77443764889849909</c:v>
                </c:pt>
                <c:pt idx="466">
                  <c:v>0.7930403744256026</c:v>
                </c:pt>
                <c:pt idx="467">
                  <c:v>0.7941052076280849</c:v>
                </c:pt>
                <c:pt idx="468">
                  <c:v>0.53523716993161141</c:v>
                </c:pt>
                <c:pt idx="469">
                  <c:v>0.58786253322227511</c:v>
                </c:pt>
                <c:pt idx="470">
                  <c:v>0.58799408275608722</c:v>
                </c:pt>
                <c:pt idx="471">
                  <c:v>0.62548431365647195</c:v>
                </c:pt>
                <c:pt idx="472">
                  <c:v>0.63163101581760006</c:v>
                </c:pt>
                <c:pt idx="473">
                  <c:v>0.60275575230424672</c:v>
                </c:pt>
                <c:pt idx="474">
                  <c:v>0.63617382842151549</c:v>
                </c:pt>
                <c:pt idx="475">
                  <c:v>0.60541621829068382</c:v>
                </c:pt>
                <c:pt idx="476">
                  <c:v>0.64046777794479814</c:v>
                </c:pt>
                <c:pt idx="477">
                  <c:v>0.64462895806728493</c:v>
                </c:pt>
                <c:pt idx="478">
                  <c:v>0.61142092991736008</c:v>
                </c:pt>
                <c:pt idx="479">
                  <c:v>0.65146966354581559</c:v>
                </c:pt>
                <c:pt idx="480">
                  <c:v>0.65295952820906034</c:v>
                </c:pt>
                <c:pt idx="481">
                  <c:v>0.37356620989939215</c:v>
                </c:pt>
                <c:pt idx="482">
                  <c:v>0.41128415171984567</c:v>
                </c:pt>
                <c:pt idx="483">
                  <c:v>0.41961470307871018</c:v>
                </c:pt>
                <c:pt idx="484">
                  <c:v>0.44625098065605262</c:v>
                </c:pt>
                <c:pt idx="485">
                  <c:v>0.45387591101128394</c:v>
                </c:pt>
                <c:pt idx="486">
                  <c:v>0.4320834258155824</c:v>
                </c:pt>
                <c:pt idx="487">
                  <c:v>0.45549456066115318</c:v>
                </c:pt>
                <c:pt idx="488">
                  <c:v>0.43425235696563336</c:v>
                </c:pt>
                <c:pt idx="489">
                  <c:v>0.46085946195592831</c:v>
                </c:pt>
                <c:pt idx="490">
                  <c:v>0.46484041862524167</c:v>
                </c:pt>
                <c:pt idx="491">
                  <c:v>0.43899928091157175</c:v>
                </c:pt>
                <c:pt idx="492">
                  <c:v>0.46959180619736363</c:v>
                </c:pt>
                <c:pt idx="493">
                  <c:v>0.47077621314168272</c:v>
                </c:pt>
                <c:pt idx="494">
                  <c:v>0.26494903268786019</c:v>
                </c:pt>
                <c:pt idx="495">
                  <c:v>0.28892269252186853</c:v>
                </c:pt>
                <c:pt idx="496">
                  <c:v>0.30019231612069353</c:v>
                </c:pt>
                <c:pt idx="497">
                  <c:v>0.31538043133714438</c:v>
                </c:pt>
                <c:pt idx="498">
                  <c:v>0.3217944132968365</c:v>
                </c:pt>
                <c:pt idx="499">
                  <c:v>0.309673406636987</c:v>
                </c:pt>
                <c:pt idx="500">
                  <c:v>0.32210293552928565</c:v>
                </c:pt>
                <c:pt idx="501">
                  <c:v>0.31130255111615573</c:v>
                </c:pt>
                <c:pt idx="502">
                  <c:v>0.3267363983435369</c:v>
                </c:pt>
                <c:pt idx="503">
                  <c:v>0.32985931718282463</c:v>
                </c:pt>
                <c:pt idx="504">
                  <c:v>0.31482484079697365</c:v>
                </c:pt>
                <c:pt idx="505">
                  <c:v>0.33278140412805368</c:v>
                </c:pt>
                <c:pt idx="506">
                  <c:v>0.33357498996568136</c:v>
                </c:pt>
                <c:pt idx="507">
                  <c:v>0.19550417790922237</c:v>
                </c:pt>
                <c:pt idx="508">
                  <c:v>0.21150379248466139</c:v>
                </c:pt>
                <c:pt idx="509">
                  <c:v>0.2223030274248059</c:v>
                </c:pt>
                <c:pt idx="510">
                  <c:v>0.23135367231270018</c:v>
                </c:pt>
                <c:pt idx="511">
                  <c:v>0.2364040017129263</c:v>
                </c:pt>
                <c:pt idx="512">
                  <c:v>0.22949701315062165</c:v>
                </c:pt>
                <c:pt idx="513">
                  <c:v>0.23629657540132751</c:v>
                </c:pt>
                <c:pt idx="514">
                  <c:v>0.23072868569218713</c:v>
                </c:pt>
                <c:pt idx="515">
                  <c:v>0.23999636405901054</c:v>
                </c:pt>
                <c:pt idx="516">
                  <c:v>0.24239741835170819</c:v>
                </c:pt>
                <c:pt idx="517">
                  <c:v>0.23338656499761357</c:v>
                </c:pt>
                <c:pt idx="518">
                  <c:v>0.24431524466289264</c:v>
                </c:pt>
                <c:pt idx="519">
                  <c:v>0.24486804952362118</c:v>
                </c:pt>
                <c:pt idx="521">
                  <c:v>0.90638514070522025</c:v>
                </c:pt>
                <c:pt idx="524">
                  <c:v>0.94194602459761601</c:v>
                </c:pt>
                <c:pt idx="526">
                  <c:v>0.93989906622097763</c:v>
                </c:pt>
                <c:pt idx="528">
                  <c:v>0.94738613317468867</c:v>
                </c:pt>
                <c:pt idx="529">
                  <c:v>0.95380385462694084</c:v>
                </c:pt>
                <c:pt idx="531">
                  <c:v>0.95383390103946974</c:v>
                </c:pt>
                <c:pt idx="532">
                  <c:v>0.95456512914461689</c:v>
                </c:pt>
                <c:pt idx="533">
                  <c:v>0.85558161984599346</c:v>
                </c:pt>
                <c:pt idx="534">
                  <c:v>0.87208277435907378</c:v>
                </c:pt>
                <c:pt idx="535">
                  <c:v>0.89724527378589558</c:v>
                </c:pt>
                <c:pt idx="536">
                  <c:v>0.89757409899542584</c:v>
                </c:pt>
                <c:pt idx="538">
                  <c:v>0.91219466923184844</c:v>
                </c:pt>
                <c:pt idx="539">
                  <c:v>0.90509607691528016</c:v>
                </c:pt>
                <c:pt idx="542">
                  <c:v>0.91736612933619199</c:v>
                </c:pt>
                <c:pt idx="544">
                  <c:v>0.99134516575291953</c:v>
                </c:pt>
                <c:pt idx="545">
                  <c:v>0.91932325649559099</c:v>
                </c:pt>
                <c:pt idx="546">
                  <c:v>0.82109472364874869</c:v>
                </c:pt>
                <c:pt idx="547">
                  <c:v>0.92055611451791586</c:v>
                </c:pt>
                <c:pt idx="548">
                  <c:v>0.86244306463274645</c:v>
                </c:pt>
                <c:pt idx="549">
                  <c:v>0.86748652025256467</c:v>
                </c:pt>
                <c:pt idx="550">
                  <c:v>0.87478697654387194</c:v>
                </c:pt>
                <c:pt idx="552">
                  <c:v>0.87522865802933036</c:v>
                </c:pt>
                <c:pt idx="553">
                  <c:v>0.87997504528968995</c:v>
                </c:pt>
                <c:pt idx="554">
                  <c:v>0.88101743846869929</c:v>
                </c:pt>
                <c:pt idx="555">
                  <c:v>0.88646290231476521</c:v>
                </c:pt>
                <c:pt idx="556">
                  <c:v>0.88716402109453307</c:v>
                </c:pt>
                <c:pt idx="557">
                  <c:v>0.88852324471171185</c:v>
                </c:pt>
                <c:pt idx="558">
                  <c:v>0.88936763221233195</c:v>
                </c:pt>
                <c:pt idx="559">
                  <c:v>0.7463167430005806</c:v>
                </c:pt>
                <c:pt idx="560">
                  <c:v>0.78851831189247901</c:v>
                </c:pt>
                <c:pt idx="561">
                  <c:v>0.79103602964265507</c:v>
                </c:pt>
                <c:pt idx="562">
                  <c:v>0.81655868741845228</c:v>
                </c:pt>
                <c:pt idx="563">
                  <c:v>0.81850725286735571</c:v>
                </c:pt>
                <c:pt idx="564">
                  <c:v>0.80553114657559743</c:v>
                </c:pt>
                <c:pt idx="565">
                  <c:v>0.82575212328588543</c:v>
                </c:pt>
                <c:pt idx="566">
                  <c:v>0.80839491487575998</c:v>
                </c:pt>
                <c:pt idx="567">
                  <c:v>0.82776147494382635</c:v>
                </c:pt>
                <c:pt idx="568">
                  <c:v>0.8312755865003213</c:v>
                </c:pt>
                <c:pt idx="569">
                  <c:v>0.81529568459496493</c:v>
                </c:pt>
                <c:pt idx="570">
                  <c:v>0.84060409455970431</c:v>
                </c:pt>
                <c:pt idx="571">
                  <c:v>0.84170147431294373</c:v>
                </c:pt>
                <c:pt idx="572">
                  <c:v>0.56846294837335487</c:v>
                </c:pt>
                <c:pt idx="573">
                  <c:v>0.62781533397936518</c:v>
                </c:pt>
                <c:pt idx="574">
                  <c:v>0.62542142765533504</c:v>
                </c:pt>
                <c:pt idx="575">
                  <c:v>0.67138060824502321</c:v>
                </c:pt>
                <c:pt idx="576">
                  <c:v>0.67559422683207782</c:v>
                </c:pt>
                <c:pt idx="577">
                  <c:v>0.64121067843748802</c:v>
                </c:pt>
                <c:pt idx="578">
                  <c:v>0.68521529873509568</c:v>
                </c:pt>
                <c:pt idx="579">
                  <c:v>0.64406848211697576</c:v>
                </c:pt>
                <c:pt idx="580">
                  <c:v>0.6869988250131559</c:v>
                </c:pt>
                <c:pt idx="581">
                  <c:v>0.69070001678164605</c:v>
                </c:pt>
                <c:pt idx="582">
                  <c:v>0.6504887115429524</c:v>
                </c:pt>
                <c:pt idx="583">
                  <c:v>0.70255339585034016</c:v>
                </c:pt>
                <c:pt idx="584">
                  <c:v>0.70499000921826926</c:v>
                </c:pt>
                <c:pt idx="585">
                  <c:v>0.38961213954122359</c:v>
                </c:pt>
                <c:pt idx="586">
                  <c:v>0.42683282375503073</c:v>
                </c:pt>
                <c:pt idx="587">
                  <c:v>0.43921669818115139</c:v>
                </c:pt>
                <c:pt idx="588">
                  <c:v>0.46488407706424922</c:v>
                </c:pt>
                <c:pt idx="589">
                  <c:v>0.47257473203618522</c:v>
                </c:pt>
                <c:pt idx="590">
                  <c:v>0.45262449213022926</c:v>
                </c:pt>
                <c:pt idx="591">
                  <c:v>0.47506971123540648</c:v>
                </c:pt>
                <c:pt idx="592">
                  <c:v>0.45490605815095392</c:v>
                </c:pt>
                <c:pt idx="593">
                  <c:v>0.48047889890794698</c:v>
                </c:pt>
                <c:pt idx="594">
                  <c:v>0.48450979887085349</c:v>
                </c:pt>
                <c:pt idx="595">
                  <c:v>0.46003991183069709</c:v>
                </c:pt>
                <c:pt idx="596">
                  <c:v>0.490390234757343</c:v>
                </c:pt>
                <c:pt idx="597">
                  <c:v>0.49172093385362942</c:v>
                </c:pt>
                <c:pt idx="598">
                  <c:v>0.27267049565380752</c:v>
                </c:pt>
                <c:pt idx="599">
                  <c:v>0.29587164768502056</c:v>
                </c:pt>
                <c:pt idx="600">
                  <c:v>0.30982249771210385</c:v>
                </c:pt>
                <c:pt idx="601">
                  <c:v>0.32351822257523205</c:v>
                </c:pt>
                <c:pt idx="602">
                  <c:v>0.33023713659722154</c:v>
                </c:pt>
                <c:pt idx="603">
                  <c:v>0.31978534008070592</c:v>
                </c:pt>
                <c:pt idx="604">
                  <c:v>0.33050512401360166</c:v>
                </c:pt>
                <c:pt idx="605">
                  <c:v>0.32149621141170026</c:v>
                </c:pt>
                <c:pt idx="606">
                  <c:v>0.33541296214776301</c:v>
                </c:pt>
                <c:pt idx="607">
                  <c:v>0.33865395712897323</c:v>
                </c:pt>
                <c:pt idx="608">
                  <c:v>0.3251552480419474</c:v>
                </c:pt>
                <c:pt idx="609">
                  <c:v>0.34166715540337966</c:v>
                </c:pt>
                <c:pt idx="610">
                  <c:v>0.3424663558347385</c:v>
                </c:pt>
                <c:pt idx="611">
                  <c:v>0.19957228372612704</c:v>
                </c:pt>
                <c:pt idx="612">
                  <c:v>0.21527351522727156</c:v>
                </c:pt>
                <c:pt idx="613">
                  <c:v>0.22742433650037</c:v>
                </c:pt>
                <c:pt idx="614">
                  <c:v>0.23569038440950102</c:v>
                </c:pt>
                <c:pt idx="615">
                  <c:v>0.24097037542129185</c:v>
                </c:pt>
                <c:pt idx="616">
                  <c:v>0.23488768862172096</c:v>
                </c:pt>
                <c:pt idx="617">
                  <c:v>0.24072220225547222</c:v>
                </c:pt>
                <c:pt idx="618">
                  <c:v>0.23616263541861199</c:v>
                </c:pt>
                <c:pt idx="619">
                  <c:v>0.24462532228026013</c:v>
                </c:pt>
                <c:pt idx="620">
                  <c:v>0.24710679382574297</c:v>
                </c:pt>
                <c:pt idx="621">
                  <c:v>0.23889436670918318</c:v>
                </c:pt>
                <c:pt idx="622">
                  <c:v>0.24896380077171426</c:v>
                </c:pt>
                <c:pt idx="623">
                  <c:v>0.2495069676029347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41-483F-AEE9-CCD3E2DF1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901344"/>
        <c:axId val="524898944"/>
      </c:scatterChart>
      <c:valAx>
        <c:axId val="5249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898944"/>
        <c:crosses val="autoZero"/>
        <c:crossBetween val="midCat"/>
      </c:valAx>
      <c:valAx>
        <c:axId val="52489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9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528832</xdr:colOff>
      <xdr:row>49</xdr:row>
      <xdr:rowOff>42021</xdr:rowOff>
    </xdr:from>
    <xdr:to>
      <xdr:col>19</xdr:col>
      <xdr:colOff>126458</xdr:colOff>
      <xdr:row>69</xdr:row>
      <xdr:rowOff>75579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E988C6-A791-1D6F-1D59-1548E9EDEF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142874</xdr:colOff>
      <xdr:row>65</xdr:row>
      <xdr:rowOff>23813</xdr:rowOff>
    </xdr:from>
    <xdr:to>
      <xdr:col>24</xdr:col>
      <xdr:colOff>180974</xdr:colOff>
      <xdr:row>80</xdr:row>
      <xdr:rowOff>52388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881AC05-E3F7-4040-B69D-E394006EB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31</xdr:col>
      <xdr:colOff>120909</xdr:colOff>
      <xdr:row>19</xdr:row>
      <xdr:rowOff>122198</xdr:rowOff>
    </xdr:from>
    <xdr:ext cx="5605633" cy="937693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E457E7B-9BB1-579E-B6CF-4183F7ADECD3}"/>
            </a:ext>
          </a:extLst>
        </xdr:cNvPr>
        <xdr:cNvSpPr txBox="1"/>
      </xdr:nvSpPr>
      <xdr:spPr>
        <a:xfrm>
          <a:off x="21743780" y="6289916"/>
          <a:ext cx="5605633" cy="937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600" b="1">
              <a:solidFill>
                <a:srgbClr val="FF0000"/>
              </a:solidFill>
            </a:rPr>
            <a:t>Prachi Governing parameter is (h^2)/(bt)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Sahar Governing parameter is (h/t)*(b/t)*(10^</a:t>
          </a:r>
          <a:r>
            <a:rPr lang="en-CA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</a:t>
          </a:r>
          <a:r>
            <a:rPr lang="en-CA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>
            <a:effectLst/>
          </a:endParaRPr>
        </a:p>
        <a:p>
          <a:endParaRPr lang="en-CA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8</xdr:col>
      <xdr:colOff>228040</xdr:colOff>
      <xdr:row>8</xdr:row>
      <xdr:rowOff>116543</xdr:rowOff>
    </xdr:from>
    <xdr:to>
      <xdr:col>16</xdr:col>
      <xdr:colOff>63875</xdr:colOff>
      <xdr:row>24</xdr:row>
      <xdr:rowOff>121304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042528-4ECC-4CB9-BB17-4B31DE1C6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29</xdr:col>
      <xdr:colOff>509868</xdr:colOff>
      <xdr:row>6</xdr:row>
      <xdr:rowOff>134471</xdr:rowOff>
    </xdr:from>
    <xdr:to>
      <xdr:col>36</xdr:col>
      <xdr:colOff>263392</xdr:colOff>
      <xdr:row>11</xdr:row>
      <xdr:rowOff>80125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F8DC20-03B2-3363-E097-15993BA7E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60603" y="3882839"/>
          <a:ext cx="4303113" cy="842125"/>
        </a:xfrm>
        <a:prstGeom prst="rect">
          <a:avLst/>
        </a:prstGeom>
      </xdr:spPr>
    </xdr:pic>
    <xdr:clientData/>
  </xdr:twoCellAnchor>
  <xdr:oneCellAnchor>
    <xdr:from>
      <xdr:col>30</xdr:col>
      <xdr:colOff>336176</xdr:colOff>
      <xdr:row>6</xdr:row>
      <xdr:rowOff>106456</xdr:rowOff>
    </xdr:from>
    <xdr:ext cx="2761077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A805447-73D6-98E8-F1A1-D514565CC600}"/>
            </a:ext>
          </a:extLst>
        </xdr:cNvPr>
        <xdr:cNvSpPr txBox="1"/>
      </xdr:nvSpPr>
      <xdr:spPr>
        <a:xfrm>
          <a:off x="21436852" y="3854824"/>
          <a:ext cx="276107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CA" sz="1100" b="1">
              <a:solidFill>
                <a:srgbClr val="FF0000"/>
              </a:solidFill>
            </a:rPr>
            <a:t>Formula used in column Y</a:t>
          </a:r>
          <a:r>
            <a:rPr lang="en-CA" sz="1100" b="1" baseline="0">
              <a:solidFill>
                <a:srgbClr val="FF0000"/>
              </a:solidFill>
            </a:rPr>
            <a:t> without Lambda0</a:t>
          </a:r>
          <a:endParaRPr lang="en-CA" sz="1100" b="1">
            <a:solidFill>
              <a:srgbClr val="FF0000"/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931B-8AFF-4C40-984F-1CBBA6FD74B7}">
  <sheetPr codeName="Sheet13"/>
  <dimension ref="A1:AE627"/>
  <sheetViews>
    <sheetView tabSelected="1" zoomScale="85" zoomScaleNormal="85" workbookViewId="0">
      <pane ySplit="2" topLeftCell="A3" activePane="bottomLeft" state="frozen"/>
      <selection pane="bottomLeft" activeCell="D7" sqref="D7"/>
    </sheetView>
  </sheetViews>
  <sheetFormatPr defaultRowHeight="14.5" x14ac:dyDescent="0.35"/>
  <cols>
    <col min="2" max="2" width="17.36328125" customWidth="1"/>
    <col min="3" max="3" width="21" customWidth="1"/>
    <col min="23" max="23" width="9.08984375" style="9"/>
    <col min="24" max="24" width="10.453125" style="9" customWidth="1"/>
    <col min="25" max="25" width="9.90625" style="9" customWidth="1"/>
    <col min="26" max="29" width="9.08984375" style="9"/>
  </cols>
  <sheetData>
    <row r="1" spans="1:31" ht="21" x14ac:dyDescent="0.5">
      <c r="A1" s="18" t="s">
        <v>50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31" ht="227" x14ac:dyDescent="0.35">
      <c r="A2" s="5" t="s">
        <v>1</v>
      </c>
      <c r="B2" s="5" t="s">
        <v>0</v>
      </c>
      <c r="C2" s="5" t="s">
        <v>21</v>
      </c>
      <c r="D2" s="5" t="s">
        <v>6</v>
      </c>
      <c r="E2" s="6" t="s">
        <v>35</v>
      </c>
      <c r="F2" s="11" t="s">
        <v>28</v>
      </c>
      <c r="G2" s="12" t="s">
        <v>26</v>
      </c>
      <c r="H2" s="12" t="s">
        <v>27</v>
      </c>
      <c r="I2" s="12" t="s">
        <v>46</v>
      </c>
      <c r="J2" s="12" t="s">
        <v>33</v>
      </c>
      <c r="K2" s="10" t="s">
        <v>36</v>
      </c>
      <c r="L2" s="10" t="s">
        <v>37</v>
      </c>
      <c r="M2" s="10" t="s">
        <v>47</v>
      </c>
      <c r="N2" s="11" t="s">
        <v>39</v>
      </c>
      <c r="O2" s="11" t="s">
        <v>32</v>
      </c>
      <c r="P2" s="11" t="s">
        <v>31</v>
      </c>
      <c r="Q2" s="11" t="s">
        <v>29</v>
      </c>
      <c r="R2" s="10" t="s">
        <v>38</v>
      </c>
      <c r="S2" s="12" t="s">
        <v>34</v>
      </c>
      <c r="T2" s="11" t="s">
        <v>40</v>
      </c>
      <c r="W2" s="11" t="s">
        <v>48</v>
      </c>
      <c r="X2" s="11" t="s">
        <v>49</v>
      </c>
      <c r="Y2" s="11" t="s">
        <v>51</v>
      </c>
      <c r="Z2" s="11" t="s">
        <v>53</v>
      </c>
      <c r="AA2" s="11" t="s">
        <v>52</v>
      </c>
      <c r="AB2" s="11" t="s">
        <v>44</v>
      </c>
      <c r="AC2" s="11" t="s">
        <v>45</v>
      </c>
    </row>
    <row r="3" spans="1:31" x14ac:dyDescent="0.35">
      <c r="A3" s="4" t="s">
        <v>2</v>
      </c>
      <c r="B3" s="4" t="s">
        <v>2</v>
      </c>
      <c r="C3" s="4" t="s">
        <v>2</v>
      </c>
      <c r="D3" s="4" t="s">
        <v>2</v>
      </c>
      <c r="E3" t="s">
        <v>4</v>
      </c>
      <c r="F3" s="4" t="s">
        <v>2</v>
      </c>
      <c r="G3" s="4" t="s">
        <v>2</v>
      </c>
      <c r="H3" s="4" t="s">
        <v>2</v>
      </c>
      <c r="I3" s="4" t="s">
        <v>2</v>
      </c>
      <c r="J3" s="4" t="s">
        <v>2</v>
      </c>
      <c r="K3" s="4" t="s">
        <v>2</v>
      </c>
      <c r="L3" s="4" t="s">
        <v>2</v>
      </c>
      <c r="M3" s="4" t="s">
        <v>2</v>
      </c>
      <c r="N3" s="4" t="s">
        <v>2</v>
      </c>
      <c r="O3" t="s">
        <v>4</v>
      </c>
      <c r="P3" t="s">
        <v>4</v>
      </c>
      <c r="Q3" t="s">
        <v>4</v>
      </c>
      <c r="R3" s="4" t="s">
        <v>2</v>
      </c>
      <c r="T3" s="4" t="s">
        <v>2</v>
      </c>
      <c r="W3" s="4" t="s">
        <v>2</v>
      </c>
      <c r="X3" s="4" t="s">
        <v>2</v>
      </c>
      <c r="Y3" s="4" t="s">
        <v>2</v>
      </c>
      <c r="Z3" s="4" t="s">
        <v>2</v>
      </c>
      <c r="AA3" s="4" t="s">
        <v>2</v>
      </c>
      <c r="AB3" s="4" t="s">
        <v>2</v>
      </c>
      <c r="AC3" s="4" t="s">
        <v>2</v>
      </c>
    </row>
    <row r="4" spans="1:31" x14ac:dyDescent="0.35">
      <c r="A4" s="7">
        <v>1</v>
      </c>
      <c r="B4" s="8" t="s">
        <v>17</v>
      </c>
      <c r="C4" s="7" t="s">
        <v>14</v>
      </c>
      <c r="D4" s="7" t="s">
        <v>5</v>
      </c>
      <c r="E4">
        <v>1538.2579936932468</v>
      </c>
      <c r="F4">
        <v>0.3520228696271529</v>
      </c>
      <c r="G4">
        <v>0.90767731951073904</v>
      </c>
      <c r="H4">
        <v>0.90942627535799447</v>
      </c>
      <c r="I4">
        <v>1.01954261954262</v>
      </c>
      <c r="J4">
        <f>G4/(H4*I4)</f>
        <v>0.97894569475517423</v>
      </c>
      <c r="K4">
        <f>1/I4</f>
        <v>0.98083197389885757</v>
      </c>
      <c r="L4">
        <f>J4/K4</f>
        <v>0.99807685802066048</v>
      </c>
      <c r="M4">
        <v>3.75</v>
      </c>
      <c r="N4">
        <v>0.22278490000813553</v>
      </c>
      <c r="O4">
        <v>300</v>
      </c>
      <c r="P4">
        <v>300</v>
      </c>
      <c r="Q4">
        <v>80</v>
      </c>
      <c r="R4">
        <f>(O4/Q4)*(P4/Q4)*(0.001)</f>
        <v>1.40625E-2</v>
      </c>
      <c r="T4" t="s">
        <v>41</v>
      </c>
      <c r="W4" s="13">
        <f>IF(OR($D4="",$F4="",$G4="",$N4="",$R4=""),"",
IF($N4&lt;=0.6,
 IF(TRIM($D4)="6061-T6",-0.17*$N4+1.102,
  IF(TRIM($D4)="6063-T6",-0.45*$N4+1.27,
   IF(TRIM($D4)="6082-T6",-0.5*$N4+1.3,""))),
 _xlfn.LET(_xlpm.alphaL,0.12+0.027*$R4,
     _xlpm.phiL,0.5*(1+_xlpm.alphaL*($N4-0.6)+$N4^0.55),
     MIN(1,1/(_xlpm.phiL+SQRT(MAX(0,_xlpm.phiL^2-$N4^0.55)))))
))</f>
        <v>1.0641265669986171</v>
      </c>
      <c r="X4" s="9">
        <f>IF(OR($D4="",$F4="",$G4="",$N4="",$R4=""),"",
IF(TRIM($D4)="6061-T6",0.111,
 IF(TRIM($D4)="6063-T6",0.188,
  IF(TRIM($D4)="6082-T6",0.126,""))))</f>
        <v>0.111</v>
      </c>
      <c r="Y4" s="13">
        <f>IF(OR($D4="",$F4="",$G4="",$N4="",$R4="",$X4=""),"",
_xlfn.LET(_xlpm.alphaG,$X4,
    _xlpm.phiG,0.5*(1+_xlpm.alphaG*$F4+$F4^2),
    MIN(1,1/(_xlpm.phiG+SQRT(MAX(0,_xlpm.phiG^2-$F4^2)))))
)</f>
        <v>0.95754683656668849</v>
      </c>
      <c r="Z4" s="9">
        <f>IF(OR($D4="",$F4="",$G4="",$N4="",$R4="",$W4=""),"",
IF($W4&lt;=0.7,1,
 IF($W4&lt;=0.95,0.97,0.93)))</f>
        <v>0.93</v>
      </c>
      <c r="AA4" s="9">
        <f>IF(OR($D4="",$F4="",$G4="",$N4="",$R4="",$W4="",$Z4=""),"",
IF($F4&lt;=0.6,$Z4,
 IF($F4&lt;=1.6/$W4,
   ((1/$W4-$Z4)/((1.6/$W4)-0.6))*($F4-0.6)+$Z4,
   1/$W4)))</f>
        <v>0.93</v>
      </c>
      <c r="AB4" s="9">
        <f>IF(OR($W4="",$Y4="",$AA4=""),"",$W4*$Y4*$AA4)</f>
        <v>0.94762445598056932</v>
      </c>
      <c r="AC4" s="9">
        <f>IF(OR($AB4="",$G4=""),"",IFERROR($AB4/$G4,""))</f>
        <v>1.0440102838433407</v>
      </c>
      <c r="AE4" s="2" t="s">
        <v>43</v>
      </c>
    </row>
    <row r="5" spans="1:31" x14ac:dyDescent="0.35">
      <c r="A5" s="7">
        <v>2</v>
      </c>
      <c r="B5" s="8" t="s">
        <v>24</v>
      </c>
      <c r="C5" s="7" t="s">
        <v>23</v>
      </c>
      <c r="D5" s="7" t="s">
        <v>5</v>
      </c>
      <c r="E5">
        <v>804.64488344170331</v>
      </c>
      <c r="F5">
        <v>0.36227678558144188</v>
      </c>
      <c r="G5">
        <v>0.92660012914988976</v>
      </c>
      <c r="H5">
        <v>0.92958861961558914</v>
      </c>
      <c r="I5">
        <v>1.1440173168380969</v>
      </c>
      <c r="J5">
        <f t="shared" ref="J5:J68" si="0">G5/(H5*I5)</f>
        <v>0.87130249922640646</v>
      </c>
      <c r="K5">
        <f t="shared" ref="K5:K68" si="1">1/I5</f>
        <v>0.87411264259867971</v>
      </c>
      <c r="L5">
        <f t="shared" ref="L5:L68" si="2">J5/K5</f>
        <v>0.99678514731932155</v>
      </c>
      <c r="M5">
        <v>9.9206349206349209</v>
      </c>
      <c r="N5">
        <v>0.28586452749971264</v>
      </c>
      <c r="O5">
        <v>250</v>
      </c>
      <c r="P5">
        <v>150</v>
      </c>
      <c r="Q5">
        <v>42</v>
      </c>
      <c r="R5">
        <f t="shared" ref="R5:R68" si="3">(O5/Q5)*(P5/Q5)*(0.001)</f>
        <v>2.1258503401360547E-2</v>
      </c>
      <c r="T5" t="s">
        <v>41</v>
      </c>
      <c r="W5" s="13">
        <f t="shared" ref="W5:W68" si="4">IF(OR($D5="",$F5="",$G5="",$N5="",$R5=""),"",
IF($N5&lt;=0.6,
 IF(TRIM($D5)="6061-T6",-0.17*$N5+1.102,
  IF(TRIM($D5)="6063-T6",-0.45*$N5+1.27,
   IF(TRIM($D5)="6082-T6",-0.5*$N5+1.3,""))),
 _xlfn.LET(_xlpm.alphaL,0.12+0.027*$R5,
     _xlpm.phiL,0.5*(1+_xlpm.alphaL*($N5-0.6)+$N5^0.55),
     MIN(1,1/(_xlpm.phiL+SQRT(MAX(0,_xlpm.phiL^2-$N5^0.55)))))
))</f>
        <v>1.053403030325049</v>
      </c>
      <c r="X5" s="9">
        <f t="shared" ref="X5:X68" si="5">IF(OR($D5="",$F5="",$G5="",$N5="",$R5=""),"",
IF(TRIM($D5)="6061-T6",0.111,
 IF(TRIM($D5)="6063-T6",0.188,
  IF(TRIM($D5)="6082-T6",0.126,""))))</f>
        <v>0.111</v>
      </c>
      <c r="Y5" s="13">
        <f t="shared" ref="Y5:Y68" si="6">IF(OR($D5="",$F5="",$G5="",$N5="",$R5="",$X5=""),"",
_xlfn.LET(_xlpm.alphaG,$X5,
    _xlpm.phiG,0.5*(1+_xlpm.alphaG*$F5+$F5^2),
    MIN(1,1/(_xlpm.phiG+SQRT(MAX(0,_xlpm.phiG^2-$F5^2)))))
)</f>
        <v>0.9560390752501331</v>
      </c>
      <c r="Z5" s="9">
        <f t="shared" ref="Z5:Z68" si="7">IF(OR($D5="",$F5="",$G5="",$N5="",$R5="",$W5=""),"",
IF($W5&lt;=0.7,1,
 IF($W5&lt;=0.95,0.97,0.93)))</f>
        <v>0.93</v>
      </c>
      <c r="AA5" s="9">
        <f t="shared" ref="AA5:AA68" si="8">IF(OR($D5="",$F5="",$G5="",$N5="",$R5="",$W5="",$Z5=""),"",
IF($F5&lt;=0.6,$Z5,
 IF($F5&lt;=1.6/$W5,
   ((1/$W5-$Z5)/((1.6/$W5)-0.6))*($F5-0.6)+$Z5,
   1/$W5)))</f>
        <v>0.93</v>
      </c>
      <c r="AB5" s="9">
        <f t="shared" ref="AB5:AB68" si="9">IF(OR($W5="",$Y5="",$AA5=""),"",$W5*$Y5*$AA5)</f>
        <v>0.93659784684921255</v>
      </c>
      <c r="AC5" s="9">
        <f t="shared" ref="AC5:AC68" si="10">IF(OR($AB5="",$G5=""),"",IFERROR($AB5/$G5,""))</f>
        <v>1.0107896787241928</v>
      </c>
    </row>
    <row r="6" spans="1:31" x14ac:dyDescent="0.35">
      <c r="A6" s="7">
        <v>3</v>
      </c>
      <c r="B6" s="8" t="s">
        <v>15</v>
      </c>
      <c r="C6" s="7" t="s">
        <v>14</v>
      </c>
      <c r="D6" s="7" t="s">
        <v>5</v>
      </c>
      <c r="E6">
        <v>1431.3868060865461</v>
      </c>
      <c r="F6">
        <v>0.33723238957270568</v>
      </c>
      <c r="G6">
        <v>0.94465117630536466</v>
      </c>
      <c r="H6">
        <v>0.945323350799539</v>
      </c>
      <c r="I6" t="s">
        <v>30</v>
      </c>
      <c r="J6" t="e">
        <f t="shared" si="0"/>
        <v>#VALUE!</v>
      </c>
      <c r="K6" t="e">
        <f t="shared" si="1"/>
        <v>#VALUE!</v>
      </c>
      <c r="L6" t="e">
        <f t="shared" si="2"/>
        <v>#VALUE!</v>
      </c>
      <c r="M6">
        <v>7.1428571428571432</v>
      </c>
      <c r="N6">
        <v>0.23457435445571082</v>
      </c>
      <c r="O6">
        <v>250</v>
      </c>
      <c r="P6">
        <v>250</v>
      </c>
      <c r="Q6">
        <v>35</v>
      </c>
      <c r="R6">
        <f t="shared" si="3"/>
        <v>5.1020408163265307E-2</v>
      </c>
      <c r="T6" t="s">
        <v>41</v>
      </c>
      <c r="W6" s="13">
        <f t="shared" si="4"/>
        <v>1.0621223597425293</v>
      </c>
      <c r="X6" s="9">
        <f t="shared" si="5"/>
        <v>0.111</v>
      </c>
      <c r="Y6" s="13">
        <f t="shared" si="6"/>
        <v>0.9596756688653213</v>
      </c>
      <c r="Z6" s="9">
        <f t="shared" si="7"/>
        <v>0.93</v>
      </c>
      <c r="AA6" s="9">
        <f t="shared" si="8"/>
        <v>0.93</v>
      </c>
      <c r="AB6" s="9">
        <f t="shared" si="9"/>
        <v>0.94794247698253464</v>
      </c>
      <c r="AC6" s="9">
        <f t="shared" si="10"/>
        <v>1.0034841439461735</v>
      </c>
    </row>
    <row r="7" spans="1:31" x14ac:dyDescent="0.35">
      <c r="A7" s="7">
        <v>4</v>
      </c>
      <c r="B7" s="8" t="s">
        <v>11</v>
      </c>
      <c r="C7" s="7" t="s">
        <v>22</v>
      </c>
      <c r="D7" s="7" t="s">
        <v>5</v>
      </c>
      <c r="E7">
        <v>301.23876764335267</v>
      </c>
      <c r="F7">
        <v>0.36348195687131518</v>
      </c>
      <c r="G7">
        <v>0.94791445826485188</v>
      </c>
      <c r="H7">
        <v>0.94962770446920974</v>
      </c>
      <c r="I7">
        <v>1.084498874027972</v>
      </c>
      <c r="J7">
        <f t="shared" si="0"/>
        <v>0.9204213114736649</v>
      </c>
      <c r="K7">
        <f t="shared" si="1"/>
        <v>0.92208486698180514</v>
      </c>
      <c r="L7">
        <f t="shared" si="2"/>
        <v>0.99819587592453884</v>
      </c>
      <c r="M7">
        <v>21.333333333333336</v>
      </c>
      <c r="N7">
        <v>0.32083911768776124</v>
      </c>
      <c r="O7">
        <v>101.6</v>
      </c>
      <c r="P7">
        <v>50.8</v>
      </c>
      <c r="Q7">
        <v>9.5249999999999986</v>
      </c>
      <c r="R7">
        <f t="shared" si="3"/>
        <v>5.6888888888888899E-2</v>
      </c>
      <c r="T7" t="s">
        <v>41</v>
      </c>
      <c r="W7" s="13">
        <f t="shared" si="4"/>
        <v>1.0474573499930806</v>
      </c>
      <c r="X7" s="9">
        <f t="shared" si="5"/>
        <v>0.111</v>
      </c>
      <c r="Y7" s="13">
        <f t="shared" si="6"/>
        <v>0.95586007781749305</v>
      </c>
      <c r="Z7" s="9">
        <f t="shared" si="7"/>
        <v>0.93</v>
      </c>
      <c r="AA7" s="9">
        <f t="shared" si="8"/>
        <v>0.93</v>
      </c>
      <c r="AB7" s="9">
        <f t="shared" si="9"/>
        <v>0.93113707758964881</v>
      </c>
      <c r="AC7" s="9">
        <f t="shared" si="10"/>
        <v>0.98230074398705358</v>
      </c>
    </row>
    <row r="8" spans="1:31" x14ac:dyDescent="0.35">
      <c r="A8" s="7">
        <v>5</v>
      </c>
      <c r="B8" s="8" t="s">
        <v>8</v>
      </c>
      <c r="C8" s="7" t="s">
        <v>9</v>
      </c>
      <c r="D8" s="7" t="s">
        <v>5</v>
      </c>
      <c r="E8">
        <v>620.77760206045843</v>
      </c>
      <c r="F8">
        <v>0.34749474707375994</v>
      </c>
      <c r="G8">
        <v>0.95298762291472949</v>
      </c>
      <c r="H8">
        <v>0.95378805136482003</v>
      </c>
      <c r="I8">
        <v>1.0413746964503248</v>
      </c>
      <c r="J8">
        <f t="shared" si="0"/>
        <v>0.95946328773617351</v>
      </c>
      <c r="K8">
        <f t="shared" si="1"/>
        <v>0.96026915519326872</v>
      </c>
      <c r="L8">
        <f t="shared" si="2"/>
        <v>0.99916079002148828</v>
      </c>
      <c r="M8">
        <v>17.999999999999996</v>
      </c>
      <c r="N8">
        <v>0.34216420507019119</v>
      </c>
      <c r="O8">
        <v>152.39999999999998</v>
      </c>
      <c r="P8">
        <v>101.6</v>
      </c>
      <c r="Q8">
        <v>12.7</v>
      </c>
      <c r="R8">
        <f t="shared" si="3"/>
        <v>9.5999999999999988E-2</v>
      </c>
      <c r="T8" t="s">
        <v>41</v>
      </c>
      <c r="W8" s="13">
        <f t="shared" si="4"/>
        <v>1.0438320851380676</v>
      </c>
      <c r="X8" s="9">
        <f t="shared" si="5"/>
        <v>0.111</v>
      </c>
      <c r="Y8" s="13">
        <f t="shared" si="6"/>
        <v>0.95820421841523318</v>
      </c>
      <c r="Z8" s="9">
        <f t="shared" si="7"/>
        <v>0.93</v>
      </c>
      <c r="AA8" s="9">
        <f t="shared" si="8"/>
        <v>0.93</v>
      </c>
      <c r="AB8" s="9">
        <f t="shared" si="9"/>
        <v>0.93019000578571276</v>
      </c>
      <c r="AC8" s="9">
        <f t="shared" si="10"/>
        <v>0.97607774059091157</v>
      </c>
    </row>
    <row r="9" spans="1:31" x14ac:dyDescent="0.35">
      <c r="A9" s="7">
        <v>6</v>
      </c>
      <c r="B9" s="8" t="s">
        <v>16</v>
      </c>
      <c r="C9" s="7" t="s">
        <v>14</v>
      </c>
      <c r="D9" s="7" t="s">
        <v>5</v>
      </c>
      <c r="E9">
        <v>1517.0591208911485</v>
      </c>
      <c r="F9">
        <v>0.33398327735428257</v>
      </c>
      <c r="G9">
        <v>0.95816573282217554</v>
      </c>
      <c r="H9">
        <v>0.95917035289491692</v>
      </c>
      <c r="I9">
        <v>1.0155249931690029</v>
      </c>
      <c r="J9">
        <f t="shared" si="0"/>
        <v>0.98368097517146014</v>
      </c>
      <c r="K9">
        <f t="shared" si="1"/>
        <v>0.98471234753114611</v>
      </c>
      <c r="L9">
        <f t="shared" si="2"/>
        <v>0.99895261559147519</v>
      </c>
      <c r="M9">
        <v>12.5</v>
      </c>
      <c r="N9">
        <v>0.38895724243152341</v>
      </c>
      <c r="O9">
        <v>250</v>
      </c>
      <c r="P9">
        <v>250</v>
      </c>
      <c r="Q9">
        <v>20</v>
      </c>
      <c r="R9">
        <f t="shared" si="3"/>
        <v>0.15625</v>
      </c>
      <c r="T9" t="s">
        <v>41</v>
      </c>
      <c r="W9" s="13">
        <f t="shared" si="4"/>
        <v>1.0358772687866411</v>
      </c>
      <c r="X9" s="9">
        <f t="shared" si="5"/>
        <v>0.111</v>
      </c>
      <c r="Y9" s="13">
        <f t="shared" si="6"/>
        <v>0.96013636091991095</v>
      </c>
      <c r="Z9" s="9">
        <f t="shared" si="7"/>
        <v>0.93</v>
      </c>
      <c r="AA9" s="9">
        <f t="shared" si="8"/>
        <v>0.93</v>
      </c>
      <c r="AB9" s="9">
        <f t="shared" si="9"/>
        <v>0.92496259102758982</v>
      </c>
      <c r="AC9" s="9">
        <f t="shared" si="10"/>
        <v>0.96534718300059696</v>
      </c>
    </row>
    <row r="10" spans="1:31" x14ac:dyDescent="0.35">
      <c r="A10" s="7">
        <v>7</v>
      </c>
      <c r="B10" s="8" t="s">
        <v>10</v>
      </c>
      <c r="C10" s="7" t="s">
        <v>22</v>
      </c>
      <c r="D10" s="7" t="s">
        <v>5</v>
      </c>
      <c r="E10">
        <v>236.04109236488793</v>
      </c>
      <c r="F10">
        <v>0.38078445421102458</v>
      </c>
      <c r="G10">
        <v>0.95511282840863321</v>
      </c>
      <c r="H10">
        <v>0.95779991958340216</v>
      </c>
      <c r="I10">
        <v>0.97189540344618819</v>
      </c>
      <c r="J10">
        <f t="shared" si="0"/>
        <v>1.0260306959891885</v>
      </c>
      <c r="K10">
        <f t="shared" si="1"/>
        <v>1.0289173057657823</v>
      </c>
      <c r="L10">
        <f t="shared" si="2"/>
        <v>0.99719451722658559</v>
      </c>
      <c r="M10">
        <v>42.666666666666671</v>
      </c>
      <c r="N10">
        <v>0.43255198362904806</v>
      </c>
      <c r="O10">
        <v>101.6</v>
      </c>
      <c r="P10">
        <v>38.099999999999994</v>
      </c>
      <c r="Q10">
        <v>6.35</v>
      </c>
      <c r="R10">
        <f t="shared" si="3"/>
        <v>9.5999999999999988E-2</v>
      </c>
      <c r="T10" t="s">
        <v>41</v>
      </c>
      <c r="W10" s="13">
        <f t="shared" si="4"/>
        <v>1.028466162783062</v>
      </c>
      <c r="X10" s="9">
        <f t="shared" si="5"/>
        <v>0.111</v>
      </c>
      <c r="Y10" s="13">
        <f t="shared" si="6"/>
        <v>0.95324693735227106</v>
      </c>
      <c r="Z10" s="9">
        <f t="shared" si="7"/>
        <v>0.93</v>
      </c>
      <c r="AA10" s="9">
        <f t="shared" si="8"/>
        <v>0.93</v>
      </c>
      <c r="AB10" s="9">
        <f t="shared" si="9"/>
        <v>0.9117554644543584</v>
      </c>
      <c r="AC10" s="9">
        <f t="shared" si="10"/>
        <v>0.95460498208728395</v>
      </c>
    </row>
    <row r="11" spans="1:31" x14ac:dyDescent="0.35">
      <c r="A11" s="7">
        <v>8</v>
      </c>
      <c r="B11" s="8" t="s">
        <v>18</v>
      </c>
      <c r="C11" s="7" t="s">
        <v>14</v>
      </c>
      <c r="D11" s="7" t="s">
        <v>5</v>
      </c>
      <c r="E11">
        <v>922.29958761721718</v>
      </c>
      <c r="F11">
        <v>0.33363613629741562</v>
      </c>
      <c r="G11">
        <v>0.96036839095193882</v>
      </c>
      <c r="H11">
        <v>0.96206440925315939</v>
      </c>
      <c r="I11">
        <v>0.99295242255224792</v>
      </c>
      <c r="J11">
        <f t="shared" si="0"/>
        <v>1.0053221912475783</v>
      </c>
      <c r="K11">
        <f t="shared" si="1"/>
        <v>1.0070975983216166</v>
      </c>
      <c r="L11">
        <f t="shared" si="2"/>
        <v>0.99823710524481724</v>
      </c>
      <c r="M11">
        <v>15</v>
      </c>
      <c r="N11">
        <v>0.4636648591171596</v>
      </c>
      <c r="O11">
        <v>150</v>
      </c>
      <c r="P11">
        <v>150</v>
      </c>
      <c r="Q11">
        <v>10</v>
      </c>
      <c r="R11">
        <f t="shared" si="3"/>
        <v>0.22500000000000001</v>
      </c>
      <c r="T11" t="s">
        <v>41</v>
      </c>
      <c r="W11" s="13">
        <f t="shared" si="4"/>
        <v>1.0231769739500829</v>
      </c>
      <c r="X11" s="9">
        <f t="shared" si="5"/>
        <v>0.111</v>
      </c>
      <c r="Y11" s="13">
        <f t="shared" si="6"/>
        <v>0.96018543810824397</v>
      </c>
      <c r="Z11" s="9">
        <f t="shared" si="7"/>
        <v>0.93</v>
      </c>
      <c r="AA11" s="9">
        <f t="shared" si="8"/>
        <v>0.93</v>
      </c>
      <c r="AB11" s="9">
        <f t="shared" si="9"/>
        <v>0.91366885682491084</v>
      </c>
      <c r="AC11" s="9">
        <f t="shared" si="10"/>
        <v>0.95137331198422892</v>
      </c>
    </row>
    <row r="12" spans="1:31" x14ac:dyDescent="0.35">
      <c r="A12" s="7">
        <v>9</v>
      </c>
      <c r="B12" s="8" t="s">
        <v>25</v>
      </c>
      <c r="C12" s="7" t="s">
        <v>23</v>
      </c>
      <c r="D12" s="7" t="s">
        <v>5</v>
      </c>
      <c r="E12">
        <v>638.13484592776649</v>
      </c>
      <c r="F12">
        <v>0.35441715741883628</v>
      </c>
      <c r="G12">
        <v>0.95734070112191239</v>
      </c>
      <c r="H12">
        <v>0.9492164337145268</v>
      </c>
      <c r="I12">
        <v>0.96994205697730562</v>
      </c>
      <c r="J12">
        <f t="shared" si="0"/>
        <v>1.0398135771384251</v>
      </c>
      <c r="K12">
        <f t="shared" si="1"/>
        <v>1.0309894212818917</v>
      </c>
      <c r="L12">
        <f t="shared" si="2"/>
        <v>1.0085589198825744</v>
      </c>
      <c r="M12">
        <v>32.4</v>
      </c>
      <c r="N12">
        <v>0.49468176913818818</v>
      </c>
      <c r="O12">
        <v>180</v>
      </c>
      <c r="P12">
        <v>100</v>
      </c>
      <c r="Q12">
        <v>10</v>
      </c>
      <c r="R12">
        <f t="shared" si="3"/>
        <v>0.18</v>
      </c>
      <c r="T12" t="s">
        <v>41</v>
      </c>
      <c r="W12" s="13">
        <f t="shared" si="4"/>
        <v>1.017904099246508</v>
      </c>
      <c r="X12" s="9">
        <f t="shared" si="5"/>
        <v>0.111</v>
      </c>
      <c r="Y12" s="13">
        <f t="shared" si="6"/>
        <v>0.95719717425214768</v>
      </c>
      <c r="Z12" s="9">
        <f t="shared" si="7"/>
        <v>0.93</v>
      </c>
      <c r="AA12" s="9">
        <f t="shared" si="8"/>
        <v>0.93</v>
      </c>
      <c r="AB12" s="9">
        <f t="shared" si="9"/>
        <v>0.90613148253634479</v>
      </c>
      <c r="AC12" s="9">
        <f t="shared" si="10"/>
        <v>0.94650888808388145</v>
      </c>
    </row>
    <row r="13" spans="1:31" x14ac:dyDescent="0.35">
      <c r="A13" s="7">
        <v>10</v>
      </c>
      <c r="B13" s="8" t="s">
        <v>7</v>
      </c>
      <c r="C13" s="7" t="s">
        <v>9</v>
      </c>
      <c r="D13" s="7" t="s">
        <v>5</v>
      </c>
      <c r="E13">
        <v>500.02888559708379</v>
      </c>
      <c r="F13">
        <v>0.35138558279728999</v>
      </c>
      <c r="G13">
        <v>0.9467140939598413</v>
      </c>
      <c r="H13">
        <v>0.96413588478583956</v>
      </c>
      <c r="I13">
        <v>0.93226749023587507</v>
      </c>
      <c r="J13">
        <f t="shared" si="0"/>
        <v>1.0532708265338633</v>
      </c>
      <c r="K13">
        <f t="shared" si="1"/>
        <v>1.072653514654885</v>
      </c>
      <c r="L13">
        <f t="shared" si="2"/>
        <v>0.98193014999139039</v>
      </c>
      <c r="M13">
        <v>44.326241134751783</v>
      </c>
      <c r="N13">
        <v>0.72920608838938017</v>
      </c>
      <c r="O13">
        <v>127</v>
      </c>
      <c r="P13">
        <v>76.199999999999989</v>
      </c>
      <c r="Q13">
        <v>4.7751999999999999</v>
      </c>
      <c r="R13">
        <f t="shared" si="3"/>
        <v>0.42440018107741062</v>
      </c>
      <c r="T13" t="s">
        <v>41</v>
      </c>
      <c r="W13" s="13">
        <f t="shared" si="4"/>
        <v>0.9282521142569965</v>
      </c>
      <c r="X13" s="9">
        <f t="shared" si="5"/>
        <v>0.111</v>
      </c>
      <c r="Y13" s="13">
        <f t="shared" si="6"/>
        <v>0.95763966385596888</v>
      </c>
      <c r="Z13" s="9">
        <f t="shared" si="7"/>
        <v>0.97</v>
      </c>
      <c r="AA13" s="9">
        <f t="shared" si="8"/>
        <v>0.97</v>
      </c>
      <c r="AB13" s="9">
        <f t="shared" si="9"/>
        <v>0.86226311139054268</v>
      </c>
      <c r="AC13" s="9">
        <f t="shared" si="10"/>
        <v>0.9107956846654055</v>
      </c>
    </row>
    <row r="14" spans="1:31" x14ac:dyDescent="0.35">
      <c r="A14" s="7">
        <v>11</v>
      </c>
      <c r="B14" s="8" t="s">
        <v>3</v>
      </c>
      <c r="C14" s="7" t="s">
        <v>9</v>
      </c>
      <c r="D14" s="7" t="s">
        <v>5</v>
      </c>
      <c r="E14">
        <v>970.5665293996808</v>
      </c>
      <c r="F14">
        <v>0.34054179802374657</v>
      </c>
      <c r="G14">
        <v>0.83582887046826604</v>
      </c>
      <c r="H14">
        <v>0.96874039990659866</v>
      </c>
      <c r="I14">
        <v>0.82658617317379823</v>
      </c>
      <c r="J14">
        <f t="shared" si="0"/>
        <v>1.0438108817290614</v>
      </c>
      <c r="K14">
        <f t="shared" si="1"/>
        <v>1.2097952185195091</v>
      </c>
      <c r="L14">
        <f t="shared" si="2"/>
        <v>0.86279964224559302</v>
      </c>
      <c r="M14">
        <v>31.914893617021278</v>
      </c>
      <c r="N14">
        <v>0.97785999477711305</v>
      </c>
      <c r="O14">
        <v>152.39999999999998</v>
      </c>
      <c r="P14">
        <v>152.39999999999998</v>
      </c>
      <c r="Q14">
        <v>4.7751999999999999</v>
      </c>
      <c r="R14">
        <f t="shared" si="3"/>
        <v>1.0185604345857853</v>
      </c>
      <c r="T14" t="s">
        <v>41</v>
      </c>
      <c r="W14" s="13">
        <f t="shared" si="4"/>
        <v>0.79438844575593193</v>
      </c>
      <c r="X14" s="9">
        <f t="shared" si="5"/>
        <v>0.111</v>
      </c>
      <c r="Y14" s="13">
        <f t="shared" si="6"/>
        <v>0.95920389636023373</v>
      </c>
      <c r="Z14" s="9">
        <f t="shared" si="7"/>
        <v>0.97</v>
      </c>
      <c r="AA14" s="9">
        <f t="shared" si="8"/>
        <v>0.97</v>
      </c>
      <c r="AB14" s="9">
        <f t="shared" si="9"/>
        <v>0.73912107762086088</v>
      </c>
      <c r="AC14" s="9">
        <f t="shared" si="10"/>
        <v>0.88429713753100503</v>
      </c>
    </row>
    <row r="15" spans="1:31" x14ac:dyDescent="0.35">
      <c r="A15" s="7">
        <v>12</v>
      </c>
      <c r="B15" s="8" t="s">
        <v>13</v>
      </c>
      <c r="C15" s="7" t="s">
        <v>23</v>
      </c>
      <c r="D15" s="7" t="s">
        <v>5</v>
      </c>
      <c r="E15">
        <v>351.47445234776876</v>
      </c>
      <c r="F15">
        <v>0.41682654541392183</v>
      </c>
      <c r="G15">
        <v>0.70258068434641308</v>
      </c>
      <c r="H15">
        <v>0.96756120875198726</v>
      </c>
      <c r="I15">
        <v>0.69908870985217864</v>
      </c>
      <c r="J15">
        <f t="shared" si="0"/>
        <v>1.038688848474328</v>
      </c>
      <c r="K15">
        <f t="shared" si="1"/>
        <v>1.4304336286756063</v>
      </c>
      <c r="L15">
        <f t="shared" si="2"/>
        <v>0.72613564701776301</v>
      </c>
      <c r="M15">
        <v>143.99999999999997</v>
      </c>
      <c r="N15">
        <v>1.2486021351446748</v>
      </c>
      <c r="O15">
        <v>152.39999999999998</v>
      </c>
      <c r="P15">
        <v>50.8</v>
      </c>
      <c r="Q15">
        <v>3.1749999999999998</v>
      </c>
      <c r="R15">
        <f t="shared" si="3"/>
        <v>0.7679999999999999</v>
      </c>
      <c r="T15" t="s">
        <v>41</v>
      </c>
      <c r="W15" s="13">
        <f t="shared" si="4"/>
        <v>0.69817199583094369</v>
      </c>
      <c r="X15" s="9">
        <f t="shared" si="5"/>
        <v>0.111</v>
      </c>
      <c r="Y15" s="13">
        <f t="shared" si="6"/>
        <v>0.94752089635614212</v>
      </c>
      <c r="Z15" s="9">
        <f t="shared" si="7"/>
        <v>1</v>
      </c>
      <c r="AA15" s="9">
        <f t="shared" si="8"/>
        <v>1</v>
      </c>
      <c r="AB15" s="9">
        <f t="shared" si="9"/>
        <v>0.66153255530049249</v>
      </c>
      <c r="AC15" s="9">
        <f t="shared" si="10"/>
        <v>0.94157520985065757</v>
      </c>
    </row>
    <row r="16" spans="1:31" x14ac:dyDescent="0.35">
      <c r="A16" s="7">
        <v>13</v>
      </c>
      <c r="B16" s="8" t="s">
        <v>12</v>
      </c>
      <c r="C16" s="7" t="s">
        <v>22</v>
      </c>
      <c r="D16" s="7" t="s">
        <v>5</v>
      </c>
      <c r="E16">
        <v>312.07239050472913</v>
      </c>
      <c r="F16">
        <v>0.49471595713976174</v>
      </c>
      <c r="G16">
        <v>0.61902070557126121</v>
      </c>
      <c r="H16">
        <v>0.96893651276041304</v>
      </c>
      <c r="I16">
        <v>0.61817169335414068</v>
      </c>
      <c r="J16">
        <f t="shared" si="0"/>
        <v>1.0334768185766907</v>
      </c>
      <c r="K16">
        <f t="shared" si="1"/>
        <v>1.6176735537243632</v>
      </c>
      <c r="L16">
        <f t="shared" si="2"/>
        <v>0.6388661149818029</v>
      </c>
      <c r="M16">
        <v>205.71428571428569</v>
      </c>
      <c r="N16">
        <v>1.5433014163427179</v>
      </c>
      <c r="O16">
        <v>152.39999999999998</v>
      </c>
      <c r="P16">
        <v>44.449999999999996</v>
      </c>
      <c r="Q16">
        <v>2.54</v>
      </c>
      <c r="R16">
        <f t="shared" si="3"/>
        <v>1.0499999999999998</v>
      </c>
      <c r="T16" t="s">
        <v>41</v>
      </c>
      <c r="W16" s="13">
        <f t="shared" si="4"/>
        <v>0.61304951572697841</v>
      </c>
      <c r="X16" s="9">
        <f t="shared" si="5"/>
        <v>0.111</v>
      </c>
      <c r="Y16" s="13">
        <f t="shared" si="6"/>
        <v>0.93355354801193713</v>
      </c>
      <c r="Z16" s="9">
        <f t="shared" si="7"/>
        <v>1</v>
      </c>
      <c r="AA16" s="9">
        <f t="shared" si="8"/>
        <v>1</v>
      </c>
      <c r="AB16" s="9">
        <f t="shared" si="9"/>
        <v>0.57231455051392055</v>
      </c>
      <c r="AC16" s="9">
        <f t="shared" si="10"/>
        <v>0.92454831536816195</v>
      </c>
    </row>
    <row r="17" spans="1:29" x14ac:dyDescent="0.35">
      <c r="A17" s="7">
        <v>14</v>
      </c>
      <c r="B17" s="8" t="s">
        <v>17</v>
      </c>
      <c r="C17" s="7" t="s">
        <v>14</v>
      </c>
      <c r="D17" s="7" t="s">
        <v>5</v>
      </c>
      <c r="E17">
        <v>3076.5159873864936</v>
      </c>
      <c r="F17">
        <v>0.66475925712916917</v>
      </c>
      <c r="G17">
        <v>0.83330994393426305</v>
      </c>
      <c r="H17">
        <v>0.83416448329712678</v>
      </c>
      <c r="I17">
        <v>1.0195426195426194</v>
      </c>
      <c r="J17">
        <f t="shared" si="0"/>
        <v>0.9798271846194837</v>
      </c>
      <c r="K17">
        <f t="shared" si="1"/>
        <v>0.98083197389885823</v>
      </c>
      <c r="L17">
        <f t="shared" si="2"/>
        <v>0.99897557450601815</v>
      </c>
      <c r="M17">
        <v>3.75</v>
      </c>
      <c r="N17">
        <v>0.22278490000813553</v>
      </c>
      <c r="O17">
        <v>300</v>
      </c>
      <c r="P17">
        <v>300</v>
      </c>
      <c r="Q17">
        <v>80</v>
      </c>
      <c r="R17">
        <f t="shared" si="3"/>
        <v>1.40625E-2</v>
      </c>
      <c r="T17" t="s">
        <v>41</v>
      </c>
      <c r="W17" s="13">
        <f t="shared" si="4"/>
        <v>1.0641265669986171</v>
      </c>
      <c r="X17" s="9">
        <f t="shared" si="5"/>
        <v>0.111</v>
      </c>
      <c r="Y17" s="13">
        <f t="shared" si="6"/>
        <v>0.89146329559103177</v>
      </c>
      <c r="Z17" s="9">
        <f t="shared" si="7"/>
        <v>0.93</v>
      </c>
      <c r="AA17" s="9">
        <f t="shared" si="8"/>
        <v>0.93069790700503296</v>
      </c>
      <c r="AB17" s="9">
        <f t="shared" si="9"/>
        <v>0.88288774736467135</v>
      </c>
      <c r="AC17" s="9">
        <f t="shared" si="10"/>
        <v>1.059495033980201</v>
      </c>
    </row>
    <row r="18" spans="1:29" x14ac:dyDescent="0.35">
      <c r="A18" s="7">
        <v>15</v>
      </c>
      <c r="B18" s="8" t="s">
        <v>24</v>
      </c>
      <c r="C18" s="7" t="s">
        <v>23</v>
      </c>
      <c r="D18" s="7" t="s">
        <v>5</v>
      </c>
      <c r="E18">
        <v>1609.2897668834066</v>
      </c>
      <c r="F18">
        <v>0.65832362144919243</v>
      </c>
      <c r="G18">
        <v>0.86335279836605827</v>
      </c>
      <c r="H18">
        <v>0.86454783639462018</v>
      </c>
      <c r="I18">
        <v>1.1440173168380969</v>
      </c>
      <c r="J18">
        <f t="shared" si="0"/>
        <v>0.87290438343108012</v>
      </c>
      <c r="K18">
        <f t="shared" si="1"/>
        <v>0.87411264259867971</v>
      </c>
      <c r="L18">
        <f t="shared" si="2"/>
        <v>0.99861773058903769</v>
      </c>
      <c r="M18">
        <v>9.9206349206349209</v>
      </c>
      <c r="N18">
        <v>0.28586452749971264</v>
      </c>
      <c r="O18">
        <v>250</v>
      </c>
      <c r="P18">
        <v>150</v>
      </c>
      <c r="Q18">
        <v>42</v>
      </c>
      <c r="R18">
        <f t="shared" si="3"/>
        <v>2.1258503401360547E-2</v>
      </c>
      <c r="T18" t="s">
        <v>41</v>
      </c>
      <c r="W18" s="13">
        <f t="shared" si="4"/>
        <v>1.053403030325049</v>
      </c>
      <c r="X18" s="9">
        <f t="shared" si="5"/>
        <v>0.111</v>
      </c>
      <c r="Y18" s="13">
        <f t="shared" si="6"/>
        <v>0.89345633195056784</v>
      </c>
      <c r="Z18" s="9">
        <f t="shared" si="7"/>
        <v>0.93</v>
      </c>
      <c r="AA18" s="9">
        <f t="shared" si="8"/>
        <v>0.93122528169869723</v>
      </c>
      <c r="AB18" s="9">
        <f t="shared" si="9"/>
        <v>0.87644093290753144</v>
      </c>
      <c r="AC18" s="9">
        <f t="shared" si="10"/>
        <v>1.0151596596040959</v>
      </c>
    </row>
    <row r="19" spans="1:29" x14ac:dyDescent="0.35">
      <c r="A19" s="7">
        <v>16</v>
      </c>
      <c r="B19" s="8" t="s">
        <v>15</v>
      </c>
      <c r="C19" s="7" t="s">
        <v>14</v>
      </c>
      <c r="D19" s="7" t="s">
        <v>5</v>
      </c>
      <c r="E19">
        <v>2862.7736121730923</v>
      </c>
      <c r="F19">
        <v>0.63108264317112994</v>
      </c>
      <c r="G19">
        <v>0.87188128169901735</v>
      </c>
      <c r="H19">
        <v>0.87238144673089568</v>
      </c>
      <c r="I19" t="s">
        <v>30</v>
      </c>
      <c r="J19" t="e">
        <f t="shared" si="0"/>
        <v>#VALUE!</v>
      </c>
      <c r="K19" t="e">
        <f t="shared" si="1"/>
        <v>#VALUE!</v>
      </c>
      <c r="L19" t="e">
        <f t="shared" si="2"/>
        <v>#VALUE!</v>
      </c>
      <c r="M19">
        <v>7.1428571428571432</v>
      </c>
      <c r="N19">
        <v>0.23457435445571082</v>
      </c>
      <c r="O19">
        <v>250</v>
      </c>
      <c r="P19">
        <v>250</v>
      </c>
      <c r="Q19">
        <v>35</v>
      </c>
      <c r="R19">
        <f t="shared" si="3"/>
        <v>5.1020408163265307E-2</v>
      </c>
      <c r="T19" t="s">
        <v>41</v>
      </c>
      <c r="W19" s="13">
        <f t="shared" si="4"/>
        <v>1.0621223597425293</v>
      </c>
      <c r="X19" s="9">
        <f t="shared" si="5"/>
        <v>0.111</v>
      </c>
      <c r="Y19" s="13">
        <f t="shared" si="6"/>
        <v>0.90147961472384064</v>
      </c>
      <c r="Z19" s="9">
        <f t="shared" si="7"/>
        <v>0.93</v>
      </c>
      <c r="AA19" s="9">
        <f t="shared" si="8"/>
        <v>0.930394735937769</v>
      </c>
      <c r="AB19" s="9">
        <f t="shared" si="9"/>
        <v>0.89083589217399251</v>
      </c>
      <c r="AC19" s="9">
        <f t="shared" si="10"/>
        <v>1.0217398983930917</v>
      </c>
    </row>
    <row r="20" spans="1:29" x14ac:dyDescent="0.35">
      <c r="A20" s="7">
        <v>17</v>
      </c>
      <c r="B20" s="8" t="s">
        <v>11</v>
      </c>
      <c r="C20" s="7" t="s">
        <v>22</v>
      </c>
      <c r="D20" s="7" t="s">
        <v>5</v>
      </c>
      <c r="E20">
        <v>602.47753528670535</v>
      </c>
      <c r="F20">
        <v>0.64422678650721921</v>
      </c>
      <c r="G20">
        <v>0.88646120270965734</v>
      </c>
      <c r="H20">
        <v>0.88737473708955494</v>
      </c>
      <c r="I20">
        <v>1.084498874027972</v>
      </c>
      <c r="J20">
        <f t="shared" si="0"/>
        <v>0.92113559922381827</v>
      </c>
      <c r="K20">
        <f t="shared" si="1"/>
        <v>0.92208486698180514</v>
      </c>
      <c r="L20">
        <f t="shared" si="2"/>
        <v>0.99897052018531218</v>
      </c>
      <c r="M20">
        <v>21.333333333333336</v>
      </c>
      <c r="N20">
        <v>0.32083911768776124</v>
      </c>
      <c r="O20">
        <v>101.6</v>
      </c>
      <c r="P20">
        <v>50.8</v>
      </c>
      <c r="Q20">
        <v>9.5249999999999986</v>
      </c>
      <c r="R20">
        <f t="shared" si="3"/>
        <v>5.6888888888888899E-2</v>
      </c>
      <c r="T20" t="s">
        <v>41</v>
      </c>
      <c r="W20" s="13">
        <f t="shared" si="4"/>
        <v>1.0474573499930806</v>
      </c>
      <c r="X20" s="9">
        <f t="shared" si="5"/>
        <v>0.111</v>
      </c>
      <c r="Y20" s="13">
        <f t="shared" si="6"/>
        <v>0.89768951322568791</v>
      </c>
      <c r="Z20" s="9">
        <f t="shared" si="7"/>
        <v>0.93</v>
      </c>
      <c r="AA20" s="9">
        <f t="shared" si="8"/>
        <v>0.93117743784309592</v>
      </c>
      <c r="AB20" s="9">
        <f t="shared" si="9"/>
        <v>0.87557820990565183</v>
      </c>
      <c r="AC20" s="9">
        <f t="shared" si="10"/>
        <v>0.98772310308591138</v>
      </c>
    </row>
    <row r="21" spans="1:29" x14ac:dyDescent="0.35">
      <c r="A21" s="7">
        <v>18</v>
      </c>
      <c r="B21" s="8" t="s">
        <v>8</v>
      </c>
      <c r="C21" s="7" t="s">
        <v>9</v>
      </c>
      <c r="D21" s="7" t="s">
        <v>5</v>
      </c>
      <c r="E21">
        <v>1241.5552041209169</v>
      </c>
      <c r="F21">
        <v>0.63177229416296687</v>
      </c>
      <c r="G21">
        <v>0.8914208454601853</v>
      </c>
      <c r="H21">
        <v>0.89211893901374362</v>
      </c>
      <c r="I21">
        <v>1.0413746964503248</v>
      </c>
      <c r="J21">
        <f t="shared" si="0"/>
        <v>0.95951773329467926</v>
      </c>
      <c r="K21">
        <f t="shared" si="1"/>
        <v>0.96026915519326872</v>
      </c>
      <c r="L21">
        <f t="shared" si="2"/>
        <v>0.99921748824845025</v>
      </c>
      <c r="M21">
        <v>17.999999999999996</v>
      </c>
      <c r="N21">
        <v>0.34216420507019119</v>
      </c>
      <c r="O21">
        <v>152.39999999999998</v>
      </c>
      <c r="P21">
        <v>101.6</v>
      </c>
      <c r="Q21">
        <v>12.7</v>
      </c>
      <c r="R21">
        <f t="shared" si="3"/>
        <v>9.5999999999999988E-2</v>
      </c>
      <c r="T21" t="s">
        <v>41</v>
      </c>
      <c r="W21" s="13">
        <f t="shared" si="4"/>
        <v>1.0438320851380676</v>
      </c>
      <c r="X21" s="9">
        <f t="shared" si="5"/>
        <v>0.111</v>
      </c>
      <c r="Y21" s="13">
        <f t="shared" si="6"/>
        <v>0.90128439347375322</v>
      </c>
      <c r="Z21" s="9">
        <f t="shared" si="7"/>
        <v>0.93</v>
      </c>
      <c r="AA21" s="9">
        <f t="shared" si="8"/>
        <v>0.93095398910070948</v>
      </c>
      <c r="AB21" s="9">
        <f t="shared" si="9"/>
        <v>0.87583180099384617</v>
      </c>
      <c r="AC21" s="9">
        <f t="shared" si="10"/>
        <v>0.98251213829502559</v>
      </c>
    </row>
    <row r="22" spans="1:29" x14ac:dyDescent="0.35">
      <c r="A22" s="7">
        <v>19</v>
      </c>
      <c r="B22" s="8" t="s">
        <v>16</v>
      </c>
      <c r="C22" s="7" t="s">
        <v>14</v>
      </c>
      <c r="D22" s="7" t="s">
        <v>5</v>
      </c>
      <c r="E22">
        <v>3034.118241782297</v>
      </c>
      <c r="F22">
        <v>0.62258660873539096</v>
      </c>
      <c r="G22">
        <v>0.88540226482978945</v>
      </c>
      <c r="H22">
        <v>0.87721423496822581</v>
      </c>
      <c r="I22">
        <v>1.0155249931690029</v>
      </c>
      <c r="J22">
        <f t="shared" si="0"/>
        <v>0.99390377852397249</v>
      </c>
      <c r="K22">
        <f t="shared" si="1"/>
        <v>0.98471234753114611</v>
      </c>
      <c r="L22">
        <f t="shared" si="2"/>
        <v>1.0093341278962034</v>
      </c>
      <c r="M22">
        <v>12.5</v>
      </c>
      <c r="N22">
        <v>0.38895724243152341</v>
      </c>
      <c r="O22">
        <v>250</v>
      </c>
      <c r="P22">
        <v>250</v>
      </c>
      <c r="Q22">
        <v>20</v>
      </c>
      <c r="R22">
        <f t="shared" si="3"/>
        <v>0.15625</v>
      </c>
      <c r="T22" t="s">
        <v>41</v>
      </c>
      <c r="W22" s="13">
        <f t="shared" si="4"/>
        <v>1.0358772687866411</v>
      </c>
      <c r="X22" s="9">
        <f t="shared" si="5"/>
        <v>0.111</v>
      </c>
      <c r="Y22" s="13">
        <f t="shared" si="6"/>
        <v>0.90385246618294435</v>
      </c>
      <c r="Z22" s="9">
        <f t="shared" si="7"/>
        <v>0.93</v>
      </c>
      <c r="AA22" s="9">
        <f t="shared" si="8"/>
        <v>0.93084564463919051</v>
      </c>
      <c r="AB22" s="9">
        <f t="shared" si="9"/>
        <v>0.87153236872401496</v>
      </c>
      <c r="AC22" s="9">
        <f t="shared" si="10"/>
        <v>0.98433492136092415</v>
      </c>
    </row>
    <row r="23" spans="1:29" x14ac:dyDescent="0.35">
      <c r="A23" s="7">
        <v>20</v>
      </c>
      <c r="B23" s="8" t="s">
        <v>10</v>
      </c>
      <c r="C23" s="7" t="s">
        <v>22</v>
      </c>
      <c r="D23" s="7" t="s">
        <v>5</v>
      </c>
      <c r="E23">
        <v>472.08218472977586</v>
      </c>
      <c r="F23">
        <v>0.65114051677499962</v>
      </c>
      <c r="G23">
        <v>0.89307779958788436</v>
      </c>
      <c r="H23">
        <v>0.89484805271916834</v>
      </c>
      <c r="I23">
        <v>0.97189540344618819</v>
      </c>
      <c r="J23">
        <f t="shared" si="0"/>
        <v>1.0268818271425353</v>
      </c>
      <c r="K23">
        <f t="shared" si="1"/>
        <v>1.0289173057657823</v>
      </c>
      <c r="L23">
        <f t="shared" si="2"/>
        <v>0.99802172768225317</v>
      </c>
      <c r="M23">
        <v>42.666666666666671</v>
      </c>
      <c r="N23">
        <v>0.43255198362904806</v>
      </c>
      <c r="O23">
        <v>101.6</v>
      </c>
      <c r="P23">
        <v>38.099999999999994</v>
      </c>
      <c r="Q23">
        <v>6.35</v>
      </c>
      <c r="R23">
        <f t="shared" si="3"/>
        <v>9.5999999999999988E-2</v>
      </c>
      <c r="T23" t="s">
        <v>41</v>
      </c>
      <c r="W23" s="13">
        <f t="shared" si="4"/>
        <v>1.028466162783062</v>
      </c>
      <c r="X23" s="9">
        <f t="shared" si="5"/>
        <v>0.111</v>
      </c>
      <c r="Y23" s="13">
        <f t="shared" si="6"/>
        <v>0.89563570361748224</v>
      </c>
      <c r="Z23" s="9">
        <f t="shared" si="7"/>
        <v>0.93</v>
      </c>
      <c r="AA23" s="9">
        <f t="shared" si="8"/>
        <v>0.93226464555968458</v>
      </c>
      <c r="AB23" s="9">
        <f t="shared" si="9"/>
        <v>0.85873787954021352</v>
      </c>
      <c r="AC23" s="9">
        <f t="shared" si="10"/>
        <v>0.96154879220654998</v>
      </c>
    </row>
    <row r="24" spans="1:29" x14ac:dyDescent="0.35">
      <c r="A24" s="7">
        <v>21</v>
      </c>
      <c r="B24" s="8" t="s">
        <v>18</v>
      </c>
      <c r="C24" s="7" t="s">
        <v>14</v>
      </c>
      <c r="D24" s="7" t="s">
        <v>5</v>
      </c>
      <c r="E24">
        <v>1844.5991752344344</v>
      </c>
      <c r="F24">
        <v>0.62112043493460412</v>
      </c>
      <c r="G24">
        <v>0.88780659122005801</v>
      </c>
      <c r="H24">
        <v>0.88903409481068696</v>
      </c>
      <c r="I24">
        <v>0.99295242255224792</v>
      </c>
      <c r="J24">
        <f t="shared" si="0"/>
        <v>1.005707082563819</v>
      </c>
      <c r="K24">
        <f t="shared" si="1"/>
        <v>1.0070975983216166</v>
      </c>
      <c r="L24">
        <f t="shared" si="2"/>
        <v>0.99861928400969779</v>
      </c>
      <c r="M24">
        <v>15</v>
      </c>
      <c r="N24">
        <v>0.4636648591171596</v>
      </c>
      <c r="O24">
        <v>150</v>
      </c>
      <c r="P24">
        <v>150</v>
      </c>
      <c r="Q24">
        <v>10</v>
      </c>
      <c r="R24">
        <f t="shared" si="3"/>
        <v>0.22500000000000001</v>
      </c>
      <c r="T24" t="s">
        <v>41</v>
      </c>
      <c r="W24" s="13">
        <f t="shared" si="4"/>
        <v>1.0231769739500829</v>
      </c>
      <c r="X24" s="9">
        <f t="shared" si="5"/>
        <v>0.111</v>
      </c>
      <c r="Y24" s="13">
        <f t="shared" si="6"/>
        <v>0.90425602066618138</v>
      </c>
      <c r="Z24" s="9">
        <f t="shared" si="7"/>
        <v>0.93</v>
      </c>
      <c r="AA24" s="9">
        <f t="shared" si="8"/>
        <v>0.93103761751958203</v>
      </c>
      <c r="AB24" s="9">
        <f t="shared" si="9"/>
        <v>0.86140898137063693</v>
      </c>
      <c r="AC24" s="9">
        <f t="shared" si="10"/>
        <v>0.97026648584220976</v>
      </c>
    </row>
    <row r="25" spans="1:29" x14ac:dyDescent="0.35">
      <c r="A25" s="7">
        <v>22</v>
      </c>
      <c r="B25" s="8" t="s">
        <v>25</v>
      </c>
      <c r="C25" s="7" t="s">
        <v>23</v>
      </c>
      <c r="D25" s="7" t="s">
        <v>5</v>
      </c>
      <c r="E25">
        <v>1276.269691855533</v>
      </c>
      <c r="F25">
        <v>0.63266145777590554</v>
      </c>
      <c r="G25">
        <v>0.89680073388061821</v>
      </c>
      <c r="H25">
        <v>0.89883723833234408</v>
      </c>
      <c r="I25">
        <v>0.96994205697730562</v>
      </c>
      <c r="J25">
        <f t="shared" si="0"/>
        <v>1.0286534983176647</v>
      </c>
      <c r="K25">
        <f t="shared" si="1"/>
        <v>1.0309894212818917</v>
      </c>
      <c r="L25">
        <f t="shared" si="2"/>
        <v>0.99773429007513714</v>
      </c>
      <c r="M25">
        <v>32.4</v>
      </c>
      <c r="N25">
        <v>0.49468176913818818</v>
      </c>
      <c r="O25">
        <v>180</v>
      </c>
      <c r="P25">
        <v>100</v>
      </c>
      <c r="Q25">
        <v>10</v>
      </c>
      <c r="R25">
        <f t="shared" si="3"/>
        <v>0.18</v>
      </c>
      <c r="T25" t="s">
        <v>41</v>
      </c>
      <c r="W25" s="13">
        <f t="shared" si="4"/>
        <v>1.017904099246508</v>
      </c>
      <c r="X25" s="9">
        <f t="shared" si="5"/>
        <v>0.111</v>
      </c>
      <c r="Y25" s="13">
        <f t="shared" si="6"/>
        <v>0.90103210984039228</v>
      </c>
      <c r="Z25" s="9">
        <f t="shared" si="7"/>
        <v>0.93</v>
      </c>
      <c r="AA25" s="9">
        <f t="shared" si="8"/>
        <v>0.93176138383607421</v>
      </c>
      <c r="AB25" s="9">
        <f t="shared" si="9"/>
        <v>0.85457825702269097</v>
      </c>
      <c r="AC25" s="9">
        <f t="shared" si="10"/>
        <v>0.95291877530560998</v>
      </c>
    </row>
    <row r="26" spans="1:29" x14ac:dyDescent="0.35">
      <c r="A26" s="7">
        <v>23</v>
      </c>
      <c r="B26" s="8" t="s">
        <v>7</v>
      </c>
      <c r="C26" s="7" t="s">
        <v>9</v>
      </c>
      <c r="D26" s="7" t="s">
        <v>5</v>
      </c>
      <c r="E26">
        <v>1000.0577711941676</v>
      </c>
      <c r="F26">
        <v>0.62806070302572747</v>
      </c>
      <c r="G26">
        <v>0.89327708468504841</v>
      </c>
      <c r="H26">
        <v>0.90280900122394359</v>
      </c>
      <c r="I26">
        <v>0.93226749023587507</v>
      </c>
      <c r="J26">
        <f t="shared" si="0"/>
        <v>1.0613283686240171</v>
      </c>
      <c r="K26">
        <f t="shared" si="1"/>
        <v>1.072653514654885</v>
      </c>
      <c r="L26">
        <f t="shared" si="2"/>
        <v>0.98944193453324802</v>
      </c>
      <c r="M26">
        <v>44.326241134751783</v>
      </c>
      <c r="N26">
        <v>0.72920608838938017</v>
      </c>
      <c r="O26">
        <v>127</v>
      </c>
      <c r="P26">
        <v>76.199999999999989</v>
      </c>
      <c r="Q26">
        <v>4.7751999999999999</v>
      </c>
      <c r="R26">
        <f t="shared" si="3"/>
        <v>0.42440018107741062</v>
      </c>
      <c r="T26" t="s">
        <v>41</v>
      </c>
      <c r="W26" s="13">
        <f t="shared" si="4"/>
        <v>0.9282521142569965</v>
      </c>
      <c r="X26" s="9">
        <f t="shared" si="5"/>
        <v>0.111</v>
      </c>
      <c r="Y26" s="13">
        <f t="shared" si="6"/>
        <v>0.90233039028086426</v>
      </c>
      <c r="Z26" s="9">
        <f t="shared" si="7"/>
        <v>0.97</v>
      </c>
      <c r="AA26" s="9">
        <f t="shared" si="8"/>
        <v>0.97267937464246701</v>
      </c>
      <c r="AB26" s="9">
        <f t="shared" si="9"/>
        <v>0.81470660741518053</v>
      </c>
      <c r="AC26" s="9">
        <f t="shared" si="10"/>
        <v>0.91204243496566328</v>
      </c>
    </row>
    <row r="27" spans="1:29" x14ac:dyDescent="0.35">
      <c r="A27" s="7">
        <v>24</v>
      </c>
      <c r="B27" s="8" t="s">
        <v>3</v>
      </c>
      <c r="C27" s="7" t="s">
        <v>9</v>
      </c>
      <c r="D27" s="7" t="s">
        <v>5</v>
      </c>
      <c r="E27">
        <v>1941.1330587993616</v>
      </c>
      <c r="F27">
        <v>0.61799012309234203</v>
      </c>
      <c r="G27">
        <v>0.81604074989227149</v>
      </c>
      <c r="H27">
        <v>0.89154198451715005</v>
      </c>
      <c r="I27">
        <v>0.82658617317379823</v>
      </c>
      <c r="J27">
        <f t="shared" si="0"/>
        <v>1.1073423512089839</v>
      </c>
      <c r="K27">
        <f t="shared" si="1"/>
        <v>1.2097952185195091</v>
      </c>
      <c r="L27">
        <f t="shared" si="2"/>
        <v>0.91531387647911011</v>
      </c>
      <c r="M27">
        <v>31.914893617021278</v>
      </c>
      <c r="N27">
        <v>0.97785999477711305</v>
      </c>
      <c r="O27">
        <v>152.39999999999998</v>
      </c>
      <c r="P27">
        <v>152.39999999999998</v>
      </c>
      <c r="Q27">
        <v>4.7751999999999999</v>
      </c>
      <c r="R27">
        <f t="shared" si="3"/>
        <v>1.0185604345857853</v>
      </c>
      <c r="T27" t="s">
        <v>41</v>
      </c>
      <c r="W27" s="13">
        <f t="shared" si="4"/>
        <v>0.79438844575593193</v>
      </c>
      <c r="X27" s="9">
        <f t="shared" si="5"/>
        <v>0.111</v>
      </c>
      <c r="Y27" s="13">
        <f t="shared" si="6"/>
        <v>0.9051118746279998</v>
      </c>
      <c r="Z27" s="9">
        <f t="shared" si="7"/>
        <v>0.97</v>
      </c>
      <c r="AA27" s="9">
        <f t="shared" si="8"/>
        <v>0.97367441076298222</v>
      </c>
      <c r="AB27" s="9">
        <f t="shared" si="9"/>
        <v>0.70008204247009709</v>
      </c>
      <c r="AC27" s="9">
        <f t="shared" si="10"/>
        <v>0.85790083713652465</v>
      </c>
    </row>
    <row r="28" spans="1:29" x14ac:dyDescent="0.35">
      <c r="A28" s="7">
        <v>25</v>
      </c>
      <c r="B28" s="8" t="s">
        <v>13</v>
      </c>
      <c r="C28" s="7" t="s">
        <v>23</v>
      </c>
      <c r="D28" s="7" t="s">
        <v>5</v>
      </c>
      <c r="E28">
        <v>702.94890469553752</v>
      </c>
      <c r="F28">
        <v>0.64864204900431999</v>
      </c>
      <c r="G28">
        <v>0.65501772191877916</v>
      </c>
      <c r="H28">
        <v>0.90629652704254571</v>
      </c>
      <c r="I28">
        <v>0.69908870985217864</v>
      </c>
      <c r="J28">
        <f t="shared" si="0"/>
        <v>1.0338331317109013</v>
      </c>
      <c r="K28">
        <f t="shared" si="1"/>
        <v>1.4304336286756063</v>
      </c>
      <c r="L28">
        <f t="shared" si="2"/>
        <v>0.7227410702502115</v>
      </c>
      <c r="M28">
        <v>143.99999999999997</v>
      </c>
      <c r="N28">
        <v>1.2486021351446748</v>
      </c>
      <c r="O28">
        <v>152.39999999999998</v>
      </c>
      <c r="P28">
        <v>50.8</v>
      </c>
      <c r="Q28">
        <v>3.1749999999999998</v>
      </c>
      <c r="R28">
        <f t="shared" si="3"/>
        <v>0.7679999999999999</v>
      </c>
      <c r="T28" t="s">
        <v>41</v>
      </c>
      <c r="W28" s="13">
        <f t="shared" si="4"/>
        <v>0.69817199583094369</v>
      </c>
      <c r="X28" s="9">
        <f t="shared" si="5"/>
        <v>0.111</v>
      </c>
      <c r="Y28" s="13">
        <f t="shared" si="6"/>
        <v>0.89638280522084879</v>
      </c>
      <c r="Z28" s="9">
        <f t="shared" si="7"/>
        <v>1</v>
      </c>
      <c r="AA28" s="9">
        <f t="shared" si="8"/>
        <v>1.0124304227549965</v>
      </c>
      <c r="AB28" s="9">
        <f t="shared" si="9"/>
        <v>0.63360869581789336</v>
      </c>
      <c r="AC28" s="9">
        <f t="shared" si="10"/>
        <v>0.96731534829596488</v>
      </c>
    </row>
    <row r="29" spans="1:29" x14ac:dyDescent="0.35">
      <c r="A29" s="7">
        <v>26</v>
      </c>
      <c r="B29" s="8" t="s">
        <v>12</v>
      </c>
      <c r="C29" s="7" t="s">
        <v>22</v>
      </c>
      <c r="D29" s="7" t="s">
        <v>5</v>
      </c>
      <c r="E29">
        <v>624.14478100945826</v>
      </c>
      <c r="F29">
        <v>0.65618568561485846</v>
      </c>
      <c r="G29">
        <v>0.57080211463716723</v>
      </c>
      <c r="H29">
        <v>0.90681848839115509</v>
      </c>
      <c r="I29">
        <v>0.61817169335414068</v>
      </c>
      <c r="J29">
        <f t="shared" si="0"/>
        <v>1.0182539252113179</v>
      </c>
      <c r="K29">
        <f t="shared" si="1"/>
        <v>1.6176735537243632</v>
      </c>
      <c r="L29">
        <f t="shared" si="2"/>
        <v>0.6294557532123809</v>
      </c>
      <c r="M29">
        <v>205.71428571428569</v>
      </c>
      <c r="N29">
        <v>1.5433014163427179</v>
      </c>
      <c r="O29">
        <v>152.39999999999998</v>
      </c>
      <c r="P29">
        <v>44.449999999999996</v>
      </c>
      <c r="Q29">
        <v>2.54</v>
      </c>
      <c r="R29">
        <f t="shared" si="3"/>
        <v>1.0499999999999998</v>
      </c>
      <c r="T29" t="s">
        <v>41</v>
      </c>
      <c r="W29" s="13">
        <f t="shared" si="4"/>
        <v>0.61304951572697841</v>
      </c>
      <c r="X29" s="9">
        <f t="shared" si="5"/>
        <v>0.111</v>
      </c>
      <c r="Y29" s="13">
        <f t="shared" si="6"/>
        <v>0.8941099116071427</v>
      </c>
      <c r="Z29" s="9">
        <f t="shared" si="7"/>
        <v>1</v>
      </c>
      <c r="AA29" s="9">
        <f t="shared" si="8"/>
        <v>1.0176445402266054</v>
      </c>
      <c r="AB29" s="9">
        <f t="shared" si="9"/>
        <v>0.55780521452474352</v>
      </c>
      <c r="AC29" s="9">
        <f t="shared" si="10"/>
        <v>0.97723046257338197</v>
      </c>
    </row>
    <row r="30" spans="1:29" x14ac:dyDescent="0.35">
      <c r="A30" s="7">
        <v>27</v>
      </c>
      <c r="B30" s="8" t="s">
        <v>17</v>
      </c>
      <c r="C30" s="7" t="s">
        <v>14</v>
      </c>
      <c r="D30" s="7" t="s">
        <v>5</v>
      </c>
      <c r="E30">
        <v>4614.7739810797402</v>
      </c>
      <c r="F30">
        <v>0.98550481868304884</v>
      </c>
      <c r="G30">
        <v>0.69125915967970653</v>
      </c>
      <c r="H30">
        <v>0.69238027455302598</v>
      </c>
      <c r="I30">
        <v>1.0195426195426194</v>
      </c>
      <c r="J30">
        <f t="shared" si="0"/>
        <v>0.97924379272937712</v>
      </c>
      <c r="K30">
        <f t="shared" si="1"/>
        <v>0.98083197389885823</v>
      </c>
      <c r="L30">
        <f t="shared" si="2"/>
        <v>0.99838078161015897</v>
      </c>
      <c r="M30">
        <v>3.75</v>
      </c>
      <c r="N30">
        <v>0.22278490000813553</v>
      </c>
      <c r="O30">
        <v>300</v>
      </c>
      <c r="P30">
        <v>300</v>
      </c>
      <c r="Q30">
        <v>80</v>
      </c>
      <c r="R30">
        <f t="shared" si="3"/>
        <v>1.40625E-2</v>
      </c>
      <c r="T30" t="s">
        <v>41</v>
      </c>
      <c r="W30" s="13">
        <f t="shared" si="4"/>
        <v>1.0641265669986171</v>
      </c>
      <c r="X30" s="9">
        <f t="shared" si="5"/>
        <v>0.111</v>
      </c>
      <c r="Y30" s="13">
        <f t="shared" si="6"/>
        <v>0.72806943843188165</v>
      </c>
      <c r="Z30" s="9">
        <f t="shared" si="7"/>
        <v>0.93</v>
      </c>
      <c r="AA30" s="9">
        <f t="shared" si="8"/>
        <v>0.93415456454196522</v>
      </c>
      <c r="AB30" s="9">
        <f t="shared" si="9"/>
        <v>0.7237437520598492</v>
      </c>
      <c r="AC30" s="9">
        <f t="shared" si="10"/>
        <v>1.0469933626560468</v>
      </c>
    </row>
    <row r="31" spans="1:29" x14ac:dyDescent="0.35">
      <c r="A31" s="7">
        <v>28</v>
      </c>
      <c r="B31" s="8" t="s">
        <v>24</v>
      </c>
      <c r="C31" s="7" t="s">
        <v>23</v>
      </c>
      <c r="D31" s="7" t="s">
        <v>5</v>
      </c>
      <c r="E31">
        <v>2413.9346503251095</v>
      </c>
      <c r="F31">
        <v>0.96762544651359206</v>
      </c>
      <c r="G31">
        <v>0.74820295217179766</v>
      </c>
      <c r="H31">
        <v>0.75040866728147448</v>
      </c>
      <c r="I31">
        <v>1.1440173168380969</v>
      </c>
      <c r="J31">
        <f t="shared" si="0"/>
        <v>0.87154331797943696</v>
      </c>
      <c r="K31">
        <f t="shared" si="1"/>
        <v>0.87411264259867971</v>
      </c>
      <c r="L31">
        <f t="shared" si="2"/>
        <v>0.99706064814300788</v>
      </c>
      <c r="M31">
        <v>9.9206349206349209</v>
      </c>
      <c r="N31">
        <v>0.28586452749971264</v>
      </c>
      <c r="O31">
        <v>250</v>
      </c>
      <c r="P31">
        <v>150</v>
      </c>
      <c r="Q31">
        <v>42</v>
      </c>
      <c r="R31">
        <f t="shared" si="3"/>
        <v>2.1258503401360547E-2</v>
      </c>
      <c r="T31" t="s">
        <v>41</v>
      </c>
      <c r="W31" s="13">
        <f t="shared" si="4"/>
        <v>1.053403030325049</v>
      </c>
      <c r="X31" s="9">
        <f t="shared" si="5"/>
        <v>0.111</v>
      </c>
      <c r="Y31" s="13">
        <f t="shared" si="6"/>
        <v>0.74057086961140173</v>
      </c>
      <c r="Z31" s="9">
        <f t="shared" si="7"/>
        <v>0.93</v>
      </c>
      <c r="AA31" s="9">
        <f t="shared" si="8"/>
        <v>0.93772319551488892</v>
      </c>
      <c r="AB31" s="9">
        <f t="shared" si="9"/>
        <v>0.73153624252581262</v>
      </c>
      <c r="AC31" s="9">
        <f t="shared" si="10"/>
        <v>0.97772434658590046</v>
      </c>
    </row>
    <row r="32" spans="1:29" x14ac:dyDescent="0.35">
      <c r="A32" s="7">
        <v>29</v>
      </c>
      <c r="B32" s="8" t="s">
        <v>15</v>
      </c>
      <c r="C32" s="7" t="s">
        <v>14</v>
      </c>
      <c r="D32" s="7" t="s">
        <v>5</v>
      </c>
      <c r="E32">
        <v>4294.1604182596393</v>
      </c>
      <c r="F32">
        <v>0.93420844229430411</v>
      </c>
      <c r="G32">
        <v>0.73973491545597714</v>
      </c>
      <c r="H32">
        <v>0.74034028519090112</v>
      </c>
      <c r="I32" t="s">
        <v>30</v>
      </c>
      <c r="J32" t="e">
        <f t="shared" si="0"/>
        <v>#VALUE!</v>
      </c>
      <c r="K32" t="e">
        <f t="shared" si="1"/>
        <v>#VALUE!</v>
      </c>
      <c r="L32" t="e">
        <f t="shared" si="2"/>
        <v>#VALUE!</v>
      </c>
      <c r="M32">
        <v>7.1428571428571432</v>
      </c>
      <c r="N32">
        <v>0.23457435445571082</v>
      </c>
      <c r="O32">
        <v>250</v>
      </c>
      <c r="P32">
        <v>250</v>
      </c>
      <c r="Q32">
        <v>35</v>
      </c>
      <c r="R32">
        <f t="shared" si="3"/>
        <v>5.1020408163265307E-2</v>
      </c>
      <c r="T32" t="s">
        <v>41</v>
      </c>
      <c r="W32" s="13">
        <f t="shared" si="4"/>
        <v>1.0621223597425293</v>
      </c>
      <c r="X32" s="9">
        <f t="shared" si="5"/>
        <v>0.111</v>
      </c>
      <c r="Y32" s="13">
        <f t="shared" si="6"/>
        <v>0.76309255804858189</v>
      </c>
      <c r="Z32" s="9">
        <f t="shared" si="7"/>
        <v>0.93</v>
      </c>
      <c r="AA32" s="9">
        <f t="shared" si="8"/>
        <v>0.93424430065850594</v>
      </c>
      <c r="AB32" s="9">
        <f t="shared" si="9"/>
        <v>0.75720282745251377</v>
      </c>
      <c r="AC32" s="9">
        <f t="shared" si="10"/>
        <v>1.0236137454533552</v>
      </c>
    </row>
    <row r="33" spans="1:29" x14ac:dyDescent="0.35">
      <c r="A33" s="7">
        <v>30</v>
      </c>
      <c r="B33" s="8" t="s">
        <v>11</v>
      </c>
      <c r="C33" s="7" t="s">
        <v>22</v>
      </c>
      <c r="D33" s="7" t="s">
        <v>5</v>
      </c>
      <c r="E33">
        <v>903.71630293005819</v>
      </c>
      <c r="F33">
        <v>0.94169000298360384</v>
      </c>
      <c r="G33">
        <v>0.77936022445625641</v>
      </c>
      <c r="H33">
        <v>0.78117480451620447</v>
      </c>
      <c r="I33">
        <v>1.084498874027972</v>
      </c>
      <c r="J33">
        <f t="shared" si="0"/>
        <v>0.91994296890274296</v>
      </c>
      <c r="K33">
        <f t="shared" si="1"/>
        <v>0.92208486698180514</v>
      </c>
      <c r="L33">
        <f t="shared" si="2"/>
        <v>0.99767711394497438</v>
      </c>
      <c r="M33">
        <v>21.333333333333336</v>
      </c>
      <c r="N33">
        <v>0.32083911768776124</v>
      </c>
      <c r="O33">
        <v>101.6</v>
      </c>
      <c r="P33">
        <v>50.8</v>
      </c>
      <c r="Q33">
        <v>9.5249999999999986</v>
      </c>
      <c r="R33">
        <f t="shared" si="3"/>
        <v>5.6888888888888899E-2</v>
      </c>
      <c r="T33" t="s">
        <v>41</v>
      </c>
      <c r="W33" s="13">
        <f t="shared" si="4"/>
        <v>1.0474573499930806</v>
      </c>
      <c r="X33" s="9">
        <f t="shared" si="5"/>
        <v>0.111</v>
      </c>
      <c r="Y33" s="13">
        <f t="shared" si="6"/>
        <v>0.75815568554705015</v>
      </c>
      <c r="Z33" s="9">
        <f t="shared" si="7"/>
        <v>0.93</v>
      </c>
      <c r="AA33" s="9">
        <f t="shared" si="8"/>
        <v>0.9390967210573794</v>
      </c>
      <c r="AB33" s="9">
        <f t="shared" si="9"/>
        <v>0.74577027445310207</v>
      </c>
      <c r="AC33" s="9">
        <f t="shared" si="10"/>
        <v>0.95690061033511253</v>
      </c>
    </row>
    <row r="34" spans="1:29" x14ac:dyDescent="0.35">
      <c r="A34" s="7">
        <v>31</v>
      </c>
      <c r="B34" s="8" t="s">
        <v>8</v>
      </c>
      <c r="C34" s="7" t="s">
        <v>9</v>
      </c>
      <c r="D34" s="7" t="s">
        <v>5</v>
      </c>
      <c r="E34">
        <v>1862.3328061813756</v>
      </c>
      <c r="F34">
        <v>0.92966300076750841</v>
      </c>
      <c r="G34">
        <v>0.78413415199289482</v>
      </c>
      <c r="H34">
        <v>0.78515926081521326</v>
      </c>
      <c r="I34">
        <v>1.0413746964503248</v>
      </c>
      <c r="J34">
        <f t="shared" si="0"/>
        <v>0.95901542180194788</v>
      </c>
      <c r="K34">
        <f t="shared" si="1"/>
        <v>0.96026915519326872</v>
      </c>
      <c r="L34">
        <f t="shared" si="2"/>
        <v>0.99869439377018365</v>
      </c>
      <c r="M34">
        <v>17.999999999999996</v>
      </c>
      <c r="N34">
        <v>0.34216420507019119</v>
      </c>
      <c r="O34">
        <v>152.39999999999998</v>
      </c>
      <c r="P34">
        <v>101.6</v>
      </c>
      <c r="Q34">
        <v>12.7</v>
      </c>
      <c r="R34">
        <f t="shared" si="3"/>
        <v>9.5999999999999988E-2</v>
      </c>
      <c r="T34" t="s">
        <v>41</v>
      </c>
      <c r="W34" s="13">
        <f t="shared" si="4"/>
        <v>1.0438320851380676</v>
      </c>
      <c r="X34" s="9">
        <f t="shared" si="5"/>
        <v>0.111</v>
      </c>
      <c r="Y34" s="13">
        <f t="shared" si="6"/>
        <v>0.76606010938652136</v>
      </c>
      <c r="Z34" s="9">
        <f t="shared" si="7"/>
        <v>0.93</v>
      </c>
      <c r="AA34" s="9">
        <f t="shared" si="8"/>
        <v>0.9398984010416831</v>
      </c>
      <c r="AB34" s="9">
        <f t="shared" si="9"/>
        <v>0.75157859164255014</v>
      </c>
      <c r="AC34" s="9">
        <f t="shared" si="10"/>
        <v>0.95848215478486176</v>
      </c>
    </row>
    <row r="35" spans="1:29" x14ac:dyDescent="0.35">
      <c r="A35" s="7">
        <v>32</v>
      </c>
      <c r="B35" s="8" t="s">
        <v>16</v>
      </c>
      <c r="C35" s="7" t="s">
        <v>14</v>
      </c>
      <c r="D35" s="7" t="s">
        <v>5</v>
      </c>
      <c r="E35">
        <v>4551.1773626734457</v>
      </c>
      <c r="F35">
        <v>0.92132361806953866</v>
      </c>
      <c r="G35">
        <v>0.75408338462156743</v>
      </c>
      <c r="H35">
        <v>0.75502769158649041</v>
      </c>
      <c r="I35">
        <v>1.0155249931690029</v>
      </c>
      <c r="J35">
        <f t="shared" si="0"/>
        <v>0.98348077584366878</v>
      </c>
      <c r="K35">
        <f t="shared" si="1"/>
        <v>0.98471234753114611</v>
      </c>
      <c r="L35">
        <f t="shared" si="2"/>
        <v>0.99874930817048746</v>
      </c>
      <c r="M35">
        <v>12.5</v>
      </c>
      <c r="N35">
        <v>0.38895724243152341</v>
      </c>
      <c r="O35">
        <v>250</v>
      </c>
      <c r="P35">
        <v>250</v>
      </c>
      <c r="Q35">
        <v>20</v>
      </c>
      <c r="R35">
        <f t="shared" si="3"/>
        <v>0.15625</v>
      </c>
      <c r="T35" t="s">
        <v>41</v>
      </c>
      <c r="W35" s="13">
        <f t="shared" si="4"/>
        <v>1.0358772687866411</v>
      </c>
      <c r="X35" s="9">
        <f t="shared" si="5"/>
        <v>0.111</v>
      </c>
      <c r="Y35" s="13">
        <f t="shared" si="6"/>
        <v>0.77143992549325113</v>
      </c>
      <c r="Z35" s="9">
        <f t="shared" si="7"/>
        <v>0.93</v>
      </c>
      <c r="AA35" s="9">
        <f t="shared" si="8"/>
        <v>0.94203038482886647</v>
      </c>
      <c r="AB35" s="9">
        <f t="shared" si="9"/>
        <v>0.75279257327166238</v>
      </c>
      <c r="AC35" s="9">
        <f t="shared" si="10"/>
        <v>0.99828823791078114</v>
      </c>
    </row>
    <row r="36" spans="1:29" x14ac:dyDescent="0.35">
      <c r="A36" s="7">
        <v>33</v>
      </c>
      <c r="B36" s="8" t="s">
        <v>10</v>
      </c>
      <c r="C36" s="7" t="s">
        <v>22</v>
      </c>
      <c r="D36" s="7" t="s">
        <v>5</v>
      </c>
      <c r="E36">
        <v>708.12327709466388</v>
      </c>
      <c r="F36">
        <v>0.94255801154632746</v>
      </c>
      <c r="G36">
        <v>0.78546262763185903</v>
      </c>
      <c r="H36">
        <v>0.78903987126043695</v>
      </c>
      <c r="I36">
        <v>0.97189540344618819</v>
      </c>
      <c r="J36">
        <f t="shared" si="0"/>
        <v>1.0242525378491694</v>
      </c>
      <c r="K36">
        <f t="shared" si="1"/>
        <v>1.0289173057657823</v>
      </c>
      <c r="L36">
        <f t="shared" si="2"/>
        <v>0.99546633350370062</v>
      </c>
      <c r="M36">
        <v>42.666666666666671</v>
      </c>
      <c r="N36">
        <v>0.43255198362904806</v>
      </c>
      <c r="O36">
        <v>101.6</v>
      </c>
      <c r="P36">
        <v>38.099999999999994</v>
      </c>
      <c r="Q36">
        <v>6.35</v>
      </c>
      <c r="R36">
        <f t="shared" si="3"/>
        <v>9.5999999999999988E-2</v>
      </c>
      <c r="T36" t="s">
        <v>41</v>
      </c>
      <c r="W36" s="13">
        <f t="shared" si="4"/>
        <v>1.028466162783062</v>
      </c>
      <c r="X36" s="9">
        <f t="shared" si="5"/>
        <v>0.111</v>
      </c>
      <c r="Y36" s="13">
        <f t="shared" si="6"/>
        <v>0.75757877953707375</v>
      </c>
      <c r="Z36" s="9">
        <f t="shared" si="7"/>
        <v>0.93</v>
      </c>
      <c r="AA36" s="9">
        <f t="shared" si="8"/>
        <v>0.94516942981229335</v>
      </c>
      <c r="AB36" s="9">
        <f t="shared" si="9"/>
        <v>0.73642322292002604</v>
      </c>
      <c r="AC36" s="9">
        <f t="shared" si="10"/>
        <v>0.93756621513656868</v>
      </c>
    </row>
    <row r="37" spans="1:29" x14ac:dyDescent="0.35">
      <c r="A37" s="7">
        <v>34</v>
      </c>
      <c r="B37" s="8" t="s">
        <v>18</v>
      </c>
      <c r="C37" s="7" t="s">
        <v>14</v>
      </c>
      <c r="D37" s="7" t="s">
        <v>5</v>
      </c>
      <c r="E37">
        <v>2766.898762851652</v>
      </c>
      <c r="F37">
        <v>0.9191033840670102</v>
      </c>
      <c r="G37">
        <v>0.75638823183775972</v>
      </c>
      <c r="H37">
        <v>0.75781152008211861</v>
      </c>
      <c r="I37">
        <v>0.99295242255224792</v>
      </c>
      <c r="J37">
        <f t="shared" si="0"/>
        <v>1.0052061119366409</v>
      </c>
      <c r="K37">
        <f t="shared" si="1"/>
        <v>1.0070975983216166</v>
      </c>
      <c r="L37">
        <f t="shared" si="2"/>
        <v>0.99812184401181381</v>
      </c>
      <c r="M37">
        <v>15</v>
      </c>
      <c r="N37">
        <v>0.4636648591171596</v>
      </c>
      <c r="O37">
        <v>150</v>
      </c>
      <c r="P37">
        <v>150</v>
      </c>
      <c r="Q37">
        <v>10</v>
      </c>
      <c r="R37">
        <f t="shared" si="3"/>
        <v>0.22500000000000001</v>
      </c>
      <c r="T37" t="s">
        <v>41</v>
      </c>
      <c r="W37" s="13">
        <f t="shared" si="4"/>
        <v>1.0231769739500829</v>
      </c>
      <c r="X37" s="9">
        <f t="shared" si="5"/>
        <v>0.111</v>
      </c>
      <c r="Y37" s="13">
        <f t="shared" si="6"/>
        <v>0.77285780180238473</v>
      </c>
      <c r="Z37" s="9">
        <f t="shared" si="7"/>
        <v>0.93</v>
      </c>
      <c r="AA37" s="9">
        <f t="shared" si="8"/>
        <v>0.94567710432531604</v>
      </c>
      <c r="AB37" s="9">
        <f t="shared" si="9"/>
        <v>0.74781337405523551</v>
      </c>
      <c r="AC37" s="9">
        <f t="shared" si="10"/>
        <v>0.98866341724845419</v>
      </c>
    </row>
    <row r="38" spans="1:29" x14ac:dyDescent="0.35">
      <c r="A38" s="7">
        <v>35</v>
      </c>
      <c r="B38" s="8" t="s">
        <v>25</v>
      </c>
      <c r="C38" s="7" t="s">
        <v>23</v>
      </c>
      <c r="D38" s="7" t="s">
        <v>5</v>
      </c>
      <c r="E38">
        <v>1914.4045377832997</v>
      </c>
      <c r="F38">
        <v>0.92739106652817282</v>
      </c>
      <c r="G38">
        <v>0.79075432976181736</v>
      </c>
      <c r="H38">
        <v>0.79404706588280771</v>
      </c>
      <c r="I38">
        <v>0.96994205697730562</v>
      </c>
      <c r="J38">
        <f t="shared" si="0"/>
        <v>1.0267141380478437</v>
      </c>
      <c r="K38">
        <f t="shared" si="1"/>
        <v>1.0309894212818917</v>
      </c>
      <c r="L38">
        <f t="shared" si="2"/>
        <v>0.99585322298580692</v>
      </c>
      <c r="M38">
        <v>32.4</v>
      </c>
      <c r="N38">
        <v>0.49468176913818818</v>
      </c>
      <c r="O38">
        <v>180</v>
      </c>
      <c r="P38">
        <v>100</v>
      </c>
      <c r="Q38">
        <v>10</v>
      </c>
      <c r="R38">
        <f t="shared" si="3"/>
        <v>0.18</v>
      </c>
      <c r="T38" t="s">
        <v>41</v>
      </c>
      <c r="W38" s="13">
        <f t="shared" si="4"/>
        <v>1.017904099246508</v>
      </c>
      <c r="X38" s="9">
        <f t="shared" si="5"/>
        <v>0.111</v>
      </c>
      <c r="Y38" s="13">
        <f t="shared" si="6"/>
        <v>0.76753413544047644</v>
      </c>
      <c r="Z38" s="9">
        <f t="shared" si="7"/>
        <v>0.93</v>
      </c>
      <c r="AA38" s="9">
        <f t="shared" si="8"/>
        <v>0.94765571324508413</v>
      </c>
      <c r="AB38" s="9">
        <f t="shared" si="9"/>
        <v>0.74038080032421849</v>
      </c>
      <c r="AC38" s="9">
        <f t="shared" si="10"/>
        <v>0.93629686548441426</v>
      </c>
    </row>
    <row r="39" spans="1:29" x14ac:dyDescent="0.35">
      <c r="A39" s="7">
        <v>36</v>
      </c>
      <c r="B39" s="8" t="s">
        <v>7</v>
      </c>
      <c r="C39" s="7" t="s">
        <v>9</v>
      </c>
      <c r="D39" s="7" t="s">
        <v>5</v>
      </c>
      <c r="E39">
        <v>1500.0866567912515</v>
      </c>
      <c r="F39">
        <v>0.92215845890848136</v>
      </c>
      <c r="G39">
        <v>0.78614188562081833</v>
      </c>
      <c r="H39">
        <v>0.79796898161293728</v>
      </c>
      <c r="I39">
        <v>0.93226749023587507</v>
      </c>
      <c r="J39">
        <f t="shared" si="0"/>
        <v>1.0567551822930628</v>
      </c>
      <c r="K39">
        <f t="shared" si="1"/>
        <v>1.072653514654885</v>
      </c>
      <c r="L39">
        <f t="shared" si="2"/>
        <v>0.98517850159010822</v>
      </c>
      <c r="M39">
        <v>44.326241134751783</v>
      </c>
      <c r="N39">
        <v>0.72920608838938017</v>
      </c>
      <c r="O39">
        <v>127</v>
      </c>
      <c r="P39">
        <v>76.199999999999989</v>
      </c>
      <c r="Q39">
        <v>4.7751999999999999</v>
      </c>
      <c r="R39">
        <f t="shared" si="3"/>
        <v>0.42440018107741062</v>
      </c>
      <c r="T39" t="s">
        <v>41</v>
      </c>
      <c r="W39" s="13">
        <f t="shared" si="4"/>
        <v>0.9282521142569965</v>
      </c>
      <c r="X39" s="9">
        <f t="shared" si="5"/>
        <v>0.111</v>
      </c>
      <c r="Y39" s="13">
        <f t="shared" si="6"/>
        <v>0.77090519836745242</v>
      </c>
      <c r="Z39" s="9">
        <f t="shared" si="7"/>
        <v>0.97</v>
      </c>
      <c r="AA39" s="9">
        <f t="shared" si="8"/>
        <v>1.000761282241013</v>
      </c>
      <c r="AB39" s="9">
        <f t="shared" si="9"/>
        <v>0.71613914956976998</v>
      </c>
      <c r="AC39" s="9">
        <f t="shared" si="10"/>
        <v>0.91095406906634036</v>
      </c>
    </row>
    <row r="40" spans="1:29" x14ac:dyDescent="0.35">
      <c r="A40" s="7">
        <v>37</v>
      </c>
      <c r="B40" s="8" t="s">
        <v>3</v>
      </c>
      <c r="C40" s="7" t="s">
        <v>9</v>
      </c>
      <c r="D40" s="7" t="s">
        <v>5</v>
      </c>
      <c r="E40">
        <v>2911.699588199042</v>
      </c>
      <c r="F40">
        <v>0.91426446275688567</v>
      </c>
      <c r="G40">
        <v>0.71904750603651468</v>
      </c>
      <c r="H40">
        <v>0.75585103789173969</v>
      </c>
      <c r="I40">
        <v>0.82658617317379823</v>
      </c>
      <c r="J40">
        <f t="shared" si="0"/>
        <v>1.1508884569606808</v>
      </c>
      <c r="K40">
        <f t="shared" si="1"/>
        <v>1.2097952185195091</v>
      </c>
      <c r="L40">
        <f t="shared" si="2"/>
        <v>0.95130848538902668</v>
      </c>
      <c r="M40">
        <v>31.914893617021278</v>
      </c>
      <c r="N40">
        <v>0.97785999477711305</v>
      </c>
      <c r="O40">
        <v>152.39999999999998</v>
      </c>
      <c r="P40">
        <v>152.39999999999998</v>
      </c>
      <c r="Q40">
        <v>4.7751999999999999</v>
      </c>
      <c r="R40">
        <f t="shared" si="3"/>
        <v>1.0185604345857853</v>
      </c>
      <c r="T40" t="s">
        <v>41</v>
      </c>
      <c r="W40" s="13">
        <f t="shared" si="4"/>
        <v>0.79438844575593193</v>
      </c>
      <c r="X40" s="9">
        <f t="shared" si="5"/>
        <v>0.111</v>
      </c>
      <c r="Y40" s="13">
        <f t="shared" si="6"/>
        <v>0.77592657325913639</v>
      </c>
      <c r="Z40" s="9">
        <f t="shared" si="7"/>
        <v>0.97</v>
      </c>
      <c r="AA40" s="9">
        <f t="shared" si="8"/>
        <v>1.0341872608902989</v>
      </c>
      <c r="AB40" s="9">
        <f t="shared" si="9"/>
        <v>0.63745969130478852</v>
      </c>
      <c r="AC40" s="9">
        <f t="shared" si="10"/>
        <v>0.88653348485769867</v>
      </c>
    </row>
    <row r="41" spans="1:29" x14ac:dyDescent="0.35">
      <c r="A41" s="7">
        <v>38</v>
      </c>
      <c r="B41" s="8" t="s">
        <v>13</v>
      </c>
      <c r="C41" s="7" t="s">
        <v>23</v>
      </c>
      <c r="D41" s="7" t="s">
        <v>5</v>
      </c>
      <c r="E41">
        <v>1054.4233570433064</v>
      </c>
      <c r="F41">
        <v>0.93542090762492425</v>
      </c>
      <c r="G41">
        <v>0.56609399710047925</v>
      </c>
      <c r="H41">
        <v>0.80130543377728869</v>
      </c>
      <c r="I41">
        <v>0.69908870985217864</v>
      </c>
      <c r="J41">
        <f t="shared" si="0"/>
        <v>1.0105508540317447</v>
      </c>
      <c r="K41">
        <f t="shared" si="1"/>
        <v>1.4304336286756063</v>
      </c>
      <c r="L41">
        <f t="shared" si="2"/>
        <v>0.70646469278506974</v>
      </c>
      <c r="M41">
        <v>143.99999999999997</v>
      </c>
      <c r="N41">
        <v>1.2486021351446748</v>
      </c>
      <c r="O41">
        <v>152.39999999999998</v>
      </c>
      <c r="P41">
        <v>50.8</v>
      </c>
      <c r="Q41">
        <v>3.1749999999999998</v>
      </c>
      <c r="R41">
        <f t="shared" si="3"/>
        <v>0.7679999999999999</v>
      </c>
      <c r="T41" t="s">
        <v>41</v>
      </c>
      <c r="W41" s="13">
        <f t="shared" si="4"/>
        <v>0.69817199583094369</v>
      </c>
      <c r="X41" s="9">
        <f t="shared" si="5"/>
        <v>0.111</v>
      </c>
      <c r="Y41" s="13">
        <f t="shared" si="6"/>
        <v>0.76229687333293494</v>
      </c>
      <c r="Z41" s="9">
        <f t="shared" si="7"/>
        <v>1</v>
      </c>
      <c r="AA41" s="9">
        <f t="shared" si="8"/>
        <v>1.0857164483813606</v>
      </c>
      <c r="AB41" s="9">
        <f t="shared" si="9"/>
        <v>0.57783385157042555</v>
      </c>
      <c r="AC41" s="9">
        <f t="shared" si="10"/>
        <v>1.0207383482779848</v>
      </c>
    </row>
    <row r="42" spans="1:29" x14ac:dyDescent="0.35">
      <c r="A42" s="7">
        <v>39</v>
      </c>
      <c r="B42" s="8" t="s">
        <v>12</v>
      </c>
      <c r="C42" s="7" t="s">
        <v>22</v>
      </c>
      <c r="D42" s="7" t="s">
        <v>5</v>
      </c>
      <c r="E42">
        <v>936.2171715141875</v>
      </c>
      <c r="F42">
        <v>0.94057870847457281</v>
      </c>
      <c r="G42">
        <v>0.4772206584128153</v>
      </c>
      <c r="H42">
        <v>0.80068321049821201</v>
      </c>
      <c r="I42">
        <v>0.61817169335414068</v>
      </c>
      <c r="J42">
        <f t="shared" si="0"/>
        <v>0.96416064216581099</v>
      </c>
      <c r="K42">
        <f t="shared" si="1"/>
        <v>1.6176735537243632</v>
      </c>
      <c r="L42">
        <f t="shared" si="2"/>
        <v>0.59601681683305507</v>
      </c>
      <c r="M42">
        <v>205.71428571428569</v>
      </c>
      <c r="N42">
        <v>1.5433014163427179</v>
      </c>
      <c r="O42">
        <v>152.39999999999998</v>
      </c>
      <c r="P42">
        <v>44.449999999999996</v>
      </c>
      <c r="Q42">
        <v>2.54</v>
      </c>
      <c r="R42">
        <f t="shared" si="3"/>
        <v>1.0499999999999998</v>
      </c>
      <c r="T42" t="s">
        <v>41</v>
      </c>
      <c r="W42" s="13">
        <f t="shared" si="4"/>
        <v>0.61304951572697841</v>
      </c>
      <c r="X42" s="9">
        <f t="shared" si="5"/>
        <v>0.111</v>
      </c>
      <c r="Y42" s="13">
        <f t="shared" si="6"/>
        <v>0.75889304740598074</v>
      </c>
      <c r="Z42" s="9">
        <f t="shared" si="7"/>
        <v>1</v>
      </c>
      <c r="AA42" s="9">
        <f t="shared" si="8"/>
        <v>1.1069552619362486</v>
      </c>
      <c r="AB42" s="9">
        <f t="shared" si="9"/>
        <v>0.514998775934572</v>
      </c>
      <c r="AC42" s="9">
        <f t="shared" si="10"/>
        <v>1.0791627873935774</v>
      </c>
    </row>
    <row r="43" spans="1:29" x14ac:dyDescent="0.35">
      <c r="A43" s="7">
        <v>40</v>
      </c>
      <c r="B43" s="8" t="s">
        <v>17</v>
      </c>
      <c r="C43" s="7" t="s">
        <v>14</v>
      </c>
      <c r="D43" s="7" t="s">
        <v>5</v>
      </c>
      <c r="E43">
        <v>6153.0319747729873</v>
      </c>
      <c r="F43">
        <v>1.308367325601274</v>
      </c>
      <c r="G43">
        <v>0.48512269002363861</v>
      </c>
      <c r="H43">
        <v>0.48614002370147746</v>
      </c>
      <c r="I43">
        <v>1.0195426195426194</v>
      </c>
      <c r="J43">
        <f t="shared" si="0"/>
        <v>0.97877941012977998</v>
      </c>
      <c r="K43">
        <f t="shared" si="1"/>
        <v>0.98083197389885823</v>
      </c>
      <c r="L43">
        <f t="shared" si="2"/>
        <v>0.99790732375809565</v>
      </c>
      <c r="M43">
        <v>3.75</v>
      </c>
      <c r="N43">
        <v>0.22278490000813553</v>
      </c>
      <c r="O43">
        <v>300</v>
      </c>
      <c r="P43">
        <v>300</v>
      </c>
      <c r="Q43">
        <v>80</v>
      </c>
      <c r="R43">
        <f t="shared" si="3"/>
        <v>1.40625E-2</v>
      </c>
      <c r="T43" t="s">
        <v>41</v>
      </c>
      <c r="W43" s="13">
        <f t="shared" si="4"/>
        <v>1.0641265669986171</v>
      </c>
      <c r="X43" s="9">
        <f t="shared" si="5"/>
        <v>0.111</v>
      </c>
      <c r="Y43" s="13">
        <f t="shared" si="6"/>
        <v>0.49950208476720681</v>
      </c>
      <c r="Z43" s="9">
        <f t="shared" si="7"/>
        <v>0.93</v>
      </c>
      <c r="AA43" s="9">
        <f t="shared" si="8"/>
        <v>0.93763403628438013</v>
      </c>
      <c r="AB43" s="9">
        <f t="shared" si="9"/>
        <v>0.49838384352212461</v>
      </c>
      <c r="AC43" s="9">
        <f t="shared" si="10"/>
        <v>1.0273356694526901</v>
      </c>
    </row>
    <row r="44" spans="1:29" x14ac:dyDescent="0.35">
      <c r="A44" s="7">
        <v>41</v>
      </c>
      <c r="B44" s="8" t="s">
        <v>24</v>
      </c>
      <c r="C44" s="7" t="s">
        <v>23</v>
      </c>
      <c r="D44" s="7" t="s">
        <v>5</v>
      </c>
      <c r="E44">
        <v>3218.5795337668133</v>
      </c>
      <c r="F44">
        <v>1.280590395012595</v>
      </c>
      <c r="G44">
        <v>0.53174151058388386</v>
      </c>
      <c r="H44">
        <v>0.53443715874365261</v>
      </c>
      <c r="I44">
        <v>1.1440173168380969</v>
      </c>
      <c r="J44">
        <f t="shared" si="0"/>
        <v>0.86970370490057713</v>
      </c>
      <c r="K44">
        <f t="shared" si="1"/>
        <v>0.87411264259867971</v>
      </c>
      <c r="L44">
        <f t="shared" si="2"/>
        <v>0.99495609892451031</v>
      </c>
      <c r="M44">
        <v>9.9206349206349209</v>
      </c>
      <c r="N44">
        <v>0.28586452749971264</v>
      </c>
      <c r="O44">
        <v>250</v>
      </c>
      <c r="P44">
        <v>150</v>
      </c>
      <c r="Q44">
        <v>42</v>
      </c>
      <c r="R44">
        <f t="shared" si="3"/>
        <v>2.1258503401360547E-2</v>
      </c>
      <c r="T44" t="s">
        <v>41</v>
      </c>
      <c r="W44" s="13">
        <f t="shared" si="4"/>
        <v>1.053403030325049</v>
      </c>
      <c r="X44" s="9">
        <f t="shared" si="5"/>
        <v>0.111</v>
      </c>
      <c r="Y44" s="13">
        <f t="shared" si="6"/>
        <v>0.51700621657310419</v>
      </c>
      <c r="Z44" s="9">
        <f t="shared" si="7"/>
        <v>0.93</v>
      </c>
      <c r="AA44" s="9">
        <f t="shared" si="8"/>
        <v>0.94429806542524908</v>
      </c>
      <c r="AB44" s="9">
        <f t="shared" si="9"/>
        <v>0.51427975515620861</v>
      </c>
      <c r="AC44" s="9">
        <f t="shared" si="10"/>
        <v>0.96716119565594716</v>
      </c>
    </row>
    <row r="45" spans="1:29" x14ac:dyDescent="0.35">
      <c r="A45" s="7">
        <v>42</v>
      </c>
      <c r="B45" s="8" t="s">
        <v>15</v>
      </c>
      <c r="C45" s="7" t="s">
        <v>14</v>
      </c>
      <c r="D45" s="7" t="s">
        <v>5</v>
      </c>
      <c r="E45">
        <v>5725.5472243461845</v>
      </c>
      <c r="F45">
        <v>1.2396310124221992</v>
      </c>
      <c r="G45">
        <v>0.53319719308134217</v>
      </c>
      <c r="H45">
        <v>0.53373477581131745</v>
      </c>
      <c r="I45" t="s">
        <v>30</v>
      </c>
      <c r="J45" t="e">
        <f t="shared" si="0"/>
        <v>#VALUE!</v>
      </c>
      <c r="K45" t="e">
        <f t="shared" si="1"/>
        <v>#VALUE!</v>
      </c>
      <c r="L45" t="e">
        <f t="shared" si="2"/>
        <v>#VALUE!</v>
      </c>
      <c r="M45">
        <v>7.1428571428571432</v>
      </c>
      <c r="N45">
        <v>0.23457435445571082</v>
      </c>
      <c r="O45">
        <v>250</v>
      </c>
      <c r="P45">
        <v>250</v>
      </c>
      <c r="Q45">
        <v>35</v>
      </c>
      <c r="R45">
        <f t="shared" si="3"/>
        <v>5.1020408163265307E-2</v>
      </c>
      <c r="T45" t="s">
        <v>41</v>
      </c>
      <c r="W45" s="13">
        <f t="shared" si="4"/>
        <v>1.0621223597425293</v>
      </c>
      <c r="X45" s="9">
        <f t="shared" si="5"/>
        <v>0.111</v>
      </c>
      <c r="Y45" s="13">
        <f t="shared" si="6"/>
        <v>0.54395000382705261</v>
      </c>
      <c r="Z45" s="9">
        <f t="shared" si="7"/>
        <v>0.93</v>
      </c>
      <c r="AA45" s="9">
        <f t="shared" si="8"/>
        <v>0.9381230333638122</v>
      </c>
      <c r="AB45" s="9">
        <f t="shared" si="9"/>
        <v>0.54199257250008881</v>
      </c>
      <c r="AC45" s="9">
        <f t="shared" si="10"/>
        <v>1.0164955471125385</v>
      </c>
    </row>
    <row r="46" spans="1:29" x14ac:dyDescent="0.35">
      <c r="A46" s="7">
        <v>43</v>
      </c>
      <c r="B46" s="8" t="s">
        <v>11</v>
      </c>
      <c r="C46" s="7" t="s">
        <v>22</v>
      </c>
      <c r="D46" s="7" t="s">
        <v>5</v>
      </c>
      <c r="E46">
        <v>1204.9550705734107</v>
      </c>
      <c r="F46">
        <v>1.2437845469282025</v>
      </c>
      <c r="G46">
        <v>0.56571160404774135</v>
      </c>
      <c r="H46">
        <v>0.56761939252219784</v>
      </c>
      <c r="I46">
        <v>1.084498874027972</v>
      </c>
      <c r="J46">
        <f t="shared" si="0"/>
        <v>0.91898570774786503</v>
      </c>
      <c r="K46">
        <f t="shared" si="1"/>
        <v>0.92208486698180514</v>
      </c>
      <c r="L46">
        <f t="shared" si="2"/>
        <v>0.99663896530035856</v>
      </c>
      <c r="M46">
        <v>21.333333333333336</v>
      </c>
      <c r="N46">
        <v>0.32083911768776124</v>
      </c>
      <c r="O46">
        <v>101.6</v>
      </c>
      <c r="P46">
        <v>50.8</v>
      </c>
      <c r="Q46">
        <v>9.5249999999999986</v>
      </c>
      <c r="R46">
        <f t="shared" si="3"/>
        <v>5.6888888888888899E-2</v>
      </c>
      <c r="T46" t="s">
        <v>41</v>
      </c>
      <c r="W46" s="13">
        <f t="shared" si="4"/>
        <v>1.0474573499930806</v>
      </c>
      <c r="X46" s="9">
        <f t="shared" si="5"/>
        <v>0.111</v>
      </c>
      <c r="Y46" s="13">
        <f t="shared" si="6"/>
        <v>0.54115826657773081</v>
      </c>
      <c r="Z46" s="9">
        <f t="shared" si="7"/>
        <v>0.93</v>
      </c>
      <c r="AA46" s="9">
        <f t="shared" si="8"/>
        <v>0.94713930285732784</v>
      </c>
      <c r="AB46" s="9">
        <f t="shared" si="9"/>
        <v>0.53687663549307474</v>
      </c>
      <c r="AC46" s="9">
        <f t="shared" si="10"/>
        <v>0.94902885436970252</v>
      </c>
    </row>
    <row r="47" spans="1:29" x14ac:dyDescent="0.35">
      <c r="A47" s="7">
        <v>44</v>
      </c>
      <c r="B47" s="8" t="s">
        <v>8</v>
      </c>
      <c r="C47" s="7" t="s">
        <v>9</v>
      </c>
      <c r="D47" s="7" t="s">
        <v>5</v>
      </c>
      <c r="E47">
        <v>2483.1104082418337</v>
      </c>
      <c r="F47">
        <v>1.2310179211517354</v>
      </c>
      <c r="G47">
        <v>0.57461938576234783</v>
      </c>
      <c r="H47">
        <v>0.57571728612747941</v>
      </c>
      <c r="I47">
        <v>1.0413746964503248</v>
      </c>
      <c r="J47">
        <f t="shared" si="0"/>
        <v>0.95843790940385909</v>
      </c>
      <c r="K47">
        <f t="shared" si="1"/>
        <v>0.96026915519326872</v>
      </c>
      <c r="L47">
        <f t="shared" si="2"/>
        <v>0.99809298697192761</v>
      </c>
      <c r="M47">
        <v>17.999999999999996</v>
      </c>
      <c r="N47">
        <v>0.34216420507019119</v>
      </c>
      <c r="O47">
        <v>152.39999999999998</v>
      </c>
      <c r="P47">
        <v>101.6</v>
      </c>
      <c r="Q47">
        <v>12.7</v>
      </c>
      <c r="R47">
        <f t="shared" si="3"/>
        <v>9.5999999999999988E-2</v>
      </c>
      <c r="T47" t="s">
        <v>41</v>
      </c>
      <c r="W47" s="13">
        <f t="shared" si="4"/>
        <v>1.0438320851380676</v>
      </c>
      <c r="X47" s="9">
        <f t="shared" si="5"/>
        <v>0.111</v>
      </c>
      <c r="Y47" s="13">
        <f t="shared" si="6"/>
        <v>0.54978038960514874</v>
      </c>
      <c r="Z47" s="9">
        <f t="shared" si="7"/>
        <v>0.93</v>
      </c>
      <c r="AA47" s="9">
        <f t="shared" si="8"/>
        <v>0.94894682883279946</v>
      </c>
      <c r="AB47" s="9">
        <f t="shared" si="9"/>
        <v>0.54458009773171911</v>
      </c>
      <c r="AC47" s="9">
        <f t="shared" si="10"/>
        <v>0.94772315592733514</v>
      </c>
    </row>
    <row r="48" spans="1:29" x14ac:dyDescent="0.35">
      <c r="A48" s="7">
        <v>45</v>
      </c>
      <c r="B48" s="8" t="s">
        <v>16</v>
      </c>
      <c r="C48" s="7" t="s">
        <v>14</v>
      </c>
      <c r="D48" s="7" t="s">
        <v>5</v>
      </c>
      <c r="E48">
        <v>6068.236483564594</v>
      </c>
      <c r="F48">
        <v>1.2223936185740472</v>
      </c>
      <c r="G48">
        <v>0.5465426961760097</v>
      </c>
      <c r="H48">
        <v>0.5471218724135124</v>
      </c>
      <c r="I48">
        <v>1.0155249931690029</v>
      </c>
      <c r="J48">
        <f t="shared" si="0"/>
        <v>0.98366994359662652</v>
      </c>
      <c r="K48">
        <f t="shared" si="1"/>
        <v>0.98471234753114611</v>
      </c>
      <c r="L48">
        <f t="shared" si="2"/>
        <v>0.9989414127515176</v>
      </c>
      <c r="M48">
        <v>12.5</v>
      </c>
      <c r="N48">
        <v>0.38895724243152341</v>
      </c>
      <c r="O48">
        <v>250</v>
      </c>
      <c r="P48">
        <v>250</v>
      </c>
      <c r="Q48">
        <v>20</v>
      </c>
      <c r="R48">
        <f t="shared" si="3"/>
        <v>0.15625</v>
      </c>
      <c r="T48" t="s">
        <v>41</v>
      </c>
      <c r="W48" s="13">
        <f t="shared" si="4"/>
        <v>1.0358772687866411</v>
      </c>
      <c r="X48" s="9">
        <f t="shared" si="5"/>
        <v>0.111</v>
      </c>
      <c r="Y48" s="13">
        <f t="shared" si="6"/>
        <v>0.55567297465750121</v>
      </c>
      <c r="Z48" s="9">
        <f t="shared" si="7"/>
        <v>0.93</v>
      </c>
      <c r="AA48" s="9">
        <f t="shared" si="8"/>
        <v>0.95330247241538302</v>
      </c>
      <c r="AB48" s="9">
        <f t="shared" si="9"/>
        <v>0.5487294860159555</v>
      </c>
      <c r="AC48" s="9">
        <f t="shared" si="10"/>
        <v>1.0040011326749878</v>
      </c>
    </row>
    <row r="49" spans="1:29" x14ac:dyDescent="0.35">
      <c r="A49" s="7">
        <v>46</v>
      </c>
      <c r="B49" s="8" t="s">
        <v>10</v>
      </c>
      <c r="C49" s="7" t="s">
        <v>22</v>
      </c>
      <c r="D49" s="7" t="s">
        <v>5</v>
      </c>
      <c r="E49">
        <v>944.16436945955172</v>
      </c>
      <c r="F49">
        <v>1.2402081969746122</v>
      </c>
      <c r="G49">
        <v>0.57065680199893198</v>
      </c>
      <c r="H49">
        <v>0.57383195100266005</v>
      </c>
      <c r="I49">
        <v>0.97189540344618819</v>
      </c>
      <c r="J49">
        <f t="shared" si="0"/>
        <v>1.0232240609880867</v>
      </c>
      <c r="K49">
        <f t="shared" si="1"/>
        <v>1.0289173057657823</v>
      </c>
      <c r="L49">
        <f t="shared" si="2"/>
        <v>0.99446676156986358</v>
      </c>
      <c r="M49">
        <v>42.666666666666671</v>
      </c>
      <c r="N49">
        <v>0.43255198362904806</v>
      </c>
      <c r="O49">
        <v>101.6</v>
      </c>
      <c r="P49">
        <v>38.099999999999994</v>
      </c>
      <c r="Q49">
        <v>6.35</v>
      </c>
      <c r="R49">
        <f t="shared" si="3"/>
        <v>9.5999999999999988E-2</v>
      </c>
      <c r="T49" t="s">
        <v>41</v>
      </c>
      <c r="W49" s="13">
        <f t="shared" si="4"/>
        <v>1.028466162783062</v>
      </c>
      <c r="X49" s="9">
        <f t="shared" si="5"/>
        <v>0.111</v>
      </c>
      <c r="Y49" s="13">
        <f t="shared" si="6"/>
        <v>0.54356127757427808</v>
      </c>
      <c r="Z49" s="9">
        <f t="shared" si="7"/>
        <v>0.93</v>
      </c>
      <c r="AA49" s="9">
        <f t="shared" si="8"/>
        <v>0.9583502150932699</v>
      </c>
      <c r="AB49" s="9">
        <f t="shared" si="9"/>
        <v>0.53575071964415455</v>
      </c>
      <c r="AC49" s="9">
        <f t="shared" si="10"/>
        <v>0.93883174224418908</v>
      </c>
    </row>
    <row r="50" spans="1:29" x14ac:dyDescent="0.35">
      <c r="A50" s="7">
        <v>47</v>
      </c>
      <c r="B50" s="8" t="s">
        <v>18</v>
      </c>
      <c r="C50" s="7" t="s">
        <v>14</v>
      </c>
      <c r="D50" s="7" t="s">
        <v>5</v>
      </c>
      <c r="E50">
        <v>3689.1983504688687</v>
      </c>
      <c r="F50">
        <v>1.2194693669263841</v>
      </c>
      <c r="G50">
        <v>0.54870230817423082</v>
      </c>
      <c r="H50">
        <v>0.54950844905640928</v>
      </c>
      <c r="I50">
        <v>0.99295242255224792</v>
      </c>
      <c r="J50">
        <f t="shared" si="0"/>
        <v>1.005620164175254</v>
      </c>
      <c r="K50">
        <f t="shared" si="1"/>
        <v>1.0070975983216166</v>
      </c>
      <c r="L50">
        <f t="shared" si="2"/>
        <v>0.99853297818520781</v>
      </c>
      <c r="M50">
        <v>15</v>
      </c>
      <c r="N50">
        <v>0.4636648591171596</v>
      </c>
      <c r="O50">
        <v>150</v>
      </c>
      <c r="P50">
        <v>150</v>
      </c>
      <c r="Q50">
        <v>10</v>
      </c>
      <c r="R50">
        <f t="shared" si="3"/>
        <v>0.22500000000000001</v>
      </c>
      <c r="T50" t="s">
        <v>41</v>
      </c>
      <c r="W50" s="13">
        <f t="shared" si="4"/>
        <v>1.0231769739500829</v>
      </c>
      <c r="X50" s="9">
        <f t="shared" si="5"/>
        <v>0.111</v>
      </c>
      <c r="Y50" s="13">
        <f t="shared" si="6"/>
        <v>0.55768312473647497</v>
      </c>
      <c r="Z50" s="9">
        <f t="shared" si="7"/>
        <v>0.93</v>
      </c>
      <c r="AA50" s="9">
        <f t="shared" si="8"/>
        <v>0.96043366625533189</v>
      </c>
      <c r="AB50" s="9">
        <f t="shared" si="9"/>
        <v>0.54803164437658636</v>
      </c>
      <c r="AC50" s="9">
        <f t="shared" si="10"/>
        <v>0.99877772739853043</v>
      </c>
    </row>
    <row r="51" spans="1:29" x14ac:dyDescent="0.35">
      <c r="A51" s="7">
        <v>48</v>
      </c>
      <c r="B51" s="8" t="s">
        <v>25</v>
      </c>
      <c r="C51" s="7" t="s">
        <v>23</v>
      </c>
      <c r="D51" s="7" t="s">
        <v>5</v>
      </c>
      <c r="E51">
        <v>2552.539383711066</v>
      </c>
      <c r="F51">
        <v>1.226262672174806</v>
      </c>
      <c r="G51">
        <v>0.58023727392270585</v>
      </c>
      <c r="H51">
        <v>0.58270015700939681</v>
      </c>
      <c r="I51">
        <v>0.96994205697730562</v>
      </c>
      <c r="J51">
        <f t="shared" si="0"/>
        <v>1.0266317660149626</v>
      </c>
      <c r="K51">
        <f t="shared" si="1"/>
        <v>1.0309894212818917</v>
      </c>
      <c r="L51">
        <f t="shared" si="2"/>
        <v>0.99577332688679676</v>
      </c>
      <c r="M51">
        <v>32.4</v>
      </c>
      <c r="N51">
        <v>0.49468176913818818</v>
      </c>
      <c r="O51">
        <v>180</v>
      </c>
      <c r="P51">
        <v>100</v>
      </c>
      <c r="Q51">
        <v>10</v>
      </c>
      <c r="R51">
        <f t="shared" si="3"/>
        <v>0.18</v>
      </c>
      <c r="T51" t="s">
        <v>41</v>
      </c>
      <c r="W51" s="13">
        <f t="shared" si="4"/>
        <v>1.017904099246508</v>
      </c>
      <c r="X51" s="9">
        <f t="shared" si="5"/>
        <v>0.111</v>
      </c>
      <c r="Y51" s="13">
        <f t="shared" si="6"/>
        <v>0.55302276367701686</v>
      </c>
      <c r="Z51" s="9">
        <f t="shared" si="7"/>
        <v>0.93</v>
      </c>
      <c r="AA51" s="9">
        <f t="shared" si="8"/>
        <v>0.963773414385658</v>
      </c>
      <c r="AB51" s="9">
        <f t="shared" si="9"/>
        <v>0.54253131863935877</v>
      </c>
      <c r="AC51" s="9">
        <f t="shared" si="10"/>
        <v>0.93501631663813112</v>
      </c>
    </row>
    <row r="52" spans="1:29" x14ac:dyDescent="0.35">
      <c r="A52" s="7">
        <v>49</v>
      </c>
      <c r="B52" s="8" t="s">
        <v>7</v>
      </c>
      <c r="C52" s="7" t="s">
        <v>9</v>
      </c>
      <c r="D52" s="7" t="s">
        <v>5</v>
      </c>
      <c r="E52">
        <v>2000.1155423883351</v>
      </c>
      <c r="F52">
        <v>1.2202101247164803</v>
      </c>
      <c r="G52">
        <v>0.57893913084725812</v>
      </c>
      <c r="H52">
        <v>0.58716656251228061</v>
      </c>
      <c r="I52">
        <v>0.93226749023587507</v>
      </c>
      <c r="J52">
        <f t="shared" si="0"/>
        <v>1.0576233953403427</v>
      </c>
      <c r="K52">
        <f t="shared" si="1"/>
        <v>1.072653514654885</v>
      </c>
      <c r="L52">
        <f t="shared" si="2"/>
        <v>0.98598790838868589</v>
      </c>
      <c r="M52">
        <v>44.326241134751783</v>
      </c>
      <c r="N52">
        <v>0.72920608838938017</v>
      </c>
      <c r="O52">
        <v>127</v>
      </c>
      <c r="P52">
        <v>76.199999999999989</v>
      </c>
      <c r="Q52">
        <v>4.7751999999999999</v>
      </c>
      <c r="R52">
        <f t="shared" si="3"/>
        <v>0.42440018107741062</v>
      </c>
      <c r="T52" t="s">
        <v>41</v>
      </c>
      <c r="W52" s="13">
        <f t="shared" si="4"/>
        <v>0.9282521142569965</v>
      </c>
      <c r="X52" s="9">
        <f t="shared" si="5"/>
        <v>0.111</v>
      </c>
      <c r="Y52" s="13">
        <f t="shared" si="6"/>
        <v>0.55717334835324384</v>
      </c>
      <c r="Z52" s="9">
        <f t="shared" si="7"/>
        <v>0.97</v>
      </c>
      <c r="AA52" s="9">
        <f t="shared" si="8"/>
        <v>1.0292207287053028</v>
      </c>
      <c r="AB52" s="9">
        <f t="shared" si="9"/>
        <v>0.53231022173536735</v>
      </c>
      <c r="AC52" s="9">
        <f t="shared" si="10"/>
        <v>0.91945801099391755</v>
      </c>
    </row>
    <row r="53" spans="1:29" x14ac:dyDescent="0.35">
      <c r="A53" s="7">
        <v>50</v>
      </c>
      <c r="B53" s="8" t="s">
        <v>3</v>
      </c>
      <c r="C53" s="7" t="s">
        <v>9</v>
      </c>
      <c r="D53" s="7" t="s">
        <v>5</v>
      </c>
      <c r="E53">
        <v>3882.2661175987232</v>
      </c>
      <c r="F53">
        <v>1.2130132658318244</v>
      </c>
      <c r="G53">
        <v>0.541911623004104</v>
      </c>
      <c r="H53">
        <v>0.55435814534917049</v>
      </c>
      <c r="I53">
        <v>0.82658617317379823</v>
      </c>
      <c r="J53">
        <f t="shared" si="0"/>
        <v>1.1826327363830316</v>
      </c>
      <c r="K53">
        <f t="shared" si="1"/>
        <v>1.2097952185195091</v>
      </c>
      <c r="L53">
        <f t="shared" si="2"/>
        <v>0.97754786783690739</v>
      </c>
      <c r="M53">
        <v>31.914893617021278</v>
      </c>
      <c r="N53">
        <v>0.97785999477711305</v>
      </c>
      <c r="O53">
        <v>152.39999999999998</v>
      </c>
      <c r="P53">
        <v>152.39999999999998</v>
      </c>
      <c r="Q53">
        <v>4.7751999999999999</v>
      </c>
      <c r="R53">
        <f t="shared" si="3"/>
        <v>1.0185604345857853</v>
      </c>
      <c r="T53" t="s">
        <v>41</v>
      </c>
      <c r="W53" s="13">
        <f t="shared" si="4"/>
        <v>0.79438844575593193</v>
      </c>
      <c r="X53" s="9">
        <f t="shared" si="5"/>
        <v>0.111</v>
      </c>
      <c r="Y53" s="13">
        <f t="shared" si="6"/>
        <v>0.56214241545015808</v>
      </c>
      <c r="Z53" s="9">
        <f t="shared" si="7"/>
        <v>0.97</v>
      </c>
      <c r="AA53" s="9">
        <f t="shared" si="8"/>
        <v>1.0952055102825951</v>
      </c>
      <c r="AB53" s="9">
        <f t="shared" si="9"/>
        <v>0.48907435903136426</v>
      </c>
      <c r="AC53" s="9">
        <f t="shared" si="10"/>
        <v>0.90249837477219119</v>
      </c>
    </row>
    <row r="54" spans="1:29" x14ac:dyDescent="0.35">
      <c r="A54" s="7">
        <v>51</v>
      </c>
      <c r="B54" s="8" t="s">
        <v>13</v>
      </c>
      <c r="C54" s="7" t="s">
        <v>23</v>
      </c>
      <c r="D54" s="7" t="s">
        <v>5</v>
      </c>
      <c r="E54">
        <v>1405.897809391075</v>
      </c>
      <c r="F54">
        <v>1.2292732675590257</v>
      </c>
      <c r="G54">
        <v>0.44915111380441369</v>
      </c>
      <c r="H54">
        <v>0.58607308940795089</v>
      </c>
      <c r="I54">
        <v>0.69908870985217864</v>
      </c>
      <c r="J54">
        <f t="shared" si="0"/>
        <v>1.0962469854945391</v>
      </c>
      <c r="K54">
        <f t="shared" si="1"/>
        <v>1.4304336286756063</v>
      </c>
      <c r="L54">
        <f t="shared" si="2"/>
        <v>0.76637389076871743</v>
      </c>
      <c r="M54">
        <v>143.99999999999997</v>
      </c>
      <c r="N54">
        <v>1.2486021351446748</v>
      </c>
      <c r="O54">
        <v>152.39999999999998</v>
      </c>
      <c r="P54">
        <v>50.8</v>
      </c>
      <c r="Q54">
        <v>3.1749999999999998</v>
      </c>
      <c r="R54">
        <f t="shared" si="3"/>
        <v>0.7679999999999999</v>
      </c>
      <c r="T54" t="s">
        <v>41</v>
      </c>
      <c r="W54" s="13">
        <f t="shared" si="4"/>
        <v>0.69817199583094369</v>
      </c>
      <c r="X54" s="9">
        <f t="shared" si="5"/>
        <v>0.111</v>
      </c>
      <c r="Y54" s="13">
        <f t="shared" si="6"/>
        <v>0.55096806724080749</v>
      </c>
      <c r="Z54" s="9">
        <f t="shared" si="7"/>
        <v>1</v>
      </c>
      <c r="AA54" s="9">
        <f t="shared" si="8"/>
        <v>1.1608100995803439</v>
      </c>
      <c r="AB54" s="9">
        <f t="shared" si="9"/>
        <v>0.44652937255825864</v>
      </c>
      <c r="AC54" s="9">
        <f t="shared" si="10"/>
        <v>0.99416289715069772</v>
      </c>
    </row>
    <row r="55" spans="1:29" x14ac:dyDescent="0.35">
      <c r="A55" s="7">
        <v>52</v>
      </c>
      <c r="B55" s="8" t="s">
        <v>12</v>
      </c>
      <c r="C55" s="7" t="s">
        <v>22</v>
      </c>
      <c r="D55" s="7" t="s">
        <v>5</v>
      </c>
      <c r="E55">
        <v>1248.2895620189165</v>
      </c>
      <c r="F55">
        <v>1.2331083992590666</v>
      </c>
      <c r="G55">
        <v>0.37361828602272978</v>
      </c>
      <c r="H55">
        <v>0.58426289158838118</v>
      </c>
      <c r="I55">
        <v>0.61817169335414068</v>
      </c>
      <c r="J55">
        <f t="shared" si="0"/>
        <v>1.0344528622101763</v>
      </c>
      <c r="K55">
        <f t="shared" si="1"/>
        <v>1.6176735537243632</v>
      </c>
      <c r="L55">
        <f t="shared" si="2"/>
        <v>0.63946947752750216</v>
      </c>
      <c r="M55">
        <v>205.71428571428569</v>
      </c>
      <c r="N55">
        <v>1.5433014163427179</v>
      </c>
      <c r="O55">
        <v>152.39999999999998</v>
      </c>
      <c r="P55">
        <v>44.449999999999996</v>
      </c>
      <c r="Q55">
        <v>2.54</v>
      </c>
      <c r="R55">
        <f t="shared" si="3"/>
        <v>1.0499999999999998</v>
      </c>
      <c r="T55" t="s">
        <v>41</v>
      </c>
      <c r="W55" s="13">
        <f t="shared" si="4"/>
        <v>0.61304951572697841</v>
      </c>
      <c r="X55" s="9">
        <f t="shared" si="5"/>
        <v>0.111</v>
      </c>
      <c r="Y55" s="13">
        <f t="shared" si="6"/>
        <v>0.54836023788421129</v>
      </c>
      <c r="Z55" s="9">
        <f t="shared" si="7"/>
        <v>1</v>
      </c>
      <c r="AA55" s="9">
        <f t="shared" si="8"/>
        <v>1.1988212210331053</v>
      </c>
      <c r="AB55" s="9">
        <f t="shared" si="9"/>
        <v>0.40301010147736122</v>
      </c>
      <c r="AC55" s="9">
        <f t="shared" si="10"/>
        <v>1.0786680324657432</v>
      </c>
    </row>
    <row r="56" spans="1:29" x14ac:dyDescent="0.35">
      <c r="A56" s="7">
        <v>53</v>
      </c>
      <c r="B56" s="8" t="s">
        <v>17</v>
      </c>
      <c r="C56" s="7" t="s">
        <v>14</v>
      </c>
      <c r="D56" s="7" t="s">
        <v>5</v>
      </c>
      <c r="E56">
        <v>7691.2899684662343</v>
      </c>
      <c r="F56">
        <v>1.6320393555011896</v>
      </c>
      <c r="G56">
        <v>0.3341013240607108</v>
      </c>
      <c r="H56">
        <v>0.33491555080321184</v>
      </c>
      <c r="I56">
        <v>1.0195426195426194</v>
      </c>
      <c r="J56">
        <f t="shared" si="0"/>
        <v>0.97844743361360342</v>
      </c>
      <c r="K56">
        <f t="shared" si="1"/>
        <v>0.98083197389885823</v>
      </c>
      <c r="L56">
        <f t="shared" si="2"/>
        <v>0.99756885955116636</v>
      </c>
      <c r="M56">
        <v>3.75</v>
      </c>
      <c r="N56">
        <v>0.22278490000813553</v>
      </c>
      <c r="O56">
        <v>300</v>
      </c>
      <c r="P56">
        <v>300</v>
      </c>
      <c r="Q56">
        <v>80</v>
      </c>
      <c r="R56">
        <f t="shared" si="3"/>
        <v>1.40625E-2</v>
      </c>
      <c r="T56" t="s">
        <v>41</v>
      </c>
      <c r="W56" s="13">
        <f t="shared" si="4"/>
        <v>1.0641265669986171</v>
      </c>
      <c r="X56" s="9">
        <f t="shared" si="5"/>
        <v>0.111</v>
      </c>
      <c r="Y56" s="13">
        <f t="shared" si="6"/>
        <v>0.3403471780629071</v>
      </c>
      <c r="Z56" s="9">
        <f t="shared" si="7"/>
        <v>0.93</v>
      </c>
      <c r="AA56" s="9">
        <f t="shared" si="8"/>
        <v>0.93973783853598647</v>
      </c>
      <c r="AB56" s="9">
        <f t="shared" si="9"/>
        <v>0.3403471780629071</v>
      </c>
      <c r="AC56" s="9">
        <f t="shared" si="10"/>
        <v>1.0186944904207005</v>
      </c>
    </row>
    <row r="57" spans="1:29" x14ac:dyDescent="0.35">
      <c r="A57" s="7">
        <v>54</v>
      </c>
      <c r="B57" s="8" t="s">
        <v>24</v>
      </c>
      <c r="C57" s="7" t="s">
        <v>23</v>
      </c>
      <c r="D57" s="7" t="s">
        <v>5</v>
      </c>
      <c r="E57">
        <v>4023.2244172085166</v>
      </c>
      <c r="F57">
        <v>1.5951263751321128</v>
      </c>
      <c r="G57">
        <v>0.36283711282469377</v>
      </c>
      <c r="H57">
        <v>0.36501546611459057</v>
      </c>
      <c r="I57">
        <v>1.1440173168380969</v>
      </c>
      <c r="J57">
        <f t="shared" si="0"/>
        <v>0.86889607966502191</v>
      </c>
      <c r="K57">
        <f t="shared" si="1"/>
        <v>0.87411264259867971</v>
      </c>
      <c r="L57">
        <f t="shared" si="2"/>
        <v>0.99403216166951969</v>
      </c>
      <c r="M57">
        <v>9.9206349206349209</v>
      </c>
      <c r="N57">
        <v>0.28586452749971264</v>
      </c>
      <c r="O57">
        <v>250</v>
      </c>
      <c r="P57">
        <v>150</v>
      </c>
      <c r="Q57">
        <v>42</v>
      </c>
      <c r="R57">
        <f t="shared" si="3"/>
        <v>2.1258503401360547E-2</v>
      </c>
      <c r="T57" t="s">
        <v>41</v>
      </c>
      <c r="W57" s="13">
        <f t="shared" si="4"/>
        <v>1.053403030325049</v>
      </c>
      <c r="X57" s="9">
        <f t="shared" si="5"/>
        <v>0.111</v>
      </c>
      <c r="Y57" s="13">
        <f t="shared" si="6"/>
        <v>0.35475652529445723</v>
      </c>
      <c r="Z57" s="9">
        <f t="shared" si="7"/>
        <v>0.93</v>
      </c>
      <c r="AA57" s="9">
        <f t="shared" si="8"/>
        <v>0.94930427501374248</v>
      </c>
      <c r="AB57" s="9">
        <f t="shared" si="9"/>
        <v>0.35475652529445723</v>
      </c>
      <c r="AC57" s="9">
        <f t="shared" si="10"/>
        <v>0.97772943493203046</v>
      </c>
    </row>
    <row r="58" spans="1:29" x14ac:dyDescent="0.35">
      <c r="A58" s="7">
        <v>55</v>
      </c>
      <c r="B58" s="8" t="s">
        <v>15</v>
      </c>
      <c r="C58" s="7" t="s">
        <v>14</v>
      </c>
      <c r="D58" s="7" t="s">
        <v>5</v>
      </c>
      <c r="E58">
        <v>7156.9340304327325</v>
      </c>
      <c r="F58">
        <v>1.5459710018509198</v>
      </c>
      <c r="G58">
        <v>0.37040819235738226</v>
      </c>
      <c r="H58">
        <v>0.37086752192758349</v>
      </c>
      <c r="I58" t="s">
        <v>30</v>
      </c>
      <c r="J58" t="e">
        <f t="shared" si="0"/>
        <v>#VALUE!</v>
      </c>
      <c r="K58" t="e">
        <f t="shared" si="1"/>
        <v>#VALUE!</v>
      </c>
      <c r="L58" t="e">
        <f t="shared" si="2"/>
        <v>#VALUE!</v>
      </c>
      <c r="M58">
        <v>7.1428571428571432</v>
      </c>
      <c r="N58">
        <v>0.23457435445571082</v>
      </c>
      <c r="O58">
        <v>250</v>
      </c>
      <c r="P58">
        <v>250</v>
      </c>
      <c r="Q58">
        <v>35</v>
      </c>
      <c r="R58">
        <f t="shared" si="3"/>
        <v>5.1020408163265307E-2</v>
      </c>
      <c r="T58" t="s">
        <v>41</v>
      </c>
      <c r="W58" s="13">
        <f t="shared" si="4"/>
        <v>1.0621223597425293</v>
      </c>
      <c r="X58" s="9">
        <f t="shared" si="5"/>
        <v>0.111</v>
      </c>
      <c r="Y58" s="13">
        <f t="shared" si="6"/>
        <v>0.3752751185755237</v>
      </c>
      <c r="Z58" s="9">
        <f t="shared" si="7"/>
        <v>0.93</v>
      </c>
      <c r="AA58" s="9">
        <f t="shared" si="8"/>
        <v>0.94151110823277606</v>
      </c>
      <c r="AB58" s="9">
        <f t="shared" si="9"/>
        <v>0.3752751185755237</v>
      </c>
      <c r="AC58" s="9">
        <f t="shared" si="10"/>
        <v>1.0131393590059845</v>
      </c>
    </row>
    <row r="59" spans="1:29" x14ac:dyDescent="0.35">
      <c r="A59" s="7">
        <v>56</v>
      </c>
      <c r="B59" s="8" t="s">
        <v>11</v>
      </c>
      <c r="C59" s="7" t="s">
        <v>22</v>
      </c>
      <c r="D59" s="7" t="s">
        <v>5</v>
      </c>
      <c r="E59">
        <v>1506.1938382167634</v>
      </c>
      <c r="F59">
        <v>1.5477952811655213</v>
      </c>
      <c r="G59">
        <v>0.38735532603827599</v>
      </c>
      <c r="H59">
        <v>0.3890223285719242</v>
      </c>
      <c r="I59">
        <v>1.084498874027972</v>
      </c>
      <c r="J59">
        <f t="shared" si="0"/>
        <v>0.91813363411776872</v>
      </c>
      <c r="K59">
        <f t="shared" si="1"/>
        <v>0.92208486698180514</v>
      </c>
      <c r="L59">
        <f t="shared" si="2"/>
        <v>0.99571489240793021</v>
      </c>
      <c r="M59">
        <v>21.333333333333336</v>
      </c>
      <c r="N59">
        <v>0.32083911768776124</v>
      </c>
      <c r="O59">
        <v>101.6</v>
      </c>
      <c r="P59">
        <v>50.8</v>
      </c>
      <c r="Q59">
        <v>9.5249999999999986</v>
      </c>
      <c r="R59">
        <f t="shared" si="3"/>
        <v>5.6888888888888899E-2</v>
      </c>
      <c r="T59" t="s">
        <v>41</v>
      </c>
      <c r="W59" s="13">
        <f t="shared" si="4"/>
        <v>1.0474573499930806</v>
      </c>
      <c r="X59" s="9">
        <f t="shared" si="5"/>
        <v>0.111</v>
      </c>
      <c r="Y59" s="13">
        <f t="shared" si="6"/>
        <v>0.37448520773548027</v>
      </c>
      <c r="Z59" s="9">
        <f t="shared" si="7"/>
        <v>0.93</v>
      </c>
      <c r="AA59" s="9">
        <f t="shared" si="8"/>
        <v>0.95469280921710642</v>
      </c>
      <c r="AB59" s="9">
        <f t="shared" si="9"/>
        <v>0.37448520773548027</v>
      </c>
      <c r="AC59" s="9">
        <f t="shared" si="10"/>
        <v>0.96677438662215798</v>
      </c>
    </row>
    <row r="60" spans="1:29" x14ac:dyDescent="0.35">
      <c r="A60" s="7">
        <v>57</v>
      </c>
      <c r="B60" s="8" t="s">
        <v>8</v>
      </c>
      <c r="C60" s="7" t="s">
        <v>9</v>
      </c>
      <c r="D60" s="7" t="s">
        <v>5</v>
      </c>
      <c r="E60">
        <v>3103.8880103022925</v>
      </c>
      <c r="F60">
        <v>1.5337808288012733</v>
      </c>
      <c r="G60">
        <v>0.39485001846464962</v>
      </c>
      <c r="H60">
        <v>0.39577440492863059</v>
      </c>
      <c r="I60">
        <v>1.0413746964503248</v>
      </c>
      <c r="J60">
        <f t="shared" si="0"/>
        <v>0.95802631230655111</v>
      </c>
      <c r="K60">
        <f t="shared" si="1"/>
        <v>0.96026915519326872</v>
      </c>
      <c r="L60">
        <f t="shared" si="2"/>
        <v>0.99766436016965865</v>
      </c>
      <c r="M60">
        <v>17.999999999999996</v>
      </c>
      <c r="N60">
        <v>0.34216420507019119</v>
      </c>
      <c r="O60">
        <v>152.39999999999998</v>
      </c>
      <c r="P60">
        <v>101.6</v>
      </c>
      <c r="Q60">
        <v>12.7</v>
      </c>
      <c r="R60">
        <f t="shared" si="3"/>
        <v>9.5999999999999988E-2</v>
      </c>
      <c r="T60" t="s">
        <v>41</v>
      </c>
      <c r="W60" s="13">
        <f t="shared" si="4"/>
        <v>1.0438320851380676</v>
      </c>
      <c r="X60" s="9">
        <f t="shared" si="5"/>
        <v>0.111</v>
      </c>
      <c r="Y60" s="13">
        <f t="shared" si="6"/>
        <v>0.3806115015719066</v>
      </c>
      <c r="Z60" s="9">
        <f t="shared" si="7"/>
        <v>0.93</v>
      </c>
      <c r="AA60" s="9">
        <f t="shared" si="8"/>
        <v>0.95800849029059121</v>
      </c>
      <c r="AB60" s="9">
        <f t="shared" si="9"/>
        <v>0.3806115015719066</v>
      </c>
      <c r="AC60" s="9">
        <f t="shared" si="10"/>
        <v>0.96393942958871159</v>
      </c>
    </row>
    <row r="61" spans="1:29" x14ac:dyDescent="0.35">
      <c r="A61" s="7">
        <v>58</v>
      </c>
      <c r="B61" s="8" t="s">
        <v>16</v>
      </c>
      <c r="C61" s="7" t="s">
        <v>14</v>
      </c>
      <c r="D61" s="7" t="s">
        <v>5</v>
      </c>
      <c r="E61">
        <v>7585.2956044557432</v>
      </c>
      <c r="F61">
        <v>1.5244413177698863</v>
      </c>
      <c r="G61">
        <v>0.38035693570706541</v>
      </c>
      <c r="H61">
        <v>0.3808197309254826</v>
      </c>
      <c r="I61">
        <v>1.0155249931690029</v>
      </c>
      <c r="J61">
        <f t="shared" si="0"/>
        <v>0.98351566540323687</v>
      </c>
      <c r="K61">
        <f t="shared" si="1"/>
        <v>0.98471234753114611</v>
      </c>
      <c r="L61">
        <f t="shared" si="2"/>
        <v>0.99878473939022949</v>
      </c>
      <c r="M61">
        <v>12.5</v>
      </c>
      <c r="N61">
        <v>0.38895724243152341</v>
      </c>
      <c r="O61">
        <v>250</v>
      </c>
      <c r="P61">
        <v>250</v>
      </c>
      <c r="Q61">
        <v>20</v>
      </c>
      <c r="R61">
        <f t="shared" si="3"/>
        <v>0.15625</v>
      </c>
      <c r="T61" t="s">
        <v>41</v>
      </c>
      <c r="W61" s="13">
        <f t="shared" si="4"/>
        <v>1.0358772687866411</v>
      </c>
      <c r="X61" s="9">
        <f t="shared" si="5"/>
        <v>0.111</v>
      </c>
      <c r="Y61" s="13">
        <f t="shared" si="6"/>
        <v>0.3847691227177592</v>
      </c>
      <c r="Z61" s="9">
        <f t="shared" si="7"/>
        <v>0.93</v>
      </c>
      <c r="AA61" s="9">
        <f t="shared" si="8"/>
        <v>0.96461116512782852</v>
      </c>
      <c r="AB61" s="9">
        <f t="shared" si="9"/>
        <v>0.38446853306578055</v>
      </c>
      <c r="AC61" s="9">
        <f t="shared" si="10"/>
        <v>1.0108098393186176</v>
      </c>
    </row>
    <row r="62" spans="1:29" x14ac:dyDescent="0.35">
      <c r="A62" s="7">
        <v>59</v>
      </c>
      <c r="B62" s="8" t="s">
        <v>10</v>
      </c>
      <c r="C62" s="7" t="s">
        <v>22</v>
      </c>
      <c r="D62" s="7" t="s">
        <v>5</v>
      </c>
      <c r="E62">
        <v>1180.2054618244397</v>
      </c>
      <c r="F62">
        <v>1.5405706897240159</v>
      </c>
      <c r="G62">
        <v>0.3911750561482315</v>
      </c>
      <c r="H62">
        <v>0.39364851707624815</v>
      </c>
      <c r="I62">
        <v>0.97189540344618819</v>
      </c>
      <c r="J62">
        <f t="shared" si="0"/>
        <v>1.0224521810578975</v>
      </c>
      <c r="K62">
        <f t="shared" si="1"/>
        <v>1.0289173057657823</v>
      </c>
      <c r="L62">
        <f t="shared" si="2"/>
        <v>0.99371657501370037</v>
      </c>
      <c r="M62">
        <v>42.666666666666671</v>
      </c>
      <c r="N62">
        <v>0.43255198362904806</v>
      </c>
      <c r="O62">
        <v>101.6</v>
      </c>
      <c r="P62">
        <v>38.099999999999994</v>
      </c>
      <c r="Q62">
        <v>6.35</v>
      </c>
      <c r="R62">
        <f t="shared" si="3"/>
        <v>9.5999999999999988E-2</v>
      </c>
      <c r="T62" t="s">
        <v>41</v>
      </c>
      <c r="W62" s="13">
        <f t="shared" si="4"/>
        <v>1.028466162783062</v>
      </c>
      <c r="X62" s="9">
        <f t="shared" si="5"/>
        <v>0.111</v>
      </c>
      <c r="Y62" s="13">
        <f t="shared" si="6"/>
        <v>0.37762665877807894</v>
      </c>
      <c r="Z62" s="9">
        <f t="shared" si="7"/>
        <v>0.93</v>
      </c>
      <c r="AA62" s="9">
        <f t="shared" si="8"/>
        <v>0.97165110895191886</v>
      </c>
      <c r="AB62" s="9">
        <f t="shared" si="9"/>
        <v>0.37736620498429935</v>
      </c>
      <c r="AC62" s="9">
        <f t="shared" si="10"/>
        <v>0.9646990498323097</v>
      </c>
    </row>
    <row r="63" spans="1:29" x14ac:dyDescent="0.35">
      <c r="A63" s="7">
        <v>60</v>
      </c>
      <c r="B63" s="8" t="s">
        <v>18</v>
      </c>
      <c r="C63" s="7" t="s">
        <v>14</v>
      </c>
      <c r="D63" s="7" t="s">
        <v>5</v>
      </c>
      <c r="E63">
        <v>4611.4979380860859</v>
      </c>
      <c r="F63">
        <v>1.5208182536291428</v>
      </c>
      <c r="G63">
        <v>0.38196210706938039</v>
      </c>
      <c r="H63">
        <v>0.38256399188222628</v>
      </c>
      <c r="I63">
        <v>0.99295242255224792</v>
      </c>
      <c r="J63">
        <f t="shared" si="0"/>
        <v>1.0055131398719308</v>
      </c>
      <c r="K63">
        <f t="shared" si="1"/>
        <v>1.0070975983216166</v>
      </c>
      <c r="L63">
        <f t="shared" si="2"/>
        <v>0.99842670814395107</v>
      </c>
      <c r="M63">
        <v>15</v>
      </c>
      <c r="N63">
        <v>0.4636648591171596</v>
      </c>
      <c r="O63">
        <v>150</v>
      </c>
      <c r="P63">
        <v>150</v>
      </c>
      <c r="Q63">
        <v>10</v>
      </c>
      <c r="R63">
        <f t="shared" si="3"/>
        <v>0.22500000000000001</v>
      </c>
      <c r="T63" t="s">
        <v>41</v>
      </c>
      <c r="W63" s="13">
        <f t="shared" si="4"/>
        <v>1.0231769739500829</v>
      </c>
      <c r="X63" s="9">
        <f t="shared" si="5"/>
        <v>0.111</v>
      </c>
      <c r="Y63" s="13">
        <f t="shared" si="6"/>
        <v>0.38639833903856602</v>
      </c>
      <c r="Z63" s="9">
        <f t="shared" si="7"/>
        <v>0.93</v>
      </c>
      <c r="AA63" s="9">
        <f t="shared" si="8"/>
        <v>0.97523851688068564</v>
      </c>
      <c r="AB63" s="9">
        <f t="shared" si="9"/>
        <v>0.38556433476990382</v>
      </c>
      <c r="AC63" s="9">
        <f t="shared" si="10"/>
        <v>1.0094308509505345</v>
      </c>
    </row>
    <row r="64" spans="1:29" x14ac:dyDescent="0.35">
      <c r="A64" s="7">
        <v>61</v>
      </c>
      <c r="B64" s="8" t="s">
        <v>25</v>
      </c>
      <c r="C64" s="7" t="s">
        <v>23</v>
      </c>
      <c r="D64" s="7" t="s">
        <v>5</v>
      </c>
      <c r="E64">
        <v>3190.6742296388325</v>
      </c>
      <c r="F64">
        <v>1.5268599045469813</v>
      </c>
      <c r="G64">
        <v>0.39863271325927602</v>
      </c>
      <c r="H64">
        <v>0.40032095841406373</v>
      </c>
      <c r="I64">
        <v>0.96994205697730562</v>
      </c>
      <c r="J64">
        <f t="shared" si="0"/>
        <v>1.0266415027966542</v>
      </c>
      <c r="K64">
        <f t="shared" si="1"/>
        <v>1.0309894212818917</v>
      </c>
      <c r="L64">
        <f t="shared" si="2"/>
        <v>0.9957827710008591</v>
      </c>
      <c r="M64">
        <v>32.4</v>
      </c>
      <c r="N64">
        <v>0.49468176913818818</v>
      </c>
      <c r="O64">
        <v>180</v>
      </c>
      <c r="P64">
        <v>100</v>
      </c>
      <c r="Q64">
        <v>10</v>
      </c>
      <c r="R64">
        <f t="shared" si="3"/>
        <v>0.18</v>
      </c>
      <c r="T64" t="s">
        <v>41</v>
      </c>
      <c r="W64" s="13">
        <f t="shared" si="4"/>
        <v>1.017904099246508</v>
      </c>
      <c r="X64" s="9">
        <f t="shared" si="5"/>
        <v>0.111</v>
      </c>
      <c r="Y64" s="13">
        <f t="shared" si="6"/>
        <v>0.38368664118134277</v>
      </c>
      <c r="Z64" s="9">
        <f t="shared" si="7"/>
        <v>0.93</v>
      </c>
      <c r="AA64" s="9">
        <f t="shared" si="8"/>
        <v>0.97998417600878351</v>
      </c>
      <c r="AB64" s="9">
        <f t="shared" si="9"/>
        <v>0.38273890062896493</v>
      </c>
      <c r="AC64" s="9">
        <f t="shared" si="10"/>
        <v>0.96012918131991454</v>
      </c>
    </row>
    <row r="65" spans="1:29" x14ac:dyDescent="0.35">
      <c r="A65" s="7">
        <v>62</v>
      </c>
      <c r="B65" s="8" t="s">
        <v>7</v>
      </c>
      <c r="C65" s="7" t="s">
        <v>9</v>
      </c>
      <c r="D65" s="7" t="s">
        <v>5</v>
      </c>
      <c r="E65">
        <v>2500.144427985419</v>
      </c>
      <c r="F65">
        <v>1.5198104800115733</v>
      </c>
      <c r="G65">
        <v>0.39964878071342541</v>
      </c>
      <c r="H65">
        <v>0.40382411348856839</v>
      </c>
      <c r="I65">
        <v>0.93226749023587507</v>
      </c>
      <c r="J65">
        <f t="shared" si="0"/>
        <v>1.0615628312942003</v>
      </c>
      <c r="K65">
        <f t="shared" si="1"/>
        <v>1.072653514654885</v>
      </c>
      <c r="L65">
        <f t="shared" si="2"/>
        <v>0.98966051645833364</v>
      </c>
      <c r="M65">
        <v>44.326241134751783</v>
      </c>
      <c r="N65">
        <v>0.72920608838938017</v>
      </c>
      <c r="O65">
        <v>127</v>
      </c>
      <c r="P65">
        <v>76.199999999999989</v>
      </c>
      <c r="Q65">
        <v>4.7751999999999999</v>
      </c>
      <c r="R65">
        <f t="shared" si="3"/>
        <v>0.42440018107741062</v>
      </c>
      <c r="T65" t="s">
        <v>41</v>
      </c>
      <c r="W65" s="13">
        <f t="shared" si="4"/>
        <v>0.9282521142569965</v>
      </c>
      <c r="X65" s="9">
        <f t="shared" si="5"/>
        <v>0.111</v>
      </c>
      <c r="Y65" s="13">
        <f t="shared" si="6"/>
        <v>0.38685315038988194</v>
      </c>
      <c r="Z65" s="9">
        <f t="shared" si="7"/>
        <v>0.97</v>
      </c>
      <c r="AA65" s="9">
        <f t="shared" si="8"/>
        <v>1.0578280516977381</v>
      </c>
      <c r="AB65" s="9">
        <f t="shared" si="9"/>
        <v>0.37986314936895599</v>
      </c>
      <c r="AC65" s="9">
        <f t="shared" si="10"/>
        <v>0.95049245162427498</v>
      </c>
    </row>
    <row r="66" spans="1:29" x14ac:dyDescent="0.35">
      <c r="A66" s="7">
        <v>63</v>
      </c>
      <c r="B66" s="8" t="s">
        <v>3</v>
      </c>
      <c r="C66" s="7" t="s">
        <v>9</v>
      </c>
      <c r="D66" s="7" t="s">
        <v>5</v>
      </c>
      <c r="E66">
        <v>4852.832646998404</v>
      </c>
      <c r="F66">
        <v>1.5127256311483561</v>
      </c>
      <c r="G66">
        <v>0.38092473041506852</v>
      </c>
      <c r="H66">
        <v>0.38615700697245936</v>
      </c>
      <c r="I66">
        <v>0.82658617317379823</v>
      </c>
      <c r="J66">
        <f t="shared" si="0"/>
        <v>1.1934029660242575</v>
      </c>
      <c r="K66">
        <f t="shared" si="1"/>
        <v>1.2097952185195091</v>
      </c>
      <c r="L66">
        <f t="shared" si="2"/>
        <v>0.98645039074025131</v>
      </c>
      <c r="M66">
        <v>31.914893617021278</v>
      </c>
      <c r="N66">
        <v>0.97785999477711305</v>
      </c>
      <c r="O66">
        <v>152.39999999999998</v>
      </c>
      <c r="P66">
        <v>152.39999999999998</v>
      </c>
      <c r="Q66">
        <v>4.7751999999999999</v>
      </c>
      <c r="R66">
        <f t="shared" si="3"/>
        <v>1.0185604345857853</v>
      </c>
      <c r="T66" t="s">
        <v>41</v>
      </c>
      <c r="W66" s="13">
        <f t="shared" si="4"/>
        <v>0.79438844575593193</v>
      </c>
      <c r="X66" s="9">
        <f t="shared" si="5"/>
        <v>0.111</v>
      </c>
      <c r="Y66" s="13">
        <f t="shared" si="6"/>
        <v>0.39007078722108252</v>
      </c>
      <c r="Z66" s="9">
        <f t="shared" si="7"/>
        <v>0.97</v>
      </c>
      <c r="AA66" s="9">
        <f t="shared" si="8"/>
        <v>1.1564205634128724</v>
      </c>
      <c r="AB66" s="9">
        <f t="shared" si="9"/>
        <v>0.35833741074157482</v>
      </c>
      <c r="AC66" s="9">
        <f t="shared" si="10"/>
        <v>0.94070398199433836</v>
      </c>
    </row>
    <row r="67" spans="1:29" x14ac:dyDescent="0.35">
      <c r="A67" s="7">
        <v>64</v>
      </c>
      <c r="B67" s="8" t="s">
        <v>13</v>
      </c>
      <c r="C67" s="7" t="s">
        <v>23</v>
      </c>
      <c r="D67" s="7" t="s">
        <v>5</v>
      </c>
      <c r="E67">
        <v>1757.3722617388439</v>
      </c>
      <c r="F67">
        <v>1.5262000775356239</v>
      </c>
      <c r="G67">
        <v>0.33805153653177528</v>
      </c>
      <c r="H67">
        <v>0.40257044904593425</v>
      </c>
      <c r="I67">
        <v>0.69908870985217864</v>
      </c>
      <c r="J67">
        <f t="shared" si="0"/>
        <v>1.201181773839878</v>
      </c>
      <c r="K67">
        <f t="shared" si="1"/>
        <v>1.4304336286756063</v>
      </c>
      <c r="L67">
        <f t="shared" si="2"/>
        <v>0.83973261657167175</v>
      </c>
      <c r="M67">
        <v>143.99999999999997</v>
      </c>
      <c r="N67">
        <v>1.2486021351446748</v>
      </c>
      <c r="O67">
        <v>152.39999999999998</v>
      </c>
      <c r="P67">
        <v>50.8</v>
      </c>
      <c r="Q67">
        <v>3.1749999999999998</v>
      </c>
      <c r="R67">
        <f t="shared" si="3"/>
        <v>0.7679999999999999</v>
      </c>
      <c r="T67" t="s">
        <v>41</v>
      </c>
      <c r="W67" s="13">
        <f t="shared" si="4"/>
        <v>0.69817199583094369</v>
      </c>
      <c r="X67" s="9">
        <f t="shared" si="5"/>
        <v>0.111</v>
      </c>
      <c r="Y67" s="13">
        <f t="shared" si="6"/>
        <v>0.38398155403651318</v>
      </c>
      <c r="Z67" s="9">
        <f t="shared" si="7"/>
        <v>1</v>
      </c>
      <c r="AA67" s="9">
        <f t="shared" si="8"/>
        <v>1.2366894231461296</v>
      </c>
      <c r="AB67" s="9">
        <f t="shared" si="9"/>
        <v>0.33153809169862414</v>
      </c>
      <c r="AC67" s="9">
        <f t="shared" si="10"/>
        <v>0.98073239098400344</v>
      </c>
    </row>
    <row r="68" spans="1:29" x14ac:dyDescent="0.35">
      <c r="A68" s="7">
        <v>65</v>
      </c>
      <c r="B68" s="8" t="s">
        <v>12</v>
      </c>
      <c r="C68" s="7" t="s">
        <v>22</v>
      </c>
      <c r="D68" s="7" t="s">
        <v>5</v>
      </c>
      <c r="E68">
        <v>1560.3619525236459</v>
      </c>
      <c r="F68">
        <v>1.5289579626906391</v>
      </c>
      <c r="G68">
        <v>0.28776639339481036</v>
      </c>
      <c r="H68">
        <v>0.40150285117289131</v>
      </c>
      <c r="I68">
        <v>0.61817169335414068</v>
      </c>
      <c r="J68">
        <f t="shared" si="0"/>
        <v>1.1594241059199144</v>
      </c>
      <c r="K68">
        <f t="shared" si="1"/>
        <v>1.6176735537243632</v>
      </c>
      <c r="L68">
        <f t="shared" si="2"/>
        <v>0.71672316287212401</v>
      </c>
      <c r="M68">
        <v>205.71428571428569</v>
      </c>
      <c r="N68">
        <v>1.5433014163427179</v>
      </c>
      <c r="O68">
        <v>152.39999999999998</v>
      </c>
      <c r="P68">
        <v>44.449999999999996</v>
      </c>
      <c r="Q68">
        <v>2.54</v>
      </c>
      <c r="R68">
        <f t="shared" si="3"/>
        <v>1.0499999999999998</v>
      </c>
      <c r="T68" t="s">
        <v>41</v>
      </c>
      <c r="W68" s="13">
        <f t="shared" si="4"/>
        <v>0.61304951572697841</v>
      </c>
      <c r="X68" s="9">
        <f t="shared" si="5"/>
        <v>0.111</v>
      </c>
      <c r="Y68" s="13">
        <f t="shared" si="6"/>
        <v>0.38275091613480017</v>
      </c>
      <c r="Z68" s="9">
        <f t="shared" si="7"/>
        <v>1</v>
      </c>
      <c r="AA68" s="9">
        <f t="shared" si="8"/>
        <v>1.2917297521984086</v>
      </c>
      <c r="AB68" s="9">
        <f t="shared" si="9"/>
        <v>0.30309826843771104</v>
      </c>
      <c r="AC68" s="9">
        <f t="shared" si="10"/>
        <v>1.0532788935567803</v>
      </c>
    </row>
    <row r="69" spans="1:29" x14ac:dyDescent="0.35">
      <c r="A69" s="7">
        <v>66</v>
      </c>
      <c r="B69" s="8" t="s">
        <v>17</v>
      </c>
      <c r="C69" s="7" t="s">
        <v>14</v>
      </c>
      <c r="D69" s="7" t="s">
        <v>5</v>
      </c>
      <c r="E69">
        <v>9229.5479621594804</v>
      </c>
      <c r="F69">
        <v>1.9562606567481391</v>
      </c>
      <c r="G69">
        <v>0.24038260071357423</v>
      </c>
      <c r="H69">
        <v>0.24108273180216472</v>
      </c>
      <c r="I69">
        <v>1.0195426195426194</v>
      </c>
      <c r="J69">
        <f t="shared" ref="J69:J132" si="11">G69/(H69*I69)</f>
        <v>0.97798352866814098</v>
      </c>
      <c r="K69">
        <f t="shared" ref="K69:K132" si="12">1/I69</f>
        <v>0.98083197389885823</v>
      </c>
      <c r="L69">
        <f t="shared" ref="L69:L132" si="13">J69/K69</f>
        <v>0.99709588868785082</v>
      </c>
      <c r="M69">
        <v>3.75</v>
      </c>
      <c r="N69">
        <v>0.22278490000813553</v>
      </c>
      <c r="O69">
        <v>300</v>
      </c>
      <c r="P69">
        <v>300</v>
      </c>
      <c r="Q69">
        <v>80</v>
      </c>
      <c r="R69">
        <f t="shared" ref="R69:R132" si="14">(O69/Q69)*(P69/Q69)*(0.001)</f>
        <v>1.40625E-2</v>
      </c>
      <c r="T69" t="s">
        <v>41</v>
      </c>
      <c r="W69" s="13">
        <f t="shared" ref="W69:W132" si="15">IF(OR($D69="",$F69="",$G69="",$N69="",$R69=""),"",
IF($N69&lt;=0.6,
 IF(TRIM($D69)="6061-T6",-0.17*$N69+1.102,
  IF(TRIM($D69)="6063-T6",-0.45*$N69+1.27,
   IF(TRIM($D69)="6082-T6",-0.5*$N69+1.3,""))),
 _xlfn.LET(_xlpm.alphaL,0.12+0.027*$R69,
     _xlpm.phiL,0.5*(1+_xlpm.alphaL*($N69-0.6)+$N69^0.55),
     MIN(1,1/(_xlpm.phiL+SQRT(MAX(0,_xlpm.phiL^2-$N69^0.55)))))
))</f>
        <v>1.0641265669986171</v>
      </c>
      <c r="X69" s="9">
        <f t="shared" ref="X69:X132" si="16">IF(OR($D69="",$F69="",$G69="",$N69="",$R69=""),"",
IF(TRIM($D69)="6061-T6",0.111,
 IF(TRIM($D69)="6063-T6",0.188,
  IF(TRIM($D69)="6082-T6",0.126,""))))</f>
        <v>0.111</v>
      </c>
      <c r="Y69" s="13">
        <f t="shared" ref="Y69:Y132" si="17">IF(OR($D69="",$F69="",$G69="",$N69="",$R69="",$X69=""),"",
_xlfn.LET(_xlpm.alphaG,$X69,
    _xlpm.phiG,0.5*(1+_xlpm.alphaG*$F69+$F69^2),
    MIN(1,1/(_xlpm.phiG+SQRT(MAX(0,_xlpm.phiG^2-$F69^2)))))
)</f>
        <v>0.24308211438109029</v>
      </c>
      <c r="Z69" s="9">
        <f t="shared" ref="Z69:Z132" si="18">IF(OR($D69="",$F69="",$G69="",$N69="",$R69="",$W69=""),"",
IF($W69&lt;=0.7,1,
 IF($W69&lt;=0.95,0.97,0.93)))</f>
        <v>0.93</v>
      </c>
      <c r="AA69" s="9">
        <f t="shared" ref="AA69:AA132" si="19">IF(OR($D69="",$F69="",$G69="",$N69="",$R69="",$W69="",$Z69=""),"",
IF($F69&lt;=0.6,$Z69,
 IF($F69&lt;=1.6/$W69,
   ((1/$W69-$Z69)/((1.6/$W69)-0.6))*($F69-0.6)+$Z69,
   1/$W69)))</f>
        <v>0.93973783853598647</v>
      </c>
      <c r="AB69" s="9">
        <f t="shared" ref="AB69:AB132" si="20">IF(OR($W69="",$Y69="",$AA69=""),"",$W69*$Y69*$AA69)</f>
        <v>0.24308211438109029</v>
      </c>
      <c r="AC69" s="9">
        <f t="shared" ref="AC69:AC132" si="21">IF(OR($AB69="",$G69=""),"",IFERROR($AB69/$G69,""))</f>
        <v>1.0112300709764457</v>
      </c>
    </row>
    <row r="70" spans="1:29" x14ac:dyDescent="0.35">
      <c r="A70" s="7">
        <v>67</v>
      </c>
      <c r="B70" s="8" t="s">
        <v>24</v>
      </c>
      <c r="C70" s="7" t="s">
        <v>23</v>
      </c>
      <c r="D70" s="7" t="s">
        <v>5</v>
      </c>
      <c r="E70">
        <v>4827.869300650219</v>
      </c>
      <c r="F70">
        <v>1.9104302743412696</v>
      </c>
      <c r="G70">
        <v>0.25944608565083493</v>
      </c>
      <c r="H70">
        <v>0.26120741081417315</v>
      </c>
      <c r="I70">
        <v>1.1440173168380969</v>
      </c>
      <c r="J70">
        <f t="shared" si="11"/>
        <v>0.8682184890285255</v>
      </c>
      <c r="K70">
        <f t="shared" si="12"/>
        <v>0.87411264259867971</v>
      </c>
      <c r="L70">
        <f t="shared" si="13"/>
        <v>0.99325698624764047</v>
      </c>
      <c r="M70">
        <v>9.9206349206349209</v>
      </c>
      <c r="N70">
        <v>0.28586452749971264</v>
      </c>
      <c r="O70">
        <v>250</v>
      </c>
      <c r="P70">
        <v>150</v>
      </c>
      <c r="Q70">
        <v>42</v>
      </c>
      <c r="R70">
        <f t="shared" si="14"/>
        <v>2.1258503401360547E-2</v>
      </c>
      <c r="T70" t="s">
        <v>41</v>
      </c>
      <c r="W70" s="13">
        <f t="shared" si="15"/>
        <v>1.053403030325049</v>
      </c>
      <c r="X70" s="9">
        <f t="shared" si="16"/>
        <v>0.111</v>
      </c>
      <c r="Y70" s="13">
        <f t="shared" si="17"/>
        <v>0.25418931182207316</v>
      </c>
      <c r="Z70" s="9">
        <f t="shared" si="18"/>
        <v>0.93</v>
      </c>
      <c r="AA70" s="9">
        <f t="shared" si="19"/>
        <v>0.94930427501374248</v>
      </c>
      <c r="AB70" s="9">
        <f t="shared" si="20"/>
        <v>0.25418931182207316</v>
      </c>
      <c r="AC70" s="9">
        <f t="shared" si="21"/>
        <v>0.9797384731568608</v>
      </c>
    </row>
    <row r="71" spans="1:29" x14ac:dyDescent="0.35">
      <c r="A71" s="7">
        <v>68</v>
      </c>
      <c r="B71" s="8" t="s">
        <v>15</v>
      </c>
      <c r="C71" s="7" t="s">
        <v>14</v>
      </c>
      <c r="D71" s="7" t="s">
        <v>5</v>
      </c>
      <c r="E71">
        <v>8588.3208365192786</v>
      </c>
      <c r="F71">
        <v>1.8527946221249463</v>
      </c>
      <c r="G71">
        <v>0.26704085956702261</v>
      </c>
      <c r="H71">
        <v>0.26747814219756788</v>
      </c>
      <c r="I71" t="s">
        <v>30</v>
      </c>
      <c r="J71" t="e">
        <f t="shared" si="11"/>
        <v>#VALUE!</v>
      </c>
      <c r="K71" t="e">
        <f t="shared" si="12"/>
        <v>#VALUE!</v>
      </c>
      <c r="L71" t="e">
        <f t="shared" si="13"/>
        <v>#VALUE!</v>
      </c>
      <c r="M71">
        <v>7.1428571428571432</v>
      </c>
      <c r="N71">
        <v>0.23457435445571082</v>
      </c>
      <c r="O71">
        <v>250</v>
      </c>
      <c r="P71">
        <v>250</v>
      </c>
      <c r="Q71">
        <v>35</v>
      </c>
      <c r="R71">
        <f t="shared" si="14"/>
        <v>5.1020408163265307E-2</v>
      </c>
      <c r="T71" t="s">
        <v>41</v>
      </c>
      <c r="W71" s="13">
        <f t="shared" si="15"/>
        <v>1.0621223597425293</v>
      </c>
      <c r="X71" s="9">
        <f t="shared" si="16"/>
        <v>0.111</v>
      </c>
      <c r="Y71" s="13">
        <f t="shared" si="17"/>
        <v>0.26923133695929341</v>
      </c>
      <c r="Z71" s="9">
        <f t="shared" si="18"/>
        <v>0.93</v>
      </c>
      <c r="AA71" s="9">
        <f t="shared" si="19"/>
        <v>0.94151110823277606</v>
      </c>
      <c r="AB71" s="9">
        <f t="shared" si="20"/>
        <v>0.26923133695929341</v>
      </c>
      <c r="AC71" s="9">
        <f t="shared" si="21"/>
        <v>1.0082027798885249</v>
      </c>
    </row>
    <row r="72" spans="1:29" x14ac:dyDescent="0.35">
      <c r="A72" s="7">
        <v>69</v>
      </c>
      <c r="B72" s="8" t="s">
        <v>11</v>
      </c>
      <c r="C72" s="7" t="s">
        <v>22</v>
      </c>
      <c r="D72" s="7" t="s">
        <v>5</v>
      </c>
      <c r="E72">
        <v>1807.4326058601164</v>
      </c>
      <c r="F72">
        <v>1.8528261467874236</v>
      </c>
      <c r="G72">
        <v>0.27704817456799691</v>
      </c>
      <c r="H72">
        <v>0.27843000166807758</v>
      </c>
      <c r="I72">
        <v>1.084498874027972</v>
      </c>
      <c r="J72">
        <f t="shared" si="11"/>
        <v>0.91750862932732757</v>
      </c>
      <c r="K72">
        <f t="shared" si="12"/>
        <v>0.92208486698180514</v>
      </c>
      <c r="L72">
        <f t="shared" si="13"/>
        <v>0.99503707541643471</v>
      </c>
      <c r="M72">
        <v>21.333333333333336</v>
      </c>
      <c r="N72">
        <v>0.32083911768776124</v>
      </c>
      <c r="O72">
        <v>101.6</v>
      </c>
      <c r="P72">
        <v>50.8</v>
      </c>
      <c r="Q72">
        <v>9.5249999999999986</v>
      </c>
      <c r="R72">
        <f t="shared" si="14"/>
        <v>5.6888888888888899E-2</v>
      </c>
      <c r="T72" t="s">
        <v>41</v>
      </c>
      <c r="W72" s="13">
        <f t="shared" si="15"/>
        <v>1.0474573499930806</v>
      </c>
      <c r="X72" s="9">
        <f t="shared" si="16"/>
        <v>0.111</v>
      </c>
      <c r="Y72" s="13">
        <f t="shared" si="17"/>
        <v>0.26922276187252853</v>
      </c>
      <c r="Z72" s="9">
        <f t="shared" si="18"/>
        <v>0.93</v>
      </c>
      <c r="AA72" s="9">
        <f t="shared" si="19"/>
        <v>0.95469280921710642</v>
      </c>
      <c r="AB72" s="9">
        <f t="shared" si="20"/>
        <v>0.26922276187252853</v>
      </c>
      <c r="AC72" s="9">
        <f t="shared" si="21"/>
        <v>0.97175432500982695</v>
      </c>
    </row>
    <row r="73" spans="1:29" x14ac:dyDescent="0.35">
      <c r="A73" s="7">
        <v>70</v>
      </c>
      <c r="B73" s="8" t="s">
        <v>8</v>
      </c>
      <c r="C73" s="7" t="s">
        <v>9</v>
      </c>
      <c r="D73" s="7" t="s">
        <v>5</v>
      </c>
      <c r="E73">
        <v>3724.6656123627513</v>
      </c>
      <c r="F73">
        <v>1.837248329205295</v>
      </c>
      <c r="G73">
        <v>0.28252205321577928</v>
      </c>
      <c r="H73">
        <v>0.28334713841791948</v>
      </c>
      <c r="I73">
        <v>1.0413746964503248</v>
      </c>
      <c r="J73">
        <f t="shared" si="11"/>
        <v>0.95747292483623914</v>
      </c>
      <c r="K73">
        <f t="shared" si="12"/>
        <v>0.96026915519326872</v>
      </c>
      <c r="L73">
        <f t="shared" si="13"/>
        <v>0.99708807646074316</v>
      </c>
      <c r="M73">
        <v>17.999999999999996</v>
      </c>
      <c r="N73">
        <v>0.34216420507019119</v>
      </c>
      <c r="O73">
        <v>152.39999999999998</v>
      </c>
      <c r="P73">
        <v>101.6</v>
      </c>
      <c r="Q73">
        <v>12.7</v>
      </c>
      <c r="R73">
        <f t="shared" si="14"/>
        <v>9.5999999999999988E-2</v>
      </c>
      <c r="T73" t="s">
        <v>41</v>
      </c>
      <c r="W73" s="13">
        <f t="shared" si="15"/>
        <v>1.0438320851380676</v>
      </c>
      <c r="X73" s="9">
        <f t="shared" si="16"/>
        <v>0.111</v>
      </c>
      <c r="Y73" s="13">
        <f t="shared" si="17"/>
        <v>0.27350853737928565</v>
      </c>
      <c r="Z73" s="9">
        <f t="shared" si="18"/>
        <v>0.93</v>
      </c>
      <c r="AA73" s="9">
        <f t="shared" si="19"/>
        <v>0.95800849029059121</v>
      </c>
      <c r="AB73" s="9">
        <f t="shared" si="20"/>
        <v>0.27350853737928565</v>
      </c>
      <c r="AC73" s="9">
        <f t="shared" si="21"/>
        <v>0.96809623980182014</v>
      </c>
    </row>
    <row r="74" spans="1:29" x14ac:dyDescent="0.35">
      <c r="A74" s="7">
        <v>71</v>
      </c>
      <c r="B74" s="8" t="s">
        <v>16</v>
      </c>
      <c r="C74" s="7" t="s">
        <v>14</v>
      </c>
      <c r="D74" s="7" t="s">
        <v>5</v>
      </c>
      <c r="E74">
        <v>9102.3547253468914</v>
      </c>
      <c r="F74">
        <v>1.8269606348279521</v>
      </c>
      <c r="G74">
        <v>0.27426277746800237</v>
      </c>
      <c r="H74">
        <v>0.27470850506733324</v>
      </c>
      <c r="I74">
        <v>1.0155249931690029</v>
      </c>
      <c r="J74">
        <f t="shared" si="11"/>
        <v>0.9831146049691204</v>
      </c>
      <c r="K74">
        <f t="shared" si="12"/>
        <v>0.98471234753114611</v>
      </c>
      <c r="L74">
        <f t="shared" si="13"/>
        <v>0.99837745249561305</v>
      </c>
      <c r="M74">
        <v>12.5</v>
      </c>
      <c r="N74">
        <v>0.38895724243152341</v>
      </c>
      <c r="O74">
        <v>250</v>
      </c>
      <c r="P74">
        <v>250</v>
      </c>
      <c r="Q74">
        <v>20</v>
      </c>
      <c r="R74">
        <f t="shared" si="14"/>
        <v>0.15625</v>
      </c>
      <c r="T74" t="s">
        <v>41</v>
      </c>
      <c r="W74" s="13">
        <f t="shared" si="15"/>
        <v>1.0358772687866411</v>
      </c>
      <c r="X74" s="9">
        <f t="shared" si="16"/>
        <v>0.111</v>
      </c>
      <c r="Y74" s="13">
        <f t="shared" si="17"/>
        <v>0.27639292808182903</v>
      </c>
      <c r="Z74" s="9">
        <f t="shared" si="18"/>
        <v>0.93</v>
      </c>
      <c r="AA74" s="9">
        <f t="shared" si="19"/>
        <v>0.96536532862752611</v>
      </c>
      <c r="AB74" s="9">
        <f t="shared" si="20"/>
        <v>0.27639292808182903</v>
      </c>
      <c r="AC74" s="9">
        <f t="shared" si="21"/>
        <v>1.0077668236043267</v>
      </c>
    </row>
    <row r="75" spans="1:29" x14ac:dyDescent="0.35">
      <c r="A75" s="7">
        <v>72</v>
      </c>
      <c r="B75" s="8" t="s">
        <v>10</v>
      </c>
      <c r="C75" s="7" t="s">
        <v>22</v>
      </c>
      <c r="D75" s="7" t="s">
        <v>5</v>
      </c>
      <c r="E75">
        <v>1416.2465541893278</v>
      </c>
      <c r="F75">
        <v>1.842383679312656</v>
      </c>
      <c r="G75">
        <v>0.27993366366106737</v>
      </c>
      <c r="H75">
        <v>0.28187354461589276</v>
      </c>
      <c r="I75">
        <v>0.97189540344618819</v>
      </c>
      <c r="J75">
        <f t="shared" si="11"/>
        <v>1.0218361975040431</v>
      </c>
      <c r="K75">
        <f t="shared" si="12"/>
        <v>1.0289173057657823</v>
      </c>
      <c r="L75">
        <f t="shared" si="13"/>
        <v>0.99311790342911077</v>
      </c>
      <c r="M75">
        <v>42.666666666666671</v>
      </c>
      <c r="N75">
        <v>0.43255198362904806</v>
      </c>
      <c r="O75">
        <v>101.6</v>
      </c>
      <c r="P75">
        <v>38.099999999999994</v>
      </c>
      <c r="Q75">
        <v>6.35</v>
      </c>
      <c r="R75">
        <f t="shared" si="14"/>
        <v>9.5999999999999988E-2</v>
      </c>
      <c r="T75" t="s">
        <v>41</v>
      </c>
      <c r="W75" s="13">
        <f t="shared" si="15"/>
        <v>1.028466162783062</v>
      </c>
      <c r="X75" s="9">
        <f t="shared" si="16"/>
        <v>0.111</v>
      </c>
      <c r="Y75" s="13">
        <f t="shared" si="17"/>
        <v>0.27208490855104533</v>
      </c>
      <c r="Z75" s="9">
        <f t="shared" si="18"/>
        <v>0.93</v>
      </c>
      <c r="AA75" s="9">
        <f t="shared" si="19"/>
        <v>0.9723217313187712</v>
      </c>
      <c r="AB75" s="9">
        <f t="shared" si="20"/>
        <v>0.27208490855104533</v>
      </c>
      <c r="AC75" s="9">
        <f t="shared" si="21"/>
        <v>0.97196208913435655</v>
      </c>
    </row>
    <row r="76" spans="1:29" x14ac:dyDescent="0.35">
      <c r="A76" s="7">
        <v>73</v>
      </c>
      <c r="B76" s="8" t="s">
        <v>18</v>
      </c>
      <c r="C76" s="7" t="s">
        <v>14</v>
      </c>
      <c r="D76" s="7" t="s">
        <v>5</v>
      </c>
      <c r="E76">
        <v>5533.797525703304</v>
      </c>
      <c r="F76">
        <v>1.8225649590039736</v>
      </c>
      <c r="G76">
        <v>0.27542013885921152</v>
      </c>
      <c r="H76">
        <v>0.27594911582846526</v>
      </c>
      <c r="I76">
        <v>0.99295242255224792</v>
      </c>
      <c r="J76">
        <f t="shared" si="11"/>
        <v>1.0051670560413724</v>
      </c>
      <c r="K76">
        <f t="shared" si="12"/>
        <v>1.0070975983216166</v>
      </c>
      <c r="L76">
        <f t="shared" si="13"/>
        <v>0.99808306336599195</v>
      </c>
      <c r="M76">
        <v>15</v>
      </c>
      <c r="N76">
        <v>0.4636648591171596</v>
      </c>
      <c r="O76">
        <v>150</v>
      </c>
      <c r="P76">
        <v>150</v>
      </c>
      <c r="Q76">
        <v>10</v>
      </c>
      <c r="R76">
        <f t="shared" si="14"/>
        <v>0.22500000000000001</v>
      </c>
      <c r="T76" t="s">
        <v>41</v>
      </c>
      <c r="W76" s="13">
        <f t="shared" si="15"/>
        <v>1.0231769739500829</v>
      </c>
      <c r="X76" s="9">
        <f t="shared" si="16"/>
        <v>0.111</v>
      </c>
      <c r="Y76" s="13">
        <f t="shared" si="17"/>
        <v>0.27763870281703107</v>
      </c>
      <c r="Z76" s="9">
        <f t="shared" si="18"/>
        <v>0.93</v>
      </c>
      <c r="AA76" s="9">
        <f t="shared" si="19"/>
        <v>0.97734803016470773</v>
      </c>
      <c r="AB76" s="9">
        <f t="shared" si="20"/>
        <v>0.27763870281703107</v>
      </c>
      <c r="AC76" s="9">
        <f t="shared" si="21"/>
        <v>1.0080551987483879</v>
      </c>
    </row>
    <row r="77" spans="1:29" x14ac:dyDescent="0.35">
      <c r="A77" s="7">
        <v>74</v>
      </c>
      <c r="B77" s="8" t="s">
        <v>25</v>
      </c>
      <c r="C77" s="7" t="s">
        <v>23</v>
      </c>
      <c r="D77" s="7" t="s">
        <v>5</v>
      </c>
      <c r="E77">
        <v>3828.8090755665994</v>
      </c>
      <c r="F77">
        <v>1.8283038330196857</v>
      </c>
      <c r="G77">
        <v>0.28516309448143778</v>
      </c>
      <c r="H77">
        <v>0.28643585469891691</v>
      </c>
      <c r="I77">
        <v>0.96994205697730562</v>
      </c>
      <c r="J77">
        <f t="shared" si="11"/>
        <v>1.0264082827877994</v>
      </c>
      <c r="K77">
        <f t="shared" si="12"/>
        <v>1.0309894212818917</v>
      </c>
      <c r="L77">
        <f t="shared" si="13"/>
        <v>0.99555656110574209</v>
      </c>
      <c r="M77">
        <v>32.4</v>
      </c>
      <c r="N77">
        <v>0.49468176913818818</v>
      </c>
      <c r="O77">
        <v>180</v>
      </c>
      <c r="P77">
        <v>100</v>
      </c>
      <c r="Q77">
        <v>10</v>
      </c>
      <c r="R77">
        <f t="shared" si="14"/>
        <v>0.18</v>
      </c>
      <c r="T77" t="s">
        <v>41</v>
      </c>
      <c r="W77" s="13">
        <f t="shared" si="15"/>
        <v>1.017904099246508</v>
      </c>
      <c r="X77" s="9">
        <f t="shared" si="16"/>
        <v>0.111</v>
      </c>
      <c r="Y77" s="13">
        <f t="shared" si="17"/>
        <v>0.27601385594476213</v>
      </c>
      <c r="Z77" s="9">
        <f t="shared" si="18"/>
        <v>0.93</v>
      </c>
      <c r="AA77" s="9">
        <f t="shared" si="19"/>
        <v>0.98241081919233708</v>
      </c>
      <c r="AB77" s="9">
        <f t="shared" si="20"/>
        <v>0.27601385594476208</v>
      </c>
      <c r="AC77" s="9">
        <f t="shared" si="21"/>
        <v>0.96791576920809697</v>
      </c>
    </row>
    <row r="78" spans="1:29" x14ac:dyDescent="0.35">
      <c r="A78" s="7">
        <v>75</v>
      </c>
      <c r="B78" s="8" t="s">
        <v>7</v>
      </c>
      <c r="C78" s="7" t="s">
        <v>9</v>
      </c>
      <c r="D78" s="7" t="s">
        <v>5</v>
      </c>
      <c r="E78">
        <v>3000.1733135825029</v>
      </c>
      <c r="F78">
        <v>1.8202365497172088</v>
      </c>
      <c r="G78">
        <v>0.28618606432069882</v>
      </c>
      <c r="H78">
        <v>0.2889708529534335</v>
      </c>
      <c r="I78">
        <v>0.93226749023587507</v>
      </c>
      <c r="J78">
        <f t="shared" si="11"/>
        <v>1.0623164398809277</v>
      </c>
      <c r="K78">
        <f t="shared" si="12"/>
        <v>1.072653514654885</v>
      </c>
      <c r="L78">
        <f t="shared" si="13"/>
        <v>0.99036308124410222</v>
      </c>
      <c r="M78">
        <v>44.326241134751783</v>
      </c>
      <c r="N78">
        <v>0.72920608838938017</v>
      </c>
      <c r="O78">
        <v>127</v>
      </c>
      <c r="P78">
        <v>76.199999999999989</v>
      </c>
      <c r="Q78">
        <v>4.7751999999999999</v>
      </c>
      <c r="R78">
        <f t="shared" si="14"/>
        <v>0.42440018107741062</v>
      </c>
      <c r="T78" t="s">
        <v>41</v>
      </c>
      <c r="W78" s="13">
        <f t="shared" si="15"/>
        <v>0.9282521142569965</v>
      </c>
      <c r="X78" s="9">
        <f t="shared" si="16"/>
        <v>0.111</v>
      </c>
      <c r="Y78" s="13">
        <f t="shared" si="17"/>
        <v>0.27830186592853379</v>
      </c>
      <c r="Z78" s="9">
        <f t="shared" si="18"/>
        <v>0.97</v>
      </c>
      <c r="AA78" s="9">
        <f t="shared" si="19"/>
        <v>1.0772935333418905</v>
      </c>
      <c r="AB78" s="9">
        <f t="shared" si="20"/>
        <v>0.27830186592853379</v>
      </c>
      <c r="AC78" s="9">
        <f t="shared" si="21"/>
        <v>0.97245079556588743</v>
      </c>
    </row>
    <row r="79" spans="1:29" x14ac:dyDescent="0.35">
      <c r="A79" s="7">
        <v>76</v>
      </c>
      <c r="B79" s="8" t="s">
        <v>3</v>
      </c>
      <c r="C79" s="7" t="s">
        <v>9</v>
      </c>
      <c r="D79" s="7" t="s">
        <v>5</v>
      </c>
      <c r="E79">
        <v>5823.3991763980839</v>
      </c>
      <c r="F79">
        <v>1.8129387105548591</v>
      </c>
      <c r="G79">
        <v>0.27552319397553049</v>
      </c>
      <c r="H79">
        <v>0.27848498303719749</v>
      </c>
      <c r="I79">
        <v>0.82658617317379823</v>
      </c>
      <c r="J79">
        <f t="shared" si="11"/>
        <v>1.1969286064458895</v>
      </c>
      <c r="K79">
        <f t="shared" si="12"/>
        <v>1.2097952185195091</v>
      </c>
      <c r="L79">
        <f t="shared" si="13"/>
        <v>0.98936463636435501</v>
      </c>
      <c r="M79">
        <v>31.914893617021278</v>
      </c>
      <c r="N79">
        <v>0.97785999477711305</v>
      </c>
      <c r="O79">
        <v>152.39999999999998</v>
      </c>
      <c r="P79">
        <v>152.39999999999998</v>
      </c>
      <c r="Q79">
        <v>4.7751999999999999</v>
      </c>
      <c r="R79">
        <f t="shared" si="14"/>
        <v>1.0185604345857853</v>
      </c>
      <c r="T79" t="s">
        <v>41</v>
      </c>
      <c r="W79" s="13">
        <f t="shared" si="15"/>
        <v>0.79438844575593193</v>
      </c>
      <c r="X79" s="9">
        <f t="shared" si="16"/>
        <v>0.111</v>
      </c>
      <c r="Y79" s="13">
        <f t="shared" si="17"/>
        <v>0.28039519068672719</v>
      </c>
      <c r="Z79" s="9">
        <f t="shared" si="18"/>
        <v>0.97</v>
      </c>
      <c r="AA79" s="9">
        <f t="shared" si="19"/>
        <v>1.2177378853954486</v>
      </c>
      <c r="AB79" s="9">
        <f t="shared" si="20"/>
        <v>0.27124222415291238</v>
      </c>
      <c r="AC79" s="9">
        <f t="shared" si="21"/>
        <v>0.9844623976629775</v>
      </c>
    </row>
    <row r="80" spans="1:29" x14ac:dyDescent="0.35">
      <c r="A80" s="7">
        <v>77</v>
      </c>
      <c r="B80" s="8" t="s">
        <v>13</v>
      </c>
      <c r="C80" s="7" t="s">
        <v>23</v>
      </c>
      <c r="D80" s="7" t="s">
        <v>5</v>
      </c>
      <c r="E80">
        <v>2108.8467140866128</v>
      </c>
      <c r="F80">
        <v>1.8244910157374075</v>
      </c>
      <c r="G80">
        <v>0.253805690787059</v>
      </c>
      <c r="H80">
        <v>0.28813829974582134</v>
      </c>
      <c r="I80">
        <v>0.69908870985217864</v>
      </c>
      <c r="J80">
        <f t="shared" si="11"/>
        <v>1.2599928422265108</v>
      </c>
      <c r="K80">
        <f t="shared" si="12"/>
        <v>1.4304336286756063</v>
      </c>
      <c r="L80">
        <f t="shared" si="13"/>
        <v>0.88084677049511106</v>
      </c>
      <c r="M80">
        <v>143.99999999999997</v>
      </c>
      <c r="N80">
        <v>1.2486021351446748</v>
      </c>
      <c r="O80">
        <v>152.39999999999998</v>
      </c>
      <c r="P80">
        <v>50.8</v>
      </c>
      <c r="Q80">
        <v>3.1749999999999998</v>
      </c>
      <c r="R80">
        <f t="shared" si="14"/>
        <v>0.7679999999999999</v>
      </c>
      <c r="T80" t="s">
        <v>41</v>
      </c>
      <c r="W80" s="13">
        <f t="shared" si="15"/>
        <v>0.69817199583094369</v>
      </c>
      <c r="X80" s="9">
        <f t="shared" si="16"/>
        <v>0.111</v>
      </c>
      <c r="Y80" s="13">
        <f t="shared" si="17"/>
        <v>0.2770918495982429</v>
      </c>
      <c r="Z80" s="9">
        <f t="shared" si="18"/>
        <v>1</v>
      </c>
      <c r="AA80" s="9">
        <f t="shared" si="19"/>
        <v>1.3129173481972183</v>
      </c>
      <c r="AB80" s="9">
        <f t="shared" si="20"/>
        <v>0.25399406193342849</v>
      </c>
      <c r="AC80" s="9">
        <f t="shared" si="21"/>
        <v>1.0007421864568338</v>
      </c>
    </row>
    <row r="81" spans="1:29" x14ac:dyDescent="0.35">
      <c r="A81" s="7">
        <v>78</v>
      </c>
      <c r="B81" s="8" t="s">
        <v>12</v>
      </c>
      <c r="C81" s="7" t="s">
        <v>22</v>
      </c>
      <c r="D81" s="7" t="s">
        <v>5</v>
      </c>
      <c r="E81">
        <v>1872.434343028375</v>
      </c>
      <c r="F81">
        <v>1.8267155528266967</v>
      </c>
      <c r="G81">
        <v>0.22303935149336546</v>
      </c>
      <c r="H81">
        <v>0.28754114891467664</v>
      </c>
      <c r="I81">
        <v>0.61817169335414068</v>
      </c>
      <c r="J81">
        <f t="shared" si="11"/>
        <v>1.254793832856643</v>
      </c>
      <c r="K81">
        <f t="shared" si="12"/>
        <v>1.6176735537243632</v>
      </c>
      <c r="L81">
        <f t="shared" si="13"/>
        <v>0.77567802846732359</v>
      </c>
      <c r="M81">
        <v>205.71428571428569</v>
      </c>
      <c r="N81">
        <v>1.5433014163427179</v>
      </c>
      <c r="O81">
        <v>152.39999999999998</v>
      </c>
      <c r="P81">
        <v>44.449999999999996</v>
      </c>
      <c r="Q81">
        <v>2.54</v>
      </c>
      <c r="R81">
        <f t="shared" si="14"/>
        <v>1.0499999999999998</v>
      </c>
      <c r="T81" t="s">
        <v>41</v>
      </c>
      <c r="W81" s="13">
        <f t="shared" si="15"/>
        <v>0.61304951572697841</v>
      </c>
      <c r="X81" s="9">
        <f t="shared" si="16"/>
        <v>0.111</v>
      </c>
      <c r="Y81" s="13">
        <f t="shared" si="17"/>
        <v>0.27646217488711089</v>
      </c>
      <c r="Z81" s="9">
        <f t="shared" si="18"/>
        <v>1</v>
      </c>
      <c r="AA81" s="9">
        <f t="shared" si="19"/>
        <v>1.3852374796460447</v>
      </c>
      <c r="AB81" s="9">
        <f t="shared" si="20"/>
        <v>0.23477697760583549</v>
      </c>
      <c r="AC81" s="9">
        <f t="shared" si="21"/>
        <v>1.0526258081091093</v>
      </c>
    </row>
    <row r="82" spans="1:29" x14ac:dyDescent="0.35">
      <c r="A82" s="7">
        <v>79</v>
      </c>
      <c r="B82" s="8" t="s">
        <v>17</v>
      </c>
      <c r="C82" s="7" t="s">
        <v>14</v>
      </c>
      <c r="D82" s="7" t="s">
        <v>5</v>
      </c>
      <c r="E82">
        <v>10767.805955852729</v>
      </c>
      <c r="F82">
        <v>2.2805322881544825</v>
      </c>
      <c r="G82">
        <v>0.18079031030711604</v>
      </c>
      <c r="H82">
        <v>0.18142517355840215</v>
      </c>
      <c r="I82">
        <v>1.0195426195426194</v>
      </c>
      <c r="J82">
        <f t="shared" si="11"/>
        <v>0.97739973699533744</v>
      </c>
      <c r="K82">
        <f t="shared" si="12"/>
        <v>0.98083197389885823</v>
      </c>
      <c r="L82">
        <f t="shared" si="13"/>
        <v>0.99650068819649351</v>
      </c>
      <c r="M82">
        <v>3.75</v>
      </c>
      <c r="N82">
        <v>0.22278490000813553</v>
      </c>
      <c r="O82">
        <v>300</v>
      </c>
      <c r="P82">
        <v>300</v>
      </c>
      <c r="Q82">
        <v>80</v>
      </c>
      <c r="R82">
        <f t="shared" si="14"/>
        <v>1.40625E-2</v>
      </c>
      <c r="T82" t="s">
        <v>41</v>
      </c>
      <c r="W82" s="13">
        <f t="shared" si="15"/>
        <v>1.0641265669986171</v>
      </c>
      <c r="X82" s="9">
        <f t="shared" si="16"/>
        <v>0.111</v>
      </c>
      <c r="Y82" s="13">
        <f t="shared" si="17"/>
        <v>0.18148511263352693</v>
      </c>
      <c r="Z82" s="9">
        <f t="shared" si="18"/>
        <v>0.93</v>
      </c>
      <c r="AA82" s="9">
        <f t="shared" si="19"/>
        <v>0.93973783853598647</v>
      </c>
      <c r="AB82" s="9">
        <f t="shared" si="20"/>
        <v>0.18148511263352693</v>
      </c>
      <c r="AC82" s="9">
        <f t="shared" si="21"/>
        <v>1.003843139188326</v>
      </c>
    </row>
    <row r="83" spans="1:29" x14ac:dyDescent="0.35">
      <c r="A83" s="7">
        <v>80</v>
      </c>
      <c r="B83" s="8" t="s">
        <v>24</v>
      </c>
      <c r="C83" s="7" t="s">
        <v>23</v>
      </c>
      <c r="D83" s="7" t="s">
        <v>5</v>
      </c>
      <c r="E83">
        <v>5632.5141840919232</v>
      </c>
      <c r="F83">
        <v>2.2261183403591125</v>
      </c>
      <c r="G83">
        <v>0.19444847775606122</v>
      </c>
      <c r="H83">
        <v>0.19594801181400293</v>
      </c>
      <c r="I83">
        <v>1.1440173168380969</v>
      </c>
      <c r="J83">
        <f t="shared" si="11"/>
        <v>0.86742330869873518</v>
      </c>
      <c r="K83">
        <f t="shared" si="12"/>
        <v>0.87411264259867971</v>
      </c>
      <c r="L83">
        <f t="shared" si="13"/>
        <v>0.99234728618035128</v>
      </c>
      <c r="M83">
        <v>9.9206349206349209</v>
      </c>
      <c r="N83">
        <v>0.28586452749971264</v>
      </c>
      <c r="O83">
        <v>250</v>
      </c>
      <c r="P83">
        <v>150</v>
      </c>
      <c r="Q83">
        <v>42</v>
      </c>
      <c r="R83">
        <f t="shared" si="14"/>
        <v>2.1258503401360547E-2</v>
      </c>
      <c r="T83" t="s">
        <v>41</v>
      </c>
      <c r="W83" s="13">
        <f t="shared" si="15"/>
        <v>1.053403030325049</v>
      </c>
      <c r="X83" s="9">
        <f t="shared" si="16"/>
        <v>0.111</v>
      </c>
      <c r="Y83" s="13">
        <f t="shared" si="17"/>
        <v>0.19008887970867316</v>
      </c>
      <c r="Z83" s="9">
        <f t="shared" si="18"/>
        <v>0.93</v>
      </c>
      <c r="AA83" s="9">
        <f t="shared" si="19"/>
        <v>0.94930427501374248</v>
      </c>
      <c r="AB83" s="9">
        <f t="shared" si="20"/>
        <v>0.19008887970867316</v>
      </c>
      <c r="AC83" s="9">
        <f t="shared" si="21"/>
        <v>0.97757967510109678</v>
      </c>
    </row>
    <row r="84" spans="1:29" x14ac:dyDescent="0.35">
      <c r="A84" s="7">
        <v>81</v>
      </c>
      <c r="B84" s="8" t="s">
        <v>15</v>
      </c>
      <c r="C84" s="7" t="s">
        <v>14</v>
      </c>
      <c r="D84" s="7" t="s">
        <v>5</v>
      </c>
      <c r="E84">
        <v>10019.707642605825</v>
      </c>
      <c r="F84">
        <v>2.159889175233439</v>
      </c>
      <c r="G84">
        <v>0.20076996038431025</v>
      </c>
      <c r="H84">
        <v>0.2012067183958495</v>
      </c>
      <c r="I84" t="s">
        <v>30</v>
      </c>
      <c r="J84" t="e">
        <f t="shared" si="11"/>
        <v>#VALUE!</v>
      </c>
      <c r="K84" t="e">
        <f t="shared" si="12"/>
        <v>#VALUE!</v>
      </c>
      <c r="L84" t="e">
        <f t="shared" si="13"/>
        <v>#VALUE!</v>
      </c>
      <c r="M84">
        <v>7.1428571428571432</v>
      </c>
      <c r="N84">
        <v>0.23457435445571082</v>
      </c>
      <c r="O84">
        <v>250</v>
      </c>
      <c r="P84">
        <v>250</v>
      </c>
      <c r="Q84">
        <v>35</v>
      </c>
      <c r="R84">
        <f t="shared" si="14"/>
        <v>5.1020408163265307E-2</v>
      </c>
      <c r="T84" t="s">
        <v>41</v>
      </c>
      <c r="W84" s="13">
        <f t="shared" si="15"/>
        <v>1.0621223597425293</v>
      </c>
      <c r="X84" s="9">
        <f t="shared" si="16"/>
        <v>0.111</v>
      </c>
      <c r="Y84" s="13">
        <f t="shared" si="17"/>
        <v>0.20139648649812236</v>
      </c>
      <c r="Z84" s="9">
        <f t="shared" si="18"/>
        <v>0.93</v>
      </c>
      <c r="AA84" s="9">
        <f t="shared" si="19"/>
        <v>0.94151110823277606</v>
      </c>
      <c r="AB84" s="9">
        <f t="shared" si="20"/>
        <v>0.20139648649812236</v>
      </c>
      <c r="AC84" s="9">
        <f t="shared" si="21"/>
        <v>1.0031206168124596</v>
      </c>
    </row>
    <row r="85" spans="1:29" x14ac:dyDescent="0.35">
      <c r="A85" s="7">
        <v>82</v>
      </c>
      <c r="B85" s="8" t="s">
        <v>11</v>
      </c>
      <c r="C85" s="7" t="s">
        <v>22</v>
      </c>
      <c r="D85" s="7" t="s">
        <v>5</v>
      </c>
      <c r="E85">
        <v>2108.6713735034691</v>
      </c>
      <c r="F85">
        <v>2.1583084348663566</v>
      </c>
      <c r="G85">
        <v>0.2074758493026691</v>
      </c>
      <c r="H85">
        <v>0.20869434993689856</v>
      </c>
      <c r="I85">
        <v>1.084498874027972</v>
      </c>
      <c r="J85">
        <f t="shared" si="11"/>
        <v>0.91670110361892332</v>
      </c>
      <c r="K85">
        <f t="shared" si="12"/>
        <v>0.92208486698180514</v>
      </c>
      <c r="L85">
        <f t="shared" si="13"/>
        <v>0.99416131469492164</v>
      </c>
      <c r="M85">
        <v>21.333333333333336</v>
      </c>
      <c r="N85">
        <v>0.32083911768776124</v>
      </c>
      <c r="O85">
        <v>101.6</v>
      </c>
      <c r="P85">
        <v>50.8</v>
      </c>
      <c r="Q85">
        <v>9.5249999999999986</v>
      </c>
      <c r="R85">
        <f t="shared" si="14"/>
        <v>5.6888888888888899E-2</v>
      </c>
      <c r="T85" t="s">
        <v>41</v>
      </c>
      <c r="W85" s="13">
        <f t="shared" si="15"/>
        <v>1.0474573499930806</v>
      </c>
      <c r="X85" s="9">
        <f t="shared" si="16"/>
        <v>0.111</v>
      </c>
      <c r="Y85" s="13">
        <f t="shared" si="17"/>
        <v>0.20167836007497839</v>
      </c>
      <c r="Z85" s="9">
        <f t="shared" si="18"/>
        <v>0.93</v>
      </c>
      <c r="AA85" s="9">
        <f t="shared" si="19"/>
        <v>0.95469280921710642</v>
      </c>
      <c r="AB85" s="9">
        <f t="shared" si="20"/>
        <v>0.20167836007497839</v>
      </c>
      <c r="AC85" s="9">
        <f t="shared" si="21"/>
        <v>0.97205704062821674</v>
      </c>
    </row>
    <row r="86" spans="1:29" x14ac:dyDescent="0.35">
      <c r="A86" s="7">
        <v>83</v>
      </c>
      <c r="B86" s="8" t="s">
        <v>8</v>
      </c>
      <c r="C86" s="7" t="s">
        <v>9</v>
      </c>
      <c r="D86" s="7" t="s">
        <v>5</v>
      </c>
      <c r="E86">
        <v>4345.4432144232096</v>
      </c>
      <c r="F86">
        <v>2.1410232234284807</v>
      </c>
      <c r="G86">
        <v>0.21151779777622348</v>
      </c>
      <c r="H86">
        <v>0.21231861077806041</v>
      </c>
      <c r="I86">
        <v>1.0413746964503248</v>
      </c>
      <c r="J86">
        <f t="shared" si="11"/>
        <v>0.95664725873339795</v>
      </c>
      <c r="K86">
        <f t="shared" si="12"/>
        <v>0.96026915519326872</v>
      </c>
      <c r="L86">
        <f t="shared" si="13"/>
        <v>0.99622824867352755</v>
      </c>
      <c r="M86">
        <v>17.999999999999996</v>
      </c>
      <c r="N86">
        <v>0.34216420507019119</v>
      </c>
      <c r="O86">
        <v>152.39999999999998</v>
      </c>
      <c r="P86">
        <v>101.6</v>
      </c>
      <c r="Q86">
        <v>12.7</v>
      </c>
      <c r="R86">
        <f t="shared" si="14"/>
        <v>9.5999999999999988E-2</v>
      </c>
      <c r="T86" t="s">
        <v>41</v>
      </c>
      <c r="W86" s="13">
        <f t="shared" si="15"/>
        <v>1.0438320851380676</v>
      </c>
      <c r="X86" s="9">
        <f t="shared" si="16"/>
        <v>0.111</v>
      </c>
      <c r="Y86" s="13">
        <f t="shared" si="17"/>
        <v>0.20479884067574167</v>
      </c>
      <c r="Z86" s="9">
        <f t="shared" si="18"/>
        <v>0.93</v>
      </c>
      <c r="AA86" s="9">
        <f t="shared" si="19"/>
        <v>0.95800849029059121</v>
      </c>
      <c r="AB86" s="9">
        <f t="shared" si="20"/>
        <v>0.20479884067574167</v>
      </c>
      <c r="AC86" s="9">
        <f t="shared" si="21"/>
        <v>0.96823455439154027</v>
      </c>
    </row>
    <row r="87" spans="1:29" x14ac:dyDescent="0.35">
      <c r="A87" s="7">
        <v>84</v>
      </c>
      <c r="B87" s="8" t="s">
        <v>16</v>
      </c>
      <c r="C87" s="7" t="s">
        <v>14</v>
      </c>
      <c r="D87" s="7" t="s">
        <v>5</v>
      </c>
      <c r="E87">
        <v>10619.41384623804</v>
      </c>
      <c r="F87">
        <v>2.129772535879157</v>
      </c>
      <c r="G87">
        <v>0.20610470435246409</v>
      </c>
      <c r="H87">
        <v>0.20653916761026542</v>
      </c>
      <c r="I87">
        <v>1.0155249931690029</v>
      </c>
      <c r="J87">
        <f t="shared" si="11"/>
        <v>0.98264096640060494</v>
      </c>
      <c r="K87">
        <f t="shared" si="12"/>
        <v>0.98471234753114611</v>
      </c>
      <c r="L87">
        <f t="shared" si="13"/>
        <v>0.9978964606915568</v>
      </c>
      <c r="M87">
        <v>12.5</v>
      </c>
      <c r="N87">
        <v>0.38895724243152341</v>
      </c>
      <c r="O87">
        <v>250</v>
      </c>
      <c r="P87">
        <v>250</v>
      </c>
      <c r="Q87">
        <v>20</v>
      </c>
      <c r="R87">
        <f t="shared" si="14"/>
        <v>0.15625</v>
      </c>
      <c r="T87" t="s">
        <v>41</v>
      </c>
      <c r="W87" s="13">
        <f t="shared" si="15"/>
        <v>1.0358772687866411</v>
      </c>
      <c r="X87" s="9">
        <f t="shared" si="16"/>
        <v>0.111</v>
      </c>
      <c r="Y87" s="13">
        <f t="shared" si="17"/>
        <v>0.20686819141882842</v>
      </c>
      <c r="Z87" s="9">
        <f t="shared" si="18"/>
        <v>0.93</v>
      </c>
      <c r="AA87" s="9">
        <f t="shared" si="19"/>
        <v>0.96536532862752611</v>
      </c>
      <c r="AB87" s="9">
        <f t="shared" si="20"/>
        <v>0.2068681914188284</v>
      </c>
      <c r="AC87" s="9">
        <f t="shared" si="21"/>
        <v>1.0037043650641697</v>
      </c>
    </row>
    <row r="88" spans="1:29" x14ac:dyDescent="0.35">
      <c r="A88" s="7">
        <v>85</v>
      </c>
      <c r="B88" s="8" t="s">
        <v>10</v>
      </c>
      <c r="C88" s="7" t="s">
        <v>22</v>
      </c>
      <c r="D88" s="7" t="s">
        <v>5</v>
      </c>
      <c r="E88">
        <v>1652.2876465542158</v>
      </c>
      <c r="F88">
        <v>2.1448864969407726</v>
      </c>
      <c r="G88">
        <v>0.20959004133262163</v>
      </c>
      <c r="H88">
        <v>0.21126379327429692</v>
      </c>
      <c r="I88">
        <v>0.97189540344618819</v>
      </c>
      <c r="J88">
        <f t="shared" si="11"/>
        <v>1.0207656375993739</v>
      </c>
      <c r="K88">
        <f t="shared" si="12"/>
        <v>1.0289173057657823</v>
      </c>
      <c r="L88">
        <f t="shared" si="13"/>
        <v>0.99207743117864899</v>
      </c>
      <c r="M88">
        <v>42.666666666666671</v>
      </c>
      <c r="N88">
        <v>0.43255198362904806</v>
      </c>
      <c r="O88">
        <v>101.6</v>
      </c>
      <c r="P88">
        <v>38.099999999999994</v>
      </c>
      <c r="Q88">
        <v>6.35</v>
      </c>
      <c r="R88">
        <f t="shared" si="14"/>
        <v>9.5999999999999988E-2</v>
      </c>
      <c r="T88" t="s">
        <v>41</v>
      </c>
      <c r="W88" s="13">
        <f t="shared" si="15"/>
        <v>1.028466162783062</v>
      </c>
      <c r="X88" s="9">
        <f t="shared" si="16"/>
        <v>0.111</v>
      </c>
      <c r="Y88" s="13">
        <f t="shared" si="17"/>
        <v>0.20409527854433035</v>
      </c>
      <c r="Z88" s="9">
        <f t="shared" si="18"/>
        <v>0.93</v>
      </c>
      <c r="AA88" s="9">
        <f t="shared" si="19"/>
        <v>0.9723217313187712</v>
      </c>
      <c r="AB88" s="9">
        <f t="shared" si="20"/>
        <v>0.20409527854433035</v>
      </c>
      <c r="AC88" s="9">
        <f t="shared" si="21"/>
        <v>0.97378328305412643</v>
      </c>
    </row>
    <row r="89" spans="1:29" x14ac:dyDescent="0.35">
      <c r="A89" s="7">
        <v>86</v>
      </c>
      <c r="B89" s="8" t="s">
        <v>18</v>
      </c>
      <c r="C89" s="7" t="s">
        <v>14</v>
      </c>
      <c r="D89" s="7" t="s">
        <v>5</v>
      </c>
      <c r="E89">
        <v>6456.0971133205212</v>
      </c>
      <c r="F89">
        <v>2.124611927251729</v>
      </c>
      <c r="G89">
        <v>0.20694370167746226</v>
      </c>
      <c r="H89">
        <v>0.20744046064155325</v>
      </c>
      <c r="I89">
        <v>0.99295242255224792</v>
      </c>
      <c r="J89">
        <f t="shared" si="11"/>
        <v>1.0046858954255975</v>
      </c>
      <c r="K89">
        <f t="shared" si="12"/>
        <v>1.0070975983216166</v>
      </c>
      <c r="L89">
        <f t="shared" si="13"/>
        <v>0.99760529376692153</v>
      </c>
      <c r="M89">
        <v>15</v>
      </c>
      <c r="N89">
        <v>0.4636648591171596</v>
      </c>
      <c r="O89">
        <v>150</v>
      </c>
      <c r="P89">
        <v>150</v>
      </c>
      <c r="Q89">
        <v>10</v>
      </c>
      <c r="R89">
        <f t="shared" si="14"/>
        <v>0.22500000000000001</v>
      </c>
      <c r="T89" t="s">
        <v>41</v>
      </c>
      <c r="W89" s="13">
        <f t="shared" si="15"/>
        <v>1.0231769739500829</v>
      </c>
      <c r="X89" s="9">
        <f t="shared" si="16"/>
        <v>0.111</v>
      </c>
      <c r="Y89" s="13">
        <f t="shared" si="17"/>
        <v>0.20782767783776443</v>
      </c>
      <c r="Z89" s="9">
        <f t="shared" si="18"/>
        <v>0.93</v>
      </c>
      <c r="AA89" s="9">
        <f t="shared" si="19"/>
        <v>0.97734803016470773</v>
      </c>
      <c r="AB89" s="9">
        <f t="shared" si="20"/>
        <v>0.20782767783776443</v>
      </c>
      <c r="AC89" s="9">
        <f t="shared" si="21"/>
        <v>1.0042715779853977</v>
      </c>
    </row>
    <row r="90" spans="1:29" x14ac:dyDescent="0.35">
      <c r="A90" s="7">
        <v>87</v>
      </c>
      <c r="B90" s="8" t="s">
        <v>25</v>
      </c>
      <c r="C90" s="7" t="s">
        <v>23</v>
      </c>
      <c r="D90" s="7" t="s">
        <v>5</v>
      </c>
      <c r="E90">
        <v>4466.943921494365</v>
      </c>
      <c r="F90">
        <v>2.1302400784398903</v>
      </c>
      <c r="G90">
        <v>0.21334503305962071</v>
      </c>
      <c r="H90">
        <v>0.21446120370652566</v>
      </c>
      <c r="I90">
        <v>0.96994205697730562</v>
      </c>
      <c r="J90">
        <f t="shared" si="11"/>
        <v>1.0256236016864786</v>
      </c>
      <c r="K90">
        <f t="shared" si="12"/>
        <v>1.0309894212818917</v>
      </c>
      <c r="L90">
        <f t="shared" si="13"/>
        <v>0.99479546590425583</v>
      </c>
      <c r="M90">
        <v>32.4</v>
      </c>
      <c r="N90">
        <v>0.49468176913818818</v>
      </c>
      <c r="O90">
        <v>180</v>
      </c>
      <c r="P90">
        <v>100</v>
      </c>
      <c r="Q90">
        <v>10</v>
      </c>
      <c r="R90">
        <f t="shared" si="14"/>
        <v>0.18</v>
      </c>
      <c r="T90" t="s">
        <v>41</v>
      </c>
      <c r="W90" s="13">
        <f t="shared" si="15"/>
        <v>1.017904099246508</v>
      </c>
      <c r="X90" s="9">
        <f t="shared" si="16"/>
        <v>0.111</v>
      </c>
      <c r="Y90" s="13">
        <f t="shared" si="17"/>
        <v>0.20678158521079257</v>
      </c>
      <c r="Z90" s="9">
        <f t="shared" si="18"/>
        <v>0.93</v>
      </c>
      <c r="AA90" s="9">
        <f t="shared" si="19"/>
        <v>0.98241081919233708</v>
      </c>
      <c r="AB90" s="9">
        <f t="shared" si="20"/>
        <v>0.20678158521079257</v>
      </c>
      <c r="AC90" s="9">
        <f t="shared" si="21"/>
        <v>0.96923552540829983</v>
      </c>
    </row>
    <row r="91" spans="1:29" x14ac:dyDescent="0.35">
      <c r="A91" s="7">
        <v>88</v>
      </c>
      <c r="B91" s="8" t="s">
        <v>7</v>
      </c>
      <c r="C91" s="7" t="s">
        <v>9</v>
      </c>
      <c r="D91" s="7" t="s">
        <v>5</v>
      </c>
      <c r="E91">
        <v>3500.2021991795868</v>
      </c>
      <c r="F91">
        <v>2.1210316251810237</v>
      </c>
      <c r="G91">
        <v>0.21420212735433775</v>
      </c>
      <c r="H91">
        <v>0.21626439147288379</v>
      </c>
      <c r="I91">
        <v>0.93226749023587507</v>
      </c>
      <c r="J91">
        <f t="shared" si="11"/>
        <v>1.0624248550043551</v>
      </c>
      <c r="K91">
        <f t="shared" si="12"/>
        <v>1.072653514654885</v>
      </c>
      <c r="L91">
        <f t="shared" si="13"/>
        <v>0.9904641531391235</v>
      </c>
      <c r="M91">
        <v>44.326241134751783</v>
      </c>
      <c r="N91">
        <v>0.72920608838938017</v>
      </c>
      <c r="O91">
        <v>127</v>
      </c>
      <c r="P91">
        <v>76.199999999999989</v>
      </c>
      <c r="Q91">
        <v>4.7751999999999999</v>
      </c>
      <c r="R91">
        <f t="shared" si="14"/>
        <v>0.42440018107741062</v>
      </c>
      <c r="T91" t="s">
        <v>41</v>
      </c>
      <c r="W91" s="13">
        <f t="shared" si="15"/>
        <v>0.9282521142569965</v>
      </c>
      <c r="X91" s="9">
        <f t="shared" si="16"/>
        <v>0.111</v>
      </c>
      <c r="Y91" s="13">
        <f t="shared" si="17"/>
        <v>0.208497191199771</v>
      </c>
      <c r="Z91" s="9">
        <f t="shared" si="18"/>
        <v>0.97</v>
      </c>
      <c r="AA91" s="9">
        <f t="shared" si="19"/>
        <v>1.0772935333418905</v>
      </c>
      <c r="AB91" s="9">
        <f t="shared" si="20"/>
        <v>0.208497191199771</v>
      </c>
      <c r="AC91" s="9">
        <f t="shared" si="21"/>
        <v>0.9733665756496922</v>
      </c>
    </row>
    <row r="92" spans="1:29" x14ac:dyDescent="0.35">
      <c r="A92" s="7">
        <v>89</v>
      </c>
      <c r="B92" s="8" t="s">
        <v>3</v>
      </c>
      <c r="C92" s="7" t="s">
        <v>9</v>
      </c>
      <c r="D92" s="7" t="s">
        <v>5</v>
      </c>
      <c r="E92">
        <v>6793.9657057977656</v>
      </c>
      <c r="F92">
        <v>2.1133969037606217</v>
      </c>
      <c r="G92">
        <v>0.2071064121604029</v>
      </c>
      <c r="H92">
        <v>0.20921917844645746</v>
      </c>
      <c r="I92">
        <v>0.82658617317379823</v>
      </c>
      <c r="J92">
        <f t="shared" si="11"/>
        <v>1.1975782957225767</v>
      </c>
      <c r="K92">
        <f t="shared" si="12"/>
        <v>1.2097952185195091</v>
      </c>
      <c r="L92">
        <f t="shared" si="13"/>
        <v>0.98990166053732387</v>
      </c>
      <c r="M92">
        <v>31.914893617021278</v>
      </c>
      <c r="N92">
        <v>0.97785999477711305</v>
      </c>
      <c r="O92">
        <v>152.39999999999998</v>
      </c>
      <c r="P92">
        <v>152.39999999999998</v>
      </c>
      <c r="Q92">
        <v>4.7751999999999999</v>
      </c>
      <c r="R92">
        <f t="shared" si="14"/>
        <v>1.0185604345857853</v>
      </c>
      <c r="T92" t="s">
        <v>41</v>
      </c>
      <c r="W92" s="13">
        <f t="shared" si="15"/>
        <v>0.79438844575593193</v>
      </c>
      <c r="X92" s="9">
        <f t="shared" si="16"/>
        <v>0.111</v>
      </c>
      <c r="Y92" s="13">
        <f t="shared" si="17"/>
        <v>0.20993549674331424</v>
      </c>
      <c r="Z92" s="9">
        <f t="shared" si="18"/>
        <v>0.97</v>
      </c>
      <c r="AA92" s="9">
        <f t="shared" si="19"/>
        <v>1.2588299909730059</v>
      </c>
      <c r="AB92" s="9">
        <f t="shared" si="20"/>
        <v>0.20993549674331421</v>
      </c>
      <c r="AC92" s="9">
        <f t="shared" si="21"/>
        <v>1.0136600530780293</v>
      </c>
    </row>
    <row r="93" spans="1:29" x14ac:dyDescent="0.35">
      <c r="A93" s="7">
        <v>90</v>
      </c>
      <c r="B93" s="8" t="s">
        <v>13</v>
      </c>
      <c r="C93" s="7" t="s">
        <v>23</v>
      </c>
      <c r="D93" s="7" t="s">
        <v>5</v>
      </c>
      <c r="E93">
        <v>2460.3211664343817</v>
      </c>
      <c r="F93">
        <v>2.1236898701374618</v>
      </c>
      <c r="G93">
        <v>0.19426787867772394</v>
      </c>
      <c r="H93">
        <v>0.21569638366288124</v>
      </c>
      <c r="I93">
        <v>0.69908870985217864</v>
      </c>
      <c r="J93">
        <f t="shared" si="11"/>
        <v>1.2883262200000907</v>
      </c>
      <c r="K93">
        <f t="shared" si="12"/>
        <v>1.4304336286756063</v>
      </c>
      <c r="L93">
        <f t="shared" si="13"/>
        <v>0.90065431500859749</v>
      </c>
      <c r="M93">
        <v>143.99999999999997</v>
      </c>
      <c r="N93">
        <v>1.2486021351446748</v>
      </c>
      <c r="O93">
        <v>152.39999999999998</v>
      </c>
      <c r="P93">
        <v>50.8</v>
      </c>
      <c r="Q93">
        <v>3.1749999999999998</v>
      </c>
      <c r="R93">
        <f t="shared" si="14"/>
        <v>0.7679999999999999</v>
      </c>
      <c r="T93" t="s">
        <v>41</v>
      </c>
      <c r="W93" s="13">
        <f t="shared" si="15"/>
        <v>0.69817199583094369</v>
      </c>
      <c r="X93" s="9">
        <f t="shared" si="16"/>
        <v>0.111</v>
      </c>
      <c r="Y93" s="13">
        <f t="shared" si="17"/>
        <v>0.2079997994935171</v>
      </c>
      <c r="Z93" s="9">
        <f t="shared" si="18"/>
        <v>1</v>
      </c>
      <c r="AA93" s="9">
        <f t="shared" si="19"/>
        <v>1.3893772902459791</v>
      </c>
      <c r="AB93" s="9">
        <f t="shared" si="20"/>
        <v>0.20176486316802664</v>
      </c>
      <c r="AC93" s="9">
        <f t="shared" si="21"/>
        <v>1.0385909628567038</v>
      </c>
    </row>
    <row r="94" spans="1:29" x14ac:dyDescent="0.35">
      <c r="A94" s="7">
        <v>91</v>
      </c>
      <c r="B94" s="8" t="s">
        <v>12</v>
      </c>
      <c r="C94" s="7" t="s">
        <v>22</v>
      </c>
      <c r="D94" s="7" t="s">
        <v>5</v>
      </c>
      <c r="E94">
        <v>2184.5067335331041</v>
      </c>
      <c r="F94">
        <v>2.1254126373339028</v>
      </c>
      <c r="G94">
        <v>0.17567533666411356</v>
      </c>
      <c r="H94">
        <v>0.21535434515656823</v>
      </c>
      <c r="I94">
        <v>0.61817169335414068</v>
      </c>
      <c r="J94">
        <f t="shared" si="11"/>
        <v>1.319617423816317</v>
      </c>
      <c r="K94">
        <f t="shared" si="12"/>
        <v>1.6176735537243632</v>
      </c>
      <c r="L94">
        <f t="shared" si="13"/>
        <v>0.81575013746016134</v>
      </c>
      <c r="M94">
        <v>205.71428571428569</v>
      </c>
      <c r="N94">
        <v>1.5433014163427179</v>
      </c>
      <c r="O94">
        <v>152.39999999999998</v>
      </c>
      <c r="P94">
        <v>44.449999999999996</v>
      </c>
      <c r="Q94">
        <v>2.54</v>
      </c>
      <c r="R94">
        <f t="shared" si="14"/>
        <v>1.0499999999999998</v>
      </c>
      <c r="T94" t="s">
        <v>41</v>
      </c>
      <c r="W94" s="13">
        <f t="shared" si="15"/>
        <v>0.61304951572697841</v>
      </c>
      <c r="X94" s="9">
        <f t="shared" si="16"/>
        <v>0.111</v>
      </c>
      <c r="Y94" s="13">
        <f t="shared" si="17"/>
        <v>0.20767837786399285</v>
      </c>
      <c r="Z94" s="9">
        <f t="shared" si="18"/>
        <v>1</v>
      </c>
      <c r="AA94" s="9">
        <f t="shared" si="19"/>
        <v>1.47904024569725</v>
      </c>
      <c r="AB94" s="9">
        <f t="shared" si="20"/>
        <v>0.18830715772284923</v>
      </c>
      <c r="AC94" s="9">
        <f t="shared" si="21"/>
        <v>1.0719043509385007</v>
      </c>
    </row>
    <row r="95" spans="1:29" x14ac:dyDescent="0.35">
      <c r="A95" s="7">
        <v>92</v>
      </c>
      <c r="B95" s="8" t="s">
        <v>17</v>
      </c>
      <c r="C95" s="7" t="s">
        <v>14</v>
      </c>
      <c r="D95" s="7" t="s">
        <v>5</v>
      </c>
      <c r="E95">
        <v>12306.063949545975</v>
      </c>
      <c r="F95">
        <v>2.6051130183107332</v>
      </c>
      <c r="G95">
        <v>0.14109797388668935</v>
      </c>
      <c r="H95">
        <v>0.14171892110094775</v>
      </c>
      <c r="I95">
        <v>1.0195426195426194</v>
      </c>
      <c r="J95">
        <f t="shared" si="11"/>
        <v>0.97653441873038327</v>
      </c>
      <c r="K95">
        <f t="shared" si="12"/>
        <v>0.98083197389885823</v>
      </c>
      <c r="L95">
        <f t="shared" si="13"/>
        <v>0.99561845934590409</v>
      </c>
      <c r="M95">
        <v>3.75</v>
      </c>
      <c r="N95">
        <v>0.22278490000813553</v>
      </c>
      <c r="O95">
        <v>300</v>
      </c>
      <c r="P95">
        <v>300</v>
      </c>
      <c r="Q95">
        <v>80</v>
      </c>
      <c r="R95">
        <f t="shared" si="14"/>
        <v>1.40625E-2</v>
      </c>
      <c r="T95" t="s">
        <v>41</v>
      </c>
      <c r="W95" s="13">
        <f t="shared" si="15"/>
        <v>1.0641265669986171</v>
      </c>
      <c r="X95" s="9">
        <f t="shared" si="16"/>
        <v>0.111</v>
      </c>
      <c r="Y95" s="13">
        <f t="shared" si="17"/>
        <v>0.14039013181267349</v>
      </c>
      <c r="Z95" s="9">
        <f t="shared" si="18"/>
        <v>0.93</v>
      </c>
      <c r="AA95" s="9">
        <f t="shared" si="19"/>
        <v>0.93973783853598647</v>
      </c>
      <c r="AB95" s="9">
        <f t="shared" si="20"/>
        <v>0.14039013181267349</v>
      </c>
      <c r="AC95" s="9">
        <f t="shared" si="21"/>
        <v>0.99498332928165001</v>
      </c>
    </row>
    <row r="96" spans="1:29" x14ac:dyDescent="0.35">
      <c r="A96" s="7">
        <v>93</v>
      </c>
      <c r="B96" s="8" t="s">
        <v>24</v>
      </c>
      <c r="C96" s="7" t="s">
        <v>23</v>
      </c>
      <c r="D96" s="7" t="s">
        <v>5</v>
      </c>
      <c r="E96">
        <v>6437.1590675336265</v>
      </c>
      <c r="F96">
        <v>2.5421659741585256</v>
      </c>
      <c r="G96">
        <v>0.15125245415061833</v>
      </c>
      <c r="H96">
        <v>0.15264951835724885</v>
      </c>
      <c r="I96">
        <v>1.1440173168380969</v>
      </c>
      <c r="J96">
        <f t="shared" si="11"/>
        <v>0.86611267313477447</v>
      </c>
      <c r="K96">
        <f t="shared" si="12"/>
        <v>0.87411264259867971</v>
      </c>
      <c r="L96">
        <f t="shared" si="13"/>
        <v>0.99084789639911641</v>
      </c>
      <c r="M96">
        <v>9.9206349206349209</v>
      </c>
      <c r="N96">
        <v>0.28586452749971264</v>
      </c>
      <c r="O96">
        <v>250</v>
      </c>
      <c r="P96">
        <v>150</v>
      </c>
      <c r="Q96">
        <v>42</v>
      </c>
      <c r="R96">
        <f t="shared" si="14"/>
        <v>2.1258503401360547E-2</v>
      </c>
      <c r="T96" t="s">
        <v>41</v>
      </c>
      <c r="W96" s="13">
        <f t="shared" si="15"/>
        <v>1.053403030325049</v>
      </c>
      <c r="X96" s="9">
        <f t="shared" si="16"/>
        <v>0.111</v>
      </c>
      <c r="Y96" s="13">
        <f t="shared" si="17"/>
        <v>0.1471996440219801</v>
      </c>
      <c r="Z96" s="9">
        <f t="shared" si="18"/>
        <v>0.93</v>
      </c>
      <c r="AA96" s="9">
        <f t="shared" si="19"/>
        <v>0.94930427501374248</v>
      </c>
      <c r="AB96" s="9">
        <f t="shared" si="20"/>
        <v>0.1471996440219801</v>
      </c>
      <c r="AC96" s="9">
        <f t="shared" si="21"/>
        <v>0.97320499590305876</v>
      </c>
    </row>
    <row r="97" spans="1:29" x14ac:dyDescent="0.35">
      <c r="A97" s="7">
        <v>94</v>
      </c>
      <c r="B97" s="8" t="s">
        <v>15</v>
      </c>
      <c r="C97" s="7" t="s">
        <v>14</v>
      </c>
      <c r="D97" s="7" t="s">
        <v>5</v>
      </c>
      <c r="E97">
        <v>11451.094448692369</v>
      </c>
      <c r="F97">
        <v>2.4671661924270305</v>
      </c>
      <c r="G97">
        <v>0.15642386831362451</v>
      </c>
      <c r="H97">
        <v>0.15688014389729385</v>
      </c>
      <c r="I97" t="s">
        <v>30</v>
      </c>
      <c r="J97" t="e">
        <f t="shared" si="11"/>
        <v>#VALUE!</v>
      </c>
      <c r="K97" t="e">
        <f t="shared" si="12"/>
        <v>#VALUE!</v>
      </c>
      <c r="L97" t="e">
        <f t="shared" si="13"/>
        <v>#VALUE!</v>
      </c>
      <c r="M97">
        <v>7.1428571428571432</v>
      </c>
      <c r="N97">
        <v>0.23457435445571082</v>
      </c>
      <c r="O97">
        <v>250</v>
      </c>
      <c r="P97">
        <v>250</v>
      </c>
      <c r="Q97">
        <v>35</v>
      </c>
      <c r="R97">
        <f t="shared" si="14"/>
        <v>5.1020408163265307E-2</v>
      </c>
      <c r="T97" t="s">
        <v>41</v>
      </c>
      <c r="W97" s="13">
        <f t="shared" si="15"/>
        <v>1.0621223597425293</v>
      </c>
      <c r="X97" s="9">
        <f t="shared" si="16"/>
        <v>0.111</v>
      </c>
      <c r="Y97" s="13">
        <f t="shared" si="17"/>
        <v>0.15597285899251698</v>
      </c>
      <c r="Z97" s="9">
        <f t="shared" si="18"/>
        <v>0.93</v>
      </c>
      <c r="AA97" s="9">
        <f t="shared" si="19"/>
        <v>0.94151110823277606</v>
      </c>
      <c r="AB97" s="9">
        <f t="shared" si="20"/>
        <v>0.15597285899251701</v>
      </c>
      <c r="AC97" s="9">
        <f t="shared" si="21"/>
        <v>0.99711674870357225</v>
      </c>
    </row>
    <row r="98" spans="1:29" x14ac:dyDescent="0.35">
      <c r="A98" s="7">
        <v>95</v>
      </c>
      <c r="B98" s="8" t="s">
        <v>11</v>
      </c>
      <c r="C98" s="7" t="s">
        <v>22</v>
      </c>
      <c r="D98" s="7" t="s">
        <v>5</v>
      </c>
      <c r="E98">
        <v>2409.9101411468214</v>
      </c>
      <c r="F98">
        <v>2.4642404790924348</v>
      </c>
      <c r="G98">
        <v>0.1611305645943058</v>
      </c>
      <c r="H98">
        <v>0.16227553818692803</v>
      </c>
      <c r="I98">
        <v>1.084498874027972</v>
      </c>
      <c r="J98">
        <f t="shared" si="11"/>
        <v>0.91557887825025275</v>
      </c>
      <c r="K98">
        <f t="shared" si="12"/>
        <v>0.92208486698180514</v>
      </c>
      <c r="L98">
        <f t="shared" si="13"/>
        <v>0.99294426254619272</v>
      </c>
      <c r="M98">
        <v>21.333333333333336</v>
      </c>
      <c r="N98">
        <v>0.32083911768776124</v>
      </c>
      <c r="O98">
        <v>101.6</v>
      </c>
      <c r="P98">
        <v>50.8</v>
      </c>
      <c r="Q98">
        <v>9.5249999999999986</v>
      </c>
      <c r="R98">
        <f t="shared" si="14"/>
        <v>5.6888888888888899E-2</v>
      </c>
      <c r="T98" t="s">
        <v>41</v>
      </c>
      <c r="W98" s="13">
        <f t="shared" si="15"/>
        <v>1.0474573499930806</v>
      </c>
      <c r="X98" s="9">
        <f t="shared" si="16"/>
        <v>0.111</v>
      </c>
      <c r="Y98" s="13">
        <f t="shared" si="17"/>
        <v>0.15633068936775898</v>
      </c>
      <c r="Z98" s="9">
        <f t="shared" si="18"/>
        <v>0.93</v>
      </c>
      <c r="AA98" s="9">
        <f t="shared" si="19"/>
        <v>0.95469280921710642</v>
      </c>
      <c r="AB98" s="9">
        <f t="shared" si="20"/>
        <v>0.15633068936775898</v>
      </c>
      <c r="AC98" s="9">
        <f t="shared" si="21"/>
        <v>0.97021126787067413</v>
      </c>
    </row>
    <row r="99" spans="1:29" x14ac:dyDescent="0.35">
      <c r="A99" s="7">
        <v>96</v>
      </c>
      <c r="B99" s="8" t="s">
        <v>8</v>
      </c>
      <c r="C99" s="7" t="s">
        <v>9</v>
      </c>
      <c r="D99" s="7" t="s">
        <v>5</v>
      </c>
      <c r="E99">
        <v>4966.2208164836675</v>
      </c>
      <c r="F99">
        <v>2.4451481853888914</v>
      </c>
      <c r="G99">
        <v>0.1641579814448077</v>
      </c>
      <c r="H99">
        <v>0.16499077587956218</v>
      </c>
      <c r="I99">
        <v>1.0413746964503248</v>
      </c>
      <c r="J99">
        <f t="shared" si="11"/>
        <v>0.95542217629976312</v>
      </c>
      <c r="K99">
        <f t="shared" si="12"/>
        <v>0.96026915519326872</v>
      </c>
      <c r="L99">
        <f t="shared" si="13"/>
        <v>0.99495247882607452</v>
      </c>
      <c r="M99">
        <v>17.999999999999996</v>
      </c>
      <c r="N99">
        <v>0.34216420507019119</v>
      </c>
      <c r="O99">
        <v>152.39999999999998</v>
      </c>
      <c r="P99">
        <v>101.6</v>
      </c>
      <c r="Q99">
        <v>12.7</v>
      </c>
      <c r="R99">
        <f t="shared" si="14"/>
        <v>9.5999999999999988E-2</v>
      </c>
      <c r="T99" t="s">
        <v>41</v>
      </c>
      <c r="W99" s="13">
        <f t="shared" si="15"/>
        <v>1.0438320851380676</v>
      </c>
      <c r="X99" s="9">
        <f t="shared" si="16"/>
        <v>0.111</v>
      </c>
      <c r="Y99" s="13">
        <f t="shared" si="17"/>
        <v>0.15869595875735343</v>
      </c>
      <c r="Z99" s="9">
        <f t="shared" si="18"/>
        <v>0.93</v>
      </c>
      <c r="AA99" s="9">
        <f t="shared" si="19"/>
        <v>0.95800849029059121</v>
      </c>
      <c r="AB99" s="9">
        <f t="shared" si="20"/>
        <v>0.15869595875735343</v>
      </c>
      <c r="AC99" s="9">
        <f t="shared" si="21"/>
        <v>0.96672703550944505</v>
      </c>
    </row>
    <row r="100" spans="1:29" x14ac:dyDescent="0.35">
      <c r="A100" s="7">
        <v>97</v>
      </c>
      <c r="B100" s="8" t="s">
        <v>16</v>
      </c>
      <c r="C100" s="7" t="s">
        <v>14</v>
      </c>
      <c r="D100" s="7" t="s">
        <v>5</v>
      </c>
      <c r="E100">
        <v>12136.472967129188</v>
      </c>
      <c r="F100">
        <v>2.4327707672167209</v>
      </c>
      <c r="G100">
        <v>0.16043227648744532</v>
      </c>
      <c r="H100">
        <v>0.16088290980382772</v>
      </c>
      <c r="I100">
        <v>1.0155249931690029</v>
      </c>
      <c r="J100">
        <f t="shared" si="11"/>
        <v>0.98195416649506384</v>
      </c>
      <c r="K100">
        <f t="shared" si="12"/>
        <v>0.98471234753114611</v>
      </c>
      <c r="L100">
        <f t="shared" si="13"/>
        <v>0.99719899822217373</v>
      </c>
      <c r="M100">
        <v>12.5</v>
      </c>
      <c r="N100">
        <v>0.38895724243152341</v>
      </c>
      <c r="O100">
        <v>250</v>
      </c>
      <c r="P100">
        <v>250</v>
      </c>
      <c r="Q100">
        <v>20</v>
      </c>
      <c r="R100">
        <f t="shared" si="14"/>
        <v>0.15625</v>
      </c>
      <c r="T100" t="s">
        <v>41</v>
      </c>
      <c r="W100" s="13">
        <f t="shared" si="15"/>
        <v>1.0358772687866411</v>
      </c>
      <c r="X100" s="9">
        <f t="shared" si="16"/>
        <v>0.111</v>
      </c>
      <c r="Y100" s="13">
        <f t="shared" si="17"/>
        <v>0.16025780786986232</v>
      </c>
      <c r="Z100" s="9">
        <f t="shared" si="18"/>
        <v>0.93</v>
      </c>
      <c r="AA100" s="9">
        <f t="shared" si="19"/>
        <v>0.96536532862752611</v>
      </c>
      <c r="AB100" s="9">
        <f t="shared" si="20"/>
        <v>0.16025780786986232</v>
      </c>
      <c r="AC100" s="9">
        <f t="shared" si="21"/>
        <v>0.99891250924438113</v>
      </c>
    </row>
    <row r="101" spans="1:29" x14ac:dyDescent="0.35">
      <c r="A101" s="7">
        <v>98</v>
      </c>
      <c r="B101" s="8" t="s">
        <v>10</v>
      </c>
      <c r="C101" s="7" t="s">
        <v>22</v>
      </c>
      <c r="D101" s="7" t="s">
        <v>5</v>
      </c>
      <c r="E101">
        <v>1888.3287389191034</v>
      </c>
      <c r="F101">
        <v>2.4478183100443269</v>
      </c>
      <c r="G101">
        <v>0.16275214664139329</v>
      </c>
      <c r="H101">
        <v>0.16424358960389646</v>
      </c>
      <c r="I101">
        <v>0.97189540344618819</v>
      </c>
      <c r="J101">
        <f t="shared" si="11"/>
        <v>1.0195740402028279</v>
      </c>
      <c r="K101">
        <f t="shared" si="12"/>
        <v>1.0289173057657823</v>
      </c>
      <c r="L101">
        <f t="shared" si="13"/>
        <v>0.99091932314618758</v>
      </c>
      <c r="M101">
        <v>42.666666666666671</v>
      </c>
      <c r="N101">
        <v>0.43255198362904806</v>
      </c>
      <c r="O101">
        <v>101.6</v>
      </c>
      <c r="P101">
        <v>38.099999999999994</v>
      </c>
      <c r="Q101">
        <v>6.35</v>
      </c>
      <c r="R101">
        <f t="shared" si="14"/>
        <v>9.5999999999999988E-2</v>
      </c>
      <c r="T101" t="s">
        <v>41</v>
      </c>
      <c r="W101" s="13">
        <f t="shared" si="15"/>
        <v>1.028466162783062</v>
      </c>
      <c r="X101" s="9">
        <f t="shared" si="16"/>
        <v>0.111</v>
      </c>
      <c r="Y101" s="13">
        <f t="shared" si="17"/>
        <v>0.1583619882977205</v>
      </c>
      <c r="Z101" s="9">
        <f t="shared" si="18"/>
        <v>0.93</v>
      </c>
      <c r="AA101" s="9">
        <f t="shared" si="19"/>
        <v>0.9723217313187712</v>
      </c>
      <c r="AB101" s="9">
        <f t="shared" si="20"/>
        <v>0.1583619882977205</v>
      </c>
      <c r="AC101" s="9">
        <f t="shared" si="21"/>
        <v>0.97302549653402715</v>
      </c>
    </row>
    <row r="102" spans="1:29" x14ac:dyDescent="0.35">
      <c r="A102" s="7">
        <v>99</v>
      </c>
      <c r="B102" s="8" t="s">
        <v>18</v>
      </c>
      <c r="C102" s="7" t="s">
        <v>14</v>
      </c>
      <c r="D102" s="7" t="s">
        <v>5</v>
      </c>
      <c r="E102">
        <v>7378.3967009377375</v>
      </c>
      <c r="F102">
        <v>2.4268460174729003</v>
      </c>
      <c r="G102">
        <v>0.1610489425556498</v>
      </c>
      <c r="H102">
        <v>0.16142886767104578</v>
      </c>
      <c r="I102">
        <v>0.99295242255224792</v>
      </c>
      <c r="J102">
        <f t="shared" si="11"/>
        <v>1.0047273799289744</v>
      </c>
      <c r="K102">
        <f t="shared" si="12"/>
        <v>1.0070975983216166</v>
      </c>
      <c r="L102">
        <f t="shared" si="13"/>
        <v>0.99764648590504801</v>
      </c>
      <c r="M102">
        <v>15</v>
      </c>
      <c r="N102">
        <v>0.4636648591171596</v>
      </c>
      <c r="O102">
        <v>150</v>
      </c>
      <c r="P102">
        <v>150</v>
      </c>
      <c r="Q102">
        <v>10</v>
      </c>
      <c r="R102">
        <f t="shared" si="14"/>
        <v>0.22500000000000001</v>
      </c>
      <c r="T102" t="s">
        <v>41</v>
      </c>
      <c r="W102" s="13">
        <f t="shared" si="15"/>
        <v>1.0231769739500829</v>
      </c>
      <c r="X102" s="9">
        <f t="shared" si="16"/>
        <v>0.111</v>
      </c>
      <c r="Y102" s="13">
        <f t="shared" si="17"/>
        <v>0.1610134999980018</v>
      </c>
      <c r="Z102" s="9">
        <f t="shared" si="18"/>
        <v>0.93</v>
      </c>
      <c r="AA102" s="9">
        <f t="shared" si="19"/>
        <v>0.97734803016470773</v>
      </c>
      <c r="AB102" s="9">
        <f t="shared" si="20"/>
        <v>0.1610134999980018</v>
      </c>
      <c r="AC102" s="9">
        <f t="shared" si="21"/>
        <v>0.99977992679066641</v>
      </c>
    </row>
    <row r="103" spans="1:29" x14ac:dyDescent="0.35">
      <c r="A103" s="7">
        <v>100</v>
      </c>
      <c r="B103" s="8" t="s">
        <v>25</v>
      </c>
      <c r="C103" s="7" t="s">
        <v>23</v>
      </c>
      <c r="D103" s="7" t="s">
        <v>5</v>
      </c>
      <c r="E103">
        <v>5105.0787674221319</v>
      </c>
      <c r="F103">
        <v>2.432438736408324</v>
      </c>
      <c r="G103">
        <v>0.16545060547147028</v>
      </c>
      <c r="H103">
        <v>0.1665003084257258</v>
      </c>
      <c r="I103">
        <v>0.96994205697730562</v>
      </c>
      <c r="J103">
        <f t="shared" si="11"/>
        <v>1.0244895375786218</v>
      </c>
      <c r="K103">
        <f t="shared" si="12"/>
        <v>1.0309894212818917</v>
      </c>
      <c r="L103">
        <f t="shared" si="13"/>
        <v>0.99369548943073716</v>
      </c>
      <c r="M103">
        <v>32.4</v>
      </c>
      <c r="N103">
        <v>0.49468176913818818</v>
      </c>
      <c r="O103">
        <v>180</v>
      </c>
      <c r="P103">
        <v>100</v>
      </c>
      <c r="Q103">
        <v>10</v>
      </c>
      <c r="R103">
        <f t="shared" si="14"/>
        <v>0.18</v>
      </c>
      <c r="T103" t="s">
        <v>41</v>
      </c>
      <c r="W103" s="13">
        <f t="shared" si="15"/>
        <v>1.017904099246508</v>
      </c>
      <c r="X103" s="9">
        <f t="shared" si="16"/>
        <v>0.111</v>
      </c>
      <c r="Y103" s="13">
        <f t="shared" si="17"/>
        <v>0.16030001866371268</v>
      </c>
      <c r="Z103" s="9">
        <f t="shared" si="18"/>
        <v>0.93</v>
      </c>
      <c r="AA103" s="9">
        <f t="shared" si="19"/>
        <v>0.98241081919233708</v>
      </c>
      <c r="AB103" s="9">
        <f t="shared" si="20"/>
        <v>0.16030001866371268</v>
      </c>
      <c r="AC103" s="9">
        <f t="shared" si="21"/>
        <v>0.96886933841625777</v>
      </c>
    </row>
    <row r="104" spans="1:29" x14ac:dyDescent="0.35">
      <c r="A104" s="7">
        <v>101</v>
      </c>
      <c r="B104" s="8" t="s">
        <v>7</v>
      </c>
      <c r="C104" s="7" t="s">
        <v>9</v>
      </c>
      <c r="D104" s="7" t="s">
        <v>5</v>
      </c>
      <c r="E104">
        <v>4000.2310847766703</v>
      </c>
      <c r="F104">
        <v>2.422140684031751</v>
      </c>
      <c r="G104">
        <v>0.16607864352580037</v>
      </c>
      <c r="H104">
        <v>0.16777627449388444</v>
      </c>
      <c r="I104">
        <v>0.93226749023587507</v>
      </c>
      <c r="J104">
        <f t="shared" si="11"/>
        <v>1.0617999548771659</v>
      </c>
      <c r="K104">
        <f t="shared" si="12"/>
        <v>1.072653514654885</v>
      </c>
      <c r="L104">
        <f t="shared" si="13"/>
        <v>0.9898815790659008</v>
      </c>
      <c r="M104">
        <v>44.326241134751783</v>
      </c>
      <c r="N104">
        <v>0.72920608838938017</v>
      </c>
      <c r="O104">
        <v>127</v>
      </c>
      <c r="P104">
        <v>76.199999999999989</v>
      </c>
      <c r="Q104">
        <v>4.7751999999999999</v>
      </c>
      <c r="R104">
        <f t="shared" si="14"/>
        <v>0.42440018107741062</v>
      </c>
      <c r="T104" t="s">
        <v>41</v>
      </c>
      <c r="W104" s="13">
        <f t="shared" si="15"/>
        <v>0.9282521142569965</v>
      </c>
      <c r="X104" s="9">
        <f t="shared" si="16"/>
        <v>0.111</v>
      </c>
      <c r="Y104" s="13">
        <f t="shared" si="17"/>
        <v>0.16161742667987136</v>
      </c>
      <c r="Z104" s="9">
        <f t="shared" si="18"/>
        <v>0.97</v>
      </c>
      <c r="AA104" s="9">
        <f t="shared" si="19"/>
        <v>1.0772935333418905</v>
      </c>
      <c r="AB104" s="9">
        <f t="shared" si="20"/>
        <v>0.16161742667987136</v>
      </c>
      <c r="AC104" s="9">
        <f t="shared" si="21"/>
        <v>0.97313792579696767</v>
      </c>
    </row>
    <row r="105" spans="1:29" x14ac:dyDescent="0.35">
      <c r="A105" s="7">
        <v>102</v>
      </c>
      <c r="B105" s="8" t="s">
        <v>3</v>
      </c>
      <c r="C105" s="7" t="s">
        <v>9</v>
      </c>
      <c r="D105" s="7" t="s">
        <v>5</v>
      </c>
      <c r="E105">
        <v>7764.5322351974464</v>
      </c>
      <c r="F105">
        <v>2.4140775984892939</v>
      </c>
      <c r="G105">
        <v>0.16113144078564678</v>
      </c>
      <c r="H105">
        <v>0.16254856996651218</v>
      </c>
      <c r="I105">
        <v>0.82658617317379823</v>
      </c>
      <c r="J105">
        <f t="shared" si="11"/>
        <v>1.1992479949580306</v>
      </c>
      <c r="K105">
        <f t="shared" si="12"/>
        <v>1.2097952185195091</v>
      </c>
      <c r="L105">
        <f t="shared" si="13"/>
        <v>0.99128181083870892</v>
      </c>
      <c r="M105">
        <v>31.914893617021278</v>
      </c>
      <c r="N105">
        <v>0.97785999477711305</v>
      </c>
      <c r="O105">
        <v>152.39999999999998</v>
      </c>
      <c r="P105">
        <v>152.39999999999998</v>
      </c>
      <c r="Q105">
        <v>4.7751999999999999</v>
      </c>
      <c r="R105">
        <f t="shared" si="14"/>
        <v>1.0185604345857853</v>
      </c>
      <c r="T105" t="s">
        <v>41</v>
      </c>
      <c r="W105" s="13">
        <f t="shared" si="15"/>
        <v>0.79438844575593193</v>
      </c>
      <c r="X105" s="9">
        <f t="shared" si="16"/>
        <v>0.111</v>
      </c>
      <c r="Y105" s="13">
        <f t="shared" si="17"/>
        <v>0.16266015176485987</v>
      </c>
      <c r="Z105" s="9">
        <f t="shared" si="18"/>
        <v>0.97</v>
      </c>
      <c r="AA105" s="9">
        <f t="shared" si="19"/>
        <v>1.2588299909730059</v>
      </c>
      <c r="AB105" s="9">
        <f t="shared" si="20"/>
        <v>0.16266015176485987</v>
      </c>
      <c r="AC105" s="9">
        <f t="shared" si="21"/>
        <v>1.0094873537514428</v>
      </c>
    </row>
    <row r="106" spans="1:29" x14ac:dyDescent="0.35">
      <c r="A106" s="7">
        <v>103</v>
      </c>
      <c r="B106" s="8" t="s">
        <v>13</v>
      </c>
      <c r="C106" s="7" t="s">
        <v>23</v>
      </c>
      <c r="D106" s="7" t="s">
        <v>5</v>
      </c>
      <c r="E106">
        <v>2811.7956187821501</v>
      </c>
      <c r="F106">
        <v>2.4234560732319794</v>
      </c>
      <c r="G106">
        <v>0.15253899900830895</v>
      </c>
      <c r="H106">
        <v>0.16729158353673473</v>
      </c>
      <c r="I106">
        <v>0.69908870985217864</v>
      </c>
      <c r="J106">
        <f t="shared" si="11"/>
        <v>1.3042910423409753</v>
      </c>
      <c r="K106">
        <f t="shared" si="12"/>
        <v>1.4304336286756063</v>
      </c>
      <c r="L106">
        <f t="shared" si="13"/>
        <v>0.91181514206190573</v>
      </c>
      <c r="M106">
        <v>143.99999999999997</v>
      </c>
      <c r="N106">
        <v>1.2486021351446748</v>
      </c>
      <c r="O106">
        <v>152.39999999999998</v>
      </c>
      <c r="P106">
        <v>50.8</v>
      </c>
      <c r="Q106">
        <v>3.1749999999999998</v>
      </c>
      <c r="R106">
        <f t="shared" si="14"/>
        <v>0.7679999999999999</v>
      </c>
      <c r="T106" t="s">
        <v>41</v>
      </c>
      <c r="W106" s="13">
        <f t="shared" si="15"/>
        <v>0.69817199583094369</v>
      </c>
      <c r="X106" s="9">
        <f t="shared" si="16"/>
        <v>0.111</v>
      </c>
      <c r="Y106" s="13">
        <f t="shared" si="17"/>
        <v>0.16144825965158033</v>
      </c>
      <c r="Z106" s="9">
        <f t="shared" si="18"/>
        <v>1</v>
      </c>
      <c r="AA106" s="9">
        <f t="shared" si="19"/>
        <v>1.4323118171043649</v>
      </c>
      <c r="AB106" s="9">
        <f t="shared" si="20"/>
        <v>0.16144825965158033</v>
      </c>
      <c r="AC106" s="9">
        <f t="shared" si="21"/>
        <v>1.0584064449169885</v>
      </c>
    </row>
    <row r="107" spans="1:29" x14ac:dyDescent="0.35">
      <c r="A107" s="7">
        <v>104</v>
      </c>
      <c r="B107" s="8" t="s">
        <v>12</v>
      </c>
      <c r="C107" s="7" t="s">
        <v>22</v>
      </c>
      <c r="D107" s="7" t="s">
        <v>5</v>
      </c>
      <c r="E107">
        <v>2496.579124037833</v>
      </c>
      <c r="F107">
        <v>2.4248561556719372</v>
      </c>
      <c r="G107">
        <v>0.14076590897998362</v>
      </c>
      <c r="H107">
        <v>0.16708567123505957</v>
      </c>
      <c r="I107">
        <v>0.61817169335414068</v>
      </c>
      <c r="J107">
        <f t="shared" si="11"/>
        <v>1.3628534783365029</v>
      </c>
      <c r="K107">
        <f t="shared" si="12"/>
        <v>1.6176735537243632</v>
      </c>
      <c r="L107">
        <f t="shared" si="13"/>
        <v>0.84247744249685663</v>
      </c>
      <c r="M107">
        <v>205.71428571428569</v>
      </c>
      <c r="N107">
        <v>1.5433014163427179</v>
      </c>
      <c r="O107">
        <v>152.39999999999998</v>
      </c>
      <c r="P107">
        <v>44.449999999999996</v>
      </c>
      <c r="Q107">
        <v>2.54</v>
      </c>
      <c r="R107">
        <f t="shared" si="14"/>
        <v>1.0499999999999998</v>
      </c>
      <c r="T107" t="s">
        <v>41</v>
      </c>
      <c r="W107" s="13">
        <f t="shared" si="15"/>
        <v>0.61304951572697841</v>
      </c>
      <c r="X107" s="9">
        <f t="shared" si="16"/>
        <v>0.111</v>
      </c>
      <c r="Y107" s="13">
        <f t="shared" si="17"/>
        <v>0.16126848871743757</v>
      </c>
      <c r="Z107" s="9">
        <f t="shared" si="18"/>
        <v>1</v>
      </c>
      <c r="AA107" s="9">
        <f t="shared" si="19"/>
        <v>1.5730774216628387</v>
      </c>
      <c r="AB107" s="9">
        <f t="shared" si="20"/>
        <v>0.15552319423256072</v>
      </c>
      <c r="AC107" s="9">
        <f t="shared" si="21"/>
        <v>1.1048356477751693</v>
      </c>
    </row>
    <row r="108" spans="1:29" x14ac:dyDescent="0.35">
      <c r="A108" s="7">
        <v>105</v>
      </c>
      <c r="B108" s="8" t="s">
        <v>17</v>
      </c>
      <c r="C108" s="7" t="s">
        <v>14</v>
      </c>
      <c r="D108" s="7" t="s">
        <v>19</v>
      </c>
      <c r="E108">
        <v>1827.7228475035163</v>
      </c>
      <c r="F108">
        <v>0.34455655163535986</v>
      </c>
      <c r="G108">
        <v>0.90684572643198025</v>
      </c>
      <c r="H108">
        <v>0.90999869480906836</v>
      </c>
      <c r="I108">
        <v>0.99502359502359483</v>
      </c>
      <c r="J108">
        <f t="shared" si="11"/>
        <v>1.0015191595456592</v>
      </c>
      <c r="K108">
        <f t="shared" si="12"/>
        <v>1.0050012934379582</v>
      </c>
      <c r="L108">
        <f t="shared" si="13"/>
        <v>0.99653519461613116</v>
      </c>
      <c r="M108">
        <v>3.75</v>
      </c>
      <c r="N108">
        <v>0.18750130519071448</v>
      </c>
      <c r="O108">
        <v>300</v>
      </c>
      <c r="P108">
        <v>300</v>
      </c>
      <c r="Q108">
        <v>80</v>
      </c>
      <c r="R108">
        <f t="shared" si="14"/>
        <v>1.40625E-2</v>
      </c>
      <c r="T108" t="s">
        <v>41</v>
      </c>
      <c r="W108" s="13">
        <f t="shared" si="15"/>
        <v>1.1856244126641786</v>
      </c>
      <c r="X108" s="9">
        <f t="shared" si="16"/>
        <v>0.188</v>
      </c>
      <c r="Y108" s="13">
        <f t="shared" si="17"/>
        <v>0.93210832589699089</v>
      </c>
      <c r="Z108" s="9">
        <f t="shared" si="18"/>
        <v>0.93</v>
      </c>
      <c r="AA108" s="9">
        <f t="shared" si="19"/>
        <v>0.93</v>
      </c>
      <c r="AB108" s="9">
        <f t="shared" si="20"/>
        <v>1.0277712593808399</v>
      </c>
      <c r="AC108" s="9">
        <f t="shared" si="21"/>
        <v>1.1333474144766011</v>
      </c>
    </row>
    <row r="109" spans="1:29" x14ac:dyDescent="0.35">
      <c r="A109" s="7">
        <v>106</v>
      </c>
      <c r="B109" s="8" t="s">
        <v>24</v>
      </c>
      <c r="C109" s="7" t="s">
        <v>23</v>
      </c>
      <c r="D109" s="7" t="s">
        <v>19</v>
      </c>
      <c r="E109">
        <v>956.06058517026588</v>
      </c>
      <c r="F109">
        <v>0.34977922387528826</v>
      </c>
      <c r="G109">
        <v>0.9245251842285187</v>
      </c>
      <c r="H109">
        <v>0.93119634581782185</v>
      </c>
      <c r="I109">
        <v>1.1819690003318009</v>
      </c>
      <c r="J109">
        <f t="shared" si="11"/>
        <v>0.83998474030181736</v>
      </c>
      <c r="K109">
        <f t="shared" si="12"/>
        <v>0.84604587744626236</v>
      </c>
      <c r="L109">
        <f t="shared" si="13"/>
        <v>0.99283592378850638</v>
      </c>
      <c r="M109">
        <v>9.9206349206349209</v>
      </c>
      <c r="N109">
        <v>0.24059214494352027</v>
      </c>
      <c r="O109">
        <v>250</v>
      </c>
      <c r="P109">
        <v>150</v>
      </c>
      <c r="Q109">
        <v>42</v>
      </c>
      <c r="R109">
        <f t="shared" si="14"/>
        <v>2.1258503401360547E-2</v>
      </c>
      <c r="T109" t="s">
        <v>41</v>
      </c>
      <c r="W109" s="13">
        <f t="shared" si="15"/>
        <v>1.1617335347754159</v>
      </c>
      <c r="X109" s="9">
        <f t="shared" si="16"/>
        <v>0.188</v>
      </c>
      <c r="Y109" s="13">
        <f t="shared" si="17"/>
        <v>0.93091616126136145</v>
      </c>
      <c r="Z109" s="9">
        <f t="shared" si="18"/>
        <v>0.93</v>
      </c>
      <c r="AA109" s="9">
        <f t="shared" si="19"/>
        <v>0.93</v>
      </c>
      <c r="AB109" s="9">
        <f t="shared" si="20"/>
        <v>1.0057731660196019</v>
      </c>
      <c r="AC109" s="9">
        <f t="shared" si="21"/>
        <v>1.0878807664486518</v>
      </c>
    </row>
    <row r="110" spans="1:29" x14ac:dyDescent="0.35">
      <c r="A110" s="7">
        <v>107</v>
      </c>
      <c r="B110" s="8" t="s">
        <v>15</v>
      </c>
      <c r="C110" s="7" t="s">
        <v>14</v>
      </c>
      <c r="D110" s="7" t="s">
        <v>19</v>
      </c>
      <c r="E110">
        <v>1700.7409549149877</v>
      </c>
      <c r="F110">
        <v>0.32884355796068393</v>
      </c>
      <c r="G110">
        <v>0.94542795432312809</v>
      </c>
      <c r="H110">
        <v>0.94622507191492244</v>
      </c>
      <c r="I110" t="s">
        <v>30</v>
      </c>
      <c r="J110" t="e">
        <f t="shared" si="11"/>
        <v>#VALUE!</v>
      </c>
      <c r="K110" t="e">
        <f t="shared" si="12"/>
        <v>#VALUE!</v>
      </c>
      <c r="L110" t="e">
        <f t="shared" si="13"/>
        <v>#VALUE!</v>
      </c>
      <c r="M110">
        <v>7.1428571428571432</v>
      </c>
      <c r="N110">
        <v>0.19742146043098768</v>
      </c>
      <c r="O110">
        <v>250</v>
      </c>
      <c r="P110">
        <v>250</v>
      </c>
      <c r="Q110">
        <v>35</v>
      </c>
      <c r="R110">
        <f t="shared" si="14"/>
        <v>5.1020408163265307E-2</v>
      </c>
      <c r="T110" t="s">
        <v>41</v>
      </c>
      <c r="W110" s="13">
        <f t="shared" si="15"/>
        <v>1.1811603428060555</v>
      </c>
      <c r="X110" s="9">
        <f t="shared" si="16"/>
        <v>0.188</v>
      </c>
      <c r="Y110" s="13">
        <f t="shared" si="17"/>
        <v>0.93564462622442868</v>
      </c>
      <c r="Z110" s="9">
        <f t="shared" si="18"/>
        <v>0.93</v>
      </c>
      <c r="AA110" s="9">
        <f t="shared" si="19"/>
        <v>0.93</v>
      </c>
      <c r="AB110" s="9">
        <f t="shared" si="20"/>
        <v>1.0277860845339777</v>
      </c>
      <c r="AC110" s="9">
        <f t="shared" si="21"/>
        <v>1.0871120108457268</v>
      </c>
    </row>
    <row r="111" spans="1:29" x14ac:dyDescent="0.35">
      <c r="A111" s="7">
        <v>108</v>
      </c>
      <c r="B111" s="8" t="s">
        <v>11</v>
      </c>
      <c r="C111" s="7" t="s">
        <v>22</v>
      </c>
      <c r="D111" s="7" t="s">
        <v>19</v>
      </c>
      <c r="E111">
        <v>357.92499075766432</v>
      </c>
      <c r="F111">
        <v>0.34784642243391678</v>
      </c>
      <c r="G111">
        <v>0.94531305617314731</v>
      </c>
      <c r="H111">
        <v>0.94904748411745887</v>
      </c>
      <c r="I111">
        <v>1.2011592706942333</v>
      </c>
      <c r="J111">
        <f t="shared" si="11"/>
        <v>0.82925312419047337</v>
      </c>
      <c r="K111">
        <f t="shared" si="12"/>
        <v>0.83252906121436387</v>
      </c>
      <c r="L111">
        <f t="shared" si="13"/>
        <v>0.99606507787354348</v>
      </c>
      <c r="M111">
        <v>21.333333333333336</v>
      </c>
      <c r="N111">
        <v>0.27003045590067681</v>
      </c>
      <c r="O111">
        <v>101.6</v>
      </c>
      <c r="P111">
        <v>50.8</v>
      </c>
      <c r="Q111">
        <v>9.5249999999999986</v>
      </c>
      <c r="R111">
        <f t="shared" si="14"/>
        <v>5.6888888888888899E-2</v>
      </c>
      <c r="T111" t="s">
        <v>41</v>
      </c>
      <c r="W111" s="13">
        <f t="shared" si="15"/>
        <v>1.1484862948446954</v>
      </c>
      <c r="X111" s="9">
        <f t="shared" si="16"/>
        <v>0.188</v>
      </c>
      <c r="Y111" s="13">
        <f t="shared" si="17"/>
        <v>0.93135835878147999</v>
      </c>
      <c r="Z111" s="9">
        <f t="shared" si="18"/>
        <v>0.93</v>
      </c>
      <c r="AA111" s="9">
        <f t="shared" si="19"/>
        <v>0.93</v>
      </c>
      <c r="AB111" s="9">
        <f t="shared" si="20"/>
        <v>0.99477664890410811</v>
      </c>
      <c r="AC111" s="9">
        <f t="shared" si="21"/>
        <v>1.0523250921035632</v>
      </c>
    </row>
    <row r="112" spans="1:29" x14ac:dyDescent="0.35">
      <c r="A112" s="7">
        <v>109</v>
      </c>
      <c r="B112" s="8" t="s">
        <v>8</v>
      </c>
      <c r="C112" s="7" t="s">
        <v>9</v>
      </c>
      <c r="D112" s="7" t="s">
        <v>19</v>
      </c>
      <c r="E112">
        <v>737.59370089813751</v>
      </c>
      <c r="F112">
        <v>0.3353029761961181</v>
      </c>
      <c r="G112">
        <v>0.949967222738613</v>
      </c>
      <c r="H112">
        <v>0.95162291185788783</v>
      </c>
      <c r="I112">
        <v>1.1844528597647972</v>
      </c>
      <c r="J112">
        <f t="shared" si="11"/>
        <v>0.84280276193993808</v>
      </c>
      <c r="K112">
        <f t="shared" si="12"/>
        <v>0.84427167510792711</v>
      </c>
      <c r="L112">
        <f t="shared" si="13"/>
        <v>0.99826014159742926</v>
      </c>
      <c r="M112">
        <v>17.999999999999996</v>
      </c>
      <c r="N112">
        <v>0.28797465749298701</v>
      </c>
      <c r="O112">
        <v>152.39999999999998</v>
      </c>
      <c r="P112">
        <v>101.6</v>
      </c>
      <c r="Q112">
        <v>12.7</v>
      </c>
      <c r="R112">
        <f t="shared" si="14"/>
        <v>9.5999999999999988E-2</v>
      </c>
      <c r="T112" t="s">
        <v>41</v>
      </c>
      <c r="W112" s="13">
        <f t="shared" si="15"/>
        <v>1.1404114041281559</v>
      </c>
      <c r="X112" s="9">
        <f t="shared" si="16"/>
        <v>0.188</v>
      </c>
      <c r="Y112" s="13">
        <f t="shared" si="17"/>
        <v>0.9341998731110055</v>
      </c>
      <c r="Z112" s="9">
        <f t="shared" si="18"/>
        <v>0.93</v>
      </c>
      <c r="AA112" s="9">
        <f t="shared" si="19"/>
        <v>0.93</v>
      </c>
      <c r="AB112" s="9">
        <f t="shared" si="20"/>
        <v>0.99079613579870629</v>
      </c>
      <c r="AC112" s="9">
        <f t="shared" si="21"/>
        <v>1.0429792861088298</v>
      </c>
    </row>
    <row r="113" spans="1:29" x14ac:dyDescent="0.35">
      <c r="A113" s="7">
        <v>110</v>
      </c>
      <c r="B113" s="8" t="s">
        <v>16</v>
      </c>
      <c r="C113" s="7" t="s">
        <v>14</v>
      </c>
      <c r="D113" s="7" t="s">
        <v>19</v>
      </c>
      <c r="E113">
        <v>1802.534833320869</v>
      </c>
      <c r="F113">
        <v>0.32504290774501005</v>
      </c>
      <c r="G113">
        <v>0.95914774402830949</v>
      </c>
      <c r="H113">
        <v>0.9496431731052779</v>
      </c>
      <c r="I113">
        <v>1.1315939820986478</v>
      </c>
      <c r="J113">
        <f t="shared" si="11"/>
        <v>0.89255385479922633</v>
      </c>
      <c r="K113">
        <f t="shared" si="12"/>
        <v>0.88370918882531135</v>
      </c>
      <c r="L113">
        <f t="shared" si="13"/>
        <v>1.0100085707897548</v>
      </c>
      <c r="M113">
        <v>12.5</v>
      </c>
      <c r="N113">
        <v>0.3273580078539739</v>
      </c>
      <c r="O113">
        <v>250</v>
      </c>
      <c r="P113">
        <v>250</v>
      </c>
      <c r="Q113">
        <v>20</v>
      </c>
      <c r="R113">
        <f t="shared" si="14"/>
        <v>0.15625</v>
      </c>
      <c r="T113" t="s">
        <v>41</v>
      </c>
      <c r="W113" s="13">
        <f t="shared" si="15"/>
        <v>1.1226888964657118</v>
      </c>
      <c r="X113" s="9">
        <f t="shared" si="16"/>
        <v>0.188</v>
      </c>
      <c r="Y113" s="13">
        <f t="shared" si="17"/>
        <v>0.93648901386408934</v>
      </c>
      <c r="Z113" s="9">
        <f t="shared" si="18"/>
        <v>0.93</v>
      </c>
      <c r="AA113" s="9">
        <f t="shared" si="19"/>
        <v>0.93</v>
      </c>
      <c r="AB113" s="9">
        <f t="shared" si="20"/>
        <v>0.97778881030042364</v>
      </c>
      <c r="AC113" s="9">
        <f t="shared" si="21"/>
        <v>1.0194350311390232</v>
      </c>
    </row>
    <row r="114" spans="1:29" x14ac:dyDescent="0.35">
      <c r="A114" s="7">
        <v>111</v>
      </c>
      <c r="B114" s="8" t="s">
        <v>10</v>
      </c>
      <c r="C114" s="7" t="s">
        <v>22</v>
      </c>
      <c r="D114" s="7" t="s">
        <v>19</v>
      </c>
      <c r="E114">
        <v>280.45860917594882</v>
      </c>
      <c r="F114">
        <v>0.36029040151565567</v>
      </c>
      <c r="G114">
        <v>0.95297100099049625</v>
      </c>
      <c r="H114">
        <v>0.95688591630789677</v>
      </c>
      <c r="I114">
        <v>1.0691692166713029</v>
      </c>
      <c r="J114">
        <f t="shared" si="11"/>
        <v>0.93147901767466657</v>
      </c>
      <c r="K114">
        <f t="shared" si="12"/>
        <v>0.93530564143377526</v>
      </c>
      <c r="L114">
        <f t="shared" si="13"/>
        <v>0.99590869167297791</v>
      </c>
      <c r="M114">
        <v>42.666666666666671</v>
      </c>
      <c r="N114">
        <v>0.3640469734360513</v>
      </c>
      <c r="O114">
        <v>101.6</v>
      </c>
      <c r="P114">
        <v>38.099999999999994</v>
      </c>
      <c r="Q114">
        <v>6.35</v>
      </c>
      <c r="R114">
        <f t="shared" si="14"/>
        <v>9.5999999999999988E-2</v>
      </c>
      <c r="T114" t="s">
        <v>41</v>
      </c>
      <c r="W114" s="13">
        <f t="shared" si="15"/>
        <v>1.1061788619537769</v>
      </c>
      <c r="X114" s="9">
        <f t="shared" si="16"/>
        <v>0.188</v>
      </c>
      <c r="Y114" s="13">
        <f t="shared" si="17"/>
        <v>0.92849026558914904</v>
      </c>
      <c r="Z114" s="9">
        <f t="shared" si="18"/>
        <v>0.93</v>
      </c>
      <c r="AA114" s="9">
        <f t="shared" si="19"/>
        <v>0.93</v>
      </c>
      <c r="AB114" s="9">
        <f t="shared" si="20"/>
        <v>0.9551809639518456</v>
      </c>
      <c r="AC114" s="9">
        <f t="shared" si="21"/>
        <v>1.0023190243554656</v>
      </c>
    </row>
    <row r="115" spans="1:29" x14ac:dyDescent="0.35">
      <c r="A115" s="7">
        <v>112</v>
      </c>
      <c r="B115" s="8" t="s">
        <v>18</v>
      </c>
      <c r="C115" s="7" t="s">
        <v>14</v>
      </c>
      <c r="D115" s="7" t="s">
        <v>19</v>
      </c>
      <c r="E115">
        <v>1095.8552046811051</v>
      </c>
      <c r="F115">
        <v>0.32446860724362964</v>
      </c>
      <c r="G115">
        <v>0.96145108170469473</v>
      </c>
      <c r="H115">
        <v>0.96280592423136757</v>
      </c>
      <c r="I115">
        <v>1.0849825280559102</v>
      </c>
      <c r="J115">
        <f t="shared" si="11"/>
        <v>0.92037686584077505</v>
      </c>
      <c r="K115">
        <f t="shared" si="12"/>
        <v>0.92167382804939424</v>
      </c>
      <c r="L115">
        <f t="shared" si="13"/>
        <v>0.99859281866409932</v>
      </c>
      <c r="M115">
        <v>15</v>
      </c>
      <c r="N115">
        <v>0.39023080654552345</v>
      </c>
      <c r="O115">
        <v>150</v>
      </c>
      <c r="P115">
        <v>150</v>
      </c>
      <c r="Q115">
        <v>10</v>
      </c>
      <c r="R115">
        <f t="shared" si="14"/>
        <v>0.22500000000000001</v>
      </c>
      <c r="T115" t="s">
        <v>41</v>
      </c>
      <c r="W115" s="13">
        <f t="shared" si="15"/>
        <v>1.0943961370545146</v>
      </c>
      <c r="X115" s="9">
        <f t="shared" si="16"/>
        <v>0.188</v>
      </c>
      <c r="Y115" s="13">
        <f t="shared" si="17"/>
        <v>0.93661624513152775</v>
      </c>
      <c r="Z115" s="9">
        <f t="shared" si="18"/>
        <v>0.93</v>
      </c>
      <c r="AA115" s="9">
        <f t="shared" si="19"/>
        <v>0.93</v>
      </c>
      <c r="AB115" s="9">
        <f t="shared" si="20"/>
        <v>0.95327715653423684</v>
      </c>
      <c r="AC115" s="9">
        <f t="shared" si="21"/>
        <v>0.99149834523461644</v>
      </c>
    </row>
    <row r="116" spans="1:29" x14ac:dyDescent="0.35">
      <c r="A116" s="7">
        <v>113</v>
      </c>
      <c r="B116" s="8" t="s">
        <v>25</v>
      </c>
      <c r="C116" s="7" t="s">
        <v>23</v>
      </c>
      <c r="D116" s="7" t="s">
        <v>19</v>
      </c>
      <c r="E116">
        <v>758.21717973981197</v>
      </c>
      <c r="F116">
        <v>0.33965917690914249</v>
      </c>
      <c r="G116">
        <v>0.95361740689301933</v>
      </c>
      <c r="H116">
        <v>0.95663839721048416</v>
      </c>
      <c r="I116">
        <v>1.0522137206106303</v>
      </c>
      <c r="J116">
        <f t="shared" si="11"/>
        <v>0.94737604876021608</v>
      </c>
      <c r="K116">
        <f t="shared" si="12"/>
        <v>0.9503772669108238</v>
      </c>
      <c r="L116">
        <f t="shared" si="13"/>
        <v>0.9968420770833849</v>
      </c>
      <c r="M116">
        <v>32.4</v>
      </c>
      <c r="N116">
        <v>0.41633655043423501</v>
      </c>
      <c r="O116">
        <v>180</v>
      </c>
      <c r="P116">
        <v>100</v>
      </c>
      <c r="Q116">
        <v>10</v>
      </c>
      <c r="R116">
        <f t="shared" si="14"/>
        <v>0.18</v>
      </c>
      <c r="T116" t="s">
        <v>41</v>
      </c>
      <c r="W116" s="13">
        <f t="shared" si="15"/>
        <v>1.0826485523045943</v>
      </c>
      <c r="X116" s="9">
        <f t="shared" si="16"/>
        <v>0.188</v>
      </c>
      <c r="Y116" s="13">
        <f t="shared" si="17"/>
        <v>0.9332185140128102</v>
      </c>
      <c r="Z116" s="9">
        <f t="shared" si="18"/>
        <v>0.93</v>
      </c>
      <c r="AA116" s="9">
        <f t="shared" si="19"/>
        <v>0.93</v>
      </c>
      <c r="AB116" s="9">
        <f t="shared" si="20"/>
        <v>0.93962333605722681</v>
      </c>
      <c r="AC116" s="9">
        <f t="shared" si="21"/>
        <v>0.98532527748063392</v>
      </c>
    </row>
    <row r="117" spans="1:29" x14ac:dyDescent="0.35">
      <c r="A117" s="7">
        <v>114</v>
      </c>
      <c r="B117" s="8" t="s">
        <v>7</v>
      </c>
      <c r="C117" s="7" t="s">
        <v>9</v>
      </c>
      <c r="D117" s="7" t="s">
        <v>19</v>
      </c>
      <c r="E117">
        <v>594.12284698958047</v>
      </c>
      <c r="F117">
        <v>0.33620666881091366</v>
      </c>
      <c r="G117">
        <v>0.94425570377949719</v>
      </c>
      <c r="H117">
        <v>0.94950751624068919</v>
      </c>
      <c r="I117">
        <v>0.96654599499694582</v>
      </c>
      <c r="J117">
        <f t="shared" si="11"/>
        <v>1.0288893794654124</v>
      </c>
      <c r="K117">
        <f t="shared" si="12"/>
        <v>1.0346119120830457</v>
      </c>
      <c r="L117">
        <f t="shared" si="13"/>
        <v>0.9944689090171871</v>
      </c>
      <c r="M117">
        <v>44.326241134751783</v>
      </c>
      <c r="N117">
        <v>0.61372494072314776</v>
      </c>
      <c r="O117">
        <v>127</v>
      </c>
      <c r="P117">
        <v>76.199999999999989</v>
      </c>
      <c r="Q117">
        <v>4.7751999999999999</v>
      </c>
      <c r="R117">
        <f t="shared" si="14"/>
        <v>0.42440018107741062</v>
      </c>
      <c r="T117" t="s">
        <v>41</v>
      </c>
      <c r="W117" s="13">
        <f t="shared" si="15"/>
        <v>0.99257404412421779</v>
      </c>
      <c r="X117" s="9">
        <f t="shared" si="16"/>
        <v>0.188</v>
      </c>
      <c r="Y117" s="13">
        <f t="shared" si="17"/>
        <v>0.93399676067007564</v>
      </c>
      <c r="Z117" s="9">
        <f t="shared" si="18"/>
        <v>0.93</v>
      </c>
      <c r="AA117" s="9">
        <f t="shared" si="19"/>
        <v>0.93</v>
      </c>
      <c r="AB117" s="9">
        <f t="shared" si="20"/>
        <v>0.86216667600161101</v>
      </c>
      <c r="AC117" s="9">
        <f t="shared" si="21"/>
        <v>0.9130648324926024</v>
      </c>
    </row>
    <row r="118" spans="1:29" x14ac:dyDescent="0.35">
      <c r="A118" s="7">
        <v>115</v>
      </c>
      <c r="B118" s="8" t="s">
        <v>3</v>
      </c>
      <c r="C118" s="7" t="s">
        <v>9</v>
      </c>
      <c r="D118" s="7" t="s">
        <v>19</v>
      </c>
      <c r="E118">
        <v>1153.2048772565904</v>
      </c>
      <c r="F118">
        <v>0.32416618489046545</v>
      </c>
      <c r="G118">
        <v>0.88475057555391345</v>
      </c>
      <c r="H118">
        <v>0.95101700284384827</v>
      </c>
      <c r="I118">
        <v>0.87933356865618517</v>
      </c>
      <c r="J118">
        <f t="shared" si="11"/>
        <v>1.0579835606892138</v>
      </c>
      <c r="K118">
        <f t="shared" si="12"/>
        <v>1.1372248662452631</v>
      </c>
      <c r="L118">
        <f t="shared" si="13"/>
        <v>0.93032046000042401</v>
      </c>
      <c r="M118">
        <v>31.914893617021278</v>
      </c>
      <c r="N118">
        <v>0.82298860920708738</v>
      </c>
      <c r="O118">
        <v>152.39999999999998</v>
      </c>
      <c r="P118">
        <v>152.39999999999998</v>
      </c>
      <c r="Q118">
        <v>4.7751999999999999</v>
      </c>
      <c r="R118">
        <f t="shared" si="14"/>
        <v>1.0185604345857853</v>
      </c>
      <c r="T118" t="s">
        <v>41</v>
      </c>
      <c r="W118" s="13">
        <f t="shared" si="15"/>
        <v>0.86939358857435056</v>
      </c>
      <c r="X118" s="9">
        <f t="shared" si="16"/>
        <v>0.188</v>
      </c>
      <c r="Y118" s="13">
        <f t="shared" si="17"/>
        <v>0.93668320637603975</v>
      </c>
      <c r="Z118" s="9">
        <f t="shared" si="18"/>
        <v>0.97</v>
      </c>
      <c r="AA118" s="9">
        <f t="shared" si="19"/>
        <v>0.97</v>
      </c>
      <c r="AB118" s="9">
        <f t="shared" si="20"/>
        <v>0.78991598292413634</v>
      </c>
      <c r="AC118" s="9">
        <f t="shared" si="21"/>
        <v>0.89281205884448933</v>
      </c>
    </row>
    <row r="119" spans="1:29" x14ac:dyDescent="0.35">
      <c r="A119" s="7">
        <v>116</v>
      </c>
      <c r="B119" s="8" t="s">
        <v>13</v>
      </c>
      <c r="C119" s="7" t="s">
        <v>23</v>
      </c>
      <c r="D119" s="7" t="s">
        <v>19</v>
      </c>
      <c r="E119">
        <v>417.61387849345851</v>
      </c>
      <c r="F119">
        <v>0.36565581294375643</v>
      </c>
      <c r="G119">
        <v>0.73760611089186201</v>
      </c>
      <c r="H119">
        <v>0.95593782134661609</v>
      </c>
      <c r="I119">
        <v>0.73799305846603513</v>
      </c>
      <c r="J119">
        <f t="shared" si="11"/>
        <v>1.0455446510675037</v>
      </c>
      <c r="K119">
        <f t="shared" si="12"/>
        <v>1.3550262953401795</v>
      </c>
      <c r="L119">
        <f t="shared" si="13"/>
        <v>0.77160469480411054</v>
      </c>
      <c r="M119">
        <v>143.99999999999997</v>
      </c>
      <c r="N119">
        <v>1.0508388729733691</v>
      </c>
      <c r="O119">
        <v>152.39999999999998</v>
      </c>
      <c r="P119">
        <v>50.8</v>
      </c>
      <c r="Q119">
        <v>3.1749999999999998</v>
      </c>
      <c r="R119">
        <f t="shared" si="14"/>
        <v>0.7679999999999999</v>
      </c>
      <c r="T119" t="s">
        <v>41</v>
      </c>
      <c r="W119" s="13">
        <f t="shared" si="15"/>
        <v>0.7683290158341336</v>
      </c>
      <c r="X119" s="9">
        <f t="shared" si="16"/>
        <v>0.188</v>
      </c>
      <c r="Y119" s="13">
        <f t="shared" si="17"/>
        <v>0.92723788970763277</v>
      </c>
      <c r="Z119" s="9">
        <f t="shared" si="18"/>
        <v>0.97</v>
      </c>
      <c r="AA119" s="9">
        <f t="shared" si="19"/>
        <v>0.97</v>
      </c>
      <c r="AB119" s="9">
        <f t="shared" si="20"/>
        <v>0.69105106198588895</v>
      </c>
      <c r="AC119" s="9">
        <f t="shared" si="21"/>
        <v>0.93688359109487052</v>
      </c>
    </row>
    <row r="120" spans="1:29" x14ac:dyDescent="0.35">
      <c r="A120" s="7">
        <v>117</v>
      </c>
      <c r="B120" s="8" t="s">
        <v>12</v>
      </c>
      <c r="C120" s="7" t="s">
        <v>22</v>
      </c>
      <c r="D120" s="7" t="s">
        <v>19</v>
      </c>
      <c r="E120">
        <v>370.79725282693772</v>
      </c>
      <c r="F120">
        <v>0.41586611020687841</v>
      </c>
      <c r="G120">
        <v>0.64434411711518769</v>
      </c>
      <c r="H120">
        <v>0.94788609838125437</v>
      </c>
      <c r="I120">
        <v>0.65172544217244144</v>
      </c>
      <c r="J120">
        <f t="shared" si="11"/>
        <v>1.0430305726324947</v>
      </c>
      <c r="K120">
        <f t="shared" si="12"/>
        <v>1.5343884637472966</v>
      </c>
      <c r="L120">
        <f t="shared" si="13"/>
        <v>0.67976956114828735</v>
      </c>
      <c r="M120">
        <v>205.71428571428569</v>
      </c>
      <c r="N120">
        <v>1.2988820212575451</v>
      </c>
      <c r="O120">
        <v>152.39999999999998</v>
      </c>
      <c r="P120">
        <v>44.449999999999996</v>
      </c>
      <c r="Q120">
        <v>2.54</v>
      </c>
      <c r="R120">
        <f t="shared" si="14"/>
        <v>1.0499999999999998</v>
      </c>
      <c r="T120" t="s">
        <v>41</v>
      </c>
      <c r="W120" s="13">
        <f t="shared" si="15"/>
        <v>0.67745103897541759</v>
      </c>
      <c r="X120" s="9">
        <f t="shared" si="16"/>
        <v>0.188</v>
      </c>
      <c r="Y120" s="13">
        <f t="shared" si="17"/>
        <v>0.91501277905877798</v>
      </c>
      <c r="Z120" s="9">
        <f t="shared" si="18"/>
        <v>1</v>
      </c>
      <c r="AA120" s="9">
        <f t="shared" si="19"/>
        <v>1</v>
      </c>
      <c r="AB120" s="9">
        <f t="shared" si="20"/>
        <v>0.6198763578491534</v>
      </c>
      <c r="AC120" s="9">
        <f t="shared" si="21"/>
        <v>0.96202687567696032</v>
      </c>
    </row>
    <row r="121" spans="1:29" x14ac:dyDescent="0.35">
      <c r="A121" s="7">
        <v>118</v>
      </c>
      <c r="B121" s="8" t="s">
        <v>17</v>
      </c>
      <c r="C121" s="7" t="s">
        <v>14</v>
      </c>
      <c r="D121" s="7" t="s">
        <v>19</v>
      </c>
      <c r="E121">
        <v>3655.4456950070326</v>
      </c>
      <c r="F121">
        <v>0.66069981065576944</v>
      </c>
      <c r="G121">
        <v>0.77839229970364032</v>
      </c>
      <c r="H121">
        <v>0.76519983019188731</v>
      </c>
      <c r="I121">
        <v>0.99502359502359483</v>
      </c>
      <c r="J121">
        <f t="shared" si="11"/>
        <v>1.022328073188586</v>
      </c>
      <c r="K121">
        <f t="shared" si="12"/>
        <v>1.0050012934379582</v>
      </c>
      <c r="L121">
        <f t="shared" si="13"/>
        <v>1.0172405546776517</v>
      </c>
      <c r="M121">
        <v>3.75</v>
      </c>
      <c r="N121">
        <v>0.18750130519071448</v>
      </c>
      <c r="O121">
        <v>300</v>
      </c>
      <c r="P121">
        <v>300</v>
      </c>
      <c r="Q121">
        <v>80</v>
      </c>
      <c r="R121">
        <f t="shared" si="14"/>
        <v>1.40625E-2</v>
      </c>
      <c r="T121" t="s">
        <v>41</v>
      </c>
      <c r="W121" s="13">
        <f t="shared" si="15"/>
        <v>1.1856244126641786</v>
      </c>
      <c r="X121" s="9">
        <f t="shared" si="16"/>
        <v>0.188</v>
      </c>
      <c r="Y121" s="13">
        <f t="shared" si="17"/>
        <v>0.83637307227181279</v>
      </c>
      <c r="Z121" s="9">
        <f t="shared" si="18"/>
        <v>0.93</v>
      </c>
      <c r="AA121" s="9">
        <f t="shared" si="19"/>
        <v>0.92298954922911181</v>
      </c>
      <c r="AB121" s="9">
        <f t="shared" si="20"/>
        <v>0.91525889573300467</v>
      </c>
      <c r="AC121" s="9">
        <f t="shared" si="21"/>
        <v>1.1758324126298192</v>
      </c>
    </row>
    <row r="122" spans="1:29" x14ac:dyDescent="0.35">
      <c r="A122" s="7">
        <v>119</v>
      </c>
      <c r="B122" s="8" t="s">
        <v>24</v>
      </c>
      <c r="C122" s="7" t="s">
        <v>23</v>
      </c>
      <c r="D122" s="7" t="s">
        <v>19</v>
      </c>
      <c r="E122">
        <v>1912.1211703405318</v>
      </c>
      <c r="F122">
        <v>0.65143357617793674</v>
      </c>
      <c r="G122">
        <v>0.80563884198966051</v>
      </c>
      <c r="H122">
        <v>0.79793959969662953</v>
      </c>
      <c r="I122">
        <v>1.1819690003318009</v>
      </c>
      <c r="J122">
        <f t="shared" si="11"/>
        <v>0.85420929257687539</v>
      </c>
      <c r="K122">
        <f t="shared" si="12"/>
        <v>0.84604587744626236</v>
      </c>
      <c r="L122">
        <f t="shared" si="13"/>
        <v>1.0096489036212242</v>
      </c>
      <c r="M122">
        <v>9.9206349206349209</v>
      </c>
      <c r="N122">
        <v>0.24059214494352027</v>
      </c>
      <c r="O122">
        <v>250</v>
      </c>
      <c r="P122">
        <v>150</v>
      </c>
      <c r="Q122">
        <v>42</v>
      </c>
      <c r="R122">
        <f t="shared" si="14"/>
        <v>2.1258503401360547E-2</v>
      </c>
      <c r="T122" t="s">
        <v>41</v>
      </c>
      <c r="W122" s="13">
        <f t="shared" si="15"/>
        <v>1.1617335347754159</v>
      </c>
      <c r="X122" s="9">
        <f t="shared" si="16"/>
        <v>0.188</v>
      </c>
      <c r="Y122" s="13">
        <f t="shared" si="17"/>
        <v>0.84010896265365453</v>
      </c>
      <c r="Z122" s="9">
        <f t="shared" si="18"/>
        <v>0.93</v>
      </c>
      <c r="AA122" s="9">
        <f t="shared" si="19"/>
        <v>0.92541963440589636</v>
      </c>
      <c r="AB122" s="9">
        <f t="shared" si="20"/>
        <v>0.90319360411509486</v>
      </c>
      <c r="AC122" s="9">
        <f t="shared" si="21"/>
        <v>1.1210899438320359</v>
      </c>
    </row>
    <row r="123" spans="1:29" x14ac:dyDescent="0.35">
      <c r="A123" s="7">
        <v>120</v>
      </c>
      <c r="B123" s="8" t="s">
        <v>15</v>
      </c>
      <c r="C123" s="7" t="s">
        <v>14</v>
      </c>
      <c r="D123" s="7" t="s">
        <v>19</v>
      </c>
      <c r="E123">
        <v>3401.4819098299754</v>
      </c>
      <c r="F123">
        <v>0.62678157841837168</v>
      </c>
      <c r="G123">
        <v>0.816931857236606</v>
      </c>
      <c r="H123">
        <v>0.80118186679901437</v>
      </c>
      <c r="I123" t="s">
        <v>30</v>
      </c>
      <c r="J123" t="e">
        <f t="shared" si="11"/>
        <v>#VALUE!</v>
      </c>
      <c r="K123" t="e">
        <f t="shared" si="12"/>
        <v>#VALUE!</v>
      </c>
      <c r="L123" t="e">
        <f t="shared" si="13"/>
        <v>#VALUE!</v>
      </c>
      <c r="M123">
        <v>7.1428571428571432</v>
      </c>
      <c r="N123">
        <v>0.19742146043098768</v>
      </c>
      <c r="O123">
        <v>250</v>
      </c>
      <c r="P123">
        <v>250</v>
      </c>
      <c r="Q123">
        <v>35</v>
      </c>
      <c r="R123">
        <f t="shared" si="14"/>
        <v>5.1020408163265307E-2</v>
      </c>
      <c r="T123" t="s">
        <v>41</v>
      </c>
      <c r="W123" s="13">
        <f t="shared" si="15"/>
        <v>1.1811603428060555</v>
      </c>
      <c r="X123" s="9">
        <f t="shared" si="16"/>
        <v>0.188</v>
      </c>
      <c r="Y123" s="13">
        <f t="shared" si="17"/>
        <v>0.84970493289658455</v>
      </c>
      <c r="Z123" s="9">
        <f t="shared" si="18"/>
        <v>0.93</v>
      </c>
      <c r="AA123" s="9">
        <f t="shared" si="19"/>
        <v>0.92704093457271197</v>
      </c>
      <c r="AB123" s="9">
        <f t="shared" si="20"/>
        <v>0.93041329611023027</v>
      </c>
      <c r="AC123" s="9">
        <f t="shared" si="21"/>
        <v>1.1389117560643212</v>
      </c>
    </row>
    <row r="124" spans="1:29" x14ac:dyDescent="0.35">
      <c r="A124" s="7">
        <v>121</v>
      </c>
      <c r="B124" s="8" t="s">
        <v>11</v>
      </c>
      <c r="C124" s="7" t="s">
        <v>22</v>
      </c>
      <c r="D124" s="7" t="s">
        <v>19</v>
      </c>
      <c r="E124">
        <v>715.84998151532864</v>
      </c>
      <c r="F124">
        <v>0.63566635179097652</v>
      </c>
      <c r="G124">
        <v>0.82766841347196263</v>
      </c>
      <c r="H124">
        <v>0.81976526377899772</v>
      </c>
      <c r="I124">
        <v>1.2011592706942333</v>
      </c>
      <c r="J124">
        <f t="shared" si="11"/>
        <v>0.84055526345205034</v>
      </c>
      <c r="K124">
        <f t="shared" si="12"/>
        <v>0.83252906121436387</v>
      </c>
      <c r="L124">
        <f t="shared" si="13"/>
        <v>1.0096407472262638</v>
      </c>
      <c r="M124">
        <v>21.333333333333336</v>
      </c>
      <c r="N124">
        <v>0.27003045590067681</v>
      </c>
      <c r="O124">
        <v>101.6</v>
      </c>
      <c r="P124">
        <v>50.8</v>
      </c>
      <c r="Q124">
        <v>9.5249999999999986</v>
      </c>
      <c r="R124">
        <f t="shared" si="14"/>
        <v>5.6888888888888899E-2</v>
      </c>
      <c r="T124" t="s">
        <v>41</v>
      </c>
      <c r="W124" s="13">
        <f t="shared" si="15"/>
        <v>1.1484862948446954</v>
      </c>
      <c r="X124" s="9">
        <f t="shared" si="16"/>
        <v>0.188</v>
      </c>
      <c r="Y124" s="13">
        <f t="shared" si="17"/>
        <v>0.84630301244573236</v>
      </c>
      <c r="Z124" s="9">
        <f t="shared" si="18"/>
        <v>0.93</v>
      </c>
      <c r="AA124" s="9">
        <f t="shared" si="19"/>
        <v>0.9273338671985093</v>
      </c>
      <c r="AB124" s="9">
        <f t="shared" si="20"/>
        <v>0.90133829810746446</v>
      </c>
      <c r="AC124" s="9">
        <f t="shared" si="21"/>
        <v>1.0890089357481532</v>
      </c>
    </row>
    <row r="125" spans="1:29" x14ac:dyDescent="0.35">
      <c r="A125" s="7">
        <v>122</v>
      </c>
      <c r="B125" s="8" t="s">
        <v>8</v>
      </c>
      <c r="C125" s="7" t="s">
        <v>9</v>
      </c>
      <c r="D125" s="7" t="s">
        <v>19</v>
      </c>
      <c r="E125">
        <v>1475.187401796275</v>
      </c>
      <c r="F125">
        <v>0.62552602629992449</v>
      </c>
      <c r="G125">
        <v>0.83357667841290306</v>
      </c>
      <c r="H125">
        <v>0.81595251301098115</v>
      </c>
      <c r="I125">
        <v>1.1844528597647972</v>
      </c>
      <c r="J125">
        <f t="shared" si="11"/>
        <v>0.86250752022022659</v>
      </c>
      <c r="K125">
        <f t="shared" si="12"/>
        <v>0.84427167510792711</v>
      </c>
      <c r="L125">
        <f t="shared" si="13"/>
        <v>1.0215994988934911</v>
      </c>
      <c r="M125">
        <v>17.999999999999996</v>
      </c>
      <c r="N125">
        <v>0.28797465749298701</v>
      </c>
      <c r="O125">
        <v>152.39999999999998</v>
      </c>
      <c r="P125">
        <v>101.6</v>
      </c>
      <c r="Q125">
        <v>12.7</v>
      </c>
      <c r="R125">
        <f t="shared" si="14"/>
        <v>9.5999999999999988E-2</v>
      </c>
      <c r="T125" t="s">
        <v>41</v>
      </c>
      <c r="W125" s="13">
        <f t="shared" si="15"/>
        <v>1.1404114041281559</v>
      </c>
      <c r="X125" s="9">
        <f t="shared" si="16"/>
        <v>0.188</v>
      </c>
      <c r="Y125" s="13">
        <f t="shared" si="17"/>
        <v>0.85018062744435174</v>
      </c>
      <c r="Z125" s="9">
        <f t="shared" si="18"/>
        <v>0.93</v>
      </c>
      <c r="AA125" s="9">
        <f t="shared" si="19"/>
        <v>0.92831129909051946</v>
      </c>
      <c r="AB125" s="9">
        <f t="shared" si="20"/>
        <v>0.90004949572507009</v>
      </c>
      <c r="AC125" s="9">
        <f t="shared" si="21"/>
        <v>1.0797440943750114</v>
      </c>
    </row>
    <row r="126" spans="1:29" x14ac:dyDescent="0.35">
      <c r="A126" s="7">
        <v>123</v>
      </c>
      <c r="B126" s="8" t="s">
        <v>16</v>
      </c>
      <c r="C126" s="7" t="s">
        <v>14</v>
      </c>
      <c r="D126" s="7" t="s">
        <v>19</v>
      </c>
      <c r="E126">
        <v>3605.069666641738</v>
      </c>
      <c r="F126">
        <v>0.61820294233504225</v>
      </c>
      <c r="G126">
        <v>0.83025277123490726</v>
      </c>
      <c r="H126">
        <v>0.82777043890416147</v>
      </c>
      <c r="I126">
        <v>1.1315939820986478</v>
      </c>
      <c r="J126">
        <f t="shared" si="11"/>
        <v>0.8863592712482864</v>
      </c>
      <c r="K126">
        <f t="shared" si="12"/>
        <v>0.88370918882531135</v>
      </c>
      <c r="L126">
        <f t="shared" si="13"/>
        <v>1.002998817321904</v>
      </c>
      <c r="M126">
        <v>12.5</v>
      </c>
      <c r="N126">
        <v>0.3273580078539739</v>
      </c>
      <c r="O126">
        <v>250</v>
      </c>
      <c r="P126">
        <v>250</v>
      </c>
      <c r="Q126">
        <v>20</v>
      </c>
      <c r="R126">
        <f t="shared" si="14"/>
        <v>0.15625</v>
      </c>
      <c r="T126" t="s">
        <v>41</v>
      </c>
      <c r="W126" s="13">
        <f t="shared" si="15"/>
        <v>1.1226888964657118</v>
      </c>
      <c r="X126" s="9">
        <f t="shared" si="16"/>
        <v>0.188</v>
      </c>
      <c r="Y126" s="13">
        <f t="shared" si="17"/>
        <v>0.85293054766920706</v>
      </c>
      <c r="Z126" s="9">
        <f t="shared" si="18"/>
        <v>0.93</v>
      </c>
      <c r="AA126" s="9">
        <f t="shared" si="19"/>
        <v>0.92913344820973709</v>
      </c>
      <c r="AB126" s="9">
        <f t="shared" si="20"/>
        <v>0.88971557055347894</v>
      </c>
      <c r="AC126" s="9">
        <f t="shared" si="21"/>
        <v>1.0716201154380098</v>
      </c>
    </row>
    <row r="127" spans="1:29" x14ac:dyDescent="0.35">
      <c r="A127" s="7">
        <v>124</v>
      </c>
      <c r="B127" s="8" t="s">
        <v>10</v>
      </c>
      <c r="C127" s="7" t="s">
        <v>22</v>
      </c>
      <c r="D127" s="7" t="s">
        <v>19</v>
      </c>
      <c r="E127">
        <v>560.91721835189765</v>
      </c>
      <c r="F127">
        <v>0.63926093031633802</v>
      </c>
      <c r="G127">
        <v>0.833838294670883</v>
      </c>
      <c r="H127">
        <v>0.83115752602934856</v>
      </c>
      <c r="I127">
        <v>1.0691692166713029</v>
      </c>
      <c r="J127">
        <f t="shared" si="11"/>
        <v>0.93832232353708744</v>
      </c>
      <c r="K127">
        <f t="shared" si="12"/>
        <v>0.93530564143377526</v>
      </c>
      <c r="L127">
        <f t="shared" si="13"/>
        <v>1.0032253436413445</v>
      </c>
      <c r="M127">
        <v>42.666666666666671</v>
      </c>
      <c r="N127">
        <v>0.3640469734360513</v>
      </c>
      <c r="O127">
        <v>101.6</v>
      </c>
      <c r="P127">
        <v>38.099999999999994</v>
      </c>
      <c r="Q127">
        <v>6.35</v>
      </c>
      <c r="R127">
        <f t="shared" si="14"/>
        <v>9.5999999999999988E-2</v>
      </c>
      <c r="T127" t="s">
        <v>41</v>
      </c>
      <c r="W127" s="13">
        <f t="shared" si="15"/>
        <v>1.1061788619537769</v>
      </c>
      <c r="X127" s="9">
        <f t="shared" si="16"/>
        <v>0.188</v>
      </c>
      <c r="Y127" s="13">
        <f t="shared" si="17"/>
        <v>0.84490871497039799</v>
      </c>
      <c r="Z127" s="9">
        <f t="shared" si="18"/>
        <v>0.93</v>
      </c>
      <c r="AA127" s="9">
        <f t="shared" si="19"/>
        <v>0.9287945990225337</v>
      </c>
      <c r="AB127" s="9">
        <f t="shared" si="20"/>
        <v>0.86807015747076322</v>
      </c>
      <c r="AC127" s="9">
        <f t="shared" si="21"/>
        <v>1.0410533589290134</v>
      </c>
    </row>
    <row r="128" spans="1:29" x14ac:dyDescent="0.35">
      <c r="A128" s="7">
        <v>125</v>
      </c>
      <c r="B128" s="8" t="s">
        <v>18</v>
      </c>
      <c r="C128" s="7" t="s">
        <v>14</v>
      </c>
      <c r="D128" s="7" t="s">
        <v>19</v>
      </c>
      <c r="E128">
        <v>2191.7104093622102</v>
      </c>
      <c r="F128">
        <v>0.61674341097316365</v>
      </c>
      <c r="G128">
        <v>0.83273156376866875</v>
      </c>
      <c r="H128">
        <v>0.80885769430547805</v>
      </c>
      <c r="I128">
        <v>1.0849825280559102</v>
      </c>
      <c r="J128">
        <f t="shared" si="11"/>
        <v>0.94887752631845013</v>
      </c>
      <c r="K128">
        <f t="shared" si="12"/>
        <v>0.92167382804939424</v>
      </c>
      <c r="L128">
        <f t="shared" si="13"/>
        <v>1.0295155373204306</v>
      </c>
      <c r="M128">
        <v>15</v>
      </c>
      <c r="N128">
        <v>0.39023080654552345</v>
      </c>
      <c r="O128">
        <v>150</v>
      </c>
      <c r="P128">
        <v>150</v>
      </c>
      <c r="Q128">
        <v>10</v>
      </c>
      <c r="R128">
        <f t="shared" si="14"/>
        <v>0.22500000000000001</v>
      </c>
      <c r="T128" t="s">
        <v>41</v>
      </c>
      <c r="W128" s="13">
        <f t="shared" si="15"/>
        <v>1.0943961370545146</v>
      </c>
      <c r="X128" s="9">
        <f t="shared" si="16"/>
        <v>0.188</v>
      </c>
      <c r="Y128" s="13">
        <f t="shared" si="17"/>
        <v>0.85347364018782101</v>
      </c>
      <c r="Z128" s="9">
        <f t="shared" si="18"/>
        <v>0.93</v>
      </c>
      <c r="AA128" s="9">
        <f t="shared" si="19"/>
        <v>0.92968427971834044</v>
      </c>
      <c r="AB128" s="9">
        <f t="shared" si="20"/>
        <v>0.86836068223552987</v>
      </c>
      <c r="AC128" s="9">
        <f t="shared" si="21"/>
        <v>1.0427858388189533</v>
      </c>
    </row>
    <row r="129" spans="1:29" x14ac:dyDescent="0.35">
      <c r="A129" s="7">
        <v>126</v>
      </c>
      <c r="B129" s="8" t="s">
        <v>25</v>
      </c>
      <c r="C129" s="7" t="s">
        <v>23</v>
      </c>
      <c r="D129" s="7" t="s">
        <v>19</v>
      </c>
      <c r="E129">
        <v>1516.4343594796239</v>
      </c>
      <c r="F129">
        <v>0.6251293852630998</v>
      </c>
      <c r="G129">
        <v>0.83855357020174082</v>
      </c>
      <c r="H129">
        <v>0.82259704209963125</v>
      </c>
      <c r="I129">
        <v>1.0522137206106303</v>
      </c>
      <c r="J129">
        <f t="shared" si="11"/>
        <v>0.96881244329847716</v>
      </c>
      <c r="K129">
        <f t="shared" si="12"/>
        <v>0.9503772669108238</v>
      </c>
      <c r="L129">
        <f t="shared" si="13"/>
        <v>1.019397745536966</v>
      </c>
      <c r="M129">
        <v>32.4</v>
      </c>
      <c r="N129">
        <v>0.41633655043423501</v>
      </c>
      <c r="O129">
        <v>180</v>
      </c>
      <c r="P129">
        <v>100</v>
      </c>
      <c r="Q129">
        <v>10</v>
      </c>
      <c r="R129">
        <f t="shared" si="14"/>
        <v>0.18</v>
      </c>
      <c r="T129" t="s">
        <v>41</v>
      </c>
      <c r="W129" s="13">
        <f t="shared" si="15"/>
        <v>1.0826485523045943</v>
      </c>
      <c r="X129" s="9">
        <f t="shared" si="16"/>
        <v>0.188</v>
      </c>
      <c r="Y129" s="13">
        <f t="shared" si="17"/>
        <v>0.8503306460622726</v>
      </c>
      <c r="Z129" s="9">
        <f t="shared" si="18"/>
        <v>0.93</v>
      </c>
      <c r="AA129" s="9">
        <f t="shared" si="19"/>
        <v>0.92981853444892471</v>
      </c>
      <c r="AB129" s="9">
        <f t="shared" si="20"/>
        <v>0.85599953707018628</v>
      </c>
      <c r="AC129" s="9">
        <f t="shared" si="21"/>
        <v>1.0208048328555184</v>
      </c>
    </row>
    <row r="130" spans="1:29" x14ac:dyDescent="0.35">
      <c r="A130" s="7">
        <v>127</v>
      </c>
      <c r="B130" s="8" t="s">
        <v>7</v>
      </c>
      <c r="C130" s="7" t="s">
        <v>9</v>
      </c>
      <c r="D130" s="7" t="s">
        <v>19</v>
      </c>
      <c r="E130">
        <v>1188.2456939791609</v>
      </c>
      <c r="F130">
        <v>0.62110118527503111</v>
      </c>
      <c r="G130">
        <v>0.84017113180195302</v>
      </c>
      <c r="H130">
        <v>0.81488627554272119</v>
      </c>
      <c r="I130">
        <v>0.96654599499694582</v>
      </c>
      <c r="J130">
        <f t="shared" si="11"/>
        <v>1.0667145677127359</v>
      </c>
      <c r="K130">
        <f t="shared" si="12"/>
        <v>1.0346119120830457</v>
      </c>
      <c r="L130">
        <f t="shared" si="13"/>
        <v>1.0310286932276431</v>
      </c>
      <c r="M130">
        <v>44.326241134751783</v>
      </c>
      <c r="N130">
        <v>0.61372494072314776</v>
      </c>
      <c r="O130">
        <v>127</v>
      </c>
      <c r="P130">
        <v>76.199999999999989</v>
      </c>
      <c r="Q130">
        <v>4.7751999999999999</v>
      </c>
      <c r="R130">
        <f t="shared" si="14"/>
        <v>0.42440018107741062</v>
      </c>
      <c r="T130" t="s">
        <v>41</v>
      </c>
      <c r="W130" s="13">
        <f t="shared" si="15"/>
        <v>0.99257404412421779</v>
      </c>
      <c r="X130" s="9">
        <f t="shared" si="16"/>
        <v>0.188</v>
      </c>
      <c r="Y130" s="13">
        <f t="shared" si="17"/>
        <v>0.8518472172632825</v>
      </c>
      <c r="Z130" s="9">
        <f t="shared" si="18"/>
        <v>0.93</v>
      </c>
      <c r="AA130" s="9">
        <f t="shared" si="19"/>
        <v>0.93161561220809497</v>
      </c>
      <c r="AB130" s="9">
        <f t="shared" si="20"/>
        <v>0.7877009715524228</v>
      </c>
      <c r="AC130" s="9">
        <f t="shared" si="21"/>
        <v>0.93754824670422188</v>
      </c>
    </row>
    <row r="131" spans="1:29" x14ac:dyDescent="0.35">
      <c r="A131" s="7">
        <v>128</v>
      </c>
      <c r="B131" s="8" t="s">
        <v>3</v>
      </c>
      <c r="C131" s="7" t="s">
        <v>9</v>
      </c>
      <c r="D131" s="7" t="s">
        <v>19</v>
      </c>
      <c r="E131">
        <v>2306.4097545131808</v>
      </c>
      <c r="F131">
        <v>0.61352629896797028</v>
      </c>
      <c r="G131">
        <v>0.8170255697568013</v>
      </c>
      <c r="H131">
        <v>0.83756951633923715</v>
      </c>
      <c r="I131">
        <v>0.87933356865618517</v>
      </c>
      <c r="J131">
        <f t="shared" si="11"/>
        <v>1.109330958398099</v>
      </c>
      <c r="K131">
        <f t="shared" si="12"/>
        <v>1.1372248662452631</v>
      </c>
      <c r="L131">
        <f t="shared" si="13"/>
        <v>0.97547195046898649</v>
      </c>
      <c r="M131">
        <v>31.914893617021278</v>
      </c>
      <c r="N131">
        <v>0.82298860920708738</v>
      </c>
      <c r="O131">
        <v>152.39999999999998</v>
      </c>
      <c r="P131">
        <v>152.39999999999998</v>
      </c>
      <c r="Q131">
        <v>4.7751999999999999</v>
      </c>
      <c r="R131">
        <f t="shared" si="14"/>
        <v>1.0185604345857853</v>
      </c>
      <c r="T131" t="s">
        <v>41</v>
      </c>
      <c r="W131" s="13">
        <f t="shared" si="15"/>
        <v>0.86939358857435056</v>
      </c>
      <c r="X131" s="9">
        <f t="shared" si="16"/>
        <v>0.188</v>
      </c>
      <c r="Y131" s="13">
        <f t="shared" si="17"/>
        <v>0.85466493467448257</v>
      </c>
      <c r="Z131" s="9">
        <f t="shared" si="18"/>
        <v>0.97</v>
      </c>
      <c r="AA131" s="9">
        <f t="shared" si="19"/>
        <v>0.97196539572636287</v>
      </c>
      <c r="AB131" s="9">
        <f t="shared" si="20"/>
        <v>0.72220937621001369</v>
      </c>
      <c r="AC131" s="9">
        <f t="shared" si="21"/>
        <v>0.88394953957804412</v>
      </c>
    </row>
    <row r="132" spans="1:29" x14ac:dyDescent="0.35">
      <c r="A132" s="7">
        <v>129</v>
      </c>
      <c r="B132" s="8" t="s">
        <v>13</v>
      </c>
      <c r="C132" s="7" t="s">
        <v>23</v>
      </c>
      <c r="D132" s="7" t="s">
        <v>19</v>
      </c>
      <c r="E132">
        <v>835.22775698691703</v>
      </c>
      <c r="F132">
        <v>0.63559004658883567</v>
      </c>
      <c r="G132">
        <v>0.69120304285505396</v>
      </c>
      <c r="H132">
        <v>0.84428736005801852</v>
      </c>
      <c r="I132">
        <v>0.73799305846603513</v>
      </c>
      <c r="J132">
        <f t="shared" si="11"/>
        <v>1.1093359237586844</v>
      </c>
      <c r="K132">
        <f t="shared" si="12"/>
        <v>1.3550262953401795</v>
      </c>
      <c r="L132">
        <f t="shared" si="13"/>
        <v>0.81868221124091578</v>
      </c>
      <c r="M132">
        <v>143.99999999999997</v>
      </c>
      <c r="N132">
        <v>1.0508388729733691</v>
      </c>
      <c r="O132">
        <v>152.39999999999998</v>
      </c>
      <c r="P132">
        <v>50.8</v>
      </c>
      <c r="Q132">
        <v>3.1749999999999998</v>
      </c>
      <c r="R132">
        <f t="shared" si="14"/>
        <v>0.7679999999999999</v>
      </c>
      <c r="T132" t="s">
        <v>41</v>
      </c>
      <c r="W132" s="13">
        <f t="shared" si="15"/>
        <v>0.7683290158341336</v>
      </c>
      <c r="X132" s="9">
        <f t="shared" si="16"/>
        <v>0.188</v>
      </c>
      <c r="Y132" s="13">
        <f t="shared" si="17"/>
        <v>0.8463324975821741</v>
      </c>
      <c r="Z132" s="9">
        <f t="shared" si="18"/>
        <v>0.97</v>
      </c>
      <c r="AA132" s="9">
        <f t="shared" si="19"/>
        <v>0.97795918039118901</v>
      </c>
      <c r="AB132" s="9">
        <f t="shared" si="20"/>
        <v>0.63592951157425903</v>
      </c>
      <c r="AC132" s="9">
        <f t="shared" si="21"/>
        <v>0.9200328588651977</v>
      </c>
    </row>
    <row r="133" spans="1:29" x14ac:dyDescent="0.35">
      <c r="A133" s="7">
        <v>130</v>
      </c>
      <c r="B133" s="8" t="s">
        <v>12</v>
      </c>
      <c r="C133" s="7" t="s">
        <v>22</v>
      </c>
      <c r="D133" s="7" t="s">
        <v>19</v>
      </c>
      <c r="E133">
        <v>741.59450565387544</v>
      </c>
      <c r="F133">
        <v>0.64099478893141393</v>
      </c>
      <c r="G133">
        <v>0.59391900023506594</v>
      </c>
      <c r="H133">
        <v>0.84513816118251672</v>
      </c>
      <c r="I133">
        <v>0.65172544217244144</v>
      </c>
      <c r="J133">
        <f t="shared" ref="J133:J196" si="22">G133/(H133*I133)</f>
        <v>1.0782881476869053</v>
      </c>
      <c r="K133">
        <f t="shared" ref="K133:K196" si="23">1/I133</f>
        <v>1.5343884637472966</v>
      </c>
      <c r="L133">
        <f t="shared" ref="L133:L196" si="24">J133/K133</f>
        <v>0.70274781984055112</v>
      </c>
      <c r="M133">
        <v>205.71428571428569</v>
      </c>
      <c r="N133">
        <v>1.2988820212575451</v>
      </c>
      <c r="O133">
        <v>152.39999999999998</v>
      </c>
      <c r="P133">
        <v>44.449999999999996</v>
      </c>
      <c r="Q133">
        <v>2.54</v>
      </c>
      <c r="R133">
        <f t="shared" ref="R133:R196" si="25">(O133/Q133)*(P133/Q133)*(0.001)</f>
        <v>1.0499999999999998</v>
      </c>
      <c r="T133" t="s">
        <v>41</v>
      </c>
      <c r="W133" s="13">
        <f t="shared" ref="W133:W196" si="26">IF(OR($D133="",$F133="",$G133="",$N133="",$R133=""),"",
IF($N133&lt;=0.6,
 IF(TRIM($D133)="6061-T6",-0.17*$N133+1.102,
  IF(TRIM($D133)="6063-T6",-0.45*$N133+1.27,
   IF(TRIM($D133)="6082-T6",-0.5*$N133+1.3,""))),
 _xlfn.LET(_xlpm.alphaL,0.12+0.027*$R133,
     _xlpm.phiL,0.5*(1+_xlpm.alphaL*($N133-0.6)+$N133^0.55),
     MIN(1,1/(_xlpm.phiL+SQRT(MAX(0,_xlpm.phiL^2-$N133^0.55)))))
))</f>
        <v>0.67745103897541759</v>
      </c>
      <c r="X133" s="9">
        <f t="shared" ref="X133:X196" si="27">IF(OR($D133="",$F133="",$G133="",$N133="",$R133=""),"",
IF(TRIM($D133)="6061-T6",0.111,
 IF(TRIM($D133)="6063-T6",0.188,
  IF(TRIM($D133)="6082-T6",0.126,""))))</f>
        <v>0.188</v>
      </c>
      <c r="Y133" s="13">
        <f t="shared" ref="Y133:Y196" si="28">IF(OR($D133="",$F133="",$G133="",$N133="",$R133="",$X133=""),"",
_xlfn.LET(_xlpm.alphaG,$X133,
    _xlpm.phiG,0.5*(1+_xlpm.alphaG*$F133+$F133^2),
    MIN(1,1/(_xlpm.phiG+SQRT(MAX(0,_xlpm.phiG^2-$F133^2)))))
)</f>
        <v>0.84423243581989127</v>
      </c>
      <c r="Z133" s="9">
        <f t="shared" ref="Z133:Z196" si="29">IF(OR($D133="",$F133="",$G133="",$N133="",$R133="",$W133=""),"",
IF($W133&lt;=0.7,1,
 IF($W133&lt;=0.95,0.97,0.93)))</f>
        <v>1</v>
      </c>
      <c r="AA133" s="9">
        <f t="shared" ref="AA133:AA196" si="30">IF(OR($D133="",$F133="",$G133="",$N133="",$R133="",$W133="",$Z133=""),"",
IF($F133&lt;=0.6,$Z133,
 IF($F133&lt;=1.6/$W133,
   ((1/$W133-$Z133)/((1.6/$W133)-0.6))*($F133-0.6)+$Z133,
   1/$W133)))</f>
        <v>1.0110787608887801</v>
      </c>
      <c r="AB133" s="9">
        <f t="shared" ref="AB133:AB196" si="31">IF(OR($W133="",$Y133="",$AA133=""),"",$W133*$Y133*$AA133)</f>
        <v>0.57826237374270983</v>
      </c>
      <c r="AC133" s="9">
        <f t="shared" ref="AC133:AC196" si="32">IF(OR($AB133="",$G133=""),"",IFERROR($AB133/$G133,""))</f>
        <v>0.97363844819552936</v>
      </c>
    </row>
    <row r="134" spans="1:29" x14ac:dyDescent="0.35">
      <c r="A134" s="7">
        <v>131</v>
      </c>
      <c r="B134" s="8" t="s">
        <v>17</v>
      </c>
      <c r="C134" s="7" t="s">
        <v>14</v>
      </c>
      <c r="D134" s="7" t="s">
        <v>19</v>
      </c>
      <c r="E134">
        <v>5483.1685425105488</v>
      </c>
      <c r="F134">
        <v>0.98269686476305196</v>
      </c>
      <c r="G134">
        <v>0.63556043207951762</v>
      </c>
      <c r="H134">
        <v>0.62608355608571487</v>
      </c>
      <c r="I134">
        <v>0.99502359502359483</v>
      </c>
      <c r="J134">
        <f t="shared" si="22"/>
        <v>1.0202137559582469</v>
      </c>
      <c r="K134">
        <f t="shared" si="23"/>
        <v>1.0050012934379582</v>
      </c>
      <c r="L134">
        <f t="shared" si="24"/>
        <v>1.0151367591460994</v>
      </c>
      <c r="M134">
        <v>3.75</v>
      </c>
      <c r="N134">
        <v>0.18750130519071448</v>
      </c>
      <c r="O134">
        <v>300</v>
      </c>
      <c r="P134">
        <v>300</v>
      </c>
      <c r="Q134">
        <v>80</v>
      </c>
      <c r="R134">
        <f t="shared" si="25"/>
        <v>1.40625E-2</v>
      </c>
      <c r="T134" t="s">
        <v>41</v>
      </c>
      <c r="W134" s="13">
        <f t="shared" si="26"/>
        <v>1.1856244126641786</v>
      </c>
      <c r="X134" s="9">
        <f t="shared" si="27"/>
        <v>0.188</v>
      </c>
      <c r="Y134" s="13">
        <f t="shared" si="28"/>
        <v>0.66156189510446595</v>
      </c>
      <c r="Z134" s="9">
        <f t="shared" si="29"/>
        <v>0.93</v>
      </c>
      <c r="AA134" s="9">
        <f t="shared" si="30"/>
        <v>0.88580089127774475</v>
      </c>
      <c r="AB134" s="9">
        <f t="shared" si="31"/>
        <v>0.69479027122472348</v>
      </c>
      <c r="AC134" s="9">
        <f t="shared" si="32"/>
        <v>1.0931930877940421</v>
      </c>
    </row>
    <row r="135" spans="1:29" x14ac:dyDescent="0.35">
      <c r="A135" s="7">
        <v>132</v>
      </c>
      <c r="B135" s="8" t="s">
        <v>24</v>
      </c>
      <c r="C135" s="7" t="s">
        <v>23</v>
      </c>
      <c r="D135" s="7" t="s">
        <v>19</v>
      </c>
      <c r="E135">
        <v>2868.1817555107978</v>
      </c>
      <c r="F135">
        <v>0.96287784852091096</v>
      </c>
      <c r="G135">
        <v>0.68294138565818996</v>
      </c>
      <c r="H135">
        <v>0.67471190757676214</v>
      </c>
      <c r="I135">
        <v>1.1819690003318009</v>
      </c>
      <c r="J135">
        <f t="shared" si="22"/>
        <v>0.85636512026106959</v>
      </c>
      <c r="K135">
        <f t="shared" si="23"/>
        <v>0.84604587744626236</v>
      </c>
      <c r="L135">
        <f t="shared" si="24"/>
        <v>1.0121970251139989</v>
      </c>
      <c r="M135">
        <v>9.9206349206349209</v>
      </c>
      <c r="N135">
        <v>0.24059214494352027</v>
      </c>
      <c r="O135">
        <v>250</v>
      </c>
      <c r="P135">
        <v>150</v>
      </c>
      <c r="Q135">
        <v>42</v>
      </c>
      <c r="R135">
        <f t="shared" si="25"/>
        <v>2.1258503401360547E-2</v>
      </c>
      <c r="T135" t="s">
        <v>41</v>
      </c>
      <c r="W135" s="13">
        <f t="shared" si="26"/>
        <v>1.1617335347754159</v>
      </c>
      <c r="X135" s="9">
        <f t="shared" si="27"/>
        <v>0.188</v>
      </c>
      <c r="Y135" s="13">
        <f t="shared" si="28"/>
        <v>0.67432431291525663</v>
      </c>
      <c r="Z135" s="9">
        <f t="shared" si="29"/>
        <v>0.93</v>
      </c>
      <c r="AA135" s="9">
        <f t="shared" si="30"/>
        <v>0.8976842767752059</v>
      </c>
      <c r="AB135" s="9">
        <f t="shared" si="31"/>
        <v>0.70323254763860477</v>
      </c>
      <c r="AC135" s="9">
        <f t="shared" si="32"/>
        <v>1.0297114253236521</v>
      </c>
    </row>
    <row r="136" spans="1:29" x14ac:dyDescent="0.35">
      <c r="A136" s="7">
        <v>133</v>
      </c>
      <c r="B136" s="8" t="s">
        <v>15</v>
      </c>
      <c r="C136" s="7" t="s">
        <v>14</v>
      </c>
      <c r="D136" s="7" t="s">
        <v>19</v>
      </c>
      <c r="E136">
        <v>5102.2228647449638</v>
      </c>
      <c r="F136">
        <v>0.93124587718090535</v>
      </c>
      <c r="G136">
        <v>0.67899410540134431</v>
      </c>
      <c r="H136">
        <v>0.67950885188340771</v>
      </c>
      <c r="I136" t="s">
        <v>30</v>
      </c>
      <c r="J136" t="e">
        <f t="shared" si="22"/>
        <v>#VALUE!</v>
      </c>
      <c r="K136" t="e">
        <f t="shared" si="23"/>
        <v>#VALUE!</v>
      </c>
      <c r="L136" t="e">
        <f t="shared" si="24"/>
        <v>#VALUE!</v>
      </c>
      <c r="M136">
        <v>7.1428571428571432</v>
      </c>
      <c r="N136">
        <v>0.19742146043098768</v>
      </c>
      <c r="O136">
        <v>250</v>
      </c>
      <c r="P136">
        <v>250</v>
      </c>
      <c r="Q136">
        <v>35</v>
      </c>
      <c r="R136">
        <f t="shared" si="25"/>
        <v>5.1020408163265307E-2</v>
      </c>
      <c r="T136" t="s">
        <v>41</v>
      </c>
      <c r="W136" s="13">
        <f t="shared" si="26"/>
        <v>1.1811603428060555</v>
      </c>
      <c r="X136" s="9">
        <f t="shared" si="27"/>
        <v>0.188</v>
      </c>
      <c r="Y136" s="13">
        <f t="shared" si="28"/>
        <v>0.69439656083627233</v>
      </c>
      <c r="Z136" s="9">
        <f t="shared" si="29"/>
        <v>0.93</v>
      </c>
      <c r="AA136" s="9">
        <f t="shared" si="30"/>
        <v>0.89340102858069925</v>
      </c>
      <c r="AB136" s="9">
        <f t="shared" si="31"/>
        <v>0.73276187720508568</v>
      </c>
      <c r="AC136" s="9">
        <f t="shared" si="32"/>
        <v>1.0791873911364223</v>
      </c>
    </row>
    <row r="137" spans="1:29" x14ac:dyDescent="0.35">
      <c r="A137" s="7">
        <v>134</v>
      </c>
      <c r="B137" s="8" t="s">
        <v>11</v>
      </c>
      <c r="C137" s="7" t="s">
        <v>22</v>
      </c>
      <c r="D137" s="7" t="s">
        <v>19</v>
      </c>
      <c r="E137">
        <v>1073.7749722729932</v>
      </c>
      <c r="F137">
        <v>0.93577820690276425</v>
      </c>
      <c r="G137">
        <v>0.70990230988536085</v>
      </c>
      <c r="H137">
        <v>0.71134390385070445</v>
      </c>
      <c r="I137">
        <v>1.2011592706942333</v>
      </c>
      <c r="J137">
        <f t="shared" si="22"/>
        <v>0.83084187606506688</v>
      </c>
      <c r="K137">
        <f t="shared" si="23"/>
        <v>0.83252906121436387</v>
      </c>
      <c r="L137">
        <f t="shared" si="24"/>
        <v>0.99797342191654426</v>
      </c>
      <c r="M137">
        <v>21.333333333333336</v>
      </c>
      <c r="N137">
        <v>0.27003045590067681</v>
      </c>
      <c r="O137">
        <v>101.6</v>
      </c>
      <c r="P137">
        <v>50.8</v>
      </c>
      <c r="Q137">
        <v>9.5249999999999986</v>
      </c>
      <c r="R137">
        <f t="shared" si="25"/>
        <v>5.6888888888888899E-2</v>
      </c>
      <c r="T137" t="s">
        <v>41</v>
      </c>
      <c r="W137" s="13">
        <f t="shared" si="26"/>
        <v>1.1484862948446954</v>
      </c>
      <c r="X137" s="9">
        <f t="shared" si="27"/>
        <v>0.188</v>
      </c>
      <c r="Y137" s="13">
        <f t="shared" si="28"/>
        <v>0.69154751411324156</v>
      </c>
      <c r="Z137" s="9">
        <f t="shared" si="29"/>
        <v>0.93</v>
      </c>
      <c r="AA137" s="9">
        <f t="shared" si="30"/>
        <v>0.90489989173281016</v>
      </c>
      <c r="AB137" s="9">
        <f t="shared" si="31"/>
        <v>0.71870121291106659</v>
      </c>
      <c r="AC137" s="9">
        <f t="shared" si="32"/>
        <v>1.0123945265470775</v>
      </c>
    </row>
    <row r="138" spans="1:29" x14ac:dyDescent="0.35">
      <c r="A138" s="7">
        <v>135</v>
      </c>
      <c r="B138" s="8" t="s">
        <v>8</v>
      </c>
      <c r="C138" s="7" t="s">
        <v>9</v>
      </c>
      <c r="D138" s="7" t="s">
        <v>19</v>
      </c>
      <c r="E138">
        <v>2212.7811026944128</v>
      </c>
      <c r="F138">
        <v>0.9254119200244777</v>
      </c>
      <c r="G138">
        <v>0.71453805629647671</v>
      </c>
      <c r="H138">
        <v>0.7151457596493116</v>
      </c>
      <c r="I138">
        <v>1.1844528597647972</v>
      </c>
      <c r="J138">
        <f t="shared" si="22"/>
        <v>0.84355424551998093</v>
      </c>
      <c r="K138">
        <f t="shared" si="23"/>
        <v>0.84427167510792711</v>
      </c>
      <c r="L138">
        <f t="shared" si="24"/>
        <v>0.99915023847287732</v>
      </c>
      <c r="M138">
        <v>17.999999999999996</v>
      </c>
      <c r="N138">
        <v>0.28797465749298701</v>
      </c>
      <c r="O138">
        <v>152.39999999999998</v>
      </c>
      <c r="P138">
        <v>101.6</v>
      </c>
      <c r="Q138">
        <v>12.7</v>
      </c>
      <c r="R138">
        <f t="shared" si="25"/>
        <v>9.5999999999999988E-2</v>
      </c>
      <c r="T138" t="s">
        <v>41</v>
      </c>
      <c r="W138" s="13">
        <f t="shared" si="26"/>
        <v>1.1404114041281559</v>
      </c>
      <c r="X138" s="9">
        <f t="shared" si="27"/>
        <v>0.188</v>
      </c>
      <c r="Y138" s="13">
        <f t="shared" si="28"/>
        <v>0.69804880822795179</v>
      </c>
      <c r="Z138" s="9">
        <f t="shared" si="29"/>
        <v>0.93</v>
      </c>
      <c r="AA138" s="9">
        <f t="shared" si="30"/>
        <v>0.90847203482263961</v>
      </c>
      <c r="AB138" s="9">
        <f t="shared" si="31"/>
        <v>0.72320081133220793</v>
      </c>
      <c r="AC138" s="9">
        <f t="shared" si="32"/>
        <v>1.0121235740481496</v>
      </c>
    </row>
    <row r="139" spans="1:29" x14ac:dyDescent="0.35">
      <c r="A139" s="7">
        <v>136</v>
      </c>
      <c r="B139" s="8" t="s">
        <v>16</v>
      </c>
      <c r="C139" s="7" t="s">
        <v>14</v>
      </c>
      <c r="D139" s="7" t="s">
        <v>19</v>
      </c>
      <c r="E139">
        <v>5407.6044999626074</v>
      </c>
      <c r="F139">
        <v>0.91832346192862857</v>
      </c>
      <c r="G139">
        <v>0.69182198579088094</v>
      </c>
      <c r="H139">
        <v>0.68565673827787654</v>
      </c>
      <c r="I139">
        <v>1.1315939820986478</v>
      </c>
      <c r="J139">
        <f t="shared" si="22"/>
        <v>0.89165527259356625</v>
      </c>
      <c r="K139">
        <f t="shared" si="23"/>
        <v>0.88370918882531135</v>
      </c>
      <c r="L139">
        <f t="shared" si="24"/>
        <v>1.008991740573409</v>
      </c>
      <c r="M139">
        <v>12.5</v>
      </c>
      <c r="N139">
        <v>0.3273580078539739</v>
      </c>
      <c r="O139">
        <v>250</v>
      </c>
      <c r="P139">
        <v>250</v>
      </c>
      <c r="Q139">
        <v>20</v>
      </c>
      <c r="R139">
        <f t="shared" si="25"/>
        <v>0.15625</v>
      </c>
      <c r="T139" t="s">
        <v>41</v>
      </c>
      <c r="W139" s="13">
        <f t="shared" si="26"/>
        <v>1.1226888964657118</v>
      </c>
      <c r="X139" s="9">
        <f t="shared" si="27"/>
        <v>0.188</v>
      </c>
      <c r="Y139" s="13">
        <f t="shared" si="28"/>
        <v>0.70246250074916883</v>
      </c>
      <c r="Z139" s="9">
        <f t="shared" si="29"/>
        <v>0.93</v>
      </c>
      <c r="AA139" s="9">
        <f t="shared" si="30"/>
        <v>0.91484619899685526</v>
      </c>
      <c r="AB139" s="9">
        <f t="shared" si="31"/>
        <v>0.72149057286716289</v>
      </c>
      <c r="AC139" s="9">
        <f t="shared" si="32"/>
        <v>1.0428847126654486</v>
      </c>
    </row>
    <row r="140" spans="1:29" x14ac:dyDescent="0.35">
      <c r="A140" s="7">
        <v>137</v>
      </c>
      <c r="B140" s="8" t="s">
        <v>10</v>
      </c>
      <c r="C140" s="7" t="s">
        <v>22</v>
      </c>
      <c r="D140" s="7" t="s">
        <v>19</v>
      </c>
      <c r="E140">
        <v>841.37582752784647</v>
      </c>
      <c r="F140">
        <v>0.93428808178359235</v>
      </c>
      <c r="G140">
        <v>0.71642036056292191</v>
      </c>
      <c r="H140">
        <v>0.71835903352208585</v>
      </c>
      <c r="I140">
        <v>1.0691692166713029</v>
      </c>
      <c r="J140">
        <f t="shared" si="22"/>
        <v>0.9327814833582363</v>
      </c>
      <c r="K140">
        <f t="shared" si="23"/>
        <v>0.93530564143377526</v>
      </c>
      <c r="L140">
        <f t="shared" si="24"/>
        <v>0.99730124788762142</v>
      </c>
      <c r="M140">
        <v>42.666666666666671</v>
      </c>
      <c r="N140">
        <v>0.3640469734360513</v>
      </c>
      <c r="O140">
        <v>101.6</v>
      </c>
      <c r="P140">
        <v>38.099999999999994</v>
      </c>
      <c r="Q140">
        <v>6.35</v>
      </c>
      <c r="R140">
        <f t="shared" si="25"/>
        <v>9.5999999999999988E-2</v>
      </c>
      <c r="T140" t="s">
        <v>41</v>
      </c>
      <c r="W140" s="13">
        <f t="shared" si="26"/>
        <v>1.1061788619537769</v>
      </c>
      <c r="X140" s="9">
        <f t="shared" si="27"/>
        <v>0.188</v>
      </c>
      <c r="Y140" s="13">
        <f t="shared" si="28"/>
        <v>0.69248530972513345</v>
      </c>
      <c r="Z140" s="9">
        <f t="shared" si="29"/>
        <v>0.93</v>
      </c>
      <c r="AA140" s="9">
        <f t="shared" si="30"/>
        <v>0.91973658603373387</v>
      </c>
      <c r="AB140" s="9">
        <f t="shared" si="31"/>
        <v>0.70452982446464796</v>
      </c>
      <c r="AC140" s="9">
        <f t="shared" si="32"/>
        <v>0.98340285012428874</v>
      </c>
    </row>
    <row r="141" spans="1:29" x14ac:dyDescent="0.35">
      <c r="A141" s="7">
        <v>138</v>
      </c>
      <c r="B141" s="8" t="s">
        <v>18</v>
      </c>
      <c r="C141" s="7" t="s">
        <v>14</v>
      </c>
      <c r="D141" s="7" t="s">
        <v>19</v>
      </c>
      <c r="E141">
        <v>3287.5656140433152</v>
      </c>
      <c r="F141">
        <v>0.91611552575737876</v>
      </c>
      <c r="G141">
        <v>0.69469649513082188</v>
      </c>
      <c r="H141">
        <v>0.69004377960178021</v>
      </c>
      <c r="I141">
        <v>1.0849825280559102</v>
      </c>
      <c r="J141">
        <f t="shared" si="22"/>
        <v>0.92788834118499763</v>
      </c>
      <c r="K141">
        <f t="shared" si="23"/>
        <v>0.92167382804939424</v>
      </c>
      <c r="L141">
        <f t="shared" si="24"/>
        <v>1.0067426381725035</v>
      </c>
      <c r="M141">
        <v>15</v>
      </c>
      <c r="N141">
        <v>0.39023080654552345</v>
      </c>
      <c r="O141">
        <v>150</v>
      </c>
      <c r="P141">
        <v>150</v>
      </c>
      <c r="Q141">
        <v>10</v>
      </c>
      <c r="R141">
        <f t="shared" si="25"/>
        <v>0.22500000000000001</v>
      </c>
      <c r="T141" t="s">
        <v>41</v>
      </c>
      <c r="W141" s="13">
        <f t="shared" si="26"/>
        <v>1.0943961370545146</v>
      </c>
      <c r="X141" s="9">
        <f t="shared" si="27"/>
        <v>0.188</v>
      </c>
      <c r="Y141" s="13">
        <f t="shared" si="28"/>
        <v>0.70383170860275757</v>
      </c>
      <c r="Z141" s="9">
        <f t="shared" si="29"/>
        <v>0.93</v>
      </c>
      <c r="AA141" s="9">
        <f t="shared" si="30"/>
        <v>0.92403920246662608</v>
      </c>
      <c r="AB141" s="9">
        <f t="shared" si="31"/>
        <v>0.71176032611248363</v>
      </c>
      <c r="AC141" s="9">
        <f t="shared" si="32"/>
        <v>1.0245630013988316</v>
      </c>
    </row>
    <row r="142" spans="1:29" x14ac:dyDescent="0.35">
      <c r="A142" s="7">
        <v>139</v>
      </c>
      <c r="B142" s="8" t="s">
        <v>25</v>
      </c>
      <c r="C142" s="7" t="s">
        <v>23</v>
      </c>
      <c r="D142" s="7" t="s">
        <v>19</v>
      </c>
      <c r="E142">
        <v>2274.651539219436</v>
      </c>
      <c r="F142">
        <v>0.92228831066097561</v>
      </c>
      <c r="G142">
        <v>0.72124633619606893</v>
      </c>
      <c r="H142">
        <v>0.72200896511936485</v>
      </c>
      <c r="I142">
        <v>1.0522137206106303</v>
      </c>
      <c r="J142">
        <f t="shared" si="22"/>
        <v>0.94937342176927586</v>
      </c>
      <c r="K142">
        <f t="shared" si="23"/>
        <v>0.9503772669108238</v>
      </c>
      <c r="L142">
        <f t="shared" si="24"/>
        <v>0.99894374036869493</v>
      </c>
      <c r="M142">
        <v>32.4</v>
      </c>
      <c r="N142">
        <v>0.41633655043423501</v>
      </c>
      <c r="O142">
        <v>180</v>
      </c>
      <c r="P142">
        <v>100</v>
      </c>
      <c r="Q142">
        <v>10</v>
      </c>
      <c r="R142">
        <f t="shared" si="25"/>
        <v>0.18</v>
      </c>
      <c r="T142" t="s">
        <v>41</v>
      </c>
      <c r="W142" s="13">
        <f t="shared" si="26"/>
        <v>1.0826485523045943</v>
      </c>
      <c r="X142" s="9">
        <f t="shared" si="27"/>
        <v>0.188</v>
      </c>
      <c r="Y142" s="13">
        <f t="shared" si="28"/>
        <v>0.69999706587082688</v>
      </c>
      <c r="Z142" s="9">
        <f t="shared" si="29"/>
        <v>0.93</v>
      </c>
      <c r="AA142" s="9">
        <f t="shared" si="30"/>
        <v>0.92767267582207347</v>
      </c>
      <c r="AB142" s="9">
        <f t="shared" si="31"/>
        <v>0.70303748877040495</v>
      </c>
      <c r="AC142" s="9">
        <f t="shared" si="32"/>
        <v>0.97475363615474375</v>
      </c>
    </row>
    <row r="143" spans="1:29" x14ac:dyDescent="0.35">
      <c r="A143" s="7">
        <v>140</v>
      </c>
      <c r="B143" s="8" t="s">
        <v>7</v>
      </c>
      <c r="C143" s="7" t="s">
        <v>9</v>
      </c>
      <c r="D143" s="7" t="s">
        <v>19</v>
      </c>
      <c r="E143">
        <v>1782.3685409687414</v>
      </c>
      <c r="F143">
        <v>0.91750910371580408</v>
      </c>
      <c r="G143">
        <v>0.7224434229093778</v>
      </c>
      <c r="H143">
        <v>0.71270812760582913</v>
      </c>
      <c r="I143">
        <v>0.96654599499694582</v>
      </c>
      <c r="J143">
        <f t="shared" si="22"/>
        <v>1.0487442786136938</v>
      </c>
      <c r="K143">
        <f t="shared" si="23"/>
        <v>1.0346119120830457</v>
      </c>
      <c r="L143">
        <f t="shared" si="24"/>
        <v>1.0136595822700267</v>
      </c>
      <c r="M143">
        <v>44.326241134751783</v>
      </c>
      <c r="N143">
        <v>0.61372494072314776</v>
      </c>
      <c r="O143">
        <v>127</v>
      </c>
      <c r="P143">
        <v>76.199999999999989</v>
      </c>
      <c r="Q143">
        <v>4.7751999999999999</v>
      </c>
      <c r="R143">
        <f t="shared" si="25"/>
        <v>0.42440018107741062</v>
      </c>
      <c r="T143" t="s">
        <v>41</v>
      </c>
      <c r="W143" s="13">
        <f t="shared" si="26"/>
        <v>0.99257404412421779</v>
      </c>
      <c r="X143" s="9">
        <f t="shared" si="27"/>
        <v>0.188</v>
      </c>
      <c r="Y143" s="13">
        <f t="shared" si="28"/>
        <v>0.70296782397953927</v>
      </c>
      <c r="Z143" s="9">
        <f t="shared" si="29"/>
        <v>0.93</v>
      </c>
      <c r="AA143" s="9">
        <f t="shared" si="30"/>
        <v>0.95431008388668692</v>
      </c>
      <c r="AB143" s="9">
        <f t="shared" si="31"/>
        <v>0.66586758589616635</v>
      </c>
      <c r="AC143" s="9">
        <f t="shared" si="32"/>
        <v>0.9216882108423482</v>
      </c>
    </row>
    <row r="144" spans="1:29" x14ac:dyDescent="0.35">
      <c r="A144" s="7">
        <v>141</v>
      </c>
      <c r="B144" s="8" t="s">
        <v>3</v>
      </c>
      <c r="C144" s="7" t="s">
        <v>9</v>
      </c>
      <c r="D144" s="7" t="s">
        <v>19</v>
      </c>
      <c r="E144">
        <v>3459.6146317697708</v>
      </c>
      <c r="F144">
        <v>0.91125147432479414</v>
      </c>
      <c r="G144">
        <v>0.69142820994995924</v>
      </c>
      <c r="H144">
        <v>0.69955679292922501</v>
      </c>
      <c r="I144">
        <v>0.87933356865618517</v>
      </c>
      <c r="J144">
        <f t="shared" si="22"/>
        <v>1.1240107472705163</v>
      </c>
      <c r="K144">
        <f t="shared" si="23"/>
        <v>1.1372248662452631</v>
      </c>
      <c r="L144">
        <f t="shared" si="24"/>
        <v>0.98838038160528852</v>
      </c>
      <c r="M144">
        <v>31.914893617021278</v>
      </c>
      <c r="N144">
        <v>0.82298860920708738</v>
      </c>
      <c r="O144">
        <v>152.39999999999998</v>
      </c>
      <c r="P144">
        <v>152.39999999999998</v>
      </c>
      <c r="Q144">
        <v>4.7751999999999999</v>
      </c>
      <c r="R144">
        <f t="shared" si="25"/>
        <v>1.0185604345857853</v>
      </c>
      <c r="T144" t="s">
        <v>41</v>
      </c>
      <c r="W144" s="13">
        <f t="shared" si="26"/>
        <v>0.86939358857435056</v>
      </c>
      <c r="X144" s="9">
        <f t="shared" si="27"/>
        <v>0.188</v>
      </c>
      <c r="Y144" s="13">
        <f t="shared" si="28"/>
        <v>0.70683835047517951</v>
      </c>
      <c r="Z144" s="9">
        <f t="shared" si="29"/>
        <v>0.97</v>
      </c>
      <c r="AA144" s="9">
        <f t="shared" si="30"/>
        <v>1.0152254026700627</v>
      </c>
      <c r="AB144" s="9">
        <f t="shared" si="31"/>
        <v>0.62387705562587936</v>
      </c>
      <c r="AC144" s="9">
        <f t="shared" si="32"/>
        <v>0.90230199845480885</v>
      </c>
    </row>
    <row r="145" spans="1:29" x14ac:dyDescent="0.35">
      <c r="A145" s="7">
        <v>142</v>
      </c>
      <c r="B145" s="8" t="s">
        <v>13</v>
      </c>
      <c r="C145" s="7" t="s">
        <v>23</v>
      </c>
      <c r="D145" s="7" t="s">
        <v>19</v>
      </c>
      <c r="E145">
        <v>1252.8416354803758</v>
      </c>
      <c r="F145">
        <v>0.92645618293843823</v>
      </c>
      <c r="G145">
        <v>0.60683364122423855</v>
      </c>
      <c r="H145">
        <v>0.72903066824977847</v>
      </c>
      <c r="I145">
        <v>0.73799305846603513</v>
      </c>
      <c r="J145">
        <f t="shared" si="22"/>
        <v>1.1279025376668319</v>
      </c>
      <c r="K145">
        <f t="shared" si="23"/>
        <v>1.3550262953401795</v>
      </c>
      <c r="L145">
        <f t="shared" si="24"/>
        <v>0.83238424342434758</v>
      </c>
      <c r="M145">
        <v>143.99999999999997</v>
      </c>
      <c r="N145">
        <v>1.0508388729733691</v>
      </c>
      <c r="O145">
        <v>152.39999999999998</v>
      </c>
      <c r="P145">
        <v>50.8</v>
      </c>
      <c r="Q145">
        <v>3.1749999999999998</v>
      </c>
      <c r="R145">
        <f t="shared" si="25"/>
        <v>0.7679999999999999</v>
      </c>
      <c r="T145" t="s">
        <v>41</v>
      </c>
      <c r="W145" s="13">
        <f t="shared" si="26"/>
        <v>0.7683290158341336</v>
      </c>
      <c r="X145" s="9">
        <f t="shared" si="27"/>
        <v>0.188</v>
      </c>
      <c r="Y145" s="13">
        <f t="shared" si="28"/>
        <v>0.6973963415893436</v>
      </c>
      <c r="Z145" s="9">
        <f t="shared" si="29"/>
        <v>0.97</v>
      </c>
      <c r="AA145" s="9">
        <f t="shared" si="30"/>
        <v>1.0430070314277453</v>
      </c>
      <c r="AB145" s="9">
        <f t="shared" si="31"/>
        <v>0.55887429575402869</v>
      </c>
      <c r="AC145" s="9">
        <f t="shared" si="32"/>
        <v>0.92096788606930935</v>
      </c>
    </row>
    <row r="146" spans="1:29" x14ac:dyDescent="0.35">
      <c r="A146" s="7">
        <v>143</v>
      </c>
      <c r="B146" s="8" t="s">
        <v>12</v>
      </c>
      <c r="C146" s="7" t="s">
        <v>22</v>
      </c>
      <c r="D146" s="7" t="s">
        <v>19</v>
      </c>
      <c r="E146">
        <v>1112.3917584808132</v>
      </c>
      <c r="F146">
        <v>0.93009765833123037</v>
      </c>
      <c r="G146">
        <v>0.51324756455972009</v>
      </c>
      <c r="H146">
        <v>0.72202678704933654</v>
      </c>
      <c r="I146">
        <v>0.65172544217244144</v>
      </c>
      <c r="J146">
        <f t="shared" si="22"/>
        <v>1.0907090377147164</v>
      </c>
      <c r="K146">
        <f t="shared" si="23"/>
        <v>1.5343884637472966</v>
      </c>
      <c r="L146">
        <f t="shared" si="24"/>
        <v>0.71084282988610159</v>
      </c>
      <c r="M146">
        <v>205.71428571428569</v>
      </c>
      <c r="N146">
        <v>1.2988820212575451</v>
      </c>
      <c r="O146">
        <v>152.39999999999998</v>
      </c>
      <c r="P146">
        <v>44.449999999999996</v>
      </c>
      <c r="Q146">
        <v>2.54</v>
      </c>
      <c r="R146">
        <f t="shared" si="25"/>
        <v>1.0499999999999998</v>
      </c>
      <c r="T146" t="s">
        <v>41</v>
      </c>
      <c r="W146" s="13">
        <f t="shared" si="26"/>
        <v>0.67745103897541759</v>
      </c>
      <c r="X146" s="9">
        <f t="shared" si="27"/>
        <v>0.188</v>
      </c>
      <c r="Y146" s="13">
        <f t="shared" si="28"/>
        <v>0.69511674134955737</v>
      </c>
      <c r="Z146" s="9">
        <f t="shared" si="29"/>
        <v>1</v>
      </c>
      <c r="AA146" s="9">
        <f t="shared" si="30"/>
        <v>1.0892082413868842</v>
      </c>
      <c r="AB146" s="9">
        <f t="shared" si="31"/>
        <v>0.5129163937982143</v>
      </c>
      <c r="AC146" s="9">
        <f t="shared" si="32"/>
        <v>0.99935475434395893</v>
      </c>
    </row>
    <row r="147" spans="1:29" x14ac:dyDescent="0.35">
      <c r="A147" s="7">
        <v>144</v>
      </c>
      <c r="B147" s="8" t="s">
        <v>17</v>
      </c>
      <c r="C147" s="7" t="s">
        <v>14</v>
      </c>
      <c r="D147" s="7" t="s">
        <v>19</v>
      </c>
      <c r="E147">
        <v>7310.8913900140651</v>
      </c>
      <c r="F147">
        <v>1.3062111999086947</v>
      </c>
      <c r="G147">
        <v>0.45876207307247602</v>
      </c>
      <c r="H147">
        <v>0.45982336046522693</v>
      </c>
      <c r="I147">
        <v>0.99502359502359483</v>
      </c>
      <c r="J147">
        <f t="shared" si="22"/>
        <v>1.0026817175004832</v>
      </c>
      <c r="K147">
        <f t="shared" si="23"/>
        <v>1.0050012934379582</v>
      </c>
      <c r="L147">
        <f t="shared" si="24"/>
        <v>0.99769196721176334</v>
      </c>
      <c r="M147">
        <v>3.75</v>
      </c>
      <c r="N147">
        <v>0.18750130519071448</v>
      </c>
      <c r="O147">
        <v>300</v>
      </c>
      <c r="P147">
        <v>300</v>
      </c>
      <c r="Q147">
        <v>80</v>
      </c>
      <c r="R147">
        <f t="shared" si="25"/>
        <v>1.40625E-2</v>
      </c>
      <c r="T147" t="s">
        <v>41</v>
      </c>
      <c r="W147" s="13">
        <f t="shared" si="26"/>
        <v>1.1856244126641786</v>
      </c>
      <c r="X147" s="9">
        <f t="shared" si="27"/>
        <v>0.188</v>
      </c>
      <c r="Y147" s="13">
        <f t="shared" si="28"/>
        <v>0.46233792347898028</v>
      </c>
      <c r="Z147" s="9">
        <f t="shared" si="29"/>
        <v>0.93</v>
      </c>
      <c r="AA147" s="9">
        <f t="shared" si="30"/>
        <v>0.84843699679911166</v>
      </c>
      <c r="AB147" s="9">
        <f t="shared" si="31"/>
        <v>0.4650784851573832</v>
      </c>
      <c r="AC147" s="9">
        <f t="shared" si="32"/>
        <v>1.0137683833421629</v>
      </c>
    </row>
    <row r="148" spans="1:29" x14ac:dyDescent="0.35">
      <c r="A148" s="7">
        <v>145</v>
      </c>
      <c r="B148" s="8" t="s">
        <v>24</v>
      </c>
      <c r="C148" s="7" t="s">
        <v>23</v>
      </c>
      <c r="D148" s="7" t="s">
        <v>19</v>
      </c>
      <c r="E148">
        <v>3824.2423406810635</v>
      </c>
      <c r="F148">
        <v>1.2769659561170199</v>
      </c>
      <c r="G148">
        <v>0.50516607362852395</v>
      </c>
      <c r="H148">
        <v>0.50758664542893861</v>
      </c>
      <c r="I148">
        <v>1.1819690003318009</v>
      </c>
      <c r="J148">
        <f t="shared" si="22"/>
        <v>0.84201126619073396</v>
      </c>
      <c r="K148">
        <f t="shared" si="23"/>
        <v>0.84604587744626236</v>
      </c>
      <c r="L148">
        <f t="shared" si="24"/>
        <v>0.99523121456757568</v>
      </c>
      <c r="M148">
        <v>9.9206349206349209</v>
      </c>
      <c r="N148">
        <v>0.24059214494352027</v>
      </c>
      <c r="O148">
        <v>250</v>
      </c>
      <c r="P148">
        <v>150</v>
      </c>
      <c r="Q148">
        <v>42</v>
      </c>
      <c r="R148">
        <f t="shared" si="25"/>
        <v>2.1258503401360547E-2</v>
      </c>
      <c r="T148" t="s">
        <v>41</v>
      </c>
      <c r="W148" s="13">
        <f t="shared" si="26"/>
        <v>1.1617335347754159</v>
      </c>
      <c r="X148" s="9">
        <f t="shared" si="27"/>
        <v>0.188</v>
      </c>
      <c r="Y148" s="13">
        <f t="shared" si="28"/>
        <v>0.47828630687491042</v>
      </c>
      <c r="Z148" s="9">
        <f t="shared" si="29"/>
        <v>0.93</v>
      </c>
      <c r="AA148" s="9">
        <f t="shared" si="30"/>
        <v>0.86971347504496388</v>
      </c>
      <c r="AB148" s="9">
        <f t="shared" si="31"/>
        <v>0.4832486753889505</v>
      </c>
      <c r="AC148" s="9">
        <f t="shared" si="32"/>
        <v>0.95661347944024744</v>
      </c>
    </row>
    <row r="149" spans="1:29" x14ac:dyDescent="0.35">
      <c r="A149" s="7">
        <v>146</v>
      </c>
      <c r="B149" s="8" t="s">
        <v>15</v>
      </c>
      <c r="C149" s="7" t="s">
        <v>14</v>
      </c>
      <c r="D149" s="7" t="s">
        <v>19</v>
      </c>
      <c r="E149">
        <v>6802.9638196599508</v>
      </c>
      <c r="F149">
        <v>1.2373254580325503</v>
      </c>
      <c r="G149">
        <v>0.50200840748952236</v>
      </c>
      <c r="H149">
        <v>0.50254843607920963</v>
      </c>
      <c r="I149" t="s">
        <v>30</v>
      </c>
      <c r="J149" t="e">
        <f t="shared" si="22"/>
        <v>#VALUE!</v>
      </c>
      <c r="K149" t="e">
        <f t="shared" si="23"/>
        <v>#VALUE!</v>
      </c>
      <c r="L149" t="e">
        <f t="shared" si="24"/>
        <v>#VALUE!</v>
      </c>
      <c r="M149">
        <v>7.1428571428571432</v>
      </c>
      <c r="N149">
        <v>0.19742146043098768</v>
      </c>
      <c r="O149">
        <v>250</v>
      </c>
      <c r="P149">
        <v>250</v>
      </c>
      <c r="Q149">
        <v>35</v>
      </c>
      <c r="R149">
        <f t="shared" si="25"/>
        <v>5.1020408163265307E-2</v>
      </c>
      <c r="T149" t="s">
        <v>41</v>
      </c>
      <c r="W149" s="13">
        <f t="shared" si="26"/>
        <v>1.1811603428060555</v>
      </c>
      <c r="X149" s="9">
        <f t="shared" si="27"/>
        <v>0.188</v>
      </c>
      <c r="Y149" s="13">
        <f t="shared" si="28"/>
        <v>0.50076969693594142</v>
      </c>
      <c r="Z149" s="9">
        <f t="shared" si="29"/>
        <v>0.93</v>
      </c>
      <c r="AA149" s="9">
        <f t="shared" si="30"/>
        <v>0.85958265195075267</v>
      </c>
      <c r="AB149" s="9">
        <f t="shared" si="31"/>
        <v>0.50843394702539213</v>
      </c>
      <c r="AC149" s="9">
        <f t="shared" si="32"/>
        <v>1.0127996651848981</v>
      </c>
    </row>
    <row r="150" spans="1:29" x14ac:dyDescent="0.35">
      <c r="A150" s="7">
        <v>147</v>
      </c>
      <c r="B150" s="8" t="s">
        <v>11</v>
      </c>
      <c r="C150" s="7" t="s">
        <v>22</v>
      </c>
      <c r="D150" s="7" t="s">
        <v>19</v>
      </c>
      <c r="E150">
        <v>1431.6999630306573</v>
      </c>
      <c r="F150">
        <v>1.2392724275558027</v>
      </c>
      <c r="G150">
        <v>0.53535137270613886</v>
      </c>
      <c r="H150">
        <v>0.53710562041717969</v>
      </c>
      <c r="I150">
        <v>1.2011592706942333</v>
      </c>
      <c r="J150">
        <f t="shared" si="22"/>
        <v>0.82980992712882606</v>
      </c>
      <c r="K150">
        <f t="shared" si="23"/>
        <v>0.83252906121436387</v>
      </c>
      <c r="L150">
        <f t="shared" si="24"/>
        <v>0.99673388688489561</v>
      </c>
      <c r="M150">
        <v>21.333333333333336</v>
      </c>
      <c r="N150">
        <v>0.27003045590067681</v>
      </c>
      <c r="O150">
        <v>101.6</v>
      </c>
      <c r="P150">
        <v>50.8</v>
      </c>
      <c r="Q150">
        <v>9.5249999999999986</v>
      </c>
      <c r="R150">
        <f t="shared" si="25"/>
        <v>5.6888888888888899E-2</v>
      </c>
      <c r="T150" t="s">
        <v>41</v>
      </c>
      <c r="W150" s="13">
        <f t="shared" si="26"/>
        <v>1.1484862948446954</v>
      </c>
      <c r="X150" s="9">
        <f t="shared" si="27"/>
        <v>0.188</v>
      </c>
      <c r="Y150" s="13">
        <f t="shared" si="28"/>
        <v>0.49964277726622175</v>
      </c>
      <c r="Z150" s="9">
        <f t="shared" si="29"/>
        <v>0.93</v>
      </c>
      <c r="AA150" s="9">
        <f t="shared" si="30"/>
        <v>0.88221307751957068</v>
      </c>
      <c r="AB150" s="9">
        <f t="shared" si="31"/>
        <v>0.50624287281855207</v>
      </c>
      <c r="AC150" s="9">
        <f t="shared" si="32"/>
        <v>0.94562729943056523</v>
      </c>
    </row>
    <row r="151" spans="1:29" x14ac:dyDescent="0.35">
      <c r="A151" s="7">
        <v>148</v>
      </c>
      <c r="B151" s="8" t="s">
        <v>8</v>
      </c>
      <c r="C151" s="7" t="s">
        <v>9</v>
      </c>
      <c r="D151" s="7" t="s">
        <v>19</v>
      </c>
      <c r="E151">
        <v>2950.3748035925501</v>
      </c>
      <c r="F151">
        <v>1.227798657810357</v>
      </c>
      <c r="G151">
        <v>0.54163290871585668</v>
      </c>
      <c r="H151">
        <v>0.54251800962081576</v>
      </c>
      <c r="I151">
        <v>1.1844528597647972</v>
      </c>
      <c r="J151">
        <f t="shared" si="22"/>
        <v>0.84289427267995665</v>
      </c>
      <c r="K151">
        <f t="shared" si="23"/>
        <v>0.84427167510792711</v>
      </c>
      <c r="L151">
        <f t="shared" si="24"/>
        <v>0.9983685317551434</v>
      </c>
      <c r="M151">
        <v>17.999999999999996</v>
      </c>
      <c r="N151">
        <v>0.28797465749298701</v>
      </c>
      <c r="O151">
        <v>152.39999999999998</v>
      </c>
      <c r="P151">
        <v>101.6</v>
      </c>
      <c r="Q151">
        <v>12.7</v>
      </c>
      <c r="R151">
        <f t="shared" si="25"/>
        <v>9.5999999999999988E-2</v>
      </c>
      <c r="T151" t="s">
        <v>41</v>
      </c>
      <c r="W151" s="13">
        <f t="shared" si="26"/>
        <v>1.1404114041281559</v>
      </c>
      <c r="X151" s="9">
        <f t="shared" si="27"/>
        <v>0.188</v>
      </c>
      <c r="Y151" s="13">
        <f t="shared" si="28"/>
        <v>0.50631664264230125</v>
      </c>
      <c r="Z151" s="9">
        <f t="shared" si="29"/>
        <v>0.93</v>
      </c>
      <c r="AA151" s="9">
        <f t="shared" si="30"/>
        <v>0.88846732460593836</v>
      </c>
      <c r="AB151" s="9">
        <f t="shared" si="31"/>
        <v>0.5130092723129569</v>
      </c>
      <c r="AC151" s="9">
        <f t="shared" si="32"/>
        <v>0.94715307001791527</v>
      </c>
    </row>
    <row r="152" spans="1:29" x14ac:dyDescent="0.35">
      <c r="A152" s="7">
        <v>149</v>
      </c>
      <c r="B152" s="8" t="s">
        <v>16</v>
      </c>
      <c r="C152" s="7" t="s">
        <v>14</v>
      </c>
      <c r="D152" s="7" t="s">
        <v>19</v>
      </c>
      <c r="E152">
        <v>7210.1393332834759</v>
      </c>
      <c r="F152">
        <v>1.2201012458805527</v>
      </c>
      <c r="G152">
        <v>0.51424585479824303</v>
      </c>
      <c r="H152">
        <v>0.51472076619496765</v>
      </c>
      <c r="I152">
        <v>1.1315939820986478</v>
      </c>
      <c r="J152">
        <f t="shared" si="22"/>
        <v>0.88289382719095211</v>
      </c>
      <c r="K152">
        <f t="shared" si="23"/>
        <v>0.88370918882531135</v>
      </c>
      <c r="L152">
        <f t="shared" si="24"/>
        <v>0.999077341681325</v>
      </c>
      <c r="M152">
        <v>12.5</v>
      </c>
      <c r="N152">
        <v>0.3273580078539739</v>
      </c>
      <c r="O152">
        <v>250</v>
      </c>
      <c r="P152">
        <v>250</v>
      </c>
      <c r="Q152">
        <v>20</v>
      </c>
      <c r="R152">
        <f t="shared" si="25"/>
        <v>0.15625</v>
      </c>
      <c r="T152" t="s">
        <v>41</v>
      </c>
      <c r="W152" s="13">
        <f t="shared" si="26"/>
        <v>1.1226888964657118</v>
      </c>
      <c r="X152" s="9">
        <f t="shared" si="27"/>
        <v>0.188</v>
      </c>
      <c r="Y152" s="13">
        <f t="shared" si="28"/>
        <v>0.51083764095873141</v>
      </c>
      <c r="Z152" s="9">
        <f t="shared" si="29"/>
        <v>0.93</v>
      </c>
      <c r="AA152" s="9">
        <f t="shared" si="30"/>
        <v>0.90048005564860656</v>
      </c>
      <c r="AB152" s="9">
        <f t="shared" si="31"/>
        <v>0.51643589021487724</v>
      </c>
      <c r="AC152" s="9">
        <f t="shared" si="32"/>
        <v>1.0042587322701773</v>
      </c>
    </row>
    <row r="153" spans="1:29" x14ac:dyDescent="0.35">
      <c r="A153" s="7">
        <v>150</v>
      </c>
      <c r="B153" s="8" t="s">
        <v>10</v>
      </c>
      <c r="C153" s="7" t="s">
        <v>22</v>
      </c>
      <c r="D153" s="7" t="s">
        <v>19</v>
      </c>
      <c r="E153">
        <v>1121.8344367037953</v>
      </c>
      <c r="F153">
        <v>1.2339366742953402</v>
      </c>
      <c r="G153">
        <v>0.54156393649607448</v>
      </c>
      <c r="H153">
        <v>0.54396759438007813</v>
      </c>
      <c r="I153">
        <v>1.0691692166713029</v>
      </c>
      <c r="J153">
        <f t="shared" si="22"/>
        <v>0.93117275778002118</v>
      </c>
      <c r="K153">
        <f t="shared" si="23"/>
        <v>0.93530564143377526</v>
      </c>
      <c r="L153">
        <f t="shared" si="24"/>
        <v>0.99558124802132208</v>
      </c>
      <c r="M153">
        <v>42.666666666666671</v>
      </c>
      <c r="N153">
        <v>0.3640469734360513</v>
      </c>
      <c r="O153">
        <v>101.6</v>
      </c>
      <c r="P153">
        <v>38.099999999999994</v>
      </c>
      <c r="Q153">
        <v>6.35</v>
      </c>
      <c r="R153">
        <f t="shared" si="25"/>
        <v>9.5999999999999988E-2</v>
      </c>
      <c r="T153" t="s">
        <v>41</v>
      </c>
      <c r="W153" s="13">
        <f t="shared" si="26"/>
        <v>1.1061788619537769</v>
      </c>
      <c r="X153" s="9">
        <f t="shared" si="27"/>
        <v>0.188</v>
      </c>
      <c r="Y153" s="13">
        <f t="shared" si="28"/>
        <v>0.50273659147162975</v>
      </c>
      <c r="Z153" s="9">
        <f t="shared" si="29"/>
        <v>0.93</v>
      </c>
      <c r="AA153" s="9">
        <f t="shared" si="30"/>
        <v>0.91053668416182687</v>
      </c>
      <c r="AB153" s="9">
        <f t="shared" si="31"/>
        <v>0.50636455642742662</v>
      </c>
      <c r="AC153" s="9">
        <f t="shared" si="32"/>
        <v>0.93500420228055015</v>
      </c>
    </row>
    <row r="154" spans="1:29" x14ac:dyDescent="0.35">
      <c r="A154" s="7">
        <v>151</v>
      </c>
      <c r="B154" s="8" t="s">
        <v>18</v>
      </c>
      <c r="C154" s="7" t="s">
        <v>14</v>
      </c>
      <c r="D154" s="7" t="s">
        <v>19</v>
      </c>
      <c r="E154">
        <v>4383.4208187244203</v>
      </c>
      <c r="F154">
        <v>1.2171862784209431</v>
      </c>
      <c r="G154">
        <v>0.5163129255894181</v>
      </c>
      <c r="H154">
        <v>0.51693742180326019</v>
      </c>
      <c r="I154">
        <v>1.0849825280559102</v>
      </c>
      <c r="J154">
        <f t="shared" si="22"/>
        <v>0.92056038222067793</v>
      </c>
      <c r="K154">
        <f t="shared" si="23"/>
        <v>0.92167382804939424</v>
      </c>
      <c r="L154">
        <f t="shared" si="24"/>
        <v>0.99879193072990602</v>
      </c>
      <c r="M154">
        <v>15</v>
      </c>
      <c r="N154">
        <v>0.39023080654552345</v>
      </c>
      <c r="O154">
        <v>150</v>
      </c>
      <c r="P154">
        <v>150</v>
      </c>
      <c r="Q154">
        <v>10</v>
      </c>
      <c r="R154">
        <f t="shared" si="25"/>
        <v>0.22500000000000001</v>
      </c>
      <c r="T154" t="s">
        <v>41</v>
      </c>
      <c r="W154" s="13">
        <f t="shared" si="26"/>
        <v>1.0943961370545146</v>
      </c>
      <c r="X154" s="9">
        <f t="shared" si="27"/>
        <v>0.188</v>
      </c>
      <c r="Y154" s="13">
        <f t="shared" si="28"/>
        <v>0.51255872590874263</v>
      </c>
      <c r="Z154" s="9">
        <f t="shared" si="29"/>
        <v>0.93</v>
      </c>
      <c r="AA154" s="9">
        <f t="shared" si="30"/>
        <v>0.91836209503715616</v>
      </c>
      <c r="AB154" s="9">
        <f t="shared" si="31"/>
        <v>0.51514813631617906</v>
      </c>
      <c r="AC154" s="9">
        <f t="shared" si="32"/>
        <v>0.99774402457209588</v>
      </c>
    </row>
    <row r="155" spans="1:29" x14ac:dyDescent="0.35">
      <c r="A155" s="7">
        <v>152</v>
      </c>
      <c r="B155" s="8" t="s">
        <v>25</v>
      </c>
      <c r="C155" s="7" t="s">
        <v>23</v>
      </c>
      <c r="D155" s="7" t="s">
        <v>19</v>
      </c>
      <c r="E155">
        <v>3032.8687189592479</v>
      </c>
      <c r="F155">
        <v>1.2224214944248373</v>
      </c>
      <c r="G155">
        <v>0.54774849890251864</v>
      </c>
      <c r="H155">
        <v>0.54920259387192027</v>
      </c>
      <c r="I155">
        <v>1.0522137206106303</v>
      </c>
      <c r="J155">
        <f t="shared" si="22"/>
        <v>0.94786100275208063</v>
      </c>
      <c r="K155">
        <f t="shared" si="23"/>
        <v>0.9503772669108238</v>
      </c>
      <c r="L155">
        <f t="shared" si="24"/>
        <v>0.99735235232748964</v>
      </c>
      <c r="M155">
        <v>32.4</v>
      </c>
      <c r="N155">
        <v>0.41633655043423501</v>
      </c>
      <c r="O155">
        <v>180</v>
      </c>
      <c r="P155">
        <v>100</v>
      </c>
      <c r="Q155">
        <v>10</v>
      </c>
      <c r="R155">
        <f t="shared" si="25"/>
        <v>0.18</v>
      </c>
      <c r="T155" t="s">
        <v>41</v>
      </c>
      <c r="W155" s="13">
        <f t="shared" si="26"/>
        <v>1.0826485523045943</v>
      </c>
      <c r="X155" s="9">
        <f t="shared" si="27"/>
        <v>0.188</v>
      </c>
      <c r="Y155" s="13">
        <f t="shared" si="28"/>
        <v>0.50947121774695581</v>
      </c>
      <c r="Z155" s="9">
        <f t="shared" si="29"/>
        <v>0.93</v>
      </c>
      <c r="AA155" s="9">
        <f t="shared" si="30"/>
        <v>0.92550533933463108</v>
      </c>
      <c r="AB155" s="9">
        <f t="shared" si="31"/>
        <v>0.51048863980866532</v>
      </c>
      <c r="AC155" s="9">
        <f t="shared" si="32"/>
        <v>0.93197633737288554</v>
      </c>
    </row>
    <row r="156" spans="1:29" x14ac:dyDescent="0.35">
      <c r="A156" s="7">
        <v>153</v>
      </c>
      <c r="B156" s="8" t="s">
        <v>7</v>
      </c>
      <c r="C156" s="7" t="s">
        <v>9</v>
      </c>
      <c r="D156" s="7" t="s">
        <v>19</v>
      </c>
      <c r="E156">
        <v>2376.4913879583219</v>
      </c>
      <c r="F156">
        <v>1.2167167274631097</v>
      </c>
      <c r="G156">
        <v>0.5490869218469574</v>
      </c>
      <c r="H156">
        <v>0.54986196966819789</v>
      </c>
      <c r="I156">
        <v>0.96654599499694582</v>
      </c>
      <c r="J156">
        <f t="shared" si="22"/>
        <v>1.0331535939004419</v>
      </c>
      <c r="K156">
        <f t="shared" si="23"/>
        <v>1.0346119120830457</v>
      </c>
      <c r="L156">
        <f t="shared" si="24"/>
        <v>0.99859046840117305</v>
      </c>
      <c r="M156">
        <v>44.326241134751783</v>
      </c>
      <c r="N156">
        <v>0.61372494072314776</v>
      </c>
      <c r="O156">
        <v>127</v>
      </c>
      <c r="P156">
        <v>76.199999999999989</v>
      </c>
      <c r="Q156">
        <v>4.7751999999999999</v>
      </c>
      <c r="R156">
        <f t="shared" si="25"/>
        <v>0.42440018107741062</v>
      </c>
      <c r="T156" t="s">
        <v>41</v>
      </c>
      <c r="W156" s="13">
        <f t="shared" si="26"/>
        <v>0.99257404412421779</v>
      </c>
      <c r="X156" s="9">
        <f t="shared" si="27"/>
        <v>0.188</v>
      </c>
      <c r="Y156" s="13">
        <f t="shared" si="28"/>
        <v>0.51283642154473896</v>
      </c>
      <c r="Z156" s="9">
        <f t="shared" si="29"/>
        <v>0.93</v>
      </c>
      <c r="AA156" s="9">
        <f t="shared" si="30"/>
        <v>0.97721891499643621</v>
      </c>
      <c r="AB156" s="9">
        <f t="shared" si="31"/>
        <v>0.49743190801527032</v>
      </c>
      <c r="AC156" s="9">
        <f t="shared" si="32"/>
        <v>0.90592561618853407</v>
      </c>
    </row>
    <row r="157" spans="1:29" x14ac:dyDescent="0.35">
      <c r="A157" s="7">
        <v>154</v>
      </c>
      <c r="B157" s="8" t="s">
        <v>3</v>
      </c>
      <c r="C157" s="7" t="s">
        <v>9</v>
      </c>
      <c r="D157" s="7" t="s">
        <v>19</v>
      </c>
      <c r="E157">
        <v>4612.8195090263616</v>
      </c>
      <c r="F157">
        <v>1.2107585258101046</v>
      </c>
      <c r="G157">
        <v>0.51654129781269587</v>
      </c>
      <c r="H157">
        <v>0.51381115196993432</v>
      </c>
      <c r="I157">
        <v>0.87933356865618517</v>
      </c>
      <c r="J157">
        <f t="shared" si="22"/>
        <v>1.1432675333398967</v>
      </c>
      <c r="K157">
        <f t="shared" si="23"/>
        <v>1.1372248662452631</v>
      </c>
      <c r="L157">
        <f t="shared" si="24"/>
        <v>1.0053135200205254</v>
      </c>
      <c r="M157">
        <v>31.914893617021278</v>
      </c>
      <c r="N157">
        <v>0.82298860920708738</v>
      </c>
      <c r="O157">
        <v>152.39999999999998</v>
      </c>
      <c r="P157">
        <v>152.39999999999998</v>
      </c>
      <c r="Q157">
        <v>4.7751999999999999</v>
      </c>
      <c r="R157">
        <f t="shared" si="25"/>
        <v>1.0185604345857853</v>
      </c>
      <c r="T157" t="s">
        <v>41</v>
      </c>
      <c r="W157" s="13">
        <f t="shared" si="26"/>
        <v>0.86939358857435056</v>
      </c>
      <c r="X157" s="9">
        <f t="shared" si="27"/>
        <v>0.188</v>
      </c>
      <c r="Y157" s="13">
        <f t="shared" si="28"/>
        <v>0.51637110344296022</v>
      </c>
      <c r="Z157" s="9">
        <f t="shared" si="29"/>
        <v>0.97</v>
      </c>
      <c r="AA157" s="9">
        <f t="shared" si="30"/>
        <v>1.0587443194409167</v>
      </c>
      <c r="AB157" s="9">
        <f t="shared" si="31"/>
        <v>0.47530179792771526</v>
      </c>
      <c r="AC157" s="9">
        <f t="shared" si="32"/>
        <v>0.92016224054183071</v>
      </c>
    </row>
    <row r="158" spans="1:29" x14ac:dyDescent="0.35">
      <c r="A158" s="7">
        <v>155</v>
      </c>
      <c r="B158" s="8" t="s">
        <v>13</v>
      </c>
      <c r="C158" s="7" t="s">
        <v>23</v>
      </c>
      <c r="D158" s="7" t="s">
        <v>19</v>
      </c>
      <c r="E158">
        <v>1670.4555139738341</v>
      </c>
      <c r="F158">
        <v>1.2225183103888855</v>
      </c>
      <c r="G158">
        <v>0.4837903323143008</v>
      </c>
      <c r="H158">
        <v>0.55128200076660372</v>
      </c>
      <c r="I158">
        <v>0.73799305846603513</v>
      </c>
      <c r="J158">
        <f t="shared" si="22"/>
        <v>1.1891348181251087</v>
      </c>
      <c r="K158">
        <f t="shared" si="23"/>
        <v>1.3550262953401795</v>
      </c>
      <c r="L158">
        <f t="shared" si="24"/>
        <v>0.87757324135660131</v>
      </c>
      <c r="M158">
        <v>143.99999999999997</v>
      </c>
      <c r="N158">
        <v>1.0508388729733691</v>
      </c>
      <c r="O158">
        <v>152.39999999999998</v>
      </c>
      <c r="P158">
        <v>50.8</v>
      </c>
      <c r="Q158">
        <v>3.1749999999999998</v>
      </c>
      <c r="R158">
        <f t="shared" si="25"/>
        <v>0.7679999999999999</v>
      </c>
      <c r="T158" t="s">
        <v>41</v>
      </c>
      <c r="W158" s="13">
        <f t="shared" si="26"/>
        <v>0.7683290158341336</v>
      </c>
      <c r="X158" s="9">
        <f t="shared" si="27"/>
        <v>0.188</v>
      </c>
      <c r="Y158" s="13">
        <f t="shared" si="28"/>
        <v>0.50941426976503834</v>
      </c>
      <c r="Z158" s="9">
        <f t="shared" si="29"/>
        <v>0.97</v>
      </c>
      <c r="AA158" s="9">
        <f t="shared" si="30"/>
        <v>1.1092168879811928</v>
      </c>
      <c r="AB158" s="9">
        <f t="shared" si="31"/>
        <v>0.43414501034633779</v>
      </c>
      <c r="AC158" s="9">
        <f t="shared" si="32"/>
        <v>0.89738256709166675</v>
      </c>
    </row>
    <row r="159" spans="1:29" x14ac:dyDescent="0.35">
      <c r="A159" s="7">
        <v>156</v>
      </c>
      <c r="B159" s="8" t="s">
        <v>12</v>
      </c>
      <c r="C159" s="7" t="s">
        <v>22</v>
      </c>
      <c r="D159" s="7" t="s">
        <v>19</v>
      </c>
      <c r="E159">
        <v>1483.1890113077509</v>
      </c>
      <c r="F159">
        <v>1.2251105095214625</v>
      </c>
      <c r="G159">
        <v>0.41241751721036823</v>
      </c>
      <c r="H159">
        <v>0.55374404005971256</v>
      </c>
      <c r="I159">
        <v>0.65172544217244144</v>
      </c>
      <c r="J159">
        <f t="shared" si="22"/>
        <v>1.1427819260802385</v>
      </c>
      <c r="K159">
        <f t="shared" si="23"/>
        <v>1.5343884637472966</v>
      </c>
      <c r="L159">
        <f t="shared" si="24"/>
        <v>0.7447800560813177</v>
      </c>
      <c r="M159">
        <v>205.71428571428569</v>
      </c>
      <c r="N159">
        <v>1.2988820212575451</v>
      </c>
      <c r="O159">
        <v>152.39999999999998</v>
      </c>
      <c r="P159">
        <v>44.449999999999996</v>
      </c>
      <c r="Q159">
        <v>2.54</v>
      </c>
      <c r="R159">
        <f t="shared" si="25"/>
        <v>1.0499999999999998</v>
      </c>
      <c r="T159" t="s">
        <v>41</v>
      </c>
      <c r="W159" s="13">
        <f t="shared" si="26"/>
        <v>0.67745103897541759</v>
      </c>
      <c r="X159" s="9">
        <f t="shared" si="27"/>
        <v>0.188</v>
      </c>
      <c r="Y159" s="13">
        <f t="shared" si="28"/>
        <v>0.50789155387757201</v>
      </c>
      <c r="Z159" s="9">
        <f t="shared" si="29"/>
        <v>1</v>
      </c>
      <c r="AA159" s="9">
        <f t="shared" si="30"/>
        <v>1.1689348828125052</v>
      </c>
      <c r="AB159" s="9">
        <f t="shared" si="31"/>
        <v>0.4021973665678914</v>
      </c>
      <c r="AC159" s="9">
        <f t="shared" si="32"/>
        <v>0.97521892204868765</v>
      </c>
    </row>
    <row r="160" spans="1:29" x14ac:dyDescent="0.35">
      <c r="A160" s="7">
        <v>157</v>
      </c>
      <c r="B160" s="8" t="s">
        <v>17</v>
      </c>
      <c r="C160" s="7" t="s">
        <v>14</v>
      </c>
      <c r="D160" s="7" t="s">
        <v>19</v>
      </c>
      <c r="E160">
        <v>9138.6142375175805</v>
      </c>
      <c r="F160">
        <v>1.6302746113418871</v>
      </c>
      <c r="G160">
        <v>0.3218460072887242</v>
      </c>
      <c r="H160">
        <v>0.322676767477861</v>
      </c>
      <c r="I160">
        <v>0.99502359502359483</v>
      </c>
      <c r="J160">
        <f t="shared" si="22"/>
        <v>1.0024138277485466</v>
      </c>
      <c r="K160">
        <f t="shared" si="23"/>
        <v>1.0050012934379582</v>
      </c>
      <c r="L160">
        <f t="shared" si="24"/>
        <v>0.99742541058772149</v>
      </c>
      <c r="M160">
        <v>3.75</v>
      </c>
      <c r="N160">
        <v>0.18750130519071448</v>
      </c>
      <c r="O160">
        <v>300</v>
      </c>
      <c r="P160">
        <v>300</v>
      </c>
      <c r="Q160">
        <v>80</v>
      </c>
      <c r="R160">
        <f t="shared" si="25"/>
        <v>1.40625E-2</v>
      </c>
      <c r="T160" t="s">
        <v>41</v>
      </c>
      <c r="W160" s="13">
        <f t="shared" si="26"/>
        <v>1.1856244126641786</v>
      </c>
      <c r="X160" s="9">
        <f t="shared" si="27"/>
        <v>0.188</v>
      </c>
      <c r="Y160" s="13">
        <f t="shared" si="28"/>
        <v>0.32158755892157109</v>
      </c>
      <c r="Z160" s="9">
        <f t="shared" si="29"/>
        <v>0.93</v>
      </c>
      <c r="AA160" s="9">
        <f t="shared" si="30"/>
        <v>0.84343742362130691</v>
      </c>
      <c r="AB160" s="9">
        <f t="shared" si="31"/>
        <v>0.32158755892157109</v>
      </c>
      <c r="AC160" s="9">
        <f t="shared" si="32"/>
        <v>0.99919698128514844</v>
      </c>
    </row>
    <row r="161" spans="1:29" x14ac:dyDescent="0.35">
      <c r="A161" s="7">
        <v>158</v>
      </c>
      <c r="B161" s="8" t="s">
        <v>24</v>
      </c>
      <c r="C161" s="7" t="s">
        <v>23</v>
      </c>
      <c r="D161" s="7" t="s">
        <v>19</v>
      </c>
      <c r="E161">
        <v>4780.3029258513297</v>
      </c>
      <c r="F161">
        <v>1.5921380867700705</v>
      </c>
      <c r="G161">
        <v>0.35226977933154169</v>
      </c>
      <c r="H161">
        <v>0.35438797033812952</v>
      </c>
      <c r="I161">
        <v>1.1819690003318009</v>
      </c>
      <c r="J161">
        <f t="shared" si="22"/>
        <v>0.84098902755641558</v>
      </c>
      <c r="K161">
        <f t="shared" si="23"/>
        <v>0.84604587744626236</v>
      </c>
      <c r="L161">
        <f t="shared" si="24"/>
        <v>0.99402296019086978</v>
      </c>
      <c r="M161">
        <v>9.9206349206349209</v>
      </c>
      <c r="N161">
        <v>0.24059214494352027</v>
      </c>
      <c r="O161">
        <v>250</v>
      </c>
      <c r="P161">
        <v>150</v>
      </c>
      <c r="Q161">
        <v>42</v>
      </c>
      <c r="R161">
        <f t="shared" si="25"/>
        <v>2.1258503401360547E-2</v>
      </c>
      <c r="T161" t="s">
        <v>41</v>
      </c>
      <c r="W161" s="13">
        <f t="shared" si="26"/>
        <v>1.1617335347754159</v>
      </c>
      <c r="X161" s="9">
        <f t="shared" si="27"/>
        <v>0.188</v>
      </c>
      <c r="Y161" s="13">
        <f t="shared" si="28"/>
        <v>0.33500654283773573</v>
      </c>
      <c r="Z161" s="9">
        <f t="shared" si="29"/>
        <v>0.93</v>
      </c>
      <c r="AA161" s="9">
        <f t="shared" si="30"/>
        <v>0.86078258917895323</v>
      </c>
      <c r="AB161" s="9">
        <f t="shared" si="31"/>
        <v>0.33500654283773573</v>
      </c>
      <c r="AC161" s="9">
        <f t="shared" si="32"/>
        <v>0.95099427340442244</v>
      </c>
    </row>
    <row r="162" spans="1:29" x14ac:dyDescent="0.35">
      <c r="A162" s="7">
        <v>159</v>
      </c>
      <c r="B162" s="8" t="s">
        <v>15</v>
      </c>
      <c r="C162" s="7" t="s">
        <v>14</v>
      </c>
      <c r="D162" s="7" t="s">
        <v>19</v>
      </c>
      <c r="E162">
        <v>8503.7047745749387</v>
      </c>
      <c r="F162">
        <v>1.5440742740659996</v>
      </c>
      <c r="G162">
        <v>0.35582718481076031</v>
      </c>
      <c r="H162">
        <v>0.35634177918486371</v>
      </c>
      <c r="I162" t="s">
        <v>30</v>
      </c>
      <c r="J162" t="e">
        <f t="shared" si="22"/>
        <v>#VALUE!</v>
      </c>
      <c r="K162" t="e">
        <f t="shared" si="23"/>
        <v>#VALUE!</v>
      </c>
      <c r="L162" t="e">
        <f t="shared" si="24"/>
        <v>#VALUE!</v>
      </c>
      <c r="M162">
        <v>7.1428571428571432</v>
      </c>
      <c r="N162">
        <v>0.19742146043098768</v>
      </c>
      <c r="O162">
        <v>250</v>
      </c>
      <c r="P162">
        <v>250</v>
      </c>
      <c r="Q162">
        <v>35</v>
      </c>
      <c r="R162">
        <f t="shared" si="25"/>
        <v>5.1020408163265307E-2</v>
      </c>
      <c r="T162" t="s">
        <v>41</v>
      </c>
      <c r="W162" s="13">
        <f t="shared" si="26"/>
        <v>1.1811603428060555</v>
      </c>
      <c r="X162" s="9">
        <f t="shared" si="27"/>
        <v>0.188</v>
      </c>
      <c r="Y162" s="13">
        <f t="shared" si="28"/>
        <v>0.35300358737736404</v>
      </c>
      <c r="Z162" s="9">
        <f t="shared" si="29"/>
        <v>0.93</v>
      </c>
      <c r="AA162" s="9">
        <f t="shared" si="30"/>
        <v>0.84662510563495808</v>
      </c>
      <c r="AB162" s="9">
        <f t="shared" si="31"/>
        <v>0.35300358737736409</v>
      </c>
      <c r="AC162" s="9">
        <f t="shared" si="32"/>
        <v>0.99206469445301682</v>
      </c>
    </row>
    <row r="163" spans="1:29" x14ac:dyDescent="0.35">
      <c r="A163" s="7">
        <v>160</v>
      </c>
      <c r="B163" s="8" t="s">
        <v>11</v>
      </c>
      <c r="C163" s="7" t="s">
        <v>22</v>
      </c>
      <c r="D163" s="7" t="s">
        <v>19</v>
      </c>
      <c r="E163">
        <v>1789.6249537883218</v>
      </c>
      <c r="F163">
        <v>1.5441157370401861</v>
      </c>
      <c r="G163">
        <v>0.37612773277113382</v>
      </c>
      <c r="H163">
        <v>0.37766857452397035</v>
      </c>
      <c r="I163">
        <v>1.2011592706942333</v>
      </c>
      <c r="J163">
        <f t="shared" si="22"/>
        <v>0.82913244411540143</v>
      </c>
      <c r="K163">
        <f t="shared" si="23"/>
        <v>0.83252906121436387</v>
      </c>
      <c r="L163">
        <f t="shared" si="24"/>
        <v>0.99592012188258272</v>
      </c>
      <c r="M163">
        <v>21.333333333333336</v>
      </c>
      <c r="N163">
        <v>0.27003045590067681</v>
      </c>
      <c r="O163">
        <v>101.6</v>
      </c>
      <c r="P163">
        <v>50.8</v>
      </c>
      <c r="Q163">
        <v>9.5249999999999986</v>
      </c>
      <c r="R163">
        <f t="shared" si="25"/>
        <v>5.6888888888888899E-2</v>
      </c>
      <c r="T163" t="s">
        <v>41</v>
      </c>
      <c r="W163" s="13">
        <f t="shared" si="26"/>
        <v>1.1484862948446954</v>
      </c>
      <c r="X163" s="9">
        <f t="shared" si="27"/>
        <v>0.188</v>
      </c>
      <c r="Y163" s="13">
        <f t="shared" si="28"/>
        <v>0.35298751932836991</v>
      </c>
      <c r="Z163" s="9">
        <f t="shared" si="29"/>
        <v>0.93</v>
      </c>
      <c r="AA163" s="9">
        <f t="shared" si="30"/>
        <v>0.87071130451341205</v>
      </c>
      <c r="AB163" s="9">
        <f t="shared" si="31"/>
        <v>0.35298751932836986</v>
      </c>
      <c r="AC163" s="9">
        <f t="shared" si="32"/>
        <v>0.93847777915157271</v>
      </c>
    </row>
    <row r="164" spans="1:29" x14ac:dyDescent="0.35">
      <c r="A164" s="7">
        <v>161</v>
      </c>
      <c r="B164" s="8" t="s">
        <v>8</v>
      </c>
      <c r="C164" s="7" t="s">
        <v>9</v>
      </c>
      <c r="D164" s="7" t="s">
        <v>19</v>
      </c>
      <c r="E164">
        <v>3687.9685044906878</v>
      </c>
      <c r="F164">
        <v>1.5311764532752616</v>
      </c>
      <c r="G164">
        <v>0.3821365329848625</v>
      </c>
      <c r="H164">
        <v>0.382897470412154</v>
      </c>
      <c r="I164">
        <v>1.1844528597647972</v>
      </c>
      <c r="J164">
        <f t="shared" si="22"/>
        <v>0.84259384235625023</v>
      </c>
      <c r="K164">
        <f t="shared" si="23"/>
        <v>0.84427167510792711</v>
      </c>
      <c r="L164">
        <f t="shared" si="24"/>
        <v>0.99801268619906924</v>
      </c>
      <c r="M164">
        <v>17.999999999999996</v>
      </c>
      <c r="N164">
        <v>0.28797465749298701</v>
      </c>
      <c r="O164">
        <v>152.39999999999998</v>
      </c>
      <c r="P164">
        <v>101.6</v>
      </c>
      <c r="Q164">
        <v>12.7</v>
      </c>
      <c r="R164">
        <f t="shared" si="25"/>
        <v>9.5999999999999988E-2</v>
      </c>
      <c r="T164" t="s">
        <v>41</v>
      </c>
      <c r="W164" s="13">
        <f t="shared" si="26"/>
        <v>1.1404114041281559</v>
      </c>
      <c r="X164" s="9">
        <f t="shared" si="27"/>
        <v>0.188</v>
      </c>
      <c r="Y164" s="13">
        <f t="shared" si="28"/>
        <v>0.35804857327917528</v>
      </c>
      <c r="Z164" s="9">
        <f t="shared" si="29"/>
        <v>0.93</v>
      </c>
      <c r="AA164" s="9">
        <f t="shared" si="30"/>
        <v>0.87687653453842795</v>
      </c>
      <c r="AB164" s="9">
        <f t="shared" si="31"/>
        <v>0.35804857327917528</v>
      </c>
      <c r="AC164" s="9">
        <f t="shared" si="32"/>
        <v>0.93696504357346688</v>
      </c>
    </row>
    <row r="165" spans="1:29" x14ac:dyDescent="0.35">
      <c r="A165" s="7">
        <v>162</v>
      </c>
      <c r="B165" s="8" t="s">
        <v>16</v>
      </c>
      <c r="C165" s="7" t="s">
        <v>14</v>
      </c>
      <c r="D165" s="7" t="s">
        <v>19</v>
      </c>
      <c r="E165">
        <v>9012.6741666043454</v>
      </c>
      <c r="F165">
        <v>1.5225955935916229</v>
      </c>
      <c r="G165">
        <v>0.36534912262253333</v>
      </c>
      <c r="H165">
        <v>0.36573125586351035</v>
      </c>
      <c r="I165">
        <v>1.1315939820986478</v>
      </c>
      <c r="J165">
        <f t="shared" si="22"/>
        <v>0.88278584784476077</v>
      </c>
      <c r="K165">
        <f t="shared" si="23"/>
        <v>0.88370918882531135</v>
      </c>
      <c r="L165">
        <f t="shared" si="24"/>
        <v>0.99895515290298387</v>
      </c>
      <c r="M165">
        <v>12.5</v>
      </c>
      <c r="N165">
        <v>0.3273580078539739</v>
      </c>
      <c r="O165">
        <v>250</v>
      </c>
      <c r="P165">
        <v>250</v>
      </c>
      <c r="Q165">
        <v>20</v>
      </c>
      <c r="R165">
        <f t="shared" si="25"/>
        <v>0.15625</v>
      </c>
      <c r="T165" t="s">
        <v>41</v>
      </c>
      <c r="W165" s="13">
        <f t="shared" si="26"/>
        <v>1.1226888964657118</v>
      </c>
      <c r="X165" s="9">
        <f t="shared" si="27"/>
        <v>0.188</v>
      </c>
      <c r="Y165" s="13">
        <f t="shared" si="28"/>
        <v>0.36145705611926821</v>
      </c>
      <c r="Z165" s="9">
        <f t="shared" si="29"/>
        <v>0.93</v>
      </c>
      <c r="AA165" s="9">
        <f t="shared" si="30"/>
        <v>0.89071870501975803</v>
      </c>
      <c r="AB165" s="9">
        <f t="shared" si="31"/>
        <v>0.36145705611926821</v>
      </c>
      <c r="AC165" s="9">
        <f t="shared" si="32"/>
        <v>0.98934699370474122</v>
      </c>
    </row>
    <row r="166" spans="1:29" x14ac:dyDescent="0.35">
      <c r="A166" s="7">
        <v>163</v>
      </c>
      <c r="B166" s="8" t="s">
        <v>10</v>
      </c>
      <c r="C166" s="7" t="s">
        <v>22</v>
      </c>
      <c r="D166" s="7" t="s">
        <v>19</v>
      </c>
      <c r="E166">
        <v>1402.2930458797441</v>
      </c>
      <c r="F166">
        <v>1.5355631188901691</v>
      </c>
      <c r="G166">
        <v>0.38104706776628272</v>
      </c>
      <c r="H166">
        <v>0.38299869613845133</v>
      </c>
      <c r="I166">
        <v>1.0691692166713029</v>
      </c>
      <c r="J166">
        <f t="shared" si="22"/>
        <v>0.93053964863830196</v>
      </c>
      <c r="K166">
        <f t="shared" si="23"/>
        <v>0.93530564143377526</v>
      </c>
      <c r="L166">
        <f t="shared" si="24"/>
        <v>0.99490434721620269</v>
      </c>
      <c r="M166">
        <v>42.666666666666671</v>
      </c>
      <c r="N166">
        <v>0.3640469734360513</v>
      </c>
      <c r="O166">
        <v>101.6</v>
      </c>
      <c r="P166">
        <v>38.099999999999994</v>
      </c>
      <c r="Q166">
        <v>6.35</v>
      </c>
      <c r="R166">
        <f t="shared" si="25"/>
        <v>9.5999999999999988E-2</v>
      </c>
      <c r="T166" t="s">
        <v>41</v>
      </c>
      <c r="W166" s="13">
        <f t="shared" si="26"/>
        <v>1.1061788619537769</v>
      </c>
      <c r="X166" s="9">
        <f t="shared" si="27"/>
        <v>0.188</v>
      </c>
      <c r="Y166" s="13">
        <f t="shared" si="28"/>
        <v>0.35632223649554362</v>
      </c>
      <c r="Z166" s="9">
        <f t="shared" si="29"/>
        <v>0.93</v>
      </c>
      <c r="AA166" s="9">
        <f t="shared" si="30"/>
        <v>0.90401293533467131</v>
      </c>
      <c r="AB166" s="9">
        <f t="shared" si="31"/>
        <v>0.35632223649554368</v>
      </c>
      <c r="AC166" s="9">
        <f t="shared" si="32"/>
        <v>0.93511344565468701</v>
      </c>
    </row>
    <row r="167" spans="1:29" x14ac:dyDescent="0.35">
      <c r="A167" s="7">
        <v>164</v>
      </c>
      <c r="B167" s="8" t="s">
        <v>18</v>
      </c>
      <c r="C167" s="7" t="s">
        <v>14</v>
      </c>
      <c r="D167" s="7" t="s">
        <v>19</v>
      </c>
      <c r="E167">
        <v>5479.2760234055258</v>
      </c>
      <c r="F167">
        <v>1.518914313629089</v>
      </c>
      <c r="G167">
        <v>0.36693747004388172</v>
      </c>
      <c r="H167">
        <v>0.36739706016318785</v>
      </c>
      <c r="I167">
        <v>1.0849825280559102</v>
      </c>
      <c r="J167">
        <f t="shared" si="22"/>
        <v>0.92052087330227017</v>
      </c>
      <c r="K167">
        <f t="shared" si="23"/>
        <v>0.92167382804939424</v>
      </c>
      <c r="L167">
        <f t="shared" si="24"/>
        <v>0.99874906424373122</v>
      </c>
      <c r="M167">
        <v>15</v>
      </c>
      <c r="N167">
        <v>0.39023080654552345</v>
      </c>
      <c r="O167">
        <v>150</v>
      </c>
      <c r="P167">
        <v>150</v>
      </c>
      <c r="Q167">
        <v>10</v>
      </c>
      <c r="R167">
        <f t="shared" si="25"/>
        <v>0.22500000000000001</v>
      </c>
      <c r="T167" t="s">
        <v>41</v>
      </c>
      <c r="W167" s="13">
        <f t="shared" si="26"/>
        <v>1.0943961370545146</v>
      </c>
      <c r="X167" s="9">
        <f t="shared" si="27"/>
        <v>0.188</v>
      </c>
      <c r="Y167" s="13">
        <f t="shared" si="28"/>
        <v>0.36293222200220127</v>
      </c>
      <c r="Z167" s="9">
        <f t="shared" si="29"/>
        <v>0.93</v>
      </c>
      <c r="AA167" s="9">
        <f t="shared" si="30"/>
        <v>0.91374591534234151</v>
      </c>
      <c r="AB167" s="9">
        <f t="shared" si="31"/>
        <v>0.36293222200220127</v>
      </c>
      <c r="AC167" s="9">
        <f t="shared" si="32"/>
        <v>0.98908465782684585</v>
      </c>
    </row>
    <row r="168" spans="1:29" x14ac:dyDescent="0.35">
      <c r="A168" s="7">
        <v>165</v>
      </c>
      <c r="B168" s="8" t="s">
        <v>25</v>
      </c>
      <c r="C168" s="7" t="s">
        <v>23</v>
      </c>
      <c r="D168" s="7" t="s">
        <v>19</v>
      </c>
      <c r="E168">
        <v>3791.0858986990597</v>
      </c>
      <c r="F168">
        <v>1.5237444166883616</v>
      </c>
      <c r="G168">
        <v>0.38642037923138561</v>
      </c>
      <c r="H168">
        <v>0.38757847853397281</v>
      </c>
      <c r="I168">
        <v>1.0522137206106303</v>
      </c>
      <c r="J168">
        <f t="shared" si="22"/>
        <v>0.94753750332496278</v>
      </c>
      <c r="K168">
        <f t="shared" si="23"/>
        <v>0.9503772669108238</v>
      </c>
      <c r="L168">
        <f t="shared" si="24"/>
        <v>0.99701196179166662</v>
      </c>
      <c r="M168">
        <v>32.4</v>
      </c>
      <c r="N168">
        <v>0.41633655043423501</v>
      </c>
      <c r="O168">
        <v>180</v>
      </c>
      <c r="P168">
        <v>100</v>
      </c>
      <c r="Q168">
        <v>10</v>
      </c>
      <c r="R168">
        <f t="shared" si="25"/>
        <v>0.18</v>
      </c>
      <c r="T168" t="s">
        <v>41</v>
      </c>
      <c r="W168" s="13">
        <f t="shared" si="26"/>
        <v>1.0826485523045943</v>
      </c>
      <c r="X168" s="9">
        <f t="shared" si="27"/>
        <v>0.188</v>
      </c>
      <c r="Y168" s="13">
        <f t="shared" si="28"/>
        <v>0.36099828815189211</v>
      </c>
      <c r="Z168" s="9">
        <f t="shared" si="29"/>
        <v>0.93</v>
      </c>
      <c r="AA168" s="9">
        <f t="shared" si="30"/>
        <v>0.92366077419245296</v>
      </c>
      <c r="AB168" s="9">
        <f t="shared" si="31"/>
        <v>0.36099828815189211</v>
      </c>
      <c r="AC168" s="9">
        <f t="shared" si="32"/>
        <v>0.93421130860111556</v>
      </c>
    </row>
    <row r="169" spans="1:29" x14ac:dyDescent="0.35">
      <c r="A169" s="7">
        <v>166</v>
      </c>
      <c r="B169" s="8" t="s">
        <v>7</v>
      </c>
      <c r="C169" s="7" t="s">
        <v>9</v>
      </c>
      <c r="D169" s="7" t="s">
        <v>19</v>
      </c>
      <c r="E169">
        <v>2970.6142349479028</v>
      </c>
      <c r="F169">
        <v>1.5170157689638357</v>
      </c>
      <c r="G169">
        <v>0.38824640825457607</v>
      </c>
      <c r="H169">
        <v>0.38765061424044511</v>
      </c>
      <c r="I169">
        <v>0.96654599499694582</v>
      </c>
      <c r="J169">
        <f t="shared" si="22"/>
        <v>1.0362020439221902</v>
      </c>
      <c r="K169">
        <f t="shared" si="23"/>
        <v>1.0346119120830457</v>
      </c>
      <c r="L169">
        <f t="shared" si="24"/>
        <v>1.0015369355606423</v>
      </c>
      <c r="M169">
        <v>44.326241134751783</v>
      </c>
      <c r="N169">
        <v>0.61372494072314776</v>
      </c>
      <c r="O169">
        <v>127</v>
      </c>
      <c r="P169">
        <v>76.199999999999989</v>
      </c>
      <c r="Q169">
        <v>4.7751999999999999</v>
      </c>
      <c r="R169">
        <f t="shared" si="25"/>
        <v>0.42440018107741062</v>
      </c>
      <c r="T169" t="s">
        <v>41</v>
      </c>
      <c r="W169" s="13">
        <f t="shared" si="26"/>
        <v>0.99257404412421779</v>
      </c>
      <c r="X169" s="9">
        <f t="shared" si="27"/>
        <v>0.188</v>
      </c>
      <c r="Y169" s="13">
        <f t="shared" si="28"/>
        <v>0.36369605146861539</v>
      </c>
      <c r="Z169" s="9">
        <f t="shared" si="29"/>
        <v>0.93</v>
      </c>
      <c r="AA169" s="9">
        <f t="shared" si="30"/>
        <v>1.0002113105042785</v>
      </c>
      <c r="AB169" s="9">
        <f t="shared" si="31"/>
        <v>0.36107154272878084</v>
      </c>
      <c r="AC169" s="9">
        <f t="shared" si="32"/>
        <v>0.93000613798859288</v>
      </c>
    </row>
    <row r="170" spans="1:29" x14ac:dyDescent="0.35">
      <c r="A170" s="7">
        <v>167</v>
      </c>
      <c r="B170" s="8" t="s">
        <v>3</v>
      </c>
      <c r="C170" s="7" t="s">
        <v>9</v>
      </c>
      <c r="D170" s="7" t="s">
        <v>19</v>
      </c>
      <c r="E170">
        <v>5766.024386282952</v>
      </c>
      <c r="F170">
        <v>1.5108633033898438</v>
      </c>
      <c r="G170">
        <v>0.3681872040115941</v>
      </c>
      <c r="H170">
        <v>0.36912028240048983</v>
      </c>
      <c r="I170">
        <v>0.87933356865618517</v>
      </c>
      <c r="J170">
        <f t="shared" si="22"/>
        <v>1.1343501395054927</v>
      </c>
      <c r="K170">
        <f t="shared" si="23"/>
        <v>1.1372248662452631</v>
      </c>
      <c r="L170">
        <f t="shared" si="24"/>
        <v>0.99747215627700636</v>
      </c>
      <c r="M170">
        <v>31.914893617021278</v>
      </c>
      <c r="N170">
        <v>0.82298860920708738</v>
      </c>
      <c r="O170">
        <v>152.39999999999998</v>
      </c>
      <c r="P170">
        <v>152.39999999999998</v>
      </c>
      <c r="Q170">
        <v>4.7751999999999999</v>
      </c>
      <c r="R170">
        <f t="shared" si="25"/>
        <v>1.0185604345857853</v>
      </c>
      <c r="T170" t="s">
        <v>41</v>
      </c>
      <c r="W170" s="13">
        <f t="shared" si="26"/>
        <v>0.86939358857435056</v>
      </c>
      <c r="X170" s="9">
        <f t="shared" si="27"/>
        <v>0.188</v>
      </c>
      <c r="Y170" s="13">
        <f t="shared" si="28"/>
        <v>0.36618563036518714</v>
      </c>
      <c r="Z170" s="9">
        <f t="shared" si="29"/>
        <v>0.97</v>
      </c>
      <c r="AA170" s="9">
        <f t="shared" si="30"/>
        <v>1.1023500868953398</v>
      </c>
      <c r="AB170" s="9">
        <f t="shared" si="31"/>
        <v>0.35094355554053619</v>
      </c>
      <c r="AC170" s="9">
        <f t="shared" si="32"/>
        <v>0.95316608430934247</v>
      </c>
    </row>
    <row r="171" spans="1:29" x14ac:dyDescent="0.35">
      <c r="A171" s="7">
        <v>168</v>
      </c>
      <c r="B171" s="8" t="s">
        <v>13</v>
      </c>
      <c r="C171" s="7" t="s">
        <v>23</v>
      </c>
      <c r="D171" s="7" t="s">
        <v>19</v>
      </c>
      <c r="E171">
        <v>2088.0693924672923</v>
      </c>
      <c r="F171">
        <v>1.5206812173314197</v>
      </c>
      <c r="G171">
        <v>0.3572344921981927</v>
      </c>
      <c r="H171">
        <v>0.39009836705096373</v>
      </c>
      <c r="I171">
        <v>0.73799305846603513</v>
      </c>
      <c r="J171">
        <f t="shared" si="22"/>
        <v>1.2408719733702649</v>
      </c>
      <c r="K171">
        <f t="shared" si="23"/>
        <v>1.3550262953401795</v>
      </c>
      <c r="L171">
        <f t="shared" si="24"/>
        <v>0.9157549027923062</v>
      </c>
      <c r="M171">
        <v>143.99999999999997</v>
      </c>
      <c r="N171">
        <v>1.0508388729733691</v>
      </c>
      <c r="O171">
        <v>152.39999999999998</v>
      </c>
      <c r="P171">
        <v>50.8</v>
      </c>
      <c r="Q171">
        <v>3.1749999999999998</v>
      </c>
      <c r="R171">
        <f t="shared" si="25"/>
        <v>0.7679999999999999</v>
      </c>
      <c r="T171" t="s">
        <v>41</v>
      </c>
      <c r="W171" s="13">
        <f t="shared" si="26"/>
        <v>0.7683290158341336</v>
      </c>
      <c r="X171" s="9">
        <f t="shared" si="27"/>
        <v>0.188</v>
      </c>
      <c r="Y171" s="13">
        <f t="shared" si="28"/>
        <v>0.36222321659179957</v>
      </c>
      <c r="Z171" s="9">
        <f t="shared" si="29"/>
        <v>0.97</v>
      </c>
      <c r="AA171" s="9">
        <f t="shared" si="30"/>
        <v>1.175896552375377</v>
      </c>
      <c r="AB171" s="9">
        <f t="shared" si="31"/>
        <v>0.32725978028164743</v>
      </c>
      <c r="AC171" s="9">
        <f t="shared" si="32"/>
        <v>0.91609233550741409</v>
      </c>
    </row>
    <row r="172" spans="1:29" x14ac:dyDescent="0.35">
      <c r="A172" s="7">
        <v>169</v>
      </c>
      <c r="B172" s="8" t="s">
        <v>12</v>
      </c>
      <c r="C172" s="7" t="s">
        <v>22</v>
      </c>
      <c r="D172" s="7" t="s">
        <v>19</v>
      </c>
      <c r="E172">
        <v>1853.9862641346888</v>
      </c>
      <c r="F172">
        <v>1.5225204152578657</v>
      </c>
      <c r="G172">
        <v>0.31584009712441846</v>
      </c>
      <c r="H172">
        <v>0.39050485026606552</v>
      </c>
      <c r="I172">
        <v>0.65172544217244144</v>
      </c>
      <c r="J172">
        <f t="shared" si="22"/>
        <v>1.2410125023705665</v>
      </c>
      <c r="K172">
        <f t="shared" si="23"/>
        <v>1.5343884637472966</v>
      </c>
      <c r="L172">
        <f t="shared" si="24"/>
        <v>0.80879942184898546</v>
      </c>
      <c r="M172">
        <v>205.71428571428569</v>
      </c>
      <c r="N172">
        <v>1.2988820212575451</v>
      </c>
      <c r="O172">
        <v>152.39999999999998</v>
      </c>
      <c r="P172">
        <v>44.449999999999996</v>
      </c>
      <c r="Q172">
        <v>2.54</v>
      </c>
      <c r="R172">
        <f t="shared" si="25"/>
        <v>1.0499999999999998</v>
      </c>
      <c r="T172" t="s">
        <v>41</v>
      </c>
      <c r="W172" s="13">
        <f t="shared" si="26"/>
        <v>0.67745103897541759</v>
      </c>
      <c r="X172" s="9">
        <f t="shared" si="27"/>
        <v>0.188</v>
      </c>
      <c r="Y172" s="13">
        <f t="shared" si="28"/>
        <v>0.36148710395478439</v>
      </c>
      <c r="Z172" s="9">
        <f t="shared" si="29"/>
        <v>1</v>
      </c>
      <c r="AA172" s="9">
        <f t="shared" si="30"/>
        <v>1.2493093235035115</v>
      </c>
      <c r="AB172" s="9">
        <f t="shared" si="31"/>
        <v>0.30594312804911622</v>
      </c>
      <c r="AC172" s="9">
        <f t="shared" si="32"/>
        <v>0.96866462122634311</v>
      </c>
    </row>
    <row r="173" spans="1:29" x14ac:dyDescent="0.35">
      <c r="A173" s="7">
        <v>170</v>
      </c>
      <c r="B173" s="8" t="s">
        <v>17</v>
      </c>
      <c r="C173" s="7" t="s">
        <v>14</v>
      </c>
      <c r="D173" s="7" t="s">
        <v>19</v>
      </c>
      <c r="E173">
        <v>10966.337085021098</v>
      </c>
      <c r="F173">
        <v>1.954638674872933</v>
      </c>
      <c r="G173">
        <v>0.23353086041218901</v>
      </c>
      <c r="H173">
        <v>0.2342115397704273</v>
      </c>
      <c r="I173">
        <v>0.99502359502359483</v>
      </c>
      <c r="J173">
        <f t="shared" si="22"/>
        <v>1.0020804995431889</v>
      </c>
      <c r="K173">
        <f t="shared" si="23"/>
        <v>1.0050012934379582</v>
      </c>
      <c r="L173">
        <f t="shared" si="24"/>
        <v>0.99709374115850369</v>
      </c>
      <c r="M173">
        <v>3.75</v>
      </c>
      <c r="N173">
        <v>0.18750130519071448</v>
      </c>
      <c r="O173">
        <v>300</v>
      </c>
      <c r="P173">
        <v>300</v>
      </c>
      <c r="Q173">
        <v>80</v>
      </c>
      <c r="R173">
        <f t="shared" si="25"/>
        <v>1.40625E-2</v>
      </c>
      <c r="T173" t="s">
        <v>41</v>
      </c>
      <c r="W173" s="13">
        <f t="shared" si="26"/>
        <v>1.1856244126641786</v>
      </c>
      <c r="X173" s="9">
        <f t="shared" si="27"/>
        <v>0.188</v>
      </c>
      <c r="Y173" s="13">
        <f t="shared" si="28"/>
        <v>0.23258746236813294</v>
      </c>
      <c r="Z173" s="9">
        <f t="shared" si="29"/>
        <v>0.93</v>
      </c>
      <c r="AA173" s="9">
        <f t="shared" si="30"/>
        <v>0.84343742362130691</v>
      </c>
      <c r="AB173" s="9">
        <f t="shared" si="31"/>
        <v>0.23258746236813294</v>
      </c>
      <c r="AC173" s="9">
        <f t="shared" si="32"/>
        <v>0.99596028532421388</v>
      </c>
    </row>
    <row r="174" spans="1:29" x14ac:dyDescent="0.35">
      <c r="A174" s="7">
        <v>171</v>
      </c>
      <c r="B174" s="8" t="s">
        <v>24</v>
      </c>
      <c r="C174" s="7" t="s">
        <v>23</v>
      </c>
      <c r="D174" s="7" t="s">
        <v>19</v>
      </c>
      <c r="E174">
        <v>5736.3635110215955</v>
      </c>
      <c r="F174">
        <v>1.9078977432281112</v>
      </c>
      <c r="G174">
        <v>0.25377778650012989</v>
      </c>
      <c r="H174">
        <v>0.25544518057948418</v>
      </c>
      <c r="I174">
        <v>1.1819690003318009</v>
      </c>
      <c r="J174">
        <f t="shared" si="22"/>
        <v>0.84052339358606265</v>
      </c>
      <c r="K174">
        <f t="shared" si="23"/>
        <v>0.84604587744626236</v>
      </c>
      <c r="L174">
        <f t="shared" si="24"/>
        <v>0.99347259527241127</v>
      </c>
      <c r="M174">
        <v>9.9206349206349209</v>
      </c>
      <c r="N174">
        <v>0.24059214494352027</v>
      </c>
      <c r="O174">
        <v>250</v>
      </c>
      <c r="P174">
        <v>150</v>
      </c>
      <c r="Q174">
        <v>42</v>
      </c>
      <c r="R174">
        <f t="shared" si="25"/>
        <v>2.1258503401360547E-2</v>
      </c>
      <c r="T174" t="s">
        <v>41</v>
      </c>
      <c r="W174" s="13">
        <f t="shared" si="26"/>
        <v>1.1617335347754159</v>
      </c>
      <c r="X174" s="9">
        <f t="shared" si="27"/>
        <v>0.188</v>
      </c>
      <c r="Y174" s="13">
        <f t="shared" si="28"/>
        <v>0.24307567462096338</v>
      </c>
      <c r="Z174" s="9">
        <f t="shared" si="29"/>
        <v>0.93</v>
      </c>
      <c r="AA174" s="9">
        <f t="shared" si="30"/>
        <v>0.86078258917895323</v>
      </c>
      <c r="AB174" s="9">
        <f t="shared" si="31"/>
        <v>0.24307567462096338</v>
      </c>
      <c r="AC174" s="9">
        <f t="shared" si="32"/>
        <v>0.95782880752976762</v>
      </c>
    </row>
    <row r="175" spans="1:29" x14ac:dyDescent="0.35">
      <c r="A175" s="7">
        <v>172</v>
      </c>
      <c r="B175" s="8" t="s">
        <v>15</v>
      </c>
      <c r="C175" s="7" t="s">
        <v>14</v>
      </c>
      <c r="D175" s="7" t="s">
        <v>19</v>
      </c>
      <c r="E175">
        <v>10204.445729489928</v>
      </c>
      <c r="F175">
        <v>1.8511946912992159</v>
      </c>
      <c r="G175">
        <v>0.25908336884496119</v>
      </c>
      <c r="H175">
        <v>0.2595022698704747</v>
      </c>
      <c r="I175" t="s">
        <v>30</v>
      </c>
      <c r="J175" t="e">
        <f t="shared" si="22"/>
        <v>#VALUE!</v>
      </c>
      <c r="K175" t="e">
        <f t="shared" si="23"/>
        <v>#VALUE!</v>
      </c>
      <c r="L175" t="e">
        <f t="shared" si="24"/>
        <v>#VALUE!</v>
      </c>
      <c r="M175">
        <v>7.1428571428571432</v>
      </c>
      <c r="N175">
        <v>0.19742146043098768</v>
      </c>
      <c r="O175">
        <v>250</v>
      </c>
      <c r="P175">
        <v>250</v>
      </c>
      <c r="Q175">
        <v>35</v>
      </c>
      <c r="R175">
        <f t="shared" si="25"/>
        <v>5.1020408163265307E-2</v>
      </c>
      <c r="T175" t="s">
        <v>41</v>
      </c>
      <c r="W175" s="13">
        <f t="shared" si="26"/>
        <v>1.1811603428060555</v>
      </c>
      <c r="X175" s="9">
        <f t="shared" si="27"/>
        <v>0.188</v>
      </c>
      <c r="Y175" s="13">
        <f t="shared" si="28"/>
        <v>0.25672914857699786</v>
      </c>
      <c r="Z175" s="9">
        <f t="shared" si="29"/>
        <v>0.93</v>
      </c>
      <c r="AA175" s="9">
        <f t="shared" si="30"/>
        <v>0.84662510563495808</v>
      </c>
      <c r="AB175" s="9">
        <f t="shared" si="31"/>
        <v>0.25672914857699791</v>
      </c>
      <c r="AC175" s="9">
        <f t="shared" si="32"/>
        <v>0.99091327135949014</v>
      </c>
    </row>
    <row r="176" spans="1:29" x14ac:dyDescent="0.35">
      <c r="A176" s="7">
        <v>173</v>
      </c>
      <c r="B176" s="8" t="s">
        <v>11</v>
      </c>
      <c r="C176" s="7" t="s">
        <v>22</v>
      </c>
      <c r="D176" s="7" t="s">
        <v>19</v>
      </c>
      <c r="E176">
        <v>2147.5499445459864</v>
      </c>
      <c r="F176">
        <v>1.8497016102845478</v>
      </c>
      <c r="G176">
        <v>0.2713085321205212</v>
      </c>
      <c r="H176">
        <v>0.27254492627271193</v>
      </c>
      <c r="I176">
        <v>1.2011592706942333</v>
      </c>
      <c r="J176">
        <f t="shared" si="22"/>
        <v>0.82875231116844916</v>
      </c>
      <c r="K176">
        <f t="shared" si="23"/>
        <v>0.83252906121436387</v>
      </c>
      <c r="L176">
        <f t="shared" si="24"/>
        <v>0.99546352166925467</v>
      </c>
      <c r="M176">
        <v>21.333333333333336</v>
      </c>
      <c r="N176">
        <v>0.27003045590067681</v>
      </c>
      <c r="O176">
        <v>101.6</v>
      </c>
      <c r="P176">
        <v>50.8</v>
      </c>
      <c r="Q176">
        <v>9.5249999999999986</v>
      </c>
      <c r="R176">
        <f t="shared" si="25"/>
        <v>5.6888888888888899E-2</v>
      </c>
      <c r="T176" t="s">
        <v>41</v>
      </c>
      <c r="W176" s="13">
        <f t="shared" si="26"/>
        <v>1.1484862948446954</v>
      </c>
      <c r="X176" s="9">
        <f t="shared" si="27"/>
        <v>0.188</v>
      </c>
      <c r="Y176" s="13">
        <f t="shared" si="28"/>
        <v>0.25710325610759449</v>
      </c>
      <c r="Z176" s="9">
        <f t="shared" si="29"/>
        <v>0.93</v>
      </c>
      <c r="AA176" s="9">
        <f t="shared" si="30"/>
        <v>0.87071130451341205</v>
      </c>
      <c r="AB176" s="9">
        <f t="shared" si="31"/>
        <v>0.25710325610759444</v>
      </c>
      <c r="AC176" s="9">
        <f t="shared" si="32"/>
        <v>0.94764161708480121</v>
      </c>
    </row>
    <row r="177" spans="1:29" x14ac:dyDescent="0.35">
      <c r="A177" s="7">
        <v>174</v>
      </c>
      <c r="B177" s="8" t="s">
        <v>8</v>
      </c>
      <c r="C177" s="7" t="s">
        <v>9</v>
      </c>
      <c r="D177" s="7" t="s">
        <v>19</v>
      </c>
      <c r="E177">
        <v>4425.5622053888255</v>
      </c>
      <c r="F177">
        <v>1.8350100376226455</v>
      </c>
      <c r="G177">
        <v>0.27600024115396432</v>
      </c>
      <c r="H177">
        <v>0.27621430597473479</v>
      </c>
      <c r="I177">
        <v>1.1844528597647972</v>
      </c>
      <c r="J177">
        <f t="shared" si="22"/>
        <v>0.84361736843045143</v>
      </c>
      <c r="K177">
        <f t="shared" si="23"/>
        <v>0.84427167510792711</v>
      </c>
      <c r="L177">
        <f t="shared" si="24"/>
        <v>0.99922500458470076</v>
      </c>
      <c r="M177">
        <v>17.999999999999996</v>
      </c>
      <c r="N177">
        <v>0.28797465749298701</v>
      </c>
      <c r="O177">
        <v>152.39999999999998</v>
      </c>
      <c r="P177">
        <v>101.6</v>
      </c>
      <c r="Q177">
        <v>12.7</v>
      </c>
      <c r="R177">
        <f t="shared" si="25"/>
        <v>9.5999999999999988E-2</v>
      </c>
      <c r="T177" t="s">
        <v>41</v>
      </c>
      <c r="W177" s="13">
        <f t="shared" si="26"/>
        <v>1.1404114041281559</v>
      </c>
      <c r="X177" s="9">
        <f t="shared" si="27"/>
        <v>0.188</v>
      </c>
      <c r="Y177" s="13">
        <f t="shared" si="28"/>
        <v>0.26082593980643809</v>
      </c>
      <c r="Z177" s="9">
        <f t="shared" si="29"/>
        <v>0.93</v>
      </c>
      <c r="AA177" s="9">
        <f t="shared" si="30"/>
        <v>0.87687653453842795</v>
      </c>
      <c r="AB177" s="9">
        <f t="shared" si="31"/>
        <v>0.26082593980643809</v>
      </c>
      <c r="AC177" s="9">
        <f t="shared" si="32"/>
        <v>0.94502069532953281</v>
      </c>
    </row>
    <row r="178" spans="1:29" x14ac:dyDescent="0.35">
      <c r="A178" s="7">
        <v>175</v>
      </c>
      <c r="B178" s="8" t="s">
        <v>16</v>
      </c>
      <c r="C178" s="7" t="s">
        <v>14</v>
      </c>
      <c r="D178" s="7" t="s">
        <v>19</v>
      </c>
      <c r="E178">
        <v>10815.208999925215</v>
      </c>
      <c r="F178">
        <v>1.8254038162780117</v>
      </c>
      <c r="G178">
        <v>0.26610059189170698</v>
      </c>
      <c r="H178">
        <v>0.26646936358600626</v>
      </c>
      <c r="I178">
        <v>1.1315939820986478</v>
      </c>
      <c r="J178">
        <f t="shared" si="22"/>
        <v>0.88248620795259369</v>
      </c>
      <c r="K178">
        <f t="shared" si="23"/>
        <v>0.88370918882531135</v>
      </c>
      <c r="L178">
        <f t="shared" si="24"/>
        <v>0.99861608220421094</v>
      </c>
      <c r="M178">
        <v>12.5</v>
      </c>
      <c r="N178">
        <v>0.3273580078539739</v>
      </c>
      <c r="O178">
        <v>250</v>
      </c>
      <c r="P178">
        <v>250</v>
      </c>
      <c r="Q178">
        <v>20</v>
      </c>
      <c r="R178">
        <f t="shared" si="25"/>
        <v>0.15625</v>
      </c>
      <c r="T178" t="s">
        <v>41</v>
      </c>
      <c r="W178" s="13">
        <f t="shared" si="26"/>
        <v>1.1226888964657118</v>
      </c>
      <c r="X178" s="9">
        <f t="shared" si="27"/>
        <v>0.188</v>
      </c>
      <c r="Y178" s="13">
        <f t="shared" si="28"/>
        <v>0.2633014233905378</v>
      </c>
      <c r="Z178" s="9">
        <f t="shared" si="29"/>
        <v>0.93</v>
      </c>
      <c r="AA178" s="9">
        <f t="shared" si="30"/>
        <v>0.89071870501975803</v>
      </c>
      <c r="AB178" s="9">
        <f t="shared" si="31"/>
        <v>0.2633014233905378</v>
      </c>
      <c r="AC178" s="9">
        <f t="shared" si="32"/>
        <v>0.98948078814379958</v>
      </c>
    </row>
    <row r="179" spans="1:29" x14ac:dyDescent="0.35">
      <c r="A179" s="7">
        <v>176</v>
      </c>
      <c r="B179" s="8" t="s">
        <v>10</v>
      </c>
      <c r="C179" s="7" t="s">
        <v>22</v>
      </c>
      <c r="D179" s="7" t="s">
        <v>19</v>
      </c>
      <c r="E179">
        <v>1682.7516550556929</v>
      </c>
      <c r="F179">
        <v>1.8381175616120951</v>
      </c>
      <c r="G179">
        <v>0.27482486361004527</v>
      </c>
      <c r="H179">
        <v>0.27643560598262784</v>
      </c>
      <c r="I179">
        <v>1.0691692166713029</v>
      </c>
      <c r="J179">
        <f t="shared" si="22"/>
        <v>0.92985577754009296</v>
      </c>
      <c r="K179">
        <f t="shared" si="23"/>
        <v>0.93530564143377526</v>
      </c>
      <c r="L179">
        <f t="shared" si="24"/>
        <v>0.99417317328982646</v>
      </c>
      <c r="M179">
        <v>42.666666666666671</v>
      </c>
      <c r="N179">
        <v>0.3640469734360513</v>
      </c>
      <c r="O179">
        <v>101.6</v>
      </c>
      <c r="P179">
        <v>38.099999999999994</v>
      </c>
      <c r="Q179">
        <v>6.35</v>
      </c>
      <c r="R179">
        <f t="shared" si="25"/>
        <v>9.5999999999999988E-2</v>
      </c>
      <c r="T179" t="s">
        <v>41</v>
      </c>
      <c r="W179" s="13">
        <f t="shared" si="26"/>
        <v>1.1061788619537769</v>
      </c>
      <c r="X179" s="9">
        <f t="shared" si="27"/>
        <v>0.188</v>
      </c>
      <c r="Y179" s="13">
        <f t="shared" si="28"/>
        <v>0.26003219119587362</v>
      </c>
      <c r="Z179" s="9">
        <f t="shared" si="29"/>
        <v>0.93</v>
      </c>
      <c r="AA179" s="9">
        <f t="shared" si="30"/>
        <v>0.90401293533467131</v>
      </c>
      <c r="AB179" s="9">
        <f t="shared" si="31"/>
        <v>0.26003219119587362</v>
      </c>
      <c r="AC179" s="9">
        <f t="shared" si="32"/>
        <v>0.94617418446112178</v>
      </c>
    </row>
    <row r="180" spans="1:29" x14ac:dyDescent="0.35">
      <c r="A180" s="7">
        <v>177</v>
      </c>
      <c r="B180" s="8" t="s">
        <v>18</v>
      </c>
      <c r="C180" s="7" t="s">
        <v>14</v>
      </c>
      <c r="D180" s="7" t="s">
        <v>19</v>
      </c>
      <c r="E180">
        <v>6575.1312280866305</v>
      </c>
      <c r="F180">
        <v>1.8209329280774289</v>
      </c>
      <c r="G180">
        <v>0.26729030491897915</v>
      </c>
      <c r="H180">
        <v>0.26768030759481448</v>
      </c>
      <c r="I180">
        <v>1.0849825280559102</v>
      </c>
      <c r="J180">
        <f t="shared" si="22"/>
        <v>0.92033097521716145</v>
      </c>
      <c r="K180">
        <f t="shared" si="23"/>
        <v>0.92167382804939424</v>
      </c>
      <c r="L180">
        <f t="shared" si="24"/>
        <v>0.99854302813927698</v>
      </c>
      <c r="M180">
        <v>15</v>
      </c>
      <c r="N180">
        <v>0.39023080654552345</v>
      </c>
      <c r="O180">
        <v>150</v>
      </c>
      <c r="P180">
        <v>150</v>
      </c>
      <c r="Q180">
        <v>10</v>
      </c>
      <c r="R180">
        <f t="shared" si="25"/>
        <v>0.22500000000000001</v>
      </c>
      <c r="T180" t="s">
        <v>41</v>
      </c>
      <c r="W180" s="13">
        <f t="shared" si="26"/>
        <v>1.0943961370545146</v>
      </c>
      <c r="X180" s="9">
        <f t="shared" si="27"/>
        <v>0.188</v>
      </c>
      <c r="Y180" s="13">
        <f t="shared" si="28"/>
        <v>0.26446488613597408</v>
      </c>
      <c r="Z180" s="9">
        <f t="shared" si="29"/>
        <v>0.93</v>
      </c>
      <c r="AA180" s="9">
        <f t="shared" si="30"/>
        <v>0.91374591534234151</v>
      </c>
      <c r="AB180" s="9">
        <f t="shared" si="31"/>
        <v>0.26446488613597408</v>
      </c>
      <c r="AC180" s="9">
        <f t="shared" si="32"/>
        <v>0.98942940042714411</v>
      </c>
    </row>
    <row r="181" spans="1:29" x14ac:dyDescent="0.35">
      <c r="A181" s="7">
        <v>178</v>
      </c>
      <c r="B181" s="8" t="s">
        <v>25</v>
      </c>
      <c r="C181" s="7" t="s">
        <v>23</v>
      </c>
      <c r="D181" s="7" t="s">
        <v>19</v>
      </c>
      <c r="E181">
        <v>4549.303078438872</v>
      </c>
      <c r="F181">
        <v>1.825673053507147</v>
      </c>
      <c r="G181">
        <v>0.27899379684499354</v>
      </c>
      <c r="H181">
        <v>0.27906952522907846</v>
      </c>
      <c r="I181">
        <v>1.0522137206106303</v>
      </c>
      <c r="J181">
        <f t="shared" si="22"/>
        <v>0.95011937227100185</v>
      </c>
      <c r="K181">
        <f t="shared" si="23"/>
        <v>0.9503772669108238</v>
      </c>
      <c r="L181">
        <f t="shared" si="24"/>
        <v>0.99972863972150738</v>
      </c>
      <c r="M181">
        <v>32.4</v>
      </c>
      <c r="N181">
        <v>0.41633655043423501</v>
      </c>
      <c r="O181">
        <v>180</v>
      </c>
      <c r="P181">
        <v>100</v>
      </c>
      <c r="Q181">
        <v>10</v>
      </c>
      <c r="R181">
        <f t="shared" si="25"/>
        <v>0.18</v>
      </c>
      <c r="T181" t="s">
        <v>41</v>
      </c>
      <c r="W181" s="13">
        <f t="shared" si="26"/>
        <v>1.0826485523045943</v>
      </c>
      <c r="X181" s="9">
        <f t="shared" si="27"/>
        <v>0.188</v>
      </c>
      <c r="Y181" s="13">
        <f t="shared" si="28"/>
        <v>0.2632315905677261</v>
      </c>
      <c r="Z181" s="9">
        <f t="shared" si="29"/>
        <v>0.93</v>
      </c>
      <c r="AA181" s="9">
        <f t="shared" si="30"/>
        <v>0.92366077419245296</v>
      </c>
      <c r="AB181" s="9">
        <f t="shared" si="31"/>
        <v>0.2632315905677261</v>
      </c>
      <c r="AC181" s="9">
        <f t="shared" si="32"/>
        <v>0.94350338087973773</v>
      </c>
    </row>
    <row r="182" spans="1:29" x14ac:dyDescent="0.35">
      <c r="A182" s="7">
        <v>179</v>
      </c>
      <c r="B182" s="8" t="s">
        <v>7</v>
      </c>
      <c r="C182" s="7" t="s">
        <v>9</v>
      </c>
      <c r="D182" s="7" t="s">
        <v>19</v>
      </c>
      <c r="E182">
        <v>3564.7370819374828</v>
      </c>
      <c r="F182">
        <v>1.8177697317880748</v>
      </c>
      <c r="G182">
        <v>0.28055407864990201</v>
      </c>
      <c r="H182">
        <v>0.28154246954519863</v>
      </c>
      <c r="I182">
        <v>0.96654599499694582</v>
      </c>
      <c r="J182">
        <f t="shared" si="22"/>
        <v>1.0309797744672884</v>
      </c>
      <c r="K182">
        <f t="shared" si="23"/>
        <v>1.0346119120830457</v>
      </c>
      <c r="L182">
        <f t="shared" si="24"/>
        <v>0.99648937193421205</v>
      </c>
      <c r="M182">
        <v>44.326241134751783</v>
      </c>
      <c r="N182">
        <v>0.61372494072314776</v>
      </c>
      <c r="O182">
        <v>127</v>
      </c>
      <c r="P182">
        <v>76.199999999999989</v>
      </c>
      <c r="Q182">
        <v>4.7751999999999999</v>
      </c>
      <c r="R182">
        <f t="shared" si="25"/>
        <v>0.42440018107741062</v>
      </c>
      <c r="T182" t="s">
        <v>41</v>
      </c>
      <c r="W182" s="13">
        <f t="shared" si="26"/>
        <v>0.99257404412421779</v>
      </c>
      <c r="X182" s="9">
        <f t="shared" si="27"/>
        <v>0.188</v>
      </c>
      <c r="Y182" s="13">
        <f t="shared" si="28"/>
        <v>0.26529243696024962</v>
      </c>
      <c r="Z182" s="9">
        <f t="shared" si="29"/>
        <v>0.93</v>
      </c>
      <c r="AA182" s="9">
        <f t="shared" si="30"/>
        <v>1.0074815132631585</v>
      </c>
      <c r="AB182" s="9">
        <f t="shared" si="31"/>
        <v>0.26529243696024962</v>
      </c>
      <c r="AC182" s="9">
        <f t="shared" si="32"/>
        <v>0.94560178286091823</v>
      </c>
    </row>
    <row r="183" spans="1:29" x14ac:dyDescent="0.35">
      <c r="A183" s="7">
        <v>180</v>
      </c>
      <c r="B183" s="8" t="s">
        <v>3</v>
      </c>
      <c r="C183" s="7" t="s">
        <v>9</v>
      </c>
      <c r="D183" s="7" t="s">
        <v>19</v>
      </c>
      <c r="E183">
        <v>6919.2292635395415</v>
      </c>
      <c r="F183">
        <v>1.8113334887573531</v>
      </c>
      <c r="G183">
        <v>0.2684853145691416</v>
      </c>
      <c r="H183">
        <v>0.26588499325862647</v>
      </c>
      <c r="I183">
        <v>0.87933356865618517</v>
      </c>
      <c r="J183">
        <f t="shared" si="22"/>
        <v>1.1483467803416665</v>
      </c>
      <c r="K183">
        <f t="shared" si="23"/>
        <v>1.1372248662452631</v>
      </c>
      <c r="L183">
        <f t="shared" si="24"/>
        <v>1.0097798724126779</v>
      </c>
      <c r="M183">
        <v>31.914893617021278</v>
      </c>
      <c r="N183">
        <v>0.82298860920708738</v>
      </c>
      <c r="O183">
        <v>152.39999999999998</v>
      </c>
      <c r="P183">
        <v>152.39999999999998</v>
      </c>
      <c r="Q183">
        <v>4.7751999999999999</v>
      </c>
      <c r="R183">
        <f t="shared" si="25"/>
        <v>1.0185604345857853</v>
      </c>
      <c r="T183" t="s">
        <v>41</v>
      </c>
      <c r="W183" s="13">
        <f t="shared" si="26"/>
        <v>0.86939358857435056</v>
      </c>
      <c r="X183" s="9">
        <f t="shared" si="27"/>
        <v>0.188</v>
      </c>
      <c r="Y183" s="13">
        <f t="shared" si="28"/>
        <v>0.26698759610318146</v>
      </c>
      <c r="Z183" s="9">
        <f t="shared" si="29"/>
        <v>0.97</v>
      </c>
      <c r="AA183" s="9">
        <f t="shared" si="30"/>
        <v>1.1460089487628142</v>
      </c>
      <c r="AB183" s="9">
        <f t="shared" si="31"/>
        <v>0.266008507868709</v>
      </c>
      <c r="AC183" s="9">
        <f t="shared" si="32"/>
        <v>0.99077488947800618</v>
      </c>
    </row>
    <row r="184" spans="1:29" x14ac:dyDescent="0.35">
      <c r="A184" s="7">
        <v>181</v>
      </c>
      <c r="B184" s="8" t="s">
        <v>13</v>
      </c>
      <c r="C184" s="7" t="s">
        <v>23</v>
      </c>
      <c r="D184" s="7" t="s">
        <v>19</v>
      </c>
      <c r="E184">
        <v>2505.6832709607515</v>
      </c>
      <c r="F184">
        <v>1.8199642764425967</v>
      </c>
      <c r="G184">
        <v>0.26364842978837294</v>
      </c>
      <c r="H184">
        <v>0.28217433198271785</v>
      </c>
      <c r="I184">
        <v>0.73799305846603513</v>
      </c>
      <c r="J184">
        <f t="shared" si="22"/>
        <v>1.2660632615948735</v>
      </c>
      <c r="K184">
        <f t="shared" si="23"/>
        <v>1.3550262953401795</v>
      </c>
      <c r="L184">
        <f t="shared" si="24"/>
        <v>0.93434589863588458</v>
      </c>
      <c r="M184">
        <v>143.99999999999997</v>
      </c>
      <c r="N184">
        <v>1.0508388729733691</v>
      </c>
      <c r="O184">
        <v>152.39999999999998</v>
      </c>
      <c r="P184">
        <v>50.8</v>
      </c>
      <c r="Q184">
        <v>3.1749999999999998</v>
      </c>
      <c r="R184">
        <f t="shared" si="25"/>
        <v>0.7679999999999999</v>
      </c>
      <c r="T184" t="s">
        <v>41</v>
      </c>
      <c r="W184" s="13">
        <f t="shared" si="26"/>
        <v>0.7683290158341336</v>
      </c>
      <c r="X184" s="9">
        <f t="shared" si="27"/>
        <v>0.188</v>
      </c>
      <c r="Y184" s="13">
        <f t="shared" si="28"/>
        <v>0.26471791578670872</v>
      </c>
      <c r="Z184" s="9">
        <f t="shared" si="29"/>
        <v>0.97</v>
      </c>
      <c r="AA184" s="9">
        <f t="shared" si="30"/>
        <v>1.2428267220099398</v>
      </c>
      <c r="AB184" s="9">
        <f t="shared" si="31"/>
        <v>0.25277909335824789</v>
      </c>
      <c r="AC184" s="9">
        <f t="shared" si="32"/>
        <v>0.95877336937356417</v>
      </c>
    </row>
    <row r="185" spans="1:29" x14ac:dyDescent="0.35">
      <c r="A185" s="7">
        <v>182</v>
      </c>
      <c r="B185" s="8" t="s">
        <v>12</v>
      </c>
      <c r="C185" s="7" t="s">
        <v>22</v>
      </c>
      <c r="D185" s="7" t="s">
        <v>19</v>
      </c>
      <c r="E185">
        <v>2224.7835169616264</v>
      </c>
      <c r="F185">
        <v>1.8212726879321752</v>
      </c>
      <c r="G185">
        <v>0.24032570232751518</v>
      </c>
      <c r="H185">
        <v>0.28155676175993799</v>
      </c>
      <c r="I185">
        <v>0.65172544217244144</v>
      </c>
      <c r="J185">
        <f t="shared" si="22"/>
        <v>1.3096932316181193</v>
      </c>
      <c r="K185">
        <f t="shared" si="23"/>
        <v>1.5343884637472966</v>
      </c>
      <c r="L185">
        <f t="shared" si="24"/>
        <v>0.85356040048657256</v>
      </c>
      <c r="M185">
        <v>205.71428571428569</v>
      </c>
      <c r="N185">
        <v>1.2988820212575451</v>
      </c>
      <c r="O185">
        <v>152.39999999999998</v>
      </c>
      <c r="P185">
        <v>44.449999999999996</v>
      </c>
      <c r="Q185">
        <v>2.54</v>
      </c>
      <c r="R185">
        <f t="shared" si="25"/>
        <v>1.0499999999999998</v>
      </c>
      <c r="T185" t="s">
        <v>41</v>
      </c>
      <c r="W185" s="13">
        <f t="shared" si="26"/>
        <v>0.67745103897541759</v>
      </c>
      <c r="X185" s="9">
        <f t="shared" si="27"/>
        <v>0.188</v>
      </c>
      <c r="Y185" s="13">
        <f t="shared" si="28"/>
        <v>0.26437621550074081</v>
      </c>
      <c r="Z185" s="9">
        <f t="shared" si="29"/>
        <v>1</v>
      </c>
      <c r="AA185" s="9">
        <f t="shared" si="30"/>
        <v>1.3300465362130527</v>
      </c>
      <c r="AB185" s="9">
        <f t="shared" si="31"/>
        <v>0.23821391741504155</v>
      </c>
      <c r="AC185" s="9">
        <f t="shared" si="32"/>
        <v>0.99121282121711773</v>
      </c>
    </row>
    <row r="186" spans="1:29" x14ac:dyDescent="0.35">
      <c r="A186" s="7">
        <v>183</v>
      </c>
      <c r="B186" s="8" t="s">
        <v>17</v>
      </c>
      <c r="C186" s="7" t="s">
        <v>14</v>
      </c>
      <c r="D186" s="7" t="s">
        <v>19</v>
      </c>
      <c r="E186">
        <v>12794.059932524617</v>
      </c>
      <c r="F186">
        <v>2.2791692844126921</v>
      </c>
      <c r="G186">
        <v>0.17630966005338788</v>
      </c>
      <c r="H186">
        <v>0.1769031574164551</v>
      </c>
      <c r="I186">
        <v>0.99502359502359483</v>
      </c>
      <c r="J186">
        <f t="shared" si="22"/>
        <v>1.0016295864190135</v>
      </c>
      <c r="K186">
        <f t="shared" si="23"/>
        <v>1.0050012934379582</v>
      </c>
      <c r="L186">
        <f t="shared" si="24"/>
        <v>0.99664507196064334</v>
      </c>
      <c r="M186">
        <v>3.75</v>
      </c>
      <c r="N186">
        <v>0.18750130519071448</v>
      </c>
      <c r="O186">
        <v>300</v>
      </c>
      <c r="P186">
        <v>300</v>
      </c>
      <c r="Q186">
        <v>80</v>
      </c>
      <c r="R186">
        <f t="shared" si="25"/>
        <v>1.40625E-2</v>
      </c>
      <c r="T186" t="s">
        <v>41</v>
      </c>
      <c r="W186" s="13">
        <f t="shared" si="26"/>
        <v>1.1856244126641786</v>
      </c>
      <c r="X186" s="9">
        <f t="shared" si="27"/>
        <v>0.188</v>
      </c>
      <c r="Y186" s="13">
        <f t="shared" si="28"/>
        <v>0.17500897671136087</v>
      </c>
      <c r="Z186" s="9">
        <f t="shared" si="29"/>
        <v>0.93</v>
      </c>
      <c r="AA186" s="9">
        <f t="shared" si="30"/>
        <v>0.84343742362130691</v>
      </c>
      <c r="AB186" s="9">
        <f t="shared" si="31"/>
        <v>0.17500897671136087</v>
      </c>
      <c r="AC186" s="9">
        <f t="shared" si="32"/>
        <v>0.99262273353806507</v>
      </c>
    </row>
    <row r="187" spans="1:29" x14ac:dyDescent="0.35">
      <c r="A187" s="7">
        <v>184</v>
      </c>
      <c r="B187" s="8" t="s">
        <v>24</v>
      </c>
      <c r="C187" s="7" t="s">
        <v>23</v>
      </c>
      <c r="D187" s="7" t="s">
        <v>19</v>
      </c>
      <c r="E187">
        <v>6692.4240961918622</v>
      </c>
      <c r="F187">
        <v>2.2239672908029524</v>
      </c>
      <c r="G187">
        <v>0.19065282629296068</v>
      </c>
      <c r="H187">
        <v>0.19204347561166896</v>
      </c>
      <c r="I187">
        <v>1.1819690003318009</v>
      </c>
      <c r="J187">
        <f t="shared" si="22"/>
        <v>0.83991938385245912</v>
      </c>
      <c r="K187">
        <f t="shared" si="23"/>
        <v>0.84604587744626236</v>
      </c>
      <c r="L187">
        <f t="shared" si="24"/>
        <v>0.99275867449139321</v>
      </c>
      <c r="M187">
        <v>9.9206349206349209</v>
      </c>
      <c r="N187">
        <v>0.24059214494352027</v>
      </c>
      <c r="O187">
        <v>250</v>
      </c>
      <c r="P187">
        <v>150</v>
      </c>
      <c r="Q187">
        <v>42</v>
      </c>
      <c r="R187">
        <f t="shared" si="25"/>
        <v>2.1258503401360547E-2</v>
      </c>
      <c r="T187" t="s">
        <v>41</v>
      </c>
      <c r="W187" s="13">
        <f t="shared" si="26"/>
        <v>1.1617335347754159</v>
      </c>
      <c r="X187" s="9">
        <f t="shared" si="27"/>
        <v>0.188</v>
      </c>
      <c r="Y187" s="13">
        <f t="shared" si="28"/>
        <v>0.18321979028290827</v>
      </c>
      <c r="Z187" s="9">
        <f t="shared" si="29"/>
        <v>0.93</v>
      </c>
      <c r="AA187" s="9">
        <f t="shared" si="30"/>
        <v>0.86078258917895323</v>
      </c>
      <c r="AB187" s="9">
        <f t="shared" si="31"/>
        <v>0.18321979028290825</v>
      </c>
      <c r="AC187" s="9">
        <f t="shared" si="32"/>
        <v>0.96101271533929067</v>
      </c>
    </row>
    <row r="188" spans="1:29" x14ac:dyDescent="0.35">
      <c r="A188" s="7">
        <v>185</v>
      </c>
      <c r="B188" s="8" t="s">
        <v>15</v>
      </c>
      <c r="C188" s="7" t="s">
        <v>14</v>
      </c>
      <c r="D188" s="7" t="s">
        <v>19</v>
      </c>
      <c r="E188">
        <v>11905.186684404915</v>
      </c>
      <c r="F188">
        <v>2.1584858107661722</v>
      </c>
      <c r="G188">
        <v>0.19573815804700934</v>
      </c>
      <c r="H188">
        <v>0.19611804489572895</v>
      </c>
      <c r="I188" t="s">
        <v>30</v>
      </c>
      <c r="J188" t="e">
        <f t="shared" si="22"/>
        <v>#VALUE!</v>
      </c>
      <c r="K188" t="e">
        <f t="shared" si="23"/>
        <v>#VALUE!</v>
      </c>
      <c r="L188" t="e">
        <f t="shared" si="24"/>
        <v>#VALUE!</v>
      </c>
      <c r="M188">
        <v>7.1428571428571432</v>
      </c>
      <c r="N188">
        <v>0.19742146043098768</v>
      </c>
      <c r="O188">
        <v>250</v>
      </c>
      <c r="P188">
        <v>250</v>
      </c>
      <c r="Q188">
        <v>35</v>
      </c>
      <c r="R188">
        <f t="shared" si="25"/>
        <v>5.1020408163265307E-2</v>
      </c>
      <c r="T188" t="s">
        <v>41</v>
      </c>
      <c r="W188" s="13">
        <f t="shared" si="26"/>
        <v>1.1811603428060555</v>
      </c>
      <c r="X188" s="9">
        <f t="shared" si="27"/>
        <v>0.188</v>
      </c>
      <c r="Y188" s="13">
        <f t="shared" si="28"/>
        <v>0.19371029453274444</v>
      </c>
      <c r="Z188" s="9">
        <f t="shared" si="29"/>
        <v>0.93</v>
      </c>
      <c r="AA188" s="9">
        <f t="shared" si="30"/>
        <v>0.84662510563495808</v>
      </c>
      <c r="AB188" s="9">
        <f t="shared" si="31"/>
        <v>0.19371029453274444</v>
      </c>
      <c r="AC188" s="9">
        <f t="shared" si="32"/>
        <v>0.98963991725222078</v>
      </c>
    </row>
    <row r="189" spans="1:29" x14ac:dyDescent="0.35">
      <c r="A189" s="7">
        <v>186</v>
      </c>
      <c r="B189" s="8" t="s">
        <v>11</v>
      </c>
      <c r="C189" s="7" t="s">
        <v>22</v>
      </c>
      <c r="D189" s="7" t="s">
        <v>19</v>
      </c>
      <c r="E189">
        <v>2505.4749353036505</v>
      </c>
      <c r="F189">
        <v>2.1556995393132743</v>
      </c>
      <c r="G189">
        <v>0.20374827857423972</v>
      </c>
      <c r="H189">
        <v>0.20480613464527628</v>
      </c>
      <c r="I189">
        <v>1.2011592706942333</v>
      </c>
      <c r="J189">
        <f t="shared" si="22"/>
        <v>0.82822891696699863</v>
      </c>
      <c r="K189">
        <f t="shared" si="23"/>
        <v>0.83252906121436387</v>
      </c>
      <c r="L189">
        <f t="shared" si="24"/>
        <v>0.99483484187195481</v>
      </c>
      <c r="M189">
        <v>21.333333333333336</v>
      </c>
      <c r="N189">
        <v>0.27003045590067681</v>
      </c>
      <c r="O189">
        <v>101.6</v>
      </c>
      <c r="P189">
        <v>50.8</v>
      </c>
      <c r="Q189">
        <v>9.5249999999999986</v>
      </c>
      <c r="R189">
        <f t="shared" si="25"/>
        <v>5.6888888888888899E-2</v>
      </c>
      <c r="T189" t="s">
        <v>41</v>
      </c>
      <c r="W189" s="13">
        <f t="shared" si="26"/>
        <v>1.1484862948446954</v>
      </c>
      <c r="X189" s="9">
        <f t="shared" si="27"/>
        <v>0.188</v>
      </c>
      <c r="Y189" s="13">
        <f t="shared" si="28"/>
        <v>0.19417594330956869</v>
      </c>
      <c r="Z189" s="9">
        <f t="shared" si="29"/>
        <v>0.93</v>
      </c>
      <c r="AA189" s="9">
        <f t="shared" si="30"/>
        <v>0.87071130451341205</v>
      </c>
      <c r="AB189" s="9">
        <f t="shared" si="31"/>
        <v>0.19417594330956869</v>
      </c>
      <c r="AC189" s="9">
        <f t="shared" si="32"/>
        <v>0.95301881649427944</v>
      </c>
    </row>
    <row r="190" spans="1:29" x14ac:dyDescent="0.35">
      <c r="A190" s="7">
        <v>187</v>
      </c>
      <c r="B190" s="8" t="s">
        <v>8</v>
      </c>
      <c r="C190" s="7" t="s">
        <v>9</v>
      </c>
      <c r="D190" s="7" t="s">
        <v>19</v>
      </c>
      <c r="E190">
        <v>5163.1559062869628</v>
      </c>
      <c r="F190">
        <v>2.1391499085928443</v>
      </c>
      <c r="G190">
        <v>0.20742352059654595</v>
      </c>
      <c r="H190">
        <v>0.208047416564307</v>
      </c>
      <c r="I190">
        <v>1.1844528597647972</v>
      </c>
      <c r="J190">
        <f t="shared" si="22"/>
        <v>0.84173985951274566</v>
      </c>
      <c r="K190">
        <f t="shared" si="23"/>
        <v>0.84427167510792711</v>
      </c>
      <c r="L190">
        <f t="shared" si="24"/>
        <v>0.99700118377789027</v>
      </c>
      <c r="M190">
        <v>17.999999999999996</v>
      </c>
      <c r="N190">
        <v>0.28797465749298701</v>
      </c>
      <c r="O190">
        <v>152.39999999999998</v>
      </c>
      <c r="P190">
        <v>101.6</v>
      </c>
      <c r="Q190">
        <v>12.7</v>
      </c>
      <c r="R190">
        <f t="shared" si="25"/>
        <v>9.5999999999999988E-2</v>
      </c>
      <c r="T190" t="s">
        <v>41</v>
      </c>
      <c r="W190" s="13">
        <f t="shared" si="26"/>
        <v>1.1404114041281559</v>
      </c>
      <c r="X190" s="9">
        <f t="shared" si="27"/>
        <v>0.188</v>
      </c>
      <c r="Y190" s="13">
        <f t="shared" si="28"/>
        <v>0.19697566328851374</v>
      </c>
      <c r="Z190" s="9">
        <f t="shared" si="29"/>
        <v>0.93</v>
      </c>
      <c r="AA190" s="9">
        <f t="shared" si="30"/>
        <v>0.87687653453842795</v>
      </c>
      <c r="AB190" s="9">
        <f t="shared" si="31"/>
        <v>0.19697566328851374</v>
      </c>
      <c r="AC190" s="9">
        <f t="shared" si="32"/>
        <v>0.94963031541464349</v>
      </c>
    </row>
    <row r="191" spans="1:29" x14ac:dyDescent="0.35">
      <c r="A191" s="7">
        <v>188</v>
      </c>
      <c r="B191" s="8" t="s">
        <v>16</v>
      </c>
      <c r="C191" s="7" t="s">
        <v>14</v>
      </c>
      <c r="D191" s="7" t="s">
        <v>19</v>
      </c>
      <c r="E191">
        <v>12617.743833246082</v>
      </c>
      <c r="F191">
        <v>2.1284069408066935</v>
      </c>
      <c r="G191">
        <v>0.2010163118772782</v>
      </c>
      <c r="H191">
        <v>0.2013533858549082</v>
      </c>
      <c r="I191">
        <v>1.1315939820986478</v>
      </c>
      <c r="J191">
        <f t="shared" si="22"/>
        <v>0.88222982273429285</v>
      </c>
      <c r="K191">
        <f t="shared" si="23"/>
        <v>0.88370918882531135</v>
      </c>
      <c r="L191">
        <f t="shared" si="24"/>
        <v>0.99832595823408266</v>
      </c>
      <c r="M191">
        <v>12.5</v>
      </c>
      <c r="N191">
        <v>0.3273580078539739</v>
      </c>
      <c r="O191">
        <v>250</v>
      </c>
      <c r="P191">
        <v>250</v>
      </c>
      <c r="Q191">
        <v>20</v>
      </c>
      <c r="R191">
        <f t="shared" si="25"/>
        <v>0.15625</v>
      </c>
      <c r="T191" t="s">
        <v>41</v>
      </c>
      <c r="W191" s="13">
        <f t="shared" si="26"/>
        <v>1.1226888964657118</v>
      </c>
      <c r="X191" s="9">
        <f t="shared" si="27"/>
        <v>0.188</v>
      </c>
      <c r="Y191" s="13">
        <f t="shared" si="28"/>
        <v>0.19882463027474959</v>
      </c>
      <c r="Z191" s="9">
        <f t="shared" si="29"/>
        <v>0.93</v>
      </c>
      <c r="AA191" s="9">
        <f t="shared" si="30"/>
        <v>0.89071870501975803</v>
      </c>
      <c r="AB191" s="9">
        <f t="shared" si="31"/>
        <v>0.19882463027474959</v>
      </c>
      <c r="AC191" s="9">
        <f t="shared" si="32"/>
        <v>0.98909699624841074</v>
      </c>
    </row>
    <row r="192" spans="1:29" x14ac:dyDescent="0.35">
      <c r="A192" s="7">
        <v>189</v>
      </c>
      <c r="B192" s="8" t="s">
        <v>10</v>
      </c>
      <c r="C192" s="7" t="s">
        <v>22</v>
      </c>
      <c r="D192" s="7" t="s">
        <v>19</v>
      </c>
      <c r="E192">
        <v>1963.210264231642</v>
      </c>
      <c r="F192">
        <v>2.1412153718829314</v>
      </c>
      <c r="G192">
        <v>0.20635124915773148</v>
      </c>
      <c r="H192">
        <v>0.20767815012272428</v>
      </c>
      <c r="I192">
        <v>1.0691692166713029</v>
      </c>
      <c r="J192">
        <f t="shared" si="22"/>
        <v>0.92932976983896232</v>
      </c>
      <c r="K192">
        <f t="shared" si="23"/>
        <v>0.93530564143377526</v>
      </c>
      <c r="L192">
        <f t="shared" si="24"/>
        <v>0.99361078204804554</v>
      </c>
      <c r="M192">
        <v>42.666666666666671</v>
      </c>
      <c r="N192">
        <v>0.3640469734360513</v>
      </c>
      <c r="O192">
        <v>101.6</v>
      </c>
      <c r="P192">
        <v>38.099999999999994</v>
      </c>
      <c r="Q192">
        <v>6.35</v>
      </c>
      <c r="R192">
        <f t="shared" si="25"/>
        <v>9.5999999999999988E-2</v>
      </c>
      <c r="T192" t="s">
        <v>41</v>
      </c>
      <c r="W192" s="13">
        <f t="shared" si="26"/>
        <v>1.1061788619537769</v>
      </c>
      <c r="X192" s="9">
        <f t="shared" si="27"/>
        <v>0.188</v>
      </c>
      <c r="Y192" s="13">
        <f t="shared" si="28"/>
        <v>0.19662304763715832</v>
      </c>
      <c r="Z192" s="9">
        <f t="shared" si="29"/>
        <v>0.93</v>
      </c>
      <c r="AA192" s="9">
        <f t="shared" si="30"/>
        <v>0.90401293533467131</v>
      </c>
      <c r="AB192" s="9">
        <f t="shared" si="31"/>
        <v>0.19662304763715832</v>
      </c>
      <c r="AC192" s="9">
        <f t="shared" si="32"/>
        <v>0.95285610549836275</v>
      </c>
    </row>
    <row r="193" spans="1:29" x14ac:dyDescent="0.35">
      <c r="A193" s="7">
        <v>190</v>
      </c>
      <c r="B193" s="8" t="s">
        <v>18</v>
      </c>
      <c r="C193" s="7" t="s">
        <v>14</v>
      </c>
      <c r="D193" s="7" t="s">
        <v>19</v>
      </c>
      <c r="E193">
        <v>7670.986432767736</v>
      </c>
      <c r="F193">
        <v>2.1232520070839529</v>
      </c>
      <c r="G193">
        <v>0.20188201478331638</v>
      </c>
      <c r="H193">
        <v>0.20191100222425104</v>
      </c>
      <c r="I193">
        <v>1.0849825280559102</v>
      </c>
      <c r="J193">
        <f t="shared" si="22"/>
        <v>0.92154150754502695</v>
      </c>
      <c r="K193">
        <f t="shared" si="23"/>
        <v>0.92167382804939424</v>
      </c>
      <c r="L193">
        <f t="shared" si="24"/>
        <v>0.99985643456465789</v>
      </c>
      <c r="M193">
        <v>15</v>
      </c>
      <c r="N193">
        <v>0.39023080654552345</v>
      </c>
      <c r="O193">
        <v>150</v>
      </c>
      <c r="P193">
        <v>150</v>
      </c>
      <c r="Q193">
        <v>10</v>
      </c>
      <c r="R193">
        <f t="shared" si="25"/>
        <v>0.22500000000000001</v>
      </c>
      <c r="T193" t="s">
        <v>41</v>
      </c>
      <c r="W193" s="13">
        <f t="shared" si="26"/>
        <v>1.0943961370545146</v>
      </c>
      <c r="X193" s="9">
        <f t="shared" si="27"/>
        <v>0.188</v>
      </c>
      <c r="Y193" s="13">
        <f t="shared" si="28"/>
        <v>0.19972082055839374</v>
      </c>
      <c r="Z193" s="9">
        <f t="shared" si="29"/>
        <v>0.93</v>
      </c>
      <c r="AA193" s="9">
        <f t="shared" si="30"/>
        <v>0.91374591534234151</v>
      </c>
      <c r="AB193" s="9">
        <f t="shared" si="31"/>
        <v>0.19972082055839374</v>
      </c>
      <c r="AC193" s="9">
        <f t="shared" si="32"/>
        <v>0.9892947659193797</v>
      </c>
    </row>
    <row r="194" spans="1:29" x14ac:dyDescent="0.35">
      <c r="A194" s="7">
        <v>191</v>
      </c>
      <c r="B194" s="8" t="s">
        <v>25</v>
      </c>
      <c r="C194" s="7" t="s">
        <v>23</v>
      </c>
      <c r="D194" s="7" t="s">
        <v>19</v>
      </c>
      <c r="E194">
        <v>5307.5202581786834</v>
      </c>
      <c r="F194">
        <v>2.1279919669592062</v>
      </c>
      <c r="G194">
        <v>0.20956158720315682</v>
      </c>
      <c r="H194">
        <v>0.2103699592467807</v>
      </c>
      <c r="I194">
        <v>1.0522137206106303</v>
      </c>
      <c r="J194">
        <f t="shared" si="22"/>
        <v>0.94672532717466995</v>
      </c>
      <c r="K194">
        <f t="shared" si="23"/>
        <v>0.9503772669108238</v>
      </c>
      <c r="L194">
        <f t="shared" si="24"/>
        <v>0.99615737890277578</v>
      </c>
      <c r="M194">
        <v>32.4</v>
      </c>
      <c r="N194">
        <v>0.41633655043423501</v>
      </c>
      <c r="O194">
        <v>180</v>
      </c>
      <c r="P194">
        <v>100</v>
      </c>
      <c r="Q194">
        <v>10</v>
      </c>
      <c r="R194">
        <f t="shared" si="25"/>
        <v>0.18</v>
      </c>
      <c r="T194" t="s">
        <v>41</v>
      </c>
      <c r="W194" s="13">
        <f t="shared" si="26"/>
        <v>1.0826485523045943</v>
      </c>
      <c r="X194" s="9">
        <f t="shared" si="27"/>
        <v>0.188</v>
      </c>
      <c r="Y194" s="13">
        <f t="shared" si="28"/>
        <v>0.19889655713650636</v>
      </c>
      <c r="Z194" s="9">
        <f t="shared" si="29"/>
        <v>0.93</v>
      </c>
      <c r="AA194" s="9">
        <f t="shared" si="30"/>
        <v>0.92366077419245296</v>
      </c>
      <c r="AB194" s="9">
        <f t="shared" si="31"/>
        <v>0.19889655713650636</v>
      </c>
      <c r="AC194" s="9">
        <f t="shared" si="32"/>
        <v>0.94910789611308211</v>
      </c>
    </row>
    <row r="195" spans="1:29" x14ac:dyDescent="0.35">
      <c r="A195" s="7">
        <v>192</v>
      </c>
      <c r="B195" s="8" t="s">
        <v>7</v>
      </c>
      <c r="C195" s="7" t="s">
        <v>9</v>
      </c>
      <c r="D195" s="7" t="s">
        <v>19</v>
      </c>
      <c r="E195">
        <v>4158.8599289270633</v>
      </c>
      <c r="F195">
        <v>2.1189143683357874</v>
      </c>
      <c r="G195">
        <v>0.21080538066725185</v>
      </c>
      <c r="H195">
        <v>0.21177800614344366</v>
      </c>
      <c r="I195">
        <v>0.96654599499694582</v>
      </c>
      <c r="J195">
        <f t="shared" si="22"/>
        <v>1.0298602859723442</v>
      </c>
      <c r="K195">
        <f t="shared" si="23"/>
        <v>1.0346119120830457</v>
      </c>
      <c r="L195">
        <f t="shared" si="24"/>
        <v>0.99540733481297861</v>
      </c>
      <c r="M195">
        <v>44.326241134751783</v>
      </c>
      <c r="N195">
        <v>0.61372494072314776</v>
      </c>
      <c r="O195">
        <v>127</v>
      </c>
      <c r="P195">
        <v>76.199999999999989</v>
      </c>
      <c r="Q195">
        <v>4.7751999999999999</v>
      </c>
      <c r="R195">
        <f t="shared" si="25"/>
        <v>0.42440018107741062</v>
      </c>
      <c r="T195" t="s">
        <v>41</v>
      </c>
      <c r="W195" s="13">
        <f t="shared" si="26"/>
        <v>0.99257404412421779</v>
      </c>
      <c r="X195" s="9">
        <f t="shared" si="27"/>
        <v>0.188</v>
      </c>
      <c r="Y195" s="13">
        <f t="shared" si="28"/>
        <v>0.20047948273541116</v>
      </c>
      <c r="Z195" s="9">
        <f t="shared" si="29"/>
        <v>0.93</v>
      </c>
      <c r="AA195" s="9">
        <f t="shared" si="30"/>
        <v>1.0074815132631585</v>
      </c>
      <c r="AB195" s="9">
        <f t="shared" si="31"/>
        <v>0.20047948273541116</v>
      </c>
      <c r="AC195" s="9">
        <f t="shared" si="32"/>
        <v>0.95101691475257111</v>
      </c>
    </row>
    <row r="196" spans="1:29" x14ac:dyDescent="0.35">
      <c r="A196" s="7">
        <v>193</v>
      </c>
      <c r="B196" s="8" t="s">
        <v>3</v>
      </c>
      <c r="C196" s="7" t="s">
        <v>9</v>
      </c>
      <c r="D196" s="7" t="s">
        <v>19</v>
      </c>
      <c r="E196">
        <v>8072.4341407961329</v>
      </c>
      <c r="F196">
        <v>2.1120551323612573</v>
      </c>
      <c r="G196">
        <v>0.20283733426059836</v>
      </c>
      <c r="H196">
        <v>0.20227404475887892</v>
      </c>
      <c r="I196">
        <v>0.87933356865618517</v>
      </c>
      <c r="J196">
        <f t="shared" si="22"/>
        <v>1.1403917917349562</v>
      </c>
      <c r="K196">
        <f t="shared" si="23"/>
        <v>1.1372248662452631</v>
      </c>
      <c r="L196">
        <f t="shared" si="24"/>
        <v>1.0027847838925201</v>
      </c>
      <c r="M196">
        <v>31.914893617021278</v>
      </c>
      <c r="N196">
        <v>0.82298860920708738</v>
      </c>
      <c r="O196">
        <v>152.39999999999998</v>
      </c>
      <c r="P196">
        <v>152.39999999999998</v>
      </c>
      <c r="Q196">
        <v>4.7751999999999999</v>
      </c>
      <c r="R196">
        <f t="shared" si="25"/>
        <v>1.0185604345857853</v>
      </c>
      <c r="T196" t="s">
        <v>41</v>
      </c>
      <c r="W196" s="13">
        <f t="shared" si="26"/>
        <v>0.86939358857435056</v>
      </c>
      <c r="X196" s="9">
        <f t="shared" si="27"/>
        <v>0.188</v>
      </c>
      <c r="Y196" s="13">
        <f t="shared" si="28"/>
        <v>0.20168775688387969</v>
      </c>
      <c r="Z196" s="9">
        <f t="shared" si="29"/>
        <v>0.97</v>
      </c>
      <c r="AA196" s="9">
        <f t="shared" si="30"/>
        <v>1.150227023918845</v>
      </c>
      <c r="AB196" s="9">
        <f t="shared" si="31"/>
        <v>0.20168775688387969</v>
      </c>
      <c r="AC196" s="9">
        <f t="shared" si="32"/>
        <v>0.99433251585114146</v>
      </c>
    </row>
    <row r="197" spans="1:29" x14ac:dyDescent="0.35">
      <c r="A197" s="7">
        <v>194</v>
      </c>
      <c r="B197" s="8" t="s">
        <v>13</v>
      </c>
      <c r="C197" s="7" t="s">
        <v>23</v>
      </c>
      <c r="D197" s="7" t="s">
        <v>19</v>
      </c>
      <c r="E197">
        <v>2923.2971494542103</v>
      </c>
      <c r="F197">
        <v>2.1197932764410994</v>
      </c>
      <c r="G197">
        <v>0.19975493985255616</v>
      </c>
      <c r="H197">
        <v>0.21216918228098908</v>
      </c>
      <c r="I197">
        <v>0.73799305846603513</v>
      </c>
      <c r="J197">
        <f t="shared" ref="J197:J260" si="33">G197/(H197*I197)</f>
        <v>1.2757422789415285</v>
      </c>
      <c r="K197">
        <f t="shared" ref="K197:K260" si="34">1/I197</f>
        <v>1.3550262953401795</v>
      </c>
      <c r="L197">
        <f t="shared" ref="L197:L260" si="35">J197/K197</f>
        <v>0.94148894625048829</v>
      </c>
      <c r="M197">
        <v>143.99999999999997</v>
      </c>
      <c r="N197">
        <v>1.0508388729733691</v>
      </c>
      <c r="O197">
        <v>152.39999999999998</v>
      </c>
      <c r="P197">
        <v>50.8</v>
      </c>
      <c r="Q197">
        <v>3.1749999999999998</v>
      </c>
      <c r="R197">
        <f t="shared" ref="R197:R260" si="36">(O197/Q197)*(P197/Q197)*(0.001)</f>
        <v>0.7679999999999999</v>
      </c>
      <c r="T197" t="s">
        <v>41</v>
      </c>
      <c r="W197" s="13">
        <f t="shared" ref="W197:W260" si="37">IF(OR($D197="",$F197="",$G197="",$N197="",$R197=""),"",
IF($N197&lt;=0.6,
 IF(TRIM($D197)="6061-T6",-0.17*$N197+1.102,
  IF(TRIM($D197)="6063-T6",-0.45*$N197+1.27,
   IF(TRIM($D197)="6082-T6",-0.5*$N197+1.3,""))),
 _xlfn.LET(_xlpm.alphaL,0.12+0.027*$R197,
     _xlpm.phiL,0.5*(1+_xlpm.alphaL*($N197-0.6)+$N197^0.55),
     MIN(1,1/(_xlpm.phiL+SQRT(MAX(0,_xlpm.phiL^2-$N197^0.55)))))
))</f>
        <v>0.7683290158341336</v>
      </c>
      <c r="X197" s="9">
        <f t="shared" ref="X197:X260" si="38">IF(OR($D197="",$F197="",$G197="",$N197="",$R197=""),"",
IF(TRIM($D197)="6061-T6",0.111,
 IF(TRIM($D197)="6063-T6",0.188,
  IF(TRIM($D197)="6082-T6",0.126,""))))</f>
        <v>0.188</v>
      </c>
      <c r="Y197" s="13">
        <f t="shared" ref="Y197:Y260" si="39">IF(OR($D197="",$F197="",$G197="",$N197="",$R197="",$X197=""),"",
_xlfn.LET(_xlpm.alphaG,$X197,
    _xlpm.phiG,0.5*(1+_xlpm.alphaG*$F197+$F197^2),
    MIN(1,1/(_xlpm.phiG+SQRT(MAX(0,_xlpm.phiG^2-$F197^2)))))
)</f>
        <v>0.20032542168176282</v>
      </c>
      <c r="Z197" s="9">
        <f t="shared" ref="Z197:Z260" si="40">IF(OR($D197="",$F197="",$G197="",$N197="",$R197="",$W197=""),"",
IF($W197&lt;=0.7,1,
 IF($W197&lt;=0.95,0.97,0.93)))</f>
        <v>0.97</v>
      </c>
      <c r="AA197" s="9">
        <f t="shared" ref="AA197:AA260" si="41">IF(OR($D197="",$F197="",$G197="",$N197="",$R197="",$W197="",$Z197=""),"",
IF($F197&lt;=0.6,$Z197,
 IF($F197&lt;=1.6/$W197,
   ((1/$W197-$Z197)/((1.6/$W197)-0.6))*($F197-0.6)+$Z197,
   1/$W197)))</f>
        <v>1.3015257518477987</v>
      </c>
      <c r="AB197" s="9">
        <f t="shared" ref="AB197:AB260" si="42">IF(OR($W197="",$Y197="",$AA197=""),"",$W197*$Y197*$AA197)</f>
        <v>0.20032542168176282</v>
      </c>
      <c r="AC197" s="9">
        <f t="shared" ref="AC197:AC260" si="43">IF(OR($AB197="",$G197=""),"",IFERROR($AB197/$G197,""))</f>
        <v>1.002855908492815</v>
      </c>
    </row>
    <row r="198" spans="1:29" x14ac:dyDescent="0.35">
      <c r="A198" s="7">
        <v>195</v>
      </c>
      <c r="B198" s="8" t="s">
        <v>12</v>
      </c>
      <c r="C198" s="7" t="s">
        <v>22</v>
      </c>
      <c r="D198" s="7" t="s">
        <v>19</v>
      </c>
      <c r="E198">
        <v>2595.5807697885643</v>
      </c>
      <c r="F198">
        <v>2.120806870956641</v>
      </c>
      <c r="G198">
        <v>0.18578740817992093</v>
      </c>
      <c r="H198">
        <v>0.21173594854455069</v>
      </c>
      <c r="I198">
        <v>0.65172544217244144</v>
      </c>
      <c r="J198">
        <f t="shared" si="33"/>
        <v>1.3463469844413318</v>
      </c>
      <c r="K198">
        <f t="shared" si="34"/>
        <v>1.5343884637472966</v>
      </c>
      <c r="L198">
        <f t="shared" si="35"/>
        <v>0.87744858375256007</v>
      </c>
      <c r="M198">
        <v>205.71428571428569</v>
      </c>
      <c r="N198">
        <v>1.2988820212575451</v>
      </c>
      <c r="O198">
        <v>152.39999999999998</v>
      </c>
      <c r="P198">
        <v>44.449999999999996</v>
      </c>
      <c r="Q198">
        <v>2.54</v>
      </c>
      <c r="R198">
        <f t="shared" si="36"/>
        <v>1.0499999999999998</v>
      </c>
      <c r="T198" t="s">
        <v>41</v>
      </c>
      <c r="W198" s="13">
        <f t="shared" si="37"/>
        <v>0.67745103897541759</v>
      </c>
      <c r="X198" s="9">
        <f t="shared" si="38"/>
        <v>0.188</v>
      </c>
      <c r="Y198" s="13">
        <f t="shared" si="39"/>
        <v>0.20014796553871148</v>
      </c>
      <c r="Z198" s="9">
        <f t="shared" si="40"/>
        <v>1</v>
      </c>
      <c r="AA198" s="9">
        <f t="shared" si="41"/>
        <v>1.4109950586532123</v>
      </c>
      <c r="AB198" s="9">
        <f t="shared" si="42"/>
        <v>0.19131745100403508</v>
      </c>
      <c r="AC198" s="9">
        <f t="shared" si="43"/>
        <v>1.0297654339348914</v>
      </c>
    </row>
    <row r="199" spans="1:29" x14ac:dyDescent="0.35">
      <c r="A199" s="7">
        <v>196</v>
      </c>
      <c r="B199" s="8" t="s">
        <v>17</v>
      </c>
      <c r="C199" s="7" t="s">
        <v>14</v>
      </c>
      <c r="D199" s="7" t="s">
        <v>19</v>
      </c>
      <c r="E199">
        <v>14621.78278002813</v>
      </c>
      <c r="F199">
        <v>2.6038500893656984</v>
      </c>
      <c r="G199">
        <v>0.13777577909220232</v>
      </c>
      <c r="H199">
        <v>0.13832288350436869</v>
      </c>
      <c r="I199">
        <v>0.99502359502359483</v>
      </c>
      <c r="J199">
        <f t="shared" si="33"/>
        <v>1.0010262415308351</v>
      </c>
      <c r="K199">
        <f t="shared" si="34"/>
        <v>1.0050012934379582</v>
      </c>
      <c r="L199">
        <f t="shared" si="35"/>
        <v>0.99604472956096901</v>
      </c>
      <c r="M199">
        <v>3.75</v>
      </c>
      <c r="N199">
        <v>0.18750130519071448</v>
      </c>
      <c r="O199">
        <v>300</v>
      </c>
      <c r="P199">
        <v>300</v>
      </c>
      <c r="Q199">
        <v>80</v>
      </c>
      <c r="R199">
        <f t="shared" si="36"/>
        <v>1.40625E-2</v>
      </c>
      <c r="T199" t="s">
        <v>41</v>
      </c>
      <c r="W199" s="13">
        <f t="shared" si="37"/>
        <v>1.1856244126641786</v>
      </c>
      <c r="X199" s="9">
        <f t="shared" si="38"/>
        <v>0.188</v>
      </c>
      <c r="Y199" s="13">
        <f t="shared" si="39"/>
        <v>0.1361157260969135</v>
      </c>
      <c r="Z199" s="9">
        <f t="shared" si="40"/>
        <v>0.93</v>
      </c>
      <c r="AA199" s="9">
        <f t="shared" si="41"/>
        <v>0.84343742362130691</v>
      </c>
      <c r="AB199" s="9">
        <f t="shared" si="42"/>
        <v>0.1361157260969135</v>
      </c>
      <c r="AC199" s="9">
        <f t="shared" si="43"/>
        <v>0.98795105347088708</v>
      </c>
    </row>
    <row r="200" spans="1:29" x14ac:dyDescent="0.35">
      <c r="A200" s="7">
        <v>197</v>
      </c>
      <c r="B200" s="8" t="s">
        <v>24</v>
      </c>
      <c r="C200" s="7" t="s">
        <v>23</v>
      </c>
      <c r="D200" s="7" t="s">
        <v>19</v>
      </c>
      <c r="E200">
        <v>7648.484681362127</v>
      </c>
      <c r="F200">
        <v>2.5401744659882151</v>
      </c>
      <c r="G200">
        <v>0.14844823717681116</v>
      </c>
      <c r="H200">
        <v>0.14968224557507298</v>
      </c>
      <c r="I200">
        <v>1.1819690003318009</v>
      </c>
      <c r="J200">
        <f t="shared" si="33"/>
        <v>0.83907091716241322</v>
      </c>
      <c r="K200">
        <f t="shared" si="34"/>
        <v>0.84604587744626236</v>
      </c>
      <c r="L200">
        <f t="shared" si="35"/>
        <v>0.99175581316594486</v>
      </c>
      <c r="M200">
        <v>9.9206349206349209</v>
      </c>
      <c r="N200">
        <v>0.24059214494352027</v>
      </c>
      <c r="O200">
        <v>250</v>
      </c>
      <c r="P200">
        <v>150</v>
      </c>
      <c r="Q200">
        <v>42</v>
      </c>
      <c r="R200">
        <f t="shared" si="36"/>
        <v>2.1258503401360547E-2</v>
      </c>
      <c r="T200" t="s">
        <v>41</v>
      </c>
      <c r="W200" s="13">
        <f t="shared" si="37"/>
        <v>1.1617335347754159</v>
      </c>
      <c r="X200" s="9">
        <f t="shared" si="38"/>
        <v>0.188</v>
      </c>
      <c r="Y200" s="13">
        <f t="shared" si="39"/>
        <v>0.14266341901797344</v>
      </c>
      <c r="Z200" s="9">
        <f t="shared" si="40"/>
        <v>0.93</v>
      </c>
      <c r="AA200" s="9">
        <f t="shared" si="41"/>
        <v>0.86078258917895323</v>
      </c>
      <c r="AB200" s="9">
        <f t="shared" si="42"/>
        <v>0.14266341901797344</v>
      </c>
      <c r="AC200" s="9">
        <f t="shared" si="43"/>
        <v>0.96103141223598609</v>
      </c>
    </row>
    <row r="201" spans="1:29" x14ac:dyDescent="0.35">
      <c r="A201" s="7">
        <v>198</v>
      </c>
      <c r="B201" s="8" t="s">
        <v>15</v>
      </c>
      <c r="C201" s="7" t="s">
        <v>14</v>
      </c>
      <c r="D201" s="7" t="s">
        <v>19</v>
      </c>
      <c r="E201">
        <v>13605.927639319902</v>
      </c>
      <c r="F201">
        <v>2.4658892270949599</v>
      </c>
      <c r="G201">
        <v>0.15283935763413145</v>
      </c>
      <c r="H201">
        <v>0.15322699997160799</v>
      </c>
      <c r="I201" t="s">
        <v>30</v>
      </c>
      <c r="J201" t="e">
        <f t="shared" si="33"/>
        <v>#VALUE!</v>
      </c>
      <c r="K201" t="e">
        <f t="shared" si="34"/>
        <v>#VALUE!</v>
      </c>
      <c r="L201" t="e">
        <f t="shared" si="35"/>
        <v>#VALUE!</v>
      </c>
      <c r="M201">
        <v>7.1428571428571432</v>
      </c>
      <c r="N201">
        <v>0.19742146043098768</v>
      </c>
      <c r="O201">
        <v>250</v>
      </c>
      <c r="P201">
        <v>250</v>
      </c>
      <c r="Q201">
        <v>35</v>
      </c>
      <c r="R201">
        <f t="shared" si="36"/>
        <v>5.1020408163265307E-2</v>
      </c>
      <c r="T201" t="s">
        <v>41</v>
      </c>
      <c r="W201" s="13">
        <f t="shared" si="37"/>
        <v>1.1811603428060555</v>
      </c>
      <c r="X201" s="9">
        <f t="shared" si="38"/>
        <v>0.188</v>
      </c>
      <c r="Y201" s="13">
        <f t="shared" si="39"/>
        <v>0.15090719952965195</v>
      </c>
      <c r="Z201" s="9">
        <f t="shared" si="40"/>
        <v>0.93</v>
      </c>
      <c r="AA201" s="9">
        <f t="shared" si="41"/>
        <v>0.84662510563495808</v>
      </c>
      <c r="AB201" s="9">
        <f t="shared" si="42"/>
        <v>0.15090719952965195</v>
      </c>
      <c r="AC201" s="9">
        <f t="shared" si="43"/>
        <v>0.98735824244233794</v>
      </c>
    </row>
    <row r="202" spans="1:29" x14ac:dyDescent="0.35">
      <c r="A202" s="7">
        <v>199</v>
      </c>
      <c r="B202" s="8" t="s">
        <v>11</v>
      </c>
      <c r="C202" s="7" t="s">
        <v>22</v>
      </c>
      <c r="D202" s="7" t="s">
        <v>19</v>
      </c>
      <c r="E202">
        <v>2863.3999260613145</v>
      </c>
      <c r="F202">
        <v>2.4619191683519537</v>
      </c>
      <c r="G202">
        <v>0.15846152009940029</v>
      </c>
      <c r="H202">
        <v>0.15942938769635639</v>
      </c>
      <c r="I202">
        <v>1.2011592706942333</v>
      </c>
      <c r="J202">
        <f t="shared" si="33"/>
        <v>0.82747492462438754</v>
      </c>
      <c r="K202">
        <f t="shared" si="34"/>
        <v>0.83252906121436387</v>
      </c>
      <c r="L202">
        <f t="shared" si="35"/>
        <v>0.99392917697959504</v>
      </c>
      <c r="M202">
        <v>21.333333333333336</v>
      </c>
      <c r="N202">
        <v>0.27003045590067681</v>
      </c>
      <c r="O202">
        <v>101.6</v>
      </c>
      <c r="P202">
        <v>50.8</v>
      </c>
      <c r="Q202">
        <v>9.5249999999999986</v>
      </c>
      <c r="R202">
        <f t="shared" si="36"/>
        <v>5.6888888888888899E-2</v>
      </c>
      <c r="T202" t="s">
        <v>41</v>
      </c>
      <c r="W202" s="13">
        <f t="shared" si="37"/>
        <v>1.1484862948446954</v>
      </c>
      <c r="X202" s="9">
        <f t="shared" si="38"/>
        <v>0.188</v>
      </c>
      <c r="Y202" s="13">
        <f t="shared" si="39"/>
        <v>0.15136740841248955</v>
      </c>
      <c r="Z202" s="9">
        <f t="shared" si="40"/>
        <v>0.93</v>
      </c>
      <c r="AA202" s="9">
        <f t="shared" si="41"/>
        <v>0.87071130451341205</v>
      </c>
      <c r="AB202" s="9">
        <f t="shared" si="42"/>
        <v>0.15136740841248955</v>
      </c>
      <c r="AC202" s="9">
        <f t="shared" si="43"/>
        <v>0.95523132882695616</v>
      </c>
    </row>
    <row r="203" spans="1:29" x14ac:dyDescent="0.35">
      <c r="A203" s="7">
        <v>200</v>
      </c>
      <c r="B203" s="8" t="s">
        <v>8</v>
      </c>
      <c r="C203" s="7" t="s">
        <v>9</v>
      </c>
      <c r="D203" s="7" t="s">
        <v>19</v>
      </c>
      <c r="E203">
        <v>5900.7496071851001</v>
      </c>
      <c r="F203">
        <v>2.4434366377599566</v>
      </c>
      <c r="G203">
        <v>0.1613304570287927</v>
      </c>
      <c r="H203">
        <v>0.16189824475098308</v>
      </c>
      <c r="I203">
        <v>1.1844528597647972</v>
      </c>
      <c r="J203">
        <f t="shared" si="33"/>
        <v>0.84131075918165066</v>
      </c>
      <c r="K203">
        <f t="shared" si="34"/>
        <v>0.84427167510792711</v>
      </c>
      <c r="L203">
        <f t="shared" si="35"/>
        <v>0.99649293466359867</v>
      </c>
      <c r="M203">
        <v>17.999999999999996</v>
      </c>
      <c r="N203">
        <v>0.28797465749298701</v>
      </c>
      <c r="O203">
        <v>152.39999999999998</v>
      </c>
      <c r="P203">
        <v>101.6</v>
      </c>
      <c r="Q203">
        <v>12.7</v>
      </c>
      <c r="R203">
        <f t="shared" si="36"/>
        <v>9.5999999999999988E-2</v>
      </c>
      <c r="T203" t="s">
        <v>41</v>
      </c>
      <c r="W203" s="13">
        <f t="shared" si="37"/>
        <v>1.1404114041281559</v>
      </c>
      <c r="X203" s="9">
        <f t="shared" si="38"/>
        <v>0.188</v>
      </c>
      <c r="Y203" s="13">
        <f t="shared" si="39"/>
        <v>0.15353738391043018</v>
      </c>
      <c r="Z203" s="9">
        <f t="shared" si="40"/>
        <v>0.93</v>
      </c>
      <c r="AA203" s="9">
        <f t="shared" si="41"/>
        <v>0.87687653453842795</v>
      </c>
      <c r="AB203" s="9">
        <f t="shared" si="42"/>
        <v>0.15353738391043018</v>
      </c>
      <c r="AC203" s="9">
        <f t="shared" si="43"/>
        <v>0.95169496658047836</v>
      </c>
    </row>
    <row r="204" spans="1:29" x14ac:dyDescent="0.35">
      <c r="A204" s="7">
        <v>201</v>
      </c>
      <c r="B204" s="8" t="s">
        <v>16</v>
      </c>
      <c r="C204" s="7" t="s">
        <v>14</v>
      </c>
      <c r="D204" s="7" t="s">
        <v>19</v>
      </c>
      <c r="E204">
        <v>14420.278666566952</v>
      </c>
      <c r="F204">
        <v>2.4315281302995415</v>
      </c>
      <c r="G204">
        <v>0.15687584657997383</v>
      </c>
      <c r="H204">
        <v>0.15694352692877303</v>
      </c>
      <c r="I204">
        <v>1.1315939820986478</v>
      </c>
      <c r="J204">
        <f t="shared" si="33"/>
        <v>0.88332809794945844</v>
      </c>
      <c r="K204">
        <f t="shared" si="34"/>
        <v>0.88370918882531135</v>
      </c>
      <c r="L204">
        <f t="shared" si="35"/>
        <v>0.99956875985825211</v>
      </c>
      <c r="M204">
        <v>12.5</v>
      </c>
      <c r="N204">
        <v>0.3273580078539739</v>
      </c>
      <c r="O204">
        <v>250</v>
      </c>
      <c r="P204">
        <v>250</v>
      </c>
      <c r="Q204">
        <v>20</v>
      </c>
      <c r="R204">
        <f t="shared" si="36"/>
        <v>0.15625</v>
      </c>
      <c r="T204" t="s">
        <v>41</v>
      </c>
      <c r="W204" s="13">
        <f t="shared" si="37"/>
        <v>1.1226888964657118</v>
      </c>
      <c r="X204" s="9">
        <f t="shared" si="38"/>
        <v>0.188</v>
      </c>
      <c r="Y204" s="13">
        <f t="shared" si="39"/>
        <v>0.15495990030841017</v>
      </c>
      <c r="Z204" s="9">
        <f t="shared" si="40"/>
        <v>0.93</v>
      </c>
      <c r="AA204" s="9">
        <f t="shared" si="41"/>
        <v>0.89071870501975803</v>
      </c>
      <c r="AB204" s="9">
        <f t="shared" si="42"/>
        <v>0.15495990030841017</v>
      </c>
      <c r="AC204" s="9">
        <f t="shared" si="43"/>
        <v>0.98778686258380166</v>
      </c>
    </row>
    <row r="205" spans="1:29" x14ac:dyDescent="0.35">
      <c r="A205" s="7">
        <v>202</v>
      </c>
      <c r="B205" s="8" t="s">
        <v>10</v>
      </c>
      <c r="C205" s="7" t="s">
        <v>22</v>
      </c>
      <c r="D205" s="7" t="s">
        <v>19</v>
      </c>
      <c r="E205">
        <v>2243.6688734075906</v>
      </c>
      <c r="F205">
        <v>2.4446090729134755</v>
      </c>
      <c r="G205">
        <v>0.16046624839415669</v>
      </c>
      <c r="H205">
        <v>0.16161146232774962</v>
      </c>
      <c r="I205">
        <v>1.0691692166713029</v>
      </c>
      <c r="J205">
        <f t="shared" si="33"/>
        <v>0.92867786245504302</v>
      </c>
      <c r="K205">
        <f t="shared" si="34"/>
        <v>0.93530564143377526</v>
      </c>
      <c r="L205">
        <f t="shared" si="35"/>
        <v>0.99291378274103836</v>
      </c>
      <c r="M205">
        <v>42.666666666666671</v>
      </c>
      <c r="N205">
        <v>0.3640469734360513</v>
      </c>
      <c r="O205">
        <v>101.6</v>
      </c>
      <c r="P205">
        <v>38.099999999999994</v>
      </c>
      <c r="Q205">
        <v>6.35</v>
      </c>
      <c r="R205">
        <f t="shared" si="36"/>
        <v>9.5999999999999988E-2</v>
      </c>
      <c r="T205" t="s">
        <v>41</v>
      </c>
      <c r="W205" s="13">
        <f t="shared" si="37"/>
        <v>1.1061788619537769</v>
      </c>
      <c r="X205" s="9">
        <f t="shared" si="38"/>
        <v>0.188</v>
      </c>
      <c r="Y205" s="13">
        <f t="shared" si="39"/>
        <v>0.15339837386434044</v>
      </c>
      <c r="Z205" s="9">
        <f t="shared" si="40"/>
        <v>0.93</v>
      </c>
      <c r="AA205" s="9">
        <f t="shared" si="41"/>
        <v>0.90401293533467131</v>
      </c>
      <c r="AB205" s="9">
        <f t="shared" si="42"/>
        <v>0.15339837386434044</v>
      </c>
      <c r="AC205" s="9">
        <f t="shared" si="43"/>
        <v>0.9559541361467162</v>
      </c>
    </row>
    <row r="206" spans="1:29" x14ac:dyDescent="0.35">
      <c r="A206" s="7">
        <v>203</v>
      </c>
      <c r="B206" s="8" t="s">
        <v>18</v>
      </c>
      <c r="C206" s="7" t="s">
        <v>14</v>
      </c>
      <c r="D206" s="7" t="s">
        <v>19</v>
      </c>
      <c r="E206">
        <v>8766.8416374488406</v>
      </c>
      <c r="F206">
        <v>2.4256087983924228</v>
      </c>
      <c r="G206">
        <v>0.15753938617836113</v>
      </c>
      <c r="H206">
        <v>0.15752647379569892</v>
      </c>
      <c r="I206">
        <v>1.0849825280559102</v>
      </c>
      <c r="J206">
        <f t="shared" si="33"/>
        <v>0.92174937728801265</v>
      </c>
      <c r="K206">
        <f t="shared" si="34"/>
        <v>0.92167382804939424</v>
      </c>
      <c r="L206">
        <f t="shared" si="35"/>
        <v>1.0000819696039089</v>
      </c>
      <c r="M206">
        <v>15</v>
      </c>
      <c r="N206">
        <v>0.39023080654552345</v>
      </c>
      <c r="O206">
        <v>150</v>
      </c>
      <c r="P206">
        <v>150</v>
      </c>
      <c r="Q206">
        <v>10</v>
      </c>
      <c r="R206">
        <f t="shared" si="36"/>
        <v>0.22500000000000001</v>
      </c>
      <c r="T206" t="s">
        <v>41</v>
      </c>
      <c r="W206" s="13">
        <f t="shared" si="37"/>
        <v>1.0943961370545146</v>
      </c>
      <c r="X206" s="9">
        <f t="shared" si="38"/>
        <v>0.188</v>
      </c>
      <c r="Y206" s="13">
        <f t="shared" si="39"/>
        <v>0.15567422289963578</v>
      </c>
      <c r="Z206" s="9">
        <f t="shared" si="40"/>
        <v>0.93</v>
      </c>
      <c r="AA206" s="9">
        <f t="shared" si="41"/>
        <v>0.91374591534234151</v>
      </c>
      <c r="AB206" s="9">
        <f t="shared" si="42"/>
        <v>0.15567422289963578</v>
      </c>
      <c r="AC206" s="9">
        <f t="shared" si="43"/>
        <v>0.98816065414515664</v>
      </c>
    </row>
    <row r="207" spans="1:29" x14ac:dyDescent="0.35">
      <c r="A207" s="7">
        <v>204</v>
      </c>
      <c r="B207" s="8" t="s">
        <v>25</v>
      </c>
      <c r="C207" s="7" t="s">
        <v>23</v>
      </c>
      <c r="D207" s="7" t="s">
        <v>19</v>
      </c>
      <c r="E207">
        <v>6065.7374379184957</v>
      </c>
      <c r="F207">
        <v>2.4304034498066254</v>
      </c>
      <c r="G207">
        <v>0.16288887152596807</v>
      </c>
      <c r="H207">
        <v>0.16349106531648674</v>
      </c>
      <c r="I207">
        <v>1.0522137206106303</v>
      </c>
      <c r="J207">
        <f t="shared" si="33"/>
        <v>0.94687670076260078</v>
      </c>
      <c r="K207">
        <f t="shared" si="34"/>
        <v>0.9503772669108238</v>
      </c>
      <c r="L207">
        <f t="shared" si="35"/>
        <v>0.99631665626893462</v>
      </c>
      <c r="M207">
        <v>32.4</v>
      </c>
      <c r="N207">
        <v>0.41633655043423501</v>
      </c>
      <c r="O207">
        <v>180</v>
      </c>
      <c r="P207">
        <v>100</v>
      </c>
      <c r="Q207">
        <v>10</v>
      </c>
      <c r="R207">
        <f t="shared" si="36"/>
        <v>0.18</v>
      </c>
      <c r="T207" t="s">
        <v>41</v>
      </c>
      <c r="W207" s="13">
        <f t="shared" si="37"/>
        <v>1.0826485523045943</v>
      </c>
      <c r="X207" s="9">
        <f t="shared" si="38"/>
        <v>0.188</v>
      </c>
      <c r="Y207" s="13">
        <f t="shared" si="39"/>
        <v>0.15509525036287736</v>
      </c>
      <c r="Z207" s="9">
        <f t="shared" si="40"/>
        <v>0.93</v>
      </c>
      <c r="AA207" s="9">
        <f t="shared" si="41"/>
        <v>0.92366077419245296</v>
      </c>
      <c r="AB207" s="9">
        <f t="shared" si="42"/>
        <v>0.15509525036287736</v>
      </c>
      <c r="AC207" s="9">
        <f t="shared" si="43"/>
        <v>0.95215375310738626</v>
      </c>
    </row>
    <row r="208" spans="1:29" x14ac:dyDescent="0.35">
      <c r="A208" s="7">
        <v>205</v>
      </c>
      <c r="B208" s="8" t="s">
        <v>7</v>
      </c>
      <c r="C208" s="7" t="s">
        <v>9</v>
      </c>
      <c r="D208" s="7" t="s">
        <v>19</v>
      </c>
      <c r="E208">
        <v>4752.9827759166437</v>
      </c>
      <c r="F208">
        <v>2.4203064137937762</v>
      </c>
      <c r="G208">
        <v>0.16385453142352494</v>
      </c>
      <c r="H208">
        <v>0.16467827856125636</v>
      </c>
      <c r="I208">
        <v>0.96654599499694582</v>
      </c>
      <c r="J208">
        <f t="shared" si="33"/>
        <v>1.0294366175105789</v>
      </c>
      <c r="K208">
        <f t="shared" si="34"/>
        <v>1.0346119120830457</v>
      </c>
      <c r="L208">
        <f t="shared" si="35"/>
        <v>0.99499783975805278</v>
      </c>
      <c r="M208">
        <v>44.326241134751783</v>
      </c>
      <c r="N208">
        <v>0.61372494072314776</v>
      </c>
      <c r="O208">
        <v>127</v>
      </c>
      <c r="P208">
        <v>76.199999999999989</v>
      </c>
      <c r="Q208">
        <v>4.7751999999999999</v>
      </c>
      <c r="R208">
        <f t="shared" si="36"/>
        <v>0.42440018107741062</v>
      </c>
      <c r="T208" t="s">
        <v>41</v>
      </c>
      <c r="W208" s="13">
        <f t="shared" si="37"/>
        <v>0.99257404412421779</v>
      </c>
      <c r="X208" s="9">
        <f t="shared" si="38"/>
        <v>0.188</v>
      </c>
      <c r="Y208" s="13">
        <f t="shared" si="39"/>
        <v>0.15631822144646512</v>
      </c>
      <c r="Z208" s="9">
        <f t="shared" si="40"/>
        <v>0.93</v>
      </c>
      <c r="AA208" s="9">
        <f t="shared" si="41"/>
        <v>1.0074815132631585</v>
      </c>
      <c r="AB208" s="9">
        <f t="shared" si="42"/>
        <v>0.15631822144646512</v>
      </c>
      <c r="AC208" s="9">
        <f t="shared" si="43"/>
        <v>0.95400609362715616</v>
      </c>
    </row>
    <row r="209" spans="1:29" x14ac:dyDescent="0.35">
      <c r="A209" s="7">
        <v>206</v>
      </c>
      <c r="B209" s="8" t="s">
        <v>3</v>
      </c>
      <c r="C209" s="7" t="s">
        <v>9</v>
      </c>
      <c r="D209" s="7" t="s">
        <v>19</v>
      </c>
      <c r="E209">
        <v>9225.6390180527233</v>
      </c>
      <c r="F209">
        <v>2.4128832043826698</v>
      </c>
      <c r="G209">
        <v>0.15828065552015697</v>
      </c>
      <c r="H209">
        <v>0.15786703397309135</v>
      </c>
      <c r="I209">
        <v>0.87933356865618517</v>
      </c>
      <c r="J209">
        <f t="shared" si="33"/>
        <v>1.140204466841408</v>
      </c>
      <c r="K209">
        <f t="shared" si="34"/>
        <v>1.1372248662452631</v>
      </c>
      <c r="L209">
        <f t="shared" si="35"/>
        <v>1.0026200628253781</v>
      </c>
      <c r="M209">
        <v>31.914893617021278</v>
      </c>
      <c r="N209">
        <v>0.82298860920708738</v>
      </c>
      <c r="O209">
        <v>152.39999999999998</v>
      </c>
      <c r="P209">
        <v>152.39999999999998</v>
      </c>
      <c r="Q209">
        <v>4.7751999999999999</v>
      </c>
      <c r="R209">
        <f t="shared" si="36"/>
        <v>1.0185604345857853</v>
      </c>
      <c r="T209" t="s">
        <v>41</v>
      </c>
      <c r="W209" s="13">
        <f t="shared" si="37"/>
        <v>0.86939358857435056</v>
      </c>
      <c r="X209" s="9">
        <f t="shared" si="38"/>
        <v>0.188</v>
      </c>
      <c r="Y209" s="13">
        <f t="shared" si="39"/>
        <v>0.15722641627414385</v>
      </c>
      <c r="Z209" s="9">
        <f t="shared" si="40"/>
        <v>0.97</v>
      </c>
      <c r="AA209" s="9">
        <f t="shared" si="41"/>
        <v>1.150227023918845</v>
      </c>
      <c r="AB209" s="9">
        <f t="shared" si="42"/>
        <v>0.15722641627414388</v>
      </c>
      <c r="AC209" s="9">
        <f t="shared" si="43"/>
        <v>0.99333943088276622</v>
      </c>
    </row>
    <row r="210" spans="1:29" x14ac:dyDescent="0.35">
      <c r="A210" s="7">
        <v>207</v>
      </c>
      <c r="B210" s="8" t="s">
        <v>13</v>
      </c>
      <c r="C210" s="7" t="s">
        <v>23</v>
      </c>
      <c r="D210" s="7" t="s">
        <v>19</v>
      </c>
      <c r="E210">
        <v>3340.9110279476681</v>
      </c>
      <c r="F210">
        <v>2.4199695483058363</v>
      </c>
      <c r="G210">
        <v>0.15609689630599813</v>
      </c>
      <c r="H210">
        <v>0.16471110882842735</v>
      </c>
      <c r="I210">
        <v>0.73799305846603513</v>
      </c>
      <c r="J210">
        <f t="shared" si="33"/>
        <v>1.2841598883044585</v>
      </c>
      <c r="K210">
        <f t="shared" si="34"/>
        <v>1.3550262953401795</v>
      </c>
      <c r="L210">
        <f t="shared" si="35"/>
        <v>0.94770108352920934</v>
      </c>
      <c r="M210">
        <v>143.99999999999997</v>
      </c>
      <c r="N210">
        <v>1.0508388729733691</v>
      </c>
      <c r="O210">
        <v>152.39999999999998</v>
      </c>
      <c r="P210">
        <v>50.8</v>
      </c>
      <c r="Q210">
        <v>3.1749999999999998</v>
      </c>
      <c r="R210">
        <f t="shared" si="36"/>
        <v>0.7679999999999999</v>
      </c>
      <c r="T210" t="s">
        <v>41</v>
      </c>
      <c r="W210" s="13">
        <f t="shared" si="37"/>
        <v>0.7683290158341336</v>
      </c>
      <c r="X210" s="9">
        <f t="shared" si="38"/>
        <v>0.188</v>
      </c>
      <c r="Y210" s="13">
        <f t="shared" si="39"/>
        <v>0.15635926779035847</v>
      </c>
      <c r="Z210" s="9">
        <f t="shared" si="40"/>
        <v>0.97</v>
      </c>
      <c r="AA210" s="9">
        <f t="shared" si="41"/>
        <v>1.3015257518477987</v>
      </c>
      <c r="AB210" s="9">
        <f t="shared" si="42"/>
        <v>0.15635926779035847</v>
      </c>
      <c r="AC210" s="9">
        <f t="shared" si="43"/>
        <v>1.0016808244787008</v>
      </c>
    </row>
    <row r="211" spans="1:29" x14ac:dyDescent="0.35">
      <c r="A211" s="7">
        <v>208</v>
      </c>
      <c r="B211" s="8" t="s">
        <v>12</v>
      </c>
      <c r="C211" s="7" t="s">
        <v>22</v>
      </c>
      <c r="D211" s="7" t="s">
        <v>19</v>
      </c>
      <c r="E211">
        <v>2966.3780226155018</v>
      </c>
      <c r="F211">
        <v>2.4206570503334337</v>
      </c>
      <c r="G211">
        <v>0.14680143008060642</v>
      </c>
      <c r="H211">
        <v>0.16476075858056424</v>
      </c>
      <c r="I211">
        <v>0.65172544217244144</v>
      </c>
      <c r="J211">
        <f t="shared" si="33"/>
        <v>1.3671363419169107</v>
      </c>
      <c r="K211">
        <f t="shared" si="34"/>
        <v>1.5343884637472966</v>
      </c>
      <c r="L211">
        <f t="shared" si="35"/>
        <v>0.89099753694581263</v>
      </c>
      <c r="M211">
        <v>205.71428571428569</v>
      </c>
      <c r="N211">
        <v>1.2988820212575451</v>
      </c>
      <c r="O211">
        <v>152.39999999999998</v>
      </c>
      <c r="P211">
        <v>44.449999999999996</v>
      </c>
      <c r="Q211">
        <v>2.54</v>
      </c>
      <c r="R211">
        <f t="shared" si="36"/>
        <v>1.0499999999999998</v>
      </c>
      <c r="T211" t="s">
        <v>41</v>
      </c>
      <c r="W211" s="13">
        <f t="shared" si="37"/>
        <v>0.67745103897541759</v>
      </c>
      <c r="X211" s="9">
        <f t="shared" si="38"/>
        <v>0.188</v>
      </c>
      <c r="Y211" s="13">
        <f t="shared" si="39"/>
        <v>0.15627551398561551</v>
      </c>
      <c r="Z211" s="9">
        <f t="shared" si="40"/>
        <v>1</v>
      </c>
      <c r="AA211" s="9">
        <f t="shared" si="41"/>
        <v>1.4761214353031447</v>
      </c>
      <c r="AB211" s="9">
        <f t="shared" si="42"/>
        <v>0.15627551398561551</v>
      </c>
      <c r="AC211" s="9">
        <f t="shared" si="43"/>
        <v>1.0645367276041318</v>
      </c>
    </row>
    <row r="212" spans="1:29" x14ac:dyDescent="0.35">
      <c r="A212" s="7">
        <v>209</v>
      </c>
      <c r="B212" s="8" t="s">
        <v>17</v>
      </c>
      <c r="C212" s="7" t="s">
        <v>14</v>
      </c>
      <c r="D212" s="7" t="s">
        <v>20</v>
      </c>
      <c r="E212">
        <v>1477.9104756361016</v>
      </c>
      <c r="F212">
        <v>0.35413617890550031</v>
      </c>
      <c r="G212">
        <v>0.93350052207637224</v>
      </c>
      <c r="H212">
        <v>0.93662365751789978</v>
      </c>
      <c r="I212">
        <v>1.0642444642444642</v>
      </c>
      <c r="J212">
        <f t="shared" si="33"/>
        <v>0.93650056173675233</v>
      </c>
      <c r="K212">
        <f t="shared" si="34"/>
        <v>0.93963373416269258</v>
      </c>
      <c r="L212">
        <f t="shared" si="35"/>
        <v>0.99666553859016971</v>
      </c>
      <c r="M212">
        <v>3.75</v>
      </c>
      <c r="N212">
        <v>0.23188171752169098</v>
      </c>
      <c r="O212">
        <v>300</v>
      </c>
      <c r="P212">
        <v>300</v>
      </c>
      <c r="Q212">
        <v>80</v>
      </c>
      <c r="R212">
        <f t="shared" si="36"/>
        <v>1.40625E-2</v>
      </c>
      <c r="T212" t="s">
        <v>41</v>
      </c>
      <c r="W212" s="13">
        <f t="shared" si="37"/>
        <v>1.1840591412391546</v>
      </c>
      <c r="X212" s="9">
        <f t="shared" si="38"/>
        <v>0.126</v>
      </c>
      <c r="Y212" s="13">
        <f t="shared" si="39"/>
        <v>0.95177429962861138</v>
      </c>
      <c r="Z212" s="9">
        <f t="shared" si="40"/>
        <v>0.93</v>
      </c>
      <c r="AA212" s="9">
        <f t="shared" si="41"/>
        <v>0.93</v>
      </c>
      <c r="AB212" s="9">
        <f t="shared" si="42"/>
        <v>1.0480700656807287</v>
      </c>
      <c r="AC212" s="9">
        <f t="shared" si="43"/>
        <v>1.1227310975140334</v>
      </c>
    </row>
    <row r="213" spans="1:29" x14ac:dyDescent="0.35">
      <c r="A213" s="7">
        <v>210</v>
      </c>
      <c r="B213" s="8" t="s">
        <v>24</v>
      </c>
      <c r="C213" s="7" t="s">
        <v>23</v>
      </c>
      <c r="D213" s="7" t="s">
        <v>20</v>
      </c>
      <c r="E213">
        <v>773.07779792537667</v>
      </c>
      <c r="F213">
        <v>0.36575555063632553</v>
      </c>
      <c r="G213">
        <v>0.95179670287928209</v>
      </c>
      <c r="H213">
        <v>0.95456962698472925</v>
      </c>
      <c r="I213">
        <v>1.1530470367034806</v>
      </c>
      <c r="J213">
        <f t="shared" si="33"/>
        <v>0.86474798834079636</v>
      </c>
      <c r="K213">
        <f t="shared" si="34"/>
        <v>0.86726730841697797</v>
      </c>
      <c r="L213">
        <f t="shared" si="35"/>
        <v>0.99709510545165125</v>
      </c>
      <c r="M213">
        <v>9.9206349206349209</v>
      </c>
      <c r="N213">
        <v>0.29753883438297207</v>
      </c>
      <c r="O213">
        <v>250</v>
      </c>
      <c r="P213">
        <v>150</v>
      </c>
      <c r="Q213">
        <v>42</v>
      </c>
      <c r="R213">
        <f t="shared" si="36"/>
        <v>2.1258503401360547E-2</v>
      </c>
      <c r="T213" t="s">
        <v>41</v>
      </c>
      <c r="W213" s="13">
        <f t="shared" si="37"/>
        <v>1.1512305828085141</v>
      </c>
      <c r="X213" s="9">
        <f t="shared" si="38"/>
        <v>0.126</v>
      </c>
      <c r="Y213" s="13">
        <f t="shared" si="39"/>
        <v>0.94985378420325617</v>
      </c>
      <c r="Z213" s="9">
        <f t="shared" si="40"/>
        <v>0.93</v>
      </c>
      <c r="AA213" s="9">
        <f t="shared" si="41"/>
        <v>0.93</v>
      </c>
      <c r="AB213" s="9">
        <f t="shared" si="42"/>
        <v>1.0169556747812043</v>
      </c>
      <c r="AC213" s="9">
        <f t="shared" si="43"/>
        <v>1.0684589174398373</v>
      </c>
    </row>
    <row r="214" spans="1:29" x14ac:dyDescent="0.35">
      <c r="A214" s="7">
        <v>211</v>
      </c>
      <c r="B214" s="8" t="s">
        <v>15</v>
      </c>
      <c r="C214" s="7" t="s">
        <v>14</v>
      </c>
      <c r="D214" s="7" t="s">
        <v>20</v>
      </c>
      <c r="E214">
        <v>1375.2319598375932</v>
      </c>
      <c r="F214">
        <v>0.33961050035179291</v>
      </c>
      <c r="G214">
        <v>0.97273528528673969</v>
      </c>
      <c r="H214">
        <v>0.96024775538272289</v>
      </c>
      <c r="I214" t="s">
        <v>30</v>
      </c>
      <c r="J214" t="e">
        <f t="shared" si="33"/>
        <v>#VALUE!</v>
      </c>
      <c r="K214" t="e">
        <f t="shared" si="34"/>
        <v>#VALUE!</v>
      </c>
      <c r="L214" t="e">
        <f t="shared" si="35"/>
        <v>#VALUE!</v>
      </c>
      <c r="M214">
        <v>7.1428571428571432</v>
      </c>
      <c r="N214">
        <v>0.2441499128436202</v>
      </c>
      <c r="O214">
        <v>250</v>
      </c>
      <c r="P214">
        <v>250</v>
      </c>
      <c r="Q214">
        <v>35</v>
      </c>
      <c r="R214">
        <f t="shared" si="36"/>
        <v>5.1020408163265307E-2</v>
      </c>
      <c r="T214" t="s">
        <v>41</v>
      </c>
      <c r="W214" s="13">
        <f t="shared" si="37"/>
        <v>1.1779250435781901</v>
      </c>
      <c r="X214" s="9">
        <f t="shared" si="38"/>
        <v>0.126</v>
      </c>
      <c r="Y214" s="13">
        <f t="shared" si="39"/>
        <v>0.95412375160272778</v>
      </c>
      <c r="Z214" s="9">
        <f t="shared" si="40"/>
        <v>0.93</v>
      </c>
      <c r="AA214" s="9">
        <f t="shared" si="41"/>
        <v>0.93</v>
      </c>
      <c r="AB214" s="9">
        <f t="shared" si="42"/>
        <v>1.0452142233676354</v>
      </c>
      <c r="AC214" s="9">
        <f t="shared" si="43"/>
        <v>1.0745104440819484</v>
      </c>
    </row>
    <row r="215" spans="1:29" x14ac:dyDescent="0.35">
      <c r="A215" s="7">
        <v>212</v>
      </c>
      <c r="B215" s="8" t="s">
        <v>11</v>
      </c>
      <c r="C215" s="7" t="s">
        <v>22</v>
      </c>
      <c r="D215" s="7" t="s">
        <v>20</v>
      </c>
      <c r="E215">
        <v>289.42084630349802</v>
      </c>
      <c r="F215">
        <v>0.36784664919323679</v>
      </c>
      <c r="G215">
        <v>0.97370333103626416</v>
      </c>
      <c r="H215">
        <v>0.95578463789088908</v>
      </c>
      <c r="I215">
        <v>1.1799990649244503</v>
      </c>
      <c r="J215">
        <f t="shared" si="33"/>
        <v>0.86334613010303163</v>
      </c>
      <c r="K215">
        <f t="shared" si="34"/>
        <v>0.84745829867587674</v>
      </c>
      <c r="L215">
        <f t="shared" si="35"/>
        <v>1.01874762622772</v>
      </c>
      <c r="M215">
        <v>21.333333333333336</v>
      </c>
      <c r="N215">
        <v>0.33394501352257799</v>
      </c>
      <c r="O215">
        <v>101.6</v>
      </c>
      <c r="P215">
        <v>50.8</v>
      </c>
      <c r="Q215">
        <v>9.5249999999999986</v>
      </c>
      <c r="R215">
        <f t="shared" si="36"/>
        <v>5.6888888888888899E-2</v>
      </c>
      <c r="T215" t="s">
        <v>41</v>
      </c>
      <c r="W215" s="13">
        <f t="shared" si="37"/>
        <v>1.133027493238711</v>
      </c>
      <c r="X215" s="9">
        <f t="shared" si="38"/>
        <v>0.126</v>
      </c>
      <c r="Y215" s="13">
        <f t="shared" si="39"/>
        <v>0.94950410322344148</v>
      </c>
      <c r="Z215" s="9">
        <f t="shared" si="40"/>
        <v>0.93</v>
      </c>
      <c r="AA215" s="9">
        <f t="shared" si="41"/>
        <v>0.93</v>
      </c>
      <c r="AB215" s="9">
        <f t="shared" si="42"/>
        <v>1.0005072561224673</v>
      </c>
      <c r="AC215" s="9">
        <f t="shared" si="43"/>
        <v>1.0275278149225155</v>
      </c>
    </row>
    <row r="216" spans="1:29" x14ac:dyDescent="0.35">
      <c r="A216" s="7">
        <v>213</v>
      </c>
      <c r="B216" s="8" t="s">
        <v>8</v>
      </c>
      <c r="C216" s="7" t="s">
        <v>9</v>
      </c>
      <c r="D216" s="7" t="s">
        <v>20</v>
      </c>
      <c r="E216">
        <v>596.42382804894146</v>
      </c>
      <c r="F216">
        <v>0.35098716057126389</v>
      </c>
      <c r="G216">
        <v>0.97726334328066167</v>
      </c>
      <c r="H216">
        <v>0.97856962480023135</v>
      </c>
      <c r="I216">
        <v>1.1571559669013016</v>
      </c>
      <c r="J216">
        <f t="shared" si="33"/>
        <v>0.86303414568162728</v>
      </c>
      <c r="K216">
        <f t="shared" si="34"/>
        <v>0.86418774011757216</v>
      </c>
      <c r="L216">
        <f t="shared" si="35"/>
        <v>0.9986651113150623</v>
      </c>
      <c r="M216">
        <v>17.999999999999996</v>
      </c>
      <c r="N216">
        <v>0.35613649789943669</v>
      </c>
      <c r="O216">
        <v>152.39999999999998</v>
      </c>
      <c r="P216">
        <v>101.6</v>
      </c>
      <c r="Q216">
        <v>12.7</v>
      </c>
      <c r="R216">
        <f t="shared" si="36"/>
        <v>9.5999999999999988E-2</v>
      </c>
      <c r="T216" t="s">
        <v>41</v>
      </c>
      <c r="W216" s="13">
        <f t="shared" si="37"/>
        <v>1.1219317510502818</v>
      </c>
      <c r="X216" s="9">
        <f t="shared" si="38"/>
        <v>0.126</v>
      </c>
      <c r="Y216" s="13">
        <f t="shared" si="39"/>
        <v>0.95228837946308242</v>
      </c>
      <c r="Z216" s="9">
        <f t="shared" si="40"/>
        <v>0.93</v>
      </c>
      <c r="AA216" s="9">
        <f t="shared" si="41"/>
        <v>0.93</v>
      </c>
      <c r="AB216" s="9">
        <f t="shared" si="42"/>
        <v>0.99361438924054168</v>
      </c>
      <c r="AC216" s="9">
        <f t="shared" si="43"/>
        <v>1.0167314635019358</v>
      </c>
    </row>
    <row r="217" spans="1:29" x14ac:dyDescent="0.35">
      <c r="A217" s="7">
        <v>214</v>
      </c>
      <c r="B217" s="8" t="s">
        <v>16</v>
      </c>
      <c r="C217" s="7" t="s">
        <v>14</v>
      </c>
      <c r="D217" s="7" t="s">
        <v>20</v>
      </c>
      <c r="E217">
        <v>1457.5432574488084</v>
      </c>
      <c r="F217">
        <v>0.33658410933506894</v>
      </c>
      <c r="G217">
        <v>0.98628723090533754</v>
      </c>
      <c r="H217">
        <v>0.95365280644844175</v>
      </c>
      <c r="I217">
        <v>1.1074743527112847</v>
      </c>
      <c r="J217">
        <f t="shared" si="33"/>
        <v>0.93385498595390326</v>
      </c>
      <c r="K217">
        <f t="shared" si="34"/>
        <v>0.9029554477282753</v>
      </c>
      <c r="L217">
        <f t="shared" si="35"/>
        <v>1.0342204460955049</v>
      </c>
      <c r="M217">
        <v>12.5</v>
      </c>
      <c r="N217">
        <v>0.40484164645387144</v>
      </c>
      <c r="O217">
        <v>250</v>
      </c>
      <c r="P217">
        <v>250</v>
      </c>
      <c r="Q217">
        <v>20</v>
      </c>
      <c r="R217">
        <f t="shared" si="36"/>
        <v>0.15625</v>
      </c>
      <c r="T217" t="s">
        <v>41</v>
      </c>
      <c r="W217" s="13">
        <f t="shared" si="37"/>
        <v>1.0975791767730643</v>
      </c>
      <c r="X217" s="9">
        <f t="shared" si="38"/>
        <v>0.126</v>
      </c>
      <c r="Y217" s="13">
        <f t="shared" si="39"/>
        <v>0.95460637644028556</v>
      </c>
      <c r="Z217" s="9">
        <f t="shared" si="40"/>
        <v>0.93</v>
      </c>
      <c r="AA217" s="9">
        <f t="shared" si="41"/>
        <v>0.93</v>
      </c>
      <c r="AB217" s="9">
        <f t="shared" si="42"/>
        <v>0.9744131551399513</v>
      </c>
      <c r="AC217" s="9">
        <f t="shared" si="43"/>
        <v>0.98796083393020639</v>
      </c>
    </row>
    <row r="218" spans="1:29" x14ac:dyDescent="0.35">
      <c r="A218" s="7">
        <v>215</v>
      </c>
      <c r="B218" s="8" t="s">
        <v>10</v>
      </c>
      <c r="C218" s="7" t="s">
        <v>22</v>
      </c>
      <c r="D218" s="7" t="s">
        <v>20</v>
      </c>
      <c r="E218">
        <v>226.78094605515329</v>
      </c>
      <c r="F218">
        <v>0.38650411256243317</v>
      </c>
      <c r="G218">
        <v>0.97855034373191863</v>
      </c>
      <c r="H218">
        <v>0.97858662926968021</v>
      </c>
      <c r="I218">
        <v>1.0449509908199832</v>
      </c>
      <c r="J218">
        <f t="shared" si="33"/>
        <v>0.95694719584859711</v>
      </c>
      <c r="K218">
        <f t="shared" si="34"/>
        <v>0.95698268032196443</v>
      </c>
      <c r="L218">
        <f t="shared" si="35"/>
        <v>0.99996292046439605</v>
      </c>
      <c r="M218">
        <v>42.666666666666671</v>
      </c>
      <c r="N218">
        <v>0.450214665828926</v>
      </c>
      <c r="O218">
        <v>101.6</v>
      </c>
      <c r="P218">
        <v>38.099999999999994</v>
      </c>
      <c r="Q218">
        <v>6.35</v>
      </c>
      <c r="R218">
        <f t="shared" si="36"/>
        <v>9.5999999999999988E-2</v>
      </c>
      <c r="T218" t="s">
        <v>41</v>
      </c>
      <c r="W218" s="13">
        <f t="shared" si="37"/>
        <v>1.074892667085537</v>
      </c>
      <c r="X218" s="9">
        <f t="shared" si="38"/>
        <v>0.126</v>
      </c>
      <c r="Y218" s="13">
        <f t="shared" si="39"/>
        <v>0.94632668876740889</v>
      </c>
      <c r="Z218" s="9">
        <f t="shared" si="40"/>
        <v>0.93</v>
      </c>
      <c r="AA218" s="9">
        <f t="shared" si="41"/>
        <v>0.93</v>
      </c>
      <c r="AB218" s="9">
        <f t="shared" si="42"/>
        <v>0.94599564513378542</v>
      </c>
      <c r="AC218" s="9">
        <f t="shared" si="43"/>
        <v>0.96673170797326724</v>
      </c>
    </row>
    <row r="219" spans="1:29" x14ac:dyDescent="0.35">
      <c r="A219" s="7">
        <v>216</v>
      </c>
      <c r="B219" s="8" t="s">
        <v>18</v>
      </c>
      <c r="C219" s="7" t="s">
        <v>14</v>
      </c>
      <c r="D219" s="7" t="s">
        <v>20</v>
      </c>
      <c r="E219">
        <v>886.11678132202906</v>
      </c>
      <c r="F219">
        <v>0.336341979610015</v>
      </c>
      <c r="G219">
        <v>0.98778275188829934</v>
      </c>
      <c r="H219">
        <v>0.97927406472479128</v>
      </c>
      <c r="I219">
        <v>1.0612526039916672</v>
      </c>
      <c r="J219">
        <f t="shared" si="33"/>
        <v>0.95047000709841212</v>
      </c>
      <c r="K219">
        <f t="shared" si="34"/>
        <v>0.9422827291435808</v>
      </c>
      <c r="L219">
        <f t="shared" si="35"/>
        <v>1.0086887700491682</v>
      </c>
      <c r="M219">
        <v>15</v>
      </c>
      <c r="N219">
        <v>0.48259605211607809</v>
      </c>
      <c r="O219">
        <v>150</v>
      </c>
      <c r="P219">
        <v>150</v>
      </c>
      <c r="Q219">
        <v>10</v>
      </c>
      <c r="R219">
        <f t="shared" si="36"/>
        <v>0.22500000000000001</v>
      </c>
      <c r="T219" t="s">
        <v>41</v>
      </c>
      <c r="W219" s="13">
        <f t="shared" si="37"/>
        <v>1.058701973941961</v>
      </c>
      <c r="X219" s="9">
        <f t="shared" si="38"/>
        <v>0.126</v>
      </c>
      <c r="Y219" s="13">
        <f t="shared" si="39"/>
        <v>0.95464488970125139</v>
      </c>
      <c r="Z219" s="9">
        <f t="shared" si="40"/>
        <v>0.93</v>
      </c>
      <c r="AA219" s="9">
        <f t="shared" si="41"/>
        <v>0.93</v>
      </c>
      <c r="AB219" s="9">
        <f t="shared" si="42"/>
        <v>0.93993651910049814</v>
      </c>
      <c r="AC219" s="9">
        <f t="shared" si="43"/>
        <v>0.95156198800157654</v>
      </c>
    </row>
    <row r="220" spans="1:29" x14ac:dyDescent="0.35">
      <c r="A220" s="7">
        <v>217</v>
      </c>
      <c r="B220" s="8" t="s">
        <v>25</v>
      </c>
      <c r="C220" s="7" t="s">
        <v>23</v>
      </c>
      <c r="D220" s="7" t="s">
        <v>20</v>
      </c>
      <c r="E220">
        <v>613.10012854264176</v>
      </c>
      <c r="F220">
        <v>0.35866701181985255</v>
      </c>
      <c r="G220">
        <v>0.97767599460220744</v>
      </c>
      <c r="H220">
        <v>0.95483683500290495</v>
      </c>
      <c r="I220">
        <v>1.0275136500389999</v>
      </c>
      <c r="J220">
        <f t="shared" si="33"/>
        <v>0.99650202899402107</v>
      </c>
      <c r="K220">
        <f t="shared" si="34"/>
        <v>0.97322308074646446</v>
      </c>
      <c r="L220">
        <f t="shared" si="35"/>
        <v>1.0239194370829159</v>
      </c>
      <c r="M220">
        <v>32.4</v>
      </c>
      <c r="N220">
        <v>0.51488086594144655</v>
      </c>
      <c r="O220">
        <v>180</v>
      </c>
      <c r="P220">
        <v>100</v>
      </c>
      <c r="Q220">
        <v>10</v>
      </c>
      <c r="R220">
        <f t="shared" si="36"/>
        <v>0.18</v>
      </c>
      <c r="T220" t="s">
        <v>41</v>
      </c>
      <c r="W220" s="13">
        <f t="shared" si="37"/>
        <v>1.0425595670292767</v>
      </c>
      <c r="X220" s="9">
        <f t="shared" si="38"/>
        <v>0.126</v>
      </c>
      <c r="Y220" s="13">
        <f t="shared" si="39"/>
        <v>0.95102989485999023</v>
      </c>
      <c r="Z220" s="9">
        <f t="shared" si="40"/>
        <v>0.93</v>
      </c>
      <c r="AA220" s="9">
        <f t="shared" si="41"/>
        <v>0.93</v>
      </c>
      <c r="AB220" s="9">
        <f t="shared" si="42"/>
        <v>0.92209994333793088</v>
      </c>
      <c r="AC220" s="9">
        <f t="shared" si="43"/>
        <v>0.94315493929367766</v>
      </c>
    </row>
    <row r="221" spans="1:29" x14ac:dyDescent="0.35">
      <c r="A221" s="7">
        <v>218</v>
      </c>
      <c r="B221" s="8" t="s">
        <v>7</v>
      </c>
      <c r="C221" s="7" t="s">
        <v>9</v>
      </c>
      <c r="D221" s="7" t="s">
        <v>20</v>
      </c>
      <c r="E221">
        <v>480.41221379925685</v>
      </c>
      <c r="F221">
        <v>0.3561093657549354</v>
      </c>
      <c r="G221">
        <v>0.93215920594989854</v>
      </c>
      <c r="H221">
        <v>0.97683765234900521</v>
      </c>
      <c r="I221">
        <v>0.92636915215946536</v>
      </c>
      <c r="J221">
        <f t="shared" si="33"/>
        <v>1.0301100328897406</v>
      </c>
      <c r="K221">
        <f t="shared" si="34"/>
        <v>1.0794832682725815</v>
      </c>
      <c r="L221">
        <f t="shared" si="35"/>
        <v>0.95426215779902801</v>
      </c>
      <c r="M221">
        <v>44.326241134751783</v>
      </c>
      <c r="N221">
        <v>0.75898993726222364</v>
      </c>
      <c r="O221">
        <v>127</v>
      </c>
      <c r="P221">
        <v>76.199999999999989</v>
      </c>
      <c r="Q221">
        <v>4.7751999999999999</v>
      </c>
      <c r="R221">
        <f t="shared" si="36"/>
        <v>0.42440018107741062</v>
      </c>
      <c r="T221" t="s">
        <v>41</v>
      </c>
      <c r="W221" s="13">
        <f t="shared" si="37"/>
        <v>0.91192659401475895</v>
      </c>
      <c r="X221" s="9">
        <f t="shared" si="38"/>
        <v>0.126</v>
      </c>
      <c r="Y221" s="13">
        <f t="shared" si="39"/>
        <v>0.95145080307896457</v>
      </c>
      <c r="Z221" s="9">
        <f t="shared" si="40"/>
        <v>0.97</v>
      </c>
      <c r="AA221" s="9">
        <f t="shared" si="41"/>
        <v>0.97</v>
      </c>
      <c r="AB221" s="9">
        <f t="shared" si="42"/>
        <v>0.84162369151767502</v>
      </c>
      <c r="AC221" s="9">
        <f t="shared" si="43"/>
        <v>0.90287548108269222</v>
      </c>
    </row>
    <row r="222" spans="1:29" x14ac:dyDescent="0.35">
      <c r="A222" s="7">
        <v>219</v>
      </c>
      <c r="B222" s="8" t="s">
        <v>3</v>
      </c>
      <c r="C222" s="7" t="s">
        <v>9</v>
      </c>
      <c r="D222" s="7" t="s">
        <v>20</v>
      </c>
      <c r="E222">
        <v>932.49015898669006</v>
      </c>
      <c r="F222">
        <v>0.34969339573968788</v>
      </c>
      <c r="G222">
        <v>0.81241839115015568</v>
      </c>
      <c r="H222">
        <v>0.9871888740429462</v>
      </c>
      <c r="I222">
        <v>0.7849848354589184</v>
      </c>
      <c r="J222">
        <f t="shared" si="33"/>
        <v>1.0483787925838932</v>
      </c>
      <c r="K222">
        <f t="shared" si="34"/>
        <v>1.2739099595667722</v>
      </c>
      <c r="L222">
        <f t="shared" si="35"/>
        <v>0.82296145399508691</v>
      </c>
      <c r="M222">
        <v>31.914893617021278</v>
      </c>
      <c r="N222">
        <v>1.0177876218361828</v>
      </c>
      <c r="O222">
        <v>152.39999999999998</v>
      </c>
      <c r="P222">
        <v>152.39999999999998</v>
      </c>
      <c r="Q222">
        <v>4.7751999999999999</v>
      </c>
      <c r="R222">
        <f t="shared" si="36"/>
        <v>1.0185604345857853</v>
      </c>
      <c r="T222" t="s">
        <v>41</v>
      </c>
      <c r="W222" s="13">
        <f t="shared" si="37"/>
        <v>0.77731603668182259</v>
      </c>
      <c r="X222" s="9">
        <f t="shared" si="38"/>
        <v>0.126</v>
      </c>
      <c r="Y222" s="13">
        <f t="shared" si="39"/>
        <v>0.9524988148945327</v>
      </c>
      <c r="Z222" s="9">
        <f t="shared" si="40"/>
        <v>0.97</v>
      </c>
      <c r="AA222" s="9">
        <f t="shared" si="41"/>
        <v>0.97</v>
      </c>
      <c r="AB222" s="9">
        <f t="shared" si="42"/>
        <v>0.71818082562581254</v>
      </c>
      <c r="AC222" s="9">
        <f t="shared" si="43"/>
        <v>0.88400365310424678</v>
      </c>
    </row>
    <row r="223" spans="1:29" x14ac:dyDescent="0.35">
      <c r="A223" s="7">
        <v>220</v>
      </c>
      <c r="B223" s="8" t="s">
        <v>13</v>
      </c>
      <c r="C223" s="7" t="s">
        <v>23</v>
      </c>
      <c r="D223" s="7" t="s">
        <v>20</v>
      </c>
      <c r="E223">
        <v>337.68573098461366</v>
      </c>
      <c r="F223">
        <v>0.43466770617766759</v>
      </c>
      <c r="G223">
        <v>0.67837608747948985</v>
      </c>
      <c r="H223">
        <v>0.97278620232854085</v>
      </c>
      <c r="I223">
        <v>0.67520082576642282</v>
      </c>
      <c r="J223">
        <f t="shared" si="33"/>
        <v>1.0328093571623922</v>
      </c>
      <c r="K223">
        <f t="shared" si="34"/>
        <v>1.4810408427224544</v>
      </c>
      <c r="L223">
        <f t="shared" si="35"/>
        <v>0.69735373081533558</v>
      </c>
      <c r="M223">
        <v>143.99999999999997</v>
      </c>
      <c r="N223">
        <v>1.299564366942177</v>
      </c>
      <c r="O223">
        <v>152.39999999999998</v>
      </c>
      <c r="P223">
        <v>50.8</v>
      </c>
      <c r="Q223">
        <v>3.1749999999999998</v>
      </c>
      <c r="R223">
        <f t="shared" si="36"/>
        <v>0.7679999999999999</v>
      </c>
      <c r="T223" t="s">
        <v>41</v>
      </c>
      <c r="W223" s="13">
        <f t="shared" si="37"/>
        <v>0.68252957546685222</v>
      </c>
      <c r="X223" s="9">
        <f t="shared" si="38"/>
        <v>0.126</v>
      </c>
      <c r="Y223" s="13">
        <f t="shared" si="39"/>
        <v>0.93759490064222084</v>
      </c>
      <c r="Z223" s="9">
        <f t="shared" si="40"/>
        <v>1</v>
      </c>
      <c r="AA223" s="9">
        <f t="shared" si="41"/>
        <v>1</v>
      </c>
      <c r="AB223" s="9">
        <f t="shared" si="42"/>
        <v>0.63993624949522043</v>
      </c>
      <c r="AC223" s="9">
        <f t="shared" si="43"/>
        <v>0.94333550563804092</v>
      </c>
    </row>
    <row r="224" spans="1:29" x14ac:dyDescent="0.35">
      <c r="A224" s="7">
        <v>221</v>
      </c>
      <c r="B224" s="8" t="s">
        <v>12</v>
      </c>
      <c r="C224" s="7" t="s">
        <v>22</v>
      </c>
      <c r="D224" s="7" t="s">
        <v>20</v>
      </c>
      <c r="E224">
        <v>299.82945447037486</v>
      </c>
      <c r="F224">
        <v>0.51500232620346365</v>
      </c>
      <c r="G224">
        <v>0.5978190850580003</v>
      </c>
      <c r="H224">
        <v>0.9646832632673128</v>
      </c>
      <c r="I224">
        <v>0.60131279916885161</v>
      </c>
      <c r="J224">
        <f t="shared" si="33"/>
        <v>1.0305868191067526</v>
      </c>
      <c r="K224">
        <f t="shared" si="34"/>
        <v>1.6630279637856087</v>
      </c>
      <c r="L224">
        <f t="shared" si="35"/>
        <v>0.61970504498360435</v>
      </c>
      <c r="M224">
        <v>205.71428571428569</v>
      </c>
      <c r="N224">
        <v>1.6063188451282615</v>
      </c>
      <c r="O224">
        <v>152.39999999999998</v>
      </c>
      <c r="P224">
        <v>44.449999999999996</v>
      </c>
      <c r="Q224">
        <v>2.54</v>
      </c>
      <c r="R224">
        <f t="shared" si="36"/>
        <v>1.0499999999999998</v>
      </c>
      <c r="T224" t="s">
        <v>41</v>
      </c>
      <c r="W224" s="13">
        <f t="shared" si="37"/>
        <v>0.59882836022904706</v>
      </c>
      <c r="X224" s="9">
        <f t="shared" si="38"/>
        <v>0.126</v>
      </c>
      <c r="Y224" s="13">
        <f t="shared" si="39"/>
        <v>0.92092675747114006</v>
      </c>
      <c r="Z224" s="9">
        <f t="shared" si="40"/>
        <v>1</v>
      </c>
      <c r="AA224" s="9">
        <f t="shared" si="41"/>
        <v>1</v>
      </c>
      <c r="AB224" s="9">
        <f t="shared" si="42"/>
        <v>0.55147706006749608</v>
      </c>
      <c r="AC224" s="9">
        <f t="shared" si="43"/>
        <v>0.92248152300790442</v>
      </c>
    </row>
    <row r="225" spans="1:29" x14ac:dyDescent="0.35">
      <c r="A225" s="7">
        <v>222</v>
      </c>
      <c r="B225" s="8" t="s">
        <v>17</v>
      </c>
      <c r="C225" s="7" t="s">
        <v>14</v>
      </c>
      <c r="D225" s="7" t="s">
        <v>20</v>
      </c>
      <c r="E225">
        <v>2955.8209512722033</v>
      </c>
      <c r="F225">
        <v>0.66586794546252925</v>
      </c>
      <c r="G225">
        <v>0.81112299575291358</v>
      </c>
      <c r="H225">
        <v>0.81225268730899891</v>
      </c>
      <c r="I225">
        <v>1.0642444642444642</v>
      </c>
      <c r="J225">
        <f t="shared" si="33"/>
        <v>0.9383268793970736</v>
      </c>
      <c r="K225">
        <f t="shared" si="34"/>
        <v>0.93963373416269258</v>
      </c>
      <c r="L225">
        <f t="shared" si="35"/>
        <v>0.99860918705011847</v>
      </c>
      <c r="M225">
        <v>3.75</v>
      </c>
      <c r="N225">
        <v>0.23188171752169098</v>
      </c>
      <c r="O225">
        <v>300</v>
      </c>
      <c r="P225">
        <v>300</v>
      </c>
      <c r="Q225">
        <v>80</v>
      </c>
      <c r="R225">
        <f t="shared" si="36"/>
        <v>1.40625E-2</v>
      </c>
      <c r="T225" t="s">
        <v>41</v>
      </c>
      <c r="W225" s="13">
        <f t="shared" si="37"/>
        <v>1.1840591412391546</v>
      </c>
      <c r="X225" s="9">
        <f t="shared" si="38"/>
        <v>0.126</v>
      </c>
      <c r="Y225" s="13">
        <f t="shared" si="39"/>
        <v>0.87912703967313455</v>
      </c>
      <c r="Z225" s="9">
        <f t="shared" si="40"/>
        <v>0.93</v>
      </c>
      <c r="AA225" s="9">
        <f t="shared" si="41"/>
        <v>0.92250848099608551</v>
      </c>
      <c r="AB225" s="9">
        <f t="shared" si="42"/>
        <v>0.96027450923830171</v>
      </c>
      <c r="AC225" s="9">
        <f t="shared" si="43"/>
        <v>1.1838827332800994</v>
      </c>
    </row>
    <row r="226" spans="1:29" x14ac:dyDescent="0.35">
      <c r="A226" s="7">
        <v>223</v>
      </c>
      <c r="B226" s="8" t="s">
        <v>24</v>
      </c>
      <c r="C226" s="7" t="s">
        <v>23</v>
      </c>
      <c r="D226" s="7" t="s">
        <v>20</v>
      </c>
      <c r="E226">
        <v>1546.1555958507533</v>
      </c>
      <c r="F226">
        <v>0.66027177224717026</v>
      </c>
      <c r="G226">
        <v>0.83625675401453015</v>
      </c>
      <c r="H226">
        <v>0.8380066255937344</v>
      </c>
      <c r="I226">
        <v>1.1530470367034806</v>
      </c>
      <c r="J226">
        <f t="shared" si="33"/>
        <v>0.8654563365604051</v>
      </c>
      <c r="K226">
        <f t="shared" si="34"/>
        <v>0.86726730841697797</v>
      </c>
      <c r="L226">
        <f t="shared" si="35"/>
        <v>0.99791186426722522</v>
      </c>
      <c r="M226">
        <v>9.9206349206349209</v>
      </c>
      <c r="N226">
        <v>0.29753883438297207</v>
      </c>
      <c r="O226">
        <v>250</v>
      </c>
      <c r="P226">
        <v>150</v>
      </c>
      <c r="Q226">
        <v>42</v>
      </c>
      <c r="R226">
        <f t="shared" si="36"/>
        <v>2.1258503401360547E-2</v>
      </c>
      <c r="T226" t="s">
        <v>41</v>
      </c>
      <c r="W226" s="13">
        <f t="shared" si="37"/>
        <v>1.1512305828085141</v>
      </c>
      <c r="X226" s="9">
        <f t="shared" si="38"/>
        <v>0.126</v>
      </c>
      <c r="Y226" s="13">
        <f t="shared" si="39"/>
        <v>0.88100051349330655</v>
      </c>
      <c r="Z226" s="9">
        <f t="shared" si="40"/>
        <v>0.93</v>
      </c>
      <c r="AA226" s="9">
        <f t="shared" si="41"/>
        <v>0.92531722720517673</v>
      </c>
      <c r="AB226" s="9">
        <f t="shared" si="42"/>
        <v>0.93848887235848844</v>
      </c>
      <c r="AC226" s="9">
        <f t="shared" si="43"/>
        <v>1.1222496773307757</v>
      </c>
    </row>
    <row r="227" spans="1:29" x14ac:dyDescent="0.35">
      <c r="A227" s="7">
        <v>224</v>
      </c>
      <c r="B227" s="8" t="s">
        <v>15</v>
      </c>
      <c r="C227" s="7" t="s">
        <v>14</v>
      </c>
      <c r="D227" s="7" t="s">
        <v>20</v>
      </c>
      <c r="E227">
        <v>2750.4639196751864</v>
      </c>
      <c r="F227">
        <v>0.63232626890871857</v>
      </c>
      <c r="G227">
        <v>0.84986221559786124</v>
      </c>
      <c r="H227">
        <v>0.85037879945814498</v>
      </c>
      <c r="I227" t="s">
        <v>30</v>
      </c>
      <c r="J227" t="e">
        <f t="shared" si="33"/>
        <v>#VALUE!</v>
      </c>
      <c r="K227" t="e">
        <f t="shared" si="34"/>
        <v>#VALUE!</v>
      </c>
      <c r="L227" t="e">
        <f t="shared" si="35"/>
        <v>#VALUE!</v>
      </c>
      <c r="M227">
        <v>7.1428571428571432</v>
      </c>
      <c r="N227">
        <v>0.2441499128436202</v>
      </c>
      <c r="O227">
        <v>250</v>
      </c>
      <c r="P227">
        <v>250</v>
      </c>
      <c r="Q227">
        <v>35</v>
      </c>
      <c r="R227">
        <f t="shared" si="36"/>
        <v>5.1020408163265307E-2</v>
      </c>
      <c r="T227" t="s">
        <v>41</v>
      </c>
      <c r="W227" s="13">
        <f t="shared" si="37"/>
        <v>1.1779250435781901</v>
      </c>
      <c r="X227" s="9">
        <f t="shared" si="38"/>
        <v>0.126</v>
      </c>
      <c r="Y227" s="13">
        <f t="shared" si="39"/>
        <v>0.88993089319392449</v>
      </c>
      <c r="Z227" s="9">
        <f t="shared" si="40"/>
        <v>0.93</v>
      </c>
      <c r="AA227" s="9">
        <f t="shared" si="41"/>
        <v>0.92654495869024611</v>
      </c>
      <c r="AB227" s="9">
        <f t="shared" si="42"/>
        <v>0.97127103144624727</v>
      </c>
      <c r="AC227" s="9">
        <f t="shared" si="43"/>
        <v>1.1428570580267265</v>
      </c>
    </row>
    <row r="228" spans="1:29" x14ac:dyDescent="0.35">
      <c r="A228" s="7">
        <v>225</v>
      </c>
      <c r="B228" s="8" t="s">
        <v>11</v>
      </c>
      <c r="C228" s="7" t="s">
        <v>22</v>
      </c>
      <c r="D228" s="7" t="s">
        <v>20</v>
      </c>
      <c r="E228">
        <v>578.84169260699605</v>
      </c>
      <c r="F228">
        <v>0.64665065449747583</v>
      </c>
      <c r="G228">
        <v>0.85825006612975696</v>
      </c>
      <c r="H228">
        <v>0.8594676193453642</v>
      </c>
      <c r="I228">
        <v>1.1799990649244503</v>
      </c>
      <c r="J228">
        <f t="shared" si="33"/>
        <v>0.84625775830248617</v>
      </c>
      <c r="K228">
        <f t="shared" si="34"/>
        <v>0.84745829867587674</v>
      </c>
      <c r="L228">
        <f t="shared" si="35"/>
        <v>0.99858336348199506</v>
      </c>
      <c r="M228">
        <v>21.333333333333336</v>
      </c>
      <c r="N228">
        <v>0.33394501352257799</v>
      </c>
      <c r="O228">
        <v>101.6</v>
      </c>
      <c r="P228">
        <v>50.8</v>
      </c>
      <c r="Q228">
        <v>9.5249999999999986</v>
      </c>
      <c r="R228">
        <f t="shared" si="36"/>
        <v>5.6888888888888899E-2</v>
      </c>
      <c r="T228" t="s">
        <v>41</v>
      </c>
      <c r="W228" s="13">
        <f t="shared" si="37"/>
        <v>1.133027493238711</v>
      </c>
      <c r="X228" s="9">
        <f t="shared" si="38"/>
        <v>0.126</v>
      </c>
      <c r="Y228" s="13">
        <f t="shared" si="39"/>
        <v>0.88543993687669742</v>
      </c>
      <c r="Z228" s="9">
        <f t="shared" si="40"/>
        <v>0.93</v>
      </c>
      <c r="AA228" s="9">
        <f t="shared" si="41"/>
        <v>0.92727677531049901</v>
      </c>
      <c r="AB228" s="9">
        <f t="shared" si="42"/>
        <v>0.93026983195372692</v>
      </c>
      <c r="AC228" s="9">
        <f t="shared" si="43"/>
        <v>1.0839146638796546</v>
      </c>
    </row>
    <row r="229" spans="1:29" x14ac:dyDescent="0.35">
      <c r="A229" s="7">
        <v>226</v>
      </c>
      <c r="B229" s="8" t="s">
        <v>8</v>
      </c>
      <c r="C229" s="7" t="s">
        <v>9</v>
      </c>
      <c r="D229" s="7" t="s">
        <v>20</v>
      </c>
      <c r="E229">
        <v>1192.8476560978829</v>
      </c>
      <c r="F229">
        <v>0.63358017287715451</v>
      </c>
      <c r="G229">
        <v>0.86474950948306106</v>
      </c>
      <c r="H229">
        <v>0.86524064210703977</v>
      </c>
      <c r="I229">
        <v>1.1571559669013016</v>
      </c>
      <c r="J229">
        <f t="shared" si="33"/>
        <v>0.86369720514757742</v>
      </c>
      <c r="K229">
        <f t="shared" si="34"/>
        <v>0.86418774011757216</v>
      </c>
      <c r="L229">
        <f t="shared" si="35"/>
        <v>0.99943237453249689</v>
      </c>
      <c r="M229">
        <v>17.999999999999996</v>
      </c>
      <c r="N229">
        <v>0.35613649789943669</v>
      </c>
      <c r="O229">
        <v>152.39999999999998</v>
      </c>
      <c r="P229">
        <v>101.6</v>
      </c>
      <c r="Q229">
        <v>12.7</v>
      </c>
      <c r="R229">
        <f t="shared" si="36"/>
        <v>9.5999999999999988E-2</v>
      </c>
      <c r="T229" t="s">
        <v>41</v>
      </c>
      <c r="W229" s="13">
        <f t="shared" si="37"/>
        <v>1.1219317510502818</v>
      </c>
      <c r="X229" s="9">
        <f t="shared" si="38"/>
        <v>0.126</v>
      </c>
      <c r="Y229" s="13">
        <f t="shared" si="39"/>
        <v>0.88954482643220822</v>
      </c>
      <c r="Z229" s="9">
        <f t="shared" si="40"/>
        <v>0.93</v>
      </c>
      <c r="AA229" s="9">
        <f t="shared" si="41"/>
        <v>0.92842770981417166</v>
      </c>
      <c r="AB229" s="9">
        <f t="shared" si="42"/>
        <v>0.92657882472064435</v>
      </c>
      <c r="AC229" s="9">
        <f t="shared" si="43"/>
        <v>1.0714996823467922</v>
      </c>
    </row>
    <row r="230" spans="1:29" x14ac:dyDescent="0.35">
      <c r="A230" s="7">
        <v>227</v>
      </c>
      <c r="B230" s="8" t="s">
        <v>16</v>
      </c>
      <c r="C230" s="7" t="s">
        <v>14</v>
      </c>
      <c r="D230" s="7" t="s">
        <v>20</v>
      </c>
      <c r="E230">
        <v>2915.0865148976168</v>
      </c>
      <c r="F230">
        <v>0.62383127917766046</v>
      </c>
      <c r="G230">
        <v>0.86334554743432701</v>
      </c>
      <c r="H230">
        <v>0.86412737910378934</v>
      </c>
      <c r="I230">
        <v>1.1074743527112847</v>
      </c>
      <c r="J230">
        <f t="shared" si="33"/>
        <v>0.90213848580550915</v>
      </c>
      <c r="K230">
        <f t="shared" si="34"/>
        <v>0.9029554477282753</v>
      </c>
      <c r="L230">
        <f t="shared" si="35"/>
        <v>0.99909523562339475</v>
      </c>
      <c r="M230">
        <v>12.5</v>
      </c>
      <c r="N230">
        <v>0.40484164645387144</v>
      </c>
      <c r="O230">
        <v>250</v>
      </c>
      <c r="P230">
        <v>250</v>
      </c>
      <c r="Q230">
        <v>20</v>
      </c>
      <c r="R230">
        <f t="shared" si="36"/>
        <v>0.15625</v>
      </c>
      <c r="T230" t="s">
        <v>41</v>
      </c>
      <c r="W230" s="13">
        <f t="shared" si="37"/>
        <v>1.0975791767730643</v>
      </c>
      <c r="X230" s="9">
        <f t="shared" si="38"/>
        <v>0.126</v>
      </c>
      <c r="Y230" s="13">
        <f t="shared" si="39"/>
        <v>0.89251171826463616</v>
      </c>
      <c r="Z230" s="9">
        <f t="shared" si="40"/>
        <v>0.93</v>
      </c>
      <c r="AA230" s="9">
        <f t="shared" si="41"/>
        <v>0.92947478337770484</v>
      </c>
      <c r="AB230" s="9">
        <f t="shared" si="42"/>
        <v>0.91051561420457261</v>
      </c>
      <c r="AC230" s="9">
        <f t="shared" si="43"/>
        <v>1.0546363700032098</v>
      </c>
    </row>
    <row r="231" spans="1:29" x14ac:dyDescent="0.35">
      <c r="A231" s="7">
        <v>228</v>
      </c>
      <c r="B231" s="8" t="s">
        <v>10</v>
      </c>
      <c r="C231" s="7" t="s">
        <v>22</v>
      </c>
      <c r="D231" s="7" t="s">
        <v>20</v>
      </c>
      <c r="E231">
        <v>453.56189211030659</v>
      </c>
      <c r="F231">
        <v>0.65448327594494449</v>
      </c>
      <c r="G231">
        <v>0.86377662928309384</v>
      </c>
      <c r="H231">
        <v>0.86594777373651377</v>
      </c>
      <c r="I231">
        <v>1.0449509908199832</v>
      </c>
      <c r="J231">
        <f t="shared" si="33"/>
        <v>0.9545832889251431</v>
      </c>
      <c r="K231">
        <f t="shared" si="34"/>
        <v>0.95698268032196443</v>
      </c>
      <c r="L231">
        <f t="shared" si="35"/>
        <v>0.99749275358252665</v>
      </c>
      <c r="M231">
        <v>42.666666666666671</v>
      </c>
      <c r="N231">
        <v>0.450214665828926</v>
      </c>
      <c r="O231">
        <v>101.6</v>
      </c>
      <c r="P231">
        <v>38.099999999999994</v>
      </c>
      <c r="Q231">
        <v>6.35</v>
      </c>
      <c r="R231">
        <f t="shared" si="36"/>
        <v>9.5999999999999988E-2</v>
      </c>
      <c r="T231" t="s">
        <v>41</v>
      </c>
      <c r="W231" s="13">
        <f t="shared" si="37"/>
        <v>1.074892667085537</v>
      </c>
      <c r="X231" s="9">
        <f t="shared" si="38"/>
        <v>0.126</v>
      </c>
      <c r="Y231" s="13">
        <f t="shared" si="39"/>
        <v>0.88290774318449916</v>
      </c>
      <c r="Z231" s="9">
        <f t="shared" si="40"/>
        <v>0.93</v>
      </c>
      <c r="AA231" s="9">
        <f t="shared" si="41"/>
        <v>0.93001995605570908</v>
      </c>
      <c r="AB231" s="9">
        <f t="shared" si="42"/>
        <v>0.88261782365839481</v>
      </c>
      <c r="AC231" s="9">
        <f t="shared" si="43"/>
        <v>1.0218125771600681</v>
      </c>
    </row>
    <row r="232" spans="1:29" x14ac:dyDescent="0.35">
      <c r="A232" s="7">
        <v>229</v>
      </c>
      <c r="B232" s="8" t="s">
        <v>18</v>
      </c>
      <c r="C232" s="7" t="s">
        <v>14</v>
      </c>
      <c r="D232" s="7" t="s">
        <v>20</v>
      </c>
      <c r="E232">
        <v>1772.2335626440581</v>
      </c>
      <c r="F232">
        <v>0.62237108068540237</v>
      </c>
      <c r="G232">
        <v>0.86572008526514721</v>
      </c>
      <c r="H232">
        <v>0.8669717659983629</v>
      </c>
      <c r="I232">
        <v>1.0612526039916672</v>
      </c>
      <c r="J232">
        <f t="shared" si="33"/>
        <v>0.94092231905461698</v>
      </c>
      <c r="K232">
        <f t="shared" si="34"/>
        <v>0.9422827291435808</v>
      </c>
      <c r="L232">
        <f t="shared" si="35"/>
        <v>0.9985562612505906</v>
      </c>
      <c r="M232">
        <v>15</v>
      </c>
      <c r="N232">
        <v>0.48259605211607809</v>
      </c>
      <c r="O232">
        <v>150</v>
      </c>
      <c r="P232">
        <v>150</v>
      </c>
      <c r="Q232">
        <v>10</v>
      </c>
      <c r="R232">
        <f t="shared" si="36"/>
        <v>0.22500000000000001</v>
      </c>
      <c r="T232" t="s">
        <v>41</v>
      </c>
      <c r="W232" s="13">
        <f t="shared" si="37"/>
        <v>1.058701973941961</v>
      </c>
      <c r="X232" s="9">
        <f t="shared" si="38"/>
        <v>0.126</v>
      </c>
      <c r="Y232" s="13">
        <f t="shared" si="39"/>
        <v>0.89294932177258268</v>
      </c>
      <c r="Z232" s="9">
        <f t="shared" si="40"/>
        <v>0.93</v>
      </c>
      <c r="AA232" s="9">
        <f t="shared" si="41"/>
        <v>0.93035725796278479</v>
      </c>
      <c r="AB232" s="9">
        <f t="shared" si="42"/>
        <v>0.87952924488279671</v>
      </c>
      <c r="AC232" s="9">
        <f t="shared" si="43"/>
        <v>1.0159510676172196</v>
      </c>
    </row>
    <row r="233" spans="1:29" x14ac:dyDescent="0.35">
      <c r="A233" s="7">
        <v>230</v>
      </c>
      <c r="B233" s="8" t="s">
        <v>25</v>
      </c>
      <c r="C233" s="7" t="s">
        <v>23</v>
      </c>
      <c r="D233" s="7" t="s">
        <v>20</v>
      </c>
      <c r="E233">
        <v>1226.2002570852835</v>
      </c>
      <c r="F233">
        <v>0.63480119438718074</v>
      </c>
      <c r="G233">
        <v>0.86932745507874309</v>
      </c>
      <c r="H233">
        <v>0.8709172579308162</v>
      </c>
      <c r="I233">
        <v>1.0275136500389999</v>
      </c>
      <c r="J233">
        <f t="shared" si="33"/>
        <v>0.97144652526385744</v>
      </c>
      <c r="K233">
        <f t="shared" si="34"/>
        <v>0.97322308074646446</v>
      </c>
      <c r="L233">
        <f t="shared" si="35"/>
        <v>0.99817456499156965</v>
      </c>
      <c r="M233">
        <v>32.4</v>
      </c>
      <c r="N233">
        <v>0.51488086594144655</v>
      </c>
      <c r="O233">
        <v>180</v>
      </c>
      <c r="P233">
        <v>100</v>
      </c>
      <c r="Q233">
        <v>10</v>
      </c>
      <c r="R233">
        <f t="shared" si="36"/>
        <v>0.18</v>
      </c>
      <c r="T233" t="s">
        <v>41</v>
      </c>
      <c r="W233" s="13">
        <f t="shared" si="37"/>
        <v>1.0425595670292767</v>
      </c>
      <c r="X233" s="9">
        <f t="shared" si="38"/>
        <v>0.126</v>
      </c>
      <c r="Y233" s="13">
        <f t="shared" si="39"/>
        <v>0.88916760088867541</v>
      </c>
      <c r="Z233" s="9">
        <f t="shared" si="40"/>
        <v>0.93</v>
      </c>
      <c r="AA233" s="9">
        <f t="shared" si="41"/>
        <v>0.93108638002350574</v>
      </c>
      <c r="AB233" s="9">
        <f t="shared" si="42"/>
        <v>0.86312656111994579</v>
      </c>
      <c r="AC233" s="9">
        <f t="shared" si="43"/>
        <v>0.99286702160092755</v>
      </c>
    </row>
    <row r="234" spans="1:29" x14ac:dyDescent="0.35">
      <c r="A234" s="7">
        <v>231</v>
      </c>
      <c r="B234" s="8" t="s">
        <v>7</v>
      </c>
      <c r="C234" s="7" t="s">
        <v>9</v>
      </c>
      <c r="D234" s="7" t="s">
        <v>20</v>
      </c>
      <c r="E234">
        <v>960.82442759851369</v>
      </c>
      <c r="F234">
        <v>0.63001398366987593</v>
      </c>
      <c r="G234">
        <v>0.86265202700706578</v>
      </c>
      <c r="H234">
        <v>0.87595557364912946</v>
      </c>
      <c r="I234">
        <v>0.92636915215946536</v>
      </c>
      <c r="J234">
        <f t="shared" si="33"/>
        <v>1.0630886514212206</v>
      </c>
      <c r="K234">
        <f t="shared" si="34"/>
        <v>1.0794832682725815</v>
      </c>
      <c r="L234">
        <f t="shared" si="35"/>
        <v>0.98481253268742552</v>
      </c>
      <c r="M234">
        <v>44.326241134751783</v>
      </c>
      <c r="N234">
        <v>0.75898993726222364</v>
      </c>
      <c r="O234">
        <v>127</v>
      </c>
      <c r="P234">
        <v>76.199999999999989</v>
      </c>
      <c r="Q234">
        <v>4.7751999999999999</v>
      </c>
      <c r="R234">
        <f t="shared" si="36"/>
        <v>0.42440018107741062</v>
      </c>
      <c r="T234" t="s">
        <v>41</v>
      </c>
      <c r="W234" s="13">
        <f t="shared" si="37"/>
        <v>0.91192659401475895</v>
      </c>
      <c r="X234" s="9">
        <f t="shared" si="38"/>
        <v>0.126</v>
      </c>
      <c r="Y234" s="13">
        <f t="shared" si="39"/>
        <v>0.89063934540722223</v>
      </c>
      <c r="Z234" s="9">
        <f t="shared" si="40"/>
        <v>0.97</v>
      </c>
      <c r="AA234" s="9">
        <f t="shared" si="41"/>
        <v>0.97329065856154784</v>
      </c>
      <c r="AB234" s="9">
        <f t="shared" si="42"/>
        <v>0.79050443894097455</v>
      </c>
      <c r="AC234" s="9">
        <f t="shared" si="43"/>
        <v>0.91636536424031345</v>
      </c>
    </row>
    <row r="235" spans="1:29" x14ac:dyDescent="0.35">
      <c r="A235" s="7">
        <v>232</v>
      </c>
      <c r="B235" s="8" t="s">
        <v>3</v>
      </c>
      <c r="C235" s="7" t="s">
        <v>9</v>
      </c>
      <c r="D235" s="7" t="s">
        <v>20</v>
      </c>
      <c r="E235">
        <v>1864.9803179733801</v>
      </c>
      <c r="F235">
        <v>0.61927324339205381</v>
      </c>
      <c r="G235">
        <v>0.77373628304137165</v>
      </c>
      <c r="H235">
        <v>0.87291942289083468</v>
      </c>
      <c r="I235">
        <v>0.7849848354589184</v>
      </c>
      <c r="J235">
        <f t="shared" si="33"/>
        <v>1.1291653401185049</v>
      </c>
      <c r="K235">
        <f t="shared" si="34"/>
        <v>1.2739099595667722</v>
      </c>
      <c r="L235">
        <f t="shared" si="35"/>
        <v>0.88637766871883816</v>
      </c>
      <c r="M235">
        <v>31.914893617021278</v>
      </c>
      <c r="N235">
        <v>1.0177876218361828</v>
      </c>
      <c r="O235">
        <v>152.39999999999998</v>
      </c>
      <c r="P235">
        <v>152.39999999999998</v>
      </c>
      <c r="Q235">
        <v>4.7751999999999999</v>
      </c>
      <c r="R235">
        <f t="shared" si="36"/>
        <v>1.0185604345857853</v>
      </c>
      <c r="T235" t="s">
        <v>41</v>
      </c>
      <c r="W235" s="13">
        <f t="shared" si="37"/>
        <v>0.77731603668182259</v>
      </c>
      <c r="X235" s="9">
        <f t="shared" si="38"/>
        <v>0.126</v>
      </c>
      <c r="Y235" s="13">
        <f t="shared" si="39"/>
        <v>0.89387195491006088</v>
      </c>
      <c r="Z235" s="9">
        <f t="shared" si="40"/>
        <v>0.97</v>
      </c>
      <c r="AA235" s="9">
        <f t="shared" si="41"/>
        <v>0.97418246370324058</v>
      </c>
      <c r="AB235" s="9">
        <f t="shared" si="42"/>
        <v>0.67688243876785137</v>
      </c>
      <c r="AC235" s="9">
        <f t="shared" si="43"/>
        <v>0.87482318407919157</v>
      </c>
    </row>
    <row r="236" spans="1:29" x14ac:dyDescent="0.35">
      <c r="A236" s="7">
        <v>233</v>
      </c>
      <c r="B236" s="8" t="s">
        <v>13</v>
      </c>
      <c r="C236" s="7" t="s">
        <v>23</v>
      </c>
      <c r="D236" s="7" t="s">
        <v>20</v>
      </c>
      <c r="E236">
        <v>675.37146196922731</v>
      </c>
      <c r="F236">
        <v>0.65229123637753561</v>
      </c>
      <c r="G236">
        <v>0.6280077815807048</v>
      </c>
      <c r="H236">
        <v>0.87638526309713938</v>
      </c>
      <c r="I236">
        <v>0.67520082576642282</v>
      </c>
      <c r="J236">
        <f t="shared" si="33"/>
        <v>1.0612971409190075</v>
      </c>
      <c r="K236">
        <f t="shared" si="34"/>
        <v>1.4810408427224544</v>
      </c>
      <c r="L236">
        <f t="shared" si="35"/>
        <v>0.71658870593205748</v>
      </c>
      <c r="M236">
        <v>143.99999999999997</v>
      </c>
      <c r="N236">
        <v>1.299564366942177</v>
      </c>
      <c r="O236">
        <v>152.39999999999998</v>
      </c>
      <c r="P236">
        <v>50.8</v>
      </c>
      <c r="Q236">
        <v>3.1749999999999998</v>
      </c>
      <c r="R236">
        <f t="shared" si="36"/>
        <v>0.7679999999999999</v>
      </c>
      <c r="T236" t="s">
        <v>41</v>
      </c>
      <c r="W236" s="13">
        <f t="shared" si="37"/>
        <v>0.68252957546685222</v>
      </c>
      <c r="X236" s="9">
        <f t="shared" si="38"/>
        <v>0.126</v>
      </c>
      <c r="Y236" s="13">
        <f t="shared" si="39"/>
        <v>0.88362197981536195</v>
      </c>
      <c r="Z236" s="9">
        <f t="shared" si="40"/>
        <v>1</v>
      </c>
      <c r="AA236" s="9">
        <f t="shared" si="41"/>
        <v>1.0139447026163741</v>
      </c>
      <c r="AB236" s="9">
        <f t="shared" si="42"/>
        <v>0.6115081588942286</v>
      </c>
      <c r="AC236" s="9">
        <f t="shared" si="43"/>
        <v>0.97372704101699759</v>
      </c>
    </row>
    <row r="237" spans="1:29" x14ac:dyDescent="0.35">
      <c r="A237" s="7">
        <v>234</v>
      </c>
      <c r="B237" s="8" t="s">
        <v>12</v>
      </c>
      <c r="C237" s="7" t="s">
        <v>22</v>
      </c>
      <c r="D237" s="7" t="s">
        <v>20</v>
      </c>
      <c r="E237">
        <v>599.65890894074971</v>
      </c>
      <c r="F237">
        <v>0.66054438937280391</v>
      </c>
      <c r="G237">
        <v>0.54809495496684879</v>
      </c>
      <c r="H237">
        <v>0.87096227400899917</v>
      </c>
      <c r="I237">
        <v>0.60131279916885161</v>
      </c>
      <c r="J237">
        <f t="shared" si="33"/>
        <v>1.0465404347815248</v>
      </c>
      <c r="K237">
        <f t="shared" si="34"/>
        <v>1.6630279637856087</v>
      </c>
      <c r="L237">
        <f t="shared" si="35"/>
        <v>0.62929815828186575</v>
      </c>
      <c r="M237">
        <v>205.71428571428569</v>
      </c>
      <c r="N237">
        <v>1.6063188451282615</v>
      </c>
      <c r="O237">
        <v>152.39999999999998</v>
      </c>
      <c r="P237">
        <v>44.449999999999996</v>
      </c>
      <c r="Q237">
        <v>2.54</v>
      </c>
      <c r="R237">
        <f t="shared" si="36"/>
        <v>1.0499999999999998</v>
      </c>
      <c r="T237" t="s">
        <v>41</v>
      </c>
      <c r="W237" s="13">
        <f t="shared" si="37"/>
        <v>0.59882836022904706</v>
      </c>
      <c r="X237" s="9">
        <f t="shared" si="38"/>
        <v>0.126</v>
      </c>
      <c r="Y237" s="13">
        <f t="shared" si="39"/>
        <v>0.88090992638546228</v>
      </c>
      <c r="Z237" s="9">
        <f t="shared" si="40"/>
        <v>1</v>
      </c>
      <c r="AA237" s="9">
        <f t="shared" si="41"/>
        <v>1.0195765564196542</v>
      </c>
      <c r="AB237" s="9">
        <f t="shared" si="42"/>
        <v>0.53784075130949482</v>
      </c>
      <c r="AC237" s="9">
        <f t="shared" si="43"/>
        <v>0.98129119130831233</v>
      </c>
    </row>
    <row r="238" spans="1:29" x14ac:dyDescent="0.35">
      <c r="A238" s="7">
        <v>235</v>
      </c>
      <c r="B238" s="8" t="s">
        <v>17</v>
      </c>
      <c r="C238" s="7" t="s">
        <v>14</v>
      </c>
      <c r="D238" s="7" t="s">
        <v>20</v>
      </c>
      <c r="E238">
        <v>4433.7314269083054</v>
      </c>
      <c r="F238">
        <v>0.98628719603045245</v>
      </c>
      <c r="G238">
        <v>0.67713977248171764</v>
      </c>
      <c r="H238">
        <v>0.67823709773856511</v>
      </c>
      <c r="I238">
        <v>1.0642444642444642</v>
      </c>
      <c r="J238">
        <f t="shared" si="33"/>
        <v>0.93811349318483905</v>
      </c>
      <c r="K238">
        <f t="shared" si="34"/>
        <v>0.93963373416269258</v>
      </c>
      <c r="L238">
        <f t="shared" si="35"/>
        <v>0.99838209195500183</v>
      </c>
      <c r="M238">
        <v>3.75</v>
      </c>
      <c r="N238">
        <v>0.23188171752169098</v>
      </c>
      <c r="O238">
        <v>300</v>
      </c>
      <c r="P238">
        <v>300</v>
      </c>
      <c r="Q238">
        <v>80</v>
      </c>
      <c r="R238">
        <f t="shared" si="36"/>
        <v>1.40625E-2</v>
      </c>
      <c r="T238" t="s">
        <v>41</v>
      </c>
      <c r="W238" s="13">
        <f t="shared" si="37"/>
        <v>1.1840591412391546</v>
      </c>
      <c r="X238" s="9">
        <f t="shared" si="38"/>
        <v>0.126</v>
      </c>
      <c r="Y238" s="13">
        <f t="shared" si="39"/>
        <v>0.71206663743094167</v>
      </c>
      <c r="Z238" s="9">
        <f t="shared" si="40"/>
        <v>0.93</v>
      </c>
      <c r="AA238" s="9">
        <f t="shared" si="41"/>
        <v>0.88606546022181243</v>
      </c>
      <c r="AB238" s="9">
        <f t="shared" si="42"/>
        <v>0.74706749535436956</v>
      </c>
      <c r="AC238" s="9">
        <f t="shared" si="43"/>
        <v>1.1032692594859208</v>
      </c>
    </row>
    <row r="239" spans="1:29" x14ac:dyDescent="0.35">
      <c r="A239" s="7">
        <v>236</v>
      </c>
      <c r="B239" s="8" t="s">
        <v>24</v>
      </c>
      <c r="C239" s="7" t="s">
        <v>23</v>
      </c>
      <c r="D239" s="7" t="s">
        <v>20</v>
      </c>
      <c r="E239">
        <v>2319.23339377613</v>
      </c>
      <c r="F239">
        <v>0.96893846319938248</v>
      </c>
      <c r="G239">
        <v>0.73191015096023815</v>
      </c>
      <c r="H239">
        <v>0.73389134381121712</v>
      </c>
      <c r="I239">
        <v>1.1530470367034806</v>
      </c>
      <c r="J239">
        <f t="shared" si="33"/>
        <v>0.86492605748683271</v>
      </c>
      <c r="K239">
        <f t="shared" si="34"/>
        <v>0.86726730841697797</v>
      </c>
      <c r="L239">
        <f t="shared" si="35"/>
        <v>0.99730042755281678</v>
      </c>
      <c r="M239">
        <v>9.9206349206349209</v>
      </c>
      <c r="N239">
        <v>0.29753883438297207</v>
      </c>
      <c r="O239">
        <v>250</v>
      </c>
      <c r="P239">
        <v>150</v>
      </c>
      <c r="Q239">
        <v>42</v>
      </c>
      <c r="R239">
        <f t="shared" si="36"/>
        <v>2.1258503401360547E-2</v>
      </c>
      <c r="T239" t="s">
        <v>41</v>
      </c>
      <c r="W239" s="13">
        <f t="shared" si="37"/>
        <v>1.1512305828085141</v>
      </c>
      <c r="X239" s="9">
        <f t="shared" si="38"/>
        <v>0.126</v>
      </c>
      <c r="Y239" s="13">
        <f t="shared" si="39"/>
        <v>0.72400918731659736</v>
      </c>
      <c r="Z239" s="9">
        <f t="shared" si="40"/>
        <v>0.93</v>
      </c>
      <c r="AA239" s="9">
        <f t="shared" si="41"/>
        <v>0.90133558656033852</v>
      </c>
      <c r="AB239" s="9">
        <f t="shared" si="42"/>
        <v>0.75126458023224618</v>
      </c>
      <c r="AC239" s="9">
        <f t="shared" si="43"/>
        <v>1.026443722971482</v>
      </c>
    </row>
    <row r="240" spans="1:29" x14ac:dyDescent="0.35">
      <c r="A240" s="7">
        <v>237</v>
      </c>
      <c r="B240" s="8" t="s">
        <v>15</v>
      </c>
      <c r="C240" s="7" t="s">
        <v>14</v>
      </c>
      <c r="D240" s="7" t="s">
        <v>20</v>
      </c>
      <c r="E240">
        <v>4125.6958795127803</v>
      </c>
      <c r="F240">
        <v>0.93505148544648831</v>
      </c>
      <c r="G240">
        <v>0.72288446985995658</v>
      </c>
      <c r="H240">
        <v>0.7234350464750845</v>
      </c>
      <c r="I240" t="s">
        <v>30</v>
      </c>
      <c r="J240" t="e">
        <f t="shared" si="33"/>
        <v>#VALUE!</v>
      </c>
      <c r="K240" t="e">
        <f t="shared" si="34"/>
        <v>#VALUE!</v>
      </c>
      <c r="L240" t="e">
        <f t="shared" si="35"/>
        <v>#VALUE!</v>
      </c>
      <c r="M240">
        <v>7.1428571428571432</v>
      </c>
      <c r="N240">
        <v>0.2441499128436202</v>
      </c>
      <c r="O240">
        <v>250</v>
      </c>
      <c r="P240">
        <v>250</v>
      </c>
      <c r="Q240">
        <v>35</v>
      </c>
      <c r="R240">
        <f t="shared" si="36"/>
        <v>5.1020408163265307E-2</v>
      </c>
      <c r="T240" t="s">
        <v>41</v>
      </c>
      <c r="W240" s="13">
        <f t="shared" si="37"/>
        <v>1.1779250435781901</v>
      </c>
      <c r="X240" s="9">
        <f t="shared" si="38"/>
        <v>0.126</v>
      </c>
      <c r="Y240" s="13">
        <f t="shared" si="39"/>
        <v>0.74663893512191926</v>
      </c>
      <c r="Z240" s="9">
        <f t="shared" si="40"/>
        <v>0.93</v>
      </c>
      <c r="AA240" s="9">
        <f t="shared" si="41"/>
        <v>0.89418959681425503</v>
      </c>
      <c r="AB240" s="9">
        <f t="shared" si="42"/>
        <v>0.78642606946779237</v>
      </c>
      <c r="AC240" s="9">
        <f t="shared" si="43"/>
        <v>1.087900075678961</v>
      </c>
    </row>
    <row r="241" spans="1:29" x14ac:dyDescent="0.35">
      <c r="A241" s="7">
        <v>238</v>
      </c>
      <c r="B241" s="8" t="s">
        <v>11</v>
      </c>
      <c r="C241" s="7" t="s">
        <v>22</v>
      </c>
      <c r="D241" s="7" t="s">
        <v>20</v>
      </c>
      <c r="E241">
        <v>868.2625389104943</v>
      </c>
      <c r="F241">
        <v>0.94336421939684867</v>
      </c>
      <c r="G241">
        <v>0.76212695206583347</v>
      </c>
      <c r="H241">
        <v>0.76391975396444289</v>
      </c>
      <c r="I241">
        <v>1.1799990649244503</v>
      </c>
      <c r="J241">
        <f t="shared" si="33"/>
        <v>0.84546944469092122</v>
      </c>
      <c r="K241">
        <f t="shared" si="34"/>
        <v>0.84745829867587674</v>
      </c>
      <c r="L241">
        <f t="shared" si="35"/>
        <v>0.99765315415748124</v>
      </c>
      <c r="M241">
        <v>21.333333333333336</v>
      </c>
      <c r="N241">
        <v>0.33394501352257799</v>
      </c>
      <c r="O241">
        <v>101.6</v>
      </c>
      <c r="P241">
        <v>50.8</v>
      </c>
      <c r="Q241">
        <v>9.5249999999999986</v>
      </c>
      <c r="R241">
        <f t="shared" si="36"/>
        <v>5.6888888888888899E-2</v>
      </c>
      <c r="T241" t="s">
        <v>41</v>
      </c>
      <c r="W241" s="13">
        <f t="shared" si="37"/>
        <v>1.133027493238711</v>
      </c>
      <c r="X241" s="9">
        <f t="shared" si="38"/>
        <v>0.126</v>
      </c>
      <c r="Y241" s="13">
        <f t="shared" si="39"/>
        <v>0.74118299251424014</v>
      </c>
      <c r="Z241" s="9">
        <f t="shared" si="40"/>
        <v>0.93</v>
      </c>
      <c r="AA241" s="9">
        <f t="shared" si="41"/>
        <v>0.909956167178676</v>
      </c>
      <c r="AB241" s="9">
        <f t="shared" si="42"/>
        <v>0.76416363435828716</v>
      </c>
      <c r="AC241" s="9">
        <f t="shared" si="43"/>
        <v>1.0026723661811632</v>
      </c>
    </row>
    <row r="242" spans="1:29" x14ac:dyDescent="0.35">
      <c r="A242" s="7">
        <v>239</v>
      </c>
      <c r="B242" s="8" t="s">
        <v>8</v>
      </c>
      <c r="C242" s="7" t="s">
        <v>9</v>
      </c>
      <c r="D242" s="7" t="s">
        <v>20</v>
      </c>
      <c r="E242">
        <v>1789.2714841468246</v>
      </c>
      <c r="F242">
        <v>0.93089270128162394</v>
      </c>
      <c r="G242">
        <v>0.76471726662165207</v>
      </c>
      <c r="H242">
        <v>0.76599275997424965</v>
      </c>
      <c r="I242">
        <v>1.1571559669013016</v>
      </c>
      <c r="J242">
        <f t="shared" si="33"/>
        <v>0.862748737328625</v>
      </c>
      <c r="K242">
        <f t="shared" si="34"/>
        <v>0.86418774011757216</v>
      </c>
      <c r="L242">
        <f t="shared" si="35"/>
        <v>0.99833484933638217</v>
      </c>
      <c r="M242">
        <v>17.999999999999996</v>
      </c>
      <c r="N242">
        <v>0.35613649789943669</v>
      </c>
      <c r="O242">
        <v>152.39999999999998</v>
      </c>
      <c r="P242">
        <v>101.6</v>
      </c>
      <c r="Q242">
        <v>12.7</v>
      </c>
      <c r="R242">
        <f t="shared" si="36"/>
        <v>9.5999999999999988E-2</v>
      </c>
      <c r="T242" t="s">
        <v>41</v>
      </c>
      <c r="W242" s="13">
        <f t="shared" si="37"/>
        <v>1.1219317510502818</v>
      </c>
      <c r="X242" s="9">
        <f t="shared" si="38"/>
        <v>0.126</v>
      </c>
      <c r="Y242" s="13">
        <f t="shared" si="39"/>
        <v>0.74934326356834968</v>
      </c>
      <c r="Z242" s="9">
        <f t="shared" si="40"/>
        <v>0.93</v>
      </c>
      <c r="AA242" s="9">
        <f t="shared" si="41"/>
        <v>0.91450694852910419</v>
      </c>
      <c r="AB242" s="9">
        <f t="shared" si="42"/>
        <v>0.76883696555905146</v>
      </c>
      <c r="AC242" s="9">
        <f t="shared" si="43"/>
        <v>1.005387218410275</v>
      </c>
    </row>
    <row r="243" spans="1:29" x14ac:dyDescent="0.35">
      <c r="A243" s="7">
        <v>240</v>
      </c>
      <c r="B243" s="8" t="s">
        <v>16</v>
      </c>
      <c r="C243" s="7" t="s">
        <v>14</v>
      </c>
      <c r="D243" s="7" t="s">
        <v>20</v>
      </c>
      <c r="E243">
        <v>4372.6297723464259</v>
      </c>
      <c r="F243">
        <v>0.92214429297353084</v>
      </c>
      <c r="G243">
        <v>0.73656710694524918</v>
      </c>
      <c r="H243">
        <v>0.73744399303083519</v>
      </c>
      <c r="I243">
        <v>1.1074743527112847</v>
      </c>
      <c r="J243">
        <f t="shared" si="33"/>
        <v>0.90188175389457448</v>
      </c>
      <c r="K243">
        <f t="shared" si="34"/>
        <v>0.9029554477282753</v>
      </c>
      <c r="L243">
        <f t="shared" si="35"/>
        <v>0.99881091161651214</v>
      </c>
      <c r="M243">
        <v>12.5</v>
      </c>
      <c r="N243">
        <v>0.40484164645387144</v>
      </c>
      <c r="O243">
        <v>250</v>
      </c>
      <c r="P243">
        <v>250</v>
      </c>
      <c r="Q243">
        <v>20</v>
      </c>
      <c r="R243">
        <f t="shared" si="36"/>
        <v>0.15625</v>
      </c>
      <c r="T243" t="s">
        <v>41</v>
      </c>
      <c r="W243" s="13">
        <f t="shared" si="37"/>
        <v>1.0975791767730643</v>
      </c>
      <c r="X243" s="9">
        <f t="shared" si="38"/>
        <v>0.126</v>
      </c>
      <c r="Y243" s="13">
        <f t="shared" si="39"/>
        <v>0.75497495242477808</v>
      </c>
      <c r="Z243" s="9">
        <f t="shared" si="40"/>
        <v>0.93</v>
      </c>
      <c r="AA243" s="9">
        <f t="shared" si="41"/>
        <v>0.92290027462706026</v>
      </c>
      <c r="AB243" s="9">
        <f t="shared" si="42"/>
        <v>0.76475650127524275</v>
      </c>
      <c r="AC243" s="9">
        <f t="shared" si="43"/>
        <v>1.0382713184775558</v>
      </c>
    </row>
    <row r="244" spans="1:29" x14ac:dyDescent="0.35">
      <c r="A244" s="7">
        <v>241</v>
      </c>
      <c r="B244" s="8" t="s">
        <v>10</v>
      </c>
      <c r="C244" s="7" t="s">
        <v>22</v>
      </c>
      <c r="D244" s="7" t="s">
        <v>20</v>
      </c>
      <c r="E244">
        <v>680.34283816545985</v>
      </c>
      <c r="F244">
        <v>0.9448803861616859</v>
      </c>
      <c r="G244">
        <v>0.76685942711069366</v>
      </c>
      <c r="H244">
        <v>0.77261761204276114</v>
      </c>
      <c r="I244">
        <v>1.0449509908199832</v>
      </c>
      <c r="J244">
        <f t="shared" si="33"/>
        <v>0.94985045454275907</v>
      </c>
      <c r="K244">
        <f t="shared" si="34"/>
        <v>0.95698268032196443</v>
      </c>
      <c r="L244">
        <f t="shared" si="35"/>
        <v>0.99254717360526756</v>
      </c>
      <c r="M244">
        <v>42.666666666666671</v>
      </c>
      <c r="N244">
        <v>0.450214665828926</v>
      </c>
      <c r="O244">
        <v>101.6</v>
      </c>
      <c r="P244">
        <v>38.099999999999994</v>
      </c>
      <c r="Q244">
        <v>6.35</v>
      </c>
      <c r="R244">
        <f t="shared" si="36"/>
        <v>9.5999999999999988E-2</v>
      </c>
      <c r="T244" t="s">
        <v>41</v>
      </c>
      <c r="W244" s="13">
        <f t="shared" si="37"/>
        <v>1.074892667085537</v>
      </c>
      <c r="X244" s="9">
        <f t="shared" si="38"/>
        <v>0.126</v>
      </c>
      <c r="Y244" s="13">
        <f t="shared" si="39"/>
        <v>0.74018082992818024</v>
      </c>
      <c r="Z244" s="9">
        <f t="shared" si="40"/>
        <v>0.93</v>
      </c>
      <c r="AA244" s="9">
        <f t="shared" si="41"/>
        <v>0.93012632229027792</v>
      </c>
      <c r="AB244" s="9">
        <f t="shared" si="42"/>
        <v>0.74002240406080133</v>
      </c>
      <c r="AC244" s="9">
        <f t="shared" si="43"/>
        <v>0.96500398625729034</v>
      </c>
    </row>
    <row r="245" spans="1:29" x14ac:dyDescent="0.35">
      <c r="A245" s="7">
        <v>242</v>
      </c>
      <c r="B245" s="8" t="s">
        <v>18</v>
      </c>
      <c r="C245" s="7" t="s">
        <v>14</v>
      </c>
      <c r="D245" s="7" t="s">
        <v>20</v>
      </c>
      <c r="E245">
        <v>2658.3503439660872</v>
      </c>
      <c r="F245">
        <v>0.91994991387120306</v>
      </c>
      <c r="G245">
        <v>0.73878729696706269</v>
      </c>
      <c r="H245">
        <v>0.74014367396954461</v>
      </c>
      <c r="I245">
        <v>1.0612526039916672</v>
      </c>
      <c r="J245">
        <f t="shared" si="33"/>
        <v>0.94055591492007806</v>
      </c>
      <c r="K245">
        <f t="shared" si="34"/>
        <v>0.9422827291435808</v>
      </c>
      <c r="L245">
        <f t="shared" si="35"/>
        <v>0.9981674139086979</v>
      </c>
      <c r="M245">
        <v>15</v>
      </c>
      <c r="N245">
        <v>0.48259605211607809</v>
      </c>
      <c r="O245">
        <v>150</v>
      </c>
      <c r="P245">
        <v>150</v>
      </c>
      <c r="Q245">
        <v>10</v>
      </c>
      <c r="R245">
        <f t="shared" si="36"/>
        <v>0.22500000000000001</v>
      </c>
      <c r="T245" t="s">
        <v>41</v>
      </c>
      <c r="W245" s="13">
        <f t="shared" si="37"/>
        <v>1.058701973941961</v>
      </c>
      <c r="X245" s="9">
        <f t="shared" si="38"/>
        <v>0.126</v>
      </c>
      <c r="Y245" s="13">
        <f t="shared" si="39"/>
        <v>0.75637509288908011</v>
      </c>
      <c r="Z245" s="9">
        <f t="shared" si="40"/>
        <v>0.93</v>
      </c>
      <c r="AA245" s="9">
        <f t="shared" si="41"/>
        <v>0.93510948290921647</v>
      </c>
      <c r="AB245" s="9">
        <f t="shared" si="42"/>
        <v>0.7488130478944991</v>
      </c>
      <c r="AC245" s="9">
        <f t="shared" si="43"/>
        <v>1.013570551319162</v>
      </c>
    </row>
    <row r="246" spans="1:29" x14ac:dyDescent="0.35">
      <c r="A246" s="7">
        <v>243</v>
      </c>
      <c r="B246" s="8" t="s">
        <v>25</v>
      </c>
      <c r="C246" s="7" t="s">
        <v>23</v>
      </c>
      <c r="D246" s="7" t="s">
        <v>20</v>
      </c>
      <c r="E246">
        <v>1839.3003856279254</v>
      </c>
      <c r="F246">
        <v>0.92880021756488751</v>
      </c>
      <c r="G246">
        <v>0.7716420393754484</v>
      </c>
      <c r="H246">
        <v>0.77539498418376773</v>
      </c>
      <c r="I246">
        <v>1.0275136500389999</v>
      </c>
      <c r="J246">
        <f t="shared" si="33"/>
        <v>0.96851263950977162</v>
      </c>
      <c r="K246">
        <f t="shared" si="34"/>
        <v>0.97322308074646446</v>
      </c>
      <c r="L246">
        <f t="shared" si="35"/>
        <v>0.99515995733159157</v>
      </c>
      <c r="M246">
        <v>32.4</v>
      </c>
      <c r="N246">
        <v>0.51488086594144655</v>
      </c>
      <c r="O246">
        <v>180</v>
      </c>
      <c r="P246">
        <v>100</v>
      </c>
      <c r="Q246">
        <v>10</v>
      </c>
      <c r="R246">
        <f t="shared" si="36"/>
        <v>0.18</v>
      </c>
      <c r="T246" t="s">
        <v>41</v>
      </c>
      <c r="W246" s="13">
        <f t="shared" si="37"/>
        <v>1.0425595670292767</v>
      </c>
      <c r="X246" s="9">
        <f t="shared" si="38"/>
        <v>0.126</v>
      </c>
      <c r="Y246" s="13">
        <f t="shared" si="39"/>
        <v>0.75069740044794275</v>
      </c>
      <c r="Z246" s="9">
        <f t="shared" si="40"/>
        <v>0.93</v>
      </c>
      <c r="AA246" s="9">
        <f t="shared" si="41"/>
        <v>0.94026407266695466</v>
      </c>
      <c r="AB246" s="9">
        <f t="shared" si="42"/>
        <v>0.73589462699049668</v>
      </c>
      <c r="AC246" s="9">
        <f t="shared" si="43"/>
        <v>0.95367358106372102</v>
      </c>
    </row>
    <row r="247" spans="1:29" x14ac:dyDescent="0.35">
      <c r="A247" s="7">
        <v>244</v>
      </c>
      <c r="B247" s="8" t="s">
        <v>7</v>
      </c>
      <c r="C247" s="7" t="s">
        <v>9</v>
      </c>
      <c r="D247" s="7" t="s">
        <v>20</v>
      </c>
      <c r="E247">
        <v>1441.2366413977704</v>
      </c>
      <c r="F247">
        <v>0.92351643624631885</v>
      </c>
      <c r="G247">
        <v>0.76363691630627628</v>
      </c>
      <c r="H247">
        <v>0.77861607904650432</v>
      </c>
      <c r="I247">
        <v>0.92636915215946536</v>
      </c>
      <c r="J247">
        <f t="shared" si="33"/>
        <v>1.0587159658934555</v>
      </c>
      <c r="K247">
        <f t="shared" si="34"/>
        <v>1.0794832682725815</v>
      </c>
      <c r="L247">
        <f t="shared" si="35"/>
        <v>0.98076181170240984</v>
      </c>
      <c r="M247">
        <v>44.326241134751783</v>
      </c>
      <c r="N247">
        <v>0.75898993726222364</v>
      </c>
      <c r="O247">
        <v>127</v>
      </c>
      <c r="P247">
        <v>76.199999999999989</v>
      </c>
      <c r="Q247">
        <v>4.7751999999999999</v>
      </c>
      <c r="R247">
        <f t="shared" si="36"/>
        <v>0.42440018107741062</v>
      </c>
      <c r="T247" t="s">
        <v>41</v>
      </c>
      <c r="W247" s="13">
        <f t="shared" si="37"/>
        <v>0.91192659401475895</v>
      </c>
      <c r="X247" s="9">
        <f t="shared" si="38"/>
        <v>0.126</v>
      </c>
      <c r="Y247" s="13">
        <f t="shared" si="39"/>
        <v>0.75409687447631979</v>
      </c>
      <c r="Z247" s="9">
        <f t="shared" si="40"/>
        <v>0.97</v>
      </c>
      <c r="AA247" s="9">
        <f t="shared" si="41"/>
        <v>1.0054695378809013</v>
      </c>
      <c r="AB247" s="9">
        <f t="shared" si="42"/>
        <v>0.69144229154665626</v>
      </c>
      <c r="AC247" s="9">
        <f t="shared" si="43"/>
        <v>0.90545948837986179</v>
      </c>
    </row>
    <row r="248" spans="1:29" x14ac:dyDescent="0.35">
      <c r="A248" s="7">
        <v>245</v>
      </c>
      <c r="B248" s="8" t="s">
        <v>3</v>
      </c>
      <c r="C248" s="7" t="s">
        <v>9</v>
      </c>
      <c r="D248" s="7" t="s">
        <v>20</v>
      </c>
      <c r="E248">
        <v>2797.4704769600698</v>
      </c>
      <c r="F248">
        <v>0.91511210135694498</v>
      </c>
      <c r="G248">
        <v>0.69557575685893303</v>
      </c>
      <c r="H248">
        <v>0.74609183049551553</v>
      </c>
      <c r="I248">
        <v>0.7849848354589184</v>
      </c>
      <c r="J248">
        <f t="shared" si="33"/>
        <v>1.1876565967855299</v>
      </c>
      <c r="K248">
        <f t="shared" si="34"/>
        <v>1.2739099595667722</v>
      </c>
      <c r="L248">
        <f t="shared" si="35"/>
        <v>0.93229241820938813</v>
      </c>
      <c r="M248">
        <v>31.914893617021278</v>
      </c>
      <c r="N248">
        <v>1.0177876218361828</v>
      </c>
      <c r="O248">
        <v>152.39999999999998</v>
      </c>
      <c r="P248">
        <v>152.39999999999998</v>
      </c>
      <c r="Q248">
        <v>4.7751999999999999</v>
      </c>
      <c r="R248">
        <f t="shared" si="36"/>
        <v>1.0185604345857853</v>
      </c>
      <c r="T248" t="s">
        <v>41</v>
      </c>
      <c r="W248" s="13">
        <f t="shared" si="37"/>
        <v>0.77731603668182259</v>
      </c>
      <c r="X248" s="9">
        <f t="shared" si="38"/>
        <v>0.126</v>
      </c>
      <c r="Y248" s="13">
        <f t="shared" si="39"/>
        <v>0.75944378628910425</v>
      </c>
      <c r="Z248" s="9">
        <f t="shared" si="40"/>
        <v>0.97</v>
      </c>
      <c r="AA248" s="9">
        <f t="shared" si="41"/>
        <v>1.0383821036017573</v>
      </c>
      <c r="AB248" s="9">
        <f t="shared" si="42"/>
        <v>0.61298585812604178</v>
      </c>
      <c r="AC248" s="9">
        <f t="shared" si="43"/>
        <v>0.88126397747694796</v>
      </c>
    </row>
    <row r="249" spans="1:29" x14ac:dyDescent="0.35">
      <c r="A249" s="7">
        <v>246</v>
      </c>
      <c r="B249" s="8" t="s">
        <v>13</v>
      </c>
      <c r="C249" s="7" t="s">
        <v>23</v>
      </c>
      <c r="D249" s="7" t="s">
        <v>20</v>
      </c>
      <c r="E249">
        <v>1013.0571929538411</v>
      </c>
      <c r="F249">
        <v>0.93790163256563375</v>
      </c>
      <c r="G249">
        <v>0.54468513876488134</v>
      </c>
      <c r="H249">
        <v>0.78444739473807135</v>
      </c>
      <c r="I249">
        <v>0.67520082576642282</v>
      </c>
      <c r="J249">
        <f t="shared" si="33"/>
        <v>1.0283684315174455</v>
      </c>
      <c r="K249">
        <f t="shared" si="34"/>
        <v>1.4810408427224544</v>
      </c>
      <c r="L249">
        <f t="shared" si="35"/>
        <v>0.6943552141527003</v>
      </c>
      <c r="M249">
        <v>143.99999999999997</v>
      </c>
      <c r="N249">
        <v>1.299564366942177</v>
      </c>
      <c r="O249">
        <v>152.39999999999998</v>
      </c>
      <c r="P249">
        <v>50.8</v>
      </c>
      <c r="Q249">
        <v>3.1749999999999998</v>
      </c>
      <c r="R249">
        <f t="shared" si="36"/>
        <v>0.7679999999999999</v>
      </c>
      <c r="T249" t="s">
        <v>41</v>
      </c>
      <c r="W249" s="13">
        <f t="shared" si="37"/>
        <v>0.68252957546685222</v>
      </c>
      <c r="X249" s="9">
        <f t="shared" si="38"/>
        <v>0.126</v>
      </c>
      <c r="Y249" s="13">
        <f t="shared" si="39"/>
        <v>0.74477575206779678</v>
      </c>
      <c r="Z249" s="9">
        <f t="shared" si="40"/>
        <v>1</v>
      </c>
      <c r="AA249" s="9">
        <f t="shared" si="41"/>
        <v>1.0901095117678139</v>
      </c>
      <c r="AB249" s="9">
        <f t="shared" si="42"/>
        <v>0.5541369791645322</v>
      </c>
      <c r="AC249" s="9">
        <f t="shared" si="43"/>
        <v>1.0173528516329335</v>
      </c>
    </row>
    <row r="250" spans="1:29" x14ac:dyDescent="0.35">
      <c r="A250" s="7">
        <v>247</v>
      </c>
      <c r="B250" s="8" t="s">
        <v>12</v>
      </c>
      <c r="C250" s="7" t="s">
        <v>22</v>
      </c>
      <c r="D250" s="7" t="s">
        <v>20</v>
      </c>
      <c r="E250">
        <v>899.48836341112462</v>
      </c>
      <c r="F250">
        <v>0.94348858205039288</v>
      </c>
      <c r="G250">
        <v>0.46102202873859743</v>
      </c>
      <c r="H250">
        <v>0.78439635710912869</v>
      </c>
      <c r="I250">
        <v>0.60131279916885161</v>
      </c>
      <c r="J250">
        <f t="shared" si="33"/>
        <v>0.97742999284071685</v>
      </c>
      <c r="K250">
        <f t="shared" si="34"/>
        <v>1.6630279637856087</v>
      </c>
      <c r="L250">
        <f t="shared" si="35"/>
        <v>0.58774116498664208</v>
      </c>
      <c r="M250">
        <v>205.71428571428569</v>
      </c>
      <c r="N250">
        <v>1.6063188451282615</v>
      </c>
      <c r="O250">
        <v>152.39999999999998</v>
      </c>
      <c r="P250">
        <v>44.449999999999996</v>
      </c>
      <c r="Q250">
        <v>2.54</v>
      </c>
      <c r="R250">
        <f t="shared" si="36"/>
        <v>1.0499999999999998</v>
      </c>
      <c r="T250" t="s">
        <v>41</v>
      </c>
      <c r="W250" s="13">
        <f t="shared" si="37"/>
        <v>0.59882836022904706</v>
      </c>
      <c r="X250" s="9">
        <f t="shared" si="38"/>
        <v>0.126</v>
      </c>
      <c r="Y250" s="13">
        <f t="shared" si="39"/>
        <v>0.74110087117044654</v>
      </c>
      <c r="Z250" s="9">
        <f t="shared" si="40"/>
        <v>1</v>
      </c>
      <c r="AA250" s="9">
        <f t="shared" si="41"/>
        <v>1.1110643558499083</v>
      </c>
      <c r="AB250" s="9">
        <f t="shared" si="42"/>
        <v>0.49308171643143417</v>
      </c>
      <c r="AC250" s="9">
        <f t="shared" si="43"/>
        <v>1.0695404681215674</v>
      </c>
    </row>
    <row r="251" spans="1:29" x14ac:dyDescent="0.35">
      <c r="A251" s="7">
        <v>248</v>
      </c>
      <c r="B251" s="8" t="s">
        <v>17</v>
      </c>
      <c r="C251" s="7" t="s">
        <v>14</v>
      </c>
      <c r="D251" s="7" t="s">
        <v>20</v>
      </c>
      <c r="E251">
        <v>5911.6419025444065</v>
      </c>
      <c r="F251">
        <v>1.3089934634299814</v>
      </c>
      <c r="G251">
        <v>0.48199687970761934</v>
      </c>
      <c r="H251">
        <v>0.48300491032121406</v>
      </c>
      <c r="I251">
        <v>1.0642444642444642</v>
      </c>
      <c r="J251">
        <f t="shared" si="33"/>
        <v>0.93767271979335132</v>
      </c>
      <c r="K251">
        <f t="shared" si="34"/>
        <v>0.93963373416269258</v>
      </c>
      <c r="L251">
        <f t="shared" si="35"/>
        <v>0.99791300131312466</v>
      </c>
      <c r="M251">
        <v>3.75</v>
      </c>
      <c r="N251">
        <v>0.23188171752169098</v>
      </c>
      <c r="O251">
        <v>300</v>
      </c>
      <c r="P251">
        <v>300</v>
      </c>
      <c r="Q251">
        <v>80</v>
      </c>
      <c r="R251">
        <f t="shared" si="36"/>
        <v>1.40625E-2</v>
      </c>
      <c r="T251" t="s">
        <v>41</v>
      </c>
      <c r="W251" s="13">
        <f t="shared" si="37"/>
        <v>1.1840591412391546</v>
      </c>
      <c r="X251" s="9">
        <f t="shared" si="38"/>
        <v>0.126</v>
      </c>
      <c r="Y251" s="13">
        <f t="shared" si="39"/>
        <v>0.49082495179828095</v>
      </c>
      <c r="Z251" s="9">
        <f t="shared" si="40"/>
        <v>0.93</v>
      </c>
      <c r="AA251" s="9">
        <f t="shared" si="41"/>
        <v>0.84936232460812944</v>
      </c>
      <c r="AB251" s="9">
        <f t="shared" si="42"/>
        <v>0.4936203101755523</v>
      </c>
      <c r="AC251" s="9">
        <f t="shared" si="43"/>
        <v>1.0241151570835558</v>
      </c>
    </row>
    <row r="252" spans="1:29" x14ac:dyDescent="0.35">
      <c r="A252" s="7">
        <v>249</v>
      </c>
      <c r="B252" s="8" t="s">
        <v>24</v>
      </c>
      <c r="C252" s="7" t="s">
        <v>23</v>
      </c>
      <c r="D252" s="7" t="s">
        <v>20</v>
      </c>
      <c r="E252">
        <v>3092.3111917015067</v>
      </c>
      <c r="F252">
        <v>1.2816238455294844</v>
      </c>
      <c r="G252">
        <v>0.52866825956446006</v>
      </c>
      <c r="H252">
        <v>0.53134884625510259</v>
      </c>
      <c r="I252">
        <v>1.1530470367034806</v>
      </c>
      <c r="J252">
        <f t="shared" si="33"/>
        <v>0.86289205622520826</v>
      </c>
      <c r="K252">
        <f t="shared" si="34"/>
        <v>0.86726730841697797</v>
      </c>
      <c r="L252">
        <f t="shared" si="35"/>
        <v>0.99495512842544953</v>
      </c>
      <c r="M252">
        <v>9.9206349206349209</v>
      </c>
      <c r="N252">
        <v>0.29753883438297207</v>
      </c>
      <c r="O252">
        <v>250</v>
      </c>
      <c r="P252">
        <v>150</v>
      </c>
      <c r="Q252">
        <v>42</v>
      </c>
      <c r="R252">
        <f t="shared" si="36"/>
        <v>2.1258503401360547E-2</v>
      </c>
      <c r="T252" t="s">
        <v>41</v>
      </c>
      <c r="W252" s="13">
        <f t="shared" si="37"/>
        <v>1.1512305828085141</v>
      </c>
      <c r="X252" s="9">
        <f t="shared" si="38"/>
        <v>0.126</v>
      </c>
      <c r="Y252" s="13">
        <f t="shared" si="39"/>
        <v>0.5074991527644096</v>
      </c>
      <c r="Z252" s="9">
        <f t="shared" si="40"/>
        <v>0.93</v>
      </c>
      <c r="AA252" s="9">
        <f t="shared" si="41"/>
        <v>0.8770417165259613</v>
      </c>
      <c r="AB252" s="9">
        <f t="shared" si="42"/>
        <v>0.51241034714575973</v>
      </c>
      <c r="AC252" s="9">
        <f t="shared" si="43"/>
        <v>0.96924742099687555</v>
      </c>
    </row>
    <row r="253" spans="1:29" x14ac:dyDescent="0.35">
      <c r="A253" s="7">
        <v>250</v>
      </c>
      <c r="B253" s="8" t="s">
        <v>15</v>
      </c>
      <c r="C253" s="7" t="s">
        <v>14</v>
      </c>
      <c r="D253" s="7" t="s">
        <v>20</v>
      </c>
      <c r="E253">
        <v>5500.9278393503728</v>
      </c>
      <c r="F253">
        <v>1.2402849246982155</v>
      </c>
      <c r="G253">
        <v>0.52895452923159592</v>
      </c>
      <c r="H253">
        <v>0.52949812788474027</v>
      </c>
      <c r="I253" t="s">
        <v>30</v>
      </c>
      <c r="J253" t="e">
        <f t="shared" si="33"/>
        <v>#VALUE!</v>
      </c>
      <c r="K253" t="e">
        <f t="shared" si="34"/>
        <v>#VALUE!</v>
      </c>
      <c r="L253" t="e">
        <f t="shared" si="35"/>
        <v>#VALUE!</v>
      </c>
      <c r="M253">
        <v>7.1428571428571432</v>
      </c>
      <c r="N253">
        <v>0.2441499128436202</v>
      </c>
      <c r="O253">
        <v>250</v>
      </c>
      <c r="P253">
        <v>250</v>
      </c>
      <c r="Q253">
        <v>35</v>
      </c>
      <c r="R253">
        <f t="shared" si="36"/>
        <v>5.1020408163265307E-2</v>
      </c>
      <c r="T253" t="s">
        <v>41</v>
      </c>
      <c r="W253" s="13">
        <f t="shared" si="37"/>
        <v>1.1779250435781901</v>
      </c>
      <c r="X253" s="9">
        <f t="shared" si="38"/>
        <v>0.126</v>
      </c>
      <c r="Y253" s="13">
        <f t="shared" si="39"/>
        <v>0.53376262989369472</v>
      </c>
      <c r="Z253" s="9">
        <f t="shared" si="40"/>
        <v>0.93</v>
      </c>
      <c r="AA253" s="9">
        <f t="shared" si="41"/>
        <v>0.86156615534283465</v>
      </c>
      <c r="AB253" s="9">
        <f t="shared" si="42"/>
        <v>0.5416945299660727</v>
      </c>
      <c r="AC253" s="9">
        <f t="shared" si="43"/>
        <v>1.0240852474653803</v>
      </c>
    </row>
    <row r="254" spans="1:29" x14ac:dyDescent="0.35">
      <c r="A254" s="7">
        <v>251</v>
      </c>
      <c r="B254" s="8" t="s">
        <v>11</v>
      </c>
      <c r="C254" s="7" t="s">
        <v>22</v>
      </c>
      <c r="D254" s="7" t="s">
        <v>20</v>
      </c>
      <c r="E254">
        <v>1157.6833852139921</v>
      </c>
      <c r="F254">
        <v>1.2450609129949957</v>
      </c>
      <c r="G254">
        <v>0.56226220041914443</v>
      </c>
      <c r="H254">
        <v>0.56440760702728787</v>
      </c>
      <c r="I254">
        <v>1.1799990649244503</v>
      </c>
      <c r="J254">
        <f t="shared" si="33"/>
        <v>0.84423696960187411</v>
      </c>
      <c r="K254">
        <f t="shared" si="34"/>
        <v>0.84745829867587674</v>
      </c>
      <c r="L254">
        <f t="shared" si="35"/>
        <v>0.99619883470486292</v>
      </c>
      <c r="M254">
        <v>21.333333333333336</v>
      </c>
      <c r="N254">
        <v>0.33394501352257799</v>
      </c>
      <c r="O254">
        <v>101.6</v>
      </c>
      <c r="P254">
        <v>50.8</v>
      </c>
      <c r="Q254">
        <v>9.5249999999999986</v>
      </c>
      <c r="R254">
        <f t="shared" si="36"/>
        <v>5.6888888888888899E-2</v>
      </c>
      <c r="T254" t="s">
        <v>41</v>
      </c>
      <c r="W254" s="13">
        <f t="shared" si="37"/>
        <v>1.133027493238711</v>
      </c>
      <c r="X254" s="9">
        <f t="shared" si="38"/>
        <v>0.126</v>
      </c>
      <c r="Y254" s="13">
        <f t="shared" si="39"/>
        <v>0.53066409201459275</v>
      </c>
      <c r="Z254" s="9">
        <f t="shared" si="40"/>
        <v>0.93</v>
      </c>
      <c r="AA254" s="9">
        <f t="shared" si="41"/>
        <v>0.89234466968528592</v>
      </c>
      <c r="AB254" s="9">
        <f t="shared" si="42"/>
        <v>0.53652848434997369</v>
      </c>
      <c r="AC254" s="9">
        <f t="shared" si="43"/>
        <v>0.95423182271547458</v>
      </c>
    </row>
    <row r="255" spans="1:29" x14ac:dyDescent="0.35">
      <c r="A255" s="7">
        <v>252</v>
      </c>
      <c r="B255" s="8" t="s">
        <v>8</v>
      </c>
      <c r="C255" s="7" t="s">
        <v>9</v>
      </c>
      <c r="D255" s="7" t="s">
        <v>20</v>
      </c>
      <c r="E255">
        <v>2385.6953121957658</v>
      </c>
      <c r="F255">
        <v>1.231963698152702</v>
      </c>
      <c r="G255">
        <v>0.57095188089524029</v>
      </c>
      <c r="H255">
        <v>0.5722044604860701</v>
      </c>
      <c r="I255">
        <v>1.1571559669013016</v>
      </c>
      <c r="J255">
        <f t="shared" si="33"/>
        <v>0.86229599686727132</v>
      </c>
      <c r="K255">
        <f t="shared" si="34"/>
        <v>0.86418774011757216</v>
      </c>
      <c r="L255">
        <f t="shared" si="35"/>
        <v>0.99781095801006914</v>
      </c>
      <c r="M255">
        <v>17.999999999999996</v>
      </c>
      <c r="N255">
        <v>0.35613649789943669</v>
      </c>
      <c r="O255">
        <v>152.39999999999998</v>
      </c>
      <c r="P255">
        <v>101.6</v>
      </c>
      <c r="Q255">
        <v>12.7</v>
      </c>
      <c r="R255">
        <f t="shared" si="36"/>
        <v>9.5999999999999988E-2</v>
      </c>
      <c r="T255" t="s">
        <v>41</v>
      </c>
      <c r="W255" s="13">
        <f t="shared" si="37"/>
        <v>1.1219317510502818</v>
      </c>
      <c r="X255" s="9">
        <f t="shared" si="38"/>
        <v>0.126</v>
      </c>
      <c r="Y255" s="13">
        <f t="shared" si="39"/>
        <v>0.53919994706938823</v>
      </c>
      <c r="Z255" s="9">
        <f t="shared" si="40"/>
        <v>0.93</v>
      </c>
      <c r="AA255" s="9">
        <f t="shared" si="41"/>
        <v>0.9004102083083293</v>
      </c>
      <c r="AB255" s="9">
        <f t="shared" si="42"/>
        <v>0.54469914039051559</v>
      </c>
      <c r="AC255" s="9">
        <f t="shared" si="43"/>
        <v>0.95401934666795218</v>
      </c>
    </row>
    <row r="256" spans="1:29" x14ac:dyDescent="0.35">
      <c r="A256" s="7">
        <v>253</v>
      </c>
      <c r="B256" s="8" t="s">
        <v>16</v>
      </c>
      <c r="C256" s="7" t="s">
        <v>14</v>
      </c>
      <c r="D256" s="7" t="s">
        <v>20</v>
      </c>
      <c r="E256">
        <v>5830.1730297952336</v>
      </c>
      <c r="F256">
        <v>1.2230789496832353</v>
      </c>
      <c r="G256">
        <v>0.54205472723663606</v>
      </c>
      <c r="H256">
        <v>0.5426487390350393</v>
      </c>
      <c r="I256">
        <v>1.1074743527112847</v>
      </c>
      <c r="J256">
        <f t="shared" si="33"/>
        <v>0.90196702529070205</v>
      </c>
      <c r="K256">
        <f t="shared" si="34"/>
        <v>0.9029554477282753</v>
      </c>
      <c r="L256">
        <f t="shared" si="35"/>
        <v>0.99890534750074322</v>
      </c>
      <c r="M256">
        <v>12.5</v>
      </c>
      <c r="N256">
        <v>0.40484164645387144</v>
      </c>
      <c r="O256">
        <v>250</v>
      </c>
      <c r="P256">
        <v>250</v>
      </c>
      <c r="Q256">
        <v>20</v>
      </c>
      <c r="R256">
        <f t="shared" si="36"/>
        <v>0.15625</v>
      </c>
      <c r="T256" t="s">
        <v>41</v>
      </c>
      <c r="W256" s="13">
        <f t="shared" si="37"/>
        <v>1.0975791767730643</v>
      </c>
      <c r="X256" s="9">
        <f t="shared" si="38"/>
        <v>0.126</v>
      </c>
      <c r="Y256" s="13">
        <f t="shared" si="39"/>
        <v>0.54505874267386267</v>
      </c>
      <c r="Z256" s="9">
        <f t="shared" si="40"/>
        <v>0.93</v>
      </c>
      <c r="AA256" s="9">
        <f t="shared" si="41"/>
        <v>0.91626798759159089</v>
      </c>
      <c r="AB256" s="9">
        <f t="shared" si="42"/>
        <v>0.54815285775699507</v>
      </c>
      <c r="AC256" s="9">
        <f t="shared" si="43"/>
        <v>1.0112500273753666</v>
      </c>
    </row>
    <row r="257" spans="1:29" x14ac:dyDescent="0.35">
      <c r="A257" s="7">
        <v>254</v>
      </c>
      <c r="B257" s="8" t="s">
        <v>10</v>
      </c>
      <c r="C257" s="7" t="s">
        <v>22</v>
      </c>
      <c r="D257" s="7" t="s">
        <v>20</v>
      </c>
      <c r="E257">
        <v>907.12378422061317</v>
      </c>
      <c r="F257">
        <v>1.24204687466132</v>
      </c>
      <c r="G257">
        <v>0.56695949514427735</v>
      </c>
      <c r="H257">
        <v>0.57048467906179301</v>
      </c>
      <c r="I257">
        <v>1.0449509908199832</v>
      </c>
      <c r="J257">
        <f t="shared" si="33"/>
        <v>0.95106921747567008</v>
      </c>
      <c r="K257">
        <f t="shared" si="34"/>
        <v>0.95698268032196443</v>
      </c>
      <c r="L257">
        <f t="shared" si="35"/>
        <v>0.99382072113958753</v>
      </c>
      <c r="M257">
        <v>42.666666666666671</v>
      </c>
      <c r="N257">
        <v>0.450214665828926</v>
      </c>
      <c r="O257">
        <v>101.6</v>
      </c>
      <c r="P257">
        <v>38.099999999999994</v>
      </c>
      <c r="Q257">
        <v>6.35</v>
      </c>
      <c r="R257">
        <f t="shared" si="36"/>
        <v>9.5999999999999988E-2</v>
      </c>
      <c r="T257" t="s">
        <v>41</v>
      </c>
      <c r="W257" s="13">
        <f t="shared" si="37"/>
        <v>1.074892667085537</v>
      </c>
      <c r="X257" s="9">
        <f t="shared" si="38"/>
        <v>0.126</v>
      </c>
      <c r="Y257" s="13">
        <f t="shared" si="39"/>
        <v>0.53261761977017874</v>
      </c>
      <c r="Z257" s="9">
        <f t="shared" si="40"/>
        <v>0.93</v>
      </c>
      <c r="AA257" s="9">
        <f t="shared" si="41"/>
        <v>0.93023516800295791</v>
      </c>
      <c r="AB257" s="9">
        <f t="shared" si="42"/>
        <v>0.5325659349565981</v>
      </c>
      <c r="AC257" s="9">
        <f t="shared" si="43"/>
        <v>0.93933683008708246</v>
      </c>
    </row>
    <row r="258" spans="1:29" x14ac:dyDescent="0.35">
      <c r="A258" s="7">
        <v>255</v>
      </c>
      <c r="B258" s="8" t="s">
        <v>18</v>
      </c>
      <c r="C258" s="7" t="s">
        <v>14</v>
      </c>
      <c r="D258" s="7" t="s">
        <v>20</v>
      </c>
      <c r="E258">
        <v>3544.4671252881162</v>
      </c>
      <c r="F258">
        <v>1.2201031323051483</v>
      </c>
      <c r="G258">
        <v>0.5441627503034614</v>
      </c>
      <c r="H258">
        <v>0.54499008011111205</v>
      </c>
      <c r="I258">
        <v>1.0612526039916672</v>
      </c>
      <c r="J258">
        <f t="shared" si="33"/>
        <v>0.9408522836776817</v>
      </c>
      <c r="K258">
        <f t="shared" si="34"/>
        <v>0.9422827291435808</v>
      </c>
      <c r="L258">
        <f t="shared" si="35"/>
        <v>0.99848193602444646</v>
      </c>
      <c r="M258">
        <v>15</v>
      </c>
      <c r="N258">
        <v>0.48259605211607809</v>
      </c>
      <c r="O258">
        <v>150</v>
      </c>
      <c r="P258">
        <v>150</v>
      </c>
      <c r="Q258">
        <v>10</v>
      </c>
      <c r="R258">
        <f t="shared" si="36"/>
        <v>0.22500000000000001</v>
      </c>
      <c r="T258" t="s">
        <v>41</v>
      </c>
      <c r="W258" s="13">
        <f t="shared" si="37"/>
        <v>1.058701973941961</v>
      </c>
      <c r="X258" s="9">
        <f t="shared" si="38"/>
        <v>0.126</v>
      </c>
      <c r="Y258" s="13">
        <f t="shared" si="39"/>
        <v>0.54703311471061122</v>
      </c>
      <c r="Z258" s="9">
        <f t="shared" si="40"/>
        <v>0.93</v>
      </c>
      <c r="AA258" s="9">
        <f t="shared" si="41"/>
        <v>0.93990281984492163</v>
      </c>
      <c r="AB258" s="9">
        <f t="shared" si="42"/>
        <v>0.54434005464975843</v>
      </c>
      <c r="AC258" s="9">
        <f t="shared" si="43"/>
        <v>1.0003258296276218</v>
      </c>
    </row>
    <row r="259" spans="1:29" x14ac:dyDescent="0.35">
      <c r="A259" s="7">
        <v>256</v>
      </c>
      <c r="B259" s="8" t="s">
        <v>25</v>
      </c>
      <c r="C259" s="7" t="s">
        <v>23</v>
      </c>
      <c r="D259" s="7" t="s">
        <v>20</v>
      </c>
      <c r="E259">
        <v>2452.400514170567</v>
      </c>
      <c r="F259">
        <v>1.2274022739880239</v>
      </c>
      <c r="G259">
        <v>0.57660416295698591</v>
      </c>
      <c r="H259">
        <v>0.5796146150604643</v>
      </c>
      <c r="I259">
        <v>1.0275136500389999</v>
      </c>
      <c r="J259">
        <f t="shared" si="33"/>
        <v>0.96816827123259241</v>
      </c>
      <c r="K259">
        <f t="shared" si="34"/>
        <v>0.97322308074646446</v>
      </c>
      <c r="L259">
        <f t="shared" si="35"/>
        <v>0.99480611422614951</v>
      </c>
      <c r="M259">
        <v>32.4</v>
      </c>
      <c r="N259">
        <v>0.51488086594144655</v>
      </c>
      <c r="O259">
        <v>180</v>
      </c>
      <c r="P259">
        <v>100</v>
      </c>
      <c r="Q259">
        <v>10</v>
      </c>
      <c r="R259">
        <f t="shared" si="36"/>
        <v>0.18</v>
      </c>
      <c r="T259" t="s">
        <v>41</v>
      </c>
      <c r="W259" s="13">
        <f t="shared" si="37"/>
        <v>1.0425595670292767</v>
      </c>
      <c r="X259" s="9">
        <f t="shared" si="38"/>
        <v>0.126</v>
      </c>
      <c r="Y259" s="13">
        <f t="shared" si="39"/>
        <v>0.54220106314492866</v>
      </c>
      <c r="Z259" s="9">
        <f t="shared" si="40"/>
        <v>0.93</v>
      </c>
      <c r="AA259" s="9">
        <f t="shared" si="41"/>
        <v>0.94958545702712271</v>
      </c>
      <c r="AB259" s="9">
        <f t="shared" si="42"/>
        <v>0.53677872878446986</v>
      </c>
      <c r="AC259" s="9">
        <f t="shared" si="43"/>
        <v>0.93093106721900831</v>
      </c>
    </row>
    <row r="260" spans="1:29" x14ac:dyDescent="0.35">
      <c r="A260" s="7">
        <v>257</v>
      </c>
      <c r="B260" s="8" t="s">
        <v>7</v>
      </c>
      <c r="C260" s="7" t="s">
        <v>9</v>
      </c>
      <c r="D260" s="7" t="s">
        <v>20</v>
      </c>
      <c r="E260">
        <v>1921.6488551970274</v>
      </c>
      <c r="F260">
        <v>1.2212474514490494</v>
      </c>
      <c r="G260">
        <v>0.57432542148098842</v>
      </c>
      <c r="H260">
        <v>0.58375603756290151</v>
      </c>
      <c r="I260">
        <v>0.92636915215946536</v>
      </c>
      <c r="J260">
        <f t="shared" si="33"/>
        <v>1.0620441471074653</v>
      </c>
      <c r="K260">
        <f t="shared" si="34"/>
        <v>1.0794832682725815</v>
      </c>
      <c r="L260">
        <f t="shared" si="35"/>
        <v>0.98384493611186519</v>
      </c>
      <c r="M260">
        <v>44.326241134751783</v>
      </c>
      <c r="N260">
        <v>0.75898993726222364</v>
      </c>
      <c r="O260">
        <v>127</v>
      </c>
      <c r="P260">
        <v>76.199999999999989</v>
      </c>
      <c r="Q260">
        <v>4.7751999999999999</v>
      </c>
      <c r="R260">
        <f t="shared" si="36"/>
        <v>0.42440018107741062</v>
      </c>
      <c r="T260" t="s">
        <v>41</v>
      </c>
      <c r="W260" s="13">
        <f t="shared" si="37"/>
        <v>0.91192659401475895</v>
      </c>
      <c r="X260" s="9">
        <f t="shared" si="38"/>
        <v>0.126</v>
      </c>
      <c r="Y260" s="13">
        <f t="shared" si="39"/>
        <v>0.54627318317093143</v>
      </c>
      <c r="Z260" s="9">
        <f t="shared" si="40"/>
        <v>0.97</v>
      </c>
      <c r="AA260" s="9">
        <f t="shared" si="41"/>
        <v>1.0381120262953445</v>
      </c>
      <c r="AB260" s="9">
        <f t="shared" si="42"/>
        <v>0.51714697011340272</v>
      </c>
      <c r="AC260" s="9">
        <f t="shared" si="43"/>
        <v>0.90044241604325637</v>
      </c>
    </row>
    <row r="261" spans="1:29" x14ac:dyDescent="0.35">
      <c r="A261" s="7">
        <v>258</v>
      </c>
      <c r="B261" s="8" t="s">
        <v>3</v>
      </c>
      <c r="C261" s="7" t="s">
        <v>9</v>
      </c>
      <c r="D261" s="7" t="s">
        <v>20</v>
      </c>
      <c r="E261">
        <v>3729.9606359467602</v>
      </c>
      <c r="F261">
        <v>1.2136551472517494</v>
      </c>
      <c r="G261">
        <v>0.53483290415525231</v>
      </c>
      <c r="H261">
        <v>0.55003888107225107</v>
      </c>
      <c r="I261">
        <v>0.7849848354589184</v>
      </c>
      <c r="J261">
        <f t="shared" ref="J261:J315" si="44">G261/(H261*I261)</f>
        <v>1.2386923665818088</v>
      </c>
      <c r="K261">
        <f t="shared" ref="K261:K315" si="45">1/I261</f>
        <v>1.2739099595667722</v>
      </c>
      <c r="L261">
        <f t="shared" ref="L261:L315" si="46">J261/K261</f>
        <v>0.97235472356543939</v>
      </c>
      <c r="M261">
        <v>31.914893617021278</v>
      </c>
      <c r="N261">
        <v>1.0177876218361828</v>
      </c>
      <c r="O261">
        <v>152.39999999999998</v>
      </c>
      <c r="P261">
        <v>152.39999999999998</v>
      </c>
      <c r="Q261">
        <v>4.7751999999999999</v>
      </c>
      <c r="R261">
        <f t="shared" ref="R261:R315" si="47">(O261/Q261)*(P261/Q261)*(0.001)</f>
        <v>1.0185604345857853</v>
      </c>
      <c r="T261" t="s">
        <v>41</v>
      </c>
      <c r="W261" s="13">
        <f t="shared" ref="W261:W315" si="48">IF(OR($D261="",$F261="",$G261="",$N261="",$R261=""),"",
IF($N261&lt;=0.6,
 IF(TRIM($D261)="6061-T6",-0.17*$N261+1.102,
  IF(TRIM($D261)="6063-T6",-0.45*$N261+1.27,
   IF(TRIM($D261)="6082-T6",-0.5*$N261+1.3,""))),
 _xlfn.LET(_xlpm.alphaL,0.12+0.027*$R261,
     _xlpm.phiL,0.5*(1+_xlpm.alphaL*($N261-0.6)+$N261^0.55),
     MIN(1,1/(_xlpm.phiL+SQRT(MAX(0,_xlpm.phiL^2-$N261^0.55)))))
))</f>
        <v>0.77731603668182259</v>
      </c>
      <c r="X261" s="9">
        <f t="shared" ref="X261:X315" si="49">IF(OR($D261="",$F261="",$G261="",$N261="",$R261=""),"",
IF(TRIM($D261)="6061-T6",0.111,
 IF(TRIM($D261)="6063-T6",0.188,
  IF(TRIM($D261)="6082-T6",0.126,""))))</f>
        <v>0.126</v>
      </c>
      <c r="Y261" s="13">
        <f t="shared" ref="Y261:Y315" si="50">IF(OR($D261="",$F261="",$G261="",$N261="",$R261="",$X261=""),"",
_xlfn.LET(_xlpm.alphaG,$X261,
    _xlpm.phiG,0.5*(1+_xlpm.alphaG*$F261+$F261^2),
    MIN(1,1/(_xlpm.phiG+SQRT(MAX(0,_xlpm.phiG^2-$F261^2)))))
)</f>
        <v>0.55133151335446384</v>
      </c>
      <c r="Z261" s="9">
        <f t="shared" ref="Z261:Z315" si="51">IF(OR($D261="",$F261="",$G261="",$N261="",$R261="",$W261=""),"",
IF($W261&lt;=0.7,1,
 IF($W261&lt;=0.95,0.97,0.93)))</f>
        <v>0.97</v>
      </c>
      <c r="AA261" s="9">
        <f t="shared" ref="AA261:AA315" si="52">IF(OR($D261="",$F261="",$G261="",$N261="",$R261="",$W261="",$Z261=""),"",
IF($F261&lt;=0.6,$Z261,
 IF($F261&lt;=1.6/$W261,
   ((1/$W261-$Z261)/((1.6/$W261)-0.6))*($F261-0.6)+$Z261,
   1/$W261)))</f>
        <v>1.1031685761175734</v>
      </c>
      <c r="AB261" s="9">
        <f t="shared" ref="AB261:AB315" si="53">IF(OR($W261="",$Y261="",$AA261=""),"",$W261*$Y261*$AA261)</f>
        <v>0.47277263080809051</v>
      </c>
      <c r="AC261" s="9">
        <f t="shared" ref="AC261:AC315" si="54">IF(OR($AB261="",$G261=""),"",IFERROR($AB261/$G261,""))</f>
        <v>0.88396324746476929</v>
      </c>
    </row>
    <row r="262" spans="1:29" x14ac:dyDescent="0.35">
      <c r="A262" s="7">
        <v>259</v>
      </c>
      <c r="B262" s="8" t="s">
        <v>13</v>
      </c>
      <c r="C262" s="7" t="s">
        <v>23</v>
      </c>
      <c r="D262" s="7" t="s">
        <v>20</v>
      </c>
      <c r="E262">
        <v>1350.7429239384546</v>
      </c>
      <c r="F262">
        <v>1.2312296797711155</v>
      </c>
      <c r="G262">
        <v>0.43486486720257667</v>
      </c>
      <c r="H262">
        <v>0.58322815783999393</v>
      </c>
      <c r="I262">
        <v>0.67520082576642282</v>
      </c>
      <c r="J262">
        <f t="shared" si="44"/>
        <v>1.1042893261144389</v>
      </c>
      <c r="K262">
        <f t="shared" si="45"/>
        <v>1.4810408427224544</v>
      </c>
      <c r="L262">
        <f t="shared" si="46"/>
        <v>0.74561706487751578</v>
      </c>
      <c r="M262">
        <v>143.99999999999997</v>
      </c>
      <c r="N262">
        <v>1.299564366942177</v>
      </c>
      <c r="O262">
        <v>152.39999999999998</v>
      </c>
      <c r="P262">
        <v>50.8</v>
      </c>
      <c r="Q262">
        <v>3.1749999999999998</v>
      </c>
      <c r="R262">
        <f t="shared" si="47"/>
        <v>0.7679999999999999</v>
      </c>
      <c r="T262" t="s">
        <v>41</v>
      </c>
      <c r="W262" s="13">
        <f t="shared" si="48"/>
        <v>0.68252957546685222</v>
      </c>
      <c r="X262" s="9">
        <f t="shared" si="49"/>
        <v>0.126</v>
      </c>
      <c r="Y262" s="13">
        <f t="shared" si="50"/>
        <v>0.53968190817442818</v>
      </c>
      <c r="Z262" s="9">
        <f t="shared" si="51"/>
        <v>1</v>
      </c>
      <c r="AA262" s="9">
        <f t="shared" si="52"/>
        <v>1.1683324162290942</v>
      </c>
      <c r="AB262" s="9">
        <f t="shared" si="53"/>
        <v>0.43035391791082339</v>
      </c>
      <c r="AC262" s="9">
        <f t="shared" si="54"/>
        <v>0.98962677918597663</v>
      </c>
    </row>
    <row r="263" spans="1:29" x14ac:dyDescent="0.35">
      <c r="A263" s="7">
        <v>260</v>
      </c>
      <c r="B263" s="8" t="s">
        <v>12</v>
      </c>
      <c r="C263" s="7" t="s">
        <v>22</v>
      </c>
      <c r="D263" s="7" t="s">
        <v>20</v>
      </c>
      <c r="E263">
        <v>1199.3178178814994</v>
      </c>
      <c r="F263">
        <v>1.2352963728647364</v>
      </c>
      <c r="G263">
        <v>0.36198389659861313</v>
      </c>
      <c r="H263">
        <v>0.58132319156463919</v>
      </c>
      <c r="I263">
        <v>0.60131279916885161</v>
      </c>
      <c r="J263">
        <f t="shared" si="44"/>
        <v>1.035550191732949</v>
      </c>
      <c r="K263">
        <f t="shared" si="45"/>
        <v>1.6630279637856087</v>
      </c>
      <c r="L263">
        <f t="shared" si="46"/>
        <v>0.6226895844707806</v>
      </c>
      <c r="M263">
        <v>205.71428571428569</v>
      </c>
      <c r="N263">
        <v>1.6063188451282615</v>
      </c>
      <c r="O263">
        <v>152.39999999999998</v>
      </c>
      <c r="P263">
        <v>44.449999999999996</v>
      </c>
      <c r="Q263">
        <v>2.54</v>
      </c>
      <c r="R263">
        <f t="shared" si="47"/>
        <v>1.0499999999999998</v>
      </c>
      <c r="T263" t="s">
        <v>41</v>
      </c>
      <c r="W263" s="13">
        <f t="shared" si="48"/>
        <v>0.59882836022904706</v>
      </c>
      <c r="X263" s="9">
        <f t="shared" si="49"/>
        <v>0.126</v>
      </c>
      <c r="Y263" s="13">
        <f t="shared" si="50"/>
        <v>0.53701642840856956</v>
      </c>
      <c r="Z263" s="9">
        <f t="shared" si="51"/>
        <v>1</v>
      </c>
      <c r="AA263" s="9">
        <f t="shared" si="52"/>
        <v>1.2054181306546412</v>
      </c>
      <c r="AB263" s="9">
        <f t="shared" si="53"/>
        <v>0.38763916675906862</v>
      </c>
      <c r="AC263" s="9">
        <f t="shared" si="54"/>
        <v>1.07087406484522</v>
      </c>
    </row>
    <row r="264" spans="1:29" x14ac:dyDescent="0.35">
      <c r="A264" s="7">
        <v>261</v>
      </c>
      <c r="B264" s="8" t="s">
        <v>17</v>
      </c>
      <c r="C264" s="7" t="s">
        <v>14</v>
      </c>
      <c r="D264" s="7" t="s">
        <v>20</v>
      </c>
      <c r="E264">
        <v>7389.5523781805086</v>
      </c>
      <c r="F264">
        <v>1.632577592441512</v>
      </c>
      <c r="G264">
        <v>0.33324988548330375</v>
      </c>
      <c r="H264">
        <v>0.33405409331197444</v>
      </c>
      <c r="I264">
        <v>1.0642444642444642</v>
      </c>
      <c r="J264">
        <f t="shared" si="44"/>
        <v>0.93737164302168985</v>
      </c>
      <c r="K264">
        <f t="shared" si="45"/>
        <v>0.93963373416269258</v>
      </c>
      <c r="L264">
        <f t="shared" si="46"/>
        <v>0.99759258202557144</v>
      </c>
      <c r="M264">
        <v>3.75</v>
      </c>
      <c r="N264">
        <v>0.23188171752169098</v>
      </c>
      <c r="O264">
        <v>300</v>
      </c>
      <c r="P264">
        <v>300</v>
      </c>
      <c r="Q264">
        <v>80</v>
      </c>
      <c r="R264">
        <f t="shared" si="47"/>
        <v>1.40625E-2</v>
      </c>
      <c r="T264" t="s">
        <v>41</v>
      </c>
      <c r="W264" s="13">
        <f t="shared" si="48"/>
        <v>1.1840591412391546</v>
      </c>
      <c r="X264" s="9">
        <f t="shared" si="49"/>
        <v>0.126</v>
      </c>
      <c r="Y264" s="13">
        <f t="shared" si="50"/>
        <v>0.33611634987522493</v>
      </c>
      <c r="Z264" s="9">
        <f t="shared" si="51"/>
        <v>0.93</v>
      </c>
      <c r="AA264" s="9">
        <f t="shared" si="52"/>
        <v>0.84455240888851968</v>
      </c>
      <c r="AB264" s="9">
        <f t="shared" si="53"/>
        <v>0.33611634987522493</v>
      </c>
      <c r="AC264" s="9">
        <f t="shared" si="54"/>
        <v>1.0086015465174549</v>
      </c>
    </row>
    <row r="265" spans="1:29" x14ac:dyDescent="0.35">
      <c r="A265" s="7">
        <v>262</v>
      </c>
      <c r="B265" s="8" t="s">
        <v>24</v>
      </c>
      <c r="C265" s="7" t="s">
        <v>23</v>
      </c>
      <c r="D265" s="7" t="s">
        <v>20</v>
      </c>
      <c r="E265">
        <v>3865.3889896268834</v>
      </c>
      <c r="F265">
        <v>1.5959309685655196</v>
      </c>
      <c r="G265">
        <v>0.36214920066043682</v>
      </c>
      <c r="H265">
        <v>0.36424517128610273</v>
      </c>
      <c r="I265">
        <v>1.1530470367034806</v>
      </c>
      <c r="J265">
        <f t="shared" si="44"/>
        <v>0.86227680491455949</v>
      </c>
      <c r="K265">
        <f t="shared" si="45"/>
        <v>0.86726730841697797</v>
      </c>
      <c r="L265">
        <f t="shared" si="46"/>
        <v>0.99424571472487799</v>
      </c>
      <c r="M265">
        <v>9.9206349206349209</v>
      </c>
      <c r="N265">
        <v>0.29753883438297207</v>
      </c>
      <c r="O265">
        <v>250</v>
      </c>
      <c r="P265">
        <v>150</v>
      </c>
      <c r="Q265">
        <v>42</v>
      </c>
      <c r="R265">
        <f t="shared" si="47"/>
        <v>2.1258503401360547E-2</v>
      </c>
      <c r="T265" t="s">
        <v>41</v>
      </c>
      <c r="W265" s="13">
        <f t="shared" si="48"/>
        <v>1.1512305828085141</v>
      </c>
      <c r="X265" s="9">
        <f t="shared" si="49"/>
        <v>0.126</v>
      </c>
      <c r="Y265" s="13">
        <f t="shared" si="50"/>
        <v>0.35009055292184366</v>
      </c>
      <c r="Z265" s="9">
        <f t="shared" si="51"/>
        <v>0.93</v>
      </c>
      <c r="AA265" s="9">
        <f t="shared" si="52"/>
        <v>0.86863571462844946</v>
      </c>
      <c r="AB265" s="9">
        <f t="shared" si="53"/>
        <v>0.35009055292184366</v>
      </c>
      <c r="AC265" s="9">
        <f t="shared" si="54"/>
        <v>0.96670254216604012</v>
      </c>
    </row>
    <row r="266" spans="1:29" x14ac:dyDescent="0.35">
      <c r="A266" s="7">
        <v>263</v>
      </c>
      <c r="B266" s="8" t="s">
        <v>15</v>
      </c>
      <c r="C266" s="7" t="s">
        <v>14</v>
      </c>
      <c r="D266" s="7" t="s">
        <v>20</v>
      </c>
      <c r="E266">
        <v>6876.1597991879671</v>
      </c>
      <c r="F266">
        <v>1.5465142230613849</v>
      </c>
      <c r="G266">
        <v>0.36930248011107802</v>
      </c>
      <c r="H266">
        <v>0.3697617106085212</v>
      </c>
      <c r="I266" t="s">
        <v>30</v>
      </c>
      <c r="J266" t="e">
        <f t="shared" si="44"/>
        <v>#VALUE!</v>
      </c>
      <c r="K266" t="e">
        <f t="shared" si="45"/>
        <v>#VALUE!</v>
      </c>
      <c r="L266" t="e">
        <f t="shared" si="46"/>
        <v>#VALUE!</v>
      </c>
      <c r="M266">
        <v>7.1428571428571432</v>
      </c>
      <c r="N266">
        <v>0.2441499128436202</v>
      </c>
      <c r="O266">
        <v>250</v>
      </c>
      <c r="P266">
        <v>250</v>
      </c>
      <c r="Q266">
        <v>35</v>
      </c>
      <c r="R266">
        <f t="shared" si="47"/>
        <v>5.1020408163265307E-2</v>
      </c>
      <c r="T266" t="s">
        <v>41</v>
      </c>
      <c r="W266" s="13">
        <f t="shared" si="48"/>
        <v>1.1779250435781901</v>
      </c>
      <c r="X266" s="9">
        <f t="shared" si="49"/>
        <v>0.126</v>
      </c>
      <c r="Y266" s="13">
        <f t="shared" si="50"/>
        <v>0.37021736881522521</v>
      </c>
      <c r="Z266" s="9">
        <f t="shared" si="51"/>
        <v>0.93</v>
      </c>
      <c r="AA266" s="9">
        <f t="shared" si="52"/>
        <v>0.84895045355542653</v>
      </c>
      <c r="AB266" s="9">
        <f t="shared" si="53"/>
        <v>0.37021736881522521</v>
      </c>
      <c r="AC266" s="9">
        <f t="shared" si="54"/>
        <v>1.0024773424317974</v>
      </c>
    </row>
    <row r="267" spans="1:29" x14ac:dyDescent="0.35">
      <c r="A267" s="7">
        <v>264</v>
      </c>
      <c r="B267" s="8" t="s">
        <v>11</v>
      </c>
      <c r="C267" s="7" t="s">
        <v>22</v>
      </c>
      <c r="D267" s="7" t="s">
        <v>20</v>
      </c>
      <c r="E267">
        <v>1447.1042315174905</v>
      </c>
      <c r="F267">
        <v>1.5488221753202531</v>
      </c>
      <c r="G267">
        <v>0.38658069124542127</v>
      </c>
      <c r="H267">
        <v>0.38825461863634986</v>
      </c>
      <c r="I267">
        <v>1.1799990649244503</v>
      </c>
      <c r="J267">
        <f t="shared" si="44"/>
        <v>0.8438045529360173</v>
      </c>
      <c r="K267">
        <f t="shared" si="45"/>
        <v>0.84745829867587674</v>
      </c>
      <c r="L267">
        <f t="shared" si="46"/>
        <v>0.9956885834434942</v>
      </c>
      <c r="M267">
        <v>21.333333333333336</v>
      </c>
      <c r="N267">
        <v>0.33394501352257799</v>
      </c>
      <c r="O267">
        <v>101.6</v>
      </c>
      <c r="P267">
        <v>50.8</v>
      </c>
      <c r="Q267">
        <v>9.5249999999999986</v>
      </c>
      <c r="R267">
        <f t="shared" si="47"/>
        <v>5.6888888888888899E-2</v>
      </c>
      <c r="T267" t="s">
        <v>41</v>
      </c>
      <c r="W267" s="13">
        <f t="shared" si="48"/>
        <v>1.133027493238711</v>
      </c>
      <c r="X267" s="9">
        <f t="shared" si="49"/>
        <v>0.126</v>
      </c>
      <c r="Y267" s="13">
        <f t="shared" si="50"/>
        <v>0.36924310469427668</v>
      </c>
      <c r="Z267" s="9">
        <f t="shared" si="51"/>
        <v>0.93</v>
      </c>
      <c r="AA267" s="9">
        <f t="shared" si="52"/>
        <v>0.88259111625044728</v>
      </c>
      <c r="AB267" s="9">
        <f t="shared" si="53"/>
        <v>0.36924310469427674</v>
      </c>
      <c r="AC267" s="9">
        <f t="shared" si="54"/>
        <v>0.95515144200480062</v>
      </c>
    </row>
    <row r="268" spans="1:29" x14ac:dyDescent="0.35">
      <c r="A268" s="7">
        <v>265</v>
      </c>
      <c r="B268" s="8" t="s">
        <v>8</v>
      </c>
      <c r="C268" s="7" t="s">
        <v>9</v>
      </c>
      <c r="D268" s="7" t="s">
        <v>20</v>
      </c>
      <c r="E268">
        <v>2982.1191402447075</v>
      </c>
      <c r="F268">
        <v>1.5345178114212428</v>
      </c>
      <c r="G268">
        <v>0.39418205220659575</v>
      </c>
      <c r="H268">
        <v>0.39510998215643894</v>
      </c>
      <c r="I268">
        <v>1.1571559669013016</v>
      </c>
      <c r="J268">
        <f t="shared" si="44"/>
        <v>0.86215816424615088</v>
      </c>
      <c r="K268">
        <f t="shared" si="45"/>
        <v>0.86418774011757216</v>
      </c>
      <c r="L268">
        <f t="shared" si="46"/>
        <v>0.99765146417010597</v>
      </c>
      <c r="M268">
        <v>17.999999999999996</v>
      </c>
      <c r="N268">
        <v>0.35613649789943669</v>
      </c>
      <c r="O268">
        <v>152.39999999999998</v>
      </c>
      <c r="P268">
        <v>101.6</v>
      </c>
      <c r="Q268">
        <v>12.7</v>
      </c>
      <c r="R268">
        <f t="shared" si="47"/>
        <v>9.5999999999999988E-2</v>
      </c>
      <c r="T268" t="s">
        <v>41</v>
      </c>
      <c r="W268" s="13">
        <f t="shared" si="48"/>
        <v>1.1219317510502818</v>
      </c>
      <c r="X268" s="9">
        <f t="shared" si="49"/>
        <v>0.126</v>
      </c>
      <c r="Y268" s="13">
        <f t="shared" si="50"/>
        <v>0.37533723351672821</v>
      </c>
      <c r="Z268" s="9">
        <f t="shared" si="51"/>
        <v>0.93</v>
      </c>
      <c r="AA268" s="9">
        <f t="shared" si="52"/>
        <v>0.89131981429695972</v>
      </c>
      <c r="AB268" s="9">
        <f t="shared" si="53"/>
        <v>0.37533723351672821</v>
      </c>
      <c r="AC268" s="9">
        <f t="shared" si="54"/>
        <v>0.95219260089500291</v>
      </c>
    </row>
    <row r="269" spans="1:29" x14ac:dyDescent="0.35">
      <c r="A269" s="7">
        <v>266</v>
      </c>
      <c r="B269" s="8" t="s">
        <v>16</v>
      </c>
      <c r="C269" s="7" t="s">
        <v>14</v>
      </c>
      <c r="D269" s="7" t="s">
        <v>20</v>
      </c>
      <c r="E269">
        <v>7287.7162872440431</v>
      </c>
      <c r="F269">
        <v>1.5249698979027524</v>
      </c>
      <c r="G269">
        <v>0.37917137621774194</v>
      </c>
      <c r="H269">
        <v>0.37964873042637892</v>
      </c>
      <c r="I269">
        <v>1.1074743527112847</v>
      </c>
      <c r="J269">
        <f t="shared" si="44"/>
        <v>0.90182010985239025</v>
      </c>
      <c r="K269">
        <f t="shared" si="45"/>
        <v>0.9029554477282753</v>
      </c>
      <c r="L269">
        <f t="shared" si="46"/>
        <v>0.99874264242079558</v>
      </c>
      <c r="M269">
        <v>12.5</v>
      </c>
      <c r="N269">
        <v>0.40484164645387144</v>
      </c>
      <c r="O269">
        <v>250</v>
      </c>
      <c r="P269">
        <v>250</v>
      </c>
      <c r="Q269">
        <v>20</v>
      </c>
      <c r="R269">
        <f t="shared" si="47"/>
        <v>0.15625</v>
      </c>
      <c r="T269" t="s">
        <v>41</v>
      </c>
      <c r="W269" s="13">
        <f t="shared" si="48"/>
        <v>1.0975791767730643</v>
      </c>
      <c r="X269" s="9">
        <f t="shared" si="49"/>
        <v>0.126</v>
      </c>
      <c r="Y269" s="13">
        <f t="shared" si="50"/>
        <v>0.37947976791940652</v>
      </c>
      <c r="Z269" s="9">
        <f t="shared" si="51"/>
        <v>0.93</v>
      </c>
      <c r="AA269" s="9">
        <f t="shared" si="52"/>
        <v>0.91109600214906428</v>
      </c>
      <c r="AB269" s="9">
        <f t="shared" si="53"/>
        <v>0.37947976791940646</v>
      </c>
      <c r="AC269" s="9">
        <f t="shared" si="54"/>
        <v>1.0008133306494302</v>
      </c>
    </row>
    <row r="270" spans="1:29" x14ac:dyDescent="0.35">
      <c r="A270" s="7">
        <v>267</v>
      </c>
      <c r="B270" s="8" t="s">
        <v>10</v>
      </c>
      <c r="C270" s="7" t="s">
        <v>22</v>
      </c>
      <c r="D270" s="7" t="s">
        <v>20</v>
      </c>
      <c r="E270">
        <v>1133.9047302757665</v>
      </c>
      <c r="F270">
        <v>1.5420689935524832</v>
      </c>
      <c r="G270">
        <v>0.39016335483632109</v>
      </c>
      <c r="H270">
        <v>0.39279798867263704</v>
      </c>
      <c r="I270">
        <v>1.0449509908199832</v>
      </c>
      <c r="J270">
        <f t="shared" si="44"/>
        <v>0.95056386193935327</v>
      </c>
      <c r="K270">
        <f t="shared" si="45"/>
        <v>0.95698268032196443</v>
      </c>
      <c r="L270">
        <f t="shared" si="46"/>
        <v>0.99329264937119699</v>
      </c>
      <c r="M270">
        <v>42.666666666666671</v>
      </c>
      <c r="N270">
        <v>0.450214665828926</v>
      </c>
      <c r="O270">
        <v>101.6</v>
      </c>
      <c r="P270">
        <v>38.099999999999994</v>
      </c>
      <c r="Q270">
        <v>6.35</v>
      </c>
      <c r="R270">
        <f t="shared" si="47"/>
        <v>9.5999999999999988E-2</v>
      </c>
      <c r="T270" t="s">
        <v>41</v>
      </c>
      <c r="W270" s="13">
        <f t="shared" si="48"/>
        <v>1.074892667085537</v>
      </c>
      <c r="X270" s="9">
        <f t="shared" si="49"/>
        <v>0.126</v>
      </c>
      <c r="Y270" s="13">
        <f t="shared" si="50"/>
        <v>0.37210357043943626</v>
      </c>
      <c r="Z270" s="9">
        <f t="shared" si="51"/>
        <v>0.93</v>
      </c>
      <c r="AA270" s="9">
        <f t="shared" si="52"/>
        <v>0.93032544608514178</v>
      </c>
      <c r="AB270" s="9">
        <f t="shared" si="53"/>
        <v>0.37210357043943626</v>
      </c>
      <c r="AC270" s="9">
        <f t="shared" si="54"/>
        <v>0.95371224854148295</v>
      </c>
    </row>
    <row r="271" spans="1:29" x14ac:dyDescent="0.35">
      <c r="A271" s="7">
        <v>268</v>
      </c>
      <c r="B271" s="8" t="s">
        <v>18</v>
      </c>
      <c r="C271" s="7" t="s">
        <v>14</v>
      </c>
      <c r="D271" s="7" t="s">
        <v>20</v>
      </c>
      <c r="E271">
        <v>4430.5839066101453</v>
      </c>
      <c r="F271">
        <v>1.521344727866826</v>
      </c>
      <c r="G271">
        <v>0.38076538400287063</v>
      </c>
      <c r="H271">
        <v>0.38137151005653291</v>
      </c>
      <c r="I271">
        <v>1.0612526039916672</v>
      </c>
      <c r="J271">
        <f t="shared" si="44"/>
        <v>0.94078512878018383</v>
      </c>
      <c r="K271">
        <f t="shared" si="45"/>
        <v>0.9422827291435808</v>
      </c>
      <c r="L271">
        <f t="shared" si="46"/>
        <v>0.99841066771460607</v>
      </c>
      <c r="M271">
        <v>15</v>
      </c>
      <c r="N271">
        <v>0.48259605211607809</v>
      </c>
      <c r="O271">
        <v>150</v>
      </c>
      <c r="P271">
        <v>150</v>
      </c>
      <c r="Q271">
        <v>10</v>
      </c>
      <c r="R271">
        <f t="shared" si="47"/>
        <v>0.22500000000000001</v>
      </c>
      <c r="T271" t="s">
        <v>41</v>
      </c>
      <c r="W271" s="13">
        <f t="shared" si="48"/>
        <v>1.058701973941961</v>
      </c>
      <c r="X271" s="9">
        <f t="shared" si="49"/>
        <v>0.126</v>
      </c>
      <c r="Y271" s="13">
        <f t="shared" si="50"/>
        <v>0.38106850949234067</v>
      </c>
      <c r="Z271" s="9">
        <f t="shared" si="51"/>
        <v>0.93</v>
      </c>
      <c r="AA271" s="9">
        <f t="shared" si="52"/>
        <v>0.94455288137095783</v>
      </c>
      <c r="AB271" s="9">
        <f t="shared" si="53"/>
        <v>0.38106850949234067</v>
      </c>
      <c r="AC271" s="9">
        <f t="shared" si="54"/>
        <v>1.0007960951867088</v>
      </c>
    </row>
    <row r="272" spans="1:29" x14ac:dyDescent="0.35">
      <c r="A272" s="7">
        <v>269</v>
      </c>
      <c r="B272" s="8" t="s">
        <v>25</v>
      </c>
      <c r="C272" s="7" t="s">
        <v>23</v>
      </c>
      <c r="D272" s="7" t="s">
        <v>20</v>
      </c>
      <c r="E272">
        <v>3065.5006427132089</v>
      </c>
      <c r="F272">
        <v>1.5277249908389099</v>
      </c>
      <c r="G272">
        <v>0.397907954328928</v>
      </c>
      <c r="H272">
        <v>0.39973063690140093</v>
      </c>
      <c r="I272">
        <v>1.0275136500389999</v>
      </c>
      <c r="J272">
        <f t="shared" si="44"/>
        <v>0.9687854005072023</v>
      </c>
      <c r="K272">
        <f t="shared" si="45"/>
        <v>0.97322308074646446</v>
      </c>
      <c r="L272">
        <f t="shared" si="46"/>
        <v>0.99544022297964974</v>
      </c>
      <c r="M272">
        <v>32.4</v>
      </c>
      <c r="N272">
        <v>0.51488086594144655</v>
      </c>
      <c r="O272">
        <v>180</v>
      </c>
      <c r="P272">
        <v>100</v>
      </c>
      <c r="Q272">
        <v>10</v>
      </c>
      <c r="R272">
        <f t="shared" si="47"/>
        <v>0.18</v>
      </c>
      <c r="T272" t="s">
        <v>41</v>
      </c>
      <c r="W272" s="13">
        <f t="shared" si="48"/>
        <v>1.0425595670292767</v>
      </c>
      <c r="X272" s="9">
        <f t="shared" si="49"/>
        <v>0.126</v>
      </c>
      <c r="Y272" s="13">
        <f t="shared" si="50"/>
        <v>0.3782782105094758</v>
      </c>
      <c r="Z272" s="9">
        <f t="shared" si="51"/>
        <v>0.93</v>
      </c>
      <c r="AA272" s="9">
        <f t="shared" si="52"/>
        <v>0.95896055480571951</v>
      </c>
      <c r="AB272" s="9">
        <f t="shared" si="53"/>
        <v>0.37819253080362397</v>
      </c>
      <c r="AC272" s="9">
        <f t="shared" si="54"/>
        <v>0.95045230106406364</v>
      </c>
    </row>
    <row r="273" spans="1:29" x14ac:dyDescent="0.35">
      <c r="A273" s="7">
        <v>270</v>
      </c>
      <c r="B273" s="8" t="s">
        <v>7</v>
      </c>
      <c r="C273" s="7" t="s">
        <v>9</v>
      </c>
      <c r="D273" s="7" t="s">
        <v>20</v>
      </c>
      <c r="E273">
        <v>2402.0610689962846</v>
      </c>
      <c r="F273">
        <v>1.520614192873134</v>
      </c>
      <c r="G273">
        <v>0.39846845894983557</v>
      </c>
      <c r="H273">
        <v>0.40331857772092089</v>
      </c>
      <c r="I273">
        <v>0.92636915215946536</v>
      </c>
      <c r="J273">
        <f t="shared" si="44"/>
        <v>1.0665019122137882</v>
      </c>
      <c r="K273">
        <f t="shared" si="45"/>
        <v>1.0794832682725815</v>
      </c>
      <c r="L273">
        <f t="shared" si="46"/>
        <v>0.98797447219393553</v>
      </c>
      <c r="M273">
        <v>44.326241134751783</v>
      </c>
      <c r="N273">
        <v>0.75898993726222364</v>
      </c>
      <c r="O273">
        <v>127</v>
      </c>
      <c r="P273">
        <v>76.199999999999989</v>
      </c>
      <c r="Q273">
        <v>4.7751999999999999</v>
      </c>
      <c r="R273">
        <f t="shared" si="47"/>
        <v>0.42440018107741062</v>
      </c>
      <c r="T273" t="s">
        <v>41</v>
      </c>
      <c r="W273" s="13">
        <f t="shared" si="48"/>
        <v>0.91192659401475895</v>
      </c>
      <c r="X273" s="9">
        <f t="shared" si="49"/>
        <v>0.126</v>
      </c>
      <c r="Y273" s="13">
        <f t="shared" si="50"/>
        <v>0.38138973485030686</v>
      </c>
      <c r="Z273" s="9">
        <f t="shared" si="51"/>
        <v>0.97</v>
      </c>
      <c r="AA273" s="9">
        <f t="shared" si="52"/>
        <v>1.0709338516666493</v>
      </c>
      <c r="AB273" s="9">
        <f t="shared" si="53"/>
        <v>0.37247019591530123</v>
      </c>
      <c r="AC273" s="9">
        <f t="shared" si="54"/>
        <v>0.93475452711350648</v>
      </c>
    </row>
    <row r="274" spans="1:29" x14ac:dyDescent="0.35">
      <c r="A274" s="7">
        <v>271</v>
      </c>
      <c r="B274" s="8" t="s">
        <v>3</v>
      </c>
      <c r="C274" s="7" t="s">
        <v>9</v>
      </c>
      <c r="D274" s="7" t="s">
        <v>20</v>
      </c>
      <c r="E274">
        <v>4662.4507949334502</v>
      </c>
      <c r="F274">
        <v>1.5132993615039374</v>
      </c>
      <c r="G274">
        <v>0.37899623339877614</v>
      </c>
      <c r="H274">
        <v>0.38501058422098511</v>
      </c>
      <c r="I274">
        <v>0.7849848354589184</v>
      </c>
      <c r="J274">
        <f t="shared" si="44"/>
        <v>1.254009879603404</v>
      </c>
      <c r="K274">
        <f t="shared" si="45"/>
        <v>1.2739099595667722</v>
      </c>
      <c r="L274">
        <f t="shared" si="46"/>
        <v>0.98437873900433615</v>
      </c>
      <c r="M274">
        <v>31.914893617021278</v>
      </c>
      <c r="N274">
        <v>1.0177876218361828</v>
      </c>
      <c r="O274">
        <v>152.39999999999998</v>
      </c>
      <c r="P274">
        <v>152.39999999999998</v>
      </c>
      <c r="Q274">
        <v>4.7751999999999999</v>
      </c>
      <c r="R274">
        <f t="shared" si="47"/>
        <v>1.0185604345857853</v>
      </c>
      <c r="T274" t="s">
        <v>41</v>
      </c>
      <c r="W274" s="13">
        <f t="shared" si="48"/>
        <v>0.77731603668182259</v>
      </c>
      <c r="X274" s="9">
        <f t="shared" si="49"/>
        <v>0.126</v>
      </c>
      <c r="Y274" s="13">
        <f t="shared" si="50"/>
        <v>0.38462598557283906</v>
      </c>
      <c r="Z274" s="9">
        <f t="shared" si="51"/>
        <v>0.97</v>
      </c>
      <c r="AA274" s="9">
        <f t="shared" si="52"/>
        <v>1.1681940118733707</v>
      </c>
      <c r="AB274" s="9">
        <f t="shared" si="53"/>
        <v>0.3492619106411668</v>
      </c>
      <c r="AC274" s="9">
        <f t="shared" si="54"/>
        <v>0.92154454282841602</v>
      </c>
    </row>
    <row r="275" spans="1:29" x14ac:dyDescent="0.35">
      <c r="A275" s="7">
        <v>272</v>
      </c>
      <c r="B275" s="8" t="s">
        <v>13</v>
      </c>
      <c r="C275" s="7" t="s">
        <v>23</v>
      </c>
      <c r="D275" s="7" t="s">
        <v>20</v>
      </c>
      <c r="E275">
        <v>1688.4286549230683</v>
      </c>
      <c r="F275">
        <v>1.5276904612894955</v>
      </c>
      <c r="G275">
        <v>0.33100044220992014</v>
      </c>
      <c r="H275">
        <v>0.40194279064330646</v>
      </c>
      <c r="I275">
        <v>0.67520082576642282</v>
      </c>
      <c r="J275">
        <f t="shared" si="44"/>
        <v>1.2196391757331522</v>
      </c>
      <c r="K275">
        <f t="shared" si="45"/>
        <v>1.4810408427224544</v>
      </c>
      <c r="L275">
        <f t="shared" si="46"/>
        <v>0.82350137859210371</v>
      </c>
      <c r="M275">
        <v>143.99999999999997</v>
      </c>
      <c r="N275">
        <v>1.299564366942177</v>
      </c>
      <c r="O275">
        <v>152.39999999999998</v>
      </c>
      <c r="P275">
        <v>50.8</v>
      </c>
      <c r="Q275">
        <v>3.1749999999999998</v>
      </c>
      <c r="R275">
        <f t="shared" si="47"/>
        <v>0.7679999999999999</v>
      </c>
      <c r="T275" t="s">
        <v>41</v>
      </c>
      <c r="W275" s="13">
        <f t="shared" si="48"/>
        <v>0.68252957546685222</v>
      </c>
      <c r="X275" s="9">
        <f t="shared" si="49"/>
        <v>0.126</v>
      </c>
      <c r="Y275" s="13">
        <f t="shared" si="50"/>
        <v>0.3782932383384911</v>
      </c>
      <c r="Z275" s="9">
        <f t="shared" si="51"/>
        <v>1</v>
      </c>
      <c r="AA275" s="9">
        <f t="shared" si="52"/>
        <v>1.247390738848287</v>
      </c>
      <c r="AB275" s="9">
        <f t="shared" si="53"/>
        <v>0.32207170257036705</v>
      </c>
      <c r="AC275" s="9">
        <f t="shared" si="54"/>
        <v>0.97302499180985835</v>
      </c>
    </row>
    <row r="276" spans="1:29" x14ac:dyDescent="0.35">
      <c r="A276" s="7">
        <v>273</v>
      </c>
      <c r="B276" s="8" t="s">
        <v>12</v>
      </c>
      <c r="C276" s="7" t="s">
        <v>22</v>
      </c>
      <c r="D276" s="7" t="s">
        <v>20</v>
      </c>
      <c r="E276">
        <v>1499.1472723518743</v>
      </c>
      <c r="F276">
        <v>1.5308281266338035</v>
      </c>
      <c r="G276">
        <v>0.28025685249689081</v>
      </c>
      <c r="H276">
        <v>0.40078158687409593</v>
      </c>
      <c r="I276">
        <v>0.60131279916885161</v>
      </c>
      <c r="J276">
        <f t="shared" si="44"/>
        <v>1.1629151588026516</v>
      </c>
      <c r="K276">
        <f t="shared" si="45"/>
        <v>1.6630279637856087</v>
      </c>
      <c r="L276">
        <f t="shared" si="46"/>
        <v>0.69927576933551205</v>
      </c>
      <c r="M276">
        <v>205.71428571428569</v>
      </c>
      <c r="N276">
        <v>1.6063188451282615</v>
      </c>
      <c r="O276">
        <v>152.39999999999998</v>
      </c>
      <c r="P276">
        <v>44.449999999999996</v>
      </c>
      <c r="Q276">
        <v>2.54</v>
      </c>
      <c r="R276">
        <f t="shared" si="47"/>
        <v>1.0499999999999998</v>
      </c>
      <c r="T276" t="s">
        <v>41</v>
      </c>
      <c r="W276" s="13">
        <f t="shared" si="48"/>
        <v>0.59882836022904706</v>
      </c>
      <c r="X276" s="9">
        <f t="shared" si="49"/>
        <v>0.126</v>
      </c>
      <c r="Y276" s="13">
        <f t="shared" si="50"/>
        <v>0.37693090734338808</v>
      </c>
      <c r="Z276" s="9">
        <f t="shared" si="51"/>
        <v>1</v>
      </c>
      <c r="AA276" s="9">
        <f t="shared" si="52"/>
        <v>1.3009760198561511</v>
      </c>
      <c r="AB276" s="9">
        <f t="shared" si="53"/>
        <v>0.29365229650633567</v>
      </c>
      <c r="AC276" s="9">
        <f t="shared" si="54"/>
        <v>1.0477970258000864</v>
      </c>
    </row>
    <row r="277" spans="1:29" x14ac:dyDescent="0.35">
      <c r="A277" s="7">
        <v>274</v>
      </c>
      <c r="B277" s="8" t="s">
        <v>17</v>
      </c>
      <c r="C277" s="7" t="s">
        <v>14</v>
      </c>
      <c r="D277" s="7" t="s">
        <v>20</v>
      </c>
      <c r="E277">
        <v>8867.4628538166107</v>
      </c>
      <c r="F277">
        <v>1.9566428934922648</v>
      </c>
      <c r="G277">
        <v>0.24002250779529896</v>
      </c>
      <c r="H277">
        <v>0.24070664007967091</v>
      </c>
      <c r="I277">
        <v>1.0642444642444642</v>
      </c>
      <c r="J277">
        <f t="shared" si="44"/>
        <v>0.93696312327795372</v>
      </c>
      <c r="K277">
        <f t="shared" si="45"/>
        <v>0.93963373416269258</v>
      </c>
      <c r="L277">
        <f t="shared" si="46"/>
        <v>0.9971578171497657</v>
      </c>
      <c r="M277">
        <v>3.75</v>
      </c>
      <c r="N277">
        <v>0.23188171752169098</v>
      </c>
      <c r="O277">
        <v>300</v>
      </c>
      <c r="P277">
        <v>300</v>
      </c>
      <c r="Q277">
        <v>80</v>
      </c>
      <c r="R277">
        <f t="shared" si="47"/>
        <v>1.40625E-2</v>
      </c>
      <c r="T277" t="s">
        <v>41</v>
      </c>
      <c r="W277" s="13">
        <f t="shared" si="48"/>
        <v>1.1840591412391546</v>
      </c>
      <c r="X277" s="9">
        <f t="shared" si="49"/>
        <v>0.126</v>
      </c>
      <c r="Y277" s="13">
        <f t="shared" si="50"/>
        <v>0.24077962607271636</v>
      </c>
      <c r="Z277" s="9">
        <f t="shared" si="51"/>
        <v>0.93</v>
      </c>
      <c r="AA277" s="9">
        <f t="shared" si="52"/>
        <v>0.84455240888851968</v>
      </c>
      <c r="AB277" s="9">
        <f t="shared" si="53"/>
        <v>0.24077962607271633</v>
      </c>
      <c r="AC277" s="9">
        <f t="shared" si="54"/>
        <v>1.0031543636651903</v>
      </c>
    </row>
    <row r="278" spans="1:29" x14ac:dyDescent="0.35">
      <c r="A278" s="7">
        <v>275</v>
      </c>
      <c r="B278" s="8" t="s">
        <v>24</v>
      </c>
      <c r="C278" s="7" t="s">
        <v>23</v>
      </c>
      <c r="D278" s="7" t="s">
        <v>20</v>
      </c>
      <c r="E278">
        <v>4638.46678755226</v>
      </c>
      <c r="F278">
        <v>1.9111557177887772</v>
      </c>
      <c r="G278">
        <v>0.25913804095277909</v>
      </c>
      <c r="H278">
        <v>0.26087149424486522</v>
      </c>
      <c r="I278">
        <v>1.1530470367034806</v>
      </c>
      <c r="J278">
        <f t="shared" si="44"/>
        <v>0.86150444277600091</v>
      </c>
      <c r="K278">
        <f t="shared" si="45"/>
        <v>0.86726730841697797</v>
      </c>
      <c r="L278">
        <f t="shared" si="46"/>
        <v>0.99335514484975107</v>
      </c>
      <c r="M278">
        <v>9.9206349206349209</v>
      </c>
      <c r="N278">
        <v>0.29753883438297207</v>
      </c>
      <c r="O278">
        <v>250</v>
      </c>
      <c r="P278">
        <v>150</v>
      </c>
      <c r="Q278">
        <v>42</v>
      </c>
      <c r="R278">
        <f t="shared" si="47"/>
        <v>2.1258503401360547E-2</v>
      </c>
      <c r="T278" t="s">
        <v>41</v>
      </c>
      <c r="W278" s="13">
        <f t="shared" si="48"/>
        <v>1.1512305828085141</v>
      </c>
      <c r="X278" s="9">
        <f t="shared" si="49"/>
        <v>0.126</v>
      </c>
      <c r="Y278" s="13">
        <f t="shared" si="50"/>
        <v>0.25161762834769058</v>
      </c>
      <c r="Z278" s="9">
        <f t="shared" si="51"/>
        <v>0.93</v>
      </c>
      <c r="AA278" s="9">
        <f t="shared" si="52"/>
        <v>0.86863571462844946</v>
      </c>
      <c r="AB278" s="9">
        <f t="shared" si="53"/>
        <v>0.25161762834769058</v>
      </c>
      <c r="AC278" s="9">
        <f t="shared" si="54"/>
        <v>0.97097912534401343</v>
      </c>
    </row>
    <row r="279" spans="1:29" x14ac:dyDescent="0.35">
      <c r="A279" s="7">
        <v>276</v>
      </c>
      <c r="B279" s="8" t="s">
        <v>15</v>
      </c>
      <c r="C279" s="7" t="s">
        <v>14</v>
      </c>
      <c r="D279" s="7" t="s">
        <v>20</v>
      </c>
      <c r="E279">
        <v>8251.3917590255605</v>
      </c>
      <c r="F279">
        <v>1.8533007430843924</v>
      </c>
      <c r="G279">
        <v>0.26662989895227585</v>
      </c>
      <c r="H279">
        <v>0.26705096424633212</v>
      </c>
      <c r="I279" t="s">
        <v>30</v>
      </c>
      <c r="J279" t="e">
        <f t="shared" si="44"/>
        <v>#VALUE!</v>
      </c>
      <c r="K279" t="e">
        <f t="shared" si="45"/>
        <v>#VALUE!</v>
      </c>
      <c r="L279" t="e">
        <f t="shared" si="46"/>
        <v>#VALUE!</v>
      </c>
      <c r="M279">
        <v>7.1428571428571432</v>
      </c>
      <c r="N279">
        <v>0.2441499128436202</v>
      </c>
      <c r="O279">
        <v>250</v>
      </c>
      <c r="P279">
        <v>250</v>
      </c>
      <c r="Q279">
        <v>35</v>
      </c>
      <c r="R279">
        <f t="shared" si="47"/>
        <v>5.1020408163265307E-2</v>
      </c>
      <c r="T279" t="s">
        <v>41</v>
      </c>
      <c r="W279" s="13">
        <f t="shared" si="48"/>
        <v>1.1779250435781901</v>
      </c>
      <c r="X279" s="9">
        <f t="shared" si="49"/>
        <v>0.126</v>
      </c>
      <c r="Y279" s="13">
        <f t="shared" si="50"/>
        <v>0.26644924227312372</v>
      </c>
      <c r="Z279" s="9">
        <f t="shared" si="51"/>
        <v>0.93</v>
      </c>
      <c r="AA279" s="9">
        <f t="shared" si="52"/>
        <v>0.84895045355542653</v>
      </c>
      <c r="AB279" s="9">
        <f t="shared" si="53"/>
        <v>0.26644924227312372</v>
      </c>
      <c r="AC279" s="9">
        <f t="shared" si="54"/>
        <v>0.99932244403248838</v>
      </c>
    </row>
    <row r="280" spans="1:29" x14ac:dyDescent="0.35">
      <c r="A280" s="7">
        <v>277</v>
      </c>
      <c r="B280" s="8" t="s">
        <v>11</v>
      </c>
      <c r="C280" s="7" t="s">
        <v>22</v>
      </c>
      <c r="D280" s="7" t="s">
        <v>20</v>
      </c>
      <c r="E280">
        <v>1736.5250778209886</v>
      </c>
      <c r="F280">
        <v>1.8536735913604871</v>
      </c>
      <c r="G280">
        <v>0.27674198807273914</v>
      </c>
      <c r="H280">
        <v>0.27810813665995532</v>
      </c>
      <c r="I280">
        <v>1.1799990649244503</v>
      </c>
      <c r="J280">
        <f t="shared" si="44"/>
        <v>0.84329533540782875</v>
      </c>
      <c r="K280">
        <f t="shared" si="45"/>
        <v>0.84745829867587674</v>
      </c>
      <c r="L280">
        <f t="shared" si="46"/>
        <v>0.99508770723638851</v>
      </c>
      <c r="M280">
        <v>21.333333333333336</v>
      </c>
      <c r="N280">
        <v>0.33394501352257799</v>
      </c>
      <c r="O280">
        <v>101.6</v>
      </c>
      <c r="P280">
        <v>50.8</v>
      </c>
      <c r="Q280">
        <v>9.5249999999999986</v>
      </c>
      <c r="R280">
        <f t="shared" si="47"/>
        <v>5.6888888888888899E-2</v>
      </c>
      <c r="T280" t="s">
        <v>41</v>
      </c>
      <c r="W280" s="13">
        <f t="shared" si="48"/>
        <v>1.133027493238711</v>
      </c>
      <c r="X280" s="9">
        <f t="shared" si="49"/>
        <v>0.126</v>
      </c>
      <c r="Y280" s="13">
        <f t="shared" si="50"/>
        <v>0.26634967531855513</v>
      </c>
      <c r="Z280" s="9">
        <f t="shared" si="51"/>
        <v>0.93</v>
      </c>
      <c r="AA280" s="9">
        <f t="shared" si="52"/>
        <v>0.88259111625044728</v>
      </c>
      <c r="AB280" s="9">
        <f t="shared" si="53"/>
        <v>0.26634967531855513</v>
      </c>
      <c r="AC280" s="9">
        <f t="shared" si="54"/>
        <v>0.96244764725961107</v>
      </c>
    </row>
    <row r="281" spans="1:29" x14ac:dyDescent="0.35">
      <c r="A281" s="7">
        <v>278</v>
      </c>
      <c r="B281" s="8" t="s">
        <v>8</v>
      </c>
      <c r="C281" s="7" t="s">
        <v>9</v>
      </c>
      <c r="D281" s="7" t="s">
        <v>20</v>
      </c>
      <c r="E281">
        <v>3578.5429682936492</v>
      </c>
      <c r="F281">
        <v>1.8379131423933137</v>
      </c>
      <c r="G281">
        <v>0.28223009996802539</v>
      </c>
      <c r="H281">
        <v>0.2830576464542327</v>
      </c>
      <c r="I281">
        <v>1.1571559669013016</v>
      </c>
      <c r="J281">
        <f t="shared" si="44"/>
        <v>0.86166120343249675</v>
      </c>
      <c r="K281">
        <f t="shared" si="45"/>
        <v>0.86418774011757216</v>
      </c>
      <c r="L281">
        <f t="shared" si="46"/>
        <v>0.99707640299926992</v>
      </c>
      <c r="M281">
        <v>17.999999999999996</v>
      </c>
      <c r="N281">
        <v>0.35613649789943669</v>
      </c>
      <c r="O281">
        <v>152.39999999999998</v>
      </c>
      <c r="P281">
        <v>101.6</v>
      </c>
      <c r="Q281">
        <v>12.7</v>
      </c>
      <c r="R281">
        <f t="shared" si="47"/>
        <v>9.5999999999999988E-2</v>
      </c>
      <c r="T281" t="s">
        <v>41</v>
      </c>
      <c r="W281" s="13">
        <f t="shared" si="48"/>
        <v>1.1219317510502818</v>
      </c>
      <c r="X281" s="9">
        <f t="shared" si="49"/>
        <v>0.126</v>
      </c>
      <c r="Y281" s="13">
        <f t="shared" si="50"/>
        <v>0.27060546331054458</v>
      </c>
      <c r="Z281" s="9">
        <f t="shared" si="51"/>
        <v>0.93</v>
      </c>
      <c r="AA281" s="9">
        <f t="shared" si="52"/>
        <v>0.89131981429695972</v>
      </c>
      <c r="AB281" s="9">
        <f t="shared" si="53"/>
        <v>0.27060546331054458</v>
      </c>
      <c r="AC281" s="9">
        <f t="shared" si="54"/>
        <v>0.95881149225827511</v>
      </c>
    </row>
    <row r="282" spans="1:29" x14ac:dyDescent="0.35">
      <c r="A282" s="7">
        <v>279</v>
      </c>
      <c r="B282" s="8" t="s">
        <v>16</v>
      </c>
      <c r="C282" s="7" t="s">
        <v>14</v>
      </c>
      <c r="D282" s="7" t="s">
        <v>20</v>
      </c>
      <c r="E282">
        <v>8745.2595446928517</v>
      </c>
      <c r="F282">
        <v>1.8274530956911914</v>
      </c>
      <c r="G282">
        <v>0.273837618780642</v>
      </c>
      <c r="H282">
        <v>0.27426790437054094</v>
      </c>
      <c r="I282">
        <v>1.1074743527112847</v>
      </c>
      <c r="J282">
        <f t="shared" si="44"/>
        <v>0.90153884479629931</v>
      </c>
      <c r="K282">
        <f t="shared" si="45"/>
        <v>0.9029554477282753</v>
      </c>
      <c r="L282">
        <f t="shared" si="46"/>
        <v>0.99843114858486104</v>
      </c>
      <c r="M282">
        <v>12.5</v>
      </c>
      <c r="N282">
        <v>0.40484164645387144</v>
      </c>
      <c r="O282">
        <v>250</v>
      </c>
      <c r="P282">
        <v>250</v>
      </c>
      <c r="Q282">
        <v>20</v>
      </c>
      <c r="R282">
        <f t="shared" si="47"/>
        <v>0.15625</v>
      </c>
      <c r="T282" t="s">
        <v>41</v>
      </c>
      <c r="W282" s="13">
        <f t="shared" si="48"/>
        <v>1.0975791767730643</v>
      </c>
      <c r="X282" s="9">
        <f t="shared" si="49"/>
        <v>0.126</v>
      </c>
      <c r="Y282" s="13">
        <f t="shared" si="50"/>
        <v>0.27348401462458327</v>
      </c>
      <c r="Z282" s="9">
        <f t="shared" si="51"/>
        <v>0.93</v>
      </c>
      <c r="AA282" s="9">
        <f t="shared" si="52"/>
        <v>0.91109600214906428</v>
      </c>
      <c r="AB282" s="9">
        <f t="shared" si="53"/>
        <v>0.27348401462458322</v>
      </c>
      <c r="AC282" s="9">
        <f t="shared" si="54"/>
        <v>0.99870870862216332</v>
      </c>
    </row>
    <row r="283" spans="1:29" x14ac:dyDescent="0.35">
      <c r="A283" s="7">
        <v>280</v>
      </c>
      <c r="B283" s="8" t="s">
        <v>10</v>
      </c>
      <c r="C283" s="7" t="s">
        <v>22</v>
      </c>
      <c r="D283" s="7" t="s">
        <v>20</v>
      </c>
      <c r="E283">
        <v>1360.6856763309197</v>
      </c>
      <c r="F283">
        <v>1.8435596540347734</v>
      </c>
      <c r="G283">
        <v>0.27946126027492135</v>
      </c>
      <c r="H283">
        <v>0.28152081747206786</v>
      </c>
      <c r="I283">
        <v>1.0449509908199832</v>
      </c>
      <c r="J283">
        <f t="shared" si="44"/>
        <v>0.94998156195174943</v>
      </c>
      <c r="K283">
        <f t="shared" si="45"/>
        <v>0.95698268032196443</v>
      </c>
      <c r="L283">
        <f t="shared" si="46"/>
        <v>0.99268417442219581</v>
      </c>
      <c r="M283">
        <v>42.666666666666671</v>
      </c>
      <c r="N283">
        <v>0.450214665828926</v>
      </c>
      <c r="O283">
        <v>101.6</v>
      </c>
      <c r="P283">
        <v>38.099999999999994</v>
      </c>
      <c r="Q283">
        <v>6.35</v>
      </c>
      <c r="R283">
        <f t="shared" si="47"/>
        <v>9.5999999999999988E-2</v>
      </c>
      <c r="T283" t="s">
        <v>41</v>
      </c>
      <c r="W283" s="13">
        <f t="shared" si="48"/>
        <v>1.074892667085537</v>
      </c>
      <c r="X283" s="9">
        <f t="shared" si="49"/>
        <v>0.126</v>
      </c>
      <c r="Y283" s="13">
        <f t="shared" si="50"/>
        <v>0.26906959432527511</v>
      </c>
      <c r="Z283" s="9">
        <f t="shared" si="51"/>
        <v>0.93</v>
      </c>
      <c r="AA283" s="9">
        <f t="shared" si="52"/>
        <v>0.93032544608514178</v>
      </c>
      <c r="AB283" s="9">
        <f t="shared" si="53"/>
        <v>0.26906959432527511</v>
      </c>
      <c r="AC283" s="9">
        <f t="shared" si="54"/>
        <v>0.96281536145860291</v>
      </c>
    </row>
    <row r="284" spans="1:29" x14ac:dyDescent="0.35">
      <c r="A284" s="7">
        <v>281</v>
      </c>
      <c r="B284" s="8" t="s">
        <v>18</v>
      </c>
      <c r="C284" s="7" t="s">
        <v>14</v>
      </c>
      <c r="D284" s="7" t="s">
        <v>20</v>
      </c>
      <c r="E284">
        <v>5316.7006879321743</v>
      </c>
      <c r="F284">
        <v>1.8230553772002167</v>
      </c>
      <c r="G284">
        <v>0.27498556620146469</v>
      </c>
      <c r="H284">
        <v>0.27550638220391599</v>
      </c>
      <c r="I284">
        <v>1.0612526039916672</v>
      </c>
      <c r="J284">
        <f t="shared" si="44"/>
        <v>0.94050144219027809</v>
      </c>
      <c r="K284">
        <f t="shared" si="45"/>
        <v>0.9422827291435808</v>
      </c>
      <c r="L284">
        <f t="shared" si="46"/>
        <v>0.9981096045823511</v>
      </c>
      <c r="M284">
        <v>15</v>
      </c>
      <c r="N284">
        <v>0.48259605211607809</v>
      </c>
      <c r="O284">
        <v>150</v>
      </c>
      <c r="P284">
        <v>150</v>
      </c>
      <c r="Q284">
        <v>10</v>
      </c>
      <c r="R284">
        <f t="shared" si="47"/>
        <v>0.22500000000000001</v>
      </c>
      <c r="T284" t="s">
        <v>41</v>
      </c>
      <c r="W284" s="13">
        <f t="shared" si="48"/>
        <v>1.058701973941961</v>
      </c>
      <c r="X284" s="9">
        <f t="shared" si="49"/>
        <v>0.126</v>
      </c>
      <c r="Y284" s="13">
        <f t="shared" si="50"/>
        <v>0.27470734934966279</v>
      </c>
      <c r="Z284" s="9">
        <f t="shared" si="51"/>
        <v>0.93</v>
      </c>
      <c r="AA284" s="9">
        <f t="shared" si="52"/>
        <v>0.94455288137095783</v>
      </c>
      <c r="AB284" s="9">
        <f t="shared" si="53"/>
        <v>0.27470734934966279</v>
      </c>
      <c r="AC284" s="9">
        <f t="shared" si="54"/>
        <v>0.99898824925378782</v>
      </c>
    </row>
    <row r="285" spans="1:29" x14ac:dyDescent="0.35">
      <c r="A285" s="7">
        <v>282</v>
      </c>
      <c r="B285" s="8" t="s">
        <v>25</v>
      </c>
      <c r="C285" s="7" t="s">
        <v>23</v>
      </c>
      <c r="D285" s="7" t="s">
        <v>20</v>
      </c>
      <c r="E285">
        <v>3678.6007712558508</v>
      </c>
      <c r="F285">
        <v>1.8290459053197332</v>
      </c>
      <c r="G285">
        <v>0.28485027318772299</v>
      </c>
      <c r="H285">
        <v>0.28620383979545122</v>
      </c>
      <c r="I285">
        <v>1.0275136500389999</v>
      </c>
      <c r="J285">
        <f t="shared" si="44"/>
        <v>0.96862033934051295</v>
      </c>
      <c r="K285">
        <f t="shared" si="45"/>
        <v>0.97322308074646446</v>
      </c>
      <c r="L285">
        <f t="shared" si="46"/>
        <v>0.99527062037778513</v>
      </c>
      <c r="M285">
        <v>32.4</v>
      </c>
      <c r="N285">
        <v>0.51488086594144655</v>
      </c>
      <c r="O285">
        <v>180</v>
      </c>
      <c r="P285">
        <v>100</v>
      </c>
      <c r="Q285">
        <v>10</v>
      </c>
      <c r="R285">
        <f t="shared" si="47"/>
        <v>0.18</v>
      </c>
      <c r="T285" t="s">
        <v>41</v>
      </c>
      <c r="W285" s="13">
        <f t="shared" si="48"/>
        <v>1.0425595670292767</v>
      </c>
      <c r="X285" s="9">
        <f t="shared" si="49"/>
        <v>0.126</v>
      </c>
      <c r="Y285" s="13">
        <f t="shared" si="50"/>
        <v>0.27304285877779011</v>
      </c>
      <c r="Z285" s="9">
        <f t="shared" si="51"/>
        <v>0.93</v>
      </c>
      <c r="AA285" s="9">
        <f t="shared" si="52"/>
        <v>0.95917780779610695</v>
      </c>
      <c r="AB285" s="9">
        <f t="shared" si="53"/>
        <v>0.27304285877779011</v>
      </c>
      <c r="AC285" s="9">
        <f t="shared" si="54"/>
        <v>0.95854869901370421</v>
      </c>
    </row>
    <row r="286" spans="1:29" x14ac:dyDescent="0.35">
      <c r="A286" s="7">
        <v>283</v>
      </c>
      <c r="B286" s="8" t="s">
        <v>7</v>
      </c>
      <c r="C286" s="7" t="s">
        <v>9</v>
      </c>
      <c r="D286" s="7" t="s">
        <v>20</v>
      </c>
      <c r="E286">
        <v>2882.4732827955409</v>
      </c>
      <c r="F286">
        <v>1.8209208513217547</v>
      </c>
      <c r="G286">
        <v>0.28570224104562086</v>
      </c>
      <c r="H286">
        <v>0.28881800365021687</v>
      </c>
      <c r="I286">
        <v>0.92636915215946536</v>
      </c>
      <c r="J286">
        <f t="shared" si="44"/>
        <v>1.0678378252701981</v>
      </c>
      <c r="K286">
        <f t="shared" si="45"/>
        <v>1.0794832682725815</v>
      </c>
      <c r="L286">
        <f t="shared" si="46"/>
        <v>0.98921202083936077</v>
      </c>
      <c r="M286">
        <v>44.326241134751783</v>
      </c>
      <c r="N286">
        <v>0.75898993726222364</v>
      </c>
      <c r="O286">
        <v>127</v>
      </c>
      <c r="P286">
        <v>76.199999999999989</v>
      </c>
      <c r="Q286">
        <v>4.7751999999999999</v>
      </c>
      <c r="R286">
        <f t="shared" si="47"/>
        <v>0.42440018107741062</v>
      </c>
      <c r="T286" t="s">
        <v>41</v>
      </c>
      <c r="W286" s="13">
        <f t="shared" si="48"/>
        <v>0.91192659401475895</v>
      </c>
      <c r="X286" s="9">
        <f t="shared" si="49"/>
        <v>0.126</v>
      </c>
      <c r="Y286" s="13">
        <f t="shared" si="50"/>
        <v>0.27530394539945435</v>
      </c>
      <c r="Z286" s="9">
        <f t="shared" si="51"/>
        <v>0.97</v>
      </c>
      <c r="AA286" s="9">
        <f t="shared" si="52"/>
        <v>1.096579490677531</v>
      </c>
      <c r="AB286" s="9">
        <f t="shared" si="53"/>
        <v>0.27530394539945435</v>
      </c>
      <c r="AC286" s="9">
        <f t="shared" si="54"/>
        <v>0.96360443093442127</v>
      </c>
    </row>
    <row r="287" spans="1:29" x14ac:dyDescent="0.35">
      <c r="A287" s="7">
        <v>284</v>
      </c>
      <c r="B287" s="8" t="s">
        <v>3</v>
      </c>
      <c r="C287" s="7" t="s">
        <v>9</v>
      </c>
      <c r="D287" s="7" t="s">
        <v>20</v>
      </c>
      <c r="E287">
        <v>5594.9409539201397</v>
      </c>
      <c r="F287">
        <v>1.8134186600886049</v>
      </c>
      <c r="G287">
        <v>0.27477922507772018</v>
      </c>
      <c r="H287">
        <v>0.27803849463410762</v>
      </c>
      <c r="I287">
        <v>0.7849848354589184</v>
      </c>
      <c r="J287">
        <f t="shared" si="44"/>
        <v>1.2589767182029865</v>
      </c>
      <c r="K287">
        <f t="shared" si="45"/>
        <v>1.2739099595667722</v>
      </c>
      <c r="L287">
        <f t="shared" si="46"/>
        <v>0.98827763198518037</v>
      </c>
      <c r="M287">
        <v>31.914893617021278</v>
      </c>
      <c r="N287">
        <v>1.0177876218361828</v>
      </c>
      <c r="O287">
        <v>152.39999999999998</v>
      </c>
      <c r="P287">
        <v>152.39999999999998</v>
      </c>
      <c r="Q287">
        <v>4.7751999999999999</v>
      </c>
      <c r="R287">
        <f t="shared" si="47"/>
        <v>1.0185604345857853</v>
      </c>
      <c r="T287" t="s">
        <v>41</v>
      </c>
      <c r="W287" s="13">
        <f t="shared" si="48"/>
        <v>0.77731603668182259</v>
      </c>
      <c r="X287" s="9">
        <f t="shared" si="49"/>
        <v>0.126</v>
      </c>
      <c r="Y287" s="13">
        <f t="shared" si="50"/>
        <v>0.27741556125179812</v>
      </c>
      <c r="Z287" s="9">
        <f t="shared" si="51"/>
        <v>0.97</v>
      </c>
      <c r="AA287" s="9">
        <f t="shared" si="52"/>
        <v>1.2333225451170249</v>
      </c>
      <c r="AB287" s="9">
        <f t="shared" si="53"/>
        <v>0.26595313662326964</v>
      </c>
      <c r="AC287" s="9">
        <f t="shared" si="54"/>
        <v>0.967879345856827</v>
      </c>
    </row>
    <row r="288" spans="1:29" x14ac:dyDescent="0.35">
      <c r="A288" s="7">
        <v>285</v>
      </c>
      <c r="B288" s="8" t="s">
        <v>13</v>
      </c>
      <c r="C288" s="7" t="s">
        <v>23</v>
      </c>
      <c r="D288" s="7" t="s">
        <v>20</v>
      </c>
      <c r="E288">
        <v>2026.1143859076822</v>
      </c>
      <c r="F288">
        <v>1.8257572469051384</v>
      </c>
      <c r="G288">
        <v>0.25022516058676209</v>
      </c>
      <c r="H288">
        <v>0.28790142964018089</v>
      </c>
      <c r="I288">
        <v>0.67520082576642282</v>
      </c>
      <c r="J288">
        <f t="shared" si="44"/>
        <v>1.2872241835302711</v>
      </c>
      <c r="K288">
        <f t="shared" si="45"/>
        <v>1.4810408427224544</v>
      </c>
      <c r="L288">
        <f t="shared" si="46"/>
        <v>0.86913483166614847</v>
      </c>
      <c r="M288">
        <v>143.99999999999997</v>
      </c>
      <c r="N288">
        <v>1.299564366942177</v>
      </c>
      <c r="O288">
        <v>152.39999999999998</v>
      </c>
      <c r="P288">
        <v>50.8</v>
      </c>
      <c r="Q288">
        <v>3.1749999999999998</v>
      </c>
      <c r="R288">
        <f t="shared" si="47"/>
        <v>0.7679999999999999</v>
      </c>
      <c r="T288" t="s">
        <v>41</v>
      </c>
      <c r="W288" s="13">
        <f t="shared" si="48"/>
        <v>0.68252957546685222</v>
      </c>
      <c r="X288" s="9">
        <f t="shared" si="49"/>
        <v>0.126</v>
      </c>
      <c r="Y288" s="13">
        <f t="shared" si="50"/>
        <v>0.27395483155062561</v>
      </c>
      <c r="Z288" s="9">
        <f t="shared" si="51"/>
        <v>1</v>
      </c>
      <c r="AA288" s="9">
        <f t="shared" si="52"/>
        <v>1.3268773406799907</v>
      </c>
      <c r="AB288" s="9">
        <f t="shared" si="53"/>
        <v>0.24810254364088818</v>
      </c>
      <c r="AC288" s="9">
        <f t="shared" si="54"/>
        <v>0.99151717221043445</v>
      </c>
    </row>
    <row r="289" spans="1:29" x14ac:dyDescent="0.35">
      <c r="A289" s="7">
        <v>286</v>
      </c>
      <c r="B289" s="8" t="s">
        <v>12</v>
      </c>
      <c r="C289" s="7" t="s">
        <v>22</v>
      </c>
      <c r="D289" s="7" t="s">
        <v>20</v>
      </c>
      <c r="E289">
        <v>1798.9767268222492</v>
      </c>
      <c r="F289">
        <v>1.8282563180375457</v>
      </c>
      <c r="G289">
        <v>0.21821199634641078</v>
      </c>
      <c r="H289">
        <v>0.28726736745563036</v>
      </c>
      <c r="I289">
        <v>0.60131279916885161</v>
      </c>
      <c r="J289">
        <f t="shared" si="44"/>
        <v>1.2632574843838276</v>
      </c>
      <c r="K289">
        <f t="shared" si="45"/>
        <v>1.6630279637856087</v>
      </c>
      <c r="L289">
        <f t="shared" si="46"/>
        <v>0.7596128940058412</v>
      </c>
      <c r="M289">
        <v>205.71428571428569</v>
      </c>
      <c r="N289">
        <v>1.6063188451282615</v>
      </c>
      <c r="O289">
        <v>152.39999999999998</v>
      </c>
      <c r="P289">
        <v>44.449999999999996</v>
      </c>
      <c r="Q289">
        <v>2.54</v>
      </c>
      <c r="R289">
        <f t="shared" si="47"/>
        <v>1.0499999999999998</v>
      </c>
      <c r="T289" t="s">
        <v>41</v>
      </c>
      <c r="W289" s="13">
        <f t="shared" si="48"/>
        <v>0.59882836022904706</v>
      </c>
      <c r="X289" s="9">
        <f t="shared" si="49"/>
        <v>0.126</v>
      </c>
      <c r="Y289" s="13">
        <f t="shared" si="50"/>
        <v>0.27326142099399708</v>
      </c>
      <c r="Z289" s="9">
        <f t="shared" si="51"/>
        <v>1</v>
      </c>
      <c r="AA289" s="9">
        <f t="shared" si="52"/>
        <v>1.3971471073859645</v>
      </c>
      <c r="AB289" s="9">
        <f t="shared" si="53"/>
        <v>0.22862452620634416</v>
      </c>
      <c r="AC289" s="9">
        <f t="shared" si="54"/>
        <v>1.0477174950702688</v>
      </c>
    </row>
    <row r="290" spans="1:29" x14ac:dyDescent="0.35">
      <c r="A290" s="7">
        <v>287</v>
      </c>
      <c r="B290" s="8" t="s">
        <v>17</v>
      </c>
      <c r="C290" s="7" t="s">
        <v>14</v>
      </c>
      <c r="D290" s="7" t="s">
        <v>20</v>
      </c>
      <c r="E290">
        <v>10345.373329452714</v>
      </c>
      <c r="F290">
        <v>2.2809871557891461</v>
      </c>
      <c r="G290">
        <v>0.18056276204693852</v>
      </c>
      <c r="H290">
        <v>0.18118920649511389</v>
      </c>
      <c r="I290">
        <v>1.0642444642444642</v>
      </c>
      <c r="J290">
        <f t="shared" si="44"/>
        <v>0.93638503989733979</v>
      </c>
      <c r="K290">
        <f t="shared" si="45"/>
        <v>0.93963373416269258</v>
      </c>
      <c r="L290">
        <f t="shared" si="46"/>
        <v>0.99654259511207555</v>
      </c>
      <c r="M290">
        <v>3.75</v>
      </c>
      <c r="N290">
        <v>0.23188171752169098</v>
      </c>
      <c r="O290">
        <v>300</v>
      </c>
      <c r="P290">
        <v>300</v>
      </c>
      <c r="Q290">
        <v>80</v>
      </c>
      <c r="R290">
        <f t="shared" si="47"/>
        <v>1.40625E-2</v>
      </c>
      <c r="T290" t="s">
        <v>41</v>
      </c>
      <c r="W290" s="13">
        <f t="shared" si="48"/>
        <v>1.1840591412391546</v>
      </c>
      <c r="X290" s="9">
        <f t="shared" si="49"/>
        <v>0.126</v>
      </c>
      <c r="Y290" s="13">
        <f t="shared" si="50"/>
        <v>0.18006905416295169</v>
      </c>
      <c r="Z290" s="9">
        <f t="shared" si="51"/>
        <v>0.93</v>
      </c>
      <c r="AA290" s="9">
        <f t="shared" si="52"/>
        <v>0.84455240888851968</v>
      </c>
      <c r="AB290" s="9">
        <f t="shared" si="53"/>
        <v>0.18006905416295169</v>
      </c>
      <c r="AC290" s="9">
        <f t="shared" si="54"/>
        <v>0.9972657270060008</v>
      </c>
    </row>
    <row r="291" spans="1:29" x14ac:dyDescent="0.35">
      <c r="A291" s="7">
        <v>288</v>
      </c>
      <c r="B291" s="8" t="s">
        <v>24</v>
      </c>
      <c r="C291" s="7" t="s">
        <v>23</v>
      </c>
      <c r="D291" s="7" t="s">
        <v>20</v>
      </c>
      <c r="E291">
        <v>5411.5445854776372</v>
      </c>
      <c r="F291">
        <v>2.2267648657718611</v>
      </c>
      <c r="G291">
        <v>0.19425535936331981</v>
      </c>
      <c r="H291">
        <v>0.19573470729638509</v>
      </c>
      <c r="I291">
        <v>1.1530470367034806</v>
      </c>
      <c r="J291">
        <f t="shared" si="44"/>
        <v>0.86071256849454292</v>
      </c>
      <c r="K291">
        <f t="shared" si="45"/>
        <v>0.86726730841697797</v>
      </c>
      <c r="L291">
        <f t="shared" si="46"/>
        <v>0.9924420765560743</v>
      </c>
      <c r="M291">
        <v>9.9206349206349209</v>
      </c>
      <c r="N291">
        <v>0.29753883438297207</v>
      </c>
      <c r="O291">
        <v>250</v>
      </c>
      <c r="P291">
        <v>150</v>
      </c>
      <c r="Q291">
        <v>42</v>
      </c>
      <c r="R291">
        <f t="shared" si="47"/>
        <v>2.1258503401360547E-2</v>
      </c>
      <c r="T291" t="s">
        <v>41</v>
      </c>
      <c r="W291" s="13">
        <f t="shared" si="48"/>
        <v>1.1512305828085141</v>
      </c>
      <c r="X291" s="9">
        <f t="shared" si="49"/>
        <v>0.126</v>
      </c>
      <c r="Y291" s="13">
        <f t="shared" si="50"/>
        <v>0.18852844866239291</v>
      </c>
      <c r="Z291" s="9">
        <f t="shared" si="51"/>
        <v>0.93</v>
      </c>
      <c r="AA291" s="9">
        <f t="shared" si="52"/>
        <v>0.86863571462844946</v>
      </c>
      <c r="AB291" s="9">
        <f t="shared" si="53"/>
        <v>0.18852844866239291</v>
      </c>
      <c r="AC291" s="9">
        <f t="shared" si="54"/>
        <v>0.97051864762085793</v>
      </c>
    </row>
    <row r="292" spans="1:29" x14ac:dyDescent="0.35">
      <c r="A292" s="7">
        <v>289</v>
      </c>
      <c r="B292" s="8" t="s">
        <v>15</v>
      </c>
      <c r="C292" s="7" t="s">
        <v>14</v>
      </c>
      <c r="D292" s="7" t="s">
        <v>20</v>
      </c>
      <c r="E292">
        <v>9626.623718863153</v>
      </c>
      <c r="F292">
        <v>2.160290637095637</v>
      </c>
      <c r="G292">
        <v>0.20054092137751331</v>
      </c>
      <c r="H292">
        <v>0.20096280496131466</v>
      </c>
      <c r="I292" t="s">
        <v>30</v>
      </c>
      <c r="J292" t="e">
        <f t="shared" si="44"/>
        <v>#VALUE!</v>
      </c>
      <c r="K292" t="e">
        <f t="shared" si="45"/>
        <v>#VALUE!</v>
      </c>
      <c r="L292" t="e">
        <f t="shared" si="46"/>
        <v>#VALUE!</v>
      </c>
      <c r="M292">
        <v>7.1428571428571432</v>
      </c>
      <c r="N292">
        <v>0.2441499128436202</v>
      </c>
      <c r="O292">
        <v>250</v>
      </c>
      <c r="P292">
        <v>250</v>
      </c>
      <c r="Q292">
        <v>35</v>
      </c>
      <c r="R292">
        <f t="shared" si="47"/>
        <v>5.1020408163265307E-2</v>
      </c>
      <c r="T292" t="s">
        <v>41</v>
      </c>
      <c r="W292" s="13">
        <f t="shared" si="48"/>
        <v>1.1779250435781901</v>
      </c>
      <c r="X292" s="9">
        <f t="shared" si="49"/>
        <v>0.126</v>
      </c>
      <c r="Y292" s="13">
        <f t="shared" si="50"/>
        <v>0.19972107652501889</v>
      </c>
      <c r="Z292" s="9">
        <f t="shared" si="51"/>
        <v>0.93</v>
      </c>
      <c r="AA292" s="9">
        <f t="shared" si="52"/>
        <v>0.84895045355542653</v>
      </c>
      <c r="AB292" s="9">
        <f t="shared" si="53"/>
        <v>0.19972107652501889</v>
      </c>
      <c r="AC292" s="9">
        <f t="shared" si="54"/>
        <v>0.99591183262317273</v>
      </c>
    </row>
    <row r="293" spans="1:29" x14ac:dyDescent="0.35">
      <c r="A293" s="7">
        <v>290</v>
      </c>
      <c r="B293" s="8" t="s">
        <v>11</v>
      </c>
      <c r="C293" s="7" t="s">
        <v>22</v>
      </c>
      <c r="D293" s="7" t="s">
        <v>20</v>
      </c>
      <c r="E293">
        <v>2025.9459241244865</v>
      </c>
      <c r="F293">
        <v>2.1590123866704105</v>
      </c>
      <c r="G293">
        <v>0.20729182338784649</v>
      </c>
      <c r="H293">
        <v>0.20850411923522172</v>
      </c>
      <c r="I293">
        <v>1.1799990649244503</v>
      </c>
      <c r="J293">
        <f t="shared" si="44"/>
        <v>0.8425309611245767</v>
      </c>
      <c r="K293">
        <f t="shared" si="45"/>
        <v>0.84745829867587674</v>
      </c>
      <c r="L293">
        <f t="shared" si="46"/>
        <v>0.99418574629689882</v>
      </c>
      <c r="M293">
        <v>21.333333333333336</v>
      </c>
      <c r="N293">
        <v>0.33394501352257799</v>
      </c>
      <c r="O293">
        <v>101.6</v>
      </c>
      <c r="P293">
        <v>50.8</v>
      </c>
      <c r="Q293">
        <v>9.5249999999999986</v>
      </c>
      <c r="R293">
        <f t="shared" si="47"/>
        <v>5.6888888888888899E-2</v>
      </c>
      <c r="T293" t="s">
        <v>41</v>
      </c>
      <c r="W293" s="13">
        <f t="shared" si="48"/>
        <v>1.133027493238711</v>
      </c>
      <c r="X293" s="9">
        <f t="shared" si="49"/>
        <v>0.126</v>
      </c>
      <c r="Y293" s="13">
        <f t="shared" si="50"/>
        <v>0.19994577904985322</v>
      </c>
      <c r="Z293" s="9">
        <f t="shared" si="51"/>
        <v>0.93</v>
      </c>
      <c r="AA293" s="9">
        <f t="shared" si="52"/>
        <v>0.88259111625044728</v>
      </c>
      <c r="AB293" s="9">
        <f t="shared" si="53"/>
        <v>0.19994577904985322</v>
      </c>
      <c r="AC293" s="9">
        <f t="shared" si="54"/>
        <v>0.96456182295117021</v>
      </c>
    </row>
    <row r="294" spans="1:29" x14ac:dyDescent="0.35">
      <c r="A294" s="7">
        <v>291</v>
      </c>
      <c r="B294" s="8" t="s">
        <v>8</v>
      </c>
      <c r="C294" s="7" t="s">
        <v>9</v>
      </c>
      <c r="D294" s="7" t="s">
        <v>20</v>
      </c>
      <c r="E294">
        <v>4174.9667963425909</v>
      </c>
      <c r="F294">
        <v>2.1416158613928169</v>
      </c>
      <c r="G294">
        <v>0.21137088886057825</v>
      </c>
      <c r="H294">
        <v>0.21217766333643104</v>
      </c>
      <c r="I294">
        <v>1.1571559669013016</v>
      </c>
      <c r="J294">
        <f t="shared" si="44"/>
        <v>0.86090179285946589</v>
      </c>
      <c r="K294">
        <f t="shared" si="45"/>
        <v>0.86418774011757216</v>
      </c>
      <c r="L294">
        <f t="shared" si="46"/>
        <v>0.9961976465233594</v>
      </c>
      <c r="M294">
        <v>17.999999999999996</v>
      </c>
      <c r="N294">
        <v>0.35613649789943669</v>
      </c>
      <c r="O294">
        <v>152.39999999999998</v>
      </c>
      <c r="P294">
        <v>101.6</v>
      </c>
      <c r="Q294">
        <v>12.7</v>
      </c>
      <c r="R294">
        <f t="shared" si="47"/>
        <v>9.5999999999999988E-2</v>
      </c>
      <c r="T294" t="s">
        <v>41</v>
      </c>
      <c r="W294" s="13">
        <f t="shared" si="48"/>
        <v>1.1219317510502818</v>
      </c>
      <c r="X294" s="9">
        <f t="shared" si="49"/>
        <v>0.126</v>
      </c>
      <c r="Y294" s="13">
        <f t="shared" si="50"/>
        <v>0.20304114504158269</v>
      </c>
      <c r="Z294" s="9">
        <f t="shared" si="51"/>
        <v>0.93</v>
      </c>
      <c r="AA294" s="9">
        <f t="shared" si="52"/>
        <v>0.89131981429695972</v>
      </c>
      <c r="AB294" s="9">
        <f t="shared" si="53"/>
        <v>0.20304114504158269</v>
      </c>
      <c r="AC294" s="9">
        <f t="shared" si="54"/>
        <v>0.9605918115597748</v>
      </c>
    </row>
    <row r="295" spans="1:29" x14ac:dyDescent="0.35">
      <c r="A295" s="7">
        <v>292</v>
      </c>
      <c r="B295" s="8" t="s">
        <v>16</v>
      </c>
      <c r="C295" s="7" t="s">
        <v>14</v>
      </c>
      <c r="D295" s="7" t="s">
        <v>20</v>
      </c>
      <c r="E295">
        <v>10202.802802141659</v>
      </c>
      <c r="F295">
        <v>2.1301631711563012</v>
      </c>
      <c r="G295">
        <v>0.20587831134231666</v>
      </c>
      <c r="H295">
        <v>0.20630278186788623</v>
      </c>
      <c r="I295">
        <v>1.1074743527112847</v>
      </c>
      <c r="J295">
        <f t="shared" si="44"/>
        <v>0.90109760572540509</v>
      </c>
      <c r="K295">
        <f t="shared" si="45"/>
        <v>0.9029554477282753</v>
      </c>
      <c r="L295">
        <f t="shared" si="46"/>
        <v>0.99794248763043147</v>
      </c>
      <c r="M295">
        <v>12.5</v>
      </c>
      <c r="N295">
        <v>0.40484164645387144</v>
      </c>
      <c r="O295">
        <v>250</v>
      </c>
      <c r="P295">
        <v>250</v>
      </c>
      <c r="Q295">
        <v>20</v>
      </c>
      <c r="R295">
        <f t="shared" si="47"/>
        <v>0.15625</v>
      </c>
      <c r="T295" t="s">
        <v>41</v>
      </c>
      <c r="W295" s="13">
        <f t="shared" si="48"/>
        <v>1.0975791767730643</v>
      </c>
      <c r="X295" s="9">
        <f t="shared" si="49"/>
        <v>0.126</v>
      </c>
      <c r="Y295" s="13">
        <f t="shared" si="50"/>
        <v>0.20511744291788483</v>
      </c>
      <c r="Z295" s="9">
        <f t="shared" si="51"/>
        <v>0.93</v>
      </c>
      <c r="AA295" s="9">
        <f t="shared" si="52"/>
        <v>0.91109600214906428</v>
      </c>
      <c r="AB295" s="9">
        <f t="shared" si="53"/>
        <v>0.20511744291788483</v>
      </c>
      <c r="AC295" s="9">
        <f t="shared" si="54"/>
        <v>0.99630428081777533</v>
      </c>
    </row>
    <row r="296" spans="1:29" x14ac:dyDescent="0.35">
      <c r="A296" s="7">
        <v>293</v>
      </c>
      <c r="B296" s="8" t="s">
        <v>10</v>
      </c>
      <c r="C296" s="7" t="s">
        <v>22</v>
      </c>
      <c r="D296" s="7" t="s">
        <v>20</v>
      </c>
      <c r="E296">
        <v>1587.4666223860731</v>
      </c>
      <c r="F296">
        <v>2.1458818712470977</v>
      </c>
      <c r="G296">
        <v>0.20929360574777067</v>
      </c>
      <c r="H296">
        <v>0.2110560867080408</v>
      </c>
      <c r="I296">
        <v>1.0449509908199832</v>
      </c>
      <c r="J296">
        <f t="shared" si="44"/>
        <v>0.9489911375065756</v>
      </c>
      <c r="K296">
        <f t="shared" si="45"/>
        <v>0.95698268032196443</v>
      </c>
      <c r="L296">
        <f t="shared" si="46"/>
        <v>0.99164922941687916</v>
      </c>
      <c r="M296">
        <v>42.666666666666671</v>
      </c>
      <c r="N296">
        <v>0.450214665828926</v>
      </c>
      <c r="O296">
        <v>101.6</v>
      </c>
      <c r="P296">
        <v>38.099999999999994</v>
      </c>
      <c r="Q296">
        <v>6.35</v>
      </c>
      <c r="R296">
        <f t="shared" si="47"/>
        <v>9.5999999999999988E-2</v>
      </c>
      <c r="T296" t="s">
        <v>41</v>
      </c>
      <c r="W296" s="13">
        <f t="shared" si="48"/>
        <v>1.074892667085537</v>
      </c>
      <c r="X296" s="9">
        <f t="shared" si="49"/>
        <v>0.126</v>
      </c>
      <c r="Y296" s="13">
        <f t="shared" si="50"/>
        <v>0.20227561994757962</v>
      </c>
      <c r="Z296" s="9">
        <f t="shared" si="51"/>
        <v>0.93</v>
      </c>
      <c r="AA296" s="9">
        <f t="shared" si="52"/>
        <v>0.93032544608514178</v>
      </c>
      <c r="AB296" s="9">
        <f t="shared" si="53"/>
        <v>0.20227561994757962</v>
      </c>
      <c r="AC296" s="9">
        <f t="shared" si="54"/>
        <v>0.96646822641753927</v>
      </c>
    </row>
    <row r="297" spans="1:29" x14ac:dyDescent="0.35">
      <c r="A297" s="7">
        <v>294</v>
      </c>
      <c r="B297" s="8" t="s">
        <v>18</v>
      </c>
      <c r="C297" s="7" t="s">
        <v>14</v>
      </c>
      <c r="D297" s="7" t="s">
        <v>20</v>
      </c>
      <c r="E297">
        <v>6202.8174692542043</v>
      </c>
      <c r="F297">
        <v>2.1250010454757144</v>
      </c>
      <c r="G297">
        <v>0.20671859342217613</v>
      </c>
      <c r="H297">
        <v>0.20720717271770211</v>
      </c>
      <c r="I297">
        <v>1.0612526039916672</v>
      </c>
      <c r="J297">
        <f t="shared" si="44"/>
        <v>0.94006089567153928</v>
      </c>
      <c r="K297">
        <f t="shared" si="45"/>
        <v>0.9422827291435808</v>
      </c>
      <c r="L297">
        <f t="shared" si="46"/>
        <v>0.99764207344216005</v>
      </c>
      <c r="M297">
        <v>15</v>
      </c>
      <c r="N297">
        <v>0.48259605211607809</v>
      </c>
      <c r="O297">
        <v>150</v>
      </c>
      <c r="P297">
        <v>150</v>
      </c>
      <c r="Q297">
        <v>10</v>
      </c>
      <c r="R297">
        <f t="shared" si="47"/>
        <v>0.22500000000000001</v>
      </c>
      <c r="T297" t="s">
        <v>41</v>
      </c>
      <c r="W297" s="13">
        <f t="shared" si="48"/>
        <v>1.058701973941961</v>
      </c>
      <c r="X297" s="9">
        <f t="shared" si="49"/>
        <v>0.126</v>
      </c>
      <c r="Y297" s="13">
        <f t="shared" si="50"/>
        <v>0.20606349237877908</v>
      </c>
      <c r="Z297" s="9">
        <f t="shared" si="51"/>
        <v>0.93</v>
      </c>
      <c r="AA297" s="9">
        <f t="shared" si="52"/>
        <v>0.94455288137095783</v>
      </c>
      <c r="AB297" s="9">
        <f t="shared" si="53"/>
        <v>0.20606349237877908</v>
      </c>
      <c r="AC297" s="9">
        <f t="shared" si="54"/>
        <v>0.99683095249173281</v>
      </c>
    </row>
    <row r="298" spans="1:29" x14ac:dyDescent="0.35">
      <c r="A298" s="7">
        <v>295</v>
      </c>
      <c r="B298" s="8" t="s">
        <v>25</v>
      </c>
      <c r="C298" s="7" t="s">
        <v>23</v>
      </c>
      <c r="D298" s="7" t="s">
        <v>20</v>
      </c>
      <c r="E298">
        <v>4291.7008997984922</v>
      </c>
      <c r="F298">
        <v>2.1309256008985908</v>
      </c>
      <c r="G298">
        <v>0.21315265699801744</v>
      </c>
      <c r="H298">
        <v>0.21436790604256187</v>
      </c>
      <c r="I298">
        <v>1.0275136500389999</v>
      </c>
      <c r="J298">
        <f t="shared" si="44"/>
        <v>0.96770589097286608</v>
      </c>
      <c r="K298">
        <f t="shared" si="45"/>
        <v>0.97322308074646446</v>
      </c>
      <c r="L298">
        <f t="shared" si="46"/>
        <v>0.99433101219777209</v>
      </c>
      <c r="M298">
        <v>32.4</v>
      </c>
      <c r="N298">
        <v>0.51488086594144655</v>
      </c>
      <c r="O298">
        <v>180</v>
      </c>
      <c r="P298">
        <v>100</v>
      </c>
      <c r="Q298">
        <v>10</v>
      </c>
      <c r="R298">
        <f t="shared" si="47"/>
        <v>0.18</v>
      </c>
      <c r="T298" t="s">
        <v>41</v>
      </c>
      <c r="W298" s="13">
        <f t="shared" si="48"/>
        <v>1.0425595670292767</v>
      </c>
      <c r="X298" s="9">
        <f t="shared" si="49"/>
        <v>0.126</v>
      </c>
      <c r="Y298" s="13">
        <f t="shared" si="50"/>
        <v>0.20497825424436664</v>
      </c>
      <c r="Z298" s="9">
        <f t="shared" si="51"/>
        <v>0.93</v>
      </c>
      <c r="AA298" s="9">
        <f t="shared" si="52"/>
        <v>0.95917780779610695</v>
      </c>
      <c r="AB298" s="9">
        <f t="shared" si="53"/>
        <v>0.20497825424436664</v>
      </c>
      <c r="AC298" s="9">
        <f t="shared" si="54"/>
        <v>0.96165000770444609</v>
      </c>
    </row>
    <row r="299" spans="1:29" x14ac:dyDescent="0.35">
      <c r="A299" s="7">
        <v>296</v>
      </c>
      <c r="B299" s="8" t="s">
        <v>7</v>
      </c>
      <c r="C299" s="7" t="s">
        <v>9</v>
      </c>
      <c r="D299" s="7" t="s">
        <v>20</v>
      </c>
      <c r="E299">
        <v>3362.885496594798</v>
      </c>
      <c r="F299">
        <v>2.1216369859573021</v>
      </c>
      <c r="G299">
        <v>0.21389638421991281</v>
      </c>
      <c r="H299">
        <v>0.21623796707461265</v>
      </c>
      <c r="I299">
        <v>0.92636915215946536</v>
      </c>
      <c r="J299">
        <f t="shared" si="44"/>
        <v>1.0677938339557564</v>
      </c>
      <c r="K299">
        <f t="shared" si="45"/>
        <v>1.0794832682725815</v>
      </c>
      <c r="L299">
        <f t="shared" si="46"/>
        <v>0.98917126864269911</v>
      </c>
      <c r="M299">
        <v>44.326241134751783</v>
      </c>
      <c r="N299">
        <v>0.75898993726222364</v>
      </c>
      <c r="O299">
        <v>127</v>
      </c>
      <c r="P299">
        <v>76.199999999999989</v>
      </c>
      <c r="Q299">
        <v>4.7751999999999999</v>
      </c>
      <c r="R299">
        <f t="shared" si="47"/>
        <v>0.42440018107741062</v>
      </c>
      <c r="T299" t="s">
        <v>41</v>
      </c>
      <c r="W299" s="13">
        <f t="shared" si="48"/>
        <v>0.91192659401475895</v>
      </c>
      <c r="X299" s="9">
        <f t="shared" si="49"/>
        <v>0.126</v>
      </c>
      <c r="Y299" s="13">
        <f t="shared" si="50"/>
        <v>0.20668346074236027</v>
      </c>
      <c r="Z299" s="9">
        <f t="shared" si="51"/>
        <v>0.97</v>
      </c>
      <c r="AA299" s="9">
        <f t="shared" si="52"/>
        <v>1.096579490677531</v>
      </c>
      <c r="AB299" s="9">
        <f t="shared" si="53"/>
        <v>0.20668346074236027</v>
      </c>
      <c r="AC299" s="9">
        <f t="shared" si="54"/>
        <v>0.96627842259298447</v>
      </c>
    </row>
    <row r="300" spans="1:29" x14ac:dyDescent="0.35">
      <c r="A300" s="7">
        <v>297</v>
      </c>
      <c r="B300" s="8" t="s">
        <v>3</v>
      </c>
      <c r="C300" s="7" t="s">
        <v>9</v>
      </c>
      <c r="D300" s="7" t="s">
        <v>20</v>
      </c>
      <c r="E300">
        <v>6527.431112906831</v>
      </c>
      <c r="F300">
        <v>2.1138394237365121</v>
      </c>
      <c r="G300">
        <v>0.20678699688342142</v>
      </c>
      <c r="H300">
        <v>0.20899144186754703</v>
      </c>
      <c r="I300">
        <v>0.7849848354589184</v>
      </c>
      <c r="J300">
        <f t="shared" si="44"/>
        <v>1.2604727374704987</v>
      </c>
      <c r="K300">
        <f t="shared" si="45"/>
        <v>1.2739099595667722</v>
      </c>
      <c r="L300">
        <f t="shared" si="46"/>
        <v>0.98945198442373183</v>
      </c>
      <c r="M300">
        <v>31.914893617021278</v>
      </c>
      <c r="N300">
        <v>1.0177876218361828</v>
      </c>
      <c r="O300">
        <v>152.39999999999998</v>
      </c>
      <c r="P300">
        <v>152.39999999999998</v>
      </c>
      <c r="Q300">
        <v>4.7751999999999999</v>
      </c>
      <c r="R300">
        <f t="shared" si="47"/>
        <v>1.0185604345857853</v>
      </c>
      <c r="T300" t="s">
        <v>41</v>
      </c>
      <c r="W300" s="13">
        <f t="shared" si="48"/>
        <v>0.77731603668182259</v>
      </c>
      <c r="X300" s="9">
        <f t="shared" si="49"/>
        <v>0.126</v>
      </c>
      <c r="Y300" s="13">
        <f t="shared" si="50"/>
        <v>0.20813103886089862</v>
      </c>
      <c r="Z300" s="9">
        <f t="shared" si="51"/>
        <v>0.97</v>
      </c>
      <c r="AA300" s="9">
        <f t="shared" si="52"/>
        <v>1.2864780254229184</v>
      </c>
      <c r="AB300" s="9">
        <f t="shared" si="53"/>
        <v>0.20813103886089862</v>
      </c>
      <c r="AC300" s="9">
        <f t="shared" si="54"/>
        <v>1.0064996445508367</v>
      </c>
    </row>
    <row r="301" spans="1:29" x14ac:dyDescent="0.35">
      <c r="A301" s="7">
        <v>298</v>
      </c>
      <c r="B301" s="8" t="s">
        <v>13</v>
      </c>
      <c r="C301" s="7" t="s">
        <v>23</v>
      </c>
      <c r="D301" s="7" t="s">
        <v>20</v>
      </c>
      <c r="E301">
        <v>2363.800116892296</v>
      </c>
      <c r="F301">
        <v>2.1248335821083617</v>
      </c>
      <c r="G301">
        <v>0.19251064902974319</v>
      </c>
      <c r="H301">
        <v>0.21557990070620742</v>
      </c>
      <c r="I301">
        <v>0.67520082576642282</v>
      </c>
      <c r="J301">
        <f t="shared" si="44"/>
        <v>1.3225543426732262</v>
      </c>
      <c r="K301">
        <f t="shared" si="45"/>
        <v>1.4810408427224544</v>
      </c>
      <c r="L301">
        <f t="shared" si="46"/>
        <v>0.89298978429393094</v>
      </c>
      <c r="M301">
        <v>143.99999999999997</v>
      </c>
      <c r="N301">
        <v>1.299564366942177</v>
      </c>
      <c r="O301">
        <v>152.39999999999998</v>
      </c>
      <c r="P301">
        <v>50.8</v>
      </c>
      <c r="Q301">
        <v>3.1749999999999998</v>
      </c>
      <c r="R301">
        <f t="shared" si="47"/>
        <v>0.7679999999999999</v>
      </c>
      <c r="T301" t="s">
        <v>41</v>
      </c>
      <c r="W301" s="13">
        <f t="shared" si="48"/>
        <v>0.68252957546685222</v>
      </c>
      <c r="X301" s="9">
        <f t="shared" si="49"/>
        <v>0.126</v>
      </c>
      <c r="Y301" s="13">
        <f t="shared" si="50"/>
        <v>0.20609428999063131</v>
      </c>
      <c r="Z301" s="9">
        <f t="shared" si="51"/>
        <v>1</v>
      </c>
      <c r="AA301" s="9">
        <f t="shared" si="52"/>
        <v>1.4066331629346667</v>
      </c>
      <c r="AB301" s="9">
        <f t="shared" si="53"/>
        <v>0.19786468439237015</v>
      </c>
      <c r="AC301" s="9">
        <f t="shared" si="54"/>
        <v>1.0278116321856032</v>
      </c>
    </row>
    <row r="302" spans="1:29" x14ac:dyDescent="0.35">
      <c r="A302" s="7">
        <v>299</v>
      </c>
      <c r="B302" s="8" t="s">
        <v>12</v>
      </c>
      <c r="C302" s="7" t="s">
        <v>22</v>
      </c>
      <c r="D302" s="7" t="s">
        <v>20</v>
      </c>
      <c r="E302">
        <v>2098.8061812926239</v>
      </c>
      <c r="F302">
        <v>2.1267673950040429</v>
      </c>
      <c r="G302">
        <v>0.17286755718903893</v>
      </c>
      <c r="H302">
        <v>0.21521856149542645</v>
      </c>
      <c r="I302">
        <v>0.60131279916885161</v>
      </c>
      <c r="J302">
        <f t="shared" si="44"/>
        <v>1.3357750355690809</v>
      </c>
      <c r="K302">
        <f t="shared" si="45"/>
        <v>1.6630279637856087</v>
      </c>
      <c r="L302">
        <f t="shared" si="46"/>
        <v>0.80321862569791647</v>
      </c>
      <c r="M302">
        <v>205.71428571428569</v>
      </c>
      <c r="N302">
        <v>1.6063188451282615</v>
      </c>
      <c r="O302">
        <v>152.39999999999998</v>
      </c>
      <c r="P302">
        <v>44.449999999999996</v>
      </c>
      <c r="Q302">
        <v>2.54</v>
      </c>
      <c r="R302">
        <f t="shared" si="47"/>
        <v>1.0499999999999998</v>
      </c>
      <c r="T302" t="s">
        <v>41</v>
      </c>
      <c r="W302" s="13">
        <f t="shared" si="48"/>
        <v>0.59882836022904706</v>
      </c>
      <c r="X302" s="9">
        <f t="shared" si="49"/>
        <v>0.126</v>
      </c>
      <c r="Y302" s="13">
        <f t="shared" si="50"/>
        <v>0.20573905952054572</v>
      </c>
      <c r="Z302" s="9">
        <f t="shared" si="51"/>
        <v>1</v>
      </c>
      <c r="AA302" s="9">
        <f t="shared" si="52"/>
        <v>1.4936683375224655</v>
      </c>
      <c r="AB302" s="9">
        <f t="shared" si="53"/>
        <v>0.18402349956194677</v>
      </c>
      <c r="AC302" s="9">
        <f t="shared" si="54"/>
        <v>1.0645346215004836</v>
      </c>
    </row>
    <row r="303" spans="1:29" x14ac:dyDescent="0.35">
      <c r="A303" s="7">
        <v>300</v>
      </c>
      <c r="B303" s="8" t="s">
        <v>17</v>
      </c>
      <c r="C303" s="7" t="s">
        <v>14</v>
      </c>
      <c r="D303" s="7" t="s">
        <v>20</v>
      </c>
      <c r="E303">
        <v>11823.283805088813</v>
      </c>
      <c r="F303">
        <v>2.6054685745729462</v>
      </c>
      <c r="G303">
        <v>0.14091151246375858</v>
      </c>
      <c r="H303">
        <v>0.14152473093633164</v>
      </c>
      <c r="I303">
        <v>1.0642444642444642</v>
      </c>
      <c r="J303">
        <f t="shared" si="44"/>
        <v>0.9355623555461835</v>
      </c>
      <c r="K303">
        <f t="shared" si="45"/>
        <v>0.93963373416269258</v>
      </c>
      <c r="L303">
        <f t="shared" si="46"/>
        <v>0.99566705784553688</v>
      </c>
      <c r="M303">
        <v>3.75</v>
      </c>
      <c r="N303">
        <v>0.23188171752169098</v>
      </c>
      <c r="O303">
        <v>300</v>
      </c>
      <c r="P303">
        <v>300</v>
      </c>
      <c r="Q303">
        <v>80</v>
      </c>
      <c r="R303">
        <f t="shared" si="47"/>
        <v>1.40625E-2</v>
      </c>
      <c r="T303" t="s">
        <v>41</v>
      </c>
      <c r="W303" s="13">
        <f t="shared" si="48"/>
        <v>1.1840591412391546</v>
      </c>
      <c r="X303" s="9">
        <f t="shared" si="49"/>
        <v>0.126</v>
      </c>
      <c r="Y303" s="13">
        <f t="shared" si="50"/>
        <v>0.13947073073016808</v>
      </c>
      <c r="Z303" s="9">
        <f t="shared" si="51"/>
        <v>0.93</v>
      </c>
      <c r="AA303" s="9">
        <f t="shared" si="52"/>
        <v>0.84455240888851968</v>
      </c>
      <c r="AB303" s="9">
        <f t="shared" si="53"/>
        <v>0.13947073073016808</v>
      </c>
      <c r="AC303" s="9">
        <f t="shared" si="54"/>
        <v>0.98977527308876867</v>
      </c>
    </row>
    <row r="304" spans="1:29" x14ac:dyDescent="0.35">
      <c r="A304" s="7">
        <v>301</v>
      </c>
      <c r="B304" s="8" t="s">
        <v>24</v>
      </c>
      <c r="C304" s="7" t="s">
        <v>23</v>
      </c>
      <c r="D304" s="7" t="s">
        <v>20</v>
      </c>
      <c r="E304">
        <v>6184.6223834030134</v>
      </c>
      <c r="F304">
        <v>2.5426646302791531</v>
      </c>
      <c r="G304">
        <v>0.15115551069937944</v>
      </c>
      <c r="H304">
        <v>0.15253166949035429</v>
      </c>
      <c r="I304">
        <v>1.1530470367034806</v>
      </c>
      <c r="J304">
        <f t="shared" si="44"/>
        <v>0.85944272002434519</v>
      </c>
      <c r="K304">
        <f t="shared" si="45"/>
        <v>0.86726730841697797</v>
      </c>
      <c r="L304">
        <f t="shared" si="46"/>
        <v>0.9909778815404503</v>
      </c>
      <c r="M304">
        <v>9.9206349206349209</v>
      </c>
      <c r="N304">
        <v>0.29753883438297207</v>
      </c>
      <c r="O304">
        <v>250</v>
      </c>
      <c r="P304">
        <v>150</v>
      </c>
      <c r="Q304">
        <v>42</v>
      </c>
      <c r="R304">
        <f t="shared" si="47"/>
        <v>2.1258503401360547E-2</v>
      </c>
      <c r="T304" t="s">
        <v>41</v>
      </c>
      <c r="W304" s="13">
        <f t="shared" si="48"/>
        <v>1.1512305828085141</v>
      </c>
      <c r="X304" s="9">
        <f t="shared" si="49"/>
        <v>0.126</v>
      </c>
      <c r="Y304" s="13">
        <f t="shared" si="50"/>
        <v>0.14619082607916656</v>
      </c>
      <c r="Z304" s="9">
        <f t="shared" si="51"/>
        <v>0.93</v>
      </c>
      <c r="AA304" s="9">
        <f t="shared" si="52"/>
        <v>0.86863571462844946</v>
      </c>
      <c r="AB304" s="9">
        <f t="shared" si="53"/>
        <v>0.14619082607916656</v>
      </c>
      <c r="AC304" s="9">
        <f t="shared" si="54"/>
        <v>0.9671551199341536</v>
      </c>
    </row>
    <row r="305" spans="1:29" x14ac:dyDescent="0.35">
      <c r="A305" s="7">
        <v>302</v>
      </c>
      <c r="B305" s="8" t="s">
        <v>15</v>
      </c>
      <c r="C305" s="7" t="s">
        <v>14</v>
      </c>
      <c r="D305" s="7" t="s">
        <v>20</v>
      </c>
      <c r="E305">
        <v>11001.855678700746</v>
      </c>
      <c r="F305">
        <v>2.4675147669526565</v>
      </c>
      <c r="G305">
        <v>0.15624903740926308</v>
      </c>
      <c r="H305">
        <v>0.15668849399798526</v>
      </c>
      <c r="I305" t="s">
        <v>30</v>
      </c>
      <c r="J305" t="e">
        <f t="shared" si="44"/>
        <v>#VALUE!</v>
      </c>
      <c r="K305" t="e">
        <f t="shared" si="45"/>
        <v>#VALUE!</v>
      </c>
      <c r="L305" t="e">
        <f t="shared" si="46"/>
        <v>#VALUE!</v>
      </c>
      <c r="M305">
        <v>7.1428571428571432</v>
      </c>
      <c r="N305">
        <v>0.2441499128436202</v>
      </c>
      <c r="O305">
        <v>250</v>
      </c>
      <c r="P305">
        <v>250</v>
      </c>
      <c r="Q305">
        <v>35</v>
      </c>
      <c r="R305">
        <f t="shared" si="47"/>
        <v>5.1020408163265307E-2</v>
      </c>
      <c r="T305" t="s">
        <v>41</v>
      </c>
      <c r="W305" s="13">
        <f t="shared" si="48"/>
        <v>1.1779250435781901</v>
      </c>
      <c r="X305" s="9">
        <f t="shared" si="49"/>
        <v>0.126</v>
      </c>
      <c r="Y305" s="13">
        <f t="shared" si="50"/>
        <v>0.15488231647952597</v>
      </c>
      <c r="Z305" s="9">
        <f t="shared" si="51"/>
        <v>0.93</v>
      </c>
      <c r="AA305" s="9">
        <f t="shared" si="52"/>
        <v>0.84895045355542653</v>
      </c>
      <c r="AB305" s="9">
        <f t="shared" si="53"/>
        <v>0.15488231647952597</v>
      </c>
      <c r="AC305" s="9">
        <f t="shared" si="54"/>
        <v>0.99125293216266508</v>
      </c>
    </row>
    <row r="306" spans="1:29" x14ac:dyDescent="0.35">
      <c r="A306" s="7">
        <v>303</v>
      </c>
      <c r="B306" s="8" t="s">
        <v>11</v>
      </c>
      <c r="C306" s="7" t="s">
        <v>22</v>
      </c>
      <c r="D306" s="7" t="s">
        <v>20</v>
      </c>
      <c r="E306">
        <v>2315.3667704279842</v>
      </c>
      <c r="F306">
        <v>2.4648221023161909</v>
      </c>
      <c r="G306">
        <v>0.16104663420487159</v>
      </c>
      <c r="H306">
        <v>0.16219331480737159</v>
      </c>
      <c r="I306">
        <v>1.1799990649244503</v>
      </c>
      <c r="J306">
        <f t="shared" si="44"/>
        <v>0.84146690504986077</v>
      </c>
      <c r="K306">
        <f t="shared" si="45"/>
        <v>0.84745829867587674</v>
      </c>
      <c r="L306">
        <f t="shared" si="46"/>
        <v>0.9929301611237068</v>
      </c>
      <c r="M306">
        <v>21.333333333333336</v>
      </c>
      <c r="N306">
        <v>0.33394501352257799</v>
      </c>
      <c r="O306">
        <v>101.6</v>
      </c>
      <c r="P306">
        <v>50.8</v>
      </c>
      <c r="Q306">
        <v>9.5249999999999986</v>
      </c>
      <c r="R306">
        <f t="shared" si="47"/>
        <v>5.6888888888888899E-2</v>
      </c>
      <c r="T306" t="s">
        <v>41</v>
      </c>
      <c r="W306" s="13">
        <f t="shared" si="48"/>
        <v>1.133027493238711</v>
      </c>
      <c r="X306" s="9">
        <f t="shared" si="49"/>
        <v>0.126</v>
      </c>
      <c r="Y306" s="13">
        <f t="shared" si="50"/>
        <v>0.15520782752803389</v>
      </c>
      <c r="Z306" s="9">
        <f t="shared" si="51"/>
        <v>0.93</v>
      </c>
      <c r="AA306" s="9">
        <f t="shared" si="52"/>
        <v>0.88259111625044728</v>
      </c>
      <c r="AB306" s="9">
        <f t="shared" si="53"/>
        <v>0.15520782752803389</v>
      </c>
      <c r="AC306" s="9">
        <f t="shared" si="54"/>
        <v>0.96374462151497065</v>
      </c>
    </row>
    <row r="307" spans="1:29" x14ac:dyDescent="0.35">
      <c r="A307" s="7">
        <v>304</v>
      </c>
      <c r="B307" s="8" t="s">
        <v>8</v>
      </c>
      <c r="C307" s="7" t="s">
        <v>9</v>
      </c>
      <c r="D307" s="7" t="s">
        <v>20</v>
      </c>
      <c r="E307">
        <v>4771.3906243915317</v>
      </c>
      <c r="F307">
        <v>2.4456053915409419</v>
      </c>
      <c r="G307">
        <v>0.16415487808906989</v>
      </c>
      <c r="H307">
        <v>0.16496309754005059</v>
      </c>
      <c r="I307">
        <v>1.1571559669013016</v>
      </c>
      <c r="J307">
        <f t="shared" si="44"/>
        <v>0.85995374262796698</v>
      </c>
      <c r="K307">
        <f t="shared" si="45"/>
        <v>0.86418774011757216</v>
      </c>
      <c r="L307">
        <f t="shared" si="46"/>
        <v>0.9951006045410582</v>
      </c>
      <c r="M307">
        <v>17.999999999999996</v>
      </c>
      <c r="N307">
        <v>0.35613649789943669</v>
      </c>
      <c r="O307">
        <v>152.39999999999998</v>
      </c>
      <c r="P307">
        <v>101.6</v>
      </c>
      <c r="Q307">
        <v>12.7</v>
      </c>
      <c r="R307">
        <f t="shared" si="47"/>
        <v>9.5999999999999988E-2</v>
      </c>
      <c r="T307" t="s">
        <v>41</v>
      </c>
      <c r="W307" s="13">
        <f t="shared" si="48"/>
        <v>1.1219317510502818</v>
      </c>
      <c r="X307" s="9">
        <f t="shared" si="49"/>
        <v>0.126</v>
      </c>
      <c r="Y307" s="13">
        <f t="shared" si="50"/>
        <v>0.15756060134063279</v>
      </c>
      <c r="Z307" s="9">
        <f t="shared" si="51"/>
        <v>0.93</v>
      </c>
      <c r="AA307" s="9">
        <f t="shared" si="52"/>
        <v>0.89131981429695972</v>
      </c>
      <c r="AB307" s="9">
        <f t="shared" si="53"/>
        <v>0.15756060134063279</v>
      </c>
      <c r="AC307" s="9">
        <f t="shared" si="54"/>
        <v>0.95982893213286624</v>
      </c>
    </row>
    <row r="308" spans="1:29" x14ac:dyDescent="0.35">
      <c r="A308" s="7">
        <v>305</v>
      </c>
      <c r="B308" s="8" t="s">
        <v>16</v>
      </c>
      <c r="C308" s="7" t="s">
        <v>14</v>
      </c>
      <c r="D308" s="7" t="s">
        <v>20</v>
      </c>
      <c r="E308">
        <v>11660.346059590467</v>
      </c>
      <c r="F308">
        <v>2.4331100465777662</v>
      </c>
      <c r="G308">
        <v>0.1602720943966143</v>
      </c>
      <c r="H308">
        <v>0.16071031596149196</v>
      </c>
      <c r="I308">
        <v>1.1074743527112847</v>
      </c>
      <c r="J308">
        <f t="shared" si="44"/>
        <v>0.90049328749325286</v>
      </c>
      <c r="K308">
        <f t="shared" si="45"/>
        <v>0.9029554477282753</v>
      </c>
      <c r="L308">
        <f t="shared" si="46"/>
        <v>0.99727322068744706</v>
      </c>
      <c r="M308">
        <v>12.5</v>
      </c>
      <c r="N308">
        <v>0.40484164645387144</v>
      </c>
      <c r="O308">
        <v>250</v>
      </c>
      <c r="P308">
        <v>250</v>
      </c>
      <c r="Q308">
        <v>20</v>
      </c>
      <c r="R308">
        <f t="shared" si="47"/>
        <v>0.15625</v>
      </c>
      <c r="T308" t="s">
        <v>41</v>
      </c>
      <c r="W308" s="13">
        <f t="shared" si="48"/>
        <v>1.0975791767730643</v>
      </c>
      <c r="X308" s="9">
        <f t="shared" si="49"/>
        <v>0.126</v>
      </c>
      <c r="Y308" s="13">
        <f t="shared" si="50"/>
        <v>0.15911889926490458</v>
      </c>
      <c r="Z308" s="9">
        <f t="shared" si="51"/>
        <v>0.93</v>
      </c>
      <c r="AA308" s="9">
        <f t="shared" si="52"/>
        <v>0.91109600214906428</v>
      </c>
      <c r="AB308" s="9">
        <f t="shared" si="53"/>
        <v>0.15911889926490458</v>
      </c>
      <c r="AC308" s="9">
        <f t="shared" si="54"/>
        <v>0.99280476656868299</v>
      </c>
    </row>
    <row r="309" spans="1:29" x14ac:dyDescent="0.35">
      <c r="A309" s="7">
        <v>306</v>
      </c>
      <c r="B309" s="8" t="s">
        <v>10</v>
      </c>
      <c r="C309" s="7" t="s">
        <v>22</v>
      </c>
      <c r="D309" s="7" t="s">
        <v>20</v>
      </c>
      <c r="E309">
        <v>1814.2475684412263</v>
      </c>
      <c r="F309">
        <v>2.4487372155806399</v>
      </c>
      <c r="G309">
        <v>0.16258931702378285</v>
      </c>
      <c r="H309">
        <v>0.16413716005262696</v>
      </c>
      <c r="I309">
        <v>1.0449509908199832</v>
      </c>
      <c r="J309">
        <f t="shared" si="44"/>
        <v>0.94795816101149288</v>
      </c>
      <c r="K309">
        <f t="shared" si="45"/>
        <v>0.95698268032196443</v>
      </c>
      <c r="L309">
        <f t="shared" si="46"/>
        <v>0.99056981960484869</v>
      </c>
      <c r="M309">
        <v>42.666666666666671</v>
      </c>
      <c r="N309">
        <v>0.450214665828926</v>
      </c>
      <c r="O309">
        <v>101.6</v>
      </c>
      <c r="P309">
        <v>38.099999999999994</v>
      </c>
      <c r="Q309">
        <v>6.35</v>
      </c>
      <c r="R309">
        <f t="shared" si="47"/>
        <v>9.5999999999999988E-2</v>
      </c>
      <c r="T309" t="s">
        <v>41</v>
      </c>
      <c r="W309" s="13">
        <f t="shared" si="48"/>
        <v>1.074892667085537</v>
      </c>
      <c r="X309" s="9">
        <f t="shared" si="49"/>
        <v>0.126</v>
      </c>
      <c r="Y309" s="13">
        <f t="shared" si="50"/>
        <v>0.15717357270426668</v>
      </c>
      <c r="Z309" s="9">
        <f t="shared" si="51"/>
        <v>0.93</v>
      </c>
      <c r="AA309" s="9">
        <f t="shared" si="52"/>
        <v>0.93032544608514178</v>
      </c>
      <c r="AB309" s="9">
        <f t="shared" si="53"/>
        <v>0.15717357270426668</v>
      </c>
      <c r="AC309" s="9">
        <f t="shared" si="54"/>
        <v>0.96669065090713202</v>
      </c>
    </row>
    <row r="310" spans="1:29" x14ac:dyDescent="0.35">
      <c r="A310" s="7">
        <v>307</v>
      </c>
      <c r="B310" s="8" t="s">
        <v>18</v>
      </c>
      <c r="C310" s="7" t="s">
        <v>14</v>
      </c>
      <c r="D310" s="7" t="s">
        <v>20</v>
      </c>
      <c r="E310">
        <v>7088.9342505762324</v>
      </c>
      <c r="F310">
        <v>2.4271839422653474</v>
      </c>
      <c r="G310">
        <v>0.16088984686709218</v>
      </c>
      <c r="H310">
        <v>0.16137630763613994</v>
      </c>
      <c r="I310">
        <v>1.0612526039916672</v>
      </c>
      <c r="J310">
        <f t="shared" si="44"/>
        <v>0.93944226521306917</v>
      </c>
      <c r="K310">
        <f t="shared" si="45"/>
        <v>0.9422827291435808</v>
      </c>
      <c r="L310">
        <f t="shared" si="46"/>
        <v>0.99698555025720015</v>
      </c>
      <c r="M310">
        <v>15</v>
      </c>
      <c r="N310">
        <v>0.48259605211607809</v>
      </c>
      <c r="O310">
        <v>150</v>
      </c>
      <c r="P310">
        <v>150</v>
      </c>
      <c r="Q310">
        <v>10</v>
      </c>
      <c r="R310">
        <f t="shared" si="47"/>
        <v>0.22500000000000001</v>
      </c>
      <c r="T310" t="s">
        <v>41</v>
      </c>
      <c r="W310" s="13">
        <f t="shared" si="48"/>
        <v>1.058701973941961</v>
      </c>
      <c r="X310" s="9">
        <f t="shared" si="49"/>
        <v>0.126</v>
      </c>
      <c r="Y310" s="13">
        <f t="shared" si="50"/>
        <v>0.15986593304858246</v>
      </c>
      <c r="Z310" s="9">
        <f t="shared" si="51"/>
        <v>0.93</v>
      </c>
      <c r="AA310" s="9">
        <f t="shared" si="52"/>
        <v>0.94455288137095783</v>
      </c>
      <c r="AB310" s="9">
        <f t="shared" si="53"/>
        <v>0.15986593304858243</v>
      </c>
      <c r="AC310" s="9">
        <f t="shared" si="54"/>
        <v>0.99363593266792294</v>
      </c>
    </row>
    <row r="311" spans="1:29" x14ac:dyDescent="0.35">
      <c r="A311" s="7">
        <v>308</v>
      </c>
      <c r="B311" s="8" t="s">
        <v>25</v>
      </c>
      <c r="C311" s="7" t="s">
        <v>23</v>
      </c>
      <c r="D311" s="7" t="s">
        <v>20</v>
      </c>
      <c r="E311">
        <v>4904.801028341134</v>
      </c>
      <c r="F311">
        <v>2.4330051488302504</v>
      </c>
      <c r="G311">
        <v>0.16541912236388093</v>
      </c>
      <c r="H311">
        <v>0.1665145985894699</v>
      </c>
      <c r="I311">
        <v>1.0275136500389999</v>
      </c>
      <c r="J311">
        <f t="shared" si="44"/>
        <v>0.96682038238738122</v>
      </c>
      <c r="K311">
        <f t="shared" si="45"/>
        <v>0.97322308074646446</v>
      </c>
      <c r="L311">
        <f t="shared" si="46"/>
        <v>0.99342114003895965</v>
      </c>
      <c r="M311">
        <v>32.4</v>
      </c>
      <c r="N311">
        <v>0.51488086594144655</v>
      </c>
      <c r="O311">
        <v>180</v>
      </c>
      <c r="P311">
        <v>100</v>
      </c>
      <c r="Q311">
        <v>10</v>
      </c>
      <c r="R311">
        <f t="shared" si="47"/>
        <v>0.18</v>
      </c>
      <c r="T311" t="s">
        <v>41</v>
      </c>
      <c r="W311" s="13">
        <f t="shared" si="48"/>
        <v>1.0425595670292767</v>
      </c>
      <c r="X311" s="9">
        <f t="shared" si="49"/>
        <v>0.126</v>
      </c>
      <c r="Y311" s="13">
        <f t="shared" si="50"/>
        <v>0.15913207751569564</v>
      </c>
      <c r="Z311" s="9">
        <f t="shared" si="51"/>
        <v>0.93</v>
      </c>
      <c r="AA311" s="9">
        <f t="shared" si="52"/>
        <v>0.95917780779610695</v>
      </c>
      <c r="AB311" s="9">
        <f t="shared" si="53"/>
        <v>0.15913207751569564</v>
      </c>
      <c r="AC311" s="9">
        <f t="shared" si="54"/>
        <v>0.96199324021103583</v>
      </c>
    </row>
    <row r="312" spans="1:29" x14ac:dyDescent="0.35">
      <c r="A312" s="7">
        <v>309</v>
      </c>
      <c r="B312" s="8" t="s">
        <v>7</v>
      </c>
      <c r="C312" s="7" t="s">
        <v>9</v>
      </c>
      <c r="D312" s="7" t="s">
        <v>20</v>
      </c>
      <c r="E312">
        <v>3843.2977103940548</v>
      </c>
      <c r="F312">
        <v>2.4225984444416584</v>
      </c>
      <c r="G312">
        <v>0.16597958188593223</v>
      </c>
      <c r="H312">
        <v>0.16784558528897559</v>
      </c>
      <c r="I312">
        <v>0.92636915215946536</v>
      </c>
      <c r="J312">
        <f t="shared" si="44"/>
        <v>1.0674822409672937</v>
      </c>
      <c r="K312">
        <f t="shared" si="45"/>
        <v>1.0794832682725815</v>
      </c>
      <c r="L312">
        <f t="shared" si="46"/>
        <v>0.98888261851015802</v>
      </c>
      <c r="M312">
        <v>44.326241134751783</v>
      </c>
      <c r="N312">
        <v>0.75898993726222364</v>
      </c>
      <c r="O312">
        <v>127</v>
      </c>
      <c r="P312">
        <v>76.199999999999989</v>
      </c>
      <c r="Q312">
        <v>4.7751999999999999</v>
      </c>
      <c r="R312">
        <f t="shared" si="47"/>
        <v>0.42440018107741062</v>
      </c>
      <c r="T312" t="s">
        <v>41</v>
      </c>
      <c r="W312" s="13">
        <f t="shared" si="48"/>
        <v>0.91192659401475895</v>
      </c>
      <c r="X312" s="9">
        <f t="shared" si="49"/>
        <v>0.126</v>
      </c>
      <c r="Y312" s="13">
        <f t="shared" si="50"/>
        <v>0.16044754076428491</v>
      </c>
      <c r="Z312" s="9">
        <f t="shared" si="51"/>
        <v>0.97</v>
      </c>
      <c r="AA312" s="9">
        <f t="shared" si="52"/>
        <v>1.096579490677531</v>
      </c>
      <c r="AB312" s="9">
        <f t="shared" si="53"/>
        <v>0.16044754076428491</v>
      </c>
      <c r="AC312" s="9">
        <f t="shared" si="54"/>
        <v>0.96667035150474623</v>
      </c>
    </row>
    <row r="313" spans="1:29" x14ac:dyDescent="0.35">
      <c r="A313" s="7">
        <v>310</v>
      </c>
      <c r="B313" s="8" t="s">
        <v>3</v>
      </c>
      <c r="C313" s="7" t="s">
        <v>9</v>
      </c>
      <c r="D313" s="7" t="s">
        <v>20</v>
      </c>
      <c r="E313">
        <v>7459.9212718935205</v>
      </c>
      <c r="F313">
        <v>2.4144932400476167</v>
      </c>
      <c r="G313">
        <v>0.16090503743488754</v>
      </c>
      <c r="H313">
        <v>0.16263253130788219</v>
      </c>
      <c r="I313">
        <v>0.7849848354589184</v>
      </c>
      <c r="J313">
        <f t="shared" si="44"/>
        <v>1.2603784008300252</v>
      </c>
      <c r="K313">
        <f t="shared" si="45"/>
        <v>1.2739099595667722</v>
      </c>
      <c r="L313">
        <f t="shared" si="46"/>
        <v>0.98937793159153198</v>
      </c>
      <c r="M313">
        <v>31.914893617021278</v>
      </c>
      <c r="N313">
        <v>1.0177876218361828</v>
      </c>
      <c r="O313">
        <v>152.39999999999998</v>
      </c>
      <c r="P313">
        <v>152.39999999999998</v>
      </c>
      <c r="Q313">
        <v>4.7751999999999999</v>
      </c>
      <c r="R313">
        <f t="shared" si="47"/>
        <v>1.0185604345857853</v>
      </c>
      <c r="T313" t="s">
        <v>41</v>
      </c>
      <c r="W313" s="13">
        <f t="shared" si="48"/>
        <v>0.77731603668182259</v>
      </c>
      <c r="X313" s="9">
        <f t="shared" si="49"/>
        <v>0.126</v>
      </c>
      <c r="Y313" s="13">
        <f t="shared" si="50"/>
        <v>0.16148326261919324</v>
      </c>
      <c r="Z313" s="9">
        <f t="shared" si="51"/>
        <v>0.97</v>
      </c>
      <c r="AA313" s="9">
        <f t="shared" si="52"/>
        <v>1.2864780254229184</v>
      </c>
      <c r="AB313" s="9">
        <f t="shared" si="53"/>
        <v>0.16148326261919324</v>
      </c>
      <c r="AC313" s="9">
        <f t="shared" si="54"/>
        <v>1.0035935803721476</v>
      </c>
    </row>
    <row r="314" spans="1:29" x14ac:dyDescent="0.35">
      <c r="A314" s="7">
        <v>311</v>
      </c>
      <c r="B314" s="8" t="s">
        <v>13</v>
      </c>
      <c r="C314" s="7" t="s">
        <v>23</v>
      </c>
      <c r="D314" s="7" t="s">
        <v>20</v>
      </c>
      <c r="E314">
        <v>2701.4858478769092</v>
      </c>
      <c r="F314">
        <v>2.4244930435615513</v>
      </c>
      <c r="G314">
        <v>0.15160984266727914</v>
      </c>
      <c r="H314">
        <v>0.16730495408905455</v>
      </c>
      <c r="I314">
        <v>0.67520082576642282</v>
      </c>
      <c r="J314">
        <f t="shared" si="44"/>
        <v>1.3421023326628183</v>
      </c>
      <c r="K314">
        <f t="shared" si="45"/>
        <v>1.4810408427224544</v>
      </c>
      <c r="L314">
        <f t="shared" si="46"/>
        <v>0.90618860327697726</v>
      </c>
      <c r="M314">
        <v>143.99999999999997</v>
      </c>
      <c r="N314">
        <v>1.299564366942177</v>
      </c>
      <c r="O314">
        <v>152.39999999999998</v>
      </c>
      <c r="P314">
        <v>50.8</v>
      </c>
      <c r="Q314">
        <v>3.1749999999999998</v>
      </c>
      <c r="R314">
        <f t="shared" si="47"/>
        <v>0.7679999999999999</v>
      </c>
      <c r="T314" t="s">
        <v>41</v>
      </c>
      <c r="W314" s="13">
        <f t="shared" si="48"/>
        <v>0.68252957546685222</v>
      </c>
      <c r="X314" s="9">
        <f t="shared" si="49"/>
        <v>0.126</v>
      </c>
      <c r="Y314" s="13">
        <f t="shared" si="50"/>
        <v>0.1602068576870711</v>
      </c>
      <c r="Z314" s="9">
        <f t="shared" si="51"/>
        <v>1</v>
      </c>
      <c r="AA314" s="9">
        <f t="shared" si="52"/>
        <v>1.4651379748870179</v>
      </c>
      <c r="AB314" s="9">
        <f t="shared" si="53"/>
        <v>0.1602068576870711</v>
      </c>
      <c r="AC314" s="9">
        <f t="shared" si="54"/>
        <v>1.0567048607698832</v>
      </c>
    </row>
    <row r="315" spans="1:29" x14ac:dyDescent="0.35">
      <c r="A315" s="7">
        <v>312</v>
      </c>
      <c r="B315" s="8" t="s">
        <v>12</v>
      </c>
      <c r="C315" s="7" t="s">
        <v>22</v>
      </c>
      <c r="D315" s="7" t="s">
        <v>20</v>
      </c>
      <c r="E315">
        <v>2398.6356357629988</v>
      </c>
      <c r="F315">
        <v>2.4260143385098485</v>
      </c>
      <c r="G315">
        <v>0.13903848106959249</v>
      </c>
      <c r="H315">
        <v>0.16707495973083511</v>
      </c>
      <c r="I315">
        <v>0.60131279916885161</v>
      </c>
      <c r="J315">
        <f t="shared" si="44"/>
        <v>1.3839589273791923</v>
      </c>
      <c r="K315">
        <f t="shared" si="45"/>
        <v>1.6630279637856087</v>
      </c>
      <c r="L315">
        <f t="shared" si="46"/>
        <v>0.83219221655710363</v>
      </c>
      <c r="M315">
        <v>205.71428571428569</v>
      </c>
      <c r="N315">
        <v>1.6063188451282615</v>
      </c>
      <c r="O315">
        <v>152.39999999999998</v>
      </c>
      <c r="P315">
        <v>44.449999999999996</v>
      </c>
      <c r="Q315">
        <v>2.54</v>
      </c>
      <c r="R315">
        <f t="shared" si="47"/>
        <v>1.0499999999999998</v>
      </c>
      <c r="T315" t="s">
        <v>41</v>
      </c>
      <c r="W315" s="13">
        <f t="shared" si="48"/>
        <v>0.59882836022904706</v>
      </c>
      <c r="X315" s="9">
        <f t="shared" si="49"/>
        <v>0.126</v>
      </c>
      <c r="Y315" s="13">
        <f t="shared" si="50"/>
        <v>0.16001398445838169</v>
      </c>
      <c r="Z315" s="9">
        <f t="shared" si="51"/>
        <v>1</v>
      </c>
      <c r="AA315" s="9">
        <f t="shared" si="52"/>
        <v>1.590427504369095</v>
      </c>
      <c r="AB315" s="9">
        <f t="shared" si="53"/>
        <v>0.15239621382231644</v>
      </c>
      <c r="AC315" s="9">
        <f t="shared" si="54"/>
        <v>1.0960721999403751</v>
      </c>
    </row>
    <row r="316" spans="1:29" x14ac:dyDescent="0.35">
      <c r="A316" s="3">
        <v>1</v>
      </c>
      <c r="B316" s="1" t="s">
        <v>17</v>
      </c>
      <c r="C316" s="3" t="s">
        <v>14</v>
      </c>
      <c r="D316" s="3" t="s">
        <v>5</v>
      </c>
      <c r="E316">
        <v>1794.6343259754547</v>
      </c>
      <c r="T316" t="s">
        <v>42</v>
      </c>
    </row>
    <row r="317" spans="1:29" x14ac:dyDescent="0.35">
      <c r="A317" s="3">
        <v>2</v>
      </c>
      <c r="B317" t="s">
        <v>24</v>
      </c>
      <c r="C317" t="s">
        <v>23</v>
      </c>
      <c r="D317" t="s">
        <v>5</v>
      </c>
      <c r="E317">
        <v>938.75236401532038</v>
      </c>
      <c r="F317">
        <v>0.40557303056788202</v>
      </c>
      <c r="H317">
        <v>0.9059707319285939</v>
      </c>
      <c r="T317" t="s">
        <v>42</v>
      </c>
    </row>
    <row r="318" spans="1:29" x14ac:dyDescent="0.35">
      <c r="A318" s="3">
        <v>3</v>
      </c>
      <c r="B318" t="s">
        <v>15</v>
      </c>
      <c r="C318" t="s">
        <v>14</v>
      </c>
      <c r="D318" t="s">
        <v>5</v>
      </c>
      <c r="E318">
        <v>1669.9512737676373</v>
      </c>
      <c r="T318" t="s">
        <v>42</v>
      </c>
    </row>
    <row r="319" spans="1:29" x14ac:dyDescent="0.35">
      <c r="A319" s="3">
        <v>4</v>
      </c>
      <c r="B319" t="s">
        <v>11</v>
      </c>
      <c r="C319" t="s">
        <v>22</v>
      </c>
      <c r="D319" t="s">
        <v>5</v>
      </c>
      <c r="E319">
        <v>351.44522891724483</v>
      </c>
      <c r="T319" t="s">
        <v>42</v>
      </c>
    </row>
    <row r="320" spans="1:29" x14ac:dyDescent="0.35">
      <c r="A320" s="3">
        <v>5</v>
      </c>
      <c r="B320" t="s">
        <v>8</v>
      </c>
      <c r="C320" t="s">
        <v>9</v>
      </c>
      <c r="D320" t="s">
        <v>5</v>
      </c>
      <c r="E320">
        <v>724.24053573720153</v>
      </c>
      <c r="F320">
        <v>0.38463373614771801</v>
      </c>
      <c r="H320">
        <v>0.93675933532684952</v>
      </c>
      <c r="T320" t="s">
        <v>42</v>
      </c>
    </row>
    <row r="321" spans="1:20" x14ac:dyDescent="0.35">
      <c r="A321" s="3">
        <v>6</v>
      </c>
      <c r="B321" t="s">
        <v>16</v>
      </c>
      <c r="C321" t="s">
        <v>14</v>
      </c>
      <c r="D321" t="s">
        <v>5</v>
      </c>
      <c r="E321">
        <v>1769.90230770634</v>
      </c>
      <c r="T321" t="s">
        <v>42</v>
      </c>
    </row>
    <row r="322" spans="1:20" x14ac:dyDescent="0.35">
      <c r="A322" s="3">
        <v>7</v>
      </c>
      <c r="B322" t="s">
        <v>10</v>
      </c>
      <c r="C322" t="s">
        <v>22</v>
      </c>
      <c r="D322" t="s">
        <v>5</v>
      </c>
      <c r="E322">
        <v>275.3812744257026</v>
      </c>
      <c r="F322">
        <v>0.38539904325431312</v>
      </c>
      <c r="H322">
        <v>0.93746153224112139</v>
      </c>
      <c r="T322" t="s">
        <v>42</v>
      </c>
    </row>
    <row r="323" spans="1:20" x14ac:dyDescent="0.35">
      <c r="A323" s="3">
        <v>8</v>
      </c>
      <c r="B323" t="s">
        <v>18</v>
      </c>
      <c r="C323" t="s">
        <v>14</v>
      </c>
      <c r="D323" t="s">
        <v>5</v>
      </c>
      <c r="E323">
        <v>1076.01618555342</v>
      </c>
      <c r="T323" t="s">
        <v>42</v>
      </c>
    </row>
    <row r="324" spans="1:20" x14ac:dyDescent="0.35">
      <c r="A324" s="3">
        <v>9</v>
      </c>
      <c r="B324" t="s">
        <v>25</v>
      </c>
      <c r="C324" t="s">
        <v>23</v>
      </c>
      <c r="D324" t="s">
        <v>5</v>
      </c>
      <c r="E324">
        <v>744.4906535823942</v>
      </c>
      <c r="F324">
        <v>0.38216301350763804</v>
      </c>
      <c r="H324">
        <v>0.94295188180014733</v>
      </c>
      <c r="T324" t="s">
        <v>42</v>
      </c>
    </row>
    <row r="325" spans="1:20" x14ac:dyDescent="0.35">
      <c r="A325" s="3">
        <v>10</v>
      </c>
      <c r="B325" t="s">
        <v>7</v>
      </c>
      <c r="C325" t="s">
        <v>9</v>
      </c>
      <c r="D325" t="s">
        <v>5</v>
      </c>
      <c r="E325">
        <v>583.36703319659773</v>
      </c>
      <c r="F325">
        <v>0.38020036259216433</v>
      </c>
      <c r="H325">
        <v>0.94850124902134225</v>
      </c>
      <c r="T325" t="s">
        <v>42</v>
      </c>
    </row>
    <row r="326" spans="1:20" x14ac:dyDescent="0.35">
      <c r="A326" s="3">
        <v>11</v>
      </c>
      <c r="B326" t="s">
        <v>3</v>
      </c>
      <c r="C326" t="s">
        <v>9</v>
      </c>
      <c r="D326" t="s">
        <v>5</v>
      </c>
      <c r="E326">
        <v>1132.3276176329607</v>
      </c>
      <c r="T326" t="s">
        <v>42</v>
      </c>
    </row>
    <row r="327" spans="1:20" x14ac:dyDescent="0.35">
      <c r="A327" s="3">
        <v>12</v>
      </c>
      <c r="B327" t="s">
        <v>13</v>
      </c>
      <c r="C327" t="s">
        <v>23</v>
      </c>
      <c r="D327" t="s">
        <v>5</v>
      </c>
      <c r="E327">
        <v>410.05352773906355</v>
      </c>
      <c r="F327">
        <v>0.37940332057508952</v>
      </c>
      <c r="H327">
        <v>0.95065875608430672</v>
      </c>
      <c r="T327" t="s">
        <v>42</v>
      </c>
    </row>
    <row r="328" spans="1:20" x14ac:dyDescent="0.35">
      <c r="A328" s="3">
        <v>13</v>
      </c>
      <c r="B328" t="s">
        <v>12</v>
      </c>
      <c r="C328" t="s">
        <v>22</v>
      </c>
      <c r="D328" t="s">
        <v>5</v>
      </c>
      <c r="E328">
        <v>364.08445558885069</v>
      </c>
      <c r="F328">
        <v>0.37906981326644879</v>
      </c>
      <c r="H328">
        <v>0.95156324925689695</v>
      </c>
      <c r="T328" t="s">
        <v>42</v>
      </c>
    </row>
    <row r="329" spans="1:20" x14ac:dyDescent="0.35">
      <c r="A329" s="3">
        <v>14</v>
      </c>
      <c r="B329" t="s">
        <v>17</v>
      </c>
      <c r="C329" t="s">
        <v>14</v>
      </c>
      <c r="D329" t="s">
        <v>5</v>
      </c>
      <c r="E329">
        <v>2307.3869905398701</v>
      </c>
      <c r="T329" t="s">
        <v>42</v>
      </c>
    </row>
    <row r="330" spans="1:20" x14ac:dyDescent="0.35">
      <c r="A330" s="3">
        <v>15</v>
      </c>
      <c r="B330" t="s">
        <v>24</v>
      </c>
      <c r="C330" t="s">
        <v>23</v>
      </c>
      <c r="D330" t="s">
        <v>5</v>
      </c>
      <c r="E330">
        <v>1206.9673251625547</v>
      </c>
      <c r="F330">
        <v>0.50792979391137583</v>
      </c>
      <c r="H330">
        <v>0.88760635151317402</v>
      </c>
      <c r="T330" t="s">
        <v>42</v>
      </c>
    </row>
    <row r="331" spans="1:20" x14ac:dyDescent="0.35">
      <c r="A331" s="3">
        <v>16</v>
      </c>
      <c r="B331" t="s">
        <v>15</v>
      </c>
      <c r="C331" t="s">
        <v>14</v>
      </c>
      <c r="D331" t="s">
        <v>5</v>
      </c>
      <c r="E331">
        <v>2147.0802091298197</v>
      </c>
      <c r="T331" t="s">
        <v>42</v>
      </c>
    </row>
    <row r="332" spans="1:20" x14ac:dyDescent="0.35">
      <c r="A332" s="3">
        <v>17</v>
      </c>
      <c r="B332" t="s">
        <v>11</v>
      </c>
      <c r="C332" t="s">
        <v>22</v>
      </c>
      <c r="D332" t="s">
        <v>5</v>
      </c>
      <c r="E332">
        <v>451.8581514650291</v>
      </c>
      <c r="F332">
        <v>0.48639545071908102</v>
      </c>
      <c r="H332">
        <v>0.91180788512420763</v>
      </c>
      <c r="T332" t="s">
        <v>42</v>
      </c>
    </row>
    <row r="333" spans="1:20" x14ac:dyDescent="0.35">
      <c r="A333" s="3">
        <v>18</v>
      </c>
      <c r="B333" t="s">
        <v>8</v>
      </c>
      <c r="C333" t="s">
        <v>9</v>
      </c>
      <c r="D333" t="s">
        <v>5</v>
      </c>
      <c r="E333">
        <v>931.16640309068782</v>
      </c>
      <c r="T333" t="s">
        <v>42</v>
      </c>
    </row>
    <row r="334" spans="1:20" x14ac:dyDescent="0.35">
      <c r="A334" s="3">
        <v>19</v>
      </c>
      <c r="B334" t="s">
        <v>16</v>
      </c>
      <c r="C334" t="s">
        <v>14</v>
      </c>
      <c r="D334" t="s">
        <v>5</v>
      </c>
      <c r="E334">
        <v>2275.5886813367229</v>
      </c>
      <c r="F334">
        <v>0.4776689767706615</v>
      </c>
      <c r="H334">
        <v>0.91966985983245664</v>
      </c>
      <c r="T334" t="s">
        <v>42</v>
      </c>
    </row>
    <row r="335" spans="1:20" x14ac:dyDescent="0.35">
      <c r="A335" s="3">
        <v>20</v>
      </c>
      <c r="B335" t="s">
        <v>10</v>
      </c>
      <c r="C335" t="s">
        <v>22</v>
      </c>
      <c r="D335" t="s">
        <v>5</v>
      </c>
      <c r="E335">
        <v>354.06163854733194</v>
      </c>
      <c r="F335">
        <v>0.4817296935287031</v>
      </c>
      <c r="H335">
        <v>0.91968413629616752</v>
      </c>
      <c r="T335" t="s">
        <v>42</v>
      </c>
    </row>
    <row r="336" spans="1:20" x14ac:dyDescent="0.35">
      <c r="A336" s="3">
        <v>21</v>
      </c>
      <c r="B336" t="s">
        <v>18</v>
      </c>
      <c r="C336" t="s">
        <v>14</v>
      </c>
      <c r="D336" t="s">
        <v>5</v>
      </c>
      <c r="E336">
        <v>1383.449381425826</v>
      </c>
      <c r="T336" t="s">
        <v>42</v>
      </c>
    </row>
    <row r="337" spans="1:20" x14ac:dyDescent="0.35">
      <c r="A337" s="3">
        <v>22</v>
      </c>
      <c r="B337" t="s">
        <v>25</v>
      </c>
      <c r="C337" t="s">
        <v>23</v>
      </c>
      <c r="D337" t="s">
        <v>5</v>
      </c>
      <c r="E337">
        <v>957.20226889164985</v>
      </c>
      <c r="T337" t="s">
        <v>42</v>
      </c>
    </row>
    <row r="338" spans="1:20" x14ac:dyDescent="0.35">
      <c r="A338" s="3">
        <v>23</v>
      </c>
      <c r="B338" t="s">
        <v>7</v>
      </c>
      <c r="C338" t="s">
        <v>9</v>
      </c>
      <c r="D338" t="s">
        <v>5</v>
      </c>
      <c r="E338">
        <v>750.04332839562574</v>
      </c>
      <c r="F338">
        <v>0.47497386187144752</v>
      </c>
      <c r="H338">
        <v>0.92999116521155889</v>
      </c>
      <c r="T338" t="s">
        <v>42</v>
      </c>
    </row>
    <row r="339" spans="1:20" x14ac:dyDescent="0.35">
      <c r="A339" s="3">
        <v>24</v>
      </c>
      <c r="B339" t="s">
        <v>3</v>
      </c>
      <c r="C339" t="s">
        <v>9</v>
      </c>
      <c r="D339" t="s">
        <v>5</v>
      </c>
      <c r="E339">
        <v>1455.849794099521</v>
      </c>
      <c r="F339">
        <v>0.47368716561350677</v>
      </c>
      <c r="H339">
        <v>0.93001967993494217</v>
      </c>
      <c r="T339" t="s">
        <v>42</v>
      </c>
    </row>
    <row r="340" spans="1:20" x14ac:dyDescent="0.35">
      <c r="A340" s="3">
        <v>25</v>
      </c>
      <c r="B340" t="s">
        <v>13</v>
      </c>
      <c r="C340" t="s">
        <v>23</v>
      </c>
      <c r="D340" t="s">
        <v>5</v>
      </c>
      <c r="E340">
        <v>527.2116785216532</v>
      </c>
      <c r="F340">
        <v>0.47397871784575024</v>
      </c>
      <c r="H340">
        <v>0.93275440664168574</v>
      </c>
      <c r="T340" t="s">
        <v>42</v>
      </c>
    </row>
    <row r="341" spans="1:20" x14ac:dyDescent="0.35">
      <c r="A341" s="3">
        <v>26</v>
      </c>
      <c r="B341" t="s">
        <v>12</v>
      </c>
      <c r="C341" t="s">
        <v>22</v>
      </c>
      <c r="D341" t="s">
        <v>5</v>
      </c>
      <c r="E341">
        <v>468.10858575709375</v>
      </c>
      <c r="T341" t="s">
        <v>42</v>
      </c>
    </row>
    <row r="342" spans="1:20" x14ac:dyDescent="0.35">
      <c r="A342" s="3">
        <v>27</v>
      </c>
      <c r="B342" t="s">
        <v>17</v>
      </c>
      <c r="C342" t="s">
        <v>14</v>
      </c>
      <c r="D342" t="s">
        <v>5</v>
      </c>
      <c r="E342">
        <v>2820.1396551042862</v>
      </c>
      <c r="F342">
        <v>0.62377638023687842</v>
      </c>
      <c r="H342">
        <v>0.84123254114330892</v>
      </c>
      <c r="T342" t="s">
        <v>42</v>
      </c>
    </row>
    <row r="343" spans="1:20" x14ac:dyDescent="0.35">
      <c r="A343" s="3">
        <v>28</v>
      </c>
      <c r="B343" t="s">
        <v>24</v>
      </c>
      <c r="C343" t="s">
        <v>23</v>
      </c>
      <c r="D343" t="s">
        <v>5</v>
      </c>
      <c r="E343">
        <v>1475.1822863097893</v>
      </c>
      <c r="F343">
        <v>0.61226688737178814</v>
      </c>
      <c r="H343">
        <v>0.86813776852548874</v>
      </c>
      <c r="T343" t="s">
        <v>42</v>
      </c>
    </row>
    <row r="344" spans="1:20" x14ac:dyDescent="0.35">
      <c r="A344" s="3">
        <v>29</v>
      </c>
      <c r="B344" t="s">
        <v>15</v>
      </c>
      <c r="C344" t="s">
        <v>14</v>
      </c>
      <c r="D344" t="s">
        <v>5</v>
      </c>
      <c r="E344">
        <v>2624.209144492002</v>
      </c>
      <c r="F344">
        <v>0.58438750326739664</v>
      </c>
      <c r="H344">
        <v>0.88138387584799671</v>
      </c>
      <c r="T344" t="s">
        <v>42</v>
      </c>
    </row>
    <row r="345" spans="1:20" x14ac:dyDescent="0.35">
      <c r="A345" s="3">
        <v>30</v>
      </c>
      <c r="B345" t="s">
        <v>11</v>
      </c>
      <c r="C345" t="s">
        <v>22</v>
      </c>
      <c r="D345" t="s">
        <v>5</v>
      </c>
      <c r="E345">
        <v>552.2710740128133</v>
      </c>
      <c r="F345">
        <v>0.58577902051444464</v>
      </c>
      <c r="H345">
        <v>0.89314234609155074</v>
      </c>
      <c r="T345" t="s">
        <v>42</v>
      </c>
    </row>
    <row r="346" spans="1:20" x14ac:dyDescent="0.35">
      <c r="A346" s="3">
        <v>31</v>
      </c>
      <c r="B346" t="s">
        <v>8</v>
      </c>
      <c r="C346" t="s">
        <v>9</v>
      </c>
      <c r="D346" t="s">
        <v>5</v>
      </c>
      <c r="E346">
        <v>1138.0922704441739</v>
      </c>
      <c r="F346">
        <v>0.578718675736967</v>
      </c>
      <c r="H346">
        <v>0.8989099295004066</v>
      </c>
      <c r="T346" t="s">
        <v>42</v>
      </c>
    </row>
    <row r="347" spans="1:20" x14ac:dyDescent="0.35">
      <c r="A347" s="3">
        <v>32</v>
      </c>
      <c r="B347" t="s">
        <v>16</v>
      </c>
      <c r="C347" t="s">
        <v>14</v>
      </c>
      <c r="D347" t="s">
        <v>5</v>
      </c>
      <c r="E347">
        <v>2781.2750549671064</v>
      </c>
      <c r="F347">
        <v>0.57503486248322977</v>
      </c>
      <c r="H347">
        <v>0.89585750670812792</v>
      </c>
      <c r="T347" t="s">
        <v>42</v>
      </c>
    </row>
    <row r="348" spans="1:20" x14ac:dyDescent="0.35">
      <c r="A348" s="3">
        <v>33</v>
      </c>
      <c r="B348" t="s">
        <v>10</v>
      </c>
      <c r="C348" t="s">
        <v>22</v>
      </c>
      <c r="D348" t="s">
        <v>5</v>
      </c>
      <c r="E348">
        <v>432.74200266896128</v>
      </c>
      <c r="F348">
        <v>0.58006940099046822</v>
      </c>
      <c r="H348">
        <v>0.90136052449102044</v>
      </c>
      <c r="T348" t="s">
        <v>42</v>
      </c>
    </row>
    <row r="349" spans="1:20" x14ac:dyDescent="0.35">
      <c r="A349" s="3">
        <v>34</v>
      </c>
      <c r="B349" t="s">
        <v>18</v>
      </c>
      <c r="C349" t="s">
        <v>14</v>
      </c>
      <c r="D349" t="s">
        <v>5</v>
      </c>
      <c r="E349">
        <v>1690.8825772982318</v>
      </c>
      <c r="F349">
        <v>0.57347974448995986</v>
      </c>
      <c r="H349">
        <v>0.8988225972915691</v>
      </c>
      <c r="T349" t="s">
        <v>42</v>
      </c>
    </row>
    <row r="350" spans="1:20" x14ac:dyDescent="0.35">
      <c r="A350" s="3">
        <v>35</v>
      </c>
      <c r="B350" t="s">
        <v>25</v>
      </c>
      <c r="C350" t="s">
        <v>23</v>
      </c>
      <c r="D350" t="s">
        <v>5</v>
      </c>
      <c r="E350">
        <v>1169.9138842009054</v>
      </c>
      <c r="F350">
        <v>0.57484332725242548</v>
      </c>
      <c r="H350">
        <v>0.90588918652512451</v>
      </c>
      <c r="T350" t="s">
        <v>42</v>
      </c>
    </row>
    <row r="351" spans="1:20" x14ac:dyDescent="0.35">
      <c r="A351" s="3">
        <v>36</v>
      </c>
      <c r="B351" t="s">
        <v>7</v>
      </c>
      <c r="C351" t="s">
        <v>9</v>
      </c>
      <c r="D351" t="s">
        <v>5</v>
      </c>
      <c r="E351">
        <v>916.71962359465374</v>
      </c>
      <c r="F351">
        <v>0.57176191330229142</v>
      </c>
      <c r="H351">
        <v>0.91099338667948049</v>
      </c>
      <c r="T351" t="s">
        <v>42</v>
      </c>
    </row>
    <row r="352" spans="1:20" x14ac:dyDescent="0.35">
      <c r="A352" s="3">
        <v>37</v>
      </c>
      <c r="B352" t="s">
        <v>3</v>
      </c>
      <c r="C352" t="s">
        <v>9</v>
      </c>
      <c r="D352" t="s">
        <v>5</v>
      </c>
      <c r="E352">
        <v>1779.3719705660812</v>
      </c>
      <c r="F352">
        <v>0.57019481821845386</v>
      </c>
      <c r="H352">
        <v>0.90611466109784222</v>
      </c>
      <c r="T352" t="s">
        <v>42</v>
      </c>
    </row>
    <row r="353" spans="1:20" x14ac:dyDescent="0.35">
      <c r="A353" s="3">
        <v>38</v>
      </c>
      <c r="B353" t="s">
        <v>13</v>
      </c>
      <c r="C353" t="s">
        <v>23</v>
      </c>
      <c r="D353" t="s">
        <v>5</v>
      </c>
      <c r="E353">
        <v>644.36982930424278</v>
      </c>
      <c r="F353">
        <v>0.57056882669167364</v>
      </c>
      <c r="H353">
        <v>0.91452684912232829</v>
      </c>
      <c r="T353" t="s">
        <v>42</v>
      </c>
    </row>
    <row r="354" spans="1:20" x14ac:dyDescent="0.35">
      <c r="A354" s="3">
        <v>39</v>
      </c>
      <c r="B354" t="s">
        <v>12</v>
      </c>
      <c r="C354" t="s">
        <v>22</v>
      </c>
      <c r="D354" t="s">
        <v>5</v>
      </c>
      <c r="E354">
        <v>572.13271592533681</v>
      </c>
      <c r="T354" t="s">
        <v>42</v>
      </c>
    </row>
    <row r="355" spans="1:20" x14ac:dyDescent="0.35">
      <c r="A355" s="3">
        <v>40</v>
      </c>
      <c r="B355" t="s">
        <v>17</v>
      </c>
      <c r="C355" t="s">
        <v>14</v>
      </c>
      <c r="D355" t="s">
        <v>5</v>
      </c>
      <c r="E355">
        <v>3845.6449842331172</v>
      </c>
      <c r="F355">
        <v>0.83956833217212246</v>
      </c>
      <c r="H355">
        <v>0.76762890663754013</v>
      </c>
      <c r="T355" t="s">
        <v>42</v>
      </c>
    </row>
    <row r="356" spans="1:20" x14ac:dyDescent="0.35">
      <c r="A356" s="3">
        <v>41</v>
      </c>
      <c r="B356" t="s">
        <v>24</v>
      </c>
      <c r="C356" t="s">
        <v>23</v>
      </c>
      <c r="D356" t="s">
        <v>5</v>
      </c>
      <c r="E356">
        <v>2011.6122086042583</v>
      </c>
      <c r="F356">
        <v>0.82386890793951062</v>
      </c>
      <c r="H356">
        <v>0.81283933903907324</v>
      </c>
      <c r="T356" t="s">
        <v>42</v>
      </c>
    </row>
    <row r="357" spans="1:20" x14ac:dyDescent="0.35">
      <c r="A357" s="3">
        <v>42</v>
      </c>
      <c r="B357" t="s">
        <v>15</v>
      </c>
      <c r="C357" t="s">
        <v>14</v>
      </c>
      <c r="D357" t="s">
        <v>5</v>
      </c>
      <c r="E357">
        <v>3578.4670152163662</v>
      </c>
      <c r="F357">
        <v>0.78554130751457729</v>
      </c>
      <c r="H357">
        <v>0.81484052275916707</v>
      </c>
      <c r="T357" t="s">
        <v>42</v>
      </c>
    </row>
    <row r="358" spans="1:20" x14ac:dyDescent="0.35">
      <c r="A358" s="3">
        <v>43</v>
      </c>
      <c r="B358" t="s">
        <v>11</v>
      </c>
      <c r="C358" t="s">
        <v>22</v>
      </c>
      <c r="D358" t="s">
        <v>5</v>
      </c>
      <c r="E358">
        <v>753.09691910838171</v>
      </c>
      <c r="F358">
        <v>0.78750313228083835</v>
      </c>
      <c r="H358">
        <v>0.8428064632052723</v>
      </c>
      <c r="T358" t="s">
        <v>42</v>
      </c>
    </row>
    <row r="359" spans="1:20" x14ac:dyDescent="0.35">
      <c r="A359" s="3">
        <v>44</v>
      </c>
      <c r="B359" t="s">
        <v>8</v>
      </c>
      <c r="C359" t="s">
        <v>9</v>
      </c>
      <c r="D359" t="s">
        <v>5</v>
      </c>
      <c r="E359">
        <v>1551.9440051511463</v>
      </c>
      <c r="F359">
        <v>0.77781058218466492</v>
      </c>
      <c r="H359">
        <v>0.84667300484295094</v>
      </c>
      <c r="T359" t="s">
        <v>42</v>
      </c>
    </row>
    <row r="360" spans="1:20" x14ac:dyDescent="0.35">
      <c r="A360" s="3">
        <v>45</v>
      </c>
      <c r="B360" t="s">
        <v>16</v>
      </c>
      <c r="C360" t="s">
        <v>14</v>
      </c>
      <c r="D360" t="s">
        <v>5</v>
      </c>
      <c r="E360">
        <v>3792.6478022278716</v>
      </c>
      <c r="F360">
        <v>0.77277584067083482</v>
      </c>
      <c r="H360">
        <v>0.83000821880507814</v>
      </c>
      <c r="T360" t="s">
        <v>42</v>
      </c>
    </row>
    <row r="361" spans="1:20" x14ac:dyDescent="0.35">
      <c r="A361" s="3">
        <v>46</v>
      </c>
      <c r="B361" t="s">
        <v>10</v>
      </c>
      <c r="C361" t="s">
        <v>22</v>
      </c>
      <c r="D361" t="s">
        <v>5</v>
      </c>
      <c r="E361">
        <v>590.10273091221984</v>
      </c>
      <c r="F361">
        <v>0.779711452182836</v>
      </c>
      <c r="H361">
        <v>0.85271154016778117</v>
      </c>
      <c r="T361" t="s">
        <v>42</v>
      </c>
    </row>
    <row r="362" spans="1:20" x14ac:dyDescent="0.35">
      <c r="A362" s="3">
        <v>47</v>
      </c>
      <c r="B362" t="s">
        <v>18</v>
      </c>
      <c r="C362" t="s">
        <v>14</v>
      </c>
      <c r="D362" t="s">
        <v>5</v>
      </c>
      <c r="E362">
        <v>2305.748969043043</v>
      </c>
      <c r="F362">
        <v>0.77064683453014415</v>
      </c>
      <c r="H362">
        <v>0.8329871229323228</v>
      </c>
      <c r="T362" t="s">
        <v>42</v>
      </c>
    </row>
    <row r="363" spans="1:20" x14ac:dyDescent="0.35">
      <c r="A363" s="3">
        <v>48</v>
      </c>
      <c r="B363" t="s">
        <v>25</v>
      </c>
      <c r="C363" t="s">
        <v>23</v>
      </c>
      <c r="D363" t="s">
        <v>5</v>
      </c>
      <c r="E363">
        <v>1595.3371148194162</v>
      </c>
      <c r="F363">
        <v>0.77252972415534149</v>
      </c>
      <c r="H363">
        <v>0.85560172251391586</v>
      </c>
      <c r="T363" t="s">
        <v>42</v>
      </c>
    </row>
    <row r="364" spans="1:20" x14ac:dyDescent="0.35">
      <c r="A364" s="3">
        <v>49</v>
      </c>
      <c r="B364" t="s">
        <v>7</v>
      </c>
      <c r="C364" t="s">
        <v>9</v>
      </c>
      <c r="D364" t="s">
        <v>5</v>
      </c>
      <c r="E364">
        <v>1250.0722139927095</v>
      </c>
      <c r="F364">
        <v>0.7683300223491264</v>
      </c>
      <c r="H364">
        <v>0.85983437786568784</v>
      </c>
      <c r="T364" t="s">
        <v>42</v>
      </c>
    </row>
    <row r="365" spans="1:20" x14ac:dyDescent="0.35">
      <c r="A365" s="3">
        <v>50</v>
      </c>
      <c r="B365" t="s">
        <v>3</v>
      </c>
      <c r="C365" t="s">
        <v>9</v>
      </c>
      <c r="D365" t="s">
        <v>5</v>
      </c>
      <c r="E365">
        <v>2426.416323499202</v>
      </c>
      <c r="F365">
        <v>0.7661896991213456</v>
      </c>
      <c r="H365">
        <v>0.84006987157734891</v>
      </c>
      <c r="T365" t="s">
        <v>42</v>
      </c>
    </row>
    <row r="366" spans="1:20" x14ac:dyDescent="0.35">
      <c r="A366" s="3">
        <v>51</v>
      </c>
      <c r="B366" t="s">
        <v>13</v>
      </c>
      <c r="C366" t="s">
        <v>23</v>
      </c>
      <c r="D366" t="s">
        <v>5</v>
      </c>
      <c r="E366">
        <v>878.68613086942196</v>
      </c>
      <c r="F366">
        <v>0.76671115861690053</v>
      </c>
      <c r="H366">
        <v>0.86674241463419921</v>
      </c>
      <c r="T366" t="s">
        <v>42</v>
      </c>
    </row>
    <row r="367" spans="1:20" x14ac:dyDescent="0.35">
      <c r="A367" s="3">
        <v>52</v>
      </c>
      <c r="B367" t="s">
        <v>12</v>
      </c>
      <c r="C367" t="s">
        <v>22</v>
      </c>
      <c r="D367" t="s">
        <v>5</v>
      </c>
      <c r="E367">
        <v>780.18097626182293</v>
      </c>
      <c r="F367">
        <v>0.76605768486448644</v>
      </c>
      <c r="H367">
        <v>0.86822934238379113</v>
      </c>
      <c r="T367" t="s">
        <v>42</v>
      </c>
    </row>
    <row r="368" spans="1:20" x14ac:dyDescent="0.35">
      <c r="A368" s="3">
        <v>53</v>
      </c>
      <c r="B368" t="s">
        <v>17</v>
      </c>
      <c r="C368" t="s">
        <v>14</v>
      </c>
      <c r="D368" t="s">
        <v>5</v>
      </c>
      <c r="E368">
        <v>5383.9029779263647</v>
      </c>
      <c r="F368">
        <v>1.1664582754056125</v>
      </c>
      <c r="H368">
        <v>0.57377360115336429</v>
      </c>
      <c r="T368" t="s">
        <v>42</v>
      </c>
    </row>
    <row r="369" spans="1:20" x14ac:dyDescent="0.35">
      <c r="A369" s="3">
        <v>54</v>
      </c>
      <c r="B369" t="s">
        <v>24</v>
      </c>
      <c r="C369" t="s">
        <v>23</v>
      </c>
      <c r="D369" t="s">
        <v>5</v>
      </c>
      <c r="E369">
        <v>2816.2570920459616</v>
      </c>
      <c r="F369">
        <v>1.1445000489244834</v>
      </c>
      <c r="H369">
        <v>0.63379612395821516</v>
      </c>
      <c r="T369" t="s">
        <v>42</v>
      </c>
    </row>
    <row r="370" spans="1:20" x14ac:dyDescent="0.35">
      <c r="A370" s="3">
        <v>55</v>
      </c>
      <c r="B370" t="s">
        <v>15</v>
      </c>
      <c r="C370" t="s">
        <v>14</v>
      </c>
      <c r="D370" t="s">
        <v>5</v>
      </c>
      <c r="E370">
        <v>5009.8538213029124</v>
      </c>
      <c r="F370">
        <v>1.0905756698282991</v>
      </c>
      <c r="H370">
        <v>0.63330627543788154</v>
      </c>
      <c r="T370" t="s">
        <v>42</v>
      </c>
    </row>
    <row r="371" spans="1:20" x14ac:dyDescent="0.35">
      <c r="A371" s="3">
        <v>56</v>
      </c>
      <c r="B371" t="s">
        <v>11</v>
      </c>
      <c r="C371" t="s">
        <v>22</v>
      </c>
      <c r="D371" t="s">
        <v>5</v>
      </c>
      <c r="E371">
        <v>1054.3356867517346</v>
      </c>
      <c r="F371">
        <v>1.0934225704957528</v>
      </c>
      <c r="H371">
        <v>0.6784760169679106</v>
      </c>
      <c r="T371" t="s">
        <v>42</v>
      </c>
    </row>
    <row r="372" spans="1:20" x14ac:dyDescent="0.35">
      <c r="A372" s="3">
        <v>57</v>
      </c>
      <c r="B372" t="s">
        <v>8</v>
      </c>
      <c r="C372" t="s">
        <v>9</v>
      </c>
      <c r="D372" t="s">
        <v>5</v>
      </c>
      <c r="E372">
        <v>2172.7216072116048</v>
      </c>
      <c r="F372">
        <v>1.0797632287204069</v>
      </c>
      <c r="H372">
        <v>0.68512558090265008</v>
      </c>
      <c r="T372" t="s">
        <v>42</v>
      </c>
    </row>
    <row r="373" spans="1:20" x14ac:dyDescent="0.35">
      <c r="A373" s="3">
        <v>58</v>
      </c>
      <c r="B373" t="s">
        <v>16</v>
      </c>
      <c r="C373" t="s">
        <v>14</v>
      </c>
      <c r="D373" t="s">
        <v>5</v>
      </c>
      <c r="E373">
        <v>5309.7069231190198</v>
      </c>
      <c r="F373">
        <v>1.0726740508253505</v>
      </c>
      <c r="H373">
        <v>0.64970505472499418</v>
      </c>
      <c r="T373" t="s">
        <v>42</v>
      </c>
    </row>
    <row r="374" spans="1:20" x14ac:dyDescent="0.35">
      <c r="A374" s="3">
        <v>59</v>
      </c>
      <c r="B374" t="s">
        <v>10</v>
      </c>
      <c r="C374" t="s">
        <v>22</v>
      </c>
      <c r="D374" t="s">
        <v>5</v>
      </c>
      <c r="E374">
        <v>826.14382327710791</v>
      </c>
      <c r="F374">
        <v>1.0825084949805877</v>
      </c>
      <c r="H374">
        <v>0.69152705641296297</v>
      </c>
      <c r="T374" t="s">
        <v>42</v>
      </c>
    </row>
    <row r="375" spans="1:20" x14ac:dyDescent="0.35">
      <c r="A375" s="3">
        <v>60</v>
      </c>
      <c r="B375" t="s">
        <v>18</v>
      </c>
      <c r="C375" t="s">
        <v>14</v>
      </c>
      <c r="D375" t="s">
        <v>5</v>
      </c>
      <c r="E375">
        <v>3228.0485566602606</v>
      </c>
      <c r="F375">
        <v>1.0697476182444543</v>
      </c>
      <c r="H375">
        <v>0.65263308747817794</v>
      </c>
      <c r="T375" t="s">
        <v>42</v>
      </c>
    </row>
    <row r="376" spans="1:20" x14ac:dyDescent="0.35">
      <c r="A376" s="3">
        <v>61</v>
      </c>
      <c r="B376" t="s">
        <v>25</v>
      </c>
      <c r="C376" t="s">
        <v>23</v>
      </c>
      <c r="D376" t="s">
        <v>5</v>
      </c>
      <c r="E376">
        <v>2233.4719607471825</v>
      </c>
      <c r="F376">
        <v>1.0723720751100778</v>
      </c>
      <c r="H376">
        <v>0.69571452488640984</v>
      </c>
      <c r="T376" t="s">
        <v>42</v>
      </c>
    </row>
    <row r="377" spans="1:20" x14ac:dyDescent="0.35">
      <c r="A377" s="3">
        <v>62</v>
      </c>
      <c r="B377" t="s">
        <v>7</v>
      </c>
      <c r="C377" t="s">
        <v>9</v>
      </c>
      <c r="D377" t="s">
        <v>5</v>
      </c>
      <c r="E377">
        <v>1750.1010995897934</v>
      </c>
      <c r="F377">
        <v>1.066483719743397</v>
      </c>
      <c r="H377">
        <v>0.70021827450847651</v>
      </c>
      <c r="T377" t="s">
        <v>42</v>
      </c>
    </row>
    <row r="378" spans="1:20" x14ac:dyDescent="0.35">
      <c r="A378" s="3">
        <v>63</v>
      </c>
      <c r="B378" t="s">
        <v>3</v>
      </c>
      <c r="C378" t="s">
        <v>9</v>
      </c>
      <c r="D378" t="s">
        <v>5</v>
      </c>
      <c r="E378">
        <v>3396.9828528988828</v>
      </c>
      <c r="F378">
        <v>1.0634999537372192</v>
      </c>
      <c r="H378">
        <v>0.65925635920615466</v>
      </c>
      <c r="T378" t="s">
        <v>42</v>
      </c>
    </row>
    <row r="379" spans="1:20" x14ac:dyDescent="0.35">
      <c r="A379" s="3">
        <v>64</v>
      </c>
      <c r="B379" t="s">
        <v>13</v>
      </c>
      <c r="C379" t="s">
        <v>23</v>
      </c>
      <c r="D379" t="s">
        <v>5</v>
      </c>
      <c r="E379">
        <v>1230.1605832171908</v>
      </c>
      <c r="F379">
        <v>1.0642515205622201</v>
      </c>
      <c r="H379">
        <v>0.70933001875539237</v>
      </c>
      <c r="T379" t="s">
        <v>42</v>
      </c>
    </row>
    <row r="380" spans="1:20" x14ac:dyDescent="0.35">
      <c r="A380" s="3">
        <v>65</v>
      </c>
      <c r="B380" t="s">
        <v>12</v>
      </c>
      <c r="C380" t="s">
        <v>22</v>
      </c>
      <c r="D380" t="s">
        <v>5</v>
      </c>
      <c r="E380">
        <v>1092.2533667665521</v>
      </c>
      <c r="F380">
        <v>1.0633536722341808</v>
      </c>
      <c r="H380">
        <v>0.71135811282837291</v>
      </c>
      <c r="T380" t="s">
        <v>42</v>
      </c>
    </row>
    <row r="381" spans="1:20" x14ac:dyDescent="0.35">
      <c r="A381" s="3">
        <v>66</v>
      </c>
      <c r="B381" t="s">
        <v>17</v>
      </c>
      <c r="C381" t="s">
        <v>14</v>
      </c>
      <c r="D381" t="s">
        <v>5</v>
      </c>
      <c r="E381">
        <v>6922.1609716196117</v>
      </c>
      <c r="F381">
        <v>1.4950514176874414</v>
      </c>
      <c r="H381">
        <v>0.39034645482158375</v>
      </c>
      <c r="T381" t="s">
        <v>42</v>
      </c>
    </row>
    <row r="382" spans="1:20" x14ac:dyDescent="0.35">
      <c r="A382" s="3">
        <v>67</v>
      </c>
      <c r="B382" t="s">
        <v>24</v>
      </c>
      <c r="C382" t="s">
        <v>23</v>
      </c>
      <c r="D382" t="s">
        <v>5</v>
      </c>
      <c r="E382">
        <v>3620.9019754876649</v>
      </c>
      <c r="F382">
        <v>1.4667874731791444</v>
      </c>
      <c r="H382">
        <v>0.42732758633518064</v>
      </c>
      <c r="T382" t="s">
        <v>42</v>
      </c>
    </row>
    <row r="383" spans="1:20" x14ac:dyDescent="0.35">
      <c r="A383" s="3">
        <v>68</v>
      </c>
      <c r="B383" t="s">
        <v>15</v>
      </c>
      <c r="C383" t="s">
        <v>14</v>
      </c>
      <c r="D383" t="s">
        <v>5</v>
      </c>
      <c r="E383">
        <v>6441.2406273894585</v>
      </c>
      <c r="F383">
        <v>1.3973226628764086</v>
      </c>
      <c r="H383">
        <v>0.4404111447574926</v>
      </c>
      <c r="T383" t="s">
        <v>42</v>
      </c>
    </row>
    <row r="384" spans="1:20" x14ac:dyDescent="0.35">
      <c r="A384" s="3">
        <v>69</v>
      </c>
      <c r="B384" t="s">
        <v>11</v>
      </c>
      <c r="C384" t="s">
        <v>22</v>
      </c>
      <c r="D384" t="s">
        <v>5</v>
      </c>
      <c r="E384">
        <v>1355.5744543950873</v>
      </c>
      <c r="F384">
        <v>1.4009788141880526</v>
      </c>
      <c r="H384">
        <v>0.46546623753302474</v>
      </c>
      <c r="T384" t="s">
        <v>42</v>
      </c>
    </row>
    <row r="385" spans="1:20" x14ac:dyDescent="0.35">
      <c r="A385" s="3">
        <v>70</v>
      </c>
      <c r="B385" t="s">
        <v>8</v>
      </c>
      <c r="C385" t="s">
        <v>9</v>
      </c>
      <c r="D385" t="s">
        <v>5</v>
      </c>
      <c r="E385">
        <v>2793.4992092720636</v>
      </c>
      <c r="F385">
        <v>1.3833943654526824</v>
      </c>
      <c r="H385">
        <v>0.47374104171181275</v>
      </c>
      <c r="T385" t="s">
        <v>42</v>
      </c>
    </row>
    <row r="386" spans="1:20" x14ac:dyDescent="0.35">
      <c r="A386" s="3">
        <v>71</v>
      </c>
      <c r="B386" t="s">
        <v>16</v>
      </c>
      <c r="C386" t="s">
        <v>14</v>
      </c>
      <c r="D386" t="s">
        <v>5</v>
      </c>
      <c r="E386">
        <v>6826.766044010169</v>
      </c>
      <c r="F386">
        <v>1.3743043701393149</v>
      </c>
      <c r="H386">
        <v>0.45387989538937351</v>
      </c>
      <c r="T386" t="s">
        <v>42</v>
      </c>
    </row>
    <row r="387" spans="1:20" x14ac:dyDescent="0.35">
      <c r="A387" s="3">
        <v>72</v>
      </c>
      <c r="B387" t="s">
        <v>10</v>
      </c>
      <c r="C387" t="s">
        <v>22</v>
      </c>
      <c r="D387" t="s">
        <v>5</v>
      </c>
      <c r="E387">
        <v>1062.1849156419958</v>
      </c>
      <c r="F387">
        <v>1.3869269097989336</v>
      </c>
      <c r="H387">
        <v>0.47544985114029797</v>
      </c>
      <c r="T387" t="s">
        <v>42</v>
      </c>
    </row>
    <row r="388" spans="1:20" x14ac:dyDescent="0.35">
      <c r="A388" s="3">
        <v>73</v>
      </c>
      <c r="B388" t="s">
        <v>18</v>
      </c>
      <c r="C388" t="s">
        <v>14</v>
      </c>
      <c r="D388" t="s">
        <v>5</v>
      </c>
      <c r="E388">
        <v>4150.3481442774782</v>
      </c>
      <c r="F388">
        <v>1.3704961868374901</v>
      </c>
      <c r="H388">
        <v>0.45621093520018025</v>
      </c>
      <c r="T388" t="s">
        <v>42</v>
      </c>
    </row>
    <row r="389" spans="1:20" x14ac:dyDescent="0.35">
      <c r="A389" s="3">
        <v>74</v>
      </c>
      <c r="B389" t="s">
        <v>25</v>
      </c>
      <c r="C389" t="s">
        <v>23</v>
      </c>
      <c r="D389" t="s">
        <v>5</v>
      </c>
      <c r="E389">
        <v>2871.6068066749494</v>
      </c>
      <c r="F389">
        <v>1.3738859469307461</v>
      </c>
      <c r="H389">
        <v>0.48139433914352203</v>
      </c>
      <c r="T389" t="s">
        <v>42</v>
      </c>
    </row>
    <row r="390" spans="1:20" x14ac:dyDescent="0.35">
      <c r="A390" s="3">
        <v>75</v>
      </c>
      <c r="B390" t="s">
        <v>7</v>
      </c>
      <c r="C390" t="s">
        <v>9</v>
      </c>
      <c r="D390" t="s">
        <v>5</v>
      </c>
      <c r="E390">
        <v>2250.1299851868771</v>
      </c>
      <c r="F390">
        <v>1.3663256122012051</v>
      </c>
      <c r="H390">
        <v>0.48560916816108513</v>
      </c>
      <c r="T390" t="s">
        <v>42</v>
      </c>
    </row>
    <row r="391" spans="1:20" x14ac:dyDescent="0.35">
      <c r="A391" s="3">
        <v>76</v>
      </c>
      <c r="B391" t="s">
        <v>3</v>
      </c>
      <c r="C391" t="s">
        <v>9</v>
      </c>
      <c r="D391" t="s">
        <v>5</v>
      </c>
      <c r="E391">
        <v>4367.5493822985636</v>
      </c>
      <c r="F391">
        <v>1.3624859818155548</v>
      </c>
      <c r="H391">
        <v>0.46129482786173309</v>
      </c>
      <c r="T391" t="s">
        <v>42</v>
      </c>
    </row>
    <row r="392" spans="1:20" x14ac:dyDescent="0.35">
      <c r="A392" s="3">
        <v>77</v>
      </c>
      <c r="B392" t="s">
        <v>13</v>
      </c>
      <c r="C392" t="s">
        <v>23</v>
      </c>
      <c r="D392" t="s">
        <v>5</v>
      </c>
      <c r="E392">
        <v>1581.6350355649597</v>
      </c>
      <c r="F392">
        <v>1.3634505300405675</v>
      </c>
      <c r="H392">
        <v>0.49080328594613326</v>
      </c>
      <c r="T392" t="s">
        <v>42</v>
      </c>
    </row>
    <row r="393" spans="1:20" x14ac:dyDescent="0.35">
      <c r="A393" s="3">
        <v>78</v>
      </c>
      <c r="B393" t="s">
        <v>12</v>
      </c>
      <c r="C393" t="s">
        <v>22</v>
      </c>
      <c r="D393" t="s">
        <v>5</v>
      </c>
      <c r="E393">
        <v>1404.3257572712812</v>
      </c>
      <c r="F393">
        <v>1.36232015041863</v>
      </c>
      <c r="H393">
        <v>0.4920457766952962</v>
      </c>
      <c r="T393" t="s">
        <v>42</v>
      </c>
    </row>
    <row r="394" spans="1:20" x14ac:dyDescent="0.35">
      <c r="A394" s="3">
        <v>79</v>
      </c>
      <c r="B394" t="s">
        <v>17</v>
      </c>
      <c r="C394" t="s">
        <v>14</v>
      </c>
      <c r="D394" t="s">
        <v>5</v>
      </c>
      <c r="E394">
        <v>8460.4189653128578</v>
      </c>
      <c r="F394">
        <v>1.8243280345653337</v>
      </c>
      <c r="H394">
        <v>0.27294907489248471</v>
      </c>
      <c r="T394" t="s">
        <v>42</v>
      </c>
    </row>
    <row r="395" spans="1:20" x14ac:dyDescent="0.35">
      <c r="A395" s="3">
        <v>80</v>
      </c>
      <c r="B395" t="s">
        <v>24</v>
      </c>
      <c r="C395" t="s">
        <v>23</v>
      </c>
      <c r="D395" t="s">
        <v>5</v>
      </c>
      <c r="E395">
        <v>4425.5468589293678</v>
      </c>
      <c r="F395">
        <v>1.7897877395619994</v>
      </c>
      <c r="H395">
        <v>0.29581575286173178</v>
      </c>
      <c r="T395" t="s">
        <v>42</v>
      </c>
    </row>
    <row r="396" spans="1:20" x14ac:dyDescent="0.35">
      <c r="A396" s="3">
        <v>81</v>
      </c>
      <c r="B396" t="s">
        <v>15</v>
      </c>
      <c r="C396" t="s">
        <v>14</v>
      </c>
      <c r="D396" t="s">
        <v>5</v>
      </c>
      <c r="E396">
        <v>7872.6274334760046</v>
      </c>
      <c r="F396">
        <v>1.7048145898429594</v>
      </c>
      <c r="H396">
        <v>0.31015581721620794</v>
      </c>
      <c r="T396" t="s">
        <v>42</v>
      </c>
    </row>
    <row r="397" spans="1:20" x14ac:dyDescent="0.35">
      <c r="A397" s="3">
        <v>82</v>
      </c>
      <c r="B397" t="s">
        <v>11</v>
      </c>
      <c r="C397" t="s">
        <v>22</v>
      </c>
      <c r="D397" t="s">
        <v>5</v>
      </c>
      <c r="E397">
        <v>1656.8132220384398</v>
      </c>
      <c r="F397">
        <v>1.7093114105508864</v>
      </c>
      <c r="H397">
        <v>0.32346173214417817</v>
      </c>
      <c r="T397" t="s">
        <v>42</v>
      </c>
    </row>
    <row r="398" spans="1:20" x14ac:dyDescent="0.35">
      <c r="A398" s="3">
        <v>83</v>
      </c>
      <c r="B398" t="s">
        <v>8</v>
      </c>
      <c r="C398" t="s">
        <v>9</v>
      </c>
      <c r="D398" t="s">
        <v>5</v>
      </c>
      <c r="E398">
        <v>3414.2768113325219</v>
      </c>
      <c r="F398">
        <v>1.6877609746203914</v>
      </c>
      <c r="H398">
        <v>0.33031194852762702</v>
      </c>
      <c r="T398" t="s">
        <v>42</v>
      </c>
    </row>
    <row r="399" spans="1:20" x14ac:dyDescent="0.35">
      <c r="A399" s="3">
        <v>84</v>
      </c>
      <c r="B399" t="s">
        <v>16</v>
      </c>
      <c r="C399" t="s">
        <v>14</v>
      </c>
      <c r="D399" t="s">
        <v>5</v>
      </c>
      <c r="E399">
        <v>8343.8251649013164</v>
      </c>
      <c r="F399">
        <v>1.6766618692304935</v>
      </c>
      <c r="H399">
        <v>0.320139093949315</v>
      </c>
      <c r="T399" t="s">
        <v>42</v>
      </c>
    </row>
    <row r="400" spans="1:20" x14ac:dyDescent="0.35">
      <c r="A400" s="3">
        <v>85</v>
      </c>
      <c r="B400" t="s">
        <v>10</v>
      </c>
      <c r="C400" t="s">
        <v>22</v>
      </c>
      <c r="D400" t="s">
        <v>5</v>
      </c>
      <c r="E400">
        <v>1298.2260080068836</v>
      </c>
      <c r="F400">
        <v>1.6921665733535143</v>
      </c>
      <c r="H400">
        <v>0.33037453552740631</v>
      </c>
      <c r="T400" t="s">
        <v>42</v>
      </c>
    </row>
    <row r="401" spans="1:20" x14ac:dyDescent="0.35">
      <c r="A401" s="3">
        <v>86</v>
      </c>
      <c r="B401" t="s">
        <v>18</v>
      </c>
      <c r="C401" t="s">
        <v>14</v>
      </c>
      <c r="D401" t="s">
        <v>5</v>
      </c>
      <c r="E401">
        <v>5072.6477318946945</v>
      </c>
      <c r="F401">
        <v>1.6719856123756134</v>
      </c>
      <c r="H401">
        <v>0.32184703454032382</v>
      </c>
      <c r="T401" t="s">
        <v>42</v>
      </c>
    </row>
    <row r="402" spans="1:20" x14ac:dyDescent="0.35">
      <c r="A402" s="3">
        <v>87</v>
      </c>
      <c r="B402" t="s">
        <v>25</v>
      </c>
      <c r="C402" t="s">
        <v>23</v>
      </c>
      <c r="D402" t="s">
        <v>5</v>
      </c>
      <c r="E402">
        <v>3509.7416526027159</v>
      </c>
      <c r="F402">
        <v>1.6761432487143544</v>
      </c>
      <c r="H402">
        <v>0.3354190830138879</v>
      </c>
      <c r="T402" t="s">
        <v>42</v>
      </c>
    </row>
    <row r="403" spans="1:20" x14ac:dyDescent="0.35">
      <c r="A403" s="3">
        <v>88</v>
      </c>
      <c r="B403" t="s">
        <v>7</v>
      </c>
      <c r="C403" t="s">
        <v>9</v>
      </c>
      <c r="D403" t="s">
        <v>5</v>
      </c>
      <c r="E403">
        <v>2750.1588707839605</v>
      </c>
      <c r="F403">
        <v>1.666955687550435</v>
      </c>
      <c r="H403">
        <v>0.33869879332045028</v>
      </c>
      <c r="T403" t="s">
        <v>42</v>
      </c>
    </row>
    <row r="404" spans="1:20" x14ac:dyDescent="0.35">
      <c r="A404" s="3">
        <v>89</v>
      </c>
      <c r="B404" t="s">
        <v>3</v>
      </c>
      <c r="C404" t="s">
        <v>9</v>
      </c>
      <c r="D404" t="s">
        <v>5</v>
      </c>
      <c r="E404">
        <v>5338.1159116982444</v>
      </c>
      <c r="F404">
        <v>1.6621991273372989</v>
      </c>
      <c r="H404">
        <v>0.32553682599075678</v>
      </c>
      <c r="T404" t="s">
        <v>42</v>
      </c>
    </row>
    <row r="405" spans="1:20" x14ac:dyDescent="0.35">
      <c r="A405" s="3">
        <v>90</v>
      </c>
      <c r="B405" t="s">
        <v>13</v>
      </c>
      <c r="C405" t="s">
        <v>23</v>
      </c>
      <c r="D405" t="s">
        <v>5</v>
      </c>
      <c r="E405">
        <v>1933.1094879127281</v>
      </c>
      <c r="F405">
        <v>1.6634255057274701</v>
      </c>
      <c r="H405">
        <v>0.34152765574912253</v>
      </c>
      <c r="T405" t="s">
        <v>42</v>
      </c>
    </row>
    <row r="406" spans="1:20" x14ac:dyDescent="0.35">
      <c r="A406" s="3">
        <v>91</v>
      </c>
      <c r="B406" t="s">
        <v>12</v>
      </c>
      <c r="C406" t="s">
        <v>22</v>
      </c>
      <c r="D406" t="s">
        <v>5</v>
      </c>
      <c r="E406">
        <v>1716.3981477760105</v>
      </c>
      <c r="F406">
        <v>1.6620013520559476</v>
      </c>
      <c r="H406">
        <v>0.34230260082381669</v>
      </c>
      <c r="T406" t="s">
        <v>42</v>
      </c>
    </row>
    <row r="407" spans="1:20" x14ac:dyDescent="0.35">
      <c r="A407" s="3">
        <v>92</v>
      </c>
      <c r="B407" t="s">
        <v>17</v>
      </c>
      <c r="C407" t="s">
        <v>14</v>
      </c>
      <c r="D407" t="s">
        <v>5</v>
      </c>
      <c r="E407">
        <v>9998.6769590061049</v>
      </c>
      <c r="F407">
        <v>2.1540114826539973</v>
      </c>
      <c r="H407">
        <v>0.1997755044535563</v>
      </c>
      <c r="T407" t="s">
        <v>42</v>
      </c>
    </row>
    <row r="408" spans="1:20" x14ac:dyDescent="0.35">
      <c r="A408" s="3">
        <v>93</v>
      </c>
      <c r="B408" t="s">
        <v>24</v>
      </c>
      <c r="C408" t="s">
        <v>23</v>
      </c>
      <c r="D408" t="s">
        <v>5</v>
      </c>
      <c r="E408">
        <v>5230.1917423710711</v>
      </c>
      <c r="F408">
        <v>2.1131955333736072</v>
      </c>
      <c r="H408">
        <v>0.21516934875579388</v>
      </c>
      <c r="T408" t="s">
        <v>42</v>
      </c>
    </row>
    <row r="409" spans="1:20" x14ac:dyDescent="0.35">
      <c r="A409" s="3">
        <v>94</v>
      </c>
      <c r="B409" t="s">
        <v>15</v>
      </c>
      <c r="C409" t="s">
        <v>14</v>
      </c>
      <c r="D409" t="s">
        <v>5</v>
      </c>
      <c r="E409">
        <v>9304.0142395625517</v>
      </c>
      <c r="F409">
        <v>2.0126514733292833</v>
      </c>
      <c r="H409">
        <v>0.22764384515041161</v>
      </c>
      <c r="T409" t="s">
        <v>42</v>
      </c>
    </row>
    <row r="410" spans="1:20" x14ac:dyDescent="0.35">
      <c r="A410" s="3">
        <v>95</v>
      </c>
      <c r="B410" t="s">
        <v>11</v>
      </c>
      <c r="C410" t="s">
        <v>22</v>
      </c>
      <c r="D410" t="s">
        <v>5</v>
      </c>
      <c r="E410">
        <v>1958.0519896817925</v>
      </c>
      <c r="F410">
        <v>2.0180292363780503</v>
      </c>
      <c r="H410">
        <v>0.23556957584861335</v>
      </c>
      <c r="T410" t="s">
        <v>42</v>
      </c>
    </row>
    <row r="411" spans="1:20" x14ac:dyDescent="0.35">
      <c r="A411" s="3">
        <v>96</v>
      </c>
      <c r="B411" t="s">
        <v>8</v>
      </c>
      <c r="C411" t="s">
        <v>9</v>
      </c>
      <c r="D411" t="s">
        <v>5</v>
      </c>
      <c r="E411">
        <v>4035.0544133929802</v>
      </c>
      <c r="F411">
        <v>1.9926206755825557</v>
      </c>
      <c r="H411">
        <v>0.24089823998140561</v>
      </c>
      <c r="T411" t="s">
        <v>42</v>
      </c>
    </row>
    <row r="412" spans="1:20" x14ac:dyDescent="0.35">
      <c r="A412" s="3">
        <v>97</v>
      </c>
      <c r="B412" t="s">
        <v>16</v>
      </c>
      <c r="C412" t="s">
        <v>14</v>
      </c>
      <c r="D412" t="s">
        <v>5</v>
      </c>
      <c r="E412">
        <v>9860.8842857924647</v>
      </c>
      <c r="F412">
        <v>1.979470863054462</v>
      </c>
      <c r="H412">
        <v>0.23511390192586518</v>
      </c>
      <c r="T412" t="s">
        <v>42</v>
      </c>
    </row>
    <row r="413" spans="1:20" x14ac:dyDescent="0.35">
      <c r="A413" s="3">
        <v>98</v>
      </c>
      <c r="B413" t="s">
        <v>10</v>
      </c>
      <c r="C413" t="s">
        <v>22</v>
      </c>
      <c r="D413" t="s">
        <v>5</v>
      </c>
      <c r="E413">
        <v>1534.2671003717717</v>
      </c>
      <c r="F413">
        <v>1.9977525014582329</v>
      </c>
      <c r="H413">
        <v>0.24056949123164478</v>
      </c>
      <c r="T413" t="s">
        <v>42</v>
      </c>
    </row>
    <row r="414" spans="1:20" x14ac:dyDescent="0.35">
      <c r="A414" s="3">
        <v>99</v>
      </c>
      <c r="B414" t="s">
        <v>18</v>
      </c>
      <c r="C414" t="s">
        <v>14</v>
      </c>
      <c r="D414" t="s">
        <v>5</v>
      </c>
      <c r="E414">
        <v>5994.9473195119117</v>
      </c>
      <c r="F414">
        <v>1.9739732747456407</v>
      </c>
      <c r="H414">
        <v>0.23638868214349831</v>
      </c>
      <c r="T414" t="s">
        <v>42</v>
      </c>
    </row>
    <row r="415" spans="1:20" x14ac:dyDescent="0.35">
      <c r="A415" s="3">
        <v>100</v>
      </c>
      <c r="B415" t="s">
        <v>25</v>
      </c>
      <c r="C415" t="s">
        <v>23</v>
      </c>
      <c r="D415" t="s">
        <v>5</v>
      </c>
      <c r="E415">
        <v>4147.8764985304824</v>
      </c>
      <c r="F415">
        <v>1.978897475400629</v>
      </c>
      <c r="H415">
        <v>0.24452064734560877</v>
      </c>
      <c r="T415" t="s">
        <v>42</v>
      </c>
    </row>
    <row r="416" spans="1:20" x14ac:dyDescent="0.35">
      <c r="A416" s="3">
        <v>101</v>
      </c>
      <c r="B416" t="s">
        <v>7</v>
      </c>
      <c r="C416" t="s">
        <v>9</v>
      </c>
      <c r="D416" t="s">
        <v>5</v>
      </c>
      <c r="E416">
        <v>3250.1877563810449</v>
      </c>
      <c r="F416">
        <v>1.9679890692893662</v>
      </c>
      <c r="H416">
        <v>0.24702107465765677</v>
      </c>
      <c r="T416" t="s">
        <v>42</v>
      </c>
    </row>
    <row r="417" spans="1:20" x14ac:dyDescent="0.35">
      <c r="A417" s="3">
        <v>102</v>
      </c>
      <c r="B417" t="s">
        <v>3</v>
      </c>
      <c r="C417" t="s">
        <v>9</v>
      </c>
      <c r="D417" t="s">
        <v>5</v>
      </c>
      <c r="E417">
        <v>6308.6824410979243</v>
      </c>
      <c r="F417">
        <v>1.9623694167312047</v>
      </c>
      <c r="H417">
        <v>0.2391258526852891</v>
      </c>
      <c r="T417" t="s">
        <v>42</v>
      </c>
    </row>
    <row r="418" spans="1:20" x14ac:dyDescent="0.35">
      <c r="A418" s="3">
        <v>103</v>
      </c>
      <c r="B418" t="s">
        <v>13</v>
      </c>
      <c r="C418" t="s">
        <v>23</v>
      </c>
      <c r="D418" t="s">
        <v>5</v>
      </c>
      <c r="E418">
        <v>2284.583940260497</v>
      </c>
      <c r="F418">
        <v>1.9638180396630485</v>
      </c>
      <c r="H418">
        <v>0.24880552856043325</v>
      </c>
      <c r="T418" t="s">
        <v>42</v>
      </c>
    </row>
    <row r="419" spans="1:20" x14ac:dyDescent="0.35">
      <c r="A419" s="3">
        <v>104</v>
      </c>
      <c r="B419" t="s">
        <v>12</v>
      </c>
      <c r="C419" t="s">
        <v>22</v>
      </c>
      <c r="D419" t="s">
        <v>5</v>
      </c>
      <c r="E419">
        <v>2028.4705382807397</v>
      </c>
      <c r="F419">
        <v>1.9621611036820779</v>
      </c>
      <c r="H419">
        <v>0.2493358232098504</v>
      </c>
      <c r="T419" t="s">
        <v>42</v>
      </c>
    </row>
    <row r="420" spans="1:20" x14ac:dyDescent="0.35">
      <c r="A420" s="3">
        <v>105</v>
      </c>
      <c r="B420" t="s">
        <v>17</v>
      </c>
      <c r="C420" t="s">
        <v>14</v>
      </c>
      <c r="D420" t="s">
        <v>19</v>
      </c>
      <c r="E420">
        <v>2132.3433220874354</v>
      </c>
      <c r="F420">
        <v>0.40516686389316325</v>
      </c>
      <c r="H420">
        <v>0.87160993907943163</v>
      </c>
      <c r="T420" t="s">
        <v>42</v>
      </c>
    </row>
    <row r="421" spans="1:20" x14ac:dyDescent="0.35">
      <c r="A421" s="3">
        <v>106</v>
      </c>
      <c r="B421" t="s">
        <v>24</v>
      </c>
      <c r="C421" t="s">
        <v>23</v>
      </c>
      <c r="D421" t="s">
        <v>19</v>
      </c>
      <c r="E421">
        <v>1115.4040160319769</v>
      </c>
      <c r="F421">
        <v>0.39783575441308616</v>
      </c>
      <c r="H421">
        <v>0.88560886868665711</v>
      </c>
      <c r="T421" t="s">
        <v>42</v>
      </c>
    </row>
    <row r="422" spans="1:20" x14ac:dyDescent="0.35">
      <c r="A422" s="3">
        <v>107</v>
      </c>
      <c r="B422" t="s">
        <v>15</v>
      </c>
      <c r="C422" t="s">
        <v>14</v>
      </c>
      <c r="D422" t="s">
        <v>19</v>
      </c>
      <c r="E422">
        <v>1984.1977807341523</v>
      </c>
      <c r="F422">
        <v>0.38031767581901182</v>
      </c>
      <c r="H422">
        <v>0.913262106630085</v>
      </c>
      <c r="T422" t="s">
        <v>42</v>
      </c>
    </row>
    <row r="423" spans="1:20" x14ac:dyDescent="0.35">
      <c r="A423" s="3">
        <v>108</v>
      </c>
      <c r="B423" t="s">
        <v>11</v>
      </c>
      <c r="C423" t="s">
        <v>22</v>
      </c>
      <c r="D423" t="s">
        <v>19</v>
      </c>
      <c r="E423">
        <v>417.57915588394172</v>
      </c>
      <c r="T423" t="s">
        <v>42</v>
      </c>
    </row>
    <row r="424" spans="1:20" x14ac:dyDescent="0.35">
      <c r="A424" s="3">
        <v>109</v>
      </c>
      <c r="B424" t="s">
        <v>8</v>
      </c>
      <c r="C424" t="s">
        <v>9</v>
      </c>
      <c r="D424" t="s">
        <v>19</v>
      </c>
      <c r="E424">
        <v>860.52598438116036</v>
      </c>
      <c r="F424">
        <v>0.37670302818040874</v>
      </c>
      <c r="H424">
        <v>0.9196832161333427</v>
      </c>
      <c r="T424" t="s">
        <v>42</v>
      </c>
    </row>
    <row r="425" spans="1:20" x14ac:dyDescent="0.35">
      <c r="A425" s="3">
        <v>110</v>
      </c>
      <c r="B425" t="s">
        <v>16</v>
      </c>
      <c r="C425" t="s">
        <v>14</v>
      </c>
      <c r="D425" t="s">
        <v>19</v>
      </c>
      <c r="E425">
        <v>2102.9573055410137</v>
      </c>
      <c r="T425" t="s">
        <v>42</v>
      </c>
    </row>
    <row r="426" spans="1:20" x14ac:dyDescent="0.35">
      <c r="A426" s="3">
        <v>111</v>
      </c>
      <c r="B426" t="s">
        <v>10</v>
      </c>
      <c r="C426" t="s">
        <v>22</v>
      </c>
      <c r="D426" t="s">
        <v>19</v>
      </c>
      <c r="E426">
        <v>327.20171070527363</v>
      </c>
      <c r="F426">
        <v>0.37751338551579838</v>
      </c>
      <c r="H426">
        <v>0.91869501445384139</v>
      </c>
      <c r="T426" t="s">
        <v>42</v>
      </c>
    </row>
    <row r="427" spans="1:20" x14ac:dyDescent="0.35">
      <c r="A427" s="3">
        <v>112</v>
      </c>
      <c r="B427" t="s">
        <v>18</v>
      </c>
      <c r="C427" t="s">
        <v>14</v>
      </c>
      <c r="D427" t="s">
        <v>19</v>
      </c>
      <c r="E427">
        <v>1278.4977387946226</v>
      </c>
      <c r="T427" t="s">
        <v>42</v>
      </c>
    </row>
    <row r="428" spans="1:20" x14ac:dyDescent="0.35">
      <c r="A428" s="3">
        <v>113</v>
      </c>
      <c r="B428" t="s">
        <v>25</v>
      </c>
      <c r="C428" t="s">
        <v>23</v>
      </c>
      <c r="D428" t="s">
        <v>19</v>
      </c>
      <c r="E428">
        <v>884.5867096964472</v>
      </c>
      <c r="F428">
        <v>0.37423569869550727</v>
      </c>
      <c r="H428">
        <v>0.92548659959069346</v>
      </c>
      <c r="T428" t="s">
        <v>42</v>
      </c>
    </row>
    <row r="429" spans="1:20" x14ac:dyDescent="0.35">
      <c r="A429" s="3">
        <v>114</v>
      </c>
      <c r="B429" t="s">
        <v>7</v>
      </c>
      <c r="C429" t="s">
        <v>9</v>
      </c>
      <c r="D429" t="s">
        <v>19</v>
      </c>
      <c r="E429">
        <v>693.14332148784388</v>
      </c>
      <c r="F429">
        <v>0.37227444758638145</v>
      </c>
      <c r="H429">
        <v>0.93145385230619426</v>
      </c>
      <c r="T429" t="s">
        <v>42</v>
      </c>
    </row>
    <row r="430" spans="1:20" x14ac:dyDescent="0.35">
      <c r="A430" s="3">
        <v>115</v>
      </c>
      <c r="B430" t="s">
        <v>3</v>
      </c>
      <c r="C430" t="s">
        <v>9</v>
      </c>
      <c r="D430" t="s">
        <v>19</v>
      </c>
      <c r="E430">
        <v>1345.4056901326887</v>
      </c>
      <c r="T430" t="s">
        <v>42</v>
      </c>
    </row>
    <row r="431" spans="1:20" x14ac:dyDescent="0.35">
      <c r="A431" s="3">
        <v>116</v>
      </c>
      <c r="B431" t="s">
        <v>13</v>
      </c>
      <c r="C431" t="s">
        <v>23</v>
      </c>
      <c r="D431" t="s">
        <v>19</v>
      </c>
      <c r="E431">
        <v>487.2161915757016</v>
      </c>
      <c r="F431">
        <v>0.37149502931049683</v>
      </c>
      <c r="H431">
        <v>0.93233679926902036</v>
      </c>
      <c r="T431" t="s">
        <v>42</v>
      </c>
    </row>
    <row r="432" spans="1:20" x14ac:dyDescent="0.35">
      <c r="A432" s="3">
        <v>117</v>
      </c>
      <c r="B432" t="s">
        <v>12</v>
      </c>
      <c r="C432" t="s">
        <v>22</v>
      </c>
      <c r="D432" t="s">
        <v>19</v>
      </c>
      <c r="E432">
        <v>432.5967949647607</v>
      </c>
      <c r="T432" t="s">
        <v>42</v>
      </c>
    </row>
    <row r="433" spans="1:20" x14ac:dyDescent="0.35">
      <c r="A433" s="3">
        <v>118</v>
      </c>
      <c r="B433" t="s">
        <v>17</v>
      </c>
      <c r="C433" t="s">
        <v>14</v>
      </c>
      <c r="D433" t="s">
        <v>19</v>
      </c>
      <c r="E433">
        <v>2741.5842712552744</v>
      </c>
      <c r="F433">
        <v>0.5111941224596106</v>
      </c>
      <c r="H433">
        <v>0.83038882578054252</v>
      </c>
      <c r="T433" t="s">
        <v>42</v>
      </c>
    </row>
    <row r="434" spans="1:20" x14ac:dyDescent="0.35">
      <c r="A434" s="3">
        <v>119</v>
      </c>
      <c r="B434" t="s">
        <v>24</v>
      </c>
      <c r="C434" t="s">
        <v>23</v>
      </c>
      <c r="D434" t="s">
        <v>19</v>
      </c>
      <c r="E434">
        <v>1434.0908777553989</v>
      </c>
      <c r="F434">
        <v>0.50176951217282983</v>
      </c>
      <c r="H434">
        <v>0.84855270131726479</v>
      </c>
      <c r="T434" t="s">
        <v>42</v>
      </c>
    </row>
    <row r="435" spans="1:20" x14ac:dyDescent="0.35">
      <c r="A435" s="3">
        <v>120</v>
      </c>
      <c r="B435" t="s">
        <v>15</v>
      </c>
      <c r="C435" t="s">
        <v>14</v>
      </c>
      <c r="D435" t="s">
        <v>19</v>
      </c>
      <c r="E435">
        <v>2551.1114323724819</v>
      </c>
      <c r="F435">
        <v>0.47898694741004377</v>
      </c>
      <c r="H435">
        <v>0.8715370758985187</v>
      </c>
      <c r="T435" t="s">
        <v>42</v>
      </c>
    </row>
    <row r="436" spans="1:20" x14ac:dyDescent="0.35">
      <c r="A436" s="3">
        <v>121</v>
      </c>
      <c r="B436" t="s">
        <v>11</v>
      </c>
      <c r="C436" t="s">
        <v>22</v>
      </c>
      <c r="D436" t="s">
        <v>19</v>
      </c>
      <c r="E436">
        <v>536.88748613649659</v>
      </c>
      <c r="F436">
        <v>0.48011106992308938</v>
      </c>
      <c r="H436">
        <v>0.87412405627752343</v>
      </c>
      <c r="T436" t="s">
        <v>42</v>
      </c>
    </row>
    <row r="437" spans="1:20" x14ac:dyDescent="0.35">
      <c r="A437" s="3">
        <v>122</v>
      </c>
      <c r="B437" t="s">
        <v>8</v>
      </c>
      <c r="C437" t="s">
        <v>9</v>
      </c>
      <c r="D437" t="s">
        <v>19</v>
      </c>
      <c r="E437">
        <v>1106.3905513472064</v>
      </c>
      <c r="F437">
        <v>0.47434552889085208</v>
      </c>
      <c r="H437">
        <v>0.88193570599090887</v>
      </c>
      <c r="T437" t="s">
        <v>42</v>
      </c>
    </row>
    <row r="438" spans="1:20" x14ac:dyDescent="0.35">
      <c r="A438" s="3">
        <v>123</v>
      </c>
      <c r="B438" t="s">
        <v>16</v>
      </c>
      <c r="C438" t="s">
        <v>14</v>
      </c>
      <c r="D438" t="s">
        <v>19</v>
      </c>
      <c r="E438">
        <v>2703.8022499813037</v>
      </c>
      <c r="F438">
        <v>0.47133653080808657</v>
      </c>
      <c r="H438">
        <v>0.88619257717203959</v>
      </c>
      <c r="T438" t="s">
        <v>42</v>
      </c>
    </row>
    <row r="439" spans="1:20" x14ac:dyDescent="0.35">
      <c r="A439" s="3">
        <v>124</v>
      </c>
      <c r="B439" t="s">
        <v>10</v>
      </c>
      <c r="C439" t="s">
        <v>22</v>
      </c>
      <c r="D439" t="s">
        <v>19</v>
      </c>
      <c r="E439">
        <v>420.68791376392323</v>
      </c>
      <c r="F439">
        <v>0.47544490029200887</v>
      </c>
      <c r="H439">
        <v>0.88168247174673253</v>
      </c>
      <c r="T439" t="s">
        <v>42</v>
      </c>
    </row>
    <row r="440" spans="1:20" x14ac:dyDescent="0.35">
      <c r="A440" s="3">
        <v>125</v>
      </c>
      <c r="B440" t="s">
        <v>18</v>
      </c>
      <c r="C440" t="s">
        <v>14</v>
      </c>
      <c r="D440" t="s">
        <v>19</v>
      </c>
      <c r="E440">
        <v>1643.7828070216576</v>
      </c>
      <c r="T440" t="s">
        <v>42</v>
      </c>
    </row>
    <row r="441" spans="1:20" x14ac:dyDescent="0.35">
      <c r="A441" s="3">
        <v>126</v>
      </c>
      <c r="B441" t="s">
        <v>25</v>
      </c>
      <c r="C441" t="s">
        <v>23</v>
      </c>
      <c r="D441" t="s">
        <v>19</v>
      </c>
      <c r="E441">
        <v>1137.325769609718</v>
      </c>
      <c r="F441">
        <v>0.47117888578632405</v>
      </c>
      <c r="H441">
        <v>0.88794957993735613</v>
      </c>
      <c r="T441" t="s">
        <v>42</v>
      </c>
    </row>
    <row r="442" spans="1:20" x14ac:dyDescent="0.35">
      <c r="A442" s="3">
        <v>127</v>
      </c>
      <c r="B442" t="s">
        <v>7</v>
      </c>
      <c r="C442" t="s">
        <v>9</v>
      </c>
      <c r="D442" t="s">
        <v>19</v>
      </c>
      <c r="E442">
        <v>891.1842704843707</v>
      </c>
      <c r="F442">
        <v>0.46865685456597111</v>
      </c>
      <c r="H442">
        <v>0.8935747954539619</v>
      </c>
      <c r="T442" t="s">
        <v>42</v>
      </c>
    </row>
    <row r="443" spans="1:20" x14ac:dyDescent="0.35">
      <c r="A443" s="3">
        <v>128</v>
      </c>
      <c r="B443" t="s">
        <v>3</v>
      </c>
      <c r="C443" t="s">
        <v>9</v>
      </c>
      <c r="D443" t="s">
        <v>19</v>
      </c>
      <c r="E443">
        <v>1729.8073158848854</v>
      </c>
      <c r="F443">
        <v>0.46736844106165337</v>
      </c>
      <c r="H443">
        <v>0.89642885320277299</v>
      </c>
      <c r="T443" t="s">
        <v>42</v>
      </c>
    </row>
    <row r="444" spans="1:20" x14ac:dyDescent="0.35">
      <c r="A444" s="3">
        <v>129</v>
      </c>
      <c r="B444" t="s">
        <v>13</v>
      </c>
      <c r="C444" t="s">
        <v>23</v>
      </c>
      <c r="D444" t="s">
        <v>19</v>
      </c>
      <c r="E444">
        <v>626.42081774018789</v>
      </c>
      <c r="F444">
        <v>0.46767606127906064</v>
      </c>
      <c r="H444">
        <v>0.89501739455313611</v>
      </c>
      <c r="T444" t="s">
        <v>42</v>
      </c>
    </row>
    <row r="445" spans="1:20" x14ac:dyDescent="0.35">
      <c r="A445" s="3">
        <v>130</v>
      </c>
      <c r="B445" t="s">
        <v>12</v>
      </c>
      <c r="C445" t="s">
        <v>22</v>
      </c>
      <c r="D445" t="s">
        <v>19</v>
      </c>
      <c r="E445">
        <v>556.19587924040661</v>
      </c>
      <c r="T445" t="s">
        <v>42</v>
      </c>
    </row>
    <row r="446" spans="1:20" x14ac:dyDescent="0.35">
      <c r="A446" s="3">
        <v>131</v>
      </c>
      <c r="B446" t="s">
        <v>17</v>
      </c>
      <c r="C446" t="s">
        <v>14</v>
      </c>
      <c r="D446" t="s">
        <v>19</v>
      </c>
      <c r="E446">
        <v>3350.8252204231135</v>
      </c>
      <c r="F446">
        <v>0.61867977075247627</v>
      </c>
      <c r="H446">
        <v>0.79139639459618838</v>
      </c>
      <c r="T446" t="s">
        <v>42</v>
      </c>
    </row>
    <row r="447" spans="1:20" x14ac:dyDescent="0.35">
      <c r="A447" s="3">
        <v>132</v>
      </c>
      <c r="B447" t="s">
        <v>24</v>
      </c>
      <c r="C447" t="s">
        <v>23</v>
      </c>
      <c r="D447" t="s">
        <v>19</v>
      </c>
      <c r="E447">
        <v>1752.7777394788209</v>
      </c>
      <c r="F447">
        <v>0.60716621538916504</v>
      </c>
      <c r="H447">
        <v>0.8142504936477134</v>
      </c>
      <c r="T447" t="s">
        <v>42</v>
      </c>
    </row>
    <row r="448" spans="1:20" x14ac:dyDescent="0.35">
      <c r="A448" s="3">
        <v>133</v>
      </c>
      <c r="B448" t="s">
        <v>15</v>
      </c>
      <c r="C448" t="s">
        <v>14</v>
      </c>
      <c r="D448" t="s">
        <v>19</v>
      </c>
      <c r="E448">
        <v>3118.0250840108115</v>
      </c>
      <c r="F448">
        <v>0.57914648087554954</v>
      </c>
      <c r="H448">
        <v>0.83287897329923632</v>
      </c>
      <c r="T448" t="s">
        <v>42</v>
      </c>
    </row>
    <row r="449" spans="1:20" x14ac:dyDescent="0.35">
      <c r="A449" s="3">
        <v>134</v>
      </c>
      <c r="B449" t="s">
        <v>11</v>
      </c>
      <c r="C449" t="s">
        <v>22</v>
      </c>
      <c r="D449" t="s">
        <v>19</v>
      </c>
      <c r="E449">
        <v>656.1958163890514</v>
      </c>
      <c r="F449">
        <v>0.5805680366196998</v>
      </c>
      <c r="H449">
        <v>0.84004847624818857</v>
      </c>
      <c r="T449" t="s">
        <v>42</v>
      </c>
    </row>
    <row r="450" spans="1:20" x14ac:dyDescent="0.35">
      <c r="A450" s="3">
        <v>135</v>
      </c>
      <c r="B450" t="s">
        <v>8</v>
      </c>
      <c r="C450" t="s">
        <v>9</v>
      </c>
      <c r="D450" t="s">
        <v>19</v>
      </c>
      <c r="E450">
        <v>1352.2551183132521</v>
      </c>
      <c r="F450">
        <v>0.57348170490453798</v>
      </c>
      <c r="H450">
        <v>0.84759261565602495</v>
      </c>
      <c r="T450" t="s">
        <v>42</v>
      </c>
    </row>
    <row r="451" spans="1:20" x14ac:dyDescent="0.35">
      <c r="A451" s="3">
        <v>136</v>
      </c>
      <c r="B451" t="s">
        <v>16</v>
      </c>
      <c r="C451" t="s">
        <v>14</v>
      </c>
      <c r="D451" t="s">
        <v>19</v>
      </c>
      <c r="E451">
        <v>3304.6471944215937</v>
      </c>
      <c r="F451">
        <v>0.56978694826783849</v>
      </c>
      <c r="H451">
        <v>0.8472959446255709</v>
      </c>
      <c r="T451" t="s">
        <v>42</v>
      </c>
    </row>
    <row r="452" spans="1:20" x14ac:dyDescent="0.35">
      <c r="A452" s="3">
        <v>137</v>
      </c>
      <c r="B452" t="s">
        <v>10</v>
      </c>
      <c r="C452" t="s">
        <v>22</v>
      </c>
      <c r="D452" t="s">
        <v>19</v>
      </c>
      <c r="E452">
        <v>514.17411682257284</v>
      </c>
      <c r="F452">
        <v>0.57486151459959067</v>
      </c>
      <c r="H452">
        <v>0.84762911467631152</v>
      </c>
      <c r="T452" t="s">
        <v>42</v>
      </c>
    </row>
    <row r="453" spans="1:20" x14ac:dyDescent="0.35">
      <c r="A453" s="3">
        <v>138</v>
      </c>
      <c r="B453" t="s">
        <v>18</v>
      </c>
      <c r="C453" t="s">
        <v>14</v>
      </c>
      <c r="D453" t="s">
        <v>19</v>
      </c>
      <c r="E453">
        <v>2009.0678752486929</v>
      </c>
      <c r="F453">
        <v>0.56824115059779734</v>
      </c>
      <c r="H453">
        <v>0.85019785033922313</v>
      </c>
      <c r="T453" t="s">
        <v>42</v>
      </c>
    </row>
    <row r="454" spans="1:20" x14ac:dyDescent="0.35">
      <c r="A454" s="3">
        <v>139</v>
      </c>
      <c r="B454" t="s">
        <v>25</v>
      </c>
      <c r="C454" t="s">
        <v>23</v>
      </c>
      <c r="D454" t="s">
        <v>19</v>
      </c>
      <c r="E454">
        <v>1390.0648295229887</v>
      </c>
      <c r="F454">
        <v>0.56959948142031469</v>
      </c>
      <c r="H454">
        <v>0.85368646213828114</v>
      </c>
      <c r="T454" t="s">
        <v>42</v>
      </c>
    </row>
    <row r="455" spans="1:20" x14ac:dyDescent="0.35">
      <c r="A455" s="3">
        <v>140</v>
      </c>
      <c r="B455" t="s">
        <v>7</v>
      </c>
      <c r="C455" t="s">
        <v>9</v>
      </c>
      <c r="D455" t="s">
        <v>19</v>
      </c>
      <c r="E455">
        <v>1089.2252194808977</v>
      </c>
      <c r="F455">
        <v>0.56652803173036126</v>
      </c>
      <c r="H455">
        <v>0.85908107167501691</v>
      </c>
      <c r="T455" t="s">
        <v>42</v>
      </c>
    </row>
    <row r="456" spans="1:20" x14ac:dyDescent="0.35">
      <c r="A456" s="3">
        <v>141</v>
      </c>
      <c r="B456" t="s">
        <v>3</v>
      </c>
      <c r="C456" t="s">
        <v>9</v>
      </c>
      <c r="D456" t="s">
        <v>19</v>
      </c>
      <c r="E456">
        <v>2114.2089416370823</v>
      </c>
      <c r="F456">
        <v>0.56495660636395817</v>
      </c>
      <c r="H456">
        <v>0.85721889281637542</v>
      </c>
      <c r="T456" t="s">
        <v>42</v>
      </c>
    </row>
    <row r="457" spans="1:20" x14ac:dyDescent="0.35">
      <c r="A457" s="3">
        <v>142</v>
      </c>
      <c r="B457" t="s">
        <v>13</v>
      </c>
      <c r="C457" t="s">
        <v>23</v>
      </c>
      <c r="D457" t="s">
        <v>19</v>
      </c>
      <c r="E457">
        <v>765.62544390467406</v>
      </c>
      <c r="F457">
        <v>0.56533987914179484</v>
      </c>
      <c r="H457">
        <v>0.86081877935574336</v>
      </c>
      <c r="T457" t="s">
        <v>42</v>
      </c>
    </row>
    <row r="458" spans="1:20" x14ac:dyDescent="0.35">
      <c r="A458" s="3">
        <v>143</v>
      </c>
      <c r="B458" t="s">
        <v>12</v>
      </c>
      <c r="C458" t="s">
        <v>22</v>
      </c>
      <c r="D458" t="s">
        <v>19</v>
      </c>
      <c r="E458">
        <v>679.79496351605258</v>
      </c>
      <c r="F458">
        <v>0.56485284663143986</v>
      </c>
      <c r="H458">
        <v>0.86163736436786198</v>
      </c>
      <c r="T458" t="s">
        <v>42</v>
      </c>
    </row>
    <row r="459" spans="1:20" x14ac:dyDescent="0.35">
      <c r="A459" s="3">
        <v>144</v>
      </c>
      <c r="B459" t="s">
        <v>17</v>
      </c>
      <c r="C459" t="s">
        <v>14</v>
      </c>
      <c r="D459" t="s">
        <v>19</v>
      </c>
      <c r="E459">
        <v>4569.3071187587902</v>
      </c>
      <c r="F459">
        <v>0.83578285888851311</v>
      </c>
      <c r="H459">
        <v>0.70570575256543555</v>
      </c>
      <c r="T459" t="s">
        <v>42</v>
      </c>
    </row>
    <row r="460" spans="1:20" x14ac:dyDescent="0.35">
      <c r="A460" s="3">
        <v>145</v>
      </c>
      <c r="B460" t="s">
        <v>24</v>
      </c>
      <c r="C460" t="s">
        <v>23</v>
      </c>
      <c r="D460" t="s">
        <v>19</v>
      </c>
      <c r="E460">
        <v>2390.1514629256649</v>
      </c>
      <c r="F460">
        <v>0.82009171963376182</v>
      </c>
      <c r="H460">
        <v>0.74278935601314511</v>
      </c>
      <c r="T460" t="s">
        <v>42</v>
      </c>
    </row>
    <row r="461" spans="1:20" x14ac:dyDescent="0.35">
      <c r="A461" s="3">
        <v>146</v>
      </c>
      <c r="B461" t="s">
        <v>15</v>
      </c>
      <c r="C461" t="s">
        <v>14</v>
      </c>
      <c r="D461" t="s">
        <v>19</v>
      </c>
      <c r="E461">
        <v>4251.8523872874694</v>
      </c>
      <c r="F461">
        <v>0.78164759548373175</v>
      </c>
      <c r="H461">
        <v>0.75061425343097754</v>
      </c>
      <c r="T461" t="s">
        <v>42</v>
      </c>
    </row>
    <row r="462" spans="1:20" x14ac:dyDescent="0.35">
      <c r="A462" s="3">
        <v>147</v>
      </c>
      <c r="B462" t="s">
        <v>11</v>
      </c>
      <c r="C462" t="s">
        <v>22</v>
      </c>
      <c r="D462" t="s">
        <v>19</v>
      </c>
      <c r="E462">
        <v>894.81247689416091</v>
      </c>
      <c r="F462">
        <v>0.78364455323742688</v>
      </c>
      <c r="H462">
        <v>0.77120446083097549</v>
      </c>
      <c r="T462" t="s">
        <v>42</v>
      </c>
    </row>
    <row r="463" spans="1:20" x14ac:dyDescent="0.35">
      <c r="A463" s="3">
        <v>148</v>
      </c>
      <c r="B463" t="s">
        <v>8</v>
      </c>
      <c r="C463" t="s">
        <v>9</v>
      </c>
      <c r="D463" t="s">
        <v>19</v>
      </c>
      <c r="E463">
        <v>1843.9842522453439</v>
      </c>
      <c r="F463">
        <v>0.77391595147753744</v>
      </c>
      <c r="H463">
        <v>0.77722355873860705</v>
      </c>
      <c r="T463" t="s">
        <v>42</v>
      </c>
    </row>
    <row r="464" spans="1:20" x14ac:dyDescent="0.35">
      <c r="A464" s="3">
        <v>149</v>
      </c>
      <c r="B464" t="s">
        <v>16</v>
      </c>
      <c r="C464" t="s">
        <v>14</v>
      </c>
      <c r="D464" t="s">
        <v>19</v>
      </c>
      <c r="E464">
        <v>4506.3370833021727</v>
      </c>
      <c r="F464">
        <v>0.7688606484543743</v>
      </c>
      <c r="H464">
        <v>0.76498437045117462</v>
      </c>
      <c r="T464" t="s">
        <v>42</v>
      </c>
    </row>
    <row r="465" spans="1:20" x14ac:dyDescent="0.35">
      <c r="A465" s="3">
        <v>150</v>
      </c>
      <c r="B465" t="s">
        <v>10</v>
      </c>
      <c r="C465" t="s">
        <v>22</v>
      </c>
      <c r="D465" t="s">
        <v>19</v>
      </c>
      <c r="E465">
        <v>701.14652293987206</v>
      </c>
      <c r="F465">
        <v>0.7758561448918565</v>
      </c>
      <c r="H465">
        <v>0.77968516534202625</v>
      </c>
      <c r="T465" t="s">
        <v>42</v>
      </c>
    </row>
    <row r="466" spans="1:20" x14ac:dyDescent="0.35">
      <c r="A466" s="3">
        <v>151</v>
      </c>
      <c r="B466" t="s">
        <v>18</v>
      </c>
      <c r="C466" t="s">
        <v>14</v>
      </c>
      <c r="D466" t="s">
        <v>19</v>
      </c>
      <c r="E466">
        <v>2739.6380117027629</v>
      </c>
      <c r="F466">
        <v>0.76675325287814977</v>
      </c>
      <c r="H466">
        <v>0.76778570119655554</v>
      </c>
      <c r="T466" t="s">
        <v>42</v>
      </c>
    </row>
    <row r="467" spans="1:20" x14ac:dyDescent="0.35">
      <c r="A467" s="3">
        <v>152</v>
      </c>
      <c r="B467" t="s">
        <v>25</v>
      </c>
      <c r="C467" t="s">
        <v>23</v>
      </c>
      <c r="D467" t="s">
        <v>19</v>
      </c>
      <c r="E467">
        <v>1895.5429493495299</v>
      </c>
      <c r="F467">
        <v>0.76862997493172591</v>
      </c>
      <c r="H467">
        <v>0.78444714536996718</v>
      </c>
      <c r="T467" t="s">
        <v>42</v>
      </c>
    </row>
    <row r="468" spans="1:20" x14ac:dyDescent="0.35">
      <c r="A468" s="3">
        <v>153</v>
      </c>
      <c r="B468" t="s">
        <v>7</v>
      </c>
      <c r="C468" t="s">
        <v>9</v>
      </c>
      <c r="D468" t="s">
        <v>19</v>
      </c>
      <c r="E468">
        <v>1485.3071174739514</v>
      </c>
      <c r="F468">
        <v>0.76444130250796816</v>
      </c>
      <c r="H468">
        <v>0.7891141284251707</v>
      </c>
      <c r="T468" t="s">
        <v>42</v>
      </c>
    </row>
    <row r="469" spans="1:20" x14ac:dyDescent="0.35">
      <c r="A469" s="3">
        <v>154</v>
      </c>
      <c r="B469" t="s">
        <v>3</v>
      </c>
      <c r="C469" t="s">
        <v>9</v>
      </c>
      <c r="D469" t="s">
        <v>19</v>
      </c>
      <c r="E469">
        <v>2883.012193141476</v>
      </c>
      <c r="F469">
        <v>0.76229759148467879</v>
      </c>
      <c r="H469">
        <v>0.77443764889849909</v>
      </c>
      <c r="T469" t="s">
        <v>42</v>
      </c>
    </row>
    <row r="470" spans="1:20" x14ac:dyDescent="0.35">
      <c r="A470" s="3">
        <v>155</v>
      </c>
      <c r="B470" t="s">
        <v>13</v>
      </c>
      <c r="C470" t="s">
        <v>23</v>
      </c>
      <c r="D470" t="s">
        <v>19</v>
      </c>
      <c r="E470">
        <v>1044.0346962336462</v>
      </c>
      <c r="F470">
        <v>0.76283046848119773</v>
      </c>
      <c r="H470">
        <v>0.7930403744256026</v>
      </c>
      <c r="T470" t="s">
        <v>42</v>
      </c>
    </row>
    <row r="471" spans="1:20" x14ac:dyDescent="0.35">
      <c r="A471" s="3">
        <v>156</v>
      </c>
      <c r="B471" t="s">
        <v>12</v>
      </c>
      <c r="C471" t="s">
        <v>22</v>
      </c>
      <c r="D471" t="s">
        <v>19</v>
      </c>
      <c r="E471">
        <v>926.99313206734439</v>
      </c>
      <c r="F471">
        <v>0.7621773049553543</v>
      </c>
      <c r="H471">
        <v>0.7941052076280849</v>
      </c>
      <c r="T471" t="s">
        <v>42</v>
      </c>
    </row>
    <row r="472" spans="1:20" x14ac:dyDescent="0.35">
      <c r="A472" s="3">
        <v>157</v>
      </c>
      <c r="B472" t="s">
        <v>17</v>
      </c>
      <c r="C472" t="s">
        <v>14</v>
      </c>
      <c r="D472" t="s">
        <v>19</v>
      </c>
      <c r="E472">
        <v>6397.0299662623083</v>
      </c>
      <c r="F472">
        <v>1.1637676404641111</v>
      </c>
      <c r="H472">
        <v>0.53523716993161141</v>
      </c>
      <c r="T472" t="s">
        <v>42</v>
      </c>
    </row>
    <row r="473" spans="1:20" x14ac:dyDescent="0.35">
      <c r="A473" s="3">
        <v>158</v>
      </c>
      <c r="B473" t="s">
        <v>24</v>
      </c>
      <c r="C473" t="s">
        <v>23</v>
      </c>
      <c r="D473" t="s">
        <v>19</v>
      </c>
      <c r="E473">
        <v>3346.2120480959311</v>
      </c>
      <c r="F473">
        <v>1.1417704667594355</v>
      </c>
      <c r="H473">
        <v>0.58786253322227511</v>
      </c>
      <c r="T473" t="s">
        <v>42</v>
      </c>
    </row>
    <row r="474" spans="1:20" x14ac:dyDescent="0.35">
      <c r="A474" s="3">
        <v>159</v>
      </c>
      <c r="B474" t="s">
        <v>15</v>
      </c>
      <c r="C474" t="s">
        <v>14</v>
      </c>
      <c r="D474" t="s">
        <v>19</v>
      </c>
      <c r="E474">
        <v>5952.5933422024573</v>
      </c>
      <c r="F474">
        <v>1.0877609094069955</v>
      </c>
      <c r="H474">
        <v>0.58799408275608722</v>
      </c>
      <c r="T474" t="s">
        <v>42</v>
      </c>
    </row>
    <row r="475" spans="1:20" x14ac:dyDescent="0.35">
      <c r="A475" s="3">
        <v>160</v>
      </c>
      <c r="B475" t="s">
        <v>11</v>
      </c>
      <c r="C475" t="s">
        <v>22</v>
      </c>
      <c r="D475" t="s">
        <v>19</v>
      </c>
      <c r="E475">
        <v>1252.7374676518252</v>
      </c>
      <c r="F475">
        <v>1.0906142496865285</v>
      </c>
      <c r="H475">
        <v>0.62548431365647195</v>
      </c>
      <c r="T475" t="s">
        <v>42</v>
      </c>
    </row>
    <row r="476" spans="1:20" x14ac:dyDescent="0.35">
      <c r="A476" s="3">
        <v>161</v>
      </c>
      <c r="B476" t="s">
        <v>8</v>
      </c>
      <c r="C476" t="s">
        <v>9</v>
      </c>
      <c r="D476" t="s">
        <v>19</v>
      </c>
      <c r="E476">
        <v>2581.5779531434814</v>
      </c>
      <c r="F476">
        <v>1.0769628330312611</v>
      </c>
      <c r="H476">
        <v>0.63163101581760006</v>
      </c>
      <c r="T476" t="s">
        <v>42</v>
      </c>
    </row>
    <row r="477" spans="1:20" x14ac:dyDescent="0.35">
      <c r="A477" s="3">
        <v>162</v>
      </c>
      <c r="B477" t="s">
        <v>16</v>
      </c>
      <c r="C477" t="s">
        <v>14</v>
      </c>
      <c r="D477" t="s">
        <v>19</v>
      </c>
      <c r="E477">
        <v>6308.8719166230412</v>
      </c>
      <c r="F477">
        <v>1.0698762432431639</v>
      </c>
      <c r="H477">
        <v>0.60275575230424672</v>
      </c>
      <c r="T477" t="s">
        <v>42</v>
      </c>
    </row>
    <row r="478" spans="1:20" x14ac:dyDescent="0.35">
      <c r="A478" s="3">
        <v>163</v>
      </c>
      <c r="B478" t="s">
        <v>10</v>
      </c>
      <c r="C478" t="s">
        <v>22</v>
      </c>
      <c r="D478" t="s">
        <v>19</v>
      </c>
      <c r="E478">
        <v>981.60513211582099</v>
      </c>
      <c r="F478">
        <v>1.0797198780758437</v>
      </c>
      <c r="H478">
        <v>0.63617382842151549</v>
      </c>
      <c r="T478" t="s">
        <v>42</v>
      </c>
    </row>
    <row r="479" spans="1:20" x14ac:dyDescent="0.35">
      <c r="A479" s="3">
        <v>164</v>
      </c>
      <c r="B479" t="s">
        <v>18</v>
      </c>
      <c r="C479" t="s">
        <v>14</v>
      </c>
      <c r="D479" t="s">
        <v>19</v>
      </c>
      <c r="E479">
        <v>3835.493216383868</v>
      </c>
      <c r="F479">
        <v>1.0669254819431646</v>
      </c>
      <c r="H479">
        <v>0.60541621829068382</v>
      </c>
      <c r="T479" t="s">
        <v>42</v>
      </c>
    </row>
    <row r="480" spans="1:20" x14ac:dyDescent="0.35">
      <c r="A480" s="3">
        <v>165</v>
      </c>
      <c r="B480" t="s">
        <v>25</v>
      </c>
      <c r="C480" t="s">
        <v>23</v>
      </c>
      <c r="D480" t="s">
        <v>19</v>
      </c>
      <c r="E480">
        <v>2653.7601290893417</v>
      </c>
      <c r="F480">
        <v>1.0695712677622931</v>
      </c>
      <c r="H480">
        <v>0.64046777794479814</v>
      </c>
      <c r="T480" t="s">
        <v>42</v>
      </c>
    </row>
    <row r="481" spans="1:20" x14ac:dyDescent="0.35">
      <c r="A481" s="3">
        <v>166</v>
      </c>
      <c r="B481" t="s">
        <v>7</v>
      </c>
      <c r="C481" t="s">
        <v>9</v>
      </c>
      <c r="D481" t="s">
        <v>19</v>
      </c>
      <c r="E481">
        <v>2079.4299644635316</v>
      </c>
      <c r="F481">
        <v>1.0637061744936334</v>
      </c>
      <c r="H481">
        <v>0.64462895806728493</v>
      </c>
      <c r="T481" t="s">
        <v>42</v>
      </c>
    </row>
    <row r="482" spans="1:20" x14ac:dyDescent="0.35">
      <c r="A482" s="3">
        <v>167</v>
      </c>
      <c r="B482" t="s">
        <v>3</v>
      </c>
      <c r="C482" t="s">
        <v>9</v>
      </c>
      <c r="D482" t="s">
        <v>19</v>
      </c>
      <c r="E482">
        <v>4036.2170703980664</v>
      </c>
      <c r="F482">
        <v>1.0607028670944074</v>
      </c>
      <c r="H482">
        <v>0.61142092991736008</v>
      </c>
      <c r="T482" t="s">
        <v>42</v>
      </c>
    </row>
    <row r="483" spans="1:20" x14ac:dyDescent="0.35">
      <c r="A483" s="3">
        <v>168</v>
      </c>
      <c r="B483" t="s">
        <v>13</v>
      </c>
      <c r="C483" t="s">
        <v>23</v>
      </c>
      <c r="D483" t="s">
        <v>19</v>
      </c>
      <c r="E483">
        <v>1461.6485747271051</v>
      </c>
      <c r="F483">
        <v>1.061452809828237</v>
      </c>
      <c r="H483">
        <v>0.65146966354581559</v>
      </c>
      <c r="T483" t="s">
        <v>42</v>
      </c>
    </row>
    <row r="484" spans="1:20" x14ac:dyDescent="0.35">
      <c r="A484" s="3">
        <v>169</v>
      </c>
      <c r="B484" t="s">
        <v>12</v>
      </c>
      <c r="C484" t="s">
        <v>22</v>
      </c>
      <c r="D484" t="s">
        <v>19</v>
      </c>
      <c r="E484">
        <v>1297.7903848942822</v>
      </c>
      <c r="F484">
        <v>1.060571498588138</v>
      </c>
      <c r="H484">
        <v>0.65295952820906034</v>
      </c>
      <c r="T484" t="s">
        <v>42</v>
      </c>
    </row>
    <row r="485" spans="1:20" x14ac:dyDescent="0.35">
      <c r="A485" s="3">
        <v>170</v>
      </c>
      <c r="B485" t="s">
        <v>17</v>
      </c>
      <c r="C485" t="s">
        <v>14</v>
      </c>
      <c r="D485" t="s">
        <v>19</v>
      </c>
      <c r="E485">
        <v>8224.7528137658246</v>
      </c>
      <c r="F485">
        <v>1.4929380706134383</v>
      </c>
      <c r="H485">
        <v>0.37356620989939215</v>
      </c>
      <c r="T485" t="s">
        <v>42</v>
      </c>
    </row>
    <row r="486" spans="1:20" x14ac:dyDescent="0.35">
      <c r="A486" s="3">
        <v>171</v>
      </c>
      <c r="B486" t="s">
        <v>24</v>
      </c>
      <c r="C486" t="s">
        <v>23</v>
      </c>
      <c r="D486" t="s">
        <v>19</v>
      </c>
      <c r="E486">
        <v>4302.2726332661969</v>
      </c>
      <c r="F486">
        <v>1.464617928897429</v>
      </c>
      <c r="H486">
        <v>0.41128415171984567</v>
      </c>
      <c r="T486" t="s">
        <v>42</v>
      </c>
    </row>
    <row r="487" spans="1:20" x14ac:dyDescent="0.35">
      <c r="A487" s="3">
        <v>172</v>
      </c>
      <c r="B487" t="s">
        <v>15</v>
      </c>
      <c r="C487" t="s">
        <v>14</v>
      </c>
      <c r="D487" t="s">
        <v>19</v>
      </c>
      <c r="E487">
        <v>7653.3342971174452</v>
      </c>
      <c r="F487">
        <v>1.3951140461435143</v>
      </c>
      <c r="H487">
        <v>0.41961470307871018</v>
      </c>
      <c r="T487" t="s">
        <v>42</v>
      </c>
    </row>
    <row r="488" spans="1:20" x14ac:dyDescent="0.35">
      <c r="A488" s="3">
        <v>173</v>
      </c>
      <c r="B488" t="s">
        <v>11</v>
      </c>
      <c r="C488" t="s">
        <v>22</v>
      </c>
      <c r="D488" t="s">
        <v>19</v>
      </c>
      <c r="E488">
        <v>1610.6624584094898</v>
      </c>
      <c r="F488">
        <v>1.3988011011047323</v>
      </c>
      <c r="H488">
        <v>0.44625098065605262</v>
      </c>
      <c r="T488" t="s">
        <v>42</v>
      </c>
    </row>
    <row r="489" spans="1:20" x14ac:dyDescent="0.35">
      <c r="A489" s="3">
        <v>174</v>
      </c>
      <c r="B489" t="s">
        <v>8</v>
      </c>
      <c r="C489" t="s">
        <v>9</v>
      </c>
      <c r="D489" t="s">
        <v>19</v>
      </c>
      <c r="E489">
        <v>3319.1716540416191</v>
      </c>
      <c r="F489">
        <v>1.3812275120189519</v>
      </c>
      <c r="H489">
        <v>0.45387591101128394</v>
      </c>
      <c r="T489" t="s">
        <v>42</v>
      </c>
    </row>
    <row r="490" spans="1:20" x14ac:dyDescent="0.35">
      <c r="A490" s="3">
        <v>175</v>
      </c>
      <c r="B490" t="s">
        <v>16</v>
      </c>
      <c r="C490" t="s">
        <v>14</v>
      </c>
      <c r="D490" t="s">
        <v>19</v>
      </c>
      <c r="E490">
        <v>8111.4067499439116</v>
      </c>
      <c r="F490">
        <v>1.372109966305167</v>
      </c>
      <c r="H490">
        <v>0.4320834258155824</v>
      </c>
      <c r="T490" t="s">
        <v>42</v>
      </c>
    </row>
    <row r="491" spans="1:20" x14ac:dyDescent="0.35">
      <c r="A491" s="3">
        <v>176</v>
      </c>
      <c r="B491" t="s">
        <v>10</v>
      </c>
      <c r="C491" t="s">
        <v>22</v>
      </c>
      <c r="D491" t="s">
        <v>19</v>
      </c>
      <c r="E491">
        <v>1262.0637412917699</v>
      </c>
      <c r="F491">
        <v>1.3847380692849001</v>
      </c>
      <c r="H491">
        <v>0.45549456066115318</v>
      </c>
      <c r="T491" t="s">
        <v>42</v>
      </c>
    </row>
    <row r="492" spans="1:20" x14ac:dyDescent="0.35">
      <c r="A492" s="3">
        <v>177</v>
      </c>
      <c r="B492" t="s">
        <v>18</v>
      </c>
      <c r="C492" t="s">
        <v>14</v>
      </c>
      <c r="D492" t="s">
        <v>19</v>
      </c>
      <c r="E492">
        <v>4931.3484210649731</v>
      </c>
      <c r="F492">
        <v>1.3683157854106172</v>
      </c>
      <c r="H492">
        <v>0.43425235696563336</v>
      </c>
      <c r="T492" t="s">
        <v>42</v>
      </c>
    </row>
    <row r="493" spans="1:20" x14ac:dyDescent="0.35">
      <c r="A493" s="3">
        <v>178</v>
      </c>
      <c r="B493" t="s">
        <v>25</v>
      </c>
      <c r="C493" t="s">
        <v>23</v>
      </c>
      <c r="D493" t="s">
        <v>19</v>
      </c>
      <c r="E493">
        <v>3411.9773088291536</v>
      </c>
      <c r="F493">
        <v>1.3716926280535722</v>
      </c>
      <c r="H493">
        <v>0.46085946195592831</v>
      </c>
      <c r="T493" t="s">
        <v>42</v>
      </c>
    </row>
    <row r="494" spans="1:20" x14ac:dyDescent="0.35">
      <c r="A494" s="3">
        <v>179</v>
      </c>
      <c r="B494" t="s">
        <v>7</v>
      </c>
      <c r="C494" t="s">
        <v>9</v>
      </c>
      <c r="D494" t="s">
        <v>19</v>
      </c>
      <c r="E494">
        <v>2673.5528114531121</v>
      </c>
      <c r="F494">
        <v>1.3641708490080733</v>
      </c>
      <c r="H494">
        <v>0.46484041862524167</v>
      </c>
      <c r="T494" t="s">
        <v>42</v>
      </c>
    </row>
    <row r="495" spans="1:20" x14ac:dyDescent="0.35">
      <c r="A495" s="3">
        <v>180</v>
      </c>
      <c r="B495" t="s">
        <v>3</v>
      </c>
      <c r="C495" t="s">
        <v>9</v>
      </c>
      <c r="D495" t="s">
        <v>19</v>
      </c>
      <c r="E495">
        <v>5189.4219476546568</v>
      </c>
      <c r="F495">
        <v>1.3602709807296827</v>
      </c>
      <c r="H495">
        <v>0.43899928091157175</v>
      </c>
      <c r="T495" t="s">
        <v>42</v>
      </c>
    </row>
    <row r="496" spans="1:20" x14ac:dyDescent="0.35">
      <c r="A496" s="3">
        <v>181</v>
      </c>
      <c r="B496" t="s">
        <v>13</v>
      </c>
      <c r="C496" t="s">
        <v>23</v>
      </c>
      <c r="D496" t="s">
        <v>19</v>
      </c>
      <c r="E496">
        <v>1879.2624532205637</v>
      </c>
      <c r="F496">
        <v>1.3612995830741752</v>
      </c>
      <c r="H496">
        <v>0.46959180619736363</v>
      </c>
      <c r="T496" t="s">
        <v>42</v>
      </c>
    </row>
    <row r="497" spans="1:20" x14ac:dyDescent="0.35">
      <c r="A497" s="3">
        <v>182</v>
      </c>
      <c r="B497" t="s">
        <v>12</v>
      </c>
      <c r="C497" t="s">
        <v>22</v>
      </c>
      <c r="D497" t="s">
        <v>19</v>
      </c>
      <c r="E497">
        <v>1668.5876377212198</v>
      </c>
      <c r="F497">
        <v>1.3601212139817369</v>
      </c>
      <c r="H497">
        <v>0.47077621314168272</v>
      </c>
      <c r="T497" t="s">
        <v>42</v>
      </c>
    </row>
    <row r="498" spans="1:20" x14ac:dyDescent="0.35">
      <c r="A498" s="3">
        <v>183</v>
      </c>
      <c r="B498" t="s">
        <v>17</v>
      </c>
      <c r="C498" t="s">
        <v>14</v>
      </c>
      <c r="D498" t="s">
        <v>19</v>
      </c>
      <c r="E498">
        <v>10052.47566126934</v>
      </c>
      <c r="F498">
        <v>1.8226078316493441</v>
      </c>
      <c r="H498">
        <v>0.26494903268786019</v>
      </c>
      <c r="T498" t="s">
        <v>42</v>
      </c>
    </row>
    <row r="499" spans="1:20" x14ac:dyDescent="0.35">
      <c r="A499" s="3">
        <v>184</v>
      </c>
      <c r="B499" t="s">
        <v>24</v>
      </c>
      <c r="C499" t="s">
        <v>23</v>
      </c>
      <c r="D499" t="s">
        <v>19</v>
      </c>
      <c r="E499">
        <v>5258.3332184364617</v>
      </c>
      <c r="F499">
        <v>1.7880433720649045</v>
      </c>
      <c r="H499">
        <v>0.28892269252186853</v>
      </c>
      <c r="T499" t="s">
        <v>42</v>
      </c>
    </row>
    <row r="500" spans="1:20" x14ac:dyDescent="0.35">
      <c r="A500" s="3">
        <v>185</v>
      </c>
      <c r="B500" t="s">
        <v>15</v>
      </c>
      <c r="C500" t="s">
        <v>14</v>
      </c>
      <c r="D500" t="s">
        <v>19</v>
      </c>
      <c r="E500">
        <v>9354.0752520324331</v>
      </c>
      <c r="F500">
        <v>1.7029725777917573</v>
      </c>
      <c r="H500">
        <v>0.30019231612069353</v>
      </c>
      <c r="T500" t="s">
        <v>42</v>
      </c>
    </row>
    <row r="501" spans="1:20" x14ac:dyDescent="0.35">
      <c r="A501" s="3">
        <v>186</v>
      </c>
      <c r="B501" t="s">
        <v>11</v>
      </c>
      <c r="C501" t="s">
        <v>22</v>
      </c>
      <c r="D501" t="s">
        <v>19</v>
      </c>
      <c r="E501">
        <v>1968.5874491671539</v>
      </c>
      <c r="F501">
        <v>1.707520100894965</v>
      </c>
      <c r="H501">
        <v>0.31538043133714438</v>
      </c>
      <c r="T501" t="s">
        <v>42</v>
      </c>
    </row>
    <row r="502" spans="1:20" x14ac:dyDescent="0.35">
      <c r="A502" s="3">
        <v>187</v>
      </c>
      <c r="B502" t="s">
        <v>8</v>
      </c>
      <c r="C502" t="s">
        <v>9</v>
      </c>
      <c r="D502" t="s">
        <v>19</v>
      </c>
      <c r="E502">
        <v>4056.7653549397564</v>
      </c>
      <c r="F502">
        <v>1.6860293001854219</v>
      </c>
      <c r="H502">
        <v>0.3217944132968365</v>
      </c>
      <c r="T502" t="s">
        <v>42</v>
      </c>
    </row>
    <row r="503" spans="1:20" x14ac:dyDescent="0.35">
      <c r="A503" s="3">
        <v>188</v>
      </c>
      <c r="B503" t="s">
        <v>16</v>
      </c>
      <c r="C503" t="s">
        <v>14</v>
      </c>
      <c r="D503" t="s">
        <v>19</v>
      </c>
      <c r="E503">
        <v>9913.9415832647792</v>
      </c>
      <c r="F503">
        <v>1.674882950533469</v>
      </c>
      <c r="H503">
        <v>0.309673406636987</v>
      </c>
      <c r="T503" t="s">
        <v>42</v>
      </c>
    </row>
    <row r="504" spans="1:20" x14ac:dyDescent="0.35">
      <c r="A504" s="3">
        <v>189</v>
      </c>
      <c r="B504" t="s">
        <v>10</v>
      </c>
      <c r="C504" t="s">
        <v>22</v>
      </c>
      <c r="D504" t="s">
        <v>19</v>
      </c>
      <c r="E504">
        <v>1542.5223504677185</v>
      </c>
      <c r="F504">
        <v>1.6903452525352016</v>
      </c>
      <c r="H504">
        <v>0.32210293552928565</v>
      </c>
      <c r="T504" t="s">
        <v>42</v>
      </c>
    </row>
    <row r="505" spans="1:20" x14ac:dyDescent="0.35">
      <c r="A505" s="3">
        <v>190</v>
      </c>
      <c r="B505" t="s">
        <v>18</v>
      </c>
      <c r="C505" t="s">
        <v>14</v>
      </c>
      <c r="D505" t="s">
        <v>19</v>
      </c>
      <c r="E505">
        <v>6027.2036257460777</v>
      </c>
      <c r="F505">
        <v>1.6702170590204457</v>
      </c>
      <c r="H505">
        <v>0.31130255111615573</v>
      </c>
      <c r="T505" t="s">
        <v>42</v>
      </c>
    </row>
    <row r="506" spans="1:20" x14ac:dyDescent="0.35">
      <c r="A506" s="3">
        <v>191</v>
      </c>
      <c r="B506" t="s">
        <v>25</v>
      </c>
      <c r="C506" t="s">
        <v>23</v>
      </c>
      <c r="D506" t="s">
        <v>19</v>
      </c>
      <c r="E506">
        <v>4170.1944885689654</v>
      </c>
      <c r="F506">
        <v>1.6743631200153379</v>
      </c>
      <c r="H506">
        <v>0.3267363983435369</v>
      </c>
      <c r="T506" t="s">
        <v>42</v>
      </c>
    </row>
    <row r="507" spans="1:20" x14ac:dyDescent="0.35">
      <c r="A507" s="3">
        <v>192</v>
      </c>
      <c r="B507" t="s">
        <v>7</v>
      </c>
      <c r="C507" t="s">
        <v>9</v>
      </c>
      <c r="D507" t="s">
        <v>19</v>
      </c>
      <c r="E507">
        <v>3267.6756584426926</v>
      </c>
      <c r="F507">
        <v>1.6651322863051792</v>
      </c>
      <c r="H507">
        <v>0.32985931718282463</v>
      </c>
      <c r="T507" t="s">
        <v>42</v>
      </c>
    </row>
    <row r="508" spans="1:20" x14ac:dyDescent="0.35">
      <c r="A508" s="3">
        <v>193</v>
      </c>
      <c r="B508" t="s">
        <v>3</v>
      </c>
      <c r="C508" t="s">
        <v>9</v>
      </c>
      <c r="D508" t="s">
        <v>19</v>
      </c>
      <c r="E508">
        <v>6342.6268249112472</v>
      </c>
      <c r="F508">
        <v>1.6604228083992782</v>
      </c>
      <c r="H508">
        <v>0.31482484079697365</v>
      </c>
      <c r="T508" t="s">
        <v>42</v>
      </c>
    </row>
    <row r="509" spans="1:20" x14ac:dyDescent="0.35">
      <c r="A509" s="3">
        <v>194</v>
      </c>
      <c r="B509" t="s">
        <v>13</v>
      </c>
      <c r="C509" t="s">
        <v>23</v>
      </c>
      <c r="D509" t="s">
        <v>19</v>
      </c>
      <c r="E509">
        <v>2296.8763317140219</v>
      </c>
      <c r="F509">
        <v>1.6616879979581158</v>
      </c>
      <c r="H509">
        <v>0.33278140412805368</v>
      </c>
      <c r="T509" t="s">
        <v>42</v>
      </c>
    </row>
    <row r="510" spans="1:20" x14ac:dyDescent="0.35">
      <c r="A510" s="3">
        <v>195</v>
      </c>
      <c r="B510" t="s">
        <v>12</v>
      </c>
      <c r="C510" t="s">
        <v>22</v>
      </c>
      <c r="D510" t="s">
        <v>19</v>
      </c>
      <c r="E510">
        <v>2039.3848905481577</v>
      </c>
      <c r="F510">
        <v>1.6602586090036862</v>
      </c>
      <c r="H510">
        <v>0.33357498996568136</v>
      </c>
      <c r="T510" t="s">
        <v>42</v>
      </c>
    </row>
    <row r="511" spans="1:20" x14ac:dyDescent="0.35">
      <c r="A511" s="3">
        <v>196</v>
      </c>
      <c r="B511" t="s">
        <v>17</v>
      </c>
      <c r="C511" t="s">
        <v>14</v>
      </c>
      <c r="D511" t="s">
        <v>19</v>
      </c>
      <c r="E511">
        <v>11880.198508772855</v>
      </c>
      <c r="F511">
        <v>2.1525397263698824</v>
      </c>
      <c r="H511">
        <v>0.19550417790922237</v>
      </c>
      <c r="T511" t="s">
        <v>42</v>
      </c>
    </row>
    <row r="512" spans="1:20" x14ac:dyDescent="0.35">
      <c r="A512" s="3">
        <v>197</v>
      </c>
      <c r="B512" t="s">
        <v>24</v>
      </c>
      <c r="C512" t="s">
        <v>23</v>
      </c>
      <c r="D512" t="s">
        <v>19</v>
      </c>
      <c r="E512">
        <v>6214.3938036067284</v>
      </c>
      <c r="F512">
        <v>2.1117241993524112</v>
      </c>
      <c r="H512">
        <v>0.21150379248466139</v>
      </c>
      <c r="T512" t="s">
        <v>42</v>
      </c>
    </row>
    <row r="513" spans="1:20" x14ac:dyDescent="0.35">
      <c r="A513" s="3">
        <v>198</v>
      </c>
      <c r="B513" t="s">
        <v>15</v>
      </c>
      <c r="C513" t="s">
        <v>14</v>
      </c>
      <c r="D513" t="s">
        <v>19</v>
      </c>
      <c r="E513">
        <v>11054.816206947422</v>
      </c>
      <c r="F513">
        <v>2.0111633904679236</v>
      </c>
      <c r="H513">
        <v>0.2223030274248059</v>
      </c>
      <c r="T513" t="s">
        <v>42</v>
      </c>
    </row>
    <row r="514" spans="1:20" x14ac:dyDescent="0.35">
      <c r="A514" s="3">
        <v>199</v>
      </c>
      <c r="B514" t="s">
        <v>11</v>
      </c>
      <c r="C514" t="s">
        <v>22</v>
      </c>
      <c r="D514" t="s">
        <v>19</v>
      </c>
      <c r="E514">
        <v>2326.5124399248184</v>
      </c>
      <c r="F514">
        <v>2.0165181095386271</v>
      </c>
      <c r="H514">
        <v>0.23135367231270018</v>
      </c>
      <c r="T514" t="s">
        <v>42</v>
      </c>
    </row>
    <row r="515" spans="1:20" x14ac:dyDescent="0.35">
      <c r="A515" s="3">
        <v>200</v>
      </c>
      <c r="B515" t="s">
        <v>8</v>
      </c>
      <c r="C515" t="s">
        <v>9</v>
      </c>
      <c r="D515" t="s">
        <v>19</v>
      </c>
      <c r="E515">
        <v>4794.3590558378946</v>
      </c>
      <c r="F515">
        <v>1.9910691461671302</v>
      </c>
      <c r="H515">
        <v>0.2364040017129263</v>
      </c>
      <c r="T515" t="s">
        <v>42</v>
      </c>
    </row>
    <row r="516" spans="1:20" x14ac:dyDescent="0.35">
      <c r="A516" s="3">
        <v>201</v>
      </c>
      <c r="B516" t="s">
        <v>16</v>
      </c>
      <c r="C516" t="s">
        <v>14</v>
      </c>
      <c r="D516" t="s">
        <v>19</v>
      </c>
      <c r="E516">
        <v>11716.476416585649</v>
      </c>
      <c r="F516">
        <v>1.9779455567830673</v>
      </c>
      <c r="H516">
        <v>0.22949701315062165</v>
      </c>
      <c r="T516" t="s">
        <v>42</v>
      </c>
    </row>
    <row r="517" spans="1:20" x14ac:dyDescent="0.35">
      <c r="A517" s="3">
        <v>202</v>
      </c>
      <c r="B517" t="s">
        <v>10</v>
      </c>
      <c r="C517" t="s">
        <v>22</v>
      </c>
      <c r="D517" t="s">
        <v>19</v>
      </c>
      <c r="E517">
        <v>1822.9809596436676</v>
      </c>
      <c r="F517">
        <v>1.9962768558252317</v>
      </c>
      <c r="H517">
        <v>0.23629657540132751</v>
      </c>
      <c r="T517" t="s">
        <v>42</v>
      </c>
    </row>
    <row r="518" spans="1:20" x14ac:dyDescent="0.35">
      <c r="A518" s="3">
        <v>203</v>
      </c>
      <c r="B518" t="s">
        <v>18</v>
      </c>
      <c r="C518" t="s">
        <v>14</v>
      </c>
      <c r="D518" t="s">
        <v>19</v>
      </c>
      <c r="E518">
        <v>7123.0588304271832</v>
      </c>
      <c r="F518">
        <v>1.9724509522147387</v>
      </c>
      <c r="H518">
        <v>0.23072868569218713</v>
      </c>
      <c r="T518" t="s">
        <v>42</v>
      </c>
    </row>
    <row r="519" spans="1:20" x14ac:dyDescent="0.35">
      <c r="A519" s="3">
        <v>204</v>
      </c>
      <c r="B519" t="s">
        <v>25</v>
      </c>
      <c r="C519" t="s">
        <v>23</v>
      </c>
      <c r="D519" t="s">
        <v>19</v>
      </c>
      <c r="E519">
        <v>4928.4116683087777</v>
      </c>
      <c r="F519">
        <v>1.9773670401658145</v>
      </c>
      <c r="H519">
        <v>0.23999636405901054</v>
      </c>
      <c r="T519" t="s">
        <v>42</v>
      </c>
    </row>
    <row r="520" spans="1:20" x14ac:dyDescent="0.35">
      <c r="A520" s="3">
        <v>205</v>
      </c>
      <c r="B520" t="s">
        <v>7</v>
      </c>
      <c r="C520" t="s">
        <v>9</v>
      </c>
      <c r="D520" t="s">
        <v>19</v>
      </c>
      <c r="E520">
        <v>3861.798505432273</v>
      </c>
      <c r="F520">
        <v>1.9664311168881938</v>
      </c>
      <c r="H520">
        <v>0.24239741835170819</v>
      </c>
      <c r="T520" t="s">
        <v>42</v>
      </c>
    </row>
    <row r="521" spans="1:20" x14ac:dyDescent="0.35">
      <c r="A521" s="3">
        <v>206</v>
      </c>
      <c r="B521" t="s">
        <v>3</v>
      </c>
      <c r="C521" t="s">
        <v>9</v>
      </c>
      <c r="D521" t="s">
        <v>19</v>
      </c>
      <c r="E521">
        <v>7495.8317021678367</v>
      </c>
      <c r="F521">
        <v>1.9608995443402979</v>
      </c>
      <c r="H521">
        <v>0.23338656499761357</v>
      </c>
      <c r="T521" t="s">
        <v>42</v>
      </c>
    </row>
    <row r="522" spans="1:20" x14ac:dyDescent="0.35">
      <c r="A522" s="3">
        <v>207</v>
      </c>
      <c r="B522" t="s">
        <v>13</v>
      </c>
      <c r="C522" t="s">
        <v>23</v>
      </c>
      <c r="D522" t="s">
        <v>19</v>
      </c>
      <c r="E522">
        <v>2714.4902102074807</v>
      </c>
      <c r="F522">
        <v>1.9622831549665252</v>
      </c>
      <c r="H522">
        <v>0.24431524466289264</v>
      </c>
      <c r="T522" t="s">
        <v>42</v>
      </c>
    </row>
    <row r="523" spans="1:20" x14ac:dyDescent="0.35">
      <c r="A523" s="3">
        <v>208</v>
      </c>
      <c r="B523" t="s">
        <v>12</v>
      </c>
      <c r="C523" t="s">
        <v>22</v>
      </c>
      <c r="D523" t="s">
        <v>19</v>
      </c>
      <c r="E523">
        <v>2410.1821433750956</v>
      </c>
      <c r="F523">
        <v>1.9606684991446908</v>
      </c>
      <c r="H523">
        <v>0.24486804952362118</v>
      </c>
      <c r="T523" t="s">
        <v>42</v>
      </c>
    </row>
    <row r="524" spans="1:20" x14ac:dyDescent="0.35">
      <c r="A524" s="3">
        <v>209</v>
      </c>
      <c r="B524" t="s">
        <v>17</v>
      </c>
      <c r="C524" t="s">
        <v>14</v>
      </c>
      <c r="D524" t="s">
        <v>20</v>
      </c>
      <c r="E524">
        <v>1724.2288882421185</v>
      </c>
      <c r="T524" t="s">
        <v>42</v>
      </c>
    </row>
    <row r="525" spans="1:20" x14ac:dyDescent="0.35">
      <c r="A525" s="3">
        <v>210</v>
      </c>
      <c r="B525" t="s">
        <v>24</v>
      </c>
      <c r="C525" t="s">
        <v>23</v>
      </c>
      <c r="D525" t="s">
        <v>20</v>
      </c>
      <c r="E525">
        <v>901.92409757960604</v>
      </c>
      <c r="F525">
        <v>0.40775781736649025</v>
      </c>
      <c r="H525">
        <v>0.90638514070522025</v>
      </c>
      <c r="T525" t="s">
        <v>42</v>
      </c>
    </row>
    <row r="526" spans="1:20" x14ac:dyDescent="0.35">
      <c r="A526" s="3">
        <v>211</v>
      </c>
      <c r="B526" t="s">
        <v>15</v>
      </c>
      <c r="C526" t="s">
        <v>14</v>
      </c>
      <c r="D526" t="s">
        <v>20</v>
      </c>
      <c r="E526">
        <v>1604.4372864771922</v>
      </c>
      <c r="T526" t="s">
        <v>42</v>
      </c>
    </row>
    <row r="527" spans="1:20" x14ac:dyDescent="0.35">
      <c r="A527" s="3">
        <v>212</v>
      </c>
      <c r="B527" t="s">
        <v>11</v>
      </c>
      <c r="C527" t="s">
        <v>22</v>
      </c>
      <c r="D527" t="s">
        <v>20</v>
      </c>
      <c r="E527">
        <v>337.65765402074771</v>
      </c>
      <c r="T527" t="s">
        <v>42</v>
      </c>
    </row>
    <row r="528" spans="1:20" x14ac:dyDescent="0.35">
      <c r="A528" s="3">
        <v>213</v>
      </c>
      <c r="B528" t="s">
        <v>8</v>
      </c>
      <c r="C528" t="s">
        <v>9</v>
      </c>
      <c r="D528" t="s">
        <v>20</v>
      </c>
      <c r="E528">
        <v>695.82779939043178</v>
      </c>
      <c r="F528">
        <v>0.38686915126079596</v>
      </c>
      <c r="H528">
        <v>0.94194602459761601</v>
      </c>
      <c r="T528" t="s">
        <v>42</v>
      </c>
    </row>
    <row r="529" spans="1:20" x14ac:dyDescent="0.35">
      <c r="A529" s="3">
        <v>214</v>
      </c>
      <c r="B529" t="s">
        <v>16</v>
      </c>
      <c r="C529" t="s">
        <v>14</v>
      </c>
      <c r="D529" t="s">
        <v>20</v>
      </c>
      <c r="E529">
        <v>1700.4671336902763</v>
      </c>
      <c r="T529" t="s">
        <v>42</v>
      </c>
    </row>
    <row r="530" spans="1:20" x14ac:dyDescent="0.35">
      <c r="A530" s="3">
        <v>215</v>
      </c>
      <c r="B530" t="s">
        <v>10</v>
      </c>
      <c r="C530" t="s">
        <v>22</v>
      </c>
      <c r="D530" t="s">
        <v>20</v>
      </c>
      <c r="E530">
        <v>264.57777039767882</v>
      </c>
      <c r="F530">
        <v>0.38762180835916893</v>
      </c>
      <c r="H530">
        <v>0.93989906622097763</v>
      </c>
      <c r="T530" t="s">
        <v>42</v>
      </c>
    </row>
    <row r="531" spans="1:20" x14ac:dyDescent="0.35">
      <c r="A531" s="3">
        <v>216</v>
      </c>
      <c r="B531" t="s">
        <v>18</v>
      </c>
      <c r="C531" t="s">
        <v>14</v>
      </c>
      <c r="D531" t="s">
        <v>20</v>
      </c>
      <c r="E531">
        <v>1033.8029115423672</v>
      </c>
      <c r="T531" t="s">
        <v>42</v>
      </c>
    </row>
    <row r="532" spans="1:20" x14ac:dyDescent="0.35">
      <c r="A532" s="3">
        <v>217</v>
      </c>
      <c r="B532" t="s">
        <v>25</v>
      </c>
      <c r="C532" t="s">
        <v>23</v>
      </c>
      <c r="D532" t="s">
        <v>20</v>
      </c>
      <c r="E532">
        <v>715.2834832997487</v>
      </c>
      <c r="F532">
        <v>0.3843948094253764</v>
      </c>
      <c r="H532">
        <v>0.94738613317468867</v>
      </c>
      <c r="T532" t="s">
        <v>42</v>
      </c>
    </row>
    <row r="533" spans="1:20" x14ac:dyDescent="0.35">
      <c r="A533" s="3">
        <v>218</v>
      </c>
      <c r="B533" t="s">
        <v>7</v>
      </c>
      <c r="C533" t="s">
        <v>9</v>
      </c>
      <c r="D533" t="s">
        <v>20</v>
      </c>
      <c r="E533">
        <v>560.48091609913297</v>
      </c>
      <c r="F533">
        <v>0.38243207567870219</v>
      </c>
      <c r="H533">
        <v>0.95380385462694084</v>
      </c>
      <c r="T533" t="s">
        <v>42</v>
      </c>
    </row>
    <row r="534" spans="1:20" x14ac:dyDescent="0.35">
      <c r="A534" s="3">
        <v>219</v>
      </c>
      <c r="B534" t="s">
        <v>3</v>
      </c>
      <c r="C534" t="s">
        <v>9</v>
      </c>
      <c r="D534" t="s">
        <v>20</v>
      </c>
      <c r="E534">
        <v>1087.9051854844715</v>
      </c>
      <c r="T534" t="s">
        <v>42</v>
      </c>
    </row>
    <row r="535" spans="1:20" x14ac:dyDescent="0.35">
      <c r="A535" s="3">
        <v>220</v>
      </c>
      <c r="B535" t="s">
        <v>13</v>
      </c>
      <c r="C535" t="s">
        <v>23</v>
      </c>
      <c r="D535" t="s">
        <v>20</v>
      </c>
      <c r="E535">
        <v>393.96668614871589</v>
      </c>
      <c r="F535">
        <v>0.38163171807968915</v>
      </c>
      <c r="H535">
        <v>0.95383390103946974</v>
      </c>
      <c r="T535" t="s">
        <v>42</v>
      </c>
    </row>
    <row r="536" spans="1:20" x14ac:dyDescent="0.35">
      <c r="A536" s="3">
        <v>221</v>
      </c>
      <c r="B536" t="s">
        <v>12</v>
      </c>
      <c r="C536" t="s">
        <v>22</v>
      </c>
      <c r="D536" t="s">
        <v>20</v>
      </c>
      <c r="E536">
        <v>349.80103021543732</v>
      </c>
      <c r="F536">
        <v>0.38130361516589639</v>
      </c>
      <c r="H536">
        <v>0.95456512914461689</v>
      </c>
      <c r="T536" t="s">
        <v>42</v>
      </c>
    </row>
    <row r="537" spans="1:20" x14ac:dyDescent="0.35">
      <c r="A537" s="3">
        <v>222</v>
      </c>
      <c r="B537" t="s">
        <v>17</v>
      </c>
      <c r="C537" t="s">
        <v>14</v>
      </c>
      <c r="D537" t="s">
        <v>20</v>
      </c>
      <c r="E537">
        <v>2216.8657134541527</v>
      </c>
      <c r="F537">
        <v>0.51909989273536739</v>
      </c>
      <c r="H537">
        <v>0.85558161984599346</v>
      </c>
      <c r="T537" t="s">
        <v>42</v>
      </c>
    </row>
    <row r="538" spans="1:20" x14ac:dyDescent="0.35">
      <c r="A538" s="3">
        <v>223</v>
      </c>
      <c r="B538" t="s">
        <v>24</v>
      </c>
      <c r="C538" t="s">
        <v>23</v>
      </c>
      <c r="D538" t="s">
        <v>20</v>
      </c>
      <c r="E538">
        <v>1159.616696888065</v>
      </c>
      <c r="F538">
        <v>0.50967841339066455</v>
      </c>
      <c r="H538">
        <v>0.87208277435907378</v>
      </c>
      <c r="T538" t="s">
        <v>42</v>
      </c>
    </row>
    <row r="539" spans="1:20" x14ac:dyDescent="0.35">
      <c r="A539" s="3">
        <v>224</v>
      </c>
      <c r="B539" t="s">
        <v>15</v>
      </c>
      <c r="C539" t="s">
        <v>14</v>
      </c>
      <c r="D539" t="s">
        <v>20</v>
      </c>
      <c r="E539">
        <v>2062.8479397563901</v>
      </c>
      <c r="F539">
        <v>0.4871055776261573</v>
      </c>
      <c r="H539">
        <v>0.89724527378589558</v>
      </c>
      <c r="T539" t="s">
        <v>42</v>
      </c>
    </row>
    <row r="540" spans="1:20" x14ac:dyDescent="0.35">
      <c r="A540" s="3">
        <v>225</v>
      </c>
      <c r="B540" t="s">
        <v>11</v>
      </c>
      <c r="C540" t="s">
        <v>22</v>
      </c>
      <c r="D540" t="s">
        <v>20</v>
      </c>
      <c r="E540">
        <v>434.13126945524715</v>
      </c>
      <c r="F540">
        <v>0.48817469408889336</v>
      </c>
      <c r="H540">
        <v>0.89757409899542584</v>
      </c>
      <c r="T540" t="s">
        <v>42</v>
      </c>
    </row>
    <row r="541" spans="1:20" x14ac:dyDescent="0.35">
      <c r="A541" s="3">
        <v>226</v>
      </c>
      <c r="B541" t="s">
        <v>8</v>
      </c>
      <c r="C541" t="s">
        <v>9</v>
      </c>
      <c r="D541" t="s">
        <v>20</v>
      </c>
      <c r="E541">
        <v>894.6357420734123</v>
      </c>
      <c r="T541" t="s">
        <v>42</v>
      </c>
    </row>
    <row r="542" spans="1:20" x14ac:dyDescent="0.35">
      <c r="A542" s="3">
        <v>227</v>
      </c>
      <c r="B542" t="s">
        <v>16</v>
      </c>
      <c r="C542" t="s">
        <v>14</v>
      </c>
      <c r="D542" t="s">
        <v>20</v>
      </c>
      <c r="E542">
        <v>2186.3148861732129</v>
      </c>
      <c r="F542">
        <v>0.47946092032525628</v>
      </c>
      <c r="H542">
        <v>0.91219466923184844</v>
      </c>
      <c r="T542" t="s">
        <v>42</v>
      </c>
    </row>
    <row r="543" spans="1:20" x14ac:dyDescent="0.35">
      <c r="A543" s="3">
        <v>228</v>
      </c>
      <c r="B543" t="s">
        <v>10</v>
      </c>
      <c r="C543" t="s">
        <v>22</v>
      </c>
      <c r="D543" t="s">
        <v>20</v>
      </c>
      <c r="E543">
        <v>340.17141908272993</v>
      </c>
      <c r="F543">
        <v>0.48351032697675095</v>
      </c>
      <c r="H543">
        <v>0.90509607691528016</v>
      </c>
      <c r="T543" t="s">
        <v>42</v>
      </c>
    </row>
    <row r="544" spans="1:20" x14ac:dyDescent="0.35">
      <c r="A544" s="3">
        <v>229</v>
      </c>
      <c r="B544" t="s">
        <v>18</v>
      </c>
      <c r="C544" t="s">
        <v>14</v>
      </c>
      <c r="D544" t="s">
        <v>20</v>
      </c>
      <c r="E544">
        <v>1329.1751719830436</v>
      </c>
      <c r="T544" t="s">
        <v>42</v>
      </c>
    </row>
    <row r="545" spans="1:20" x14ac:dyDescent="0.35">
      <c r="A545" s="3">
        <v>230</v>
      </c>
      <c r="B545" t="s">
        <v>25</v>
      </c>
      <c r="C545" t="s">
        <v>23</v>
      </c>
      <c r="D545" t="s">
        <v>20</v>
      </c>
      <c r="E545">
        <v>919.65019281396269</v>
      </c>
      <c r="T545" t="s">
        <v>42</v>
      </c>
    </row>
    <row r="546" spans="1:20" x14ac:dyDescent="0.35">
      <c r="A546" s="3">
        <v>231</v>
      </c>
      <c r="B546" t="s">
        <v>7</v>
      </c>
      <c r="C546" t="s">
        <v>9</v>
      </c>
      <c r="D546" t="s">
        <v>20</v>
      </c>
      <c r="E546">
        <v>720.61832069888521</v>
      </c>
      <c r="F546">
        <v>0.4767662265745693</v>
      </c>
      <c r="H546">
        <v>0.91736612933619199</v>
      </c>
      <c r="T546" t="s">
        <v>42</v>
      </c>
    </row>
    <row r="547" spans="1:20" x14ac:dyDescent="0.35">
      <c r="A547" s="3">
        <v>232</v>
      </c>
      <c r="B547" t="s">
        <v>3</v>
      </c>
      <c r="C547" t="s">
        <v>9</v>
      </c>
      <c r="D547" t="s">
        <v>20</v>
      </c>
      <c r="E547">
        <v>1398.7352384800349</v>
      </c>
      <c r="T547" t="s">
        <v>42</v>
      </c>
    </row>
    <row r="548" spans="1:20" x14ac:dyDescent="0.35">
      <c r="A548" s="3">
        <v>233</v>
      </c>
      <c r="B548" t="s">
        <v>13</v>
      </c>
      <c r="C548" t="s">
        <v>23</v>
      </c>
      <c r="D548" t="s">
        <v>20</v>
      </c>
      <c r="E548">
        <v>506.52859647692054</v>
      </c>
      <c r="F548">
        <v>0.47576715147481496</v>
      </c>
      <c r="H548">
        <v>0.99134516575291953</v>
      </c>
      <c r="T548" t="s">
        <v>42</v>
      </c>
    </row>
    <row r="549" spans="1:20" x14ac:dyDescent="0.35">
      <c r="A549" s="3">
        <v>234</v>
      </c>
      <c r="B549" t="s">
        <v>12</v>
      </c>
      <c r="C549" t="s">
        <v>22</v>
      </c>
      <c r="D549" t="s">
        <v>20</v>
      </c>
      <c r="E549">
        <v>449.74418170556231</v>
      </c>
      <c r="F549">
        <v>0.47535744810746944</v>
      </c>
      <c r="H549">
        <v>0.91932325649559099</v>
      </c>
      <c r="T549" t="s">
        <v>42</v>
      </c>
    </row>
    <row r="550" spans="1:20" x14ac:dyDescent="0.35">
      <c r="A550" s="3">
        <v>235</v>
      </c>
      <c r="B550" t="s">
        <v>17</v>
      </c>
      <c r="C550" t="s">
        <v>14</v>
      </c>
      <c r="D550" t="s">
        <v>20</v>
      </c>
      <c r="E550">
        <v>2709.5025386661869</v>
      </c>
      <c r="F550">
        <v>0.62523118001442946</v>
      </c>
      <c r="H550">
        <v>0.82109472364874869</v>
      </c>
      <c r="T550" t="s">
        <v>42</v>
      </c>
    </row>
    <row r="551" spans="1:20" x14ac:dyDescent="0.35">
      <c r="A551" s="3">
        <v>236</v>
      </c>
      <c r="B551" t="s">
        <v>24</v>
      </c>
      <c r="C551" t="s">
        <v>23</v>
      </c>
      <c r="D551" t="s">
        <v>20</v>
      </c>
      <c r="E551">
        <v>1417.309296196524</v>
      </c>
      <c r="F551">
        <v>0.61371882259454935</v>
      </c>
      <c r="H551">
        <v>0.92055611451791586</v>
      </c>
      <c r="T551" t="s">
        <v>42</v>
      </c>
    </row>
    <row r="552" spans="1:20" x14ac:dyDescent="0.35">
      <c r="A552" s="3">
        <v>237</v>
      </c>
      <c r="B552" t="s">
        <v>15</v>
      </c>
      <c r="C552" t="s">
        <v>14</v>
      </c>
      <c r="D552" t="s">
        <v>20</v>
      </c>
      <c r="E552">
        <v>2521.2585930355881</v>
      </c>
      <c r="F552">
        <v>0.58587521248116359</v>
      </c>
      <c r="H552">
        <v>0.86244306463274645</v>
      </c>
      <c r="T552" t="s">
        <v>42</v>
      </c>
    </row>
    <row r="553" spans="1:20" x14ac:dyDescent="0.35">
      <c r="A553" s="3">
        <v>238</v>
      </c>
      <c r="B553" t="s">
        <v>11</v>
      </c>
      <c r="C553" t="s">
        <v>22</v>
      </c>
      <c r="D553" t="s">
        <v>20</v>
      </c>
      <c r="E553">
        <v>530.60488488974647</v>
      </c>
      <c r="F553">
        <v>0.58725572987894048</v>
      </c>
      <c r="H553">
        <v>0.86748652025256467</v>
      </c>
      <c r="T553" t="s">
        <v>42</v>
      </c>
    </row>
    <row r="554" spans="1:20" x14ac:dyDescent="0.35">
      <c r="A554" s="3">
        <v>239</v>
      </c>
      <c r="B554" t="s">
        <v>8</v>
      </c>
      <c r="C554" t="s">
        <v>9</v>
      </c>
      <c r="D554" t="s">
        <v>20</v>
      </c>
      <c r="E554">
        <v>1093.4436847563927</v>
      </c>
      <c r="F554">
        <v>0.58020485399993849</v>
      </c>
      <c r="H554">
        <v>0.87478697654387194</v>
      </c>
      <c r="T554" t="s">
        <v>42</v>
      </c>
    </row>
    <row r="555" spans="1:20" x14ac:dyDescent="0.35">
      <c r="A555" s="3">
        <v>240</v>
      </c>
      <c r="B555" t="s">
        <v>16</v>
      </c>
      <c r="C555" t="s">
        <v>14</v>
      </c>
      <c r="D555" t="s">
        <v>20</v>
      </c>
      <c r="E555">
        <v>2672.1626386561493</v>
      </c>
      <c r="T555" t="s">
        <v>42</v>
      </c>
    </row>
    <row r="556" spans="1:20" x14ac:dyDescent="0.35">
      <c r="A556" s="3">
        <v>241</v>
      </c>
      <c r="B556" t="s">
        <v>10</v>
      </c>
      <c r="C556" t="s">
        <v>22</v>
      </c>
      <c r="D556" t="s">
        <v>20</v>
      </c>
      <c r="E556">
        <v>415.76506776778109</v>
      </c>
      <c r="F556">
        <v>0.58154285526118343</v>
      </c>
      <c r="H556">
        <v>0.87522865802933036</v>
      </c>
      <c r="T556" t="s">
        <v>42</v>
      </c>
    </row>
    <row r="557" spans="1:20" x14ac:dyDescent="0.35">
      <c r="A557" s="3">
        <v>242</v>
      </c>
      <c r="B557" t="s">
        <v>18</v>
      </c>
      <c r="C557" t="s">
        <v>14</v>
      </c>
      <c r="D557" t="s">
        <v>20</v>
      </c>
      <c r="E557">
        <v>1624.5474324237202</v>
      </c>
      <c r="F557">
        <v>0.5749721894809815</v>
      </c>
      <c r="H557">
        <v>0.87997504528968995</v>
      </c>
      <c r="T557" t="s">
        <v>42</v>
      </c>
    </row>
    <row r="558" spans="1:20" x14ac:dyDescent="0.35">
      <c r="A558" s="3">
        <v>243</v>
      </c>
      <c r="B558" t="s">
        <v>25</v>
      </c>
      <c r="C558" t="s">
        <v>23</v>
      </c>
      <c r="D558" t="s">
        <v>20</v>
      </c>
      <c r="E558">
        <v>1124.0169023281767</v>
      </c>
      <c r="F558">
        <v>0.57633642921468697</v>
      </c>
      <c r="H558">
        <v>0.88101743846869929</v>
      </c>
      <c r="T558" t="s">
        <v>42</v>
      </c>
    </row>
    <row r="559" spans="1:20" x14ac:dyDescent="0.35">
      <c r="A559" s="3">
        <v>244</v>
      </c>
      <c r="B559" t="s">
        <v>7</v>
      </c>
      <c r="C559" t="s">
        <v>9</v>
      </c>
      <c r="D559" t="s">
        <v>20</v>
      </c>
      <c r="E559">
        <v>880.75572529863769</v>
      </c>
      <c r="F559">
        <v>0.57325542184383216</v>
      </c>
      <c r="H559">
        <v>0.88646290231476521</v>
      </c>
      <c r="T559" t="s">
        <v>42</v>
      </c>
    </row>
    <row r="560" spans="1:20" x14ac:dyDescent="0.35">
      <c r="A560" s="3">
        <v>245</v>
      </c>
      <c r="B560" t="s">
        <v>3</v>
      </c>
      <c r="C560" t="s">
        <v>9</v>
      </c>
      <c r="D560" t="s">
        <v>20</v>
      </c>
      <c r="E560">
        <v>1709.5652914755983</v>
      </c>
      <c r="F560">
        <v>0.5716814162611481</v>
      </c>
      <c r="H560">
        <v>0.88716402109453307</v>
      </c>
      <c r="T560" t="s">
        <v>42</v>
      </c>
    </row>
    <row r="561" spans="1:20" x14ac:dyDescent="0.35">
      <c r="A561" s="3">
        <v>246</v>
      </c>
      <c r="B561" t="s">
        <v>13</v>
      </c>
      <c r="C561" t="s">
        <v>23</v>
      </c>
      <c r="D561" t="s">
        <v>20</v>
      </c>
      <c r="E561">
        <v>619.09050680512507</v>
      </c>
      <c r="F561">
        <v>0.57205090385249513</v>
      </c>
      <c r="H561">
        <v>0.88852324471171185</v>
      </c>
      <c r="T561" t="s">
        <v>42</v>
      </c>
    </row>
    <row r="562" spans="1:20" x14ac:dyDescent="0.35">
      <c r="A562" s="3">
        <v>247</v>
      </c>
      <c r="B562" t="s">
        <v>12</v>
      </c>
      <c r="C562" t="s">
        <v>22</v>
      </c>
      <c r="D562" t="s">
        <v>20</v>
      </c>
      <c r="E562">
        <v>549.6873331956873</v>
      </c>
      <c r="F562">
        <v>0.57156159049385724</v>
      </c>
      <c r="H562">
        <v>0.88936763221233195</v>
      </c>
      <c r="T562" t="s">
        <v>42</v>
      </c>
    </row>
    <row r="563" spans="1:20" x14ac:dyDescent="0.35">
      <c r="A563" s="3">
        <v>248</v>
      </c>
      <c r="B563" t="s">
        <v>17</v>
      </c>
      <c r="C563" t="s">
        <v>14</v>
      </c>
      <c r="D563" t="s">
        <v>20</v>
      </c>
      <c r="E563">
        <v>3694.7761890902543</v>
      </c>
      <c r="F563">
        <v>0.84065250957083304</v>
      </c>
      <c r="H563">
        <v>0.7463167430005806</v>
      </c>
      <c r="T563" t="s">
        <v>42</v>
      </c>
    </row>
    <row r="564" spans="1:20" x14ac:dyDescent="0.35">
      <c r="A564" s="3">
        <v>249</v>
      </c>
      <c r="B564" t="s">
        <v>24</v>
      </c>
      <c r="C564" t="s">
        <v>23</v>
      </c>
      <c r="D564" t="s">
        <v>20</v>
      </c>
      <c r="E564">
        <v>1932.6944948134417</v>
      </c>
      <c r="F564">
        <v>0.82493487715911462</v>
      </c>
      <c r="H564">
        <v>0.78851831189247901</v>
      </c>
      <c r="T564" t="s">
        <v>42</v>
      </c>
    </row>
    <row r="565" spans="1:20" x14ac:dyDescent="0.35">
      <c r="A565" s="3">
        <v>250</v>
      </c>
      <c r="B565" t="s">
        <v>15</v>
      </c>
      <c r="C565" t="s">
        <v>14</v>
      </c>
      <c r="D565" t="s">
        <v>20</v>
      </c>
      <c r="E565">
        <v>3438.0798995939836</v>
      </c>
      <c r="F565">
        <v>0.78664458164689144</v>
      </c>
      <c r="H565">
        <v>0.79103602964265507</v>
      </c>
      <c r="T565" t="s">
        <v>42</v>
      </c>
    </row>
    <row r="566" spans="1:20" x14ac:dyDescent="0.35">
      <c r="A566" s="3">
        <v>251</v>
      </c>
      <c r="B566" t="s">
        <v>11</v>
      </c>
      <c r="C566" t="s">
        <v>22</v>
      </c>
      <c r="D566" t="s">
        <v>20</v>
      </c>
      <c r="E566">
        <v>723.55211575874523</v>
      </c>
      <c r="F566">
        <v>0.78859918559050901</v>
      </c>
      <c r="H566">
        <v>0.81655868741845228</v>
      </c>
      <c r="T566" t="s">
        <v>42</v>
      </c>
    </row>
    <row r="567" spans="1:20" x14ac:dyDescent="0.35">
      <c r="A567" s="3">
        <v>252</v>
      </c>
      <c r="B567" t="s">
        <v>8</v>
      </c>
      <c r="C567" t="s">
        <v>9</v>
      </c>
      <c r="D567" t="s">
        <v>20</v>
      </c>
      <c r="E567">
        <v>1491.0595701223538</v>
      </c>
      <c r="F567">
        <v>0.77891428824656428</v>
      </c>
      <c r="H567">
        <v>0.81850725286735571</v>
      </c>
      <c r="T567" t="s">
        <v>42</v>
      </c>
    </row>
    <row r="568" spans="1:20" x14ac:dyDescent="0.35">
      <c r="A568" s="3">
        <v>253</v>
      </c>
      <c r="B568" t="s">
        <v>16</v>
      </c>
      <c r="C568" t="s">
        <v>14</v>
      </c>
      <c r="D568" t="s">
        <v>20</v>
      </c>
      <c r="E568">
        <v>3643.8581436220215</v>
      </c>
      <c r="F568">
        <v>0.77388077354119789</v>
      </c>
      <c r="H568">
        <v>0.80553114657559743</v>
      </c>
      <c r="T568" t="s">
        <v>42</v>
      </c>
    </row>
    <row r="569" spans="1:20" x14ac:dyDescent="0.35">
      <c r="A569" s="3">
        <v>254</v>
      </c>
      <c r="B569" t="s">
        <v>10</v>
      </c>
      <c r="C569" t="s">
        <v>22</v>
      </c>
      <c r="D569" t="s">
        <v>20</v>
      </c>
      <c r="E569">
        <v>566.95236513788325</v>
      </c>
      <c r="F569">
        <v>0.78082356729448599</v>
      </c>
      <c r="H569">
        <v>0.82575212328588543</v>
      </c>
      <c r="T569" t="s">
        <v>42</v>
      </c>
    </row>
    <row r="570" spans="1:20" x14ac:dyDescent="0.35">
      <c r="A570" s="3">
        <v>255</v>
      </c>
      <c r="B570" t="s">
        <v>18</v>
      </c>
      <c r="C570" t="s">
        <v>14</v>
      </c>
      <c r="D570" t="s">
        <v>20</v>
      </c>
      <c r="E570">
        <v>2215.2919533050726</v>
      </c>
      <c r="F570">
        <v>0.77176741522146353</v>
      </c>
      <c r="H570">
        <v>0.80839491487575998</v>
      </c>
      <c r="T570" t="s">
        <v>42</v>
      </c>
    </row>
    <row r="571" spans="1:20" x14ac:dyDescent="0.35">
      <c r="A571" s="3">
        <v>256</v>
      </c>
      <c r="B571" t="s">
        <v>25</v>
      </c>
      <c r="C571" t="s">
        <v>23</v>
      </c>
      <c r="D571" t="s">
        <v>20</v>
      </c>
      <c r="E571">
        <v>1532.7503213566044</v>
      </c>
      <c r="F571">
        <v>0.77363442331843357</v>
      </c>
      <c r="H571">
        <v>0.82776147494382635</v>
      </c>
      <c r="T571" t="s">
        <v>42</v>
      </c>
    </row>
    <row r="572" spans="1:20" x14ac:dyDescent="0.35">
      <c r="A572" s="3">
        <v>257</v>
      </c>
      <c r="B572" t="s">
        <v>7</v>
      </c>
      <c r="C572" t="s">
        <v>9</v>
      </c>
      <c r="D572" t="s">
        <v>20</v>
      </c>
      <c r="E572">
        <v>1201.0305344981423</v>
      </c>
      <c r="F572">
        <v>0.76942858807679393</v>
      </c>
      <c r="H572">
        <v>0.8312755865003213</v>
      </c>
      <c r="T572" t="s">
        <v>42</v>
      </c>
    </row>
    <row r="573" spans="1:20" x14ac:dyDescent="0.35">
      <c r="A573" s="3">
        <v>258</v>
      </c>
      <c r="B573" t="s">
        <v>3</v>
      </c>
      <c r="C573" t="s">
        <v>9</v>
      </c>
      <c r="D573" t="s">
        <v>20</v>
      </c>
      <c r="E573">
        <v>2331.2253974667251</v>
      </c>
      <c r="F573">
        <v>0.76729478594474321</v>
      </c>
      <c r="H573">
        <v>0.81529568459496493</v>
      </c>
      <c r="T573" t="s">
        <v>42</v>
      </c>
    </row>
    <row r="574" spans="1:20" x14ac:dyDescent="0.35">
      <c r="A574" s="3">
        <v>259</v>
      </c>
      <c r="B574" t="s">
        <v>13</v>
      </c>
      <c r="C574" t="s">
        <v>23</v>
      </c>
      <c r="D574" t="s">
        <v>20</v>
      </c>
      <c r="E574">
        <v>844.21432746153414</v>
      </c>
      <c r="F574">
        <v>0.76781956668538598</v>
      </c>
      <c r="H574">
        <v>0.84060409455970431</v>
      </c>
      <c r="T574" t="s">
        <v>42</v>
      </c>
    </row>
    <row r="575" spans="1:20" x14ac:dyDescent="0.35">
      <c r="A575" s="3">
        <v>260</v>
      </c>
      <c r="B575" t="s">
        <v>12</v>
      </c>
      <c r="C575" t="s">
        <v>22</v>
      </c>
      <c r="D575" t="s">
        <v>20</v>
      </c>
      <c r="E575">
        <v>749.57363617593717</v>
      </c>
      <c r="F575">
        <v>0.76716916262058321</v>
      </c>
      <c r="H575">
        <v>0.84170147431294373</v>
      </c>
      <c r="T575" t="s">
        <v>42</v>
      </c>
    </row>
    <row r="576" spans="1:20" x14ac:dyDescent="0.35">
      <c r="A576" s="3">
        <v>261</v>
      </c>
      <c r="B576" t="s">
        <v>17</v>
      </c>
      <c r="C576" t="s">
        <v>14</v>
      </c>
      <c r="D576" t="s">
        <v>20</v>
      </c>
      <c r="E576">
        <v>5172.6866647263569</v>
      </c>
      <c r="F576">
        <v>1.1672792318790084</v>
      </c>
      <c r="H576">
        <v>0.56846294837335487</v>
      </c>
      <c r="T576" t="s">
        <v>42</v>
      </c>
    </row>
    <row r="577" spans="1:20" x14ac:dyDescent="0.35">
      <c r="A577" s="3">
        <v>262</v>
      </c>
      <c r="B577" t="s">
        <v>24</v>
      </c>
      <c r="C577" t="s">
        <v>23</v>
      </c>
      <c r="D577" t="s">
        <v>20</v>
      </c>
      <c r="E577">
        <v>2705.7722927388186</v>
      </c>
      <c r="F577">
        <v>1.1452891778628294</v>
      </c>
      <c r="H577">
        <v>0.62781533397936518</v>
      </c>
      <c r="T577" t="s">
        <v>42</v>
      </c>
    </row>
    <row r="578" spans="1:20" x14ac:dyDescent="0.35">
      <c r="A578" s="3">
        <v>263</v>
      </c>
      <c r="B578" t="s">
        <v>15</v>
      </c>
      <c r="C578" t="s">
        <v>14</v>
      </c>
      <c r="D578" t="s">
        <v>20</v>
      </c>
      <c r="E578">
        <v>4813.3118594315765</v>
      </c>
      <c r="F578">
        <v>1.0913967552273764</v>
      </c>
      <c r="H578">
        <v>0.62542142765533504</v>
      </c>
      <c r="T578" t="s">
        <v>42</v>
      </c>
    </row>
    <row r="579" spans="1:20" x14ac:dyDescent="0.35">
      <c r="A579" s="3">
        <v>264</v>
      </c>
      <c r="B579" t="s">
        <v>11</v>
      </c>
      <c r="C579" t="s">
        <v>22</v>
      </c>
      <c r="D579" t="s">
        <v>20</v>
      </c>
      <c r="E579">
        <v>1012.9729620622433</v>
      </c>
      <c r="F579">
        <v>1.0942105284105998</v>
      </c>
      <c r="H579">
        <v>0.67138060824502321</v>
      </c>
      <c r="T579" t="s">
        <v>42</v>
      </c>
    </row>
    <row r="580" spans="1:20" x14ac:dyDescent="0.35">
      <c r="A580" s="3">
        <v>265</v>
      </c>
      <c r="B580" t="s">
        <v>8</v>
      </c>
      <c r="C580" t="s">
        <v>9</v>
      </c>
      <c r="D580" t="s">
        <v>20</v>
      </c>
      <c r="E580">
        <v>2087.4833981712954</v>
      </c>
      <c r="F580">
        <v>1.0805670992211758</v>
      </c>
      <c r="H580">
        <v>0.67559422683207782</v>
      </c>
      <c r="T580" t="s">
        <v>42</v>
      </c>
    </row>
    <row r="581" spans="1:20" x14ac:dyDescent="0.35">
      <c r="A581" s="3">
        <v>266</v>
      </c>
      <c r="B581" t="s">
        <v>16</v>
      </c>
      <c r="C581" t="s">
        <v>14</v>
      </c>
      <c r="D581" t="s">
        <v>20</v>
      </c>
      <c r="E581">
        <v>5101.4014010708297</v>
      </c>
      <c r="F581">
        <v>1.0735069791710774</v>
      </c>
      <c r="H581">
        <v>0.64121067843748802</v>
      </c>
      <c r="T581" t="s">
        <v>42</v>
      </c>
    </row>
    <row r="582" spans="1:20" x14ac:dyDescent="0.35">
      <c r="A582" s="3">
        <v>267</v>
      </c>
      <c r="B582" t="s">
        <v>10</v>
      </c>
      <c r="C582" t="s">
        <v>22</v>
      </c>
      <c r="D582" t="s">
        <v>20</v>
      </c>
      <c r="E582">
        <v>793.73331119303657</v>
      </c>
      <c r="F582">
        <v>1.0832800969149399</v>
      </c>
      <c r="H582">
        <v>0.68521529873509568</v>
      </c>
      <c r="T582" t="s">
        <v>42</v>
      </c>
    </row>
    <row r="583" spans="1:20" x14ac:dyDescent="0.35">
      <c r="A583" s="3">
        <v>268</v>
      </c>
      <c r="B583" t="s">
        <v>18</v>
      </c>
      <c r="C583" t="s">
        <v>14</v>
      </c>
      <c r="D583" t="s">
        <v>20</v>
      </c>
      <c r="E583">
        <v>3101.4087346271021</v>
      </c>
      <c r="F583">
        <v>1.0705358699161469</v>
      </c>
      <c r="H583">
        <v>0.64406848211697576</v>
      </c>
      <c r="T583" t="s">
        <v>42</v>
      </c>
    </row>
    <row r="584" spans="1:20" x14ac:dyDescent="0.35">
      <c r="A584" s="3">
        <v>269</v>
      </c>
      <c r="B584" t="s">
        <v>25</v>
      </c>
      <c r="C584" t="s">
        <v>23</v>
      </c>
      <c r="D584" t="s">
        <v>20</v>
      </c>
      <c r="E584">
        <v>2145.8504498992461</v>
      </c>
      <c r="F584">
        <v>1.0731650152325534</v>
      </c>
      <c r="H584">
        <v>0.6869988250131559</v>
      </c>
      <c r="T584" t="s">
        <v>42</v>
      </c>
    </row>
    <row r="585" spans="1:20" x14ac:dyDescent="0.35">
      <c r="A585" s="3">
        <v>270</v>
      </c>
      <c r="B585" t="s">
        <v>7</v>
      </c>
      <c r="C585" t="s">
        <v>9</v>
      </c>
      <c r="D585" t="s">
        <v>20</v>
      </c>
      <c r="E585">
        <v>1681.442748297399</v>
      </c>
      <c r="F585">
        <v>1.0673019792322693</v>
      </c>
      <c r="H585">
        <v>0.69070001678164605</v>
      </c>
      <c r="T585" t="s">
        <v>42</v>
      </c>
    </row>
    <row r="586" spans="1:20" x14ac:dyDescent="0.35">
      <c r="A586" s="3">
        <v>271</v>
      </c>
      <c r="B586" t="s">
        <v>3</v>
      </c>
      <c r="C586" t="s">
        <v>9</v>
      </c>
      <c r="D586" t="s">
        <v>20</v>
      </c>
      <c r="E586">
        <v>3263.7155564534155</v>
      </c>
      <c r="F586">
        <v>1.0643119319889431</v>
      </c>
      <c r="H586">
        <v>0.6504887115429524</v>
      </c>
      <c r="T586" t="s">
        <v>42</v>
      </c>
    </row>
    <row r="587" spans="1:20" x14ac:dyDescent="0.35">
      <c r="A587" s="3">
        <v>272</v>
      </c>
      <c r="B587" t="s">
        <v>13</v>
      </c>
      <c r="C587" t="s">
        <v>23</v>
      </c>
      <c r="D587" t="s">
        <v>20</v>
      </c>
      <c r="E587">
        <v>1181.900058446148</v>
      </c>
      <c r="F587">
        <v>1.0650562598297943</v>
      </c>
      <c r="H587">
        <v>0.70255339585034016</v>
      </c>
      <c r="T587" t="s">
        <v>42</v>
      </c>
    </row>
    <row r="588" spans="1:20" x14ac:dyDescent="0.35">
      <c r="A588" s="3">
        <v>273</v>
      </c>
      <c r="B588" t="s">
        <v>12</v>
      </c>
      <c r="C588" t="s">
        <v>22</v>
      </c>
      <c r="D588" t="s">
        <v>20</v>
      </c>
      <c r="E588">
        <v>1049.403090646312</v>
      </c>
      <c r="F588">
        <v>1.0641447346529762</v>
      </c>
      <c r="H588">
        <v>0.70499000921826926</v>
      </c>
      <c r="T588" t="s">
        <v>42</v>
      </c>
    </row>
    <row r="589" spans="1:20" x14ac:dyDescent="0.35">
      <c r="A589" s="3">
        <v>274</v>
      </c>
      <c r="B589" t="s">
        <v>17</v>
      </c>
      <c r="C589" t="s">
        <v>14</v>
      </c>
      <c r="D589" t="s">
        <v>20</v>
      </c>
      <c r="E589">
        <v>6650.597140362458</v>
      </c>
      <c r="F589">
        <v>1.4956164943088432</v>
      </c>
      <c r="H589">
        <v>0.38961213954122359</v>
      </c>
      <c r="T589" t="s">
        <v>42</v>
      </c>
    </row>
    <row r="590" spans="1:20" x14ac:dyDescent="0.35">
      <c r="A590" s="3">
        <v>275</v>
      </c>
      <c r="B590" t="s">
        <v>24</v>
      </c>
      <c r="C590" t="s">
        <v>23</v>
      </c>
      <c r="D590" t="s">
        <v>20</v>
      </c>
      <c r="E590">
        <v>3478.8500906641952</v>
      </c>
      <c r="F590">
        <v>1.4673972575134979</v>
      </c>
      <c r="H590">
        <v>0.42683282375503073</v>
      </c>
      <c r="T590" t="s">
        <v>42</v>
      </c>
    </row>
    <row r="591" spans="1:20" x14ac:dyDescent="0.35">
      <c r="A591" s="3">
        <v>276</v>
      </c>
      <c r="B591" t="s">
        <v>15</v>
      </c>
      <c r="C591" t="s">
        <v>14</v>
      </c>
      <c r="D591" t="s">
        <v>20</v>
      </c>
      <c r="E591">
        <v>6188.5438192691699</v>
      </c>
      <c r="F591">
        <v>1.3979226533149272</v>
      </c>
      <c r="H591">
        <v>0.43921669818115139</v>
      </c>
      <c r="T591" t="s">
        <v>42</v>
      </c>
    </row>
    <row r="592" spans="1:20" x14ac:dyDescent="0.35">
      <c r="A592" s="3">
        <v>277</v>
      </c>
      <c r="B592" t="s">
        <v>11</v>
      </c>
      <c r="C592" t="s">
        <v>22</v>
      </c>
      <c r="D592" t="s">
        <v>20</v>
      </c>
      <c r="E592">
        <v>1302.3938083657415</v>
      </c>
      <c r="F592">
        <v>1.4015857526111117</v>
      </c>
      <c r="H592">
        <v>0.46488407706424922</v>
      </c>
      <c r="T592" t="s">
        <v>42</v>
      </c>
    </row>
    <row r="593" spans="1:20" x14ac:dyDescent="0.35">
      <c r="A593" s="3">
        <v>278</v>
      </c>
      <c r="B593" t="s">
        <v>8</v>
      </c>
      <c r="C593" t="s">
        <v>9</v>
      </c>
      <c r="D593" t="s">
        <v>20</v>
      </c>
      <c r="E593">
        <v>2683.9072262202371</v>
      </c>
      <c r="F593">
        <v>1.3840406643757237</v>
      </c>
      <c r="H593">
        <v>0.47257473203618522</v>
      </c>
      <c r="T593" t="s">
        <v>42</v>
      </c>
    </row>
    <row r="594" spans="1:20" x14ac:dyDescent="0.35">
      <c r="A594" s="3">
        <v>279</v>
      </c>
      <c r="B594" t="s">
        <v>16</v>
      </c>
      <c r="C594" t="s">
        <v>14</v>
      </c>
      <c r="D594" t="s">
        <v>20</v>
      </c>
      <c r="E594">
        <v>6558.9446585196383</v>
      </c>
      <c r="F594">
        <v>1.3748815817046838</v>
      </c>
      <c r="H594">
        <v>0.45262449213022926</v>
      </c>
      <c r="T594" t="s">
        <v>42</v>
      </c>
    </row>
    <row r="595" spans="1:20" x14ac:dyDescent="0.35">
      <c r="A595" s="3">
        <v>280</v>
      </c>
      <c r="B595" t="s">
        <v>10</v>
      </c>
      <c r="C595" t="s">
        <v>22</v>
      </c>
      <c r="D595" t="s">
        <v>20</v>
      </c>
      <c r="E595">
        <v>1020.5142572481899</v>
      </c>
      <c r="F595">
        <v>1.3875764693847417</v>
      </c>
      <c r="H595">
        <v>0.47506971123540648</v>
      </c>
      <c r="T595" t="s">
        <v>42</v>
      </c>
    </row>
    <row r="596" spans="1:20" x14ac:dyDescent="0.35">
      <c r="A596" s="3">
        <v>281</v>
      </c>
      <c r="B596" t="s">
        <v>18</v>
      </c>
      <c r="C596" t="s">
        <v>14</v>
      </c>
      <c r="D596" t="s">
        <v>20</v>
      </c>
      <c r="E596">
        <v>3987.5255159491312</v>
      </c>
      <c r="F596">
        <v>1.3711293035608945</v>
      </c>
      <c r="H596">
        <v>0.45490605815095392</v>
      </c>
      <c r="T596" t="s">
        <v>42</v>
      </c>
    </row>
    <row r="597" spans="1:20" x14ac:dyDescent="0.35">
      <c r="A597" s="3">
        <v>282</v>
      </c>
      <c r="B597" t="s">
        <v>25</v>
      </c>
      <c r="C597" t="s">
        <v>23</v>
      </c>
      <c r="D597" t="s">
        <v>20</v>
      </c>
      <c r="E597">
        <v>2758.950578441888</v>
      </c>
      <c r="F597">
        <v>1.374523558671418</v>
      </c>
      <c r="H597">
        <v>0.48047889890794698</v>
      </c>
      <c r="T597" t="s">
        <v>42</v>
      </c>
    </row>
    <row r="598" spans="1:20" x14ac:dyDescent="0.35">
      <c r="A598" s="3">
        <v>283</v>
      </c>
      <c r="B598" t="s">
        <v>7</v>
      </c>
      <c r="C598" t="s">
        <v>9</v>
      </c>
      <c r="D598" t="s">
        <v>20</v>
      </c>
      <c r="E598">
        <v>2161.854962096656</v>
      </c>
      <c r="F598">
        <v>1.3669684959825019</v>
      </c>
      <c r="H598">
        <v>0.48450979887085349</v>
      </c>
      <c r="T598" t="s">
        <v>42</v>
      </c>
    </row>
    <row r="599" spans="1:20" x14ac:dyDescent="0.35">
      <c r="A599" s="3">
        <v>284</v>
      </c>
      <c r="B599" t="s">
        <v>3</v>
      </c>
      <c r="C599" t="s">
        <v>9</v>
      </c>
      <c r="D599" t="s">
        <v>20</v>
      </c>
      <c r="E599">
        <v>4196.2057154401055</v>
      </c>
      <c r="F599">
        <v>1.363094766081981</v>
      </c>
      <c r="H599">
        <v>0.46003991183069709</v>
      </c>
      <c r="T599" t="s">
        <v>42</v>
      </c>
    </row>
    <row r="600" spans="1:20" x14ac:dyDescent="0.35">
      <c r="A600" s="3">
        <v>285</v>
      </c>
      <c r="B600" t="s">
        <v>13</v>
      </c>
      <c r="C600" t="s">
        <v>23</v>
      </c>
      <c r="D600" t="s">
        <v>20</v>
      </c>
      <c r="E600">
        <v>1519.5857894307617</v>
      </c>
      <c r="F600">
        <v>1.3640797108674843</v>
      </c>
      <c r="H600">
        <v>0.490390234757343</v>
      </c>
      <c r="T600" t="s">
        <v>42</v>
      </c>
    </row>
    <row r="601" spans="1:20" x14ac:dyDescent="0.35">
      <c r="A601" s="3">
        <v>286</v>
      </c>
      <c r="B601" t="s">
        <v>12</v>
      </c>
      <c r="C601" t="s">
        <v>22</v>
      </c>
      <c r="D601" t="s">
        <v>20</v>
      </c>
      <c r="E601">
        <v>1349.2325451166869</v>
      </c>
      <c r="F601">
        <v>1.3629389577268851</v>
      </c>
      <c r="H601">
        <v>0.49172093385362942</v>
      </c>
      <c r="T601" t="s">
        <v>42</v>
      </c>
    </row>
    <row r="602" spans="1:20" x14ac:dyDescent="0.35">
      <c r="A602" s="3">
        <v>287</v>
      </c>
      <c r="B602" t="s">
        <v>17</v>
      </c>
      <c r="C602" t="s">
        <v>14</v>
      </c>
      <c r="D602" t="s">
        <v>20</v>
      </c>
      <c r="E602">
        <v>8128.5076159985592</v>
      </c>
      <c r="F602">
        <v>1.8247820502696446</v>
      </c>
      <c r="H602">
        <v>0.27267049565380752</v>
      </c>
      <c r="T602" t="s">
        <v>42</v>
      </c>
    </row>
    <row r="603" spans="1:20" x14ac:dyDescent="0.35">
      <c r="A603" s="3">
        <v>288</v>
      </c>
      <c r="B603" t="s">
        <v>24</v>
      </c>
      <c r="C603" t="s">
        <v>23</v>
      </c>
      <c r="D603" t="s">
        <v>20</v>
      </c>
      <c r="E603">
        <v>4251.927888589571</v>
      </c>
      <c r="F603">
        <v>1.7903118404598233</v>
      </c>
      <c r="H603">
        <v>0.29587164768502056</v>
      </c>
      <c r="T603" t="s">
        <v>42</v>
      </c>
    </row>
    <row r="604" spans="1:20" x14ac:dyDescent="0.35">
      <c r="A604" s="3">
        <v>289</v>
      </c>
      <c r="B604" t="s">
        <v>15</v>
      </c>
      <c r="C604" t="s">
        <v>14</v>
      </c>
      <c r="D604" t="s">
        <v>20</v>
      </c>
      <c r="E604">
        <v>7563.7757791067625</v>
      </c>
      <c r="F604">
        <v>1.7052751117216891</v>
      </c>
      <c r="H604">
        <v>0.30982249771210385</v>
      </c>
      <c r="T604" t="s">
        <v>42</v>
      </c>
    </row>
    <row r="605" spans="1:20" x14ac:dyDescent="0.35">
      <c r="A605" s="3">
        <v>290</v>
      </c>
      <c r="B605" t="s">
        <v>11</v>
      </c>
      <c r="C605" t="s">
        <v>22</v>
      </c>
      <c r="D605" t="s">
        <v>20</v>
      </c>
      <c r="E605">
        <v>1591.8146546692392</v>
      </c>
      <c r="F605">
        <v>1.7097776174737644</v>
      </c>
      <c r="H605">
        <v>0.32351822257523205</v>
      </c>
      <c r="T605" t="s">
        <v>42</v>
      </c>
    </row>
    <row r="606" spans="1:20" x14ac:dyDescent="0.35">
      <c r="A606" s="3">
        <v>291</v>
      </c>
      <c r="B606" t="s">
        <v>8</v>
      </c>
      <c r="C606" t="s">
        <v>9</v>
      </c>
      <c r="D606" t="s">
        <v>20</v>
      </c>
      <c r="E606">
        <v>3280.3310542691784</v>
      </c>
      <c r="F606">
        <v>1.6882877672546981</v>
      </c>
      <c r="H606">
        <v>0.33023713659722154</v>
      </c>
      <c r="T606" t="s">
        <v>42</v>
      </c>
    </row>
    <row r="607" spans="1:20" x14ac:dyDescent="0.35">
      <c r="A607" s="3">
        <v>292</v>
      </c>
      <c r="B607" t="s">
        <v>16</v>
      </c>
      <c r="C607" t="s">
        <v>14</v>
      </c>
      <c r="D607" t="s">
        <v>20</v>
      </c>
      <c r="E607">
        <v>8016.487915968446</v>
      </c>
      <c r="F607">
        <v>1.6771841697695078</v>
      </c>
      <c r="H607">
        <v>0.31978534008070592</v>
      </c>
      <c r="T607" t="s">
        <v>42</v>
      </c>
    </row>
    <row r="608" spans="1:20" x14ac:dyDescent="0.35">
      <c r="A608" s="3">
        <v>293</v>
      </c>
      <c r="B608" t="s">
        <v>10</v>
      </c>
      <c r="C608" t="s">
        <v>22</v>
      </c>
      <c r="D608" t="s">
        <v>20</v>
      </c>
      <c r="E608">
        <v>1247.295203303343</v>
      </c>
      <c r="F608">
        <v>1.6926273620220658</v>
      </c>
      <c r="H608">
        <v>0.33050512401360166</v>
      </c>
      <c r="T608" t="s">
        <v>42</v>
      </c>
    </row>
    <row r="609" spans="1:20" x14ac:dyDescent="0.35">
      <c r="A609" s="3">
        <v>294</v>
      </c>
      <c r="B609" t="s">
        <v>18</v>
      </c>
      <c r="C609" t="s">
        <v>14</v>
      </c>
      <c r="D609" t="s">
        <v>20</v>
      </c>
      <c r="E609">
        <v>4873.6422972711598</v>
      </c>
      <c r="F609">
        <v>1.6725029003721956</v>
      </c>
      <c r="H609">
        <v>0.32149621141170026</v>
      </c>
      <c r="T609" t="s">
        <v>42</v>
      </c>
    </row>
    <row r="610" spans="1:20" x14ac:dyDescent="0.35">
      <c r="A610" s="3">
        <v>295</v>
      </c>
      <c r="B610" t="s">
        <v>25</v>
      </c>
      <c r="C610" t="s">
        <v>23</v>
      </c>
      <c r="D610" t="s">
        <v>20</v>
      </c>
      <c r="E610">
        <v>3372.0507069845298</v>
      </c>
      <c r="F610">
        <v>1.6766633642179225</v>
      </c>
      <c r="H610">
        <v>0.33541296214776301</v>
      </c>
      <c r="T610" t="s">
        <v>42</v>
      </c>
    </row>
    <row r="611" spans="1:20" x14ac:dyDescent="0.35">
      <c r="A611" s="3">
        <v>296</v>
      </c>
      <c r="B611" t="s">
        <v>7</v>
      </c>
      <c r="C611" t="s">
        <v>9</v>
      </c>
      <c r="D611" t="s">
        <v>20</v>
      </c>
      <c r="E611">
        <v>2642.2671758959123</v>
      </c>
      <c r="F611">
        <v>1.6674220375332311</v>
      </c>
      <c r="H611">
        <v>0.33865395712897323</v>
      </c>
      <c r="T611" t="s">
        <v>42</v>
      </c>
    </row>
    <row r="612" spans="1:20" x14ac:dyDescent="0.35">
      <c r="A612" s="3">
        <v>297</v>
      </c>
      <c r="B612" t="s">
        <v>3</v>
      </c>
      <c r="C612" t="s">
        <v>9</v>
      </c>
      <c r="D612" t="s">
        <v>20</v>
      </c>
      <c r="E612">
        <v>5128.6958744267949</v>
      </c>
      <c r="F612">
        <v>1.6627430368582066</v>
      </c>
      <c r="H612">
        <v>0.3251552480419474</v>
      </c>
      <c r="T612" t="s">
        <v>42</v>
      </c>
    </row>
    <row r="613" spans="1:20" x14ac:dyDescent="0.35">
      <c r="A613" s="3">
        <v>298</v>
      </c>
      <c r="B613" t="s">
        <v>13</v>
      </c>
      <c r="C613" t="s">
        <v>23</v>
      </c>
      <c r="D613" t="s">
        <v>20</v>
      </c>
      <c r="E613">
        <v>1857.2715204153751</v>
      </c>
      <c r="F613">
        <v>1.6639316482181792</v>
      </c>
      <c r="H613">
        <v>0.34166715540337966</v>
      </c>
      <c r="T613" t="s">
        <v>42</v>
      </c>
    </row>
    <row r="614" spans="1:20" x14ac:dyDescent="0.35">
      <c r="A614" s="3">
        <v>299</v>
      </c>
      <c r="B614" t="s">
        <v>12</v>
      </c>
      <c r="C614" t="s">
        <v>22</v>
      </c>
      <c r="D614" t="s">
        <v>20</v>
      </c>
      <c r="E614">
        <v>1649.0619995870618</v>
      </c>
      <c r="F614">
        <v>1.6625528782818551</v>
      </c>
      <c r="H614">
        <v>0.3424663558347385</v>
      </c>
      <c r="T614" t="s">
        <v>42</v>
      </c>
    </row>
    <row r="615" spans="1:20" x14ac:dyDescent="0.35">
      <c r="A615" s="3">
        <v>300</v>
      </c>
      <c r="B615" t="s">
        <v>17</v>
      </c>
      <c r="C615" t="s">
        <v>14</v>
      </c>
      <c r="D615" t="s">
        <v>20</v>
      </c>
      <c r="E615">
        <v>9606.4180916346613</v>
      </c>
      <c r="F615">
        <v>2.1544309128359505</v>
      </c>
      <c r="H615">
        <v>0.19957228372612704</v>
      </c>
      <c r="T615" t="s">
        <v>42</v>
      </c>
    </row>
    <row r="616" spans="1:20" x14ac:dyDescent="0.35">
      <c r="A616" s="3">
        <v>301</v>
      </c>
      <c r="B616" t="s">
        <v>24</v>
      </c>
      <c r="C616" t="s">
        <v>23</v>
      </c>
      <c r="D616" t="s">
        <v>20</v>
      </c>
      <c r="E616">
        <v>5025.0056865149481</v>
      </c>
      <c r="F616">
        <v>2.113618373042065</v>
      </c>
      <c r="H616">
        <v>0.21527351522727156</v>
      </c>
      <c r="T616" t="s">
        <v>42</v>
      </c>
    </row>
    <row r="617" spans="1:20" x14ac:dyDescent="0.35">
      <c r="A617" s="3">
        <v>302</v>
      </c>
      <c r="B617" t="s">
        <v>15</v>
      </c>
      <c r="C617" t="s">
        <v>14</v>
      </c>
      <c r="D617" t="s">
        <v>20</v>
      </c>
      <c r="E617">
        <v>8939.0077389443577</v>
      </c>
      <c r="F617">
        <v>2.0131205522425257</v>
      </c>
      <c r="H617">
        <v>0.22742433650037</v>
      </c>
      <c r="T617" t="s">
        <v>42</v>
      </c>
    </row>
    <row r="618" spans="1:20" x14ac:dyDescent="0.35">
      <c r="A618" s="3">
        <v>303</v>
      </c>
      <c r="B618" t="s">
        <v>11</v>
      </c>
      <c r="C618" t="s">
        <v>22</v>
      </c>
      <c r="D618" t="s">
        <v>20</v>
      </c>
      <c r="E618">
        <v>1881.2355009727376</v>
      </c>
      <c r="F618">
        <v>2.0184953255358757</v>
      </c>
      <c r="H618">
        <v>0.23569038440950102</v>
      </c>
      <c r="T618" t="s">
        <v>42</v>
      </c>
    </row>
    <row r="619" spans="1:20" x14ac:dyDescent="0.35">
      <c r="A619" s="3">
        <v>304</v>
      </c>
      <c r="B619" t="s">
        <v>8</v>
      </c>
      <c r="C619" t="s">
        <v>9</v>
      </c>
      <c r="D619" t="s">
        <v>20</v>
      </c>
      <c r="E619">
        <v>3876.7548823181201</v>
      </c>
      <c r="F619">
        <v>1.9930757595536572</v>
      </c>
      <c r="H619">
        <v>0.24097037542129185</v>
      </c>
      <c r="T619" t="s">
        <v>42</v>
      </c>
    </row>
    <row r="620" spans="1:20" x14ac:dyDescent="0.35">
      <c r="A620" s="3">
        <v>305</v>
      </c>
      <c r="B620" t="s">
        <v>16</v>
      </c>
      <c r="C620" t="s">
        <v>14</v>
      </c>
      <c r="D620" t="s">
        <v>20</v>
      </c>
      <c r="E620">
        <v>9474.0311734172537</v>
      </c>
      <c r="F620">
        <v>1.9798354426414559</v>
      </c>
      <c r="H620">
        <v>0.23488768862172096</v>
      </c>
      <c r="T620" t="s">
        <v>42</v>
      </c>
    </row>
    <row r="621" spans="1:20" x14ac:dyDescent="0.35">
      <c r="A621" s="3">
        <v>306</v>
      </c>
      <c r="B621" t="s">
        <v>10</v>
      </c>
      <c r="C621" t="s">
        <v>22</v>
      </c>
      <c r="D621" t="s">
        <v>20</v>
      </c>
      <c r="E621">
        <v>1474.0761493584964</v>
      </c>
      <c r="F621">
        <v>1.9982148806161715</v>
      </c>
      <c r="H621">
        <v>0.24072220225547222</v>
      </c>
      <c r="T621" t="s">
        <v>42</v>
      </c>
    </row>
    <row r="622" spans="1:20" x14ac:dyDescent="0.35">
      <c r="A622" s="3">
        <v>307</v>
      </c>
      <c r="B622" t="s">
        <v>18</v>
      </c>
      <c r="C622" t="s">
        <v>14</v>
      </c>
      <c r="D622" t="s">
        <v>20</v>
      </c>
      <c r="E622">
        <v>5759.7590785931889</v>
      </c>
      <c r="F622">
        <v>1.9744219203920872</v>
      </c>
      <c r="H622">
        <v>0.23616263541861199</v>
      </c>
      <c r="T622" t="s">
        <v>42</v>
      </c>
    </row>
    <row r="623" spans="1:20" x14ac:dyDescent="0.35">
      <c r="A623" s="3">
        <v>308</v>
      </c>
      <c r="B623" t="s">
        <v>25</v>
      </c>
      <c r="C623" t="s">
        <v>23</v>
      </c>
      <c r="D623" t="s">
        <v>20</v>
      </c>
      <c r="E623">
        <v>3985.1508355271717</v>
      </c>
      <c r="F623">
        <v>1.9792580945335365</v>
      </c>
      <c r="H623">
        <v>0.24462532228026013</v>
      </c>
      <c r="T623" t="s">
        <v>42</v>
      </c>
    </row>
    <row r="624" spans="1:20" x14ac:dyDescent="0.35">
      <c r="A624" s="3">
        <v>309</v>
      </c>
      <c r="B624" t="s">
        <v>7</v>
      </c>
      <c r="C624" t="s">
        <v>9</v>
      </c>
      <c r="D624" t="s">
        <v>20</v>
      </c>
      <c r="E624">
        <v>3122.6793896951694</v>
      </c>
      <c r="F624">
        <v>1.9683615486412611</v>
      </c>
      <c r="H624">
        <v>0.24710679382574297</v>
      </c>
      <c r="T624" t="s">
        <v>42</v>
      </c>
    </row>
    <row r="625" spans="1:20" x14ac:dyDescent="0.35">
      <c r="A625" s="3">
        <v>310</v>
      </c>
      <c r="B625" t="s">
        <v>3</v>
      </c>
      <c r="C625" t="s">
        <v>9</v>
      </c>
      <c r="D625" t="s">
        <v>20</v>
      </c>
      <c r="E625">
        <v>6061.1860334134853</v>
      </c>
      <c r="F625">
        <v>1.9628633824124442</v>
      </c>
      <c r="H625">
        <v>0.23889436670918318</v>
      </c>
      <c r="T625" t="s">
        <v>42</v>
      </c>
    </row>
    <row r="626" spans="1:20" x14ac:dyDescent="0.35">
      <c r="A626" s="3">
        <v>311</v>
      </c>
      <c r="B626" t="s">
        <v>13</v>
      </c>
      <c r="C626" t="s">
        <v>23</v>
      </c>
      <c r="D626" t="s">
        <v>20</v>
      </c>
      <c r="E626">
        <v>2194.9572513999892</v>
      </c>
      <c r="F626">
        <v>1.9642800758955683</v>
      </c>
      <c r="H626">
        <v>0.24896380077171426</v>
      </c>
      <c r="T626" t="s">
        <v>42</v>
      </c>
    </row>
    <row r="627" spans="1:20" x14ac:dyDescent="0.35">
      <c r="A627" s="3">
        <v>312</v>
      </c>
      <c r="B627" t="s">
        <v>12</v>
      </c>
      <c r="C627" t="s">
        <v>22</v>
      </c>
      <c r="D627" t="s">
        <v>20</v>
      </c>
      <c r="E627">
        <v>1948.8914540574367</v>
      </c>
      <c r="F627">
        <v>1.9625727708972707</v>
      </c>
      <c r="H627">
        <v>0.2495069676029347</v>
      </c>
      <c r="T627" t="s">
        <v>42</v>
      </c>
    </row>
  </sheetData>
  <mergeCells count="1">
    <mergeCell ref="A1:T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144B9-956D-4ADD-A45B-F84294E73E42}">
  <sheetPr codeName="Sheet4"/>
  <dimension ref="B2:J31"/>
  <sheetViews>
    <sheetView zoomScale="70" zoomScaleNormal="70" workbookViewId="0">
      <selection activeCell="K20" sqref="K20"/>
    </sheetView>
  </sheetViews>
  <sheetFormatPr defaultColWidth="9.08984375" defaultRowHeight="18.5" x14ac:dyDescent="0.45"/>
  <cols>
    <col min="1" max="1" width="9.08984375" style="15"/>
    <col min="2" max="2" width="27.7265625" style="15" bestFit="1" customWidth="1"/>
    <col min="3" max="3" width="36.36328125" style="15" customWidth="1"/>
    <col min="4" max="8" width="9.08984375" style="15"/>
    <col min="9" max="9" width="21.453125" style="15" customWidth="1"/>
    <col min="10" max="16384" width="9.08984375" style="15"/>
  </cols>
  <sheetData>
    <row r="2" spans="2:10" x14ac:dyDescent="0.45">
      <c r="B2" s="16" t="s">
        <v>54</v>
      </c>
      <c r="C2" s="17" t="s">
        <v>67</v>
      </c>
    </row>
    <row r="3" spans="2:10" x14ac:dyDescent="0.45">
      <c r="B3" s="16" t="s">
        <v>55</v>
      </c>
      <c r="C3" s="17" t="s">
        <v>68</v>
      </c>
      <c r="H3" s="15" t="s">
        <v>75</v>
      </c>
      <c r="I3" s="14" t="s">
        <v>72</v>
      </c>
      <c r="J3" s="15" t="s">
        <v>76</v>
      </c>
    </row>
    <row r="4" spans="2:10" x14ac:dyDescent="0.45">
      <c r="B4" s="16" t="s">
        <v>56</v>
      </c>
      <c r="C4" s="17" t="s">
        <v>69</v>
      </c>
      <c r="I4" s="14" t="s">
        <v>73</v>
      </c>
      <c r="J4" s="15" t="s">
        <v>77</v>
      </c>
    </row>
    <row r="5" spans="2:10" x14ac:dyDescent="0.45">
      <c r="B5" s="16" t="s">
        <v>57</v>
      </c>
      <c r="C5" s="17" t="s">
        <v>86</v>
      </c>
      <c r="I5" s="14" t="s">
        <v>70</v>
      </c>
      <c r="J5" s="15" t="s">
        <v>78</v>
      </c>
    </row>
    <row r="6" spans="2:10" x14ac:dyDescent="0.45">
      <c r="B6" s="16" t="s">
        <v>58</v>
      </c>
      <c r="C6" s="17" t="s">
        <v>73</v>
      </c>
    </row>
    <row r="7" spans="2:10" x14ac:dyDescent="0.45">
      <c r="B7" s="16" t="s">
        <v>59</v>
      </c>
      <c r="C7" s="15">
        <v>2</v>
      </c>
      <c r="I7" s="15" t="s">
        <v>79</v>
      </c>
      <c r="J7" s="15" t="s">
        <v>80</v>
      </c>
    </row>
    <row r="8" spans="2:10" x14ac:dyDescent="0.45">
      <c r="B8" s="16" t="s">
        <v>60</v>
      </c>
      <c r="C8" s="15" t="s">
        <v>74</v>
      </c>
    </row>
    <row r="9" spans="2:10" x14ac:dyDescent="0.45">
      <c r="B9" s="16" t="s">
        <v>61</v>
      </c>
      <c r="C9" s="15">
        <v>0.6</v>
      </c>
    </row>
    <row r="10" spans="2:10" x14ac:dyDescent="0.45">
      <c r="B10" s="16" t="s">
        <v>62</v>
      </c>
      <c r="C10" s="15">
        <v>1.2</v>
      </c>
    </row>
    <row r="11" spans="2:10" x14ac:dyDescent="0.45">
      <c r="B11" s="16" t="s">
        <v>63</v>
      </c>
      <c r="C11" s="15">
        <v>2</v>
      </c>
    </row>
    <row r="12" spans="2:10" x14ac:dyDescent="0.45">
      <c r="B12" s="15" t="s">
        <v>81</v>
      </c>
      <c r="C12" s="15">
        <v>0.7</v>
      </c>
    </row>
    <row r="13" spans="2:10" x14ac:dyDescent="0.45">
      <c r="B13" s="15" t="s">
        <v>82</v>
      </c>
      <c r="C13" s="15">
        <v>1</v>
      </c>
    </row>
    <row r="14" spans="2:10" x14ac:dyDescent="0.45">
      <c r="B14" s="15" t="s">
        <v>83</v>
      </c>
      <c r="C14" s="15" t="s">
        <v>84</v>
      </c>
    </row>
    <row r="20" spans="2:3" x14ac:dyDescent="0.45">
      <c r="B20" s="15" t="s">
        <v>64</v>
      </c>
      <c r="C20" s="17" t="s">
        <v>85</v>
      </c>
    </row>
    <row r="21" spans="2:3" x14ac:dyDescent="0.45">
      <c r="B21" s="15" t="s">
        <v>65</v>
      </c>
      <c r="C21" s="17" t="s">
        <v>71</v>
      </c>
    </row>
    <row r="22" spans="2:3" x14ac:dyDescent="0.45">
      <c r="B22" s="15" t="s">
        <v>66</v>
      </c>
      <c r="C22" s="15">
        <v>1</v>
      </c>
    </row>
    <row r="30" spans="2:3" x14ac:dyDescent="0.45">
      <c r="C30" s="17"/>
    </row>
    <row r="31" spans="2:3" x14ac:dyDescent="0.45">
      <c r="C31" s="17"/>
    </row>
  </sheetData>
  <dataValidations count="9">
    <dataValidation type="list" allowBlank="1" showInputMessage="1" showErrorMessage="1" sqref="C2" xr:uid="{6881966F-CA69-4E5B-8A6F-FD534EE1F9CA}">
      <formula1>"AP,ModifiedAP"</formula1>
    </dataValidation>
    <dataValidation type="list" allowBlank="1" showInputMessage="1" showErrorMessage="1" sqref="C3" xr:uid="{D5E0BBD8-92A6-4213-9237-D52F820DCD9A}">
      <formula1>"separate,merge6061_6082,both"</formula1>
    </dataValidation>
    <dataValidation type="list" allowBlank="1" showInputMessage="1" showErrorMessage="1" sqref="C4" xr:uid="{EA8C0AD4-152F-4F95-943C-404A2D78A8E5}">
      <formula1>"shell_and_beam,shell_only,beam_only"</formula1>
    </dataValidation>
    <dataValidation type="list" allowBlank="1" showInputMessage="1" showErrorMessage="1" sqref="C5" xr:uid="{93666B3B-5533-4406-AFC2-50AA1CE740C1}">
      <formula1>"bestfit,design"</formula1>
    </dataValidation>
    <dataValidation type="list" allowBlank="1" showInputMessage="1" showErrorMessage="1" sqref="C6" xr:uid="{583AE081-D807-4877-A29C-B12BDBEF812C}">
      <formula1>"alpha_only,alpha_lambda0_fixed,free_alpha_lambda0"</formula1>
    </dataValidation>
    <dataValidation type="list" allowBlank="1" showInputMessage="1" showErrorMessage="1" sqref="C20" xr:uid="{B85B9621-24EA-44F7-9A18-15BBCF87B5AE}">
      <formula1>"old_f,recalibrate,both"</formula1>
    </dataValidation>
    <dataValidation type="list" allowBlank="1" showInputMessage="1" showErrorMessage="1" sqref="C21" xr:uid="{B6D383C0-C6AD-49FF-ACB1-D3879803C462}">
      <formula1>"yes,no"</formula1>
    </dataValidation>
    <dataValidation type="list" allowBlank="1" showInputMessage="1" showErrorMessage="1" sqref="C30" xr:uid="{F0EF449D-272F-41FC-AEF6-7C3D2F91F70B}">
      <formula1>"V0,V1,V2,V3"</formula1>
    </dataValidation>
    <dataValidation type="list" allowBlank="1" showInputMessage="1" showErrorMessage="1" sqref="C31" xr:uid="{40838A40-BD8E-4AC0-B54D-7E3CA2CBCCD3}">
      <formula1>"old,new,both"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0df6a9c-897f-4273-8800-6113f756dd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BBBEFD51FD0846BEDBADAF627EA74E" ma:contentTypeVersion="15" ma:contentTypeDescription="Create a new document." ma:contentTypeScope="" ma:versionID="34a9eac66c7d9f8d3fe04bf6217641d9">
  <xsd:schema xmlns:xsd="http://www.w3.org/2001/XMLSchema" xmlns:xs="http://www.w3.org/2001/XMLSchema" xmlns:p="http://schemas.microsoft.com/office/2006/metadata/properties" xmlns:ns3="50df6a9c-897f-4273-8800-6113f756dd4e" xmlns:ns4="44a967ae-f4da-410c-8eaf-fe7a46070be7" targetNamespace="http://schemas.microsoft.com/office/2006/metadata/properties" ma:root="true" ma:fieldsID="9dba2db1772348ed2fbbd3bfac7452af" ns3:_="" ns4:_="">
    <xsd:import namespace="50df6a9c-897f-4273-8800-6113f756dd4e"/>
    <xsd:import namespace="44a967ae-f4da-410c-8eaf-fe7a46070be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df6a9c-897f-4273-8800-6113f756dd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a967ae-f4da-410c-8eaf-fe7a46070be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321C75-085A-42D9-8DE3-B38319B1AF5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A68E97A-80C2-4EC0-A3E4-0A9C9741B9E3}">
  <ds:schemaRefs>
    <ds:schemaRef ds:uri="http://purl.org/dc/terms/"/>
    <ds:schemaRef ds:uri="http://purl.org/dc/dcmitype/"/>
    <ds:schemaRef ds:uri="50df6a9c-897f-4273-8800-6113f756dd4e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44a967ae-f4da-410c-8eaf-fe7a46070be7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BC3A4A65-D651-4518-A951-00C81ED2C6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df6a9c-897f-4273-8800-6113f756dd4e"/>
    <ds:schemaRef ds:uri="44a967ae-f4da-410c-8eaf-fe7a46070b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OIC-N-Prachi</vt:lpstr>
      <vt:lpstr>CONTROL_PANEL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Prachi Verma</cp:lastModifiedBy>
  <dcterms:created xsi:type="dcterms:W3CDTF">2020-02-28T12:52:00Z</dcterms:created>
  <dcterms:modified xsi:type="dcterms:W3CDTF">2026-07-09T23:27:39Z</dcterms:modified>
</cp:coreProperties>
</file>