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Kokou\Kokou_Case_study_1_Steel_Column\Numerical model_validation\"/>
    </mc:Choice>
  </mc:AlternateContent>
  <xr:revisionPtr revIDLastSave="0" documentId="13_ncr:1_{1A825E51-8B3C-4E2D-BCDA-FD80C1B2E643}" xr6:coauthVersionLast="47" xr6:coauthVersionMax="47" xr10:uidLastSave="{00000000-0000-0000-0000-000000000000}"/>
  <bookViews>
    <workbookView xWindow="-120" yWindow="-120" windowWidth="38640" windowHeight="21120" xr2:uid="{1993263F-6B97-418A-8C8C-604E7429BC66}"/>
  </bookViews>
  <sheets>
    <sheet name="validation all" sheetId="3" r:id="rId1"/>
    <sheet name="validation clean" sheetId="5" r:id="rId2"/>
    <sheet name="Sheet1" sheetId="6" r:id="rId3"/>
  </sheets>
  <calcPr calcId="191029" iterate="1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1" i="5" l="1"/>
  <c r="S12" i="5"/>
  <c r="R11" i="5"/>
  <c r="R12" i="5"/>
  <c r="Q11" i="5"/>
  <c r="Q12" i="5"/>
  <c r="S6" i="5"/>
  <c r="S7" i="5"/>
  <c r="R6" i="5"/>
  <c r="R7" i="5"/>
  <c r="Q6" i="5"/>
  <c r="Q7" i="5"/>
  <c r="T14" i="3"/>
  <c r="T15" i="3"/>
  <c r="S14" i="3"/>
  <c r="S15" i="3"/>
  <c r="R14" i="3"/>
  <c r="R15" i="3"/>
  <c r="T8" i="3"/>
  <c r="T9" i="3"/>
  <c r="S8" i="3"/>
  <c r="S9" i="3"/>
  <c r="R8" i="3"/>
  <c r="R9" i="3"/>
  <c r="I28" i="5"/>
  <c r="I29" i="5"/>
  <c r="H28" i="5"/>
  <c r="H29" i="5"/>
  <c r="G28" i="5"/>
  <c r="G29" i="5"/>
  <c r="I23" i="5"/>
  <c r="I24" i="5"/>
  <c r="H23" i="5"/>
  <c r="H24" i="5"/>
  <c r="G23" i="5"/>
  <c r="G24" i="5"/>
  <c r="I18" i="5"/>
  <c r="I19" i="5"/>
  <c r="H18" i="5"/>
  <c r="H19" i="5"/>
  <c r="G18" i="5"/>
  <c r="G19" i="5"/>
  <c r="I14" i="5"/>
  <c r="I15" i="5"/>
  <c r="H14" i="5"/>
  <c r="H15" i="5"/>
  <c r="G14" i="5"/>
  <c r="G15" i="5"/>
  <c r="I8" i="5"/>
  <c r="I9" i="5"/>
  <c r="H8" i="5"/>
  <c r="H9" i="5"/>
  <c r="G8" i="5"/>
  <c r="G9" i="5"/>
  <c r="G30" i="3"/>
  <c r="H20" i="3"/>
  <c r="I20" i="3"/>
  <c r="H19" i="3"/>
  <c r="I19" i="3"/>
  <c r="H15" i="3"/>
  <c r="I15" i="3"/>
  <c r="H14" i="3"/>
  <c r="I14" i="3"/>
  <c r="H9" i="3"/>
  <c r="I9" i="3"/>
  <c r="H8" i="3"/>
  <c r="I8" i="3"/>
  <c r="G20" i="3"/>
  <c r="G19" i="3"/>
  <c r="I30" i="3"/>
  <c r="I31" i="3"/>
  <c r="H30" i="3"/>
  <c r="H31" i="3"/>
  <c r="G31" i="3"/>
  <c r="I24" i="3"/>
  <c r="I25" i="3"/>
  <c r="H24" i="3"/>
  <c r="H25" i="3"/>
  <c r="G24" i="3"/>
  <c r="G25" i="3"/>
  <c r="G14" i="3"/>
  <c r="G15" i="3"/>
  <c r="G8" i="3"/>
  <c r="G9" i="3"/>
</calcChain>
</file>

<file path=xl/sharedStrings.xml><?xml version="1.0" encoding="utf-8"?>
<sst xmlns="http://schemas.openxmlformats.org/spreadsheetml/2006/main" count="147" uniqueCount="53">
  <si>
    <t>Reference</t>
  </si>
  <si>
    <t>Steel grade</t>
  </si>
  <si>
    <t>Specimen label</t>
  </si>
  <si>
    <t>Buckling axis</t>
  </si>
  <si>
    <t>Fei Yin et al.</t>
  </si>
  <si>
    <t>Q1100</t>
  </si>
  <si>
    <t>C1L1</t>
  </si>
  <si>
    <t>C1L2</t>
  </si>
  <si>
    <t>C1L3</t>
  </si>
  <si>
    <t>C1L4</t>
  </si>
  <si>
    <t>C2L1</t>
  </si>
  <si>
    <t>C2L2</t>
  </si>
  <si>
    <t>C2L3</t>
  </si>
  <si>
    <t>C2L4</t>
  </si>
  <si>
    <t>Minor axis</t>
  </si>
  <si>
    <t>C1E10</t>
  </si>
  <si>
    <t>C1E30</t>
  </si>
  <si>
    <t>C1E60</t>
  </si>
  <si>
    <t>C2E10</t>
  </si>
  <si>
    <t>C2E30</t>
  </si>
  <si>
    <t>C2E80</t>
  </si>
  <si>
    <t>HSS-I1-C</t>
  </si>
  <si>
    <t>HSS-I1-C-R</t>
  </si>
  <si>
    <t>HSS-I2-C</t>
  </si>
  <si>
    <t>Xiang Yun et al.</t>
  </si>
  <si>
    <t>S690</t>
  </si>
  <si>
    <t>Major axis</t>
  </si>
  <si>
    <t>b/100</t>
  </si>
  <si>
    <t>b/200</t>
  </si>
  <si>
    <t>b/300</t>
  </si>
  <si>
    <t>Mean</t>
  </si>
  <si>
    <t>COV</t>
  </si>
  <si>
    <t>Yang Lu et al.*</t>
  </si>
  <si>
    <t>B/300</t>
  </si>
  <si>
    <t>B/200</t>
  </si>
  <si>
    <t>B/100</t>
  </si>
  <si>
    <t>Section type (Steel grade)</t>
  </si>
  <si>
    <t>Welded (Q1100)</t>
  </si>
  <si>
    <t>Welded (S690)</t>
  </si>
  <si>
    <r>
      <t>N</t>
    </r>
    <r>
      <rPr>
        <vertAlign val="subscript"/>
        <sz val="8"/>
        <color theme="1"/>
        <rFont val="Times New Roman"/>
        <family val="1"/>
      </rPr>
      <t>u,Test</t>
    </r>
  </si>
  <si>
    <r>
      <t>N</t>
    </r>
    <r>
      <rPr>
        <vertAlign val="subscript"/>
        <sz val="8"/>
        <color theme="1"/>
        <rFont val="Times New Roman"/>
        <family val="1"/>
      </rPr>
      <t>u,FE</t>
    </r>
    <r>
      <rPr>
        <sz val="8"/>
        <color theme="1"/>
        <rFont val="Times New Roman"/>
        <family val="1"/>
      </rPr>
      <t>/N</t>
    </r>
    <r>
      <rPr>
        <vertAlign val="subscript"/>
        <sz val="8"/>
        <color theme="1"/>
        <rFont val="Times New Roman"/>
        <family val="1"/>
      </rPr>
      <t>u,test</t>
    </r>
  </si>
  <si>
    <r>
      <t>N</t>
    </r>
    <r>
      <rPr>
        <vertAlign val="subscript"/>
        <sz val="8"/>
        <color theme="1"/>
        <rFont val="Times New Roman"/>
        <family val="1"/>
      </rPr>
      <t>u,FE</t>
    </r>
    <r>
      <rPr>
        <sz val="8"/>
        <color theme="1"/>
        <rFont val="Times New Roman"/>
        <family val="1"/>
      </rPr>
      <t>/N</t>
    </r>
    <r>
      <rPr>
        <vertAlign val="subscript"/>
        <sz val="8"/>
        <color theme="1"/>
        <rFont val="Times New Roman"/>
        <family val="1"/>
      </rPr>
      <t>u,test</t>
    </r>
    <r>
      <rPr>
        <sz val="8"/>
        <color theme="1"/>
        <rFont val="Times New Roman"/>
        <family val="1"/>
      </rPr>
      <t xml:space="preserve"> (local geometric imperfection)</t>
    </r>
  </si>
  <si>
    <t>Minor-axis flexural buckling of Q1100 ultra high strength steel welded I-section columns (2024) by Fei Yin and Lu Yang</t>
  </si>
  <si>
    <t>N° of test</t>
  </si>
  <si>
    <t xml:space="preserve">Behavior and design of Q1100 ultra-high strength steel welded I-section beam-columns (2026) by Yang Lu and Fei Yin </t>
  </si>
  <si>
    <t>Welded steel I-section columns (S690): Residual stresses, testing, simulation and design (2023) by Xiang Yun, Leroy Gardner</t>
  </si>
  <si>
    <t>Nicolas Boissonade et al.</t>
  </si>
  <si>
    <t>Articles</t>
  </si>
  <si>
    <t>welded</t>
  </si>
  <si>
    <t>hot rolled</t>
  </si>
  <si>
    <t>Section type</t>
  </si>
  <si>
    <t>Total</t>
  </si>
  <si>
    <t>N°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</si>
</sst>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8"/>
      <name val="Aptos Narrow"/>
      <family val="2"/>
      <scheme val="minor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vertAlign val="subscript"/>
      <sz val="8"/>
      <color theme="1"/>
      <name val="Times New Roman"/>
      <family val="1"/>
    </font>
    <font>
      <sz val="14"/>
      <color theme="1"/>
      <name val="Times New Roman"/>
      <family val="1"/>
    </font>
    <font>
      <sz val="18"/>
      <color theme="1"/>
      <name val="Times New Roman"/>
      <family val="1"/>
    </font>
    <font>
      <sz val="14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3">
    <xf numFmtId="0" fontId="0" fillId="0" borderId="0" xfId="0"/>
    <xf numFmtId="0" fontId="2" fillId="0" borderId="0" xfId="0" applyFont="1"/>
    <xf numFmtId="0" fontId="2" fillId="0" borderId="1" xfId="0" applyFont="1" applyBorder="1"/>
    <xf numFmtId="2" fontId="2" fillId="0" borderId="1" xfId="0" applyNumberFormat="1" applyFont="1" applyBorder="1"/>
    <xf numFmtId="164" fontId="2" fillId="0" borderId="1" xfId="1" applyNumberFormat="1" applyFont="1" applyBorder="1"/>
    <xf numFmtId="10" fontId="2" fillId="0" borderId="1" xfId="1" applyNumberFormat="1" applyFont="1" applyBorder="1"/>
    <xf numFmtId="0" fontId="4" fillId="0" borderId="1" xfId="0" applyFont="1" applyBorder="1" applyAlignment="1">
      <alignment wrapText="1"/>
    </xf>
    <xf numFmtId="0" fontId="5" fillId="0" borderId="1" xfId="0" applyFont="1" applyBorder="1"/>
    <xf numFmtId="0" fontId="5" fillId="0" borderId="1" xfId="0" applyFont="1" applyBorder="1" applyAlignment="1">
      <alignment wrapText="1"/>
    </xf>
    <xf numFmtId="2" fontId="5" fillId="0" borderId="1" xfId="0" applyNumberFormat="1" applyFont="1" applyBorder="1"/>
    <xf numFmtId="164" fontId="5" fillId="0" borderId="1" xfId="1" applyNumberFormat="1" applyFont="1" applyBorder="1"/>
    <xf numFmtId="9" fontId="5" fillId="0" borderId="1" xfId="1" applyFont="1" applyBorder="1"/>
    <xf numFmtId="164" fontId="5" fillId="2" borderId="1" xfId="1" applyNumberFormat="1" applyFont="1" applyFill="1" applyBorder="1"/>
    <xf numFmtId="10" fontId="5" fillId="0" borderId="1" xfId="1" applyNumberFormat="1" applyFont="1" applyBorder="1"/>
    <xf numFmtId="0" fontId="5" fillId="0" borderId="0" xfId="0" applyFont="1"/>
    <xf numFmtId="0" fontId="7" fillId="0" borderId="0" xfId="0" applyFont="1"/>
    <xf numFmtId="0" fontId="9" fillId="0" borderId="0" xfId="0" applyFont="1" applyAlignment="1">
      <alignment vertical="center" wrapText="1"/>
    </xf>
    <xf numFmtId="0" fontId="9" fillId="0" borderId="0" xfId="0" applyFont="1" applyAlignment="1">
      <alignment wrapText="1"/>
    </xf>
    <xf numFmtId="0" fontId="9" fillId="0" borderId="0" xfId="0" applyFont="1" applyAlignment="1">
      <alignment horizontal="left" vertical="center" readingOrder="1"/>
    </xf>
    <xf numFmtId="0" fontId="7" fillId="0" borderId="0" xfId="0" applyFont="1" applyAlignment="1">
      <alignment vertical="top"/>
    </xf>
    <xf numFmtId="0" fontId="8" fillId="0" borderId="0" xfId="0" applyFont="1" applyAlignment="1">
      <alignment vertical="top"/>
    </xf>
    <xf numFmtId="0" fontId="7" fillId="0" borderId="0" xfId="0" applyFont="1" applyAlignment="1">
      <alignment horizontal="center"/>
    </xf>
    <xf numFmtId="164" fontId="5" fillId="0" borderId="1" xfId="1" applyNumberFormat="1" applyFont="1" applyFill="1" applyBorder="1"/>
    <xf numFmtId="0" fontId="5" fillId="0" borderId="1" xfId="0" applyFont="1" applyBorder="1" applyAlignment="1">
      <alignment horizontal="left" vertical="top"/>
    </xf>
    <xf numFmtId="0" fontId="5" fillId="0" borderId="4" xfId="0" applyFont="1" applyBorder="1" applyAlignment="1">
      <alignment horizontal="center" vertical="top"/>
    </xf>
    <xf numFmtId="0" fontId="5" fillId="0" borderId="5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2BCA9-9545-4DDE-A582-751AB2BBEA89}">
  <sheetPr codeName="Sheet3"/>
  <dimension ref="A2:T31"/>
  <sheetViews>
    <sheetView tabSelected="1" topLeftCell="A12" zoomScale="160" zoomScaleNormal="160" workbookViewId="0">
      <selection activeCell="L25" sqref="L25"/>
    </sheetView>
  </sheetViews>
  <sheetFormatPr defaultColWidth="9.140625" defaultRowHeight="15" x14ac:dyDescent="0.25"/>
  <cols>
    <col min="1" max="1" width="9.140625" style="1"/>
    <col min="2" max="2" width="14.85546875" style="1" bestFit="1" customWidth="1"/>
    <col min="3" max="3" width="10.42578125" style="1" bestFit="1" customWidth="1"/>
    <col min="4" max="4" width="13.7109375" style="1" bestFit="1" customWidth="1"/>
    <col min="5" max="5" width="12.140625" style="1" bestFit="1" customWidth="1"/>
    <col min="6" max="6" width="12.140625" style="1" customWidth="1"/>
    <col min="7" max="16384" width="9.140625" style="1"/>
  </cols>
  <sheetData>
    <row r="2" spans="1:20" ht="15" customHeight="1" x14ac:dyDescent="0.25">
      <c r="A2" s="7"/>
      <c r="B2" s="41" t="s">
        <v>0</v>
      </c>
      <c r="C2" s="42" t="s">
        <v>36</v>
      </c>
      <c r="D2" s="41" t="s">
        <v>2</v>
      </c>
      <c r="E2" s="41" t="s">
        <v>3</v>
      </c>
      <c r="F2" s="41" t="s">
        <v>39</v>
      </c>
      <c r="G2" s="7" t="s">
        <v>40</v>
      </c>
      <c r="H2" s="7"/>
      <c r="I2" s="7"/>
      <c r="M2" s="39" t="s">
        <v>0</v>
      </c>
      <c r="N2" s="40" t="s">
        <v>36</v>
      </c>
      <c r="O2" s="39" t="s">
        <v>2</v>
      </c>
      <c r="P2" s="39" t="s">
        <v>3</v>
      </c>
      <c r="Q2" s="39" t="s">
        <v>39</v>
      </c>
      <c r="R2" s="33" t="s">
        <v>40</v>
      </c>
      <c r="S2" s="34"/>
      <c r="T2" s="35"/>
    </row>
    <row r="3" spans="1:20" x14ac:dyDescent="0.25">
      <c r="A3" s="7"/>
      <c r="B3" s="41"/>
      <c r="C3" s="42"/>
      <c r="D3" s="41"/>
      <c r="E3" s="41"/>
      <c r="F3" s="41"/>
      <c r="G3" s="7" t="s">
        <v>33</v>
      </c>
      <c r="H3" s="7" t="s">
        <v>34</v>
      </c>
      <c r="I3" s="7" t="s">
        <v>35</v>
      </c>
      <c r="M3" s="39"/>
      <c r="N3" s="40"/>
      <c r="O3" s="39"/>
      <c r="P3" s="39"/>
      <c r="Q3" s="39"/>
      <c r="R3" s="7" t="s">
        <v>33</v>
      </c>
      <c r="S3" s="7" t="s">
        <v>34</v>
      </c>
      <c r="T3" s="7" t="s">
        <v>35</v>
      </c>
    </row>
    <row r="4" spans="1:20" ht="23.25" x14ac:dyDescent="0.25">
      <c r="A4" s="7">
        <v>1</v>
      </c>
      <c r="B4" s="7" t="s">
        <v>4</v>
      </c>
      <c r="C4" s="8" t="s">
        <v>37</v>
      </c>
      <c r="D4" s="7" t="s">
        <v>6</v>
      </c>
      <c r="E4" s="7" t="s">
        <v>14</v>
      </c>
      <c r="F4" s="7">
        <v>915.6</v>
      </c>
      <c r="G4" s="9">
        <v>1.0171647007426825</v>
      </c>
      <c r="H4" s="9">
        <v>1.014051987767584</v>
      </c>
      <c r="I4" s="9">
        <v>0.99420707732634339</v>
      </c>
      <c r="M4" s="27" t="s">
        <v>4</v>
      </c>
      <c r="N4" s="30" t="s">
        <v>37</v>
      </c>
      <c r="O4" s="7" t="s">
        <v>6</v>
      </c>
      <c r="P4" s="7" t="s">
        <v>14</v>
      </c>
      <c r="Q4" s="7">
        <v>915.6</v>
      </c>
      <c r="R4" s="9">
        <v>1.0171647007426825</v>
      </c>
      <c r="S4" s="9">
        <v>1.014051987767584</v>
      </c>
      <c r="T4" s="9">
        <v>0.99420707732634339</v>
      </c>
    </row>
    <row r="5" spans="1:20" x14ac:dyDescent="0.25">
      <c r="A5" s="7">
        <v>2</v>
      </c>
      <c r="B5" s="7"/>
      <c r="C5" s="7"/>
      <c r="D5" s="7" t="s">
        <v>7</v>
      </c>
      <c r="E5" s="7"/>
      <c r="F5" s="7">
        <v>656.33</v>
      </c>
      <c r="G5" s="9">
        <v>1.0224277421419103</v>
      </c>
      <c r="H5" s="9">
        <v>1.018222540490302</v>
      </c>
      <c r="I5" s="9">
        <v>0.99910715646092663</v>
      </c>
      <c r="M5" s="28"/>
      <c r="N5" s="31"/>
      <c r="O5" s="7" t="s">
        <v>7</v>
      </c>
      <c r="P5" s="7"/>
      <c r="Q5" s="7">
        <v>656.33</v>
      </c>
      <c r="R5" s="9">
        <v>1.0224277421419103</v>
      </c>
      <c r="S5" s="9">
        <v>1.018222540490302</v>
      </c>
      <c r="T5" s="9">
        <v>0.99910715646092663</v>
      </c>
    </row>
    <row r="6" spans="1:20" x14ac:dyDescent="0.25">
      <c r="A6" s="7">
        <v>3</v>
      </c>
      <c r="B6" s="7"/>
      <c r="C6" s="7"/>
      <c r="D6" s="7" t="s">
        <v>8</v>
      </c>
      <c r="E6" s="7"/>
      <c r="F6" s="7">
        <v>345.19</v>
      </c>
      <c r="G6" s="9">
        <v>0.97893044410324759</v>
      </c>
      <c r="H6" s="9">
        <v>0.9766186737738638</v>
      </c>
      <c r="I6" s="9">
        <v>0.96463107274254756</v>
      </c>
      <c r="M6" s="28"/>
      <c r="N6" s="31"/>
      <c r="O6" s="7" t="s">
        <v>8</v>
      </c>
      <c r="P6" s="7"/>
      <c r="Q6" s="7">
        <v>345.19</v>
      </c>
      <c r="R6" s="9">
        <v>0.97893044410324759</v>
      </c>
      <c r="S6" s="9">
        <v>0.9766186737738638</v>
      </c>
      <c r="T6" s="9">
        <v>0.96463107274254756</v>
      </c>
    </row>
    <row r="7" spans="1:20" x14ac:dyDescent="0.25">
      <c r="A7" s="7">
        <v>4</v>
      </c>
      <c r="B7" s="7"/>
      <c r="C7" s="7"/>
      <c r="D7" s="7" t="s">
        <v>9</v>
      </c>
      <c r="E7" s="7"/>
      <c r="F7" s="7">
        <v>217.3</v>
      </c>
      <c r="G7" s="9">
        <v>0.96562816382880812</v>
      </c>
      <c r="H7" s="9">
        <v>0.96371836171191894</v>
      </c>
      <c r="I7" s="9">
        <v>0.95286700414173942</v>
      </c>
      <c r="M7" s="28"/>
      <c r="N7" s="31"/>
      <c r="O7" s="7" t="s">
        <v>9</v>
      </c>
      <c r="P7" s="7"/>
      <c r="Q7" s="7">
        <v>217.3</v>
      </c>
      <c r="R7" s="9">
        <v>0.96562816382880812</v>
      </c>
      <c r="S7" s="9">
        <v>0.96371836171191894</v>
      </c>
      <c r="T7" s="9">
        <v>0.95286700414173942</v>
      </c>
    </row>
    <row r="8" spans="1:20" x14ac:dyDescent="0.25">
      <c r="A8" s="7"/>
      <c r="B8" s="7"/>
      <c r="C8" s="7"/>
      <c r="D8" s="7"/>
      <c r="E8" s="7"/>
      <c r="F8" s="7" t="s">
        <v>30</v>
      </c>
      <c r="G8" s="9">
        <f>AVERAGE(G4:G7)</f>
        <v>0.99603776270416211</v>
      </c>
      <c r="H8" s="9">
        <f t="shared" ref="H8:I8" si="0">AVERAGE(H4:H7)</f>
        <v>0.9931528909359173</v>
      </c>
      <c r="I8" s="9">
        <f t="shared" si="0"/>
        <v>0.97770307766788922</v>
      </c>
      <c r="M8" s="28"/>
      <c r="N8" s="31"/>
      <c r="O8" s="7"/>
      <c r="P8" s="7"/>
      <c r="Q8" s="7" t="s">
        <v>30</v>
      </c>
      <c r="R8" s="9">
        <f>AVERAGE(R4:R7)</f>
        <v>0.99603776270416211</v>
      </c>
      <c r="S8" s="9">
        <f t="shared" ref="S8:T8" si="1">AVERAGE(S4:S7)</f>
        <v>0.9931528909359173</v>
      </c>
      <c r="T8" s="9">
        <f t="shared" si="1"/>
        <v>0.97770307766788922</v>
      </c>
    </row>
    <row r="9" spans="1:20" x14ac:dyDescent="0.25">
      <c r="A9" s="7"/>
      <c r="B9" s="7"/>
      <c r="C9" s="7"/>
      <c r="D9" s="7"/>
      <c r="E9" s="7"/>
      <c r="F9" s="7" t="s">
        <v>31</v>
      </c>
      <c r="G9" s="10">
        <f>_xlfn.STDEV.P(G4:G7)/G8</f>
        <v>2.4387484166856353E-2</v>
      </c>
      <c r="H9" s="10">
        <f t="shared" ref="H9:I9" si="2">_xlfn.STDEV.P(H4:H7)/H8</f>
        <v>2.36407518751823E-2</v>
      </c>
      <c r="I9" s="10">
        <f t="shared" si="2"/>
        <v>1.9926499530967767E-2</v>
      </c>
      <c r="M9" s="28"/>
      <c r="N9" s="31"/>
      <c r="O9" s="7"/>
      <c r="P9" s="7"/>
      <c r="Q9" s="7" t="s">
        <v>31</v>
      </c>
      <c r="R9" s="10">
        <f>_xlfn.STDEV.P(R4:R7)/R8</f>
        <v>2.4387484166856353E-2</v>
      </c>
      <c r="S9" s="10">
        <f t="shared" ref="S9:T9" si="3">_xlfn.STDEV.P(S4:S7)/S8</f>
        <v>2.36407518751823E-2</v>
      </c>
      <c r="T9" s="10">
        <f t="shared" si="3"/>
        <v>1.9926499530967767E-2</v>
      </c>
    </row>
    <row r="10" spans="1:20" x14ac:dyDescent="0.25">
      <c r="A10" s="7">
        <v>5</v>
      </c>
      <c r="B10" s="7"/>
      <c r="C10" s="7"/>
      <c r="D10" s="7" t="s">
        <v>10</v>
      </c>
      <c r="E10" s="7"/>
      <c r="F10" s="7">
        <v>1556.83</v>
      </c>
      <c r="G10" s="9">
        <v>0.97927198216889455</v>
      </c>
      <c r="H10" s="9">
        <v>0.94802900766300757</v>
      </c>
      <c r="I10" s="9">
        <v>0.87305614614312421</v>
      </c>
      <c r="M10" s="28"/>
      <c r="N10" s="31"/>
      <c r="O10" s="7" t="s">
        <v>10</v>
      </c>
      <c r="P10" s="7"/>
      <c r="Q10" s="7">
        <v>1556.83</v>
      </c>
      <c r="R10" s="9">
        <v>0.97927198216889455</v>
      </c>
      <c r="S10" s="9">
        <v>0.94802900766300757</v>
      </c>
      <c r="T10" s="9">
        <v>0.87305614614312421</v>
      </c>
    </row>
    <row r="11" spans="1:20" x14ac:dyDescent="0.25">
      <c r="A11" s="7">
        <v>6</v>
      </c>
      <c r="B11" s="7"/>
      <c r="C11" s="7"/>
      <c r="D11" s="7" t="s">
        <v>11</v>
      </c>
      <c r="E11" s="7"/>
      <c r="F11" s="7">
        <v>1087.71</v>
      </c>
      <c r="G11" s="9">
        <v>1.0108944479686681</v>
      </c>
      <c r="H11" s="9">
        <v>0.98692666243759819</v>
      </c>
      <c r="I11" s="9">
        <v>0.91418300833861965</v>
      </c>
      <c r="M11" s="28"/>
      <c r="N11" s="31"/>
      <c r="O11" s="7" t="s">
        <v>11</v>
      </c>
      <c r="P11" s="7"/>
      <c r="Q11" s="7">
        <v>1087.71</v>
      </c>
      <c r="R11" s="9">
        <v>1.0108944479686681</v>
      </c>
      <c r="S11" s="9">
        <v>0.98692666243759819</v>
      </c>
      <c r="T11" s="9">
        <v>0.91418300833861965</v>
      </c>
    </row>
    <row r="12" spans="1:20" x14ac:dyDescent="0.25">
      <c r="A12" s="7">
        <v>7</v>
      </c>
      <c r="B12" s="7"/>
      <c r="C12" s="7"/>
      <c r="D12" s="7" t="s">
        <v>12</v>
      </c>
      <c r="E12" s="7"/>
      <c r="F12" s="7">
        <v>692.05</v>
      </c>
      <c r="G12" s="9">
        <v>1.01050357633119</v>
      </c>
      <c r="H12" s="9">
        <v>0.99771548298533352</v>
      </c>
      <c r="I12" s="9">
        <v>0.94873925294415151</v>
      </c>
      <c r="M12" s="28"/>
      <c r="N12" s="31"/>
      <c r="O12" s="7" t="s">
        <v>12</v>
      </c>
      <c r="P12" s="7"/>
      <c r="Q12" s="7">
        <v>692.05</v>
      </c>
      <c r="R12" s="9">
        <v>1.01050357633119</v>
      </c>
      <c r="S12" s="9">
        <v>0.99771548298533352</v>
      </c>
      <c r="T12" s="9">
        <v>0.94873925294415151</v>
      </c>
    </row>
    <row r="13" spans="1:20" x14ac:dyDescent="0.25">
      <c r="A13" s="7">
        <v>8</v>
      </c>
      <c r="B13" s="7"/>
      <c r="C13" s="7"/>
      <c r="D13" s="7" t="s">
        <v>13</v>
      </c>
      <c r="E13" s="7"/>
      <c r="F13" s="7">
        <v>483.05</v>
      </c>
      <c r="G13" s="9">
        <v>0.99132801987371899</v>
      </c>
      <c r="H13" s="9">
        <v>0.98251112721250389</v>
      </c>
      <c r="I13" s="9">
        <v>0.94452127108994932</v>
      </c>
      <c r="M13" s="28"/>
      <c r="N13" s="31"/>
      <c r="O13" s="7" t="s">
        <v>13</v>
      </c>
      <c r="P13" s="7"/>
      <c r="Q13" s="7">
        <v>483.05</v>
      </c>
      <c r="R13" s="9">
        <v>0.99132801987371899</v>
      </c>
      <c r="S13" s="9">
        <v>0.98251112721250389</v>
      </c>
      <c r="T13" s="9">
        <v>0.94452127108994932</v>
      </c>
    </row>
    <row r="14" spans="1:20" x14ac:dyDescent="0.25">
      <c r="A14" s="7"/>
      <c r="B14" s="7"/>
      <c r="C14" s="7"/>
      <c r="D14" s="7"/>
      <c r="E14" s="7"/>
      <c r="F14" s="7" t="s">
        <v>30</v>
      </c>
      <c r="G14" s="9">
        <f>AVERAGE(G10:G13)</f>
        <v>0.99799950658561798</v>
      </c>
      <c r="H14" s="9">
        <f t="shared" ref="H14:I14" si="4">AVERAGE(H10:H13)</f>
        <v>0.97879557007461071</v>
      </c>
      <c r="I14" s="9">
        <f t="shared" si="4"/>
        <v>0.92012491962896115</v>
      </c>
      <c r="M14" s="28"/>
      <c r="N14" s="31"/>
      <c r="O14" s="7"/>
      <c r="P14" s="7"/>
      <c r="Q14" s="7" t="s">
        <v>30</v>
      </c>
      <c r="R14" s="9">
        <f>AVERAGE(R10:R13)</f>
        <v>0.99799950658561798</v>
      </c>
      <c r="S14" s="9">
        <f t="shared" ref="S14:T14" si="5">AVERAGE(S10:S13)</f>
        <v>0.97879557007461071</v>
      </c>
      <c r="T14" s="9">
        <f t="shared" si="5"/>
        <v>0.92012491962896115</v>
      </c>
    </row>
    <row r="15" spans="1:20" x14ac:dyDescent="0.25">
      <c r="A15" s="7"/>
      <c r="B15" s="7"/>
      <c r="C15" s="7"/>
      <c r="D15" s="7"/>
      <c r="E15" s="7"/>
      <c r="F15" s="7" t="s">
        <v>31</v>
      </c>
      <c r="G15" s="11">
        <f>_xlfn.STDEV.P(G10:G13)/G14</f>
        <v>1.3423309669578349E-2</v>
      </c>
      <c r="H15" s="11">
        <f t="shared" ref="H15:I15" si="6">_xlfn.STDEV.P(H10:H13)/H14</f>
        <v>1.9007233962499117E-2</v>
      </c>
      <c r="I15" s="11">
        <f t="shared" si="6"/>
        <v>3.2896119027966422E-2</v>
      </c>
      <c r="M15" s="29"/>
      <c r="N15" s="32"/>
      <c r="O15" s="7"/>
      <c r="P15" s="7"/>
      <c r="Q15" s="7" t="s">
        <v>31</v>
      </c>
      <c r="R15" s="11">
        <f>_xlfn.STDEV.P(R10:R13)/R14</f>
        <v>1.3423309669578349E-2</v>
      </c>
      <c r="S15" s="11">
        <f t="shared" ref="S15:T15" si="7">_xlfn.STDEV.P(S10:S13)/S14</f>
        <v>1.9007233962499117E-2</v>
      </c>
      <c r="T15" s="11">
        <f t="shared" si="7"/>
        <v>3.2896119027966422E-2</v>
      </c>
    </row>
    <row r="16" spans="1:20" ht="23.25" x14ac:dyDescent="0.25">
      <c r="A16" s="7">
        <v>9</v>
      </c>
      <c r="B16" s="7" t="s">
        <v>32</v>
      </c>
      <c r="C16" s="8" t="s">
        <v>37</v>
      </c>
      <c r="D16" s="7" t="s">
        <v>15</v>
      </c>
      <c r="E16" s="7" t="s">
        <v>14</v>
      </c>
      <c r="F16" s="9">
        <v>1.0020709177592371</v>
      </c>
      <c r="G16" s="9">
        <v>1.0020709177592371</v>
      </c>
      <c r="H16" s="9">
        <v>1.019655095351609</v>
      </c>
      <c r="I16" s="9">
        <v>1.0092222884386175</v>
      </c>
    </row>
    <row r="17" spans="1:9" x14ac:dyDescent="0.25">
      <c r="A17" s="7">
        <v>10</v>
      </c>
      <c r="B17" s="7"/>
      <c r="C17" s="7"/>
      <c r="D17" s="7" t="s">
        <v>16</v>
      </c>
      <c r="E17" s="7"/>
      <c r="F17" s="9">
        <v>1.0044943820224719</v>
      </c>
      <c r="G17" s="9">
        <v>1.0044943820224719</v>
      </c>
      <c r="H17" s="9">
        <v>1.0133594020689998</v>
      </c>
      <c r="I17" s="9">
        <v>1.0048062168984804</v>
      </c>
    </row>
    <row r="18" spans="1:9" x14ac:dyDescent="0.25">
      <c r="A18" s="7">
        <v>11</v>
      </c>
      <c r="B18" s="7"/>
      <c r="C18" s="7"/>
      <c r="D18" s="7" t="s">
        <v>17</v>
      </c>
      <c r="E18" s="7"/>
      <c r="F18" s="9">
        <v>1.1504338153503892</v>
      </c>
      <c r="G18" s="9">
        <v>1.1504338153503892</v>
      </c>
      <c r="H18" s="9">
        <v>1.1562106043752318</v>
      </c>
      <c r="I18" s="9">
        <v>1.1474378939562477</v>
      </c>
    </row>
    <row r="19" spans="1:9" x14ac:dyDescent="0.25">
      <c r="A19" s="7"/>
      <c r="B19" s="7"/>
      <c r="C19" s="7"/>
      <c r="D19" s="7"/>
      <c r="E19" s="7"/>
      <c r="F19" s="7" t="s">
        <v>30</v>
      </c>
      <c r="G19" s="9">
        <f>AVERAGE(G16:G18)</f>
        <v>1.0523330383773661</v>
      </c>
      <c r="H19" s="9">
        <f t="shared" ref="H19:I19" si="8">AVERAGE(H16:H18)</f>
        <v>1.0630750339319468</v>
      </c>
      <c r="I19" s="9">
        <f t="shared" si="8"/>
        <v>1.0538221330977819</v>
      </c>
    </row>
    <row r="20" spans="1:9" x14ac:dyDescent="0.25">
      <c r="A20" s="7"/>
      <c r="B20" s="7"/>
      <c r="C20" s="7"/>
      <c r="D20" s="7"/>
      <c r="E20" s="7"/>
      <c r="F20" s="7" t="s">
        <v>31</v>
      </c>
      <c r="G20" s="12">
        <f>_xlfn.STDEV.P(G16:G18)/G19</f>
        <v>6.5924738042162229E-2</v>
      </c>
      <c r="H20" s="12">
        <f t="shared" ref="H20:I20" si="9">_xlfn.STDEV.P(H16:H18)/H19</f>
        <v>6.1996497153133288E-2</v>
      </c>
      <c r="I20" s="12">
        <f t="shared" si="9"/>
        <v>6.2838768524935709E-2</v>
      </c>
    </row>
    <row r="21" spans="1:9" x14ac:dyDescent="0.25">
      <c r="A21" s="7">
        <v>12</v>
      </c>
      <c r="B21" s="7"/>
      <c r="C21" s="7"/>
      <c r="D21" s="7" t="s">
        <v>18</v>
      </c>
      <c r="E21" s="7"/>
      <c r="F21" s="7">
        <v>743.99</v>
      </c>
      <c r="G21" s="9">
        <v>0.98327396873613893</v>
      </c>
      <c r="H21" s="9">
        <v>0.98349036949421365</v>
      </c>
      <c r="I21" s="9">
        <v>0.9239868815441068</v>
      </c>
    </row>
    <row r="22" spans="1:9" x14ac:dyDescent="0.25">
      <c r="A22" s="7">
        <v>13</v>
      </c>
      <c r="B22" s="7"/>
      <c r="C22" s="7"/>
      <c r="D22" s="7" t="s">
        <v>19</v>
      </c>
      <c r="E22" s="7"/>
      <c r="F22" s="7">
        <v>543.96</v>
      </c>
      <c r="G22" s="9">
        <v>0.96987278476358552</v>
      </c>
      <c r="H22" s="9">
        <v>0.96034267225531289</v>
      </c>
      <c r="I22" s="9">
        <v>0.91027832928891828</v>
      </c>
    </row>
    <row r="23" spans="1:9" x14ac:dyDescent="0.25">
      <c r="A23" s="7">
        <v>14</v>
      </c>
      <c r="B23" s="7"/>
      <c r="C23" s="7"/>
      <c r="D23" s="7" t="s">
        <v>20</v>
      </c>
      <c r="E23" s="7"/>
      <c r="F23" s="7">
        <v>327.29000000000002</v>
      </c>
      <c r="G23" s="9">
        <v>0.97874667725870024</v>
      </c>
      <c r="H23" s="9">
        <v>0.965849857924165</v>
      </c>
      <c r="I23" s="9">
        <v>0.92528949860979559</v>
      </c>
    </row>
    <row r="24" spans="1:9" x14ac:dyDescent="0.25">
      <c r="A24" s="7"/>
      <c r="B24" s="7"/>
      <c r="C24" s="7"/>
      <c r="D24" s="7"/>
      <c r="E24" s="7"/>
      <c r="F24" s="7" t="s">
        <v>30</v>
      </c>
      <c r="G24" s="9">
        <f>AVERAGE(G21:G23)</f>
        <v>0.97729781025280815</v>
      </c>
      <c r="H24" s="9">
        <f t="shared" ref="H24:I24" si="10">AVERAGE(H21:H23)</f>
        <v>0.96989429989123055</v>
      </c>
      <c r="I24" s="9">
        <f t="shared" si="10"/>
        <v>0.91985156981427352</v>
      </c>
    </row>
    <row r="25" spans="1:9" x14ac:dyDescent="0.25">
      <c r="A25" s="7"/>
      <c r="B25" s="7"/>
      <c r="C25" s="7"/>
      <c r="D25" s="7"/>
      <c r="E25" s="7"/>
      <c r="F25" s="7" t="s">
        <v>31</v>
      </c>
      <c r="G25" s="13">
        <f>_xlfn.STDEV.P(G21:G23)/G24</f>
        <v>5.6954066372783109E-3</v>
      </c>
      <c r="H25" s="13">
        <f t="shared" ref="H25:I25" si="11">_xlfn.STDEV.P(H21:H23)/H24</f>
        <v>1.0179735158694102E-2</v>
      </c>
      <c r="I25" s="13">
        <f t="shared" si="11"/>
        <v>7.3817993438324127E-3</v>
      </c>
    </row>
    <row r="26" spans="1:9" x14ac:dyDescent="0.25">
      <c r="A26" s="2"/>
      <c r="B26" s="2"/>
      <c r="C26" s="2"/>
      <c r="D26" s="2"/>
      <c r="E26" s="2"/>
      <c r="F26" s="2"/>
      <c r="G26" s="4"/>
      <c r="H26" s="4"/>
      <c r="I26" s="4"/>
    </row>
    <row r="27" spans="1:9" ht="24.75" x14ac:dyDescent="0.25">
      <c r="A27" s="2">
        <v>15</v>
      </c>
      <c r="B27" s="2" t="s">
        <v>24</v>
      </c>
      <c r="C27" s="6" t="s">
        <v>38</v>
      </c>
      <c r="D27" s="2" t="s">
        <v>21</v>
      </c>
      <c r="E27" s="2" t="s">
        <v>26</v>
      </c>
      <c r="F27" s="2">
        <v>1158.2</v>
      </c>
      <c r="G27" s="3">
        <v>0.97273355206354695</v>
      </c>
      <c r="H27" s="3">
        <v>0.97420134691763072</v>
      </c>
      <c r="I27" s="3">
        <v>0.96967708513210149</v>
      </c>
    </row>
    <row r="28" spans="1:9" x14ac:dyDescent="0.25">
      <c r="A28" s="2">
        <v>16</v>
      </c>
      <c r="B28" s="2"/>
      <c r="C28" s="2"/>
      <c r="D28" s="2" t="s">
        <v>22</v>
      </c>
      <c r="E28" s="2"/>
      <c r="F28" s="2">
        <v>1079.2</v>
      </c>
      <c r="G28" s="3">
        <v>0.987991104521868</v>
      </c>
      <c r="H28" s="3">
        <v>1.0381671608598964</v>
      </c>
      <c r="I28" s="3">
        <v>1.0319403261675315</v>
      </c>
    </row>
    <row r="29" spans="1:9" x14ac:dyDescent="0.25">
      <c r="A29" s="2">
        <v>17</v>
      </c>
      <c r="B29" s="2"/>
      <c r="C29" s="2"/>
      <c r="D29" s="2" t="s">
        <v>23</v>
      </c>
      <c r="E29" s="2"/>
      <c r="F29" s="2">
        <v>1418.1</v>
      </c>
      <c r="G29" s="3">
        <v>0.98096749171426567</v>
      </c>
      <c r="H29" s="3">
        <v>0.98091812989210925</v>
      </c>
      <c r="I29" s="3">
        <v>0.97613708483181727</v>
      </c>
    </row>
    <row r="30" spans="1:9" x14ac:dyDescent="0.25">
      <c r="A30" s="2"/>
      <c r="B30" s="2"/>
      <c r="C30" s="2"/>
      <c r="D30" s="2"/>
      <c r="E30" s="2"/>
      <c r="F30" s="2" t="s">
        <v>30</v>
      </c>
      <c r="G30" s="3">
        <f>AVERAGE(G27:G29)</f>
        <v>0.98056404943322695</v>
      </c>
      <c r="H30" s="3">
        <f>AVERAGE(H27:H29)</f>
        <v>0.99776221255654551</v>
      </c>
      <c r="I30" s="3">
        <f>AVERAGE(I27:I29)</f>
        <v>0.99258483204381676</v>
      </c>
    </row>
    <row r="31" spans="1:9" x14ac:dyDescent="0.25">
      <c r="A31" s="2"/>
      <c r="B31" s="2"/>
      <c r="C31" s="2"/>
      <c r="D31" s="2"/>
      <c r="E31" s="2"/>
      <c r="F31" s="2" t="s">
        <v>31</v>
      </c>
      <c r="G31" s="5">
        <f>_xlfn.STDEV.P(G27:G29)/G30</f>
        <v>6.3589920539535594E-3</v>
      </c>
      <c r="H31" s="5">
        <f>_xlfn.STDEV.P(H27:H29)/H30</f>
        <v>2.876627377615109E-2</v>
      </c>
      <c r="I31" s="5">
        <f>_xlfn.STDEV.P(I27:I29)/I30</f>
        <v>2.816205020502589E-2</v>
      </c>
    </row>
  </sheetData>
  <mergeCells count="13">
    <mergeCell ref="B2:B3"/>
    <mergeCell ref="C2:C3"/>
    <mergeCell ref="D2:D3"/>
    <mergeCell ref="E2:E3"/>
    <mergeCell ref="F2:F3"/>
    <mergeCell ref="R2:T2"/>
    <mergeCell ref="M4:M15"/>
    <mergeCell ref="N4:N15"/>
    <mergeCell ref="M2:M3"/>
    <mergeCell ref="N2:N3"/>
    <mergeCell ref="O2:O3"/>
    <mergeCell ref="P2:P3"/>
    <mergeCell ref="Q2:Q3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544B4-6879-434C-889B-37A2AE61DBBD}">
  <sheetPr codeName="Sheet1"/>
  <dimension ref="A2:S29"/>
  <sheetViews>
    <sheetView zoomScale="160" zoomScaleNormal="160" workbookViewId="0">
      <selection activeCell="M19" sqref="M19"/>
    </sheetView>
  </sheetViews>
  <sheetFormatPr defaultColWidth="9.140625" defaultRowHeight="11.25" x14ac:dyDescent="0.2"/>
  <cols>
    <col min="1" max="1" width="9.140625" style="14"/>
    <col min="2" max="2" width="10.85546875" style="14" customWidth="1"/>
    <col min="3" max="3" width="9.28515625" style="14" customWidth="1"/>
    <col min="4" max="4" width="10.42578125" style="14" customWidth="1"/>
    <col min="5" max="5" width="12.140625" style="14" bestFit="1" customWidth="1"/>
    <col min="6" max="6" width="8.85546875" style="14" customWidth="1"/>
    <col min="7" max="8" width="9.140625" style="14"/>
    <col min="9" max="9" width="10.28515625" style="14" customWidth="1"/>
    <col min="10" max="16384" width="9.140625" style="14"/>
  </cols>
  <sheetData>
    <row r="2" spans="1:19" ht="15" customHeight="1" x14ac:dyDescent="0.25">
      <c r="A2" s="7"/>
      <c r="B2" s="37" t="s">
        <v>0</v>
      </c>
      <c r="C2" s="38" t="s">
        <v>1</v>
      </c>
      <c r="D2" s="37" t="s">
        <v>2</v>
      </c>
      <c r="E2" s="37" t="s">
        <v>3</v>
      </c>
      <c r="F2" s="37" t="s">
        <v>39</v>
      </c>
      <c r="G2" s="33" t="s">
        <v>41</v>
      </c>
      <c r="H2" s="34"/>
      <c r="I2" s="35"/>
      <c r="L2" s="23" t="s">
        <v>0</v>
      </c>
      <c r="M2" s="36" t="s">
        <v>1</v>
      </c>
      <c r="N2" s="23" t="s">
        <v>2</v>
      </c>
      <c r="O2" s="23" t="s">
        <v>3</v>
      </c>
      <c r="P2" s="23" t="s">
        <v>39</v>
      </c>
      <c r="Q2" s="24" t="s">
        <v>41</v>
      </c>
      <c r="R2" s="25"/>
      <c r="S2" s="26"/>
    </row>
    <row r="3" spans="1:19" x14ac:dyDescent="0.2">
      <c r="A3" s="7"/>
      <c r="B3" s="37"/>
      <c r="C3" s="38"/>
      <c r="D3" s="37"/>
      <c r="E3" s="37"/>
      <c r="F3" s="37"/>
      <c r="G3" s="7" t="s">
        <v>29</v>
      </c>
      <c r="H3" s="7" t="s">
        <v>28</v>
      </c>
      <c r="I3" s="7" t="s">
        <v>27</v>
      </c>
      <c r="L3" s="23"/>
      <c r="M3" s="36"/>
      <c r="N3" s="23"/>
      <c r="O3" s="23"/>
      <c r="P3" s="23"/>
      <c r="Q3" s="7" t="s">
        <v>29</v>
      </c>
      <c r="R3" s="7" t="s">
        <v>28</v>
      </c>
      <c r="S3" s="7" t="s">
        <v>27</v>
      </c>
    </row>
    <row r="4" spans="1:19" x14ac:dyDescent="0.2">
      <c r="A4" s="7">
        <v>1</v>
      </c>
      <c r="B4" s="27" t="s">
        <v>4</v>
      </c>
      <c r="C4" s="30" t="s">
        <v>5</v>
      </c>
      <c r="D4" s="7" t="s">
        <v>6</v>
      </c>
      <c r="E4" s="7" t="s">
        <v>14</v>
      </c>
      <c r="F4" s="7">
        <v>915.6</v>
      </c>
      <c r="G4" s="9">
        <v>1.0171647007426825</v>
      </c>
      <c r="H4" s="9">
        <v>1.014051987767584</v>
      </c>
      <c r="I4" s="9">
        <v>0.99420707732634339</v>
      </c>
      <c r="L4" s="27" t="s">
        <v>32</v>
      </c>
      <c r="M4" s="30" t="s">
        <v>5</v>
      </c>
      <c r="N4" s="7" t="s">
        <v>15</v>
      </c>
      <c r="O4" s="7" t="s">
        <v>14</v>
      </c>
      <c r="P4" s="9">
        <v>1.0020709177592371</v>
      </c>
      <c r="Q4" s="9">
        <v>1.0020709177592371</v>
      </c>
      <c r="R4" s="9">
        <v>1.019655095351609</v>
      </c>
      <c r="S4" s="9">
        <v>1.0092222884386175</v>
      </c>
    </row>
    <row r="5" spans="1:19" x14ac:dyDescent="0.2">
      <c r="A5" s="7">
        <v>2</v>
      </c>
      <c r="B5" s="28"/>
      <c r="C5" s="31"/>
      <c r="D5" s="7" t="s">
        <v>7</v>
      </c>
      <c r="E5" s="7"/>
      <c r="F5" s="7">
        <v>656.33</v>
      </c>
      <c r="G5" s="9">
        <v>1.0224277421419103</v>
      </c>
      <c r="H5" s="9">
        <v>1.018222540490302</v>
      </c>
      <c r="I5" s="9">
        <v>0.99910715646092663</v>
      </c>
      <c r="L5" s="28"/>
      <c r="M5" s="31"/>
      <c r="N5" s="7" t="s">
        <v>16</v>
      </c>
      <c r="O5" s="7"/>
      <c r="P5" s="9">
        <v>1.0044943820224719</v>
      </c>
      <c r="Q5" s="9">
        <v>1.0044943820224719</v>
      </c>
      <c r="R5" s="9">
        <v>1.0133594020689998</v>
      </c>
      <c r="S5" s="9">
        <v>1.0048062168984804</v>
      </c>
    </row>
    <row r="6" spans="1:19" x14ac:dyDescent="0.2">
      <c r="A6" s="7">
        <v>3</v>
      </c>
      <c r="B6" s="28"/>
      <c r="C6" s="31"/>
      <c r="D6" s="7" t="s">
        <v>8</v>
      </c>
      <c r="E6" s="7"/>
      <c r="F6" s="7">
        <v>345.19</v>
      </c>
      <c r="G6" s="9">
        <v>0.97893044410324759</v>
      </c>
      <c r="H6" s="9">
        <v>0.9766186737738638</v>
      </c>
      <c r="I6" s="9">
        <v>0.96463107274254756</v>
      </c>
      <c r="L6" s="28"/>
      <c r="M6" s="31"/>
      <c r="N6" s="7"/>
      <c r="O6" s="7"/>
      <c r="P6" s="7" t="s">
        <v>30</v>
      </c>
      <c r="Q6" s="9">
        <f>AVERAGE(Q4:Q5)</f>
        <v>1.0032826498908545</v>
      </c>
      <c r="R6" s="9">
        <f>AVERAGE(R4:R5)</f>
        <v>1.0165072487103044</v>
      </c>
      <c r="S6" s="9">
        <f>AVERAGE(S4:S5)</f>
        <v>1.007014252668549</v>
      </c>
    </row>
    <row r="7" spans="1:19" x14ac:dyDescent="0.2">
      <c r="A7" s="7">
        <v>4</v>
      </c>
      <c r="B7" s="28"/>
      <c r="C7" s="31"/>
      <c r="D7" s="7" t="s">
        <v>9</v>
      </c>
      <c r="E7" s="7"/>
      <c r="F7" s="7">
        <v>217.3</v>
      </c>
      <c r="G7" s="9">
        <v>0.96562816382880812</v>
      </c>
      <c r="H7" s="9">
        <v>0.96371836171191894</v>
      </c>
      <c r="I7" s="9">
        <v>0.95286700414173942</v>
      </c>
      <c r="L7" s="28"/>
      <c r="M7" s="31"/>
      <c r="N7" s="7"/>
      <c r="O7" s="7"/>
      <c r="P7" s="7" t="s">
        <v>31</v>
      </c>
      <c r="Q7" s="22">
        <f>_xlfn.STDEV.P(Q4:Q5)/Q6</f>
        <v>1.2077674539166276E-3</v>
      </c>
      <c r="R7" s="22">
        <f>_xlfn.STDEV.P(R4:R5)/R6</f>
        <v>3.0967281790646025E-3</v>
      </c>
      <c r="S7" s="22">
        <f>_xlfn.STDEV.P(S4:S5)/S6</f>
        <v>2.1926559273787354E-3</v>
      </c>
    </row>
    <row r="8" spans="1:19" x14ac:dyDescent="0.2">
      <c r="A8" s="7"/>
      <c r="B8" s="28"/>
      <c r="C8" s="31"/>
      <c r="D8" s="7"/>
      <c r="E8" s="7"/>
      <c r="F8" s="7" t="s">
        <v>30</v>
      </c>
      <c r="G8" s="9">
        <f>AVERAGE(G4:G7)</f>
        <v>0.99603776270416211</v>
      </c>
      <c r="H8" s="9">
        <f t="shared" ref="H8:I8" si="0">AVERAGE(H4:H7)</f>
        <v>0.9931528909359173</v>
      </c>
      <c r="I8" s="9">
        <f t="shared" si="0"/>
        <v>0.97770307766788922</v>
      </c>
      <c r="L8" s="28"/>
      <c r="M8" s="31"/>
      <c r="N8" s="7" t="s">
        <v>18</v>
      </c>
      <c r="O8" s="7"/>
      <c r="P8" s="7">
        <v>743.99</v>
      </c>
      <c r="Q8" s="9">
        <v>0.98327396873613893</v>
      </c>
      <c r="R8" s="9">
        <v>0.98349036949421365</v>
      </c>
      <c r="S8" s="9">
        <v>0.9239868815441068</v>
      </c>
    </row>
    <row r="9" spans="1:19" x14ac:dyDescent="0.2">
      <c r="A9" s="7"/>
      <c r="B9" s="28"/>
      <c r="C9" s="31"/>
      <c r="D9" s="7"/>
      <c r="E9" s="7"/>
      <c r="F9" s="7" t="s">
        <v>31</v>
      </c>
      <c r="G9" s="10">
        <f>_xlfn.STDEV.P(G4:G7)/G8</f>
        <v>2.4387484166856353E-2</v>
      </c>
      <c r="H9" s="10">
        <f t="shared" ref="H9:I9" si="1">_xlfn.STDEV.P(H4:H7)/H8</f>
        <v>2.36407518751823E-2</v>
      </c>
      <c r="I9" s="10">
        <f t="shared" si="1"/>
        <v>1.9926499530967767E-2</v>
      </c>
      <c r="L9" s="28"/>
      <c r="M9" s="31"/>
      <c r="N9" s="7" t="s">
        <v>19</v>
      </c>
      <c r="O9" s="7"/>
      <c r="P9" s="7">
        <v>543.96</v>
      </c>
      <c r="Q9" s="9">
        <v>0.96987278476358552</v>
      </c>
      <c r="R9" s="9">
        <v>0.96034267225531289</v>
      </c>
      <c r="S9" s="9">
        <v>0.91027832928891828</v>
      </c>
    </row>
    <row r="10" spans="1:19" x14ac:dyDescent="0.2">
      <c r="A10" s="7">
        <v>5</v>
      </c>
      <c r="B10" s="28"/>
      <c r="C10" s="31"/>
      <c r="D10" s="7" t="s">
        <v>10</v>
      </c>
      <c r="E10" s="7"/>
      <c r="F10" s="7">
        <v>1556.83</v>
      </c>
      <c r="G10" s="9">
        <v>0.97927198216889455</v>
      </c>
      <c r="H10" s="9">
        <v>0.94802900766300757</v>
      </c>
      <c r="I10" s="9">
        <v>0.87305614614312421</v>
      </c>
      <c r="L10" s="28"/>
      <c r="M10" s="31"/>
      <c r="N10" s="7" t="s">
        <v>20</v>
      </c>
      <c r="O10" s="7"/>
      <c r="P10" s="7">
        <v>327.29000000000002</v>
      </c>
      <c r="Q10" s="9">
        <v>0.97874667725870024</v>
      </c>
      <c r="R10" s="9">
        <v>0.965849857924165</v>
      </c>
      <c r="S10" s="9">
        <v>0.92528949860979559</v>
      </c>
    </row>
    <row r="11" spans="1:19" x14ac:dyDescent="0.2">
      <c r="A11" s="7">
        <v>6</v>
      </c>
      <c r="B11" s="28"/>
      <c r="C11" s="31"/>
      <c r="D11" s="7" t="s">
        <v>11</v>
      </c>
      <c r="E11" s="7"/>
      <c r="F11" s="7">
        <v>1087.71</v>
      </c>
      <c r="G11" s="9">
        <v>1.0108944479686681</v>
      </c>
      <c r="H11" s="9">
        <v>0.98692666243759819</v>
      </c>
      <c r="I11" s="9">
        <v>0.91418300833861965</v>
      </c>
      <c r="L11" s="28"/>
      <c r="M11" s="31"/>
      <c r="N11" s="7"/>
      <c r="O11" s="7"/>
      <c r="P11" s="7" t="s">
        <v>30</v>
      </c>
      <c r="Q11" s="9">
        <f>AVERAGE(Q8:Q10)</f>
        <v>0.97729781025280815</v>
      </c>
      <c r="R11" s="9">
        <f t="shared" ref="R11:S11" si="2">AVERAGE(R8:R10)</f>
        <v>0.96989429989123055</v>
      </c>
      <c r="S11" s="9">
        <f t="shared" si="2"/>
        <v>0.91985156981427352</v>
      </c>
    </row>
    <row r="12" spans="1:19" x14ac:dyDescent="0.2">
      <c r="A12" s="7">
        <v>7</v>
      </c>
      <c r="B12" s="28"/>
      <c r="C12" s="31"/>
      <c r="D12" s="7" t="s">
        <v>12</v>
      </c>
      <c r="E12" s="7"/>
      <c r="F12" s="7">
        <v>692.05</v>
      </c>
      <c r="G12" s="9">
        <v>1.01050357633119</v>
      </c>
      <c r="H12" s="9">
        <v>0.99771548298533352</v>
      </c>
      <c r="I12" s="9">
        <v>0.94873925294415151</v>
      </c>
      <c r="L12" s="29"/>
      <c r="M12" s="32"/>
      <c r="N12" s="7"/>
      <c r="O12" s="7"/>
      <c r="P12" s="7" t="s">
        <v>31</v>
      </c>
      <c r="Q12" s="13">
        <f>_xlfn.STDEV.P(Q8:Q10)/Q11</f>
        <v>5.6954066372783109E-3</v>
      </c>
      <c r="R12" s="13">
        <f t="shared" ref="R12:S12" si="3">_xlfn.STDEV.P(R8:R10)/R11</f>
        <v>1.0179735158694102E-2</v>
      </c>
      <c r="S12" s="13">
        <f t="shared" si="3"/>
        <v>7.3817993438324127E-3</v>
      </c>
    </row>
    <row r="13" spans="1:19" x14ac:dyDescent="0.2">
      <c r="A13" s="7">
        <v>8</v>
      </c>
      <c r="B13" s="28"/>
      <c r="C13" s="31"/>
      <c r="D13" s="7" t="s">
        <v>13</v>
      </c>
      <c r="E13" s="7"/>
      <c r="F13" s="7">
        <v>483.05</v>
      </c>
      <c r="G13" s="9">
        <v>0.99132801987371899</v>
      </c>
      <c r="H13" s="9">
        <v>0.98251112721250389</v>
      </c>
      <c r="I13" s="9">
        <v>0.94452127108994932</v>
      </c>
    </row>
    <row r="14" spans="1:19" x14ac:dyDescent="0.2">
      <c r="A14" s="7"/>
      <c r="B14" s="28"/>
      <c r="C14" s="31"/>
      <c r="D14" s="7"/>
      <c r="E14" s="7"/>
      <c r="F14" s="7" t="s">
        <v>30</v>
      </c>
      <c r="G14" s="9">
        <f>AVERAGE(G10:G13)</f>
        <v>0.99799950658561798</v>
      </c>
      <c r="H14" s="9">
        <f t="shared" ref="H14:I14" si="4">AVERAGE(H10:H13)</f>
        <v>0.97879557007461071</v>
      </c>
      <c r="I14" s="9">
        <f t="shared" si="4"/>
        <v>0.92012491962896115</v>
      </c>
    </row>
    <row r="15" spans="1:19" x14ac:dyDescent="0.2">
      <c r="A15" s="7"/>
      <c r="B15" s="29"/>
      <c r="C15" s="32"/>
      <c r="D15" s="7"/>
      <c r="E15" s="7"/>
      <c r="F15" s="7" t="s">
        <v>31</v>
      </c>
      <c r="G15" s="11">
        <f>_xlfn.STDEV.P(G10:G13)/G14</f>
        <v>1.3423309669578349E-2</v>
      </c>
      <c r="H15" s="11">
        <f t="shared" ref="H15:I15" si="5">_xlfn.STDEV.P(H10:H13)/H14</f>
        <v>1.9007233962499117E-2</v>
      </c>
      <c r="I15" s="11">
        <f t="shared" si="5"/>
        <v>3.2896119027966422E-2</v>
      </c>
    </row>
    <row r="16" spans="1:19" x14ac:dyDescent="0.2">
      <c r="A16" s="7">
        <v>9</v>
      </c>
      <c r="B16" s="27" t="s">
        <v>32</v>
      </c>
      <c r="C16" s="30" t="s">
        <v>5</v>
      </c>
      <c r="D16" s="7" t="s">
        <v>15</v>
      </c>
      <c r="E16" s="7" t="s">
        <v>14</v>
      </c>
      <c r="F16" s="9">
        <v>1.0020709177592371</v>
      </c>
      <c r="G16" s="9">
        <v>1.0020709177592371</v>
      </c>
      <c r="H16" s="9">
        <v>1.019655095351609</v>
      </c>
      <c r="I16" s="9">
        <v>1.0092222884386175</v>
      </c>
    </row>
    <row r="17" spans="1:9" x14ac:dyDescent="0.2">
      <c r="A17" s="7">
        <v>10</v>
      </c>
      <c r="B17" s="28"/>
      <c r="C17" s="31"/>
      <c r="D17" s="7" t="s">
        <v>16</v>
      </c>
      <c r="E17" s="7"/>
      <c r="F17" s="9">
        <v>1.0044943820224719</v>
      </c>
      <c r="G17" s="9">
        <v>1.0044943820224719</v>
      </c>
      <c r="H17" s="9">
        <v>1.0133594020689998</v>
      </c>
      <c r="I17" s="9">
        <v>1.0048062168984804</v>
      </c>
    </row>
    <row r="18" spans="1:9" x14ac:dyDescent="0.2">
      <c r="A18" s="7"/>
      <c r="B18" s="28"/>
      <c r="C18" s="31"/>
      <c r="D18" s="7"/>
      <c r="E18" s="7"/>
      <c r="F18" s="7" t="s">
        <v>30</v>
      </c>
      <c r="G18" s="9">
        <f>AVERAGE(G16:G17)</f>
        <v>1.0032826498908545</v>
      </c>
      <c r="H18" s="9">
        <f>AVERAGE(H16:H17)</f>
        <v>1.0165072487103044</v>
      </c>
      <c r="I18" s="9">
        <f>AVERAGE(I16:I17)</f>
        <v>1.007014252668549</v>
      </c>
    </row>
    <row r="19" spans="1:9" x14ac:dyDescent="0.2">
      <c r="A19" s="7"/>
      <c r="B19" s="28"/>
      <c r="C19" s="31"/>
      <c r="D19" s="7"/>
      <c r="E19" s="7"/>
      <c r="F19" s="7" t="s">
        <v>31</v>
      </c>
      <c r="G19" s="22">
        <f>_xlfn.STDEV.P(G16:G17)/G18</f>
        <v>1.2077674539166276E-3</v>
      </c>
      <c r="H19" s="22">
        <f>_xlfn.STDEV.P(H16:H17)/H18</f>
        <v>3.0967281790646025E-3</v>
      </c>
      <c r="I19" s="22">
        <f>_xlfn.STDEV.P(I16:I17)/I18</f>
        <v>2.1926559273787354E-3</v>
      </c>
    </row>
    <row r="20" spans="1:9" x14ac:dyDescent="0.2">
      <c r="A20" s="7">
        <v>12</v>
      </c>
      <c r="B20" s="28"/>
      <c r="C20" s="31"/>
      <c r="D20" s="7" t="s">
        <v>18</v>
      </c>
      <c r="E20" s="7"/>
      <c r="F20" s="7">
        <v>743.99</v>
      </c>
      <c r="G20" s="9">
        <v>0.98327396873613893</v>
      </c>
      <c r="H20" s="9">
        <v>0.98349036949421365</v>
      </c>
      <c r="I20" s="9">
        <v>0.9239868815441068</v>
      </c>
    </row>
    <row r="21" spans="1:9" x14ac:dyDescent="0.2">
      <c r="A21" s="7">
        <v>13</v>
      </c>
      <c r="B21" s="28"/>
      <c r="C21" s="31"/>
      <c r="D21" s="7" t="s">
        <v>19</v>
      </c>
      <c r="E21" s="7"/>
      <c r="F21" s="7">
        <v>543.96</v>
      </c>
      <c r="G21" s="9">
        <v>0.96987278476358552</v>
      </c>
      <c r="H21" s="9">
        <v>0.96034267225531289</v>
      </c>
      <c r="I21" s="9">
        <v>0.91027832928891828</v>
      </c>
    </row>
    <row r="22" spans="1:9" x14ac:dyDescent="0.2">
      <c r="A22" s="7">
        <v>14</v>
      </c>
      <c r="B22" s="28"/>
      <c r="C22" s="31"/>
      <c r="D22" s="7" t="s">
        <v>20</v>
      </c>
      <c r="E22" s="7"/>
      <c r="F22" s="7">
        <v>327.29000000000002</v>
      </c>
      <c r="G22" s="9">
        <v>0.97874667725870024</v>
      </c>
      <c r="H22" s="9">
        <v>0.965849857924165</v>
      </c>
      <c r="I22" s="9">
        <v>0.92528949860979559</v>
      </c>
    </row>
    <row r="23" spans="1:9" x14ac:dyDescent="0.2">
      <c r="A23" s="7"/>
      <c r="B23" s="28"/>
      <c r="C23" s="31"/>
      <c r="D23" s="7"/>
      <c r="E23" s="7"/>
      <c r="F23" s="7" t="s">
        <v>30</v>
      </c>
      <c r="G23" s="9">
        <f>AVERAGE(G20:G22)</f>
        <v>0.97729781025280815</v>
      </c>
      <c r="H23" s="9">
        <f t="shared" ref="H23:I23" si="6">AVERAGE(H20:H22)</f>
        <v>0.96989429989123055</v>
      </c>
      <c r="I23" s="9">
        <f t="shared" si="6"/>
        <v>0.91985156981427352</v>
      </c>
    </row>
    <row r="24" spans="1:9" x14ac:dyDescent="0.2">
      <c r="A24" s="7"/>
      <c r="B24" s="29"/>
      <c r="C24" s="32"/>
      <c r="D24" s="7"/>
      <c r="E24" s="7"/>
      <c r="F24" s="7" t="s">
        <v>31</v>
      </c>
      <c r="G24" s="13">
        <f>_xlfn.STDEV.P(G20:G22)/G23</f>
        <v>5.6954066372783109E-3</v>
      </c>
      <c r="H24" s="13">
        <f t="shared" ref="H24:I24" si="7">_xlfn.STDEV.P(H20:H22)/H23</f>
        <v>1.0179735158694102E-2</v>
      </c>
      <c r="I24" s="13">
        <f t="shared" si="7"/>
        <v>7.3817993438324127E-3</v>
      </c>
    </row>
    <row r="25" spans="1:9" x14ac:dyDescent="0.2">
      <c r="A25" s="7">
        <v>15</v>
      </c>
      <c r="B25" s="27" t="s">
        <v>24</v>
      </c>
      <c r="C25" s="30" t="s">
        <v>25</v>
      </c>
      <c r="D25" s="7" t="s">
        <v>21</v>
      </c>
      <c r="E25" s="7" t="s">
        <v>26</v>
      </c>
      <c r="F25" s="7">
        <v>1158.2</v>
      </c>
      <c r="G25" s="9">
        <v>0.97273355206354695</v>
      </c>
      <c r="H25" s="9">
        <v>0.97420134691763072</v>
      </c>
      <c r="I25" s="9">
        <v>0.96967708513210149</v>
      </c>
    </row>
    <row r="26" spans="1:9" x14ac:dyDescent="0.2">
      <c r="A26" s="7">
        <v>16</v>
      </c>
      <c r="B26" s="28"/>
      <c r="C26" s="31"/>
      <c r="D26" s="7" t="s">
        <v>22</v>
      </c>
      <c r="E26" s="7"/>
      <c r="F26" s="7">
        <v>1079.2</v>
      </c>
      <c r="G26" s="9">
        <v>0.987991104521868</v>
      </c>
      <c r="H26" s="9">
        <v>1.0381671608598964</v>
      </c>
      <c r="I26" s="9">
        <v>1.0319403261675315</v>
      </c>
    </row>
    <row r="27" spans="1:9" x14ac:dyDescent="0.2">
      <c r="A27" s="7">
        <v>17</v>
      </c>
      <c r="B27" s="28"/>
      <c r="C27" s="31"/>
      <c r="D27" s="7" t="s">
        <v>23</v>
      </c>
      <c r="E27" s="7"/>
      <c r="F27" s="7">
        <v>1418.1</v>
      </c>
      <c r="G27" s="9">
        <v>0.98096749171426567</v>
      </c>
      <c r="H27" s="9">
        <v>0.98091812989210925</v>
      </c>
      <c r="I27" s="9">
        <v>0.97613708483181727</v>
      </c>
    </row>
    <row r="28" spans="1:9" x14ac:dyDescent="0.2">
      <c r="A28" s="7"/>
      <c r="B28" s="28"/>
      <c r="C28" s="31"/>
      <c r="D28" s="7"/>
      <c r="E28" s="7"/>
      <c r="F28" s="7" t="s">
        <v>30</v>
      </c>
      <c r="G28" s="9">
        <f>AVERAGE(G25:G27)</f>
        <v>0.98056404943322695</v>
      </c>
      <c r="H28" s="9">
        <f>AVERAGE(H25:H27)</f>
        <v>0.99776221255654551</v>
      </c>
      <c r="I28" s="9">
        <f>AVERAGE(I25:I27)</f>
        <v>0.99258483204381676</v>
      </c>
    </row>
    <row r="29" spans="1:9" x14ac:dyDescent="0.2">
      <c r="A29" s="7"/>
      <c r="B29" s="29"/>
      <c r="C29" s="32"/>
      <c r="D29" s="7"/>
      <c r="E29" s="7"/>
      <c r="F29" s="7" t="s">
        <v>31</v>
      </c>
      <c r="G29" s="13">
        <f>_xlfn.STDEV.P(G25:G27)/G28</f>
        <v>6.3589920539535594E-3</v>
      </c>
      <c r="H29" s="13">
        <f>_xlfn.STDEV.P(H25:H27)/H28</f>
        <v>2.876627377615109E-2</v>
      </c>
      <c r="I29" s="13">
        <f>_xlfn.STDEV.P(I25:I27)/I28</f>
        <v>2.816205020502589E-2</v>
      </c>
    </row>
  </sheetData>
  <mergeCells count="20">
    <mergeCell ref="B4:B15"/>
    <mergeCell ref="B16:B24"/>
    <mergeCell ref="B25:B29"/>
    <mergeCell ref="C25:C29"/>
    <mergeCell ref="C16:C24"/>
    <mergeCell ref="C4:C15"/>
    <mergeCell ref="B2:B3"/>
    <mergeCell ref="C2:C3"/>
    <mergeCell ref="D2:D3"/>
    <mergeCell ref="E2:E3"/>
    <mergeCell ref="F2:F3"/>
    <mergeCell ref="P2:P3"/>
    <mergeCell ref="Q2:S2"/>
    <mergeCell ref="L4:L12"/>
    <mergeCell ref="M4:M12"/>
    <mergeCell ref="G2:I2"/>
    <mergeCell ref="L2:L3"/>
    <mergeCell ref="M2:M3"/>
    <mergeCell ref="N2:N3"/>
    <mergeCell ref="O2:O3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48D74-FF3E-45D6-AD9C-892190B84D84}">
  <sheetPr codeName="Sheet2"/>
  <dimension ref="B4:K9"/>
  <sheetViews>
    <sheetView workbookViewId="0">
      <selection activeCell="B4" sqref="B4:E9"/>
    </sheetView>
  </sheetViews>
  <sheetFormatPr defaultRowHeight="18.75" x14ac:dyDescent="0.3"/>
  <cols>
    <col min="2" max="2" width="9.140625" style="15"/>
    <col min="3" max="3" width="96.5703125" style="15" customWidth="1"/>
    <col min="4" max="4" width="14.5703125" style="15" bestFit="1" customWidth="1"/>
    <col min="5" max="5" width="18.5703125" style="15" bestFit="1" customWidth="1"/>
    <col min="6" max="11" width="9.140625" style="15"/>
  </cols>
  <sheetData>
    <row r="4" spans="2:5" ht="23.25" x14ac:dyDescent="0.3">
      <c r="B4" s="19" t="s">
        <v>52</v>
      </c>
      <c r="C4" s="20" t="s">
        <v>47</v>
      </c>
      <c r="D4" s="20" t="s">
        <v>43</v>
      </c>
      <c r="E4" s="20" t="s">
        <v>50</v>
      </c>
    </row>
    <row r="5" spans="2:5" ht="37.5" x14ac:dyDescent="0.3">
      <c r="B5" s="21">
        <v>1</v>
      </c>
      <c r="C5" s="16" t="s">
        <v>42</v>
      </c>
      <c r="D5" s="21">
        <v>8</v>
      </c>
      <c r="E5" s="15" t="s">
        <v>48</v>
      </c>
    </row>
    <row r="6" spans="2:5" ht="37.5" x14ac:dyDescent="0.3">
      <c r="B6" s="21">
        <v>2</v>
      </c>
      <c r="C6" s="17" t="s">
        <v>44</v>
      </c>
      <c r="D6" s="21">
        <v>6</v>
      </c>
      <c r="E6" s="15" t="s">
        <v>48</v>
      </c>
    </row>
    <row r="7" spans="2:5" ht="37.5" x14ac:dyDescent="0.3">
      <c r="B7" s="21">
        <v>3</v>
      </c>
      <c r="C7" s="17" t="s">
        <v>45</v>
      </c>
      <c r="D7" s="21">
        <v>3</v>
      </c>
      <c r="E7" s="15" t="s">
        <v>48</v>
      </c>
    </row>
    <row r="8" spans="2:5" x14ac:dyDescent="0.3">
      <c r="B8" s="21">
        <v>4</v>
      </c>
      <c r="C8" s="18" t="s">
        <v>46</v>
      </c>
      <c r="D8" s="21">
        <v>12</v>
      </c>
      <c r="E8" s="15" t="s">
        <v>49</v>
      </c>
    </row>
    <row r="9" spans="2:5" x14ac:dyDescent="0.3">
      <c r="C9" s="15" t="s">
        <v>51</v>
      </c>
      <c r="D9" s="21">
        <v>29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validation all</vt:lpstr>
      <vt:lpstr>validation clean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Kokou Evignon Attiogbe</dc:creator>
  <cp:lastModifiedBy>Kokou Evignon Attiogbe</cp:lastModifiedBy>
  <dcterms:created xsi:type="dcterms:W3CDTF">2026-02-25T07:28:51Z</dcterms:created>
  <dcterms:modified xsi:type="dcterms:W3CDTF">2026-08-12T01:45:46Z</dcterms:modified>
</cp:coreProperties>
</file>