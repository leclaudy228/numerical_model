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A505364D-C2FD-4839-969C-F771EAA4AF7F}" xr6:coauthVersionLast="47" xr6:coauthVersionMax="47" xr10:uidLastSave="{00000000-0000-0000-0000-000000000000}"/>
  <bookViews>
    <workbookView xWindow="-165" yWindow="-165" windowWidth="29130" windowHeight="15810" tabRatio="353" activeTab="1" xr2:uid="{00000000-000D-0000-FFFF-FFFF00000000}"/>
  </bookViews>
  <sheets>
    <sheet name="General_parameters" sheetId="2" r:id="rId1"/>
    <sheet name="Input_data" sheetId="1" r:id="rId2"/>
  </sheets>
  <calcPr calcId="191029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5" i="1" l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4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5" i="1"/>
  <c r="AK4" i="1"/>
  <c r="AK5" i="1"/>
  <c r="AK6" i="1"/>
  <c r="AK7" i="1"/>
  <c r="AK8" i="1"/>
  <c r="AK9" i="1"/>
  <c r="AK10" i="1"/>
  <c r="AK11" i="1"/>
  <c r="AK12" i="1"/>
  <c r="AK13" i="1"/>
  <c r="AK14" i="1"/>
  <c r="Y99" i="1"/>
  <c r="Z99" i="1"/>
  <c r="AA99" i="1"/>
  <c r="AD99" i="1"/>
  <c r="AC99" i="1"/>
  <c r="AB99" i="1"/>
  <c r="Y98" i="1"/>
  <c r="Z98" i="1"/>
  <c r="AA98" i="1"/>
  <c r="AD98" i="1"/>
  <c r="AC98" i="1"/>
  <c r="AB98" i="1"/>
  <c r="Y97" i="1"/>
  <c r="Z97" i="1"/>
  <c r="AA97" i="1"/>
  <c r="AD97" i="1"/>
  <c r="AC97" i="1"/>
  <c r="AB97" i="1"/>
  <c r="Y96" i="1"/>
  <c r="Z96" i="1"/>
  <c r="AA96" i="1"/>
  <c r="AD96" i="1"/>
  <c r="AC96" i="1"/>
  <c r="AB96" i="1"/>
  <c r="Y95" i="1"/>
  <c r="Z95" i="1"/>
  <c r="AA95" i="1"/>
  <c r="AD95" i="1"/>
  <c r="AC95" i="1"/>
  <c r="AB95" i="1"/>
  <c r="Y94" i="1"/>
  <c r="Z94" i="1"/>
  <c r="AA94" i="1"/>
  <c r="AD94" i="1"/>
  <c r="AC94" i="1"/>
  <c r="AB94" i="1"/>
  <c r="Y93" i="1"/>
  <c r="Z93" i="1"/>
  <c r="AA93" i="1"/>
  <c r="AD93" i="1"/>
  <c r="AC93" i="1"/>
  <c r="AB93" i="1"/>
  <c r="Y92" i="1"/>
  <c r="Z92" i="1"/>
  <c r="AA92" i="1"/>
  <c r="AD92" i="1"/>
  <c r="AC92" i="1"/>
  <c r="AB92" i="1"/>
  <c r="Y91" i="1"/>
  <c r="Z91" i="1"/>
  <c r="AA91" i="1"/>
  <c r="AD91" i="1"/>
  <c r="AC91" i="1"/>
  <c r="AB91" i="1"/>
  <c r="Y90" i="1"/>
  <c r="Z90" i="1"/>
  <c r="AA90" i="1"/>
  <c r="AD90" i="1"/>
  <c r="AC90" i="1"/>
  <c r="AB90" i="1"/>
  <c r="Y89" i="1"/>
  <c r="Z89" i="1"/>
  <c r="AA89" i="1"/>
  <c r="AD89" i="1"/>
  <c r="AC89" i="1"/>
  <c r="AB89" i="1"/>
  <c r="Y88" i="1"/>
  <c r="Z88" i="1"/>
  <c r="AA88" i="1"/>
  <c r="AD88" i="1"/>
  <c r="AC88" i="1"/>
  <c r="AB88" i="1"/>
  <c r="Y87" i="1"/>
  <c r="Z87" i="1"/>
  <c r="AA87" i="1"/>
  <c r="AD87" i="1"/>
  <c r="AC87" i="1"/>
  <c r="AB87" i="1"/>
  <c r="Y86" i="1"/>
  <c r="Z86" i="1"/>
  <c r="AA86" i="1"/>
  <c r="AD86" i="1"/>
  <c r="AC86" i="1"/>
  <c r="AB86" i="1"/>
  <c r="Y85" i="1"/>
  <c r="Z85" i="1"/>
  <c r="AA85" i="1"/>
  <c r="AD85" i="1"/>
  <c r="AC85" i="1"/>
  <c r="AB85" i="1"/>
  <c r="Y84" i="1"/>
  <c r="Z84" i="1"/>
  <c r="AA84" i="1"/>
  <c r="AD84" i="1"/>
  <c r="AC84" i="1"/>
  <c r="AB84" i="1"/>
  <c r="Y83" i="1"/>
  <c r="Z83" i="1"/>
  <c r="AA83" i="1"/>
  <c r="AD83" i="1"/>
  <c r="AC83" i="1"/>
  <c r="AB83" i="1"/>
  <c r="Y82" i="1"/>
  <c r="Z82" i="1"/>
  <c r="AA82" i="1"/>
  <c r="AD82" i="1"/>
  <c r="AC82" i="1"/>
  <c r="AB82" i="1"/>
  <c r="Y81" i="1"/>
  <c r="Z81" i="1"/>
  <c r="AA81" i="1"/>
  <c r="AD81" i="1"/>
  <c r="AC81" i="1"/>
  <c r="AB81" i="1"/>
  <c r="Y80" i="1"/>
  <c r="Z80" i="1"/>
  <c r="AA80" i="1"/>
  <c r="AD80" i="1"/>
  <c r="AC80" i="1"/>
  <c r="AB80" i="1"/>
  <c r="Y79" i="1"/>
  <c r="Z79" i="1"/>
  <c r="AA79" i="1"/>
  <c r="AD79" i="1"/>
  <c r="AC79" i="1"/>
  <c r="AB79" i="1"/>
  <c r="Y78" i="1"/>
  <c r="Z78" i="1"/>
  <c r="AA78" i="1"/>
  <c r="AD78" i="1"/>
  <c r="AC78" i="1"/>
  <c r="AB78" i="1"/>
  <c r="Y77" i="1"/>
  <c r="Z77" i="1"/>
  <c r="AA77" i="1"/>
  <c r="AD77" i="1"/>
  <c r="AC77" i="1"/>
  <c r="AB77" i="1"/>
  <c r="Y76" i="1"/>
  <c r="Z76" i="1"/>
  <c r="AA76" i="1"/>
  <c r="AD76" i="1"/>
  <c r="AC76" i="1"/>
  <c r="AB76" i="1"/>
  <c r="Y75" i="1"/>
  <c r="Z75" i="1"/>
  <c r="AA75" i="1"/>
  <c r="AD75" i="1"/>
  <c r="AC75" i="1"/>
  <c r="AB75" i="1"/>
  <c r="Y74" i="1"/>
  <c r="Z74" i="1"/>
  <c r="AA74" i="1"/>
  <c r="AD74" i="1"/>
  <c r="AC74" i="1"/>
  <c r="AB74" i="1"/>
  <c r="Y73" i="1"/>
  <c r="Z73" i="1"/>
  <c r="AA73" i="1"/>
  <c r="AD73" i="1"/>
  <c r="AC73" i="1"/>
  <c r="AB73" i="1"/>
  <c r="Y72" i="1"/>
  <c r="Z72" i="1"/>
  <c r="AA72" i="1"/>
  <c r="AD72" i="1"/>
  <c r="AC72" i="1"/>
  <c r="AB72" i="1"/>
  <c r="Y71" i="1"/>
  <c r="Z71" i="1"/>
  <c r="AA71" i="1"/>
  <c r="AD71" i="1"/>
  <c r="AC71" i="1"/>
  <c r="AB71" i="1"/>
  <c r="Y70" i="1"/>
  <c r="Z70" i="1"/>
  <c r="AA70" i="1"/>
  <c r="AD70" i="1"/>
  <c r="AC70" i="1"/>
  <c r="AB70" i="1"/>
  <c r="Y69" i="1"/>
  <c r="Z69" i="1"/>
  <c r="AA69" i="1"/>
  <c r="AD69" i="1"/>
  <c r="AC69" i="1"/>
  <c r="AB69" i="1"/>
  <c r="Y68" i="1"/>
  <c r="Z68" i="1"/>
  <c r="AA68" i="1"/>
  <c r="AD68" i="1"/>
  <c r="AC68" i="1"/>
  <c r="AB68" i="1"/>
  <c r="Y67" i="1"/>
  <c r="Z67" i="1"/>
  <c r="AA67" i="1"/>
  <c r="AD67" i="1"/>
  <c r="AC67" i="1"/>
  <c r="AB67" i="1"/>
  <c r="Y66" i="1"/>
  <c r="Z66" i="1"/>
  <c r="AA66" i="1"/>
  <c r="AD66" i="1"/>
  <c r="AC66" i="1"/>
  <c r="AB66" i="1"/>
  <c r="Y65" i="1"/>
  <c r="Z65" i="1"/>
  <c r="AA65" i="1"/>
  <c r="AD65" i="1"/>
  <c r="AC65" i="1"/>
  <c r="AB65" i="1"/>
  <c r="Y64" i="1"/>
  <c r="Z64" i="1"/>
  <c r="AA64" i="1"/>
  <c r="AD64" i="1"/>
  <c r="AC64" i="1"/>
  <c r="AB64" i="1"/>
  <c r="Y63" i="1"/>
  <c r="Z63" i="1"/>
  <c r="AA63" i="1"/>
  <c r="AD63" i="1"/>
  <c r="AC63" i="1"/>
  <c r="AB63" i="1"/>
  <c r="Y62" i="1"/>
  <c r="Z62" i="1"/>
  <c r="AA62" i="1"/>
  <c r="AD62" i="1"/>
  <c r="AC62" i="1"/>
  <c r="AB62" i="1"/>
  <c r="Y61" i="1"/>
  <c r="Z61" i="1"/>
  <c r="AA61" i="1"/>
  <c r="AD61" i="1"/>
  <c r="AC61" i="1"/>
  <c r="AB61" i="1"/>
  <c r="Y60" i="1"/>
  <c r="Z60" i="1"/>
  <c r="AA60" i="1"/>
  <c r="AD60" i="1"/>
  <c r="AC60" i="1"/>
  <c r="AB60" i="1"/>
  <c r="Y59" i="1"/>
  <c r="Z59" i="1"/>
  <c r="AA59" i="1"/>
  <c r="AD59" i="1"/>
  <c r="AC59" i="1"/>
  <c r="AB59" i="1"/>
  <c r="Y58" i="1"/>
  <c r="Z58" i="1"/>
  <c r="AA58" i="1"/>
  <c r="AD58" i="1"/>
  <c r="AC58" i="1"/>
  <c r="AB58" i="1"/>
  <c r="Y57" i="1"/>
  <c r="Z57" i="1"/>
  <c r="AA57" i="1"/>
  <c r="AD57" i="1"/>
  <c r="AC57" i="1"/>
  <c r="AB57" i="1"/>
  <c r="Y56" i="1"/>
  <c r="Z56" i="1"/>
  <c r="AA56" i="1"/>
  <c r="AD56" i="1"/>
  <c r="AC56" i="1"/>
  <c r="AB56" i="1"/>
  <c r="Y55" i="1"/>
  <c r="Z55" i="1"/>
  <c r="AA55" i="1"/>
  <c r="AD55" i="1"/>
  <c r="AC55" i="1"/>
  <c r="AB55" i="1"/>
  <c r="Y54" i="1"/>
  <c r="Z54" i="1"/>
  <c r="AA54" i="1"/>
  <c r="AD54" i="1"/>
  <c r="AC54" i="1"/>
  <c r="AB54" i="1"/>
  <c r="Y53" i="1"/>
  <c r="Z53" i="1"/>
  <c r="AA53" i="1"/>
  <c r="AD53" i="1"/>
  <c r="AC53" i="1"/>
  <c r="AB53" i="1"/>
  <c r="Y52" i="1"/>
  <c r="Z52" i="1"/>
  <c r="AA52" i="1"/>
  <c r="AD52" i="1"/>
  <c r="AC52" i="1"/>
  <c r="AB52" i="1"/>
  <c r="Y51" i="1"/>
  <c r="Z51" i="1"/>
  <c r="AA51" i="1"/>
  <c r="AD51" i="1"/>
  <c r="AC51" i="1"/>
  <c r="AB51" i="1"/>
  <c r="Y50" i="1"/>
  <c r="Z50" i="1"/>
  <c r="AA50" i="1"/>
  <c r="AD50" i="1"/>
  <c r="AC50" i="1"/>
  <c r="AB50" i="1"/>
  <c r="Y49" i="1"/>
  <c r="Z49" i="1"/>
  <c r="AA49" i="1"/>
  <c r="AD49" i="1"/>
  <c r="AC49" i="1"/>
  <c r="AB49" i="1"/>
  <c r="Y48" i="1"/>
  <c r="Z48" i="1"/>
  <c r="AA48" i="1"/>
  <c r="AD48" i="1"/>
  <c r="AC48" i="1"/>
  <c r="AB48" i="1"/>
  <c r="Y47" i="1"/>
  <c r="Z47" i="1"/>
  <c r="AA47" i="1"/>
  <c r="AD47" i="1"/>
  <c r="AC47" i="1"/>
  <c r="AB47" i="1"/>
  <c r="Y46" i="1"/>
  <c r="Z46" i="1"/>
  <c r="AA46" i="1"/>
  <c r="AD46" i="1"/>
  <c r="AC46" i="1"/>
  <c r="AB46" i="1"/>
  <c r="Y45" i="1"/>
  <c r="Z45" i="1"/>
  <c r="AA45" i="1"/>
  <c r="AD45" i="1"/>
  <c r="AC45" i="1"/>
  <c r="AB45" i="1"/>
  <c r="Y44" i="1"/>
  <c r="Z44" i="1"/>
  <c r="AA44" i="1"/>
  <c r="AD44" i="1"/>
  <c r="AC44" i="1"/>
  <c r="AB44" i="1"/>
  <c r="Y43" i="1"/>
  <c r="Z43" i="1"/>
  <c r="AA43" i="1"/>
  <c r="AD43" i="1"/>
  <c r="AC43" i="1"/>
  <c r="AB43" i="1"/>
  <c r="Y42" i="1"/>
  <c r="Z42" i="1"/>
  <c r="AA42" i="1"/>
  <c r="AD42" i="1"/>
  <c r="AC42" i="1"/>
  <c r="AB42" i="1"/>
  <c r="Y41" i="1"/>
  <c r="Z41" i="1"/>
  <c r="AA41" i="1"/>
  <c r="AD41" i="1"/>
  <c r="AC41" i="1"/>
  <c r="AB41" i="1"/>
  <c r="Y40" i="1"/>
  <c r="Z40" i="1"/>
  <c r="AA40" i="1"/>
  <c r="AD40" i="1"/>
  <c r="AC40" i="1"/>
  <c r="AB40" i="1"/>
  <c r="Y39" i="1"/>
  <c r="Z39" i="1"/>
  <c r="AA39" i="1"/>
  <c r="AD39" i="1"/>
  <c r="AC39" i="1"/>
  <c r="AB39" i="1"/>
  <c r="Y38" i="1"/>
  <c r="Z38" i="1"/>
  <c r="AA38" i="1"/>
  <c r="AD38" i="1"/>
  <c r="AC38" i="1"/>
  <c r="AB38" i="1"/>
  <c r="Y37" i="1"/>
  <c r="Z37" i="1"/>
  <c r="AA37" i="1"/>
  <c r="AD37" i="1"/>
  <c r="AC37" i="1"/>
  <c r="AB37" i="1"/>
  <c r="Y36" i="1"/>
  <c r="Z36" i="1"/>
  <c r="AA36" i="1"/>
  <c r="AD36" i="1"/>
  <c r="AC36" i="1"/>
  <c r="AB36" i="1"/>
  <c r="AB35" i="1"/>
  <c r="Y35" i="1"/>
  <c r="Z35" i="1"/>
  <c r="AA35" i="1"/>
  <c r="AB34" i="1"/>
  <c r="Y34" i="1"/>
  <c r="Z34" i="1"/>
  <c r="AA34" i="1"/>
  <c r="AB33" i="1"/>
  <c r="Y33" i="1"/>
  <c r="Z33" i="1"/>
  <c r="AA33" i="1"/>
  <c r="AB32" i="1"/>
  <c r="Y32" i="1"/>
  <c r="Z32" i="1"/>
  <c r="AA32" i="1"/>
  <c r="AB31" i="1"/>
  <c r="Y31" i="1"/>
  <c r="Z31" i="1"/>
  <c r="AA31" i="1"/>
  <c r="AB30" i="1"/>
  <c r="Y30" i="1"/>
  <c r="Z30" i="1"/>
  <c r="AA30" i="1"/>
  <c r="AB29" i="1"/>
  <c r="Y29" i="1"/>
  <c r="Z29" i="1"/>
  <c r="AA29" i="1"/>
  <c r="AB28" i="1"/>
  <c r="Y28" i="1"/>
  <c r="Z28" i="1"/>
  <c r="AA28" i="1"/>
  <c r="AB27" i="1"/>
  <c r="Y27" i="1"/>
  <c r="Z27" i="1"/>
  <c r="AA27" i="1"/>
  <c r="AB26" i="1"/>
  <c r="Y26" i="1"/>
  <c r="Z26" i="1"/>
  <c r="AA26" i="1"/>
  <c r="AB25" i="1"/>
  <c r="Y25" i="1"/>
  <c r="Z25" i="1"/>
  <c r="AA25" i="1"/>
  <c r="AB24" i="1"/>
  <c r="Y24" i="1"/>
  <c r="Z24" i="1"/>
  <c r="AA24" i="1"/>
  <c r="AB23" i="1"/>
  <c r="Y23" i="1"/>
  <c r="Z23" i="1"/>
  <c r="AA23" i="1"/>
  <c r="AB22" i="1"/>
  <c r="Y22" i="1"/>
  <c r="Z22" i="1"/>
  <c r="AA22" i="1"/>
  <c r="AB21" i="1"/>
  <c r="Y21" i="1"/>
  <c r="Z21" i="1"/>
  <c r="AA21" i="1"/>
  <c r="AB20" i="1"/>
  <c r="Y20" i="1"/>
  <c r="Z20" i="1"/>
  <c r="AA20" i="1"/>
  <c r="AB19" i="1"/>
  <c r="Y19" i="1"/>
  <c r="Z19" i="1"/>
  <c r="AA19" i="1"/>
  <c r="AB18" i="1"/>
  <c r="Y18" i="1"/>
  <c r="Z18" i="1"/>
  <c r="AA18" i="1"/>
  <c r="AB17" i="1"/>
  <c r="Y17" i="1"/>
  <c r="Z17" i="1"/>
  <c r="AA17" i="1"/>
  <c r="AB16" i="1"/>
  <c r="Y16" i="1"/>
  <c r="Z16" i="1"/>
  <c r="AA16" i="1"/>
  <c r="AB15" i="1"/>
  <c r="Y15" i="1"/>
  <c r="Z15" i="1"/>
  <c r="AA15" i="1"/>
  <c r="AB14" i="1"/>
  <c r="Y14" i="1"/>
  <c r="Z14" i="1"/>
  <c r="AA14" i="1"/>
  <c r="AB13" i="1"/>
  <c r="Y13" i="1"/>
  <c r="Z13" i="1"/>
  <c r="AA13" i="1"/>
  <c r="AB12" i="1"/>
  <c r="Y12" i="1"/>
  <c r="Z12" i="1"/>
  <c r="AA12" i="1"/>
  <c r="AB11" i="1"/>
  <c r="Y11" i="1"/>
  <c r="Z11" i="1"/>
  <c r="AA11" i="1"/>
  <c r="AB10" i="1"/>
  <c r="Y10" i="1"/>
  <c r="Z10" i="1"/>
  <c r="AA10" i="1"/>
  <c r="Y9" i="1"/>
  <c r="Z9" i="1"/>
  <c r="AA9" i="1"/>
  <c r="AD9" i="1"/>
  <c r="AC9" i="1"/>
  <c r="AB9" i="1"/>
  <c r="U9" i="1"/>
  <c r="Y8" i="1"/>
  <c r="Z8" i="1"/>
  <c r="AA8" i="1"/>
  <c r="AD8" i="1"/>
  <c r="AC8" i="1"/>
  <c r="AB8" i="1"/>
  <c r="U8" i="1"/>
  <c r="Y7" i="1"/>
  <c r="Z7" i="1"/>
  <c r="AA7" i="1"/>
  <c r="AD7" i="1"/>
  <c r="AC7" i="1"/>
  <c r="AB7" i="1"/>
  <c r="Y6" i="1"/>
  <c r="Z6" i="1"/>
  <c r="AA6" i="1"/>
  <c r="AD6" i="1"/>
  <c r="AC6" i="1"/>
  <c r="AB6" i="1"/>
  <c r="U6" i="1"/>
  <c r="Y5" i="1"/>
  <c r="Z5" i="1"/>
  <c r="AA5" i="1"/>
  <c r="AD5" i="1"/>
  <c r="AC5" i="1"/>
  <c r="AB5" i="1"/>
  <c r="Y4" i="1"/>
  <c r="Z4" i="1"/>
  <c r="AA4" i="1"/>
  <c r="AD4" i="1"/>
  <c r="AC4" i="1"/>
  <c r="AB4" i="1"/>
</calcChain>
</file>

<file path=xl/sharedStrings.xml><?xml version="1.0" encoding="utf-8"?>
<sst xmlns="http://schemas.openxmlformats.org/spreadsheetml/2006/main" count="373" uniqueCount="192">
  <si>
    <t>Number</t>
  </si>
  <si>
    <t>LF width 
(B2)</t>
  </si>
  <si>
    <t>Height 
(H)</t>
  </si>
  <si>
    <t>UF thickness 
(tf1)</t>
  </si>
  <si>
    <t>LF thickness 
(tf2)</t>
  </si>
  <si>
    <t>Web thicknesss
(tw)</t>
  </si>
  <si>
    <t>U radius
(r1)</t>
  </si>
  <si>
    <t>L radius
(r2)</t>
  </si>
  <si>
    <t>Periodicity</t>
  </si>
  <si>
    <t>UF magnitude</t>
  </si>
  <si>
    <t>LF magnitude</t>
  </si>
  <si>
    <t>Web
magnitude</t>
  </si>
  <si>
    <t>Percentage
imperfections</t>
  </si>
  <si>
    <t>Amplitude global imperfections (minor axis)</t>
  </si>
  <si>
    <t>Amplitude global imperfections (major axis)</t>
  </si>
  <si>
    <t>Amplitude torsional imperfections 
(minor axis)</t>
  </si>
  <si>
    <t>Type analysis
(1=LBA, 2=Eig+GMNIA, 3= GMNIA)</t>
  </si>
  <si>
    <t>Loading</t>
  </si>
  <si>
    <t>Length
(L)</t>
  </si>
  <si>
    <t>(-)</t>
  </si>
  <si>
    <t>(mm)</t>
  </si>
  <si>
    <t>(%)</t>
  </si>
  <si>
    <t>Temperature</t>
  </si>
  <si>
    <t>Fy</t>
  </si>
  <si>
    <t>Young's modulus</t>
  </si>
  <si>
    <t>Imperfections</t>
  </si>
  <si>
    <t>Geometry</t>
  </si>
  <si>
    <t>Analysis</t>
  </si>
  <si>
    <t>(MPa)</t>
  </si>
  <si>
    <t>Folder name :</t>
  </si>
  <si>
    <t>Initial increment in arc length :</t>
  </si>
  <si>
    <t xml:space="preserve">Total arc length scale factor : </t>
  </si>
  <si>
    <t xml:space="preserve">Minimum arc length increment : </t>
  </si>
  <si>
    <t xml:space="preserve">Maximum arc length increment : </t>
  </si>
  <si>
    <t>Headname :</t>
  </si>
  <si>
    <t>Designation</t>
  </si>
  <si>
    <t>NAME</t>
  </si>
  <si>
    <t>STEP</t>
  </si>
  <si>
    <t>MESH</t>
  </si>
  <si>
    <t xml:space="preserve">H-sections, web elements number : </t>
  </si>
  <si>
    <t xml:space="preserve">I-sections, web elements number : </t>
  </si>
  <si>
    <t>Number of lines to keep :</t>
  </si>
  <si>
    <t xml:space="preserve">Maximum number of increments : </t>
  </si>
  <si>
    <t>Parameters</t>
  </si>
  <si>
    <t>Initial Load (Mz)</t>
  </si>
  <si>
    <t>(kNm)</t>
  </si>
  <si>
    <t>LF width 
(B1)</t>
  </si>
  <si>
    <t>Mz</t>
  </si>
  <si>
    <t>N</t>
  </si>
  <si>
    <t>My</t>
  </si>
  <si>
    <t>(kN)</t>
  </si>
  <si>
    <t>Type of loading</t>
  </si>
  <si>
    <t>Type of loading (Abaqus)</t>
  </si>
  <si>
    <t>Initial load (My)</t>
  </si>
  <si>
    <t xml:space="preserve">Type of loading </t>
  </si>
  <si>
    <t>n (for combined loading)</t>
  </si>
  <si>
    <t>θ (for combined loading)</t>
  </si>
  <si>
    <t>n</t>
  </si>
  <si>
    <t>my</t>
  </si>
  <si>
    <t>mz</t>
  </si>
  <si>
    <t>N+My</t>
  </si>
  <si>
    <t>N+Mz</t>
  </si>
  <si>
    <t>My+Mz</t>
  </si>
  <si>
    <t>N+My+Mz</t>
  </si>
  <si>
    <r>
      <t>(</t>
    </r>
    <r>
      <rPr>
        <sz val="16"/>
        <color theme="1"/>
        <rFont val="Calibri"/>
        <family val="2"/>
      </rPr>
      <t>◦C)</t>
    </r>
  </si>
  <si>
    <t>Behavior of Q690 high-strength steel columns</t>
  </si>
  <si>
    <t>Tian-Ji Li</t>
  </si>
  <si>
    <t>Experimental and numerical investigation on Local–Overall interactive 
buckling behavior of welded I-Section steel columns</t>
  </si>
  <si>
    <t>Gang Shi</t>
  </si>
  <si>
    <t>Q690</t>
  </si>
  <si>
    <t>Q235B ou Q345B</t>
  </si>
  <si>
    <t>Q1100</t>
  </si>
  <si>
    <t>Minor-axis flexural buckling of Q1100 ultra high strength steel welded I-section columns</t>
  </si>
  <si>
    <t>Fei Yin</t>
  </si>
  <si>
    <t>Compression tests of welded section columns undergoing buckling interaction</t>
  </si>
  <si>
    <t>Young Bong Kwona</t>
  </si>
  <si>
    <t>SM400 (240MPa)</t>
  </si>
  <si>
    <t>Validation_Q690</t>
  </si>
  <si>
    <t>Initial load</t>
  </si>
  <si>
    <t>Yang Lu</t>
  </si>
  <si>
    <t>Behavior and design of Q1100 ultra-high strength steel welded I-section beam-columns</t>
  </si>
  <si>
    <t>Validation_Q1100_3</t>
  </si>
  <si>
    <t>Validation_Q1100_20</t>
  </si>
  <si>
    <t>validation 2</t>
  </si>
  <si>
    <t>validation 3</t>
  </si>
  <si>
    <t>Validation_Q1100_B100</t>
  </si>
  <si>
    <t>Validation_Q235_345</t>
  </si>
  <si>
    <t>Validation_Q235</t>
  </si>
  <si>
    <t>Ultimate strength (Eurocode)</t>
  </si>
  <si>
    <t>khi</t>
  </si>
  <si>
    <t>Wg (Lcr/1000)</t>
  </si>
  <si>
    <t>w0(b/200)</t>
  </si>
  <si>
    <t>ecc</t>
  </si>
  <si>
    <t>M-3-I-1-1</t>
  </si>
  <si>
    <t>M-3-I-1-2</t>
  </si>
  <si>
    <t>M-3-I-1-3</t>
  </si>
  <si>
    <t>M-3-I-1-4</t>
  </si>
  <si>
    <t>M-3-I-1-5</t>
  </si>
  <si>
    <t>M-3-I-1-6</t>
  </si>
  <si>
    <t>M-3-I-1-7</t>
  </si>
  <si>
    <t>M-3-I-1-8</t>
  </si>
  <si>
    <t>M-3-I-2-1</t>
  </si>
  <si>
    <t>M-3-I-2-2</t>
  </si>
  <si>
    <t>M-3-I-2-3</t>
  </si>
  <si>
    <t>M-3-I-2-4</t>
  </si>
  <si>
    <t>M-3-I-2-5</t>
  </si>
  <si>
    <t>M-3-I-2-6</t>
  </si>
  <si>
    <t>M-3-I-2-7</t>
  </si>
  <si>
    <t>M-3-I-2-8</t>
  </si>
  <si>
    <t>M-3-I-3-1</t>
  </si>
  <si>
    <t>M-3-I-3-2</t>
  </si>
  <si>
    <t>M-3-I-3-3</t>
  </si>
  <si>
    <t>M-3-I-3-4</t>
  </si>
  <si>
    <t>M-3-I-3-5</t>
  </si>
  <si>
    <t>M-3-I-3-6</t>
  </si>
  <si>
    <t>M-3-I-3-7</t>
  </si>
  <si>
    <t>M-3-I-3-8</t>
  </si>
  <si>
    <t>M-3-I-4-1</t>
  </si>
  <si>
    <t>M-3-I-4-2</t>
  </si>
  <si>
    <t>M-3-I-4-3</t>
  </si>
  <si>
    <t>M-3-I-4-4</t>
  </si>
  <si>
    <t>M-3-I-4-5</t>
  </si>
  <si>
    <t>M-3-I-4-6</t>
  </si>
  <si>
    <t>M-3-I-4-7</t>
  </si>
  <si>
    <t>M-3-I-4-8</t>
  </si>
  <si>
    <t>M-3-I-5-1</t>
  </si>
  <si>
    <t>M-3-I-5-2</t>
  </si>
  <si>
    <t>M-3-I-5-3</t>
  </si>
  <si>
    <t>M-3-I-5-4</t>
  </si>
  <si>
    <t>M-3-I-5-5</t>
  </si>
  <si>
    <t>M-3-I-5-6</t>
  </si>
  <si>
    <t>M-3-I-5-7</t>
  </si>
  <si>
    <t>M-3-I-5-8</t>
  </si>
  <si>
    <t>M-3-I-6-1</t>
  </si>
  <si>
    <t>M-3-I-6-2</t>
  </si>
  <si>
    <t>M-3-I-6-3</t>
  </si>
  <si>
    <t>M-3-I-6-4</t>
  </si>
  <si>
    <t>M-3-I-6-5</t>
  </si>
  <si>
    <t>M-3-I-6-6</t>
  </si>
  <si>
    <t>M-3-I-6-7</t>
  </si>
  <si>
    <t>M-3-I-6-8</t>
  </si>
  <si>
    <t>M-3-H-1-1</t>
  </si>
  <si>
    <t>M-3-H-1-2</t>
  </si>
  <si>
    <t>M-3-H-1-3</t>
  </si>
  <si>
    <t>M-3-H-1-4</t>
  </si>
  <si>
    <t>M-3-H-1-5</t>
  </si>
  <si>
    <t>M-3-H-1-6</t>
  </si>
  <si>
    <t>M-3-H-1-7</t>
  </si>
  <si>
    <t>M-3-H-1-8</t>
  </si>
  <si>
    <t>M-3-H-2-1</t>
  </si>
  <si>
    <t>M-3-H-2-2</t>
  </si>
  <si>
    <t>M-3-H-2-3</t>
  </si>
  <si>
    <t>M-3-H-2-4</t>
  </si>
  <si>
    <t>M-3-H-2-5</t>
  </si>
  <si>
    <t>M-3-H-2-6</t>
  </si>
  <si>
    <t>M-3-H-2-7</t>
  </si>
  <si>
    <t>M-3-H-2-8</t>
  </si>
  <si>
    <t>M-3-H-3-1</t>
  </si>
  <si>
    <t>M-3-H-3-2</t>
  </si>
  <si>
    <t>M-3-H-3-3</t>
  </si>
  <si>
    <t>M-3-H-3-4</t>
  </si>
  <si>
    <t>M-3-H-3-5</t>
  </si>
  <si>
    <t>M-3-H-3-6</t>
  </si>
  <si>
    <t>M-3-H-3-7</t>
  </si>
  <si>
    <t>M-3-H-3-8</t>
  </si>
  <si>
    <t>M-3-H-4-1</t>
  </si>
  <si>
    <t>M-3-H-4-2</t>
  </si>
  <si>
    <t>M-3-H-4-3</t>
  </si>
  <si>
    <t>M-3-H-4-4</t>
  </si>
  <si>
    <t>M-3-H-4-5</t>
  </si>
  <si>
    <t>M-3-H-4-6</t>
  </si>
  <si>
    <t>M-3-H-4-7</t>
  </si>
  <si>
    <t>M-3-H-4-8</t>
  </si>
  <si>
    <t>M-3-H-5-1</t>
  </si>
  <si>
    <t>M-3-H-5-2</t>
  </si>
  <si>
    <t>M-3-H-5-3</t>
  </si>
  <si>
    <t>M-3-H-5-4</t>
  </si>
  <si>
    <t>M-3-H-5-5</t>
  </si>
  <si>
    <t>M-3-H-5-6</t>
  </si>
  <si>
    <t>M-3-H-5-7</t>
  </si>
  <si>
    <t>M-3-H-5-8</t>
  </si>
  <si>
    <t>M-3-H-6-1</t>
  </si>
  <si>
    <t>M-3-H-6-2</t>
  </si>
  <si>
    <t>M-3-H-6-3</t>
  </si>
  <si>
    <t>M-3-H-6-4</t>
  </si>
  <si>
    <t>M-3-H-6-5</t>
  </si>
  <si>
    <t>M-3-H-6-6</t>
  </si>
  <si>
    <t>M-3-H-6-7</t>
  </si>
  <si>
    <t>M-3-H-6-8</t>
  </si>
  <si>
    <t>S_2</t>
  </si>
  <si>
    <t>wo ame</t>
  </si>
  <si>
    <t>Parametric_study_HR_355_beam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</si>
</sst>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3" borderId="0" xfId="0" applyFill="1"/>
    <xf numFmtId="0" fontId="0" fillId="3" borderId="11" xfId="0" applyFill="1" applyBorder="1"/>
    <xf numFmtId="0" fontId="0" fillId="3" borderId="12" xfId="0" applyFill="1" applyBorder="1"/>
    <xf numFmtId="0" fontId="0" fillId="3" borderId="11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textRotation="90"/>
    </xf>
    <xf numFmtId="0" fontId="2" fillId="0" borderId="2" xfId="0" applyFont="1" applyBorder="1" applyAlignment="1">
      <alignment textRotation="90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3" fillId="0" borderId="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0" fontId="2" fillId="2" borderId="20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2" fontId="2" fillId="0" borderId="20" xfId="0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textRotation="90"/>
    </xf>
    <xf numFmtId="0" fontId="2" fillId="0" borderId="4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/>
    </xf>
    <xf numFmtId="0" fontId="0" fillId="4" borderId="0" xfId="0" applyFill="1"/>
    <xf numFmtId="0" fontId="2" fillId="5" borderId="5" xfId="0" applyFont="1" applyFill="1" applyBorder="1" applyAlignment="1">
      <alignment horizontal="center" vertical="center" textRotation="90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0" fillId="5" borderId="0" xfId="0" applyFill="1"/>
    <xf numFmtId="0" fontId="2" fillId="2" borderId="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2" fontId="2" fillId="0" borderId="20" xfId="0" applyNumberFormat="1" applyFont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4" fillId="6" borderId="0" xfId="0" applyFont="1" applyFill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textRotation="90" wrapText="1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 indent="2"/>
    </xf>
    <xf numFmtId="2" fontId="2" fillId="0" borderId="14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0" fillId="0" borderId="1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2" fillId="0" borderId="1" xfId="0" applyFont="1" applyBorder="1" applyAlignment="1">
      <alignment vertical="center" textRotation="90"/>
    </xf>
    <xf numFmtId="0" fontId="2" fillId="0" borderId="7" xfId="0" applyFont="1" applyBorder="1" applyAlignment="1">
      <alignment vertical="center" wrapText="1"/>
    </xf>
    <xf numFmtId="0" fontId="2" fillId="2" borderId="1" xfId="0" applyFont="1" applyFill="1" applyBorder="1"/>
    <xf numFmtId="0" fontId="2" fillId="2" borderId="20" xfId="0" applyFont="1" applyFill="1" applyBorder="1"/>
    <xf numFmtId="0" fontId="2" fillId="2" borderId="1" xfId="0" applyFont="1" applyFill="1" applyBorder="1" applyAlignment="1">
      <alignment textRotation="90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2" fontId="2" fillId="0" borderId="2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1" fontId="2" fillId="0" borderId="5" xfId="0" applyNumberFormat="1" applyFont="1" applyBorder="1" applyAlignment="1">
      <alignment horizontal="center"/>
    </xf>
    <xf numFmtId="0" fontId="2" fillId="0" borderId="0" xfId="0" applyFont="1"/>
    <xf numFmtId="0" fontId="2" fillId="2" borderId="7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 vertical="center"/>
    </xf>
    <xf numFmtId="0" fontId="2" fillId="5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 vertical="center"/>
    </xf>
    <xf numFmtId="0" fontId="0" fillId="0" borderId="22" xfId="0" applyBorder="1"/>
    <xf numFmtId="2" fontId="0" fillId="0" borderId="22" xfId="0" applyNumberFormat="1" applyBorder="1" applyAlignment="1">
      <alignment horizontal="center"/>
    </xf>
    <xf numFmtId="2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5" xfId="0" applyFont="1" applyFill="1" applyBorder="1"/>
    <xf numFmtId="0" fontId="2" fillId="7" borderId="5" xfId="0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  <xf numFmtId="0" fontId="2" fillId="2" borderId="2" xfId="0" applyFont="1" applyFill="1" applyBorder="1"/>
    <xf numFmtId="2" fontId="2" fillId="2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19" xfId="0" applyFont="1" applyBorder="1" applyAlignment="1">
      <alignment horizontal="center" wrapText="1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2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1323975</xdr:colOff>
      <xdr:row>18</xdr:row>
      <xdr:rowOff>171449</xdr:rowOff>
    </xdr:from>
    <xdr:to>
      <xdr:col>1</xdr:col>
      <xdr:colOff>1209675</xdr:colOff>
      <xdr:row>21</xdr:row>
      <xdr:rowOff>57150</xdr:rowOff>
    </xdr:to>
    <xdr:sp macro="[0]!write_general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23975" y="3552824"/>
          <a:ext cx="2266950" cy="4572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Get general parameters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247650</xdr:colOff>
      <xdr:row>1</xdr:row>
      <xdr:rowOff>1019176</xdr:rowOff>
    </xdr:from>
    <xdr:to>
      <xdr:col>44</xdr:col>
      <xdr:colOff>523875</xdr:colOff>
      <xdr:row>3</xdr:row>
      <xdr:rowOff>9526</xdr:rowOff>
    </xdr:to>
    <xdr:sp macro="[0]!write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59025" y="1209676"/>
          <a:ext cx="180022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</a:t>
          </a:r>
          <a:r>
            <a:rPr lang="en-CA" sz="1100" baseline="0"/>
            <a:t> Parameters.dat and Designation.dat files</a:t>
          </a:r>
          <a:endParaRPr lang="en-CA" sz="1100"/>
        </a:p>
      </xdr:txBody>
    </xdr:sp>
    <xdr:clientData/>
  </xdr:twoCellAnchor>
  <xdr:twoCellAnchor>
    <xdr:from>
      <xdr:col>42</xdr:col>
      <xdr:colOff>285750</xdr:colOff>
      <xdr:row>5</xdr:row>
      <xdr:rowOff>133349</xdr:rowOff>
    </xdr:from>
    <xdr:to>
      <xdr:col>44</xdr:col>
      <xdr:colOff>542924</xdr:colOff>
      <xdr:row>8</xdr:row>
      <xdr:rowOff>104774</xdr:rowOff>
    </xdr:to>
    <xdr:sp macro="[0]!clear_parameters_cell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97125" y="2266949"/>
          <a:ext cx="1781174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cells</a:t>
          </a:r>
        </a:p>
      </xdr:txBody>
    </xdr:sp>
    <xdr:clientData/>
  </xdr:twoCellAnchor>
  <xdr:twoCellAnchor>
    <xdr:from>
      <xdr:col>42</xdr:col>
      <xdr:colOff>304800</xdr:colOff>
      <xdr:row>9</xdr:row>
      <xdr:rowOff>104775</xdr:rowOff>
    </xdr:from>
    <xdr:to>
      <xdr:col>44</xdr:col>
      <xdr:colOff>533400</xdr:colOff>
      <xdr:row>11</xdr:row>
      <xdr:rowOff>85725</xdr:rowOff>
    </xdr:to>
    <xdr:sp macro="[0]!Export_dat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116175" y="3000375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Export parameters to result file</a:t>
          </a:r>
        </a:p>
      </xdr:txBody>
    </xdr:sp>
    <xdr:clientData/>
  </xdr:twoCellAnchor>
  <xdr:twoCellAnchor>
    <xdr:from>
      <xdr:col>42</xdr:col>
      <xdr:colOff>222250</xdr:colOff>
      <xdr:row>1</xdr:row>
      <xdr:rowOff>243417</xdr:rowOff>
    </xdr:from>
    <xdr:to>
      <xdr:col>44</xdr:col>
      <xdr:colOff>518583</xdr:colOff>
      <xdr:row>1</xdr:row>
      <xdr:rowOff>783167</xdr:rowOff>
    </xdr:to>
    <xdr:sp macro="[0]!Estimate_Eurocod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07167" y="433917"/>
          <a:ext cx="1820333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estimate peak load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666750</xdr:colOff>
          <xdr:row>1</xdr:row>
          <xdr:rowOff>374650</xdr:rowOff>
        </xdr:from>
        <xdr:to>
          <xdr:col>47</xdr:col>
          <xdr:colOff>241300</xdr:colOff>
          <xdr:row>1</xdr:row>
          <xdr:rowOff>946150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4"/>
  <sheetViews>
    <sheetView workbookViewId="0">
      <selection activeCell="E21" sqref="E21"/>
    </sheetView>
  </sheetViews>
  <sheetFormatPr defaultColWidth="9.1796875" defaultRowHeight="14.5" x14ac:dyDescent="0.35"/>
  <cols>
    <col min="1" max="1" width="35.7265625" customWidth="1"/>
    <col min="2" max="2" width="29.81640625" customWidth="1"/>
    <col min="3" max="3" width="8.54296875" customWidth="1"/>
    <col min="5" max="5" width="15.7265625" bestFit="1" customWidth="1"/>
    <col min="8" max="8" width="19.81640625" bestFit="1" customWidth="1"/>
    <col min="10" max="10" width="22.1796875" bestFit="1" customWidth="1"/>
    <col min="16" max="16" width="15.7265625" bestFit="1" customWidth="1"/>
  </cols>
  <sheetData>
    <row r="1" spans="1:16" ht="18.5" x14ac:dyDescent="0.45">
      <c r="A1" s="112" t="s">
        <v>36</v>
      </c>
      <c r="B1" s="113"/>
      <c r="C1" s="114"/>
    </row>
    <row r="2" spans="1:16" x14ac:dyDescent="0.35">
      <c r="A2" s="7"/>
      <c r="B2" s="6"/>
      <c r="C2" s="8"/>
      <c r="E2" t="s">
        <v>81</v>
      </c>
      <c r="H2" s="5" t="s">
        <v>82</v>
      </c>
      <c r="J2" s="5" t="s">
        <v>85</v>
      </c>
      <c r="L2" t="s">
        <v>86</v>
      </c>
    </row>
    <row r="3" spans="1:16" x14ac:dyDescent="0.35">
      <c r="A3" s="9" t="s">
        <v>29</v>
      </c>
      <c r="B3" s="5" t="s">
        <v>191</v>
      </c>
      <c r="C3" s="8"/>
      <c r="E3" s="5" t="s">
        <v>77</v>
      </c>
    </row>
    <row r="4" spans="1:16" x14ac:dyDescent="0.35">
      <c r="A4" s="9" t="s">
        <v>34</v>
      </c>
      <c r="B4" s="5" t="s">
        <v>189</v>
      </c>
      <c r="C4" s="8"/>
    </row>
    <row r="5" spans="1:16" x14ac:dyDescent="0.35">
      <c r="A5" s="9"/>
      <c r="B5" s="6"/>
      <c r="C5" s="8"/>
    </row>
    <row r="6" spans="1:16" ht="18.5" x14ac:dyDescent="0.45">
      <c r="A6" s="115" t="s">
        <v>37</v>
      </c>
      <c r="B6" s="116"/>
      <c r="C6" s="117"/>
    </row>
    <row r="7" spans="1:16" x14ac:dyDescent="0.35">
      <c r="A7" s="7"/>
      <c r="B7" s="6"/>
      <c r="C7" s="8"/>
      <c r="J7" t="s">
        <v>83</v>
      </c>
      <c r="L7" t="s">
        <v>84</v>
      </c>
    </row>
    <row r="8" spans="1:16" x14ac:dyDescent="0.35">
      <c r="A8" s="9" t="s">
        <v>30</v>
      </c>
      <c r="B8" s="3">
        <v>0.5</v>
      </c>
      <c r="C8" s="8"/>
      <c r="E8">
        <v>0.1</v>
      </c>
      <c r="F8" s="58">
        <v>0.1</v>
      </c>
      <c r="H8">
        <v>0.5</v>
      </c>
      <c r="J8" s="3">
        <v>5.0000000000000001E-3</v>
      </c>
      <c r="L8" s="3">
        <v>0.1</v>
      </c>
    </row>
    <row r="9" spans="1:16" x14ac:dyDescent="0.35">
      <c r="A9" s="9" t="s">
        <v>31</v>
      </c>
      <c r="B9" s="3">
        <v>1</v>
      </c>
      <c r="C9" s="8"/>
      <c r="E9">
        <v>1</v>
      </c>
      <c r="F9">
        <v>1</v>
      </c>
      <c r="J9" s="3">
        <v>1.5</v>
      </c>
      <c r="L9" s="3">
        <v>1.5</v>
      </c>
    </row>
    <row r="10" spans="1:16" x14ac:dyDescent="0.35">
      <c r="A10" s="9" t="s">
        <v>32</v>
      </c>
      <c r="B10" s="3">
        <v>1E-3</v>
      </c>
      <c r="C10" s="8"/>
      <c r="E10">
        <v>1.0000000000000001E-15</v>
      </c>
      <c r="F10">
        <v>1.0000000000000001E-15</v>
      </c>
      <c r="H10">
        <v>1E-8</v>
      </c>
      <c r="J10" s="3">
        <v>0.01</v>
      </c>
      <c r="L10" s="3">
        <v>1.0000000000000001E-15</v>
      </c>
    </row>
    <row r="11" spans="1:16" x14ac:dyDescent="0.35">
      <c r="A11" s="9" t="s">
        <v>33</v>
      </c>
      <c r="B11" s="3">
        <v>0.5</v>
      </c>
      <c r="C11" s="8"/>
      <c r="E11">
        <v>0.5</v>
      </c>
      <c r="F11">
        <v>0.25</v>
      </c>
      <c r="H11">
        <v>0.5</v>
      </c>
      <c r="J11" s="3">
        <v>0.5</v>
      </c>
      <c r="L11" s="3">
        <v>0.5</v>
      </c>
      <c r="P11" t="s">
        <v>87</v>
      </c>
    </row>
    <row r="12" spans="1:16" x14ac:dyDescent="0.35">
      <c r="A12" s="9" t="s">
        <v>42</v>
      </c>
      <c r="B12" s="3">
        <v>400</v>
      </c>
      <c r="C12" s="8"/>
      <c r="E12">
        <v>200</v>
      </c>
      <c r="F12">
        <v>200</v>
      </c>
      <c r="G12">
        <v>300</v>
      </c>
      <c r="J12" s="3">
        <v>150</v>
      </c>
      <c r="L12" s="3">
        <v>150</v>
      </c>
    </row>
    <row r="13" spans="1:16" x14ac:dyDescent="0.35">
      <c r="A13" s="7"/>
      <c r="B13" s="6"/>
      <c r="C13" s="8"/>
    </row>
    <row r="14" spans="1:16" ht="18.5" x14ac:dyDescent="0.45">
      <c r="A14" s="115" t="s">
        <v>38</v>
      </c>
      <c r="B14" s="116"/>
      <c r="C14" s="117"/>
    </row>
    <row r="15" spans="1:16" x14ac:dyDescent="0.35">
      <c r="A15" s="7"/>
      <c r="B15" s="6"/>
      <c r="C15" s="8"/>
    </row>
    <row r="16" spans="1:16" x14ac:dyDescent="0.35">
      <c r="A16" s="9" t="s">
        <v>39</v>
      </c>
      <c r="B16" s="3">
        <v>13</v>
      </c>
      <c r="C16" s="8"/>
      <c r="E16">
        <v>25</v>
      </c>
    </row>
    <row r="17" spans="1:5" x14ac:dyDescent="0.35">
      <c r="A17" s="9" t="s">
        <v>40</v>
      </c>
      <c r="B17" s="3">
        <v>13</v>
      </c>
      <c r="C17" s="8"/>
      <c r="E17">
        <v>25</v>
      </c>
    </row>
    <row r="18" spans="1:5" x14ac:dyDescent="0.35">
      <c r="A18" s="7"/>
      <c r="B18" s="6"/>
      <c r="C18" s="8"/>
    </row>
    <row r="19" spans="1:5" x14ac:dyDescent="0.35">
      <c r="A19" s="7"/>
      <c r="B19" s="6"/>
      <c r="C19" s="8"/>
    </row>
    <row r="20" spans="1:5" x14ac:dyDescent="0.35">
      <c r="A20" s="7"/>
      <c r="B20" s="6"/>
      <c r="C20" s="8"/>
    </row>
    <row r="21" spans="1:5" x14ac:dyDescent="0.35">
      <c r="A21" s="7"/>
      <c r="B21" s="6"/>
      <c r="C21" s="8"/>
    </row>
    <row r="22" spans="1:5" ht="15" thickBot="1" x14ac:dyDescent="0.4">
      <c r="A22" s="10"/>
      <c r="B22" s="11"/>
      <c r="C22" s="12"/>
    </row>
    <row r="23" spans="1:5" x14ac:dyDescent="0.35">
      <c r="A23" s="6"/>
      <c r="B23" s="6"/>
      <c r="C23" s="6"/>
    </row>
    <row r="24" spans="1:5" x14ac:dyDescent="0.35">
      <c r="C24" s="6"/>
    </row>
  </sheetData>
  <mergeCells count="3">
    <mergeCell ref="A1:C1"/>
    <mergeCell ref="A6:C6"/>
    <mergeCell ref="A14:C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BF352"/>
  <sheetViews>
    <sheetView tabSelected="1" topLeftCell="W1" zoomScale="80" zoomScaleNormal="80" workbookViewId="0">
      <pane ySplit="2" topLeftCell="A45" activePane="bottomLeft" state="frozen"/>
      <selection pane="bottomLeft" activeCell="AN62" sqref="AN62"/>
    </sheetView>
  </sheetViews>
  <sheetFormatPr defaultColWidth="11.453125" defaultRowHeight="14.5" x14ac:dyDescent="0.35"/>
  <cols>
    <col min="1" max="1" width="8.453125" style="1" customWidth="1"/>
    <col min="2" max="2" width="19.81640625" style="1" bestFit="1" customWidth="1"/>
    <col min="3" max="3" width="10.1796875" style="1" bestFit="1" customWidth="1"/>
    <col min="4" max="4" width="10.7265625" style="1" bestFit="1" customWidth="1"/>
    <col min="5" max="5" width="10.26953125" style="1" bestFit="1" customWidth="1"/>
    <col min="6" max="6" width="8.81640625" style="1" bestFit="1" customWidth="1"/>
    <col min="7" max="10" width="8.453125" style="1" customWidth="1"/>
    <col min="11" max="11" width="12.26953125" customWidth="1"/>
    <col min="12" max="16" width="8.453125" style="1" customWidth="1"/>
    <col min="17" max="17" width="17" customWidth="1"/>
    <col min="18" max="18" width="16.54296875" customWidth="1"/>
    <col min="19" max="19" width="20" bestFit="1" customWidth="1"/>
    <col min="20" max="20" width="27" style="40" customWidth="1"/>
    <col min="21" max="21" width="13.453125" style="44" customWidth="1"/>
    <col min="22" max="24" width="12.453125" bestFit="1" customWidth="1"/>
    <col min="25" max="27" width="8" customWidth="1"/>
    <col min="28" max="28" width="12" bestFit="1" customWidth="1"/>
    <col min="29" max="30" width="11" customWidth="1"/>
    <col min="31" max="31" width="8.453125" customWidth="1"/>
    <col min="32" max="32" width="10.26953125" bestFit="1" customWidth="1"/>
    <col min="33" max="33" width="13.7265625" customWidth="1"/>
    <col min="34" max="34" width="13.54296875" bestFit="1" customWidth="1"/>
    <col min="35" max="35" width="12" bestFit="1" customWidth="1"/>
    <col min="36" max="37" width="13" customWidth="1"/>
    <col min="38" max="38" width="8.7265625" bestFit="1" customWidth="1"/>
    <col min="39" max="39" width="8.7265625" customWidth="1"/>
    <col min="40" max="42" width="9.54296875" customWidth="1"/>
    <col min="54" max="54" width="18" bestFit="1" customWidth="1"/>
    <col min="55" max="55" width="45.453125" bestFit="1" customWidth="1"/>
    <col min="56" max="56" width="11.453125" style="2"/>
    <col min="57" max="57" width="16.1796875" bestFit="1" customWidth="1"/>
  </cols>
  <sheetData>
    <row r="1" spans="1:58" ht="45.65" customHeight="1" x14ac:dyDescent="0.5">
      <c r="A1" s="17"/>
      <c r="B1" s="18"/>
      <c r="C1" s="103" t="s">
        <v>26</v>
      </c>
      <c r="D1" s="104"/>
      <c r="E1" s="104"/>
      <c r="F1" s="104"/>
      <c r="G1" s="104"/>
      <c r="H1" s="104"/>
      <c r="I1" s="104"/>
      <c r="J1" s="104"/>
      <c r="K1" s="105"/>
      <c r="L1" s="102" t="s">
        <v>25</v>
      </c>
      <c r="M1" s="102"/>
      <c r="N1" s="102"/>
      <c r="O1" s="102"/>
      <c r="P1" s="102"/>
      <c r="Q1" s="102"/>
      <c r="R1" s="102"/>
      <c r="S1" s="102"/>
      <c r="T1" s="36" t="s">
        <v>27</v>
      </c>
      <c r="U1" s="103" t="s">
        <v>17</v>
      </c>
      <c r="V1" s="104"/>
      <c r="W1" s="104"/>
      <c r="X1" s="104"/>
      <c r="Y1" s="104"/>
      <c r="Z1" s="104"/>
      <c r="AA1" s="104"/>
      <c r="AB1" s="104"/>
      <c r="AC1" s="104"/>
      <c r="AD1" s="105"/>
      <c r="AE1" s="106" t="s">
        <v>43</v>
      </c>
      <c r="AF1" s="107"/>
      <c r="AG1" s="108"/>
      <c r="AH1" s="109" t="s">
        <v>88</v>
      </c>
      <c r="AI1" s="110"/>
      <c r="AJ1" s="111"/>
      <c r="AK1" s="55"/>
      <c r="AL1" s="55"/>
      <c r="AM1" s="55"/>
      <c r="AN1" s="55"/>
      <c r="AO1" s="55"/>
      <c r="AP1" s="55"/>
    </row>
    <row r="2" spans="1:58" ht="112" x14ac:dyDescent="0.35">
      <c r="A2" s="20" t="s">
        <v>0</v>
      </c>
      <c r="B2" s="65" t="s">
        <v>35</v>
      </c>
      <c r="C2" s="21" t="s">
        <v>46</v>
      </c>
      <c r="D2" s="21" t="s">
        <v>1</v>
      </c>
      <c r="E2" s="21" t="s">
        <v>2</v>
      </c>
      <c r="F2" s="21" t="s">
        <v>3</v>
      </c>
      <c r="G2" s="21" t="s">
        <v>4</v>
      </c>
      <c r="H2" s="21" t="s">
        <v>5</v>
      </c>
      <c r="I2" s="21" t="s">
        <v>6</v>
      </c>
      <c r="J2" s="21" t="s">
        <v>7</v>
      </c>
      <c r="K2" s="21" t="s">
        <v>18</v>
      </c>
      <c r="L2" s="20" t="s">
        <v>8</v>
      </c>
      <c r="M2" s="21" t="s">
        <v>9</v>
      </c>
      <c r="N2" s="21" t="s">
        <v>10</v>
      </c>
      <c r="O2" s="21" t="s">
        <v>11</v>
      </c>
      <c r="P2" s="21" t="s">
        <v>12</v>
      </c>
      <c r="Q2" s="21" t="s">
        <v>14</v>
      </c>
      <c r="R2" s="21" t="s">
        <v>13</v>
      </c>
      <c r="S2" s="21" t="s">
        <v>15</v>
      </c>
      <c r="T2" s="37" t="s">
        <v>16</v>
      </c>
      <c r="U2" s="41" t="s">
        <v>51</v>
      </c>
      <c r="V2" s="22" t="s">
        <v>52</v>
      </c>
      <c r="W2" s="23" t="s">
        <v>55</v>
      </c>
      <c r="X2" s="24" t="s">
        <v>56</v>
      </c>
      <c r="Y2" s="24" t="s">
        <v>57</v>
      </c>
      <c r="Z2" s="24" t="s">
        <v>58</v>
      </c>
      <c r="AA2" s="24" t="s">
        <v>59</v>
      </c>
      <c r="AB2" s="23" t="s">
        <v>78</v>
      </c>
      <c r="AC2" s="23" t="s">
        <v>53</v>
      </c>
      <c r="AD2" s="23" t="s">
        <v>44</v>
      </c>
      <c r="AE2" s="25" t="s">
        <v>22</v>
      </c>
      <c r="AF2" s="25" t="s">
        <v>23</v>
      </c>
      <c r="AG2" s="26" t="s">
        <v>24</v>
      </c>
      <c r="AH2" s="26" t="s">
        <v>48</v>
      </c>
      <c r="AI2" s="26" t="s">
        <v>49</v>
      </c>
      <c r="AJ2" s="21" t="s">
        <v>47</v>
      </c>
      <c r="AK2" s="56" t="s">
        <v>90</v>
      </c>
      <c r="AL2" s="56" t="s">
        <v>91</v>
      </c>
      <c r="AM2" s="56" t="s">
        <v>92</v>
      </c>
      <c r="AN2" s="56" t="s">
        <v>89</v>
      </c>
      <c r="AO2" s="56" t="s">
        <v>190</v>
      </c>
      <c r="AY2" t="s">
        <v>54</v>
      </c>
    </row>
    <row r="3" spans="1:58" s="4" customFormat="1" ht="36.75" customHeight="1" x14ac:dyDescent="0.35">
      <c r="A3" s="27" t="s">
        <v>19</v>
      </c>
      <c r="B3" s="66" t="s">
        <v>19</v>
      </c>
      <c r="C3" s="27" t="s">
        <v>20</v>
      </c>
      <c r="D3" s="27" t="s">
        <v>20</v>
      </c>
      <c r="E3" s="27" t="s">
        <v>20</v>
      </c>
      <c r="F3" s="27" t="s">
        <v>20</v>
      </c>
      <c r="G3" s="27" t="s">
        <v>20</v>
      </c>
      <c r="H3" s="27" t="s">
        <v>20</v>
      </c>
      <c r="I3" s="27" t="s">
        <v>20</v>
      </c>
      <c r="J3" s="27" t="s">
        <v>20</v>
      </c>
      <c r="K3" s="27" t="s">
        <v>20</v>
      </c>
      <c r="L3" s="27"/>
      <c r="M3" s="27"/>
      <c r="N3" s="27"/>
      <c r="O3" s="27"/>
      <c r="P3" s="27" t="s">
        <v>21</v>
      </c>
      <c r="Q3" s="27"/>
      <c r="R3" s="27"/>
      <c r="S3" s="27"/>
      <c r="T3" s="38" t="s">
        <v>19</v>
      </c>
      <c r="U3" s="42" t="s">
        <v>19</v>
      </c>
      <c r="V3" s="27" t="s">
        <v>19</v>
      </c>
      <c r="W3" s="27" t="s">
        <v>19</v>
      </c>
      <c r="X3" s="27" t="s">
        <v>19</v>
      </c>
      <c r="Y3" s="27"/>
      <c r="Z3" s="27"/>
      <c r="AA3" s="27"/>
      <c r="AB3" s="27" t="s">
        <v>50</v>
      </c>
      <c r="AC3" s="27" t="s">
        <v>45</v>
      </c>
      <c r="AD3" s="27" t="s">
        <v>45</v>
      </c>
      <c r="AE3" s="27" t="s">
        <v>64</v>
      </c>
      <c r="AF3" s="27" t="s">
        <v>28</v>
      </c>
      <c r="AG3" s="27" t="s">
        <v>28</v>
      </c>
      <c r="AH3" s="27" t="s">
        <v>50</v>
      </c>
      <c r="AI3" s="27" t="s">
        <v>45</v>
      </c>
      <c r="AJ3" s="27" t="s">
        <v>45</v>
      </c>
      <c r="AY3" s="14" t="s">
        <v>48</v>
      </c>
      <c r="AZ3" s="14">
        <v>1</v>
      </c>
      <c r="BA3" s="14"/>
      <c r="BB3" s="14"/>
      <c r="BD3" s="14"/>
    </row>
    <row r="4" spans="1:58" s="2" customFormat="1" ht="21" x14ac:dyDescent="0.5">
      <c r="A4" s="92">
        <v>193</v>
      </c>
      <c r="B4" s="93" t="s">
        <v>93</v>
      </c>
      <c r="C4" s="94">
        <v>180</v>
      </c>
      <c r="D4" s="94">
        <v>180</v>
      </c>
      <c r="E4" s="94">
        <v>400</v>
      </c>
      <c r="F4" s="94">
        <v>13.5</v>
      </c>
      <c r="G4" s="94">
        <v>13.5</v>
      </c>
      <c r="H4" s="94">
        <v>24.7</v>
      </c>
      <c r="I4" s="94">
        <v>21</v>
      </c>
      <c r="J4" s="94">
        <v>21</v>
      </c>
      <c r="K4" s="94">
        <v>3281.4238674358298</v>
      </c>
      <c r="L4" s="94">
        <v>0</v>
      </c>
      <c r="M4" s="94">
        <v>1</v>
      </c>
      <c r="N4" s="94">
        <v>2</v>
      </c>
      <c r="O4" s="94">
        <v>3</v>
      </c>
      <c r="P4" s="94">
        <v>200</v>
      </c>
      <c r="Q4" s="94">
        <v>0</v>
      </c>
      <c r="R4" s="94">
        <v>0</v>
      </c>
      <c r="S4" s="94">
        <v>0</v>
      </c>
      <c r="T4" s="94">
        <v>3</v>
      </c>
      <c r="U4" s="94" t="s">
        <v>48</v>
      </c>
      <c r="V4" s="94">
        <v>1</v>
      </c>
      <c r="W4" s="94">
        <v>1</v>
      </c>
      <c r="X4" s="94">
        <v>0</v>
      </c>
      <c r="Y4" s="94">
        <f>W4</f>
        <v>1</v>
      </c>
      <c r="Z4" s="94">
        <f>IF(X4=90,0,(1-Y4)/(TAN(X4/180*PI())+1))</f>
        <v>0</v>
      </c>
      <c r="AA4" s="94">
        <f>IF(X4=90,1-W4,Z4*TAN(X4/180*PI()))</f>
        <v>0</v>
      </c>
      <c r="AB4" s="95">
        <f>AH4/3.5</f>
        <v>1354.8272571390148</v>
      </c>
      <c r="AC4" s="95">
        <f t="shared" ref="AC4:AC9" si="0">Z4*AI4/3.5</f>
        <v>0</v>
      </c>
      <c r="AD4" s="95">
        <f t="shared" ref="AD4:AD9" si="1">AA4*AJ4/3.5</f>
        <v>0</v>
      </c>
      <c r="AE4" s="94">
        <v>20</v>
      </c>
      <c r="AF4" s="94">
        <v>355</v>
      </c>
      <c r="AG4" s="94">
        <v>210000</v>
      </c>
      <c r="AH4" s="95">
        <v>4741.8953999865516</v>
      </c>
      <c r="AI4" s="95">
        <v>0</v>
      </c>
      <c r="AJ4" s="96">
        <v>0</v>
      </c>
      <c r="AK4" s="97">
        <f t="shared" ref="AK4:AK36" si="2">K4/1000</f>
        <v>3.28142386743583</v>
      </c>
      <c r="AL4" s="97">
        <f>(C4-H4-2*I4)/200</f>
        <v>0.5665</v>
      </c>
      <c r="AM4" s="98"/>
      <c r="AN4" s="97">
        <v>0.94914779479631584</v>
      </c>
      <c r="AO4" s="101">
        <f>(E4-2*F4-2*I4)/200</f>
        <v>1.655</v>
      </c>
      <c r="AP4" s="101">
        <f>A4</f>
        <v>193</v>
      </c>
      <c r="AQ4">
        <v>1</v>
      </c>
      <c r="AU4" s="15"/>
      <c r="AV4" s="15"/>
      <c r="AW4" s="16"/>
      <c r="AY4" s="2" t="s">
        <v>49</v>
      </c>
      <c r="AZ4" s="2">
        <v>2</v>
      </c>
      <c r="BB4" s="52" t="s">
        <v>66</v>
      </c>
      <c r="BC4" s="52" t="s">
        <v>65</v>
      </c>
      <c r="BD4" s="53">
        <v>2016</v>
      </c>
      <c r="BE4" s="52" t="s">
        <v>69</v>
      </c>
      <c r="BF4" s="53">
        <v>53</v>
      </c>
    </row>
    <row r="5" spans="1:58" ht="21" x14ac:dyDescent="0.5">
      <c r="A5" s="28">
        <v>194</v>
      </c>
      <c r="B5" s="67" t="s">
        <v>94</v>
      </c>
      <c r="C5" s="28">
        <v>180</v>
      </c>
      <c r="D5" s="19">
        <v>180</v>
      </c>
      <c r="E5" s="28">
        <v>400</v>
      </c>
      <c r="F5" s="28">
        <v>13.5</v>
      </c>
      <c r="G5" s="19">
        <v>13.5</v>
      </c>
      <c r="H5" s="28">
        <v>24.7</v>
      </c>
      <c r="I5" s="19">
        <v>21</v>
      </c>
      <c r="J5" s="19">
        <v>21</v>
      </c>
      <c r="K5" s="19">
        <v>5469.0397790597162</v>
      </c>
      <c r="L5" s="19">
        <v>0</v>
      </c>
      <c r="M5" s="19">
        <v>1</v>
      </c>
      <c r="N5" s="19">
        <v>2</v>
      </c>
      <c r="O5" s="19">
        <v>3</v>
      </c>
      <c r="P5" s="28">
        <v>200</v>
      </c>
      <c r="Q5" s="19">
        <v>0</v>
      </c>
      <c r="R5" s="19">
        <v>0</v>
      </c>
      <c r="S5" s="19">
        <v>0</v>
      </c>
      <c r="T5" s="36">
        <v>3</v>
      </c>
      <c r="U5" s="43" t="s">
        <v>48</v>
      </c>
      <c r="V5" s="19">
        <v>1</v>
      </c>
      <c r="W5" s="28">
        <v>1</v>
      </c>
      <c r="X5" s="28">
        <v>0</v>
      </c>
      <c r="Y5" s="19">
        <f t="shared" ref="Y5:Y68" si="3">W5</f>
        <v>1</v>
      </c>
      <c r="Z5" s="19">
        <f t="shared" ref="Z5:Z68" si="4">IF(X5=90,0,(1-Y5)/(TAN(X5/180*PI())+1))</f>
        <v>0</v>
      </c>
      <c r="AA5" s="19">
        <f t="shared" ref="AA5:AA68" si="5">IF(X5=90,1-W5,Z5*TAN(X5/180*PI()))</f>
        <v>0</v>
      </c>
      <c r="AB5" s="29">
        <f t="shared" ref="AB5:AB68" si="6">AH5/3.5</f>
        <v>1203.2975597515888</v>
      </c>
      <c r="AC5" s="29">
        <f t="shared" si="0"/>
        <v>0</v>
      </c>
      <c r="AD5" s="29">
        <f t="shared" si="1"/>
        <v>0</v>
      </c>
      <c r="AE5" s="28">
        <v>20</v>
      </c>
      <c r="AF5" s="46">
        <v>355</v>
      </c>
      <c r="AG5" s="28">
        <v>210000</v>
      </c>
      <c r="AH5" s="29">
        <v>4211.5414591305607</v>
      </c>
      <c r="AI5" s="29">
        <v>0</v>
      </c>
      <c r="AJ5" s="30">
        <v>0</v>
      </c>
      <c r="AK5" s="57">
        <f t="shared" si="2"/>
        <v>5.4690397790597158</v>
      </c>
      <c r="AL5" s="57">
        <f t="shared" ref="AL5:AL68" si="7">(C5-H5-2*I5)/200</f>
        <v>0.5665</v>
      </c>
      <c r="AM5" s="60"/>
      <c r="AN5" s="57">
        <v>0.842991030261521</v>
      </c>
      <c r="AO5" s="101">
        <f t="shared" ref="AO5:AO68" si="8">(E5-2*F5-2*I5)/200</f>
        <v>1.655</v>
      </c>
      <c r="AP5" s="101">
        <f t="shared" ref="AP5:AP68" si="9">A5</f>
        <v>194</v>
      </c>
      <c r="AQ5">
        <v>2</v>
      </c>
      <c r="AS5" s="13" t="s">
        <v>41</v>
      </c>
      <c r="AT5">
        <v>6</v>
      </c>
      <c r="AU5" s="15"/>
      <c r="AV5" s="15"/>
      <c r="AW5" s="16"/>
      <c r="AY5" s="2" t="s">
        <v>47</v>
      </c>
      <c r="AZ5" s="2">
        <v>3</v>
      </c>
      <c r="BA5" s="2"/>
      <c r="BB5" t="s">
        <v>66</v>
      </c>
      <c r="BC5" t="s">
        <v>65</v>
      </c>
      <c r="BD5" s="2">
        <v>2016</v>
      </c>
    </row>
    <row r="6" spans="1:58" ht="21" x14ac:dyDescent="0.5">
      <c r="A6" s="28">
        <v>195</v>
      </c>
      <c r="B6" s="67" t="s">
        <v>95</v>
      </c>
      <c r="C6" s="28">
        <v>180</v>
      </c>
      <c r="D6" s="19">
        <v>180</v>
      </c>
      <c r="E6" s="28">
        <v>400</v>
      </c>
      <c r="F6" s="28">
        <v>13.5</v>
      </c>
      <c r="G6" s="19">
        <v>13.5</v>
      </c>
      <c r="H6" s="28">
        <v>24.7</v>
      </c>
      <c r="I6" s="19">
        <v>21</v>
      </c>
      <c r="J6" s="19">
        <v>21</v>
      </c>
      <c r="K6" s="19">
        <v>8203.5596685895744</v>
      </c>
      <c r="L6" s="19">
        <v>0</v>
      </c>
      <c r="M6" s="19">
        <v>1</v>
      </c>
      <c r="N6" s="19">
        <v>2</v>
      </c>
      <c r="O6" s="19">
        <v>3</v>
      </c>
      <c r="P6" s="28">
        <v>200</v>
      </c>
      <c r="Q6" s="19">
        <v>0</v>
      </c>
      <c r="R6" s="19">
        <v>0</v>
      </c>
      <c r="S6" s="19">
        <v>0</v>
      </c>
      <c r="T6" s="36">
        <v>3</v>
      </c>
      <c r="U6" s="43" t="str">
        <f>IF(W6=1,"N",IF(AND(W6=0,X6=0),"My",IF(AND(W6=0,X6=90),"Mz",IF(W6=0,"My+Mz",IF(X6=0,"N+My",IF(X6=90,"N+Mz","N+My+Mz"))))))</f>
        <v>N</v>
      </c>
      <c r="V6" s="19">
        <v>1</v>
      </c>
      <c r="W6" s="28">
        <v>1</v>
      </c>
      <c r="X6" s="28">
        <v>0</v>
      </c>
      <c r="Y6" s="19">
        <f t="shared" si="3"/>
        <v>1</v>
      </c>
      <c r="Z6" s="19">
        <f t="shared" si="4"/>
        <v>0</v>
      </c>
      <c r="AA6" s="19">
        <f t="shared" si="5"/>
        <v>0</v>
      </c>
      <c r="AB6" s="29">
        <f t="shared" si="6"/>
        <v>989.96349820481862</v>
      </c>
      <c r="AC6" s="29">
        <f t="shared" si="0"/>
        <v>0</v>
      </c>
      <c r="AD6" s="29">
        <f t="shared" si="1"/>
        <v>0</v>
      </c>
      <c r="AE6" s="28">
        <v>20</v>
      </c>
      <c r="AF6" s="46">
        <v>355</v>
      </c>
      <c r="AG6" s="28">
        <v>210000</v>
      </c>
      <c r="AH6" s="29">
        <v>3464.8722437168653</v>
      </c>
      <c r="AI6" s="29">
        <v>0</v>
      </c>
      <c r="AJ6" s="30">
        <v>0</v>
      </c>
      <c r="AK6" s="57">
        <f t="shared" si="2"/>
        <v>8.2035596685895751</v>
      </c>
      <c r="AL6" s="57">
        <f t="shared" si="7"/>
        <v>0.5665</v>
      </c>
      <c r="AM6" s="60"/>
      <c r="AN6" s="57">
        <v>0.69353614366612826</v>
      </c>
      <c r="AO6" s="101">
        <f t="shared" si="8"/>
        <v>1.655</v>
      </c>
      <c r="AP6" s="101">
        <f t="shared" si="9"/>
        <v>195</v>
      </c>
      <c r="AQ6">
        <v>3</v>
      </c>
      <c r="AU6" s="15"/>
      <c r="AV6" s="15"/>
      <c r="AW6" s="16"/>
      <c r="AY6" s="2" t="s">
        <v>60</v>
      </c>
      <c r="AZ6" s="2">
        <v>4</v>
      </c>
      <c r="BA6" s="2"/>
      <c r="BB6" t="s">
        <v>66</v>
      </c>
      <c r="BC6" t="s">
        <v>65</v>
      </c>
      <c r="BD6" s="2">
        <v>2016</v>
      </c>
    </row>
    <row r="7" spans="1:58" ht="21" x14ac:dyDescent="0.5">
      <c r="A7" s="28">
        <v>196</v>
      </c>
      <c r="B7" s="67" t="s">
        <v>96</v>
      </c>
      <c r="C7" s="28">
        <v>180</v>
      </c>
      <c r="D7" s="19">
        <v>180</v>
      </c>
      <c r="E7" s="28">
        <v>400</v>
      </c>
      <c r="F7" s="28">
        <v>13.5</v>
      </c>
      <c r="G7" s="19">
        <v>13.5</v>
      </c>
      <c r="H7" s="28">
        <v>24.7</v>
      </c>
      <c r="I7" s="19">
        <v>21</v>
      </c>
      <c r="J7" s="19">
        <v>21</v>
      </c>
      <c r="K7" s="19">
        <v>10938.079558119432</v>
      </c>
      <c r="L7" s="19">
        <v>0</v>
      </c>
      <c r="M7" s="19">
        <v>1</v>
      </c>
      <c r="N7" s="19">
        <v>2</v>
      </c>
      <c r="O7" s="19">
        <v>3</v>
      </c>
      <c r="P7" s="28">
        <v>200</v>
      </c>
      <c r="Q7" s="19">
        <v>0</v>
      </c>
      <c r="R7" s="19">
        <v>0</v>
      </c>
      <c r="S7" s="19">
        <v>0</v>
      </c>
      <c r="T7" s="36">
        <v>3</v>
      </c>
      <c r="U7" s="43" t="s">
        <v>48</v>
      </c>
      <c r="V7" s="19">
        <v>1</v>
      </c>
      <c r="W7" s="28">
        <v>1</v>
      </c>
      <c r="X7" s="28">
        <v>0</v>
      </c>
      <c r="Y7" s="19">
        <f t="shared" si="3"/>
        <v>1</v>
      </c>
      <c r="Z7" s="19">
        <f t="shared" si="4"/>
        <v>0</v>
      </c>
      <c r="AA7" s="19">
        <f t="shared" si="5"/>
        <v>0</v>
      </c>
      <c r="AB7" s="29">
        <f t="shared" si="6"/>
        <v>770.71675800813148</v>
      </c>
      <c r="AC7" s="29">
        <f t="shared" si="0"/>
        <v>0</v>
      </c>
      <c r="AD7" s="29">
        <f t="shared" si="1"/>
        <v>0</v>
      </c>
      <c r="AE7" s="28">
        <v>20</v>
      </c>
      <c r="AF7" s="46">
        <v>355</v>
      </c>
      <c r="AG7" s="28">
        <v>210000</v>
      </c>
      <c r="AH7" s="29">
        <v>2697.5086530284602</v>
      </c>
      <c r="AI7" s="29">
        <v>0</v>
      </c>
      <c r="AJ7" s="30">
        <v>0</v>
      </c>
      <c r="AK7" s="57">
        <f t="shared" si="2"/>
        <v>10.938079558119432</v>
      </c>
      <c r="AL7" s="57">
        <f t="shared" si="7"/>
        <v>0.5665</v>
      </c>
      <c r="AM7" s="60"/>
      <c r="AN7" s="57">
        <v>0.53993902722384057</v>
      </c>
      <c r="AO7" s="101">
        <f t="shared" si="8"/>
        <v>1.655</v>
      </c>
      <c r="AP7" s="101">
        <f t="shared" si="9"/>
        <v>196</v>
      </c>
      <c r="AQ7">
        <v>4</v>
      </c>
      <c r="AU7" s="15"/>
      <c r="AV7" s="15"/>
      <c r="AW7" s="16"/>
      <c r="AY7" s="2" t="s">
        <v>61</v>
      </c>
      <c r="AZ7" s="2">
        <v>5</v>
      </c>
      <c r="BA7" s="2"/>
      <c r="BB7" t="s">
        <v>66</v>
      </c>
      <c r="BC7" t="s">
        <v>65</v>
      </c>
      <c r="BD7" s="2">
        <v>2016</v>
      </c>
    </row>
    <row r="8" spans="1:58" ht="20.25" customHeight="1" x14ac:dyDescent="0.5">
      <c r="A8" s="28">
        <v>197</v>
      </c>
      <c r="B8" s="67" t="s">
        <v>97</v>
      </c>
      <c r="C8" s="28">
        <v>180</v>
      </c>
      <c r="D8" s="19">
        <v>180</v>
      </c>
      <c r="E8" s="28">
        <v>400</v>
      </c>
      <c r="F8" s="28">
        <v>13.5</v>
      </c>
      <c r="G8" s="19">
        <v>13.5</v>
      </c>
      <c r="H8" s="28">
        <v>24.7</v>
      </c>
      <c r="I8" s="19">
        <v>21</v>
      </c>
      <c r="J8" s="19">
        <v>21</v>
      </c>
      <c r="K8" s="19">
        <v>14547.645812298848</v>
      </c>
      <c r="L8" s="19">
        <v>0</v>
      </c>
      <c r="M8" s="19">
        <v>1</v>
      </c>
      <c r="N8" s="19">
        <v>2</v>
      </c>
      <c r="O8" s="19">
        <v>3</v>
      </c>
      <c r="P8" s="28">
        <v>200</v>
      </c>
      <c r="Q8" s="19">
        <v>0</v>
      </c>
      <c r="R8" s="19">
        <v>0</v>
      </c>
      <c r="S8" s="19">
        <v>0</v>
      </c>
      <c r="T8" s="36">
        <v>3</v>
      </c>
      <c r="U8" s="43" t="str">
        <f>IF(W8=1,"N",IF(AND(W8=0,X8=0),"My",IF(AND(W8=0,X8=90),"Mz",IF(W8=0,"My+Mz",IF(X8=0,"N+My",IF(X8=90,"N+Mz","N+My+Mz"))))))</f>
        <v>N</v>
      </c>
      <c r="V8" s="19">
        <v>1</v>
      </c>
      <c r="W8" s="28">
        <v>1</v>
      </c>
      <c r="X8" s="28">
        <v>0</v>
      </c>
      <c r="Y8" s="19">
        <f t="shared" si="3"/>
        <v>1</v>
      </c>
      <c r="Z8" s="19">
        <f t="shared" si="4"/>
        <v>0</v>
      </c>
      <c r="AA8" s="19">
        <f t="shared" si="5"/>
        <v>0</v>
      </c>
      <c r="AB8" s="29">
        <f t="shared" si="6"/>
        <v>537.26856345388785</v>
      </c>
      <c r="AC8" s="29">
        <f t="shared" si="0"/>
        <v>0</v>
      </c>
      <c r="AD8" s="29">
        <f t="shared" si="1"/>
        <v>0</v>
      </c>
      <c r="AE8" s="28">
        <v>20</v>
      </c>
      <c r="AF8" s="46">
        <v>355</v>
      </c>
      <c r="AG8" s="28">
        <v>210000</v>
      </c>
      <c r="AH8" s="29">
        <v>1880.4399720886074</v>
      </c>
      <c r="AI8" s="29">
        <v>0</v>
      </c>
      <c r="AJ8" s="30">
        <v>0</v>
      </c>
      <c r="AK8" s="57">
        <f t="shared" si="2"/>
        <v>14.547645812298848</v>
      </c>
      <c r="AL8" s="57">
        <f t="shared" si="7"/>
        <v>0.5665</v>
      </c>
      <c r="AM8" s="60"/>
      <c r="AN8" s="57">
        <v>0.37639283497476755</v>
      </c>
      <c r="AO8" s="101">
        <f t="shared" si="8"/>
        <v>1.655</v>
      </c>
      <c r="AP8" s="101">
        <f t="shared" si="9"/>
        <v>197</v>
      </c>
      <c r="AQ8">
        <v>5</v>
      </c>
      <c r="AU8" s="15"/>
      <c r="AV8" s="15"/>
      <c r="AW8" s="16"/>
      <c r="AY8" s="2" t="s">
        <v>62</v>
      </c>
      <c r="AZ8" s="2">
        <v>6</v>
      </c>
      <c r="BA8" s="2"/>
      <c r="BB8" t="s">
        <v>66</v>
      </c>
      <c r="BC8" t="s">
        <v>65</v>
      </c>
      <c r="BD8" s="2">
        <v>2016</v>
      </c>
    </row>
    <row r="9" spans="1:58" ht="21" x14ac:dyDescent="0.5">
      <c r="A9" s="28">
        <v>198</v>
      </c>
      <c r="B9" s="67" t="s">
        <v>98</v>
      </c>
      <c r="C9" s="28">
        <v>180</v>
      </c>
      <c r="D9" s="19">
        <v>180</v>
      </c>
      <c r="E9" s="28">
        <v>400</v>
      </c>
      <c r="F9" s="28">
        <v>13.5</v>
      </c>
      <c r="G9" s="19">
        <v>13.5</v>
      </c>
      <c r="H9" s="28">
        <v>24.7</v>
      </c>
      <c r="I9" s="19">
        <v>21</v>
      </c>
      <c r="J9" s="19">
        <v>21</v>
      </c>
      <c r="K9" s="19">
        <v>18266.592862059453</v>
      </c>
      <c r="L9" s="19">
        <v>0</v>
      </c>
      <c r="M9" s="19">
        <v>1</v>
      </c>
      <c r="N9" s="19">
        <v>2</v>
      </c>
      <c r="O9" s="19">
        <v>3</v>
      </c>
      <c r="P9" s="28">
        <v>200</v>
      </c>
      <c r="Q9" s="19">
        <v>0</v>
      </c>
      <c r="R9" s="19">
        <v>0</v>
      </c>
      <c r="S9" s="19">
        <v>0</v>
      </c>
      <c r="T9" s="36">
        <v>3</v>
      </c>
      <c r="U9" s="43" t="str">
        <f>IF(W9=1,"N",IF(AND(W9=0,X9=0),"My",IF(AND(W9=0,X9=90),"Mz",IF(W9=0,"My+Mz",IF(X9=0,"N+My",IF(X9=90,"N+Mz","N+My+Mz"))))))</f>
        <v>N</v>
      </c>
      <c r="V9" s="19">
        <v>1</v>
      </c>
      <c r="W9" s="28">
        <v>1</v>
      </c>
      <c r="X9" s="28">
        <v>0</v>
      </c>
      <c r="Y9" s="19">
        <f t="shared" si="3"/>
        <v>1</v>
      </c>
      <c r="Z9" s="19">
        <f t="shared" si="4"/>
        <v>0</v>
      </c>
      <c r="AA9" s="19">
        <f t="shared" si="5"/>
        <v>0</v>
      </c>
      <c r="AB9" s="29">
        <f t="shared" si="6"/>
        <v>378.69466340935134</v>
      </c>
      <c r="AC9" s="29">
        <f t="shared" si="0"/>
        <v>0</v>
      </c>
      <c r="AD9" s="29">
        <f t="shared" si="1"/>
        <v>0</v>
      </c>
      <c r="AE9" s="28">
        <v>20</v>
      </c>
      <c r="AF9" s="46">
        <v>355</v>
      </c>
      <c r="AG9" s="28">
        <v>210000</v>
      </c>
      <c r="AH9" s="29">
        <v>1325.4313219327296</v>
      </c>
      <c r="AI9" s="29">
        <v>0</v>
      </c>
      <c r="AJ9" s="30">
        <v>0</v>
      </c>
      <c r="AK9" s="57">
        <f t="shared" si="2"/>
        <v>18.266592862059454</v>
      </c>
      <c r="AL9" s="57">
        <f t="shared" si="7"/>
        <v>0.5665</v>
      </c>
      <c r="AM9" s="60"/>
      <c r="AN9" s="57">
        <v>0.265301131773169</v>
      </c>
      <c r="AO9" s="101">
        <f t="shared" si="8"/>
        <v>1.655</v>
      </c>
      <c r="AP9" s="101">
        <f t="shared" si="9"/>
        <v>198</v>
      </c>
      <c r="AQ9">
        <v>6</v>
      </c>
      <c r="AU9" s="15"/>
      <c r="AV9" s="15"/>
      <c r="AW9" s="16"/>
      <c r="AY9" s="2" t="s">
        <v>63</v>
      </c>
      <c r="AZ9" s="2">
        <v>7</v>
      </c>
      <c r="BA9" s="2"/>
      <c r="BB9" t="s">
        <v>66</v>
      </c>
      <c r="BC9" t="s">
        <v>65</v>
      </c>
      <c r="BD9" s="2">
        <v>2016</v>
      </c>
    </row>
    <row r="10" spans="1:58" ht="21" x14ac:dyDescent="0.5">
      <c r="A10" s="28">
        <v>199</v>
      </c>
      <c r="B10" s="67" t="s">
        <v>99</v>
      </c>
      <c r="C10" s="28">
        <v>180</v>
      </c>
      <c r="D10" s="19">
        <v>180</v>
      </c>
      <c r="E10" s="28">
        <v>400</v>
      </c>
      <c r="F10" s="28">
        <v>13.5</v>
      </c>
      <c r="G10" s="19">
        <v>13.5</v>
      </c>
      <c r="H10" s="28">
        <v>24.7</v>
      </c>
      <c r="I10" s="19">
        <v>21</v>
      </c>
      <c r="J10" s="19">
        <v>21</v>
      </c>
      <c r="K10" s="19">
        <v>21876.159116238865</v>
      </c>
      <c r="L10" s="19">
        <v>0</v>
      </c>
      <c r="M10" s="19">
        <v>1</v>
      </c>
      <c r="N10" s="19">
        <v>2</v>
      </c>
      <c r="O10" s="19">
        <v>3</v>
      </c>
      <c r="P10" s="28">
        <v>200</v>
      </c>
      <c r="Q10" s="19">
        <v>0</v>
      </c>
      <c r="R10" s="19">
        <v>0</v>
      </c>
      <c r="S10" s="19">
        <v>0</v>
      </c>
      <c r="T10" s="36">
        <v>3</v>
      </c>
      <c r="U10" s="43" t="s">
        <v>48</v>
      </c>
      <c r="V10" s="19">
        <v>1</v>
      </c>
      <c r="W10" s="28">
        <v>1</v>
      </c>
      <c r="X10" s="28">
        <v>0</v>
      </c>
      <c r="Y10" s="19">
        <f t="shared" si="3"/>
        <v>1</v>
      </c>
      <c r="Z10" s="19">
        <f t="shared" si="4"/>
        <v>0</v>
      </c>
      <c r="AA10" s="19">
        <f t="shared" si="5"/>
        <v>0</v>
      </c>
      <c r="AB10" s="29">
        <f t="shared" si="6"/>
        <v>280.03532923669491</v>
      </c>
      <c r="AC10" s="29">
        <v>0</v>
      </c>
      <c r="AD10" s="29">
        <v>0</v>
      </c>
      <c r="AE10" s="28">
        <v>20</v>
      </c>
      <c r="AF10" s="46">
        <v>355</v>
      </c>
      <c r="AG10" s="28">
        <v>210000</v>
      </c>
      <c r="AH10" s="29">
        <v>980.12365232843217</v>
      </c>
      <c r="AI10" s="29">
        <v>0</v>
      </c>
      <c r="AJ10" s="30">
        <v>0</v>
      </c>
      <c r="AK10" s="57">
        <f t="shared" si="2"/>
        <v>21.876159116238863</v>
      </c>
      <c r="AL10" s="57">
        <f t="shared" si="7"/>
        <v>0.5665</v>
      </c>
      <c r="AM10" s="60"/>
      <c r="AN10" s="57">
        <v>0.19618361957918362</v>
      </c>
      <c r="AO10" s="101">
        <f t="shared" si="8"/>
        <v>1.655</v>
      </c>
      <c r="AP10" s="101">
        <f t="shared" si="9"/>
        <v>199</v>
      </c>
      <c r="AQ10">
        <v>7</v>
      </c>
      <c r="AU10" s="15"/>
      <c r="AV10" s="15"/>
      <c r="AW10" s="16"/>
      <c r="BB10" s="52" t="s">
        <v>73</v>
      </c>
      <c r="BC10" s="52" t="s">
        <v>72</v>
      </c>
      <c r="BD10" s="53">
        <v>2024</v>
      </c>
      <c r="BE10" s="52" t="s">
        <v>71</v>
      </c>
      <c r="BF10" s="52">
        <v>49</v>
      </c>
    </row>
    <row r="11" spans="1:58" ht="21" x14ac:dyDescent="0.5">
      <c r="A11" s="28">
        <v>200</v>
      </c>
      <c r="B11" s="67" t="s">
        <v>100</v>
      </c>
      <c r="C11" s="28">
        <v>180</v>
      </c>
      <c r="D11" s="19">
        <v>180</v>
      </c>
      <c r="E11" s="28">
        <v>400</v>
      </c>
      <c r="F11" s="28">
        <v>13.5</v>
      </c>
      <c r="G11" s="19">
        <v>13.5</v>
      </c>
      <c r="H11" s="28">
        <v>24.7</v>
      </c>
      <c r="I11" s="19">
        <v>21</v>
      </c>
      <c r="J11" s="19">
        <v>21</v>
      </c>
      <c r="K11" s="19">
        <v>27345.198895298585</v>
      </c>
      <c r="L11" s="19">
        <v>0</v>
      </c>
      <c r="M11" s="19">
        <v>1</v>
      </c>
      <c r="N11" s="19">
        <v>2</v>
      </c>
      <c r="O11" s="19">
        <v>3</v>
      </c>
      <c r="P11" s="28">
        <v>200</v>
      </c>
      <c r="Q11" s="19">
        <v>0</v>
      </c>
      <c r="R11" s="19">
        <v>0</v>
      </c>
      <c r="S11" s="19">
        <v>0</v>
      </c>
      <c r="T11" s="36">
        <v>3</v>
      </c>
      <c r="U11" s="43" t="s">
        <v>48</v>
      </c>
      <c r="V11" s="19">
        <v>1</v>
      </c>
      <c r="W11" s="28">
        <v>1</v>
      </c>
      <c r="X11" s="28">
        <v>0</v>
      </c>
      <c r="Y11" s="19">
        <f t="shared" si="3"/>
        <v>1</v>
      </c>
      <c r="Z11" s="19">
        <f t="shared" si="4"/>
        <v>0</v>
      </c>
      <c r="AA11" s="19">
        <f t="shared" si="5"/>
        <v>0</v>
      </c>
      <c r="AB11" s="29">
        <f t="shared" si="6"/>
        <v>189.08442661061957</v>
      </c>
      <c r="AC11" s="29">
        <v>0</v>
      </c>
      <c r="AD11" s="29">
        <v>0</v>
      </c>
      <c r="AE11" s="28">
        <v>20</v>
      </c>
      <c r="AF11" s="46">
        <v>355</v>
      </c>
      <c r="AG11" s="28">
        <v>210000</v>
      </c>
      <c r="AH11" s="29">
        <v>661.79549313716848</v>
      </c>
      <c r="AI11" s="29">
        <v>0</v>
      </c>
      <c r="AJ11" s="30">
        <v>0</v>
      </c>
      <c r="AK11" s="57">
        <f t="shared" si="2"/>
        <v>27.345198895298584</v>
      </c>
      <c r="AL11" s="57">
        <f t="shared" si="7"/>
        <v>0.5665</v>
      </c>
      <c r="AM11" s="60"/>
      <c r="AN11" s="57">
        <v>0.13246638315114781</v>
      </c>
      <c r="AO11" s="101">
        <f t="shared" si="8"/>
        <v>1.655</v>
      </c>
      <c r="AP11" s="101">
        <f t="shared" si="9"/>
        <v>200</v>
      </c>
      <c r="AQ11">
        <v>8</v>
      </c>
      <c r="AU11" s="15"/>
      <c r="AV11" s="15"/>
      <c r="AW11" s="16"/>
      <c r="BB11" t="s">
        <v>73</v>
      </c>
      <c r="BC11" t="s">
        <v>72</v>
      </c>
      <c r="BD11" s="2">
        <v>2024</v>
      </c>
    </row>
    <row r="12" spans="1:58" ht="21" x14ac:dyDescent="0.5">
      <c r="A12" s="28">
        <v>201</v>
      </c>
      <c r="B12" s="67" t="s">
        <v>101</v>
      </c>
      <c r="C12" s="28">
        <v>180</v>
      </c>
      <c r="D12" s="19">
        <v>180</v>
      </c>
      <c r="E12" s="28">
        <v>400</v>
      </c>
      <c r="F12" s="28">
        <v>13.5</v>
      </c>
      <c r="G12" s="19">
        <v>13.5</v>
      </c>
      <c r="H12" s="28">
        <v>16</v>
      </c>
      <c r="I12" s="19">
        <v>21</v>
      </c>
      <c r="J12" s="19">
        <v>21</v>
      </c>
      <c r="K12" s="19">
        <v>3488.4093097370087</v>
      </c>
      <c r="L12" s="19">
        <v>0</v>
      </c>
      <c r="M12" s="19">
        <v>1</v>
      </c>
      <c r="N12" s="19">
        <v>2</v>
      </c>
      <c r="O12" s="19">
        <v>3</v>
      </c>
      <c r="P12" s="28">
        <v>200</v>
      </c>
      <c r="Q12" s="19">
        <v>0</v>
      </c>
      <c r="R12" s="19">
        <v>0</v>
      </c>
      <c r="S12" s="19">
        <v>0</v>
      </c>
      <c r="T12" s="36">
        <v>3</v>
      </c>
      <c r="U12" s="43" t="s">
        <v>48</v>
      </c>
      <c r="V12" s="19">
        <v>1</v>
      </c>
      <c r="W12" s="28">
        <v>1</v>
      </c>
      <c r="X12" s="28">
        <v>0</v>
      </c>
      <c r="Y12" s="19">
        <f t="shared" si="3"/>
        <v>1</v>
      </c>
      <c r="Z12" s="19">
        <f t="shared" si="4"/>
        <v>0</v>
      </c>
      <c r="AA12" s="19">
        <f t="shared" si="5"/>
        <v>0</v>
      </c>
      <c r="AB12" s="29">
        <f t="shared" si="6"/>
        <v>1042.4191926655287</v>
      </c>
      <c r="AC12" s="29">
        <v>0</v>
      </c>
      <c r="AD12" s="29">
        <v>0</v>
      </c>
      <c r="AE12" s="28">
        <v>20</v>
      </c>
      <c r="AF12" s="46">
        <v>355</v>
      </c>
      <c r="AG12" s="28">
        <v>210000</v>
      </c>
      <c r="AH12" s="29">
        <v>3648.4671743293502</v>
      </c>
      <c r="AI12" s="29">
        <v>0</v>
      </c>
      <c r="AJ12" s="30">
        <v>0</v>
      </c>
      <c r="AK12" s="57">
        <f t="shared" si="2"/>
        <v>3.4884093097370088</v>
      </c>
      <c r="AL12" s="57">
        <f t="shared" si="7"/>
        <v>0.61</v>
      </c>
      <c r="AM12" s="60"/>
      <c r="AN12" s="57">
        <v>0.94914779479631584</v>
      </c>
      <c r="AO12" s="101">
        <f t="shared" si="8"/>
        <v>1.655</v>
      </c>
      <c r="AP12" s="101">
        <f t="shared" si="9"/>
        <v>201</v>
      </c>
      <c r="AQ12">
        <v>9</v>
      </c>
      <c r="AU12" s="15"/>
      <c r="AV12" s="15"/>
      <c r="AW12" s="16"/>
      <c r="BB12" t="s">
        <v>73</v>
      </c>
      <c r="BC12" t="s">
        <v>72</v>
      </c>
      <c r="BD12" s="2">
        <v>2024</v>
      </c>
    </row>
    <row r="13" spans="1:58" ht="21" x14ac:dyDescent="0.5">
      <c r="A13" s="28">
        <v>202</v>
      </c>
      <c r="B13" s="67" t="s">
        <v>102</v>
      </c>
      <c r="C13" s="28">
        <v>180</v>
      </c>
      <c r="D13" s="19">
        <v>180</v>
      </c>
      <c r="E13" s="28">
        <v>400</v>
      </c>
      <c r="F13" s="28">
        <v>13.5</v>
      </c>
      <c r="G13" s="19">
        <v>13.5</v>
      </c>
      <c r="H13" s="28">
        <v>16</v>
      </c>
      <c r="I13" s="19">
        <v>21</v>
      </c>
      <c r="J13" s="19">
        <v>21</v>
      </c>
      <c r="K13" s="19">
        <v>5814.0155162283472</v>
      </c>
      <c r="L13" s="19">
        <v>0</v>
      </c>
      <c r="M13" s="19">
        <v>1</v>
      </c>
      <c r="N13" s="19">
        <v>2</v>
      </c>
      <c r="O13" s="19">
        <v>3</v>
      </c>
      <c r="P13" s="28">
        <v>200</v>
      </c>
      <c r="Q13" s="19">
        <v>0</v>
      </c>
      <c r="R13" s="19">
        <v>0</v>
      </c>
      <c r="S13" s="19">
        <v>0</v>
      </c>
      <c r="T13" s="36">
        <v>3</v>
      </c>
      <c r="U13" s="43" t="s">
        <v>48</v>
      </c>
      <c r="V13" s="19">
        <v>1</v>
      </c>
      <c r="W13" s="28">
        <v>1</v>
      </c>
      <c r="X13" s="28">
        <v>0</v>
      </c>
      <c r="Y13" s="19">
        <f t="shared" si="3"/>
        <v>1</v>
      </c>
      <c r="Z13" s="19">
        <f t="shared" si="4"/>
        <v>0</v>
      </c>
      <c r="AA13" s="19">
        <f t="shared" si="5"/>
        <v>0</v>
      </c>
      <c r="AB13" s="29">
        <f t="shared" si="6"/>
        <v>925.83055453242025</v>
      </c>
      <c r="AC13" s="29">
        <v>0</v>
      </c>
      <c r="AD13" s="29">
        <v>0</v>
      </c>
      <c r="AE13" s="28">
        <v>20</v>
      </c>
      <c r="AF13" s="46">
        <v>355</v>
      </c>
      <c r="AG13" s="28">
        <v>210000</v>
      </c>
      <c r="AH13" s="29">
        <v>3240.4069408634709</v>
      </c>
      <c r="AI13" s="29">
        <v>0</v>
      </c>
      <c r="AJ13" s="30">
        <v>0</v>
      </c>
      <c r="AK13" s="57">
        <f t="shared" si="2"/>
        <v>5.8140155162283476</v>
      </c>
      <c r="AL13" s="57">
        <f t="shared" si="7"/>
        <v>0.61</v>
      </c>
      <c r="AM13" s="60"/>
      <c r="AN13" s="57">
        <v>0.842991030261521</v>
      </c>
      <c r="AO13" s="101">
        <f t="shared" si="8"/>
        <v>1.655</v>
      </c>
      <c r="AP13" s="101">
        <f t="shared" si="9"/>
        <v>202</v>
      </c>
      <c r="AQ13">
        <v>10</v>
      </c>
      <c r="AU13" s="15"/>
      <c r="AV13" s="15"/>
      <c r="AW13" s="16"/>
      <c r="BB13" t="s">
        <v>73</v>
      </c>
      <c r="BC13" t="s">
        <v>72</v>
      </c>
      <c r="BD13" s="2">
        <v>2024</v>
      </c>
    </row>
    <row r="14" spans="1:58" ht="21" x14ac:dyDescent="0.5">
      <c r="A14" s="28">
        <v>203</v>
      </c>
      <c r="B14" s="67" t="s">
        <v>103</v>
      </c>
      <c r="C14" s="28">
        <v>180</v>
      </c>
      <c r="D14" s="19">
        <v>180</v>
      </c>
      <c r="E14" s="28">
        <v>400</v>
      </c>
      <c r="F14" s="28">
        <v>13.5</v>
      </c>
      <c r="G14" s="19">
        <v>13.5</v>
      </c>
      <c r="H14" s="28">
        <v>16</v>
      </c>
      <c r="I14" s="19">
        <v>21</v>
      </c>
      <c r="J14" s="19">
        <v>21</v>
      </c>
      <c r="K14" s="19">
        <v>8721.0232743425222</v>
      </c>
      <c r="L14" s="19">
        <v>0</v>
      </c>
      <c r="M14" s="19">
        <v>1</v>
      </c>
      <c r="N14" s="19">
        <v>2</v>
      </c>
      <c r="O14" s="19">
        <v>3</v>
      </c>
      <c r="P14" s="28">
        <v>200</v>
      </c>
      <c r="Q14" s="19">
        <v>0</v>
      </c>
      <c r="R14" s="19">
        <v>0</v>
      </c>
      <c r="S14" s="19">
        <v>0</v>
      </c>
      <c r="T14" s="36">
        <v>3</v>
      </c>
      <c r="U14" s="43" t="s">
        <v>48</v>
      </c>
      <c r="V14" s="19">
        <v>1</v>
      </c>
      <c r="W14" s="28">
        <v>1</v>
      </c>
      <c r="X14" s="28">
        <v>0</v>
      </c>
      <c r="Y14" s="19">
        <f t="shared" si="3"/>
        <v>1</v>
      </c>
      <c r="Z14" s="19">
        <f t="shared" si="4"/>
        <v>0</v>
      </c>
      <c r="AA14" s="19">
        <f t="shared" si="5"/>
        <v>0</v>
      </c>
      <c r="AB14" s="29">
        <f t="shared" si="6"/>
        <v>761.68894973827912</v>
      </c>
      <c r="AC14" s="29">
        <v>0</v>
      </c>
      <c r="AD14" s="29">
        <v>0</v>
      </c>
      <c r="AE14" s="28">
        <v>20</v>
      </c>
      <c r="AF14" s="46">
        <v>355</v>
      </c>
      <c r="AG14" s="28">
        <v>210000</v>
      </c>
      <c r="AH14" s="29">
        <v>2665.911324083977</v>
      </c>
      <c r="AI14" s="29">
        <v>0</v>
      </c>
      <c r="AJ14" s="30">
        <v>0</v>
      </c>
      <c r="AK14" s="57">
        <f t="shared" si="2"/>
        <v>8.7210232743425227</v>
      </c>
      <c r="AL14" s="57">
        <f t="shared" si="7"/>
        <v>0.61</v>
      </c>
      <c r="AM14" s="60"/>
      <c r="AN14" s="57">
        <v>0.69353614366612826</v>
      </c>
      <c r="AO14" s="101">
        <f t="shared" si="8"/>
        <v>1.655</v>
      </c>
      <c r="AP14" s="101">
        <f t="shared" si="9"/>
        <v>203</v>
      </c>
      <c r="AQ14">
        <v>11</v>
      </c>
      <c r="AU14" s="15"/>
      <c r="AV14" s="15"/>
      <c r="AW14" s="16"/>
      <c r="BB14" t="s">
        <v>73</v>
      </c>
      <c r="BC14" t="s">
        <v>72</v>
      </c>
      <c r="BD14" s="2">
        <v>2024</v>
      </c>
    </row>
    <row r="15" spans="1:58" ht="21" x14ac:dyDescent="0.5">
      <c r="A15" s="28">
        <v>204</v>
      </c>
      <c r="B15" s="67" t="s">
        <v>104</v>
      </c>
      <c r="C15" s="28">
        <v>180</v>
      </c>
      <c r="D15" s="19">
        <v>180</v>
      </c>
      <c r="E15" s="28">
        <v>400</v>
      </c>
      <c r="F15" s="28">
        <v>13.5</v>
      </c>
      <c r="G15" s="19">
        <v>13.5</v>
      </c>
      <c r="H15" s="28">
        <v>16</v>
      </c>
      <c r="I15" s="19">
        <v>21</v>
      </c>
      <c r="J15" s="19">
        <v>21</v>
      </c>
      <c r="K15" s="19">
        <v>11628.031032456694</v>
      </c>
      <c r="L15" s="19">
        <v>0</v>
      </c>
      <c r="M15" s="19">
        <v>1</v>
      </c>
      <c r="N15" s="19">
        <v>2</v>
      </c>
      <c r="O15" s="19">
        <v>3</v>
      </c>
      <c r="P15" s="28">
        <v>200</v>
      </c>
      <c r="Q15" s="19">
        <v>0</v>
      </c>
      <c r="R15" s="19">
        <v>0</v>
      </c>
      <c r="S15" s="19">
        <v>0</v>
      </c>
      <c r="T15" s="36">
        <v>3</v>
      </c>
      <c r="U15" s="43" t="s">
        <v>48</v>
      </c>
      <c r="V15" s="19">
        <v>1</v>
      </c>
      <c r="W15" s="28">
        <v>1</v>
      </c>
      <c r="X15" s="28">
        <v>0</v>
      </c>
      <c r="Y15" s="19">
        <f t="shared" si="3"/>
        <v>1</v>
      </c>
      <c r="Z15" s="19">
        <f t="shared" si="4"/>
        <v>0</v>
      </c>
      <c r="AA15" s="19">
        <f t="shared" si="5"/>
        <v>0</v>
      </c>
      <c r="AB15" s="29">
        <f t="shared" si="6"/>
        <v>592.99806408765994</v>
      </c>
      <c r="AC15" s="29">
        <v>0</v>
      </c>
      <c r="AD15" s="29">
        <v>0</v>
      </c>
      <c r="AE15" s="28">
        <v>20</v>
      </c>
      <c r="AF15" s="46">
        <v>355</v>
      </c>
      <c r="AG15" s="28">
        <v>210000</v>
      </c>
      <c r="AH15" s="29">
        <v>2075.4932243068097</v>
      </c>
      <c r="AI15" s="29">
        <v>0</v>
      </c>
      <c r="AJ15" s="30">
        <v>0</v>
      </c>
      <c r="AK15" s="57">
        <f t="shared" si="2"/>
        <v>11.628031032456695</v>
      </c>
      <c r="AL15" s="57">
        <f t="shared" si="7"/>
        <v>0.61</v>
      </c>
      <c r="AM15" s="60"/>
      <c r="AN15" s="57">
        <v>0.53993902722384057</v>
      </c>
      <c r="AO15" s="101">
        <f t="shared" si="8"/>
        <v>1.655</v>
      </c>
      <c r="AP15" s="101">
        <f t="shared" si="9"/>
        <v>204</v>
      </c>
      <c r="AQ15">
        <v>12</v>
      </c>
      <c r="AU15" s="15"/>
      <c r="AV15" s="15"/>
      <c r="AW15" s="16"/>
      <c r="BB15" t="s">
        <v>73</v>
      </c>
      <c r="BC15" t="s">
        <v>72</v>
      </c>
      <c r="BD15" s="2">
        <v>2024</v>
      </c>
    </row>
    <row r="16" spans="1:58" ht="21" x14ac:dyDescent="0.5">
      <c r="A16" s="28">
        <v>205</v>
      </c>
      <c r="B16" s="67" t="s">
        <v>105</v>
      </c>
      <c r="C16" s="28">
        <v>180</v>
      </c>
      <c r="D16" s="19">
        <v>180</v>
      </c>
      <c r="E16" s="28">
        <v>400</v>
      </c>
      <c r="F16" s="28">
        <v>13.5</v>
      </c>
      <c r="G16" s="19">
        <v>13.5</v>
      </c>
      <c r="H16" s="28">
        <v>16</v>
      </c>
      <c r="I16" s="19">
        <v>21</v>
      </c>
      <c r="J16" s="19">
        <v>21</v>
      </c>
      <c r="K16" s="19">
        <v>15465.281273167406</v>
      </c>
      <c r="L16" s="19">
        <v>0</v>
      </c>
      <c r="M16" s="19">
        <v>1</v>
      </c>
      <c r="N16" s="19">
        <v>2</v>
      </c>
      <c r="O16" s="19">
        <v>3</v>
      </c>
      <c r="P16" s="28">
        <v>200</v>
      </c>
      <c r="Q16" s="19">
        <v>0</v>
      </c>
      <c r="R16" s="19">
        <v>0</v>
      </c>
      <c r="S16" s="19">
        <v>0</v>
      </c>
      <c r="T16" s="36">
        <v>3</v>
      </c>
      <c r="U16" s="43" t="s">
        <v>48</v>
      </c>
      <c r="V16" s="19">
        <v>1</v>
      </c>
      <c r="W16" s="28">
        <v>1</v>
      </c>
      <c r="X16" s="28">
        <v>0</v>
      </c>
      <c r="Y16" s="19">
        <f t="shared" si="3"/>
        <v>1</v>
      </c>
      <c r="Z16" s="19">
        <f t="shared" si="4"/>
        <v>0</v>
      </c>
      <c r="AA16" s="19">
        <f t="shared" si="5"/>
        <v>0</v>
      </c>
      <c r="AB16" s="29">
        <f t="shared" si="6"/>
        <v>413.38042116368814</v>
      </c>
      <c r="AC16" s="29">
        <v>0</v>
      </c>
      <c r="AD16" s="29">
        <v>0</v>
      </c>
      <c r="AE16" s="28">
        <v>20</v>
      </c>
      <c r="AF16" s="46">
        <v>355</v>
      </c>
      <c r="AG16" s="28">
        <v>210000</v>
      </c>
      <c r="AH16" s="29">
        <v>1446.8314740729086</v>
      </c>
      <c r="AI16" s="29">
        <v>0</v>
      </c>
      <c r="AJ16" s="30">
        <v>0</v>
      </c>
      <c r="AK16" s="57">
        <f t="shared" si="2"/>
        <v>15.465281273167406</v>
      </c>
      <c r="AL16" s="57">
        <f t="shared" si="7"/>
        <v>0.61</v>
      </c>
      <c r="AM16" s="60"/>
      <c r="AN16" s="57">
        <v>0.37639283497476772</v>
      </c>
      <c r="AO16" s="101">
        <f t="shared" si="8"/>
        <v>1.655</v>
      </c>
      <c r="AP16" s="101">
        <f t="shared" si="9"/>
        <v>205</v>
      </c>
      <c r="AQ16">
        <v>13</v>
      </c>
      <c r="AU16" s="15"/>
      <c r="AV16" s="15"/>
      <c r="AW16" s="16"/>
      <c r="BB16" t="s">
        <v>73</v>
      </c>
      <c r="BC16" t="s">
        <v>72</v>
      </c>
      <c r="BD16" s="2">
        <v>2024</v>
      </c>
    </row>
    <row r="17" spans="1:58" ht="21" x14ac:dyDescent="0.5">
      <c r="A17" s="28">
        <v>206</v>
      </c>
      <c r="B17" s="67" t="s">
        <v>106</v>
      </c>
      <c r="C17" s="28">
        <v>180</v>
      </c>
      <c r="D17" s="19">
        <v>180</v>
      </c>
      <c r="E17" s="28">
        <v>400</v>
      </c>
      <c r="F17" s="28">
        <v>13.5</v>
      </c>
      <c r="G17" s="19">
        <v>13.5</v>
      </c>
      <c r="H17" s="28">
        <v>16</v>
      </c>
      <c r="I17" s="19">
        <v>21</v>
      </c>
      <c r="J17" s="19">
        <v>21</v>
      </c>
      <c r="K17" s="19">
        <v>19418.811824202679</v>
      </c>
      <c r="L17" s="19">
        <v>0</v>
      </c>
      <c r="M17" s="19">
        <v>1</v>
      </c>
      <c r="N17" s="19">
        <v>2</v>
      </c>
      <c r="O17" s="19">
        <v>3</v>
      </c>
      <c r="P17" s="28">
        <v>200</v>
      </c>
      <c r="Q17" s="19">
        <v>0</v>
      </c>
      <c r="R17" s="19">
        <v>0</v>
      </c>
      <c r="S17" s="19">
        <v>0</v>
      </c>
      <c r="T17" s="36">
        <v>3</v>
      </c>
      <c r="U17" s="43" t="s">
        <v>48</v>
      </c>
      <c r="V17" s="19">
        <v>1</v>
      </c>
      <c r="W17" s="28">
        <v>1</v>
      </c>
      <c r="X17" s="28">
        <v>0</v>
      </c>
      <c r="Y17" s="19">
        <f t="shared" si="3"/>
        <v>1</v>
      </c>
      <c r="Z17" s="19">
        <f t="shared" si="4"/>
        <v>0</v>
      </c>
      <c r="AA17" s="19">
        <f t="shared" si="5"/>
        <v>0</v>
      </c>
      <c r="AB17" s="29">
        <f t="shared" si="6"/>
        <v>291.37189499090158</v>
      </c>
      <c r="AC17" s="29">
        <v>0</v>
      </c>
      <c r="AD17" s="29">
        <v>0</v>
      </c>
      <c r="AE17" s="28">
        <v>20</v>
      </c>
      <c r="AF17" s="46">
        <v>355</v>
      </c>
      <c r="AG17" s="28">
        <v>210000</v>
      </c>
      <c r="AH17" s="29">
        <v>1019.8016324681555</v>
      </c>
      <c r="AI17" s="29">
        <v>0</v>
      </c>
      <c r="AJ17" s="30">
        <v>0</v>
      </c>
      <c r="AK17" s="57">
        <f t="shared" si="2"/>
        <v>19.418811824202681</v>
      </c>
      <c r="AL17" s="57">
        <f t="shared" si="7"/>
        <v>0.61</v>
      </c>
      <c r="AM17" s="60"/>
      <c r="AN17" s="57">
        <v>0.26530113177316905</v>
      </c>
      <c r="AO17" s="101">
        <f t="shared" si="8"/>
        <v>1.655</v>
      </c>
      <c r="AP17" s="101">
        <f t="shared" si="9"/>
        <v>206</v>
      </c>
      <c r="AQ17">
        <v>14</v>
      </c>
      <c r="AU17" s="15"/>
      <c r="AV17" s="15"/>
      <c r="AW17" s="16"/>
      <c r="BB17" t="s">
        <v>73</v>
      </c>
      <c r="BC17" t="s">
        <v>72</v>
      </c>
      <c r="BD17" s="2">
        <v>2024</v>
      </c>
    </row>
    <row r="18" spans="1:58" ht="21" x14ac:dyDescent="0.5">
      <c r="A18" s="28">
        <v>207</v>
      </c>
      <c r="B18" s="67" t="s">
        <v>107</v>
      </c>
      <c r="C18" s="28">
        <v>180</v>
      </c>
      <c r="D18" s="19">
        <v>180</v>
      </c>
      <c r="E18" s="28">
        <v>400</v>
      </c>
      <c r="F18" s="28">
        <v>13.5</v>
      </c>
      <c r="G18" s="19">
        <v>13.5</v>
      </c>
      <c r="H18" s="28">
        <v>16</v>
      </c>
      <c r="I18" s="19">
        <v>21</v>
      </c>
      <c r="J18" s="19">
        <v>21</v>
      </c>
      <c r="K18" s="19">
        <v>23256.062064913389</v>
      </c>
      <c r="L18" s="19">
        <v>0</v>
      </c>
      <c r="M18" s="19">
        <v>1</v>
      </c>
      <c r="N18" s="19">
        <v>2</v>
      </c>
      <c r="O18" s="19">
        <v>3</v>
      </c>
      <c r="P18" s="28">
        <v>200</v>
      </c>
      <c r="Q18" s="19">
        <v>0</v>
      </c>
      <c r="R18" s="19">
        <v>0</v>
      </c>
      <c r="S18" s="19">
        <v>0</v>
      </c>
      <c r="T18" s="36">
        <v>3</v>
      </c>
      <c r="U18" s="43" t="s">
        <v>48</v>
      </c>
      <c r="V18" s="19">
        <v>1</v>
      </c>
      <c r="W18" s="28">
        <v>1</v>
      </c>
      <c r="X18" s="28">
        <v>0</v>
      </c>
      <c r="Y18" s="19">
        <f t="shared" si="3"/>
        <v>1</v>
      </c>
      <c r="Z18" s="19">
        <f t="shared" si="4"/>
        <v>0</v>
      </c>
      <c r="AA18" s="19">
        <f t="shared" si="5"/>
        <v>0</v>
      </c>
      <c r="AB18" s="29">
        <f t="shared" si="6"/>
        <v>215.46230361291629</v>
      </c>
      <c r="AC18" s="29">
        <v>0</v>
      </c>
      <c r="AD18" s="29">
        <v>0</v>
      </c>
      <c r="AE18" s="28">
        <v>20</v>
      </c>
      <c r="AF18" s="46">
        <v>355</v>
      </c>
      <c r="AG18" s="28">
        <v>210000</v>
      </c>
      <c r="AH18" s="29">
        <v>754.11806264520703</v>
      </c>
      <c r="AI18" s="29">
        <v>0</v>
      </c>
      <c r="AJ18" s="30">
        <v>0</v>
      </c>
      <c r="AK18" s="57">
        <f t="shared" si="2"/>
        <v>23.25606206491339</v>
      </c>
      <c r="AL18" s="57">
        <f t="shared" si="7"/>
        <v>0.61</v>
      </c>
      <c r="AM18" s="60"/>
      <c r="AN18" s="57">
        <v>0.19618361957918362</v>
      </c>
      <c r="AO18" s="101">
        <f t="shared" si="8"/>
        <v>1.655</v>
      </c>
      <c r="AP18" s="101">
        <f t="shared" si="9"/>
        <v>207</v>
      </c>
      <c r="AQ18">
        <v>15</v>
      </c>
      <c r="AU18" s="15"/>
      <c r="AV18" s="15"/>
      <c r="AW18" s="16"/>
      <c r="BB18" s="52" t="s">
        <v>68</v>
      </c>
      <c r="BC18" s="52" t="s">
        <v>67</v>
      </c>
      <c r="BD18" s="53">
        <v>2020</v>
      </c>
      <c r="BE18" s="54" t="s">
        <v>70</v>
      </c>
      <c r="BF18" s="52">
        <v>60</v>
      </c>
    </row>
    <row r="19" spans="1:58" ht="21" x14ac:dyDescent="0.5">
      <c r="A19" s="28">
        <v>208</v>
      </c>
      <c r="B19" s="67" t="s">
        <v>108</v>
      </c>
      <c r="C19" s="28">
        <v>180</v>
      </c>
      <c r="D19" s="19">
        <v>180</v>
      </c>
      <c r="E19" s="28">
        <v>400</v>
      </c>
      <c r="F19" s="28">
        <v>13.5</v>
      </c>
      <c r="G19" s="19">
        <v>13.5</v>
      </c>
      <c r="H19" s="28">
        <v>16</v>
      </c>
      <c r="I19" s="19">
        <v>21</v>
      </c>
      <c r="J19" s="19">
        <v>21</v>
      </c>
      <c r="K19" s="19">
        <v>29070.077581141737</v>
      </c>
      <c r="L19" s="19">
        <v>0</v>
      </c>
      <c r="M19" s="19">
        <v>1</v>
      </c>
      <c r="N19" s="19">
        <v>2</v>
      </c>
      <c r="O19" s="19">
        <v>3</v>
      </c>
      <c r="P19" s="28">
        <v>200</v>
      </c>
      <c r="Q19" s="19">
        <v>0</v>
      </c>
      <c r="R19" s="19">
        <v>0</v>
      </c>
      <c r="S19" s="19">
        <v>0</v>
      </c>
      <c r="T19" s="36">
        <v>3</v>
      </c>
      <c r="U19" s="43" t="s">
        <v>48</v>
      </c>
      <c r="V19" s="19">
        <v>1</v>
      </c>
      <c r="W19" s="28">
        <v>1</v>
      </c>
      <c r="X19" s="28">
        <v>0</v>
      </c>
      <c r="Y19" s="19">
        <f t="shared" si="3"/>
        <v>1</v>
      </c>
      <c r="Z19" s="19">
        <f t="shared" si="4"/>
        <v>0</v>
      </c>
      <c r="AA19" s="19">
        <f t="shared" si="5"/>
        <v>0</v>
      </c>
      <c r="AB19" s="29">
        <f t="shared" si="6"/>
        <v>145.48366538572088</v>
      </c>
      <c r="AC19" s="29">
        <v>0</v>
      </c>
      <c r="AD19" s="29">
        <v>0</v>
      </c>
      <c r="AE19" s="28">
        <v>20</v>
      </c>
      <c r="AF19" s="46">
        <v>355</v>
      </c>
      <c r="AG19" s="28">
        <v>210000</v>
      </c>
      <c r="AH19" s="29">
        <v>509.19282885002309</v>
      </c>
      <c r="AI19" s="29">
        <v>0</v>
      </c>
      <c r="AJ19" s="30">
        <v>0</v>
      </c>
      <c r="AK19" s="57">
        <f t="shared" si="2"/>
        <v>29.070077581141739</v>
      </c>
      <c r="AL19" s="57">
        <f t="shared" si="7"/>
        <v>0.61</v>
      </c>
      <c r="AM19" s="60"/>
      <c r="AN19" s="57">
        <v>0.13246638315114781</v>
      </c>
      <c r="AO19" s="101">
        <f t="shared" si="8"/>
        <v>1.655</v>
      </c>
      <c r="AP19" s="101">
        <f t="shared" si="9"/>
        <v>208</v>
      </c>
      <c r="AQ19">
        <v>16</v>
      </c>
      <c r="AU19" s="15"/>
      <c r="AV19" s="15"/>
      <c r="AW19" s="16"/>
      <c r="BB19" t="s">
        <v>68</v>
      </c>
      <c r="BC19" t="s">
        <v>67</v>
      </c>
      <c r="BD19" s="2">
        <v>2020</v>
      </c>
    </row>
    <row r="20" spans="1:58" ht="21" x14ac:dyDescent="0.5">
      <c r="A20" s="28">
        <v>209</v>
      </c>
      <c r="B20" s="67" t="s">
        <v>109</v>
      </c>
      <c r="C20" s="28">
        <v>180</v>
      </c>
      <c r="D20" s="19">
        <v>180</v>
      </c>
      <c r="E20" s="28">
        <v>400</v>
      </c>
      <c r="F20" s="28">
        <v>13.5</v>
      </c>
      <c r="G20" s="19">
        <v>13.5</v>
      </c>
      <c r="H20" s="28">
        <v>12</v>
      </c>
      <c r="I20" s="19">
        <v>21</v>
      </c>
      <c r="J20" s="19">
        <v>21</v>
      </c>
      <c r="K20" s="19">
        <v>3624.9347614140065</v>
      </c>
      <c r="L20" s="19">
        <v>0</v>
      </c>
      <c r="M20" s="19">
        <v>1</v>
      </c>
      <c r="N20" s="19">
        <v>2</v>
      </c>
      <c r="O20" s="19">
        <v>3</v>
      </c>
      <c r="P20" s="28">
        <v>200</v>
      </c>
      <c r="Q20" s="19">
        <v>0</v>
      </c>
      <c r="R20" s="19">
        <v>0</v>
      </c>
      <c r="S20" s="19">
        <v>0</v>
      </c>
      <c r="T20" s="36">
        <v>3</v>
      </c>
      <c r="U20" s="43" t="s">
        <v>48</v>
      </c>
      <c r="V20" s="19">
        <v>1</v>
      </c>
      <c r="W20" s="28">
        <v>1</v>
      </c>
      <c r="X20" s="28">
        <v>0</v>
      </c>
      <c r="Y20" s="19">
        <f t="shared" si="3"/>
        <v>1</v>
      </c>
      <c r="Z20" s="19">
        <f t="shared" si="4"/>
        <v>0</v>
      </c>
      <c r="AA20" s="19">
        <f t="shared" si="5"/>
        <v>0</v>
      </c>
      <c r="AB20" s="29">
        <f t="shared" si="6"/>
        <v>898.78330095358092</v>
      </c>
      <c r="AC20" s="29">
        <v>0</v>
      </c>
      <c r="AD20" s="29">
        <v>0</v>
      </c>
      <c r="AE20" s="28">
        <v>20</v>
      </c>
      <c r="AF20" s="46">
        <v>355</v>
      </c>
      <c r="AG20" s="28">
        <v>210000</v>
      </c>
      <c r="AH20" s="29">
        <v>3145.7415533375333</v>
      </c>
      <c r="AI20" s="29">
        <v>0</v>
      </c>
      <c r="AJ20" s="30">
        <v>0</v>
      </c>
      <c r="AK20" s="57">
        <f t="shared" si="2"/>
        <v>3.6249347614140066</v>
      </c>
      <c r="AL20" s="57">
        <f t="shared" si="7"/>
        <v>0.63</v>
      </c>
      <c r="AM20" s="60"/>
      <c r="AN20" s="57">
        <v>0.94914779479631584</v>
      </c>
      <c r="AO20" s="101">
        <f t="shared" si="8"/>
        <v>1.655</v>
      </c>
      <c r="AP20" s="101">
        <f t="shared" si="9"/>
        <v>209</v>
      </c>
      <c r="AQ20">
        <v>17</v>
      </c>
      <c r="AU20" s="15"/>
      <c r="AV20" s="15"/>
      <c r="AW20" s="16"/>
      <c r="BB20" t="s">
        <v>68</v>
      </c>
      <c r="BC20" t="s">
        <v>67</v>
      </c>
      <c r="BD20" s="2">
        <v>2020</v>
      </c>
    </row>
    <row r="21" spans="1:58" ht="21" x14ac:dyDescent="0.5">
      <c r="A21" s="28">
        <v>210</v>
      </c>
      <c r="B21" s="67" t="s">
        <v>110</v>
      </c>
      <c r="C21" s="28">
        <v>180</v>
      </c>
      <c r="D21" s="19">
        <v>180</v>
      </c>
      <c r="E21" s="28">
        <v>400</v>
      </c>
      <c r="F21" s="28">
        <v>13.5</v>
      </c>
      <c r="G21" s="19">
        <v>13.5</v>
      </c>
      <c r="H21" s="28">
        <v>12</v>
      </c>
      <c r="I21" s="19">
        <v>21</v>
      </c>
      <c r="J21" s="19">
        <v>21</v>
      </c>
      <c r="K21" s="19">
        <v>6041.5579356900107</v>
      </c>
      <c r="L21" s="19">
        <v>0</v>
      </c>
      <c r="M21" s="19">
        <v>1</v>
      </c>
      <c r="N21" s="19">
        <v>2</v>
      </c>
      <c r="O21" s="19">
        <v>3</v>
      </c>
      <c r="P21" s="28">
        <v>200</v>
      </c>
      <c r="Q21" s="19">
        <v>0</v>
      </c>
      <c r="R21" s="19">
        <v>0</v>
      </c>
      <c r="S21" s="19">
        <v>0</v>
      </c>
      <c r="T21" s="36">
        <v>3</v>
      </c>
      <c r="U21" s="43" t="s">
        <v>48</v>
      </c>
      <c r="V21" s="19">
        <v>1</v>
      </c>
      <c r="W21" s="28">
        <v>1</v>
      </c>
      <c r="X21" s="28">
        <v>0</v>
      </c>
      <c r="Y21" s="19">
        <f t="shared" si="3"/>
        <v>1</v>
      </c>
      <c r="Z21" s="19">
        <f t="shared" si="4"/>
        <v>0</v>
      </c>
      <c r="AA21" s="19">
        <f t="shared" si="5"/>
        <v>0</v>
      </c>
      <c r="AB21" s="29">
        <f t="shared" si="6"/>
        <v>798.25951765004379</v>
      </c>
      <c r="AC21" s="29">
        <v>0</v>
      </c>
      <c r="AD21" s="29">
        <v>0</v>
      </c>
      <c r="AE21" s="28">
        <v>20</v>
      </c>
      <c r="AF21" s="46">
        <v>355</v>
      </c>
      <c r="AG21" s="28">
        <v>210000</v>
      </c>
      <c r="AH21" s="29">
        <v>2793.9083117751534</v>
      </c>
      <c r="AI21" s="29">
        <v>0</v>
      </c>
      <c r="AJ21" s="30">
        <v>0</v>
      </c>
      <c r="AK21" s="57">
        <f t="shared" si="2"/>
        <v>6.0415579356900109</v>
      </c>
      <c r="AL21" s="57">
        <f t="shared" si="7"/>
        <v>0.63</v>
      </c>
      <c r="AM21" s="60"/>
      <c r="AN21" s="57">
        <v>0.84299103026152089</v>
      </c>
      <c r="AO21" s="101">
        <f t="shared" si="8"/>
        <v>1.655</v>
      </c>
      <c r="AP21" s="101">
        <f t="shared" si="9"/>
        <v>210</v>
      </c>
      <c r="AQ21">
        <v>18</v>
      </c>
      <c r="AU21" s="15"/>
      <c r="AV21" s="15"/>
      <c r="AW21" s="16"/>
      <c r="BB21" t="s">
        <v>68</v>
      </c>
      <c r="BC21" t="s">
        <v>67</v>
      </c>
      <c r="BD21" s="2">
        <v>2020</v>
      </c>
    </row>
    <row r="22" spans="1:58" ht="21" x14ac:dyDescent="0.5">
      <c r="A22" s="28">
        <v>211</v>
      </c>
      <c r="B22" s="67" t="s">
        <v>111</v>
      </c>
      <c r="C22" s="28">
        <v>180</v>
      </c>
      <c r="D22" s="19">
        <v>180</v>
      </c>
      <c r="E22" s="28">
        <v>400</v>
      </c>
      <c r="F22" s="28">
        <v>13.5</v>
      </c>
      <c r="G22" s="19">
        <v>13.5</v>
      </c>
      <c r="H22" s="28">
        <v>12</v>
      </c>
      <c r="I22" s="19">
        <v>21</v>
      </c>
      <c r="J22" s="19">
        <v>21</v>
      </c>
      <c r="K22" s="19">
        <v>9062.3369035350152</v>
      </c>
      <c r="L22" s="19">
        <v>0</v>
      </c>
      <c r="M22" s="19">
        <v>1</v>
      </c>
      <c r="N22" s="19">
        <v>2</v>
      </c>
      <c r="O22" s="19">
        <v>3</v>
      </c>
      <c r="P22" s="28">
        <v>200</v>
      </c>
      <c r="Q22" s="19">
        <v>0</v>
      </c>
      <c r="R22" s="19">
        <v>0</v>
      </c>
      <c r="S22" s="19">
        <v>0</v>
      </c>
      <c r="T22" s="36">
        <v>3</v>
      </c>
      <c r="U22" s="43" t="s">
        <v>48</v>
      </c>
      <c r="V22" s="19">
        <v>1</v>
      </c>
      <c r="W22" s="28">
        <v>1</v>
      </c>
      <c r="X22" s="28">
        <v>0</v>
      </c>
      <c r="Y22" s="19">
        <f t="shared" si="3"/>
        <v>1</v>
      </c>
      <c r="Z22" s="19">
        <f t="shared" si="4"/>
        <v>0</v>
      </c>
      <c r="AA22" s="19">
        <f t="shared" si="5"/>
        <v>0</v>
      </c>
      <c r="AB22" s="29">
        <f t="shared" si="6"/>
        <v>656.73513435136454</v>
      </c>
      <c r="AC22" s="29">
        <v>0</v>
      </c>
      <c r="AD22" s="29">
        <v>0</v>
      </c>
      <c r="AE22" s="28">
        <v>20</v>
      </c>
      <c r="AF22" s="46">
        <v>355</v>
      </c>
      <c r="AG22" s="28">
        <v>210000</v>
      </c>
      <c r="AH22" s="29">
        <v>2298.5729702297758</v>
      </c>
      <c r="AI22" s="29">
        <v>0</v>
      </c>
      <c r="AJ22" s="30">
        <v>0</v>
      </c>
      <c r="AK22" s="57">
        <f t="shared" si="2"/>
        <v>9.0623369035350159</v>
      </c>
      <c r="AL22" s="57">
        <f t="shared" si="7"/>
        <v>0.63</v>
      </c>
      <c r="AM22" s="60"/>
      <c r="AN22" s="57">
        <v>0.69353614366612826</v>
      </c>
      <c r="AO22" s="101">
        <f t="shared" si="8"/>
        <v>1.655</v>
      </c>
      <c r="AP22" s="101">
        <f t="shared" si="9"/>
        <v>211</v>
      </c>
      <c r="AQ22">
        <v>19</v>
      </c>
      <c r="AU22" s="15"/>
      <c r="AV22" s="15"/>
      <c r="AW22" s="16"/>
      <c r="BB22" t="s">
        <v>68</v>
      </c>
      <c r="BC22" t="s">
        <v>67</v>
      </c>
      <c r="BD22" s="2">
        <v>2020</v>
      </c>
    </row>
    <row r="23" spans="1:58" ht="21" x14ac:dyDescent="0.5">
      <c r="A23" s="28">
        <v>212</v>
      </c>
      <c r="B23" s="67" t="s">
        <v>112</v>
      </c>
      <c r="C23" s="28">
        <v>180</v>
      </c>
      <c r="D23" s="19">
        <v>180</v>
      </c>
      <c r="E23" s="28">
        <v>400</v>
      </c>
      <c r="F23" s="28">
        <v>13.5</v>
      </c>
      <c r="G23" s="19">
        <v>13.5</v>
      </c>
      <c r="H23" s="28">
        <v>12</v>
      </c>
      <c r="I23" s="19">
        <v>21</v>
      </c>
      <c r="J23" s="19">
        <v>21</v>
      </c>
      <c r="K23" s="19">
        <v>12083.115871380021</v>
      </c>
      <c r="L23" s="19">
        <v>0</v>
      </c>
      <c r="M23" s="19">
        <v>1</v>
      </c>
      <c r="N23" s="19">
        <v>2</v>
      </c>
      <c r="O23" s="19">
        <v>3</v>
      </c>
      <c r="P23" s="28">
        <v>200</v>
      </c>
      <c r="Q23" s="19">
        <v>0</v>
      </c>
      <c r="R23" s="19">
        <v>0</v>
      </c>
      <c r="S23" s="19">
        <v>0</v>
      </c>
      <c r="T23" s="36">
        <v>3</v>
      </c>
      <c r="U23" s="43" t="s">
        <v>48</v>
      </c>
      <c r="V23" s="19">
        <v>1</v>
      </c>
      <c r="W23" s="28">
        <v>1</v>
      </c>
      <c r="X23" s="28">
        <v>0</v>
      </c>
      <c r="Y23" s="19">
        <f t="shared" si="3"/>
        <v>1</v>
      </c>
      <c r="Z23" s="19">
        <f t="shared" si="4"/>
        <v>0</v>
      </c>
      <c r="AA23" s="19">
        <f t="shared" si="5"/>
        <v>0</v>
      </c>
      <c r="AB23" s="29">
        <f t="shared" si="6"/>
        <v>511.2883197564085</v>
      </c>
      <c r="AC23" s="29">
        <v>0</v>
      </c>
      <c r="AD23" s="29">
        <v>0</v>
      </c>
      <c r="AE23" s="28">
        <v>20</v>
      </c>
      <c r="AF23" s="46">
        <v>355</v>
      </c>
      <c r="AG23" s="28">
        <v>210000</v>
      </c>
      <c r="AH23" s="29">
        <v>1789.5091191474298</v>
      </c>
      <c r="AI23" s="29">
        <v>0</v>
      </c>
      <c r="AJ23" s="30">
        <v>0</v>
      </c>
      <c r="AK23" s="57">
        <f t="shared" si="2"/>
        <v>12.083115871380022</v>
      </c>
      <c r="AL23" s="57">
        <f t="shared" si="7"/>
        <v>0.63</v>
      </c>
      <c r="AM23" s="60"/>
      <c r="AN23" s="57">
        <v>0.53993902722384046</v>
      </c>
      <c r="AO23" s="101">
        <f t="shared" si="8"/>
        <v>1.655</v>
      </c>
      <c r="AP23" s="101">
        <f t="shared" si="9"/>
        <v>212</v>
      </c>
      <c r="AQ23">
        <v>20</v>
      </c>
      <c r="AU23" s="15"/>
      <c r="AV23" s="15"/>
      <c r="AW23" s="16"/>
      <c r="BB23" t="s">
        <v>68</v>
      </c>
      <c r="BC23" t="s">
        <v>67</v>
      </c>
      <c r="BD23" s="2">
        <v>2020</v>
      </c>
    </row>
    <row r="24" spans="1:58" ht="21" x14ac:dyDescent="0.5">
      <c r="A24" s="28">
        <v>213</v>
      </c>
      <c r="B24" s="67" t="s">
        <v>113</v>
      </c>
      <c r="C24" s="28">
        <v>180</v>
      </c>
      <c r="D24" s="19">
        <v>180</v>
      </c>
      <c r="E24" s="28">
        <v>400</v>
      </c>
      <c r="F24" s="28">
        <v>13.5</v>
      </c>
      <c r="G24" s="19">
        <v>13.5</v>
      </c>
      <c r="H24" s="28">
        <v>12</v>
      </c>
      <c r="I24" s="19">
        <v>21</v>
      </c>
      <c r="J24" s="19">
        <v>21</v>
      </c>
      <c r="K24" s="19">
        <v>16070.54410893543</v>
      </c>
      <c r="L24" s="19">
        <v>0</v>
      </c>
      <c r="M24" s="19">
        <v>1</v>
      </c>
      <c r="N24" s="19">
        <v>2</v>
      </c>
      <c r="O24" s="19">
        <v>3</v>
      </c>
      <c r="P24" s="28">
        <v>200</v>
      </c>
      <c r="Q24" s="19">
        <v>0</v>
      </c>
      <c r="R24" s="19">
        <v>0</v>
      </c>
      <c r="S24" s="19">
        <v>0</v>
      </c>
      <c r="T24" s="36">
        <v>3</v>
      </c>
      <c r="U24" s="43" t="s">
        <v>48</v>
      </c>
      <c r="V24" s="19">
        <v>1</v>
      </c>
      <c r="W24" s="28">
        <v>1</v>
      </c>
      <c r="X24" s="28">
        <v>0</v>
      </c>
      <c r="Y24" s="19">
        <f t="shared" si="3"/>
        <v>1</v>
      </c>
      <c r="Z24" s="19">
        <f t="shared" si="4"/>
        <v>0</v>
      </c>
      <c r="AA24" s="19">
        <f t="shared" si="5"/>
        <v>0</v>
      </c>
      <c r="AB24" s="29">
        <f t="shared" si="6"/>
        <v>356.42035574290645</v>
      </c>
      <c r="AC24" s="29">
        <v>0</v>
      </c>
      <c r="AD24" s="29">
        <v>0</v>
      </c>
      <c r="AE24" s="28">
        <v>20</v>
      </c>
      <c r="AF24" s="46">
        <v>355</v>
      </c>
      <c r="AG24" s="28">
        <v>210000</v>
      </c>
      <c r="AH24" s="29">
        <v>1247.4712451001726</v>
      </c>
      <c r="AI24" s="29">
        <v>0</v>
      </c>
      <c r="AJ24" s="30">
        <v>0</v>
      </c>
      <c r="AK24" s="57">
        <f t="shared" si="2"/>
        <v>16.07054410893543</v>
      </c>
      <c r="AL24" s="57">
        <f t="shared" si="7"/>
        <v>0.63</v>
      </c>
      <c r="AM24" s="60"/>
      <c r="AN24" s="57">
        <v>0.37639283497476755</v>
      </c>
      <c r="AO24" s="101">
        <f t="shared" si="8"/>
        <v>1.655</v>
      </c>
      <c r="AP24" s="101">
        <f t="shared" si="9"/>
        <v>213</v>
      </c>
      <c r="AQ24">
        <v>21</v>
      </c>
      <c r="AU24" s="15"/>
      <c r="AV24" s="15"/>
      <c r="AW24" s="16"/>
      <c r="BB24" t="s">
        <v>68</v>
      </c>
      <c r="BC24" t="s">
        <v>67</v>
      </c>
      <c r="BD24" s="2">
        <v>2020</v>
      </c>
    </row>
    <row r="25" spans="1:58" ht="21" x14ac:dyDescent="0.5">
      <c r="A25" s="28">
        <v>214</v>
      </c>
      <c r="B25" s="67" t="s">
        <v>114</v>
      </c>
      <c r="C25" s="28">
        <v>180</v>
      </c>
      <c r="D25" s="19">
        <v>180</v>
      </c>
      <c r="E25" s="28">
        <v>400</v>
      </c>
      <c r="F25" s="28">
        <v>13.5</v>
      </c>
      <c r="G25" s="19">
        <v>13.5</v>
      </c>
      <c r="H25" s="28">
        <v>12</v>
      </c>
      <c r="I25" s="19">
        <v>21</v>
      </c>
      <c r="J25" s="19">
        <v>21</v>
      </c>
      <c r="K25" s="19">
        <v>20178.803505204633</v>
      </c>
      <c r="L25" s="19">
        <v>0</v>
      </c>
      <c r="M25" s="19">
        <v>1</v>
      </c>
      <c r="N25" s="19">
        <v>2</v>
      </c>
      <c r="O25" s="19">
        <v>3</v>
      </c>
      <c r="P25" s="28">
        <v>200</v>
      </c>
      <c r="Q25" s="19">
        <v>0</v>
      </c>
      <c r="R25" s="19">
        <v>0</v>
      </c>
      <c r="S25" s="19">
        <v>0</v>
      </c>
      <c r="T25" s="36">
        <v>3</v>
      </c>
      <c r="U25" s="43" t="s">
        <v>48</v>
      </c>
      <c r="V25" s="19">
        <v>1</v>
      </c>
      <c r="W25" s="28">
        <v>1</v>
      </c>
      <c r="X25" s="28">
        <v>0</v>
      </c>
      <c r="Y25" s="19">
        <f t="shared" si="3"/>
        <v>1</v>
      </c>
      <c r="Z25" s="19">
        <f t="shared" si="4"/>
        <v>0</v>
      </c>
      <c r="AA25" s="19">
        <f t="shared" si="5"/>
        <v>0</v>
      </c>
      <c r="AB25" s="29">
        <f t="shared" si="6"/>
        <v>251.22349571805108</v>
      </c>
      <c r="AC25" s="29">
        <v>0</v>
      </c>
      <c r="AD25" s="29">
        <v>0</v>
      </c>
      <c r="AE25" s="28">
        <v>20</v>
      </c>
      <c r="AF25" s="46">
        <v>355</v>
      </c>
      <c r="AG25" s="28">
        <v>210000</v>
      </c>
      <c r="AH25" s="29">
        <v>879.28223501317882</v>
      </c>
      <c r="AI25" s="29">
        <v>0</v>
      </c>
      <c r="AJ25" s="30">
        <v>0</v>
      </c>
      <c r="AK25" s="57">
        <f t="shared" si="2"/>
        <v>20.178803505204634</v>
      </c>
      <c r="AL25" s="57">
        <f t="shared" si="7"/>
        <v>0.63</v>
      </c>
      <c r="AM25" s="60"/>
      <c r="AN25" s="57">
        <v>0.26530113177316905</v>
      </c>
      <c r="AO25" s="101">
        <f t="shared" si="8"/>
        <v>1.655</v>
      </c>
      <c r="AP25" s="101">
        <f t="shared" si="9"/>
        <v>214</v>
      </c>
      <c r="AQ25">
        <v>22</v>
      </c>
      <c r="AU25" s="15"/>
      <c r="AV25" s="15"/>
      <c r="AW25" s="16"/>
      <c r="BB25" t="s">
        <v>68</v>
      </c>
      <c r="BC25" t="s">
        <v>67</v>
      </c>
      <c r="BD25" s="2">
        <v>2020</v>
      </c>
    </row>
    <row r="26" spans="1:58" ht="21" x14ac:dyDescent="0.5">
      <c r="A26" s="28">
        <v>215</v>
      </c>
      <c r="B26" s="67" t="s">
        <v>115</v>
      </c>
      <c r="C26" s="28">
        <v>180</v>
      </c>
      <c r="D26" s="19">
        <v>180</v>
      </c>
      <c r="E26" s="28">
        <v>400</v>
      </c>
      <c r="F26" s="28">
        <v>13.5</v>
      </c>
      <c r="G26" s="19">
        <v>13.5</v>
      </c>
      <c r="H26" s="28">
        <v>12</v>
      </c>
      <c r="I26" s="19">
        <v>21</v>
      </c>
      <c r="J26" s="19">
        <v>21</v>
      </c>
      <c r="K26" s="19">
        <v>24166.231742760043</v>
      </c>
      <c r="L26" s="19">
        <v>0</v>
      </c>
      <c r="M26" s="19">
        <v>1</v>
      </c>
      <c r="N26" s="19">
        <v>2</v>
      </c>
      <c r="O26" s="19">
        <v>3</v>
      </c>
      <c r="P26" s="28">
        <v>200</v>
      </c>
      <c r="Q26" s="19">
        <v>0</v>
      </c>
      <c r="R26" s="19">
        <v>0</v>
      </c>
      <c r="S26" s="19">
        <v>0</v>
      </c>
      <c r="T26" s="36">
        <v>3</v>
      </c>
      <c r="U26" s="43" t="s">
        <v>48</v>
      </c>
      <c r="V26" s="19">
        <v>1</v>
      </c>
      <c r="W26" s="28">
        <v>1</v>
      </c>
      <c r="X26" s="28">
        <v>0</v>
      </c>
      <c r="Y26" s="19">
        <f t="shared" si="3"/>
        <v>1</v>
      </c>
      <c r="Z26" s="19">
        <f t="shared" si="4"/>
        <v>0</v>
      </c>
      <c r="AA26" s="19">
        <f t="shared" si="5"/>
        <v>0</v>
      </c>
      <c r="AB26" s="29">
        <f t="shared" si="6"/>
        <v>185.77355619968469</v>
      </c>
      <c r="AC26" s="29">
        <v>0</v>
      </c>
      <c r="AD26" s="29">
        <v>0</v>
      </c>
      <c r="AE26" s="28">
        <v>20</v>
      </c>
      <c r="AF26" s="46">
        <v>355</v>
      </c>
      <c r="AG26" s="28">
        <v>210000</v>
      </c>
      <c r="AH26" s="29">
        <v>650.20744669889643</v>
      </c>
      <c r="AI26" s="29">
        <v>0</v>
      </c>
      <c r="AJ26" s="30">
        <v>0</v>
      </c>
      <c r="AK26" s="57">
        <f t="shared" si="2"/>
        <v>24.166231742760043</v>
      </c>
      <c r="AL26" s="57">
        <f t="shared" si="7"/>
        <v>0.63</v>
      </c>
      <c r="AM26" s="60"/>
      <c r="AN26" s="57">
        <v>0.19618361957918354</v>
      </c>
      <c r="AO26" s="101">
        <f t="shared" si="8"/>
        <v>1.655</v>
      </c>
      <c r="AP26" s="101">
        <f t="shared" si="9"/>
        <v>215</v>
      </c>
      <c r="AQ26">
        <v>23</v>
      </c>
      <c r="AU26" s="15"/>
      <c r="AV26" s="15"/>
      <c r="AW26" s="16"/>
      <c r="BB26" t="s">
        <v>68</v>
      </c>
      <c r="BC26" t="s">
        <v>67</v>
      </c>
      <c r="BD26" s="2">
        <v>2020</v>
      </c>
    </row>
    <row r="27" spans="1:58" ht="21" x14ac:dyDescent="0.5">
      <c r="A27" s="28">
        <v>216</v>
      </c>
      <c r="B27" s="67" t="s">
        <v>116</v>
      </c>
      <c r="C27" s="28">
        <v>180</v>
      </c>
      <c r="D27" s="19">
        <v>180</v>
      </c>
      <c r="E27" s="28">
        <v>400</v>
      </c>
      <c r="F27" s="28">
        <v>13.5</v>
      </c>
      <c r="G27" s="19">
        <v>13.5</v>
      </c>
      <c r="H27" s="28">
        <v>12</v>
      </c>
      <c r="I27" s="19">
        <v>21</v>
      </c>
      <c r="J27" s="19">
        <v>21</v>
      </c>
      <c r="K27" s="19">
        <v>30207.789678450052</v>
      </c>
      <c r="L27" s="19">
        <v>0</v>
      </c>
      <c r="M27" s="19">
        <v>1</v>
      </c>
      <c r="N27" s="19">
        <v>2</v>
      </c>
      <c r="O27" s="19">
        <v>3</v>
      </c>
      <c r="P27" s="28">
        <v>200</v>
      </c>
      <c r="Q27" s="19">
        <v>0</v>
      </c>
      <c r="R27" s="19">
        <v>0</v>
      </c>
      <c r="S27" s="19">
        <v>0</v>
      </c>
      <c r="T27" s="36">
        <v>3</v>
      </c>
      <c r="U27" s="43" t="s">
        <v>48</v>
      </c>
      <c r="V27" s="19">
        <v>1</v>
      </c>
      <c r="W27" s="28">
        <v>1</v>
      </c>
      <c r="X27" s="28">
        <v>0</v>
      </c>
      <c r="Y27" s="19">
        <f t="shared" si="3"/>
        <v>1</v>
      </c>
      <c r="Z27" s="19">
        <f t="shared" si="4"/>
        <v>0</v>
      </c>
      <c r="AA27" s="19">
        <f t="shared" si="5"/>
        <v>0</v>
      </c>
      <c r="AB27" s="29">
        <f t="shared" si="6"/>
        <v>125.43733838576748</v>
      </c>
      <c r="AC27" s="29">
        <v>0</v>
      </c>
      <c r="AD27" s="29">
        <v>0</v>
      </c>
      <c r="AE27" s="28">
        <v>20</v>
      </c>
      <c r="AF27" s="46">
        <v>355</v>
      </c>
      <c r="AG27" s="28">
        <v>210000</v>
      </c>
      <c r="AH27" s="29">
        <v>439.03068435018616</v>
      </c>
      <c r="AI27" s="29">
        <v>0</v>
      </c>
      <c r="AJ27" s="30">
        <v>0</v>
      </c>
      <c r="AK27" s="57">
        <f t="shared" si="2"/>
        <v>30.207789678450052</v>
      </c>
      <c r="AL27" s="57">
        <f t="shared" si="7"/>
        <v>0.63</v>
      </c>
      <c r="AM27" s="60"/>
      <c r="AN27" s="57">
        <v>0.13246638315114781</v>
      </c>
      <c r="AO27" s="101">
        <f t="shared" si="8"/>
        <v>1.655</v>
      </c>
      <c r="AP27" s="101">
        <f t="shared" si="9"/>
        <v>216</v>
      </c>
      <c r="AQ27">
        <v>24</v>
      </c>
      <c r="AU27" s="15"/>
      <c r="AV27" s="15"/>
      <c r="AW27" s="16"/>
      <c r="BB27" t="s">
        <v>68</v>
      </c>
      <c r="BC27" t="s">
        <v>67</v>
      </c>
      <c r="BD27" s="2">
        <v>2020</v>
      </c>
    </row>
    <row r="28" spans="1:58" ht="21" x14ac:dyDescent="0.5">
      <c r="A28" s="28">
        <v>217</v>
      </c>
      <c r="B28" s="67" t="s">
        <v>117</v>
      </c>
      <c r="C28" s="28">
        <v>180</v>
      </c>
      <c r="D28" s="19">
        <v>180</v>
      </c>
      <c r="E28" s="28">
        <v>400</v>
      </c>
      <c r="F28" s="28">
        <v>13.5</v>
      </c>
      <c r="G28" s="19">
        <v>13.5</v>
      </c>
      <c r="H28" s="28">
        <v>8.3000000000000007</v>
      </c>
      <c r="I28" s="19">
        <v>21</v>
      </c>
      <c r="J28" s="19">
        <v>21</v>
      </c>
      <c r="K28" s="19">
        <v>3789.8235408154665</v>
      </c>
      <c r="L28" s="19">
        <v>0</v>
      </c>
      <c r="M28" s="19">
        <v>1</v>
      </c>
      <c r="N28" s="19">
        <v>2</v>
      </c>
      <c r="O28" s="19">
        <v>3</v>
      </c>
      <c r="P28" s="28">
        <v>200</v>
      </c>
      <c r="Q28" s="19">
        <v>0</v>
      </c>
      <c r="R28" s="19">
        <v>0</v>
      </c>
      <c r="S28" s="19">
        <v>0</v>
      </c>
      <c r="T28" s="36">
        <v>3</v>
      </c>
      <c r="U28" s="43" t="s">
        <v>48</v>
      </c>
      <c r="V28" s="19">
        <v>1</v>
      </c>
      <c r="W28" s="28">
        <v>1</v>
      </c>
      <c r="X28" s="28">
        <v>0</v>
      </c>
      <c r="Y28" s="19">
        <f t="shared" si="3"/>
        <v>1</v>
      </c>
      <c r="Z28" s="19">
        <f t="shared" si="4"/>
        <v>0</v>
      </c>
      <c r="AA28" s="19">
        <f t="shared" si="5"/>
        <v>0</v>
      </c>
      <c r="AB28" s="29">
        <f t="shared" si="6"/>
        <v>768.1270709582376</v>
      </c>
      <c r="AC28" s="29">
        <v>0</v>
      </c>
      <c r="AD28" s="29">
        <v>0</v>
      </c>
      <c r="AE28" s="28">
        <v>20</v>
      </c>
      <c r="AF28" s="46">
        <v>355</v>
      </c>
      <c r="AG28" s="28">
        <v>210000</v>
      </c>
      <c r="AH28" s="29">
        <v>2688.4447483538315</v>
      </c>
      <c r="AI28" s="29">
        <v>0</v>
      </c>
      <c r="AJ28" s="30">
        <v>0</v>
      </c>
      <c r="AK28" s="57">
        <f t="shared" si="2"/>
        <v>3.7898235408154664</v>
      </c>
      <c r="AL28" s="57">
        <f t="shared" si="7"/>
        <v>0.64849999999999997</v>
      </c>
      <c r="AM28" s="60"/>
      <c r="AN28" s="57">
        <v>0.95188272831229737</v>
      </c>
      <c r="AO28" s="101">
        <f t="shared" si="8"/>
        <v>1.655</v>
      </c>
      <c r="AP28" s="101">
        <f t="shared" si="9"/>
        <v>217</v>
      </c>
      <c r="AQ28">
        <v>25</v>
      </c>
      <c r="AU28" s="15"/>
      <c r="AV28" s="15"/>
      <c r="AW28" s="16"/>
      <c r="BB28" t="s">
        <v>68</v>
      </c>
      <c r="BC28" t="s">
        <v>67</v>
      </c>
      <c r="BD28" s="2">
        <v>2020</v>
      </c>
    </row>
    <row r="29" spans="1:58" ht="21" x14ac:dyDescent="0.5">
      <c r="A29" s="28">
        <v>218</v>
      </c>
      <c r="B29" s="67" t="s">
        <v>118</v>
      </c>
      <c r="C29" s="28">
        <v>180</v>
      </c>
      <c r="D29" s="19">
        <v>180</v>
      </c>
      <c r="E29" s="28">
        <v>400</v>
      </c>
      <c r="F29" s="28">
        <v>13.5</v>
      </c>
      <c r="G29" s="19">
        <v>13.5</v>
      </c>
      <c r="H29" s="28">
        <v>8.3000000000000007</v>
      </c>
      <c r="I29" s="19">
        <v>21</v>
      </c>
      <c r="J29" s="19">
        <v>21</v>
      </c>
      <c r="K29" s="19">
        <v>6316.3725680257776</v>
      </c>
      <c r="L29" s="19">
        <v>0</v>
      </c>
      <c r="M29" s="19">
        <v>1</v>
      </c>
      <c r="N29" s="19">
        <v>2</v>
      </c>
      <c r="O29" s="19">
        <v>3</v>
      </c>
      <c r="P29" s="28">
        <v>200</v>
      </c>
      <c r="Q29" s="19">
        <v>0</v>
      </c>
      <c r="R29" s="19">
        <v>0</v>
      </c>
      <c r="S29" s="19">
        <v>0</v>
      </c>
      <c r="T29" s="36">
        <v>3</v>
      </c>
      <c r="U29" s="43" t="s">
        <v>48</v>
      </c>
      <c r="V29" s="19">
        <v>1</v>
      </c>
      <c r="W29" s="28">
        <v>1</v>
      </c>
      <c r="X29" s="28">
        <v>0</v>
      </c>
      <c r="Y29" s="19">
        <f t="shared" si="3"/>
        <v>1</v>
      </c>
      <c r="Z29" s="19">
        <f t="shared" si="4"/>
        <v>0</v>
      </c>
      <c r="AA29" s="19">
        <f t="shared" si="5"/>
        <v>0</v>
      </c>
      <c r="AB29" s="29">
        <f t="shared" si="6"/>
        <v>684.27785744397931</v>
      </c>
      <c r="AC29" s="29">
        <v>0</v>
      </c>
      <c r="AD29" s="29">
        <v>0</v>
      </c>
      <c r="AE29" s="28">
        <v>20</v>
      </c>
      <c r="AF29" s="46">
        <v>355</v>
      </c>
      <c r="AG29" s="28">
        <v>210000</v>
      </c>
      <c r="AH29" s="29">
        <v>2394.9725010539278</v>
      </c>
      <c r="AI29" s="29">
        <v>0</v>
      </c>
      <c r="AJ29" s="30">
        <v>0</v>
      </c>
      <c r="AK29" s="57">
        <f t="shared" si="2"/>
        <v>6.3163725680257778</v>
      </c>
      <c r="AL29" s="57">
        <f t="shared" si="7"/>
        <v>0.64849999999999997</v>
      </c>
      <c r="AM29" s="60"/>
      <c r="AN29" s="57">
        <v>0.84797463661176165</v>
      </c>
      <c r="AO29" s="101">
        <f t="shared" si="8"/>
        <v>1.655</v>
      </c>
      <c r="AP29" s="101">
        <f t="shared" si="9"/>
        <v>218</v>
      </c>
      <c r="AQ29">
        <v>26</v>
      </c>
      <c r="AU29" s="15"/>
      <c r="AV29" s="15"/>
      <c r="AW29" s="16"/>
      <c r="BB29" t="s">
        <v>68</v>
      </c>
      <c r="BC29" t="s">
        <v>67</v>
      </c>
      <c r="BD29" s="2">
        <v>2020</v>
      </c>
    </row>
    <row r="30" spans="1:58" ht="21" x14ac:dyDescent="0.5">
      <c r="A30" s="28">
        <v>219</v>
      </c>
      <c r="B30" s="67" t="s">
        <v>119</v>
      </c>
      <c r="C30" s="28">
        <v>180</v>
      </c>
      <c r="D30" s="19">
        <v>180</v>
      </c>
      <c r="E30" s="28">
        <v>400</v>
      </c>
      <c r="F30" s="28">
        <v>13.5</v>
      </c>
      <c r="G30" s="19">
        <v>13.5</v>
      </c>
      <c r="H30" s="28">
        <v>8.3000000000000007</v>
      </c>
      <c r="I30" s="19">
        <v>21</v>
      </c>
      <c r="J30" s="19">
        <v>21</v>
      </c>
      <c r="K30" s="19">
        <v>9474.5588520386664</v>
      </c>
      <c r="L30" s="19">
        <v>0</v>
      </c>
      <c r="M30" s="19">
        <v>1</v>
      </c>
      <c r="N30" s="19">
        <v>2</v>
      </c>
      <c r="O30" s="19">
        <v>3</v>
      </c>
      <c r="P30" s="28">
        <v>200</v>
      </c>
      <c r="Q30" s="19">
        <v>0</v>
      </c>
      <c r="R30" s="19">
        <v>0</v>
      </c>
      <c r="S30" s="19">
        <v>0</v>
      </c>
      <c r="T30" s="36">
        <v>3</v>
      </c>
      <c r="U30" s="43" t="s">
        <v>48</v>
      </c>
      <c r="V30" s="19">
        <v>1</v>
      </c>
      <c r="W30" s="28">
        <v>1</v>
      </c>
      <c r="X30" s="28">
        <v>0</v>
      </c>
      <c r="Y30" s="19">
        <f t="shared" si="3"/>
        <v>1</v>
      </c>
      <c r="Z30" s="19">
        <f t="shared" si="4"/>
        <v>0</v>
      </c>
      <c r="AA30" s="19">
        <f t="shared" si="5"/>
        <v>0</v>
      </c>
      <c r="AB30" s="29">
        <f t="shared" si="6"/>
        <v>566.41993468941723</v>
      </c>
      <c r="AC30" s="29">
        <v>0</v>
      </c>
      <c r="AD30" s="29">
        <v>0</v>
      </c>
      <c r="AE30" s="28">
        <v>20</v>
      </c>
      <c r="AF30" s="46">
        <v>355</v>
      </c>
      <c r="AG30" s="28">
        <v>210000</v>
      </c>
      <c r="AH30" s="29">
        <v>1982.4697714129602</v>
      </c>
      <c r="AI30" s="29">
        <v>0</v>
      </c>
      <c r="AJ30" s="30">
        <v>0</v>
      </c>
      <c r="AK30" s="57">
        <f t="shared" si="2"/>
        <v>9.4745588520386672</v>
      </c>
      <c r="AL30" s="57">
        <f t="shared" si="7"/>
        <v>0.64849999999999997</v>
      </c>
      <c r="AM30" s="60"/>
      <c r="AN30" s="57">
        <v>0.70192208188942962</v>
      </c>
      <c r="AO30" s="101">
        <f t="shared" si="8"/>
        <v>1.655</v>
      </c>
      <c r="AP30" s="101">
        <f t="shared" si="9"/>
        <v>219</v>
      </c>
      <c r="AQ30">
        <v>27</v>
      </c>
      <c r="AU30" s="15"/>
      <c r="AV30" s="15"/>
      <c r="AW30" s="16"/>
      <c r="BB30" t="s">
        <v>68</v>
      </c>
      <c r="BC30" t="s">
        <v>67</v>
      </c>
      <c r="BD30" s="2">
        <v>2020</v>
      </c>
    </row>
    <row r="31" spans="1:58" ht="21" x14ac:dyDescent="0.5">
      <c r="A31" s="28">
        <v>220</v>
      </c>
      <c r="B31" s="67" t="s">
        <v>120</v>
      </c>
      <c r="C31" s="28">
        <v>180</v>
      </c>
      <c r="D31" s="19">
        <v>180</v>
      </c>
      <c r="E31" s="28">
        <v>400</v>
      </c>
      <c r="F31" s="28">
        <v>13.5</v>
      </c>
      <c r="G31" s="19">
        <v>13.5</v>
      </c>
      <c r="H31" s="28">
        <v>8.3000000000000007</v>
      </c>
      <c r="I31" s="19">
        <v>21</v>
      </c>
      <c r="J31" s="19">
        <v>21</v>
      </c>
      <c r="K31" s="19">
        <v>12632.745136051555</v>
      </c>
      <c r="L31" s="19">
        <v>0</v>
      </c>
      <c r="M31" s="19">
        <v>1</v>
      </c>
      <c r="N31" s="19">
        <v>2</v>
      </c>
      <c r="O31" s="19">
        <v>3</v>
      </c>
      <c r="P31" s="28">
        <v>200</v>
      </c>
      <c r="Q31" s="19">
        <v>0</v>
      </c>
      <c r="R31" s="19">
        <v>0</v>
      </c>
      <c r="S31" s="19">
        <v>0</v>
      </c>
      <c r="T31" s="36">
        <v>3</v>
      </c>
      <c r="U31" s="43" t="s">
        <v>48</v>
      </c>
      <c r="V31" s="19">
        <v>1</v>
      </c>
      <c r="W31" s="28">
        <v>1</v>
      </c>
      <c r="X31" s="28">
        <v>0</v>
      </c>
      <c r="Y31" s="19">
        <f t="shared" si="3"/>
        <v>1</v>
      </c>
      <c r="Z31" s="19">
        <f t="shared" si="4"/>
        <v>0</v>
      </c>
      <c r="AA31" s="19">
        <f t="shared" si="5"/>
        <v>0</v>
      </c>
      <c r="AB31" s="29">
        <f t="shared" si="6"/>
        <v>444.13039509349784</v>
      </c>
      <c r="AC31" s="29">
        <v>0</v>
      </c>
      <c r="AD31" s="29">
        <v>0</v>
      </c>
      <c r="AE31" s="28">
        <v>20</v>
      </c>
      <c r="AF31" s="46">
        <v>355</v>
      </c>
      <c r="AG31" s="28">
        <v>210000</v>
      </c>
      <c r="AH31" s="29">
        <v>1554.4563828272424</v>
      </c>
      <c r="AI31" s="29">
        <v>0</v>
      </c>
      <c r="AJ31" s="30">
        <v>0</v>
      </c>
      <c r="AK31" s="57">
        <f t="shared" si="2"/>
        <v>12.632745136051556</v>
      </c>
      <c r="AL31" s="57">
        <f t="shared" si="7"/>
        <v>0.64849999999999997</v>
      </c>
      <c r="AM31" s="60"/>
      <c r="AN31" s="57">
        <v>0.55037775413985168</v>
      </c>
      <c r="AO31" s="101">
        <f t="shared" si="8"/>
        <v>1.655</v>
      </c>
      <c r="AP31" s="101">
        <f t="shared" si="9"/>
        <v>220</v>
      </c>
      <c r="AQ31">
        <v>28</v>
      </c>
      <c r="AU31" s="15"/>
      <c r="AV31" s="15"/>
      <c r="AW31" s="16"/>
      <c r="BB31" t="s">
        <v>68</v>
      </c>
      <c r="BC31" t="s">
        <v>67</v>
      </c>
      <c r="BD31" s="2">
        <v>2020</v>
      </c>
    </row>
    <row r="32" spans="1:58" ht="21" x14ac:dyDescent="0.5">
      <c r="A32" s="28">
        <v>221</v>
      </c>
      <c r="B32" s="67" t="s">
        <v>121</v>
      </c>
      <c r="C32" s="28">
        <v>180</v>
      </c>
      <c r="D32" s="19">
        <v>180</v>
      </c>
      <c r="E32" s="28">
        <v>400</v>
      </c>
      <c r="F32" s="28">
        <v>13.5</v>
      </c>
      <c r="G32" s="19">
        <v>13.5</v>
      </c>
      <c r="H32" s="28">
        <v>8.3000000000000007</v>
      </c>
      <c r="I32" s="19">
        <v>21</v>
      </c>
      <c r="J32" s="19">
        <v>21</v>
      </c>
      <c r="K32" s="19">
        <v>16801.551030948569</v>
      </c>
      <c r="L32" s="19">
        <v>0</v>
      </c>
      <c r="M32" s="19">
        <v>1</v>
      </c>
      <c r="N32" s="19">
        <v>2</v>
      </c>
      <c r="O32" s="19">
        <v>3</v>
      </c>
      <c r="P32" s="28">
        <v>200</v>
      </c>
      <c r="Q32" s="19">
        <v>0</v>
      </c>
      <c r="R32" s="19">
        <v>0</v>
      </c>
      <c r="S32" s="19">
        <v>0</v>
      </c>
      <c r="T32" s="36">
        <v>3</v>
      </c>
      <c r="U32" s="43" t="s">
        <v>48</v>
      </c>
      <c r="V32" s="19">
        <v>1</v>
      </c>
      <c r="W32" s="28">
        <v>1</v>
      </c>
      <c r="X32" s="28">
        <v>0</v>
      </c>
      <c r="Y32" s="19">
        <f t="shared" si="3"/>
        <v>1</v>
      </c>
      <c r="Z32" s="19">
        <f t="shared" si="4"/>
        <v>0</v>
      </c>
      <c r="AA32" s="19">
        <f t="shared" si="5"/>
        <v>0</v>
      </c>
      <c r="AB32" s="29">
        <f t="shared" si="6"/>
        <v>311.64582970271385</v>
      </c>
      <c r="AC32" s="29">
        <v>0</v>
      </c>
      <c r="AD32" s="29">
        <v>0</v>
      </c>
      <c r="AE32" s="28">
        <v>20</v>
      </c>
      <c r="AF32" s="46">
        <v>355</v>
      </c>
      <c r="AG32" s="28">
        <v>210000</v>
      </c>
      <c r="AH32" s="29">
        <v>1090.7604039594985</v>
      </c>
      <c r="AI32" s="29">
        <v>0</v>
      </c>
      <c r="AJ32" s="30">
        <v>0</v>
      </c>
      <c r="AK32" s="57">
        <f t="shared" si="2"/>
        <v>16.80155103094857</v>
      </c>
      <c r="AL32" s="57">
        <f t="shared" si="7"/>
        <v>0.64849999999999997</v>
      </c>
      <c r="AM32" s="60"/>
      <c r="AN32" s="57">
        <v>0.38619948946012017</v>
      </c>
      <c r="AO32" s="101">
        <f t="shared" si="8"/>
        <v>1.655</v>
      </c>
      <c r="AP32" s="101">
        <f t="shared" si="9"/>
        <v>221</v>
      </c>
      <c r="AQ32">
        <v>29</v>
      </c>
      <c r="AU32" s="15"/>
      <c r="AV32" s="15"/>
      <c r="AW32" s="16"/>
      <c r="BB32" t="s">
        <v>68</v>
      </c>
      <c r="BC32" t="s">
        <v>67</v>
      </c>
      <c r="BD32" s="2">
        <v>2020</v>
      </c>
    </row>
    <row r="33" spans="1:58" ht="21" x14ac:dyDescent="0.5">
      <c r="A33" s="28">
        <v>222</v>
      </c>
      <c r="B33" s="67" t="s">
        <v>122</v>
      </c>
      <c r="C33" s="28">
        <v>180</v>
      </c>
      <c r="D33" s="19">
        <v>180</v>
      </c>
      <c r="E33" s="28">
        <v>400</v>
      </c>
      <c r="F33" s="28">
        <v>13.5</v>
      </c>
      <c r="G33" s="19">
        <v>13.5</v>
      </c>
      <c r="H33" s="28">
        <v>8.3000000000000007</v>
      </c>
      <c r="I33" s="19">
        <v>21</v>
      </c>
      <c r="J33" s="19">
        <v>21</v>
      </c>
      <c r="K33" s="19">
        <v>21096.684377206097</v>
      </c>
      <c r="L33" s="19">
        <v>0</v>
      </c>
      <c r="M33" s="19">
        <v>1</v>
      </c>
      <c r="N33" s="19">
        <v>2</v>
      </c>
      <c r="O33" s="19">
        <v>3</v>
      </c>
      <c r="P33" s="28">
        <v>200</v>
      </c>
      <c r="Q33" s="19">
        <v>0</v>
      </c>
      <c r="R33" s="19">
        <v>0</v>
      </c>
      <c r="S33" s="19">
        <v>0</v>
      </c>
      <c r="T33" s="36">
        <v>3</v>
      </c>
      <c r="U33" s="43" t="s">
        <v>48</v>
      </c>
      <c r="V33" s="19">
        <v>1</v>
      </c>
      <c r="W33" s="28">
        <v>1</v>
      </c>
      <c r="X33" s="28">
        <v>0</v>
      </c>
      <c r="Y33" s="19">
        <f t="shared" si="3"/>
        <v>1</v>
      </c>
      <c r="Z33" s="19">
        <f t="shared" si="4"/>
        <v>0</v>
      </c>
      <c r="AA33" s="19">
        <f t="shared" si="5"/>
        <v>0</v>
      </c>
      <c r="AB33" s="29">
        <f t="shared" si="6"/>
        <v>220.42189172725267</v>
      </c>
      <c r="AC33" s="29">
        <v>0</v>
      </c>
      <c r="AD33" s="29">
        <v>0</v>
      </c>
      <c r="AE33" s="28">
        <v>20</v>
      </c>
      <c r="AF33" s="46">
        <v>355</v>
      </c>
      <c r="AG33" s="28">
        <v>210000</v>
      </c>
      <c r="AH33" s="29">
        <v>771.47662104538438</v>
      </c>
      <c r="AI33" s="29">
        <v>0</v>
      </c>
      <c r="AJ33" s="30">
        <v>0</v>
      </c>
      <c r="AK33" s="57">
        <f t="shared" si="2"/>
        <v>21.096684377206095</v>
      </c>
      <c r="AL33" s="57">
        <f t="shared" si="7"/>
        <v>0.64849999999999997</v>
      </c>
      <c r="AM33" s="60"/>
      <c r="AN33" s="57">
        <v>0.27315245043421021</v>
      </c>
      <c r="AO33" s="101">
        <f t="shared" si="8"/>
        <v>1.655</v>
      </c>
      <c r="AP33" s="101">
        <f t="shared" si="9"/>
        <v>222</v>
      </c>
      <c r="AQ33">
        <v>30</v>
      </c>
      <c r="AU33" s="15"/>
      <c r="AV33" s="15"/>
      <c r="AW33" s="16"/>
      <c r="BB33" s="52" t="s">
        <v>75</v>
      </c>
      <c r="BC33" s="52" t="s">
        <v>74</v>
      </c>
      <c r="BD33" s="53">
        <v>2007</v>
      </c>
      <c r="BE33" s="52" t="s">
        <v>76</v>
      </c>
      <c r="BF33" s="52">
        <v>62</v>
      </c>
    </row>
    <row r="34" spans="1:58" ht="21" x14ac:dyDescent="0.5">
      <c r="A34" s="28">
        <v>223</v>
      </c>
      <c r="B34" s="67" t="s">
        <v>123</v>
      </c>
      <c r="C34" s="28">
        <v>180</v>
      </c>
      <c r="D34" s="19">
        <v>180</v>
      </c>
      <c r="E34" s="28">
        <v>400</v>
      </c>
      <c r="F34" s="28">
        <v>13.5</v>
      </c>
      <c r="G34" s="19">
        <v>13.5</v>
      </c>
      <c r="H34" s="28">
        <v>8.3000000000000007</v>
      </c>
      <c r="I34" s="19">
        <v>21</v>
      </c>
      <c r="J34" s="19">
        <v>21</v>
      </c>
      <c r="K34" s="19">
        <v>25265.49027210311</v>
      </c>
      <c r="L34" s="19">
        <v>0</v>
      </c>
      <c r="M34" s="19">
        <v>1</v>
      </c>
      <c r="N34" s="19">
        <v>2</v>
      </c>
      <c r="O34" s="19">
        <v>3</v>
      </c>
      <c r="P34" s="28">
        <v>200</v>
      </c>
      <c r="Q34" s="19">
        <v>0</v>
      </c>
      <c r="R34" s="19">
        <v>0</v>
      </c>
      <c r="S34" s="19">
        <v>0</v>
      </c>
      <c r="T34" s="36">
        <v>3</v>
      </c>
      <c r="U34" s="43" t="s">
        <v>48</v>
      </c>
      <c r="V34" s="19">
        <v>1</v>
      </c>
      <c r="W34" s="28">
        <v>1</v>
      </c>
      <c r="X34" s="28">
        <v>0</v>
      </c>
      <c r="Y34" s="19">
        <f t="shared" si="3"/>
        <v>1</v>
      </c>
      <c r="Z34" s="19">
        <f t="shared" si="4"/>
        <v>0</v>
      </c>
      <c r="AA34" s="19">
        <f t="shared" si="5"/>
        <v>0</v>
      </c>
      <c r="AB34" s="29">
        <f t="shared" si="6"/>
        <v>163.2831591430965</v>
      </c>
      <c r="AC34" s="29">
        <v>0</v>
      </c>
      <c r="AD34" s="29">
        <v>0</v>
      </c>
      <c r="AE34" s="28">
        <v>20</v>
      </c>
      <c r="AF34" s="46">
        <v>355</v>
      </c>
      <c r="AG34" s="28">
        <v>210000</v>
      </c>
      <c r="AH34" s="29">
        <v>571.49105700083771</v>
      </c>
      <c r="AI34" s="29">
        <v>0</v>
      </c>
      <c r="AJ34" s="30">
        <v>0</v>
      </c>
      <c r="AK34" s="57">
        <f t="shared" si="2"/>
        <v>25.265490272103111</v>
      </c>
      <c r="AL34" s="57">
        <f t="shared" si="7"/>
        <v>0.64849999999999997</v>
      </c>
      <c r="AM34" s="60"/>
      <c r="AN34" s="57">
        <v>0.20234467041851223</v>
      </c>
      <c r="AO34" s="101">
        <f t="shared" si="8"/>
        <v>1.655</v>
      </c>
      <c r="AP34" s="101">
        <f t="shared" si="9"/>
        <v>223</v>
      </c>
      <c r="AQ34">
        <v>31</v>
      </c>
      <c r="AU34" s="15"/>
      <c r="AV34" s="15"/>
      <c r="AW34" s="16"/>
      <c r="BB34" t="s">
        <v>75</v>
      </c>
      <c r="BC34" t="s">
        <v>74</v>
      </c>
      <c r="BD34" s="2">
        <v>2007</v>
      </c>
    </row>
    <row r="35" spans="1:58" ht="21" x14ac:dyDescent="0.5">
      <c r="A35" s="28">
        <v>224</v>
      </c>
      <c r="B35" s="67" t="s">
        <v>124</v>
      </c>
      <c r="C35" s="28">
        <v>180</v>
      </c>
      <c r="D35" s="19">
        <v>180</v>
      </c>
      <c r="E35" s="28">
        <v>400</v>
      </c>
      <c r="F35" s="28">
        <v>13.5</v>
      </c>
      <c r="G35" s="19">
        <v>13.5</v>
      </c>
      <c r="H35" s="28">
        <v>8.3000000000000007</v>
      </c>
      <c r="I35" s="19">
        <v>21</v>
      </c>
      <c r="J35" s="19">
        <v>21</v>
      </c>
      <c r="K35" s="19">
        <v>31581.862840128888</v>
      </c>
      <c r="L35" s="19">
        <v>0</v>
      </c>
      <c r="M35" s="19">
        <v>1</v>
      </c>
      <c r="N35" s="19">
        <v>2</v>
      </c>
      <c r="O35" s="19">
        <v>3</v>
      </c>
      <c r="P35" s="28">
        <v>200</v>
      </c>
      <c r="Q35" s="19">
        <v>0</v>
      </c>
      <c r="R35" s="19">
        <v>0</v>
      </c>
      <c r="S35" s="19">
        <v>0</v>
      </c>
      <c r="T35" s="36">
        <v>3</v>
      </c>
      <c r="U35" s="43" t="s">
        <v>48</v>
      </c>
      <c r="V35" s="19">
        <v>1</v>
      </c>
      <c r="W35" s="28">
        <v>1</v>
      </c>
      <c r="X35" s="28">
        <v>0</v>
      </c>
      <c r="Y35" s="19">
        <f t="shared" si="3"/>
        <v>1</v>
      </c>
      <c r="Z35" s="19">
        <f t="shared" si="4"/>
        <v>0</v>
      </c>
      <c r="AA35" s="19">
        <f t="shared" si="5"/>
        <v>0</v>
      </c>
      <c r="AB35" s="29">
        <f t="shared" si="6"/>
        <v>110.40819792496764</v>
      </c>
      <c r="AC35" s="29">
        <v>0</v>
      </c>
      <c r="AD35" s="29">
        <v>0</v>
      </c>
      <c r="AE35" s="28">
        <v>20</v>
      </c>
      <c r="AF35" s="46">
        <v>355</v>
      </c>
      <c r="AG35" s="28">
        <v>210000</v>
      </c>
      <c r="AH35" s="29">
        <v>386.42869273738671</v>
      </c>
      <c r="AI35" s="29">
        <v>0</v>
      </c>
      <c r="AJ35" s="30">
        <v>0</v>
      </c>
      <c r="AK35" s="57">
        <f t="shared" si="2"/>
        <v>31.581862840128888</v>
      </c>
      <c r="AL35" s="57">
        <f t="shared" si="7"/>
        <v>0.64849999999999997</v>
      </c>
      <c r="AM35" s="60"/>
      <c r="AN35" s="57">
        <v>0.13682066502063991</v>
      </c>
      <c r="AO35" s="101">
        <f t="shared" si="8"/>
        <v>1.655</v>
      </c>
      <c r="AP35" s="101">
        <f t="shared" si="9"/>
        <v>224</v>
      </c>
      <c r="AQ35">
        <v>32</v>
      </c>
      <c r="AU35" s="15"/>
      <c r="AV35" s="15"/>
      <c r="AW35" s="16"/>
      <c r="BB35" t="s">
        <v>75</v>
      </c>
      <c r="BC35" t="s">
        <v>74</v>
      </c>
      <c r="BD35" s="2">
        <v>2007</v>
      </c>
    </row>
    <row r="36" spans="1:58" ht="21" x14ac:dyDescent="0.5">
      <c r="A36" s="28">
        <v>225</v>
      </c>
      <c r="B36" s="67" t="s">
        <v>125</v>
      </c>
      <c r="C36" s="28">
        <v>180</v>
      </c>
      <c r="D36" s="19">
        <v>180</v>
      </c>
      <c r="E36" s="28">
        <v>400</v>
      </c>
      <c r="F36" s="28">
        <v>13.5</v>
      </c>
      <c r="G36" s="19">
        <v>13.5</v>
      </c>
      <c r="H36" s="28">
        <v>5.8</v>
      </c>
      <c r="I36" s="19">
        <v>21</v>
      </c>
      <c r="J36" s="19">
        <v>21</v>
      </c>
      <c r="K36" s="19">
        <v>3932.0296602456101</v>
      </c>
      <c r="L36" s="19">
        <v>0</v>
      </c>
      <c r="M36" s="19">
        <v>1</v>
      </c>
      <c r="N36" s="19">
        <v>2</v>
      </c>
      <c r="O36" s="19">
        <v>3</v>
      </c>
      <c r="P36" s="28">
        <v>200</v>
      </c>
      <c r="Q36" s="19">
        <v>0</v>
      </c>
      <c r="R36" s="19">
        <v>0</v>
      </c>
      <c r="S36" s="19">
        <v>0</v>
      </c>
      <c r="T36" s="36">
        <v>3</v>
      </c>
      <c r="U36" s="43" t="s">
        <v>48</v>
      </c>
      <c r="V36" s="19">
        <v>1</v>
      </c>
      <c r="W36" s="28">
        <v>1</v>
      </c>
      <c r="X36" s="28">
        <v>0</v>
      </c>
      <c r="Y36" s="19">
        <f t="shared" si="3"/>
        <v>1</v>
      </c>
      <c r="Z36" s="19">
        <f t="shared" si="4"/>
        <v>0</v>
      </c>
      <c r="AA36" s="19">
        <f t="shared" si="5"/>
        <v>0</v>
      </c>
      <c r="AB36" s="29">
        <f t="shared" si="6"/>
        <v>676.85897983217001</v>
      </c>
      <c r="AC36" s="29">
        <f t="shared" ref="AC36:AC99" si="10">Z36*AI36/3.5</f>
        <v>0</v>
      </c>
      <c r="AD36" s="29">
        <f t="shared" ref="AD36:AD99" si="11">AA36*AJ36/3.5</f>
        <v>0</v>
      </c>
      <c r="AE36" s="28">
        <v>20</v>
      </c>
      <c r="AF36" s="46">
        <v>355</v>
      </c>
      <c r="AG36" s="28">
        <v>210000</v>
      </c>
      <c r="AH36" s="29">
        <v>2369.006429412595</v>
      </c>
      <c r="AI36" s="29">
        <v>0</v>
      </c>
      <c r="AJ36" s="30">
        <v>0</v>
      </c>
      <c r="AK36" s="57">
        <f t="shared" si="2"/>
        <v>3.9320296602456102</v>
      </c>
      <c r="AL36" s="57">
        <f t="shared" si="7"/>
        <v>0.66099999999999992</v>
      </c>
      <c r="AM36" s="60"/>
      <c r="AN36" s="57">
        <v>0.95014630344863071</v>
      </c>
      <c r="AO36" s="101">
        <f t="shared" si="8"/>
        <v>1.655</v>
      </c>
      <c r="AP36" s="101">
        <f t="shared" si="9"/>
        <v>225</v>
      </c>
      <c r="AQ36">
        <v>33</v>
      </c>
      <c r="AU36" s="15"/>
      <c r="AV36" s="15"/>
      <c r="AW36" s="16"/>
      <c r="BB36" s="52" t="s">
        <v>79</v>
      </c>
      <c r="BC36" s="52" t="s">
        <v>80</v>
      </c>
      <c r="BD36" s="53">
        <v>2026</v>
      </c>
      <c r="BE36" s="52"/>
      <c r="BF36" s="52">
        <v>63</v>
      </c>
    </row>
    <row r="37" spans="1:58" ht="21" x14ac:dyDescent="0.5">
      <c r="A37" s="28">
        <v>226</v>
      </c>
      <c r="B37" s="67" t="s">
        <v>126</v>
      </c>
      <c r="C37" s="28">
        <v>180</v>
      </c>
      <c r="D37" s="19">
        <v>180</v>
      </c>
      <c r="E37" s="28">
        <v>400</v>
      </c>
      <c r="F37" s="28">
        <v>13.5</v>
      </c>
      <c r="G37" s="19">
        <v>13.5</v>
      </c>
      <c r="H37" s="28">
        <v>5.8</v>
      </c>
      <c r="I37" s="19">
        <v>21</v>
      </c>
      <c r="J37" s="19">
        <v>21</v>
      </c>
      <c r="K37" s="19">
        <v>6553.3827670760165</v>
      </c>
      <c r="L37" s="19">
        <v>0</v>
      </c>
      <c r="M37" s="19">
        <v>1</v>
      </c>
      <c r="N37" s="19">
        <v>2</v>
      </c>
      <c r="O37" s="19">
        <v>3</v>
      </c>
      <c r="P37" s="28">
        <v>200</v>
      </c>
      <c r="Q37" s="19">
        <v>0</v>
      </c>
      <c r="R37" s="19">
        <v>0</v>
      </c>
      <c r="S37" s="19">
        <v>0</v>
      </c>
      <c r="T37" s="36">
        <v>3</v>
      </c>
      <c r="U37" s="43" t="s">
        <v>48</v>
      </c>
      <c r="V37" s="19">
        <v>1</v>
      </c>
      <c r="W37" s="28">
        <v>1</v>
      </c>
      <c r="X37" s="28">
        <v>0</v>
      </c>
      <c r="Y37" s="19">
        <f t="shared" si="3"/>
        <v>1</v>
      </c>
      <c r="Z37" s="19">
        <f t="shared" si="4"/>
        <v>0</v>
      </c>
      <c r="AA37" s="19">
        <f t="shared" si="5"/>
        <v>0</v>
      </c>
      <c r="AB37" s="29">
        <f t="shared" si="6"/>
        <v>601.82234279294948</v>
      </c>
      <c r="AC37" s="29">
        <f t="shared" si="10"/>
        <v>0</v>
      </c>
      <c r="AD37" s="29">
        <f t="shared" si="11"/>
        <v>0</v>
      </c>
      <c r="AE37" s="28">
        <v>20</v>
      </c>
      <c r="AF37" s="46">
        <v>355</v>
      </c>
      <c r="AG37" s="28">
        <v>210000</v>
      </c>
      <c r="AH37" s="29">
        <v>2106.3781997753231</v>
      </c>
      <c r="AI37" s="29">
        <v>0</v>
      </c>
      <c r="AJ37" s="30">
        <v>0</v>
      </c>
      <c r="AK37" s="57">
        <f t="shared" ref="AK37:AK99" si="12">K37/1000</f>
        <v>6.553382767076017</v>
      </c>
      <c r="AL37" s="57">
        <f t="shared" si="7"/>
        <v>0.66099999999999992</v>
      </c>
      <c r="AM37" s="60"/>
      <c r="AN37" s="57">
        <v>0.84481301330936109</v>
      </c>
      <c r="AO37" s="101">
        <f t="shared" si="8"/>
        <v>1.655</v>
      </c>
      <c r="AP37" s="101">
        <f t="shared" si="9"/>
        <v>226</v>
      </c>
      <c r="AQ37">
        <v>34</v>
      </c>
      <c r="AU37" s="15"/>
      <c r="AV37" s="15"/>
      <c r="AW37" s="16"/>
      <c r="BB37" t="s">
        <v>79</v>
      </c>
      <c r="BC37" t="s">
        <v>80</v>
      </c>
      <c r="BD37" s="2">
        <v>2026</v>
      </c>
    </row>
    <row r="38" spans="1:58" ht="21" x14ac:dyDescent="0.5">
      <c r="A38" s="28">
        <v>227</v>
      </c>
      <c r="B38" s="67" t="s">
        <v>127</v>
      </c>
      <c r="C38" s="28">
        <v>180</v>
      </c>
      <c r="D38" s="19">
        <v>180</v>
      </c>
      <c r="E38" s="28">
        <v>400</v>
      </c>
      <c r="F38" s="28">
        <v>13.5</v>
      </c>
      <c r="G38" s="19">
        <v>13.5</v>
      </c>
      <c r="H38" s="28">
        <v>5.8</v>
      </c>
      <c r="I38" s="19">
        <v>21</v>
      </c>
      <c r="J38" s="19">
        <v>21</v>
      </c>
      <c r="K38" s="19">
        <v>9830.0741506140257</v>
      </c>
      <c r="L38" s="19">
        <v>0</v>
      </c>
      <c r="M38" s="19">
        <v>1</v>
      </c>
      <c r="N38" s="19">
        <v>2</v>
      </c>
      <c r="O38" s="19">
        <v>3</v>
      </c>
      <c r="P38" s="28">
        <v>200</v>
      </c>
      <c r="Q38" s="19">
        <v>0</v>
      </c>
      <c r="R38" s="19">
        <v>0</v>
      </c>
      <c r="S38" s="19">
        <v>0</v>
      </c>
      <c r="T38" s="36">
        <v>3</v>
      </c>
      <c r="U38" s="43" t="s">
        <v>48</v>
      </c>
      <c r="V38" s="19">
        <v>1</v>
      </c>
      <c r="W38" s="28">
        <v>1</v>
      </c>
      <c r="X38" s="28">
        <v>0</v>
      </c>
      <c r="Y38" s="19">
        <f t="shared" si="3"/>
        <v>1</v>
      </c>
      <c r="Z38" s="19">
        <f t="shared" si="4"/>
        <v>0</v>
      </c>
      <c r="AA38" s="19">
        <f t="shared" si="5"/>
        <v>0</v>
      </c>
      <c r="AB38" s="29">
        <f t="shared" si="6"/>
        <v>496.23861360808769</v>
      </c>
      <c r="AC38" s="29">
        <f t="shared" si="10"/>
        <v>0</v>
      </c>
      <c r="AD38" s="29">
        <f t="shared" si="11"/>
        <v>0</v>
      </c>
      <c r="AE38" s="28">
        <v>20</v>
      </c>
      <c r="AF38" s="46">
        <v>355</v>
      </c>
      <c r="AG38" s="28">
        <v>210000</v>
      </c>
      <c r="AH38" s="29">
        <v>1736.8351476283069</v>
      </c>
      <c r="AI38" s="29">
        <v>0</v>
      </c>
      <c r="AJ38" s="30">
        <v>0</v>
      </c>
      <c r="AK38" s="57">
        <f t="shared" si="12"/>
        <v>9.8300741506140259</v>
      </c>
      <c r="AL38" s="57">
        <f t="shared" si="7"/>
        <v>0.66099999999999992</v>
      </c>
      <c r="AM38" s="60"/>
      <c r="AN38" s="57">
        <v>0.69659899387773228</v>
      </c>
      <c r="AO38" s="101">
        <f t="shared" si="8"/>
        <v>1.655</v>
      </c>
      <c r="AP38" s="101">
        <f t="shared" si="9"/>
        <v>227</v>
      </c>
      <c r="AQ38">
        <v>35</v>
      </c>
      <c r="AU38" s="15"/>
      <c r="AV38" s="15"/>
      <c r="AW38" s="16"/>
      <c r="BB38" t="s">
        <v>79</v>
      </c>
      <c r="BC38" t="s">
        <v>80</v>
      </c>
      <c r="BD38" s="2">
        <v>2026</v>
      </c>
    </row>
    <row r="39" spans="1:58" ht="21" x14ac:dyDescent="0.5">
      <c r="A39" s="28">
        <v>228</v>
      </c>
      <c r="B39" s="67" t="s">
        <v>128</v>
      </c>
      <c r="C39" s="28">
        <v>180</v>
      </c>
      <c r="D39" s="19">
        <v>180</v>
      </c>
      <c r="E39" s="28">
        <v>400</v>
      </c>
      <c r="F39" s="28">
        <v>13.5</v>
      </c>
      <c r="G39" s="19">
        <v>13.5</v>
      </c>
      <c r="H39" s="28">
        <v>5.8</v>
      </c>
      <c r="I39" s="19">
        <v>21</v>
      </c>
      <c r="J39" s="19">
        <v>21</v>
      </c>
      <c r="K39" s="19">
        <v>13106.765534152033</v>
      </c>
      <c r="L39" s="19">
        <v>0</v>
      </c>
      <c r="M39" s="19">
        <v>1</v>
      </c>
      <c r="N39" s="19">
        <v>2</v>
      </c>
      <c r="O39" s="19">
        <v>3</v>
      </c>
      <c r="P39" s="28">
        <v>200</v>
      </c>
      <c r="Q39" s="19">
        <v>0</v>
      </c>
      <c r="R39" s="19">
        <v>0</v>
      </c>
      <c r="S39" s="19">
        <v>0</v>
      </c>
      <c r="T39" s="36">
        <v>3</v>
      </c>
      <c r="U39" s="43" t="s">
        <v>48</v>
      </c>
      <c r="V39" s="19">
        <v>1</v>
      </c>
      <c r="W39" s="28">
        <v>1</v>
      </c>
      <c r="X39" s="28">
        <v>0</v>
      </c>
      <c r="Y39" s="19">
        <f t="shared" si="3"/>
        <v>1</v>
      </c>
      <c r="Z39" s="19">
        <f t="shared" si="4"/>
        <v>0</v>
      </c>
      <c r="AA39" s="19">
        <f t="shared" si="5"/>
        <v>0</v>
      </c>
      <c r="AB39" s="29">
        <f t="shared" si="6"/>
        <v>387.34132293137338</v>
      </c>
      <c r="AC39" s="29">
        <f t="shared" si="10"/>
        <v>0</v>
      </c>
      <c r="AD39" s="29">
        <f t="shared" si="11"/>
        <v>0</v>
      </c>
      <c r="AE39" s="28">
        <v>20</v>
      </c>
      <c r="AF39" s="46">
        <v>355</v>
      </c>
      <c r="AG39" s="28">
        <v>210000</v>
      </c>
      <c r="AH39" s="29">
        <v>1355.6946302598069</v>
      </c>
      <c r="AI39" s="29">
        <v>0</v>
      </c>
      <c r="AJ39" s="30">
        <v>0</v>
      </c>
      <c r="AK39" s="57">
        <f t="shared" si="12"/>
        <v>13.106765534152034</v>
      </c>
      <c r="AL39" s="57">
        <f t="shared" si="7"/>
        <v>0.66099999999999992</v>
      </c>
      <c r="AM39" s="60"/>
      <c r="AN39" s="57">
        <v>0.54373353552523096</v>
      </c>
      <c r="AO39" s="101">
        <f t="shared" si="8"/>
        <v>1.655</v>
      </c>
      <c r="AP39" s="101">
        <f t="shared" si="9"/>
        <v>228</v>
      </c>
      <c r="AQ39">
        <v>36</v>
      </c>
      <c r="AU39" s="15"/>
      <c r="AV39" s="15"/>
      <c r="AW39" s="16"/>
      <c r="BB39" t="s">
        <v>79</v>
      </c>
      <c r="BC39" t="s">
        <v>80</v>
      </c>
      <c r="BD39" s="2">
        <v>2026</v>
      </c>
    </row>
    <row r="40" spans="1:58" ht="21" x14ac:dyDescent="0.5">
      <c r="A40" s="28">
        <v>229</v>
      </c>
      <c r="B40" s="67" t="s">
        <v>129</v>
      </c>
      <c r="C40" s="28">
        <v>180</v>
      </c>
      <c r="D40" s="19">
        <v>180</v>
      </c>
      <c r="E40" s="28">
        <v>400</v>
      </c>
      <c r="F40" s="28">
        <v>13.5</v>
      </c>
      <c r="G40" s="19">
        <v>13.5</v>
      </c>
      <c r="H40" s="28">
        <v>5.8</v>
      </c>
      <c r="I40" s="19">
        <v>21</v>
      </c>
      <c r="J40" s="19">
        <v>21</v>
      </c>
      <c r="K40" s="19">
        <v>17431.998160422205</v>
      </c>
      <c r="L40" s="19">
        <v>0</v>
      </c>
      <c r="M40" s="19">
        <v>1</v>
      </c>
      <c r="N40" s="19">
        <v>2</v>
      </c>
      <c r="O40" s="19">
        <v>3</v>
      </c>
      <c r="P40" s="28">
        <v>200</v>
      </c>
      <c r="Q40" s="19">
        <v>0</v>
      </c>
      <c r="R40" s="19">
        <v>0</v>
      </c>
      <c r="S40" s="19">
        <v>0</v>
      </c>
      <c r="T40" s="36">
        <v>3</v>
      </c>
      <c r="U40" s="43" t="s">
        <v>48</v>
      </c>
      <c r="V40" s="19">
        <v>1</v>
      </c>
      <c r="W40" s="28">
        <v>1</v>
      </c>
      <c r="X40" s="28">
        <v>0</v>
      </c>
      <c r="Y40" s="19">
        <f t="shared" si="3"/>
        <v>1</v>
      </c>
      <c r="Z40" s="19">
        <f t="shared" si="4"/>
        <v>0</v>
      </c>
      <c r="AA40" s="19">
        <f t="shared" si="5"/>
        <v>0</v>
      </c>
      <c r="AB40" s="29">
        <f t="shared" si="6"/>
        <v>270.6572319317637</v>
      </c>
      <c r="AC40" s="29">
        <f t="shared" si="10"/>
        <v>0</v>
      </c>
      <c r="AD40" s="29">
        <f t="shared" si="11"/>
        <v>0</v>
      </c>
      <c r="AE40" s="28">
        <v>20</v>
      </c>
      <c r="AF40" s="46">
        <v>355</v>
      </c>
      <c r="AG40" s="28">
        <v>210000</v>
      </c>
      <c r="AH40" s="29">
        <v>947.30031176117291</v>
      </c>
      <c r="AI40" s="29">
        <v>0</v>
      </c>
      <c r="AJ40" s="30">
        <v>0</v>
      </c>
      <c r="AK40" s="57">
        <f t="shared" si="12"/>
        <v>17.431998160422204</v>
      </c>
      <c r="AL40" s="57">
        <f t="shared" si="7"/>
        <v>0.66099999999999992</v>
      </c>
      <c r="AM40" s="60"/>
      <c r="AN40" s="57">
        <v>0.37993729282481981</v>
      </c>
      <c r="AO40" s="101">
        <f t="shared" si="8"/>
        <v>1.655</v>
      </c>
      <c r="AP40" s="101">
        <f t="shared" si="9"/>
        <v>229</v>
      </c>
      <c r="AQ40">
        <v>37</v>
      </c>
      <c r="AU40" s="15"/>
      <c r="AV40" s="15"/>
      <c r="AW40" s="16"/>
      <c r="BB40" t="s">
        <v>79</v>
      </c>
      <c r="BC40" t="s">
        <v>80</v>
      </c>
      <c r="BD40" s="2">
        <v>2026</v>
      </c>
    </row>
    <row r="41" spans="1:58" s="62" customFormat="1" ht="21" x14ac:dyDescent="0.5">
      <c r="A41" s="28">
        <v>230</v>
      </c>
      <c r="B41" s="67" t="s">
        <v>130</v>
      </c>
      <c r="C41" s="28">
        <v>180</v>
      </c>
      <c r="D41" s="19">
        <v>180</v>
      </c>
      <c r="E41" s="28">
        <v>400</v>
      </c>
      <c r="F41" s="28">
        <v>13.5</v>
      </c>
      <c r="G41" s="19">
        <v>13.5</v>
      </c>
      <c r="H41" s="28">
        <v>5.8</v>
      </c>
      <c r="I41" s="19">
        <v>21</v>
      </c>
      <c r="J41" s="19">
        <v>21</v>
      </c>
      <c r="K41" s="19">
        <v>21888.298442033894</v>
      </c>
      <c r="L41" s="19">
        <v>0</v>
      </c>
      <c r="M41" s="19">
        <v>1</v>
      </c>
      <c r="N41" s="19">
        <v>2</v>
      </c>
      <c r="O41" s="19">
        <v>3</v>
      </c>
      <c r="P41" s="28">
        <v>200</v>
      </c>
      <c r="Q41" s="19">
        <v>0</v>
      </c>
      <c r="R41" s="19">
        <v>0</v>
      </c>
      <c r="S41" s="19">
        <v>0</v>
      </c>
      <c r="T41" s="36">
        <v>3</v>
      </c>
      <c r="U41" s="43" t="s">
        <v>48</v>
      </c>
      <c r="V41" s="19">
        <v>1</v>
      </c>
      <c r="W41" s="28">
        <v>1</v>
      </c>
      <c r="X41" s="28">
        <v>0</v>
      </c>
      <c r="Y41" s="19">
        <f t="shared" si="3"/>
        <v>1</v>
      </c>
      <c r="Z41" s="19">
        <f t="shared" si="4"/>
        <v>0</v>
      </c>
      <c r="AA41" s="19">
        <f t="shared" si="5"/>
        <v>0</v>
      </c>
      <c r="AB41" s="29">
        <f t="shared" si="6"/>
        <v>191.008989393901</v>
      </c>
      <c r="AC41" s="29">
        <f t="shared" si="10"/>
        <v>0</v>
      </c>
      <c r="AD41" s="29">
        <f t="shared" si="11"/>
        <v>0</v>
      </c>
      <c r="AE41" s="28">
        <v>20</v>
      </c>
      <c r="AF41" s="46">
        <v>355</v>
      </c>
      <c r="AG41" s="28">
        <v>210000</v>
      </c>
      <c r="AH41" s="29">
        <v>668.53146287865354</v>
      </c>
      <c r="AI41" s="29">
        <v>0</v>
      </c>
      <c r="AJ41" s="30">
        <v>0</v>
      </c>
      <c r="AK41" s="57">
        <f t="shared" si="12"/>
        <v>21.888298442033893</v>
      </c>
      <c r="AL41" s="57">
        <f t="shared" si="7"/>
        <v>0.66099999999999992</v>
      </c>
      <c r="AM41" s="60"/>
      <c r="AN41" s="57">
        <v>0.26813042392238645</v>
      </c>
      <c r="AO41" s="101">
        <f t="shared" si="8"/>
        <v>1.655</v>
      </c>
      <c r="AP41" s="101">
        <f t="shared" si="9"/>
        <v>230</v>
      </c>
      <c r="AQ41">
        <v>38</v>
      </c>
      <c r="AR41"/>
      <c r="AS41"/>
      <c r="AT41"/>
      <c r="AU41" s="15"/>
      <c r="AV41" s="15"/>
      <c r="AW41" s="16"/>
      <c r="AX41"/>
      <c r="AY41"/>
      <c r="AZ41"/>
      <c r="BA41"/>
      <c r="BB41" t="s">
        <v>79</v>
      </c>
      <c r="BC41" t="s">
        <v>80</v>
      </c>
      <c r="BD41" s="2">
        <v>2026</v>
      </c>
      <c r="BE41"/>
      <c r="BF41"/>
    </row>
    <row r="42" spans="1:58" ht="21" x14ac:dyDescent="0.5">
      <c r="A42" s="28">
        <v>231</v>
      </c>
      <c r="B42" s="67" t="s">
        <v>131</v>
      </c>
      <c r="C42" s="28">
        <v>180</v>
      </c>
      <c r="D42" s="19">
        <v>180</v>
      </c>
      <c r="E42" s="28">
        <v>400</v>
      </c>
      <c r="F42" s="28">
        <v>13.5</v>
      </c>
      <c r="G42" s="19">
        <v>13.5</v>
      </c>
      <c r="H42" s="28">
        <v>5.8</v>
      </c>
      <c r="I42" s="19">
        <v>21</v>
      </c>
      <c r="J42" s="19">
        <v>21</v>
      </c>
      <c r="K42" s="19">
        <v>26213.531068304066</v>
      </c>
      <c r="L42" s="19">
        <v>0</v>
      </c>
      <c r="M42" s="19">
        <v>1</v>
      </c>
      <c r="N42" s="19">
        <v>2</v>
      </c>
      <c r="O42" s="19">
        <v>3</v>
      </c>
      <c r="P42" s="28">
        <v>200</v>
      </c>
      <c r="Q42" s="19">
        <v>0</v>
      </c>
      <c r="R42" s="19">
        <v>0</v>
      </c>
      <c r="S42" s="19">
        <v>0</v>
      </c>
      <c r="T42" s="36">
        <v>3</v>
      </c>
      <c r="U42" s="43" t="s">
        <v>48</v>
      </c>
      <c r="V42" s="19">
        <v>1</v>
      </c>
      <c r="W42" s="28">
        <v>1</v>
      </c>
      <c r="X42" s="28">
        <v>0</v>
      </c>
      <c r="Y42" s="19">
        <f t="shared" si="3"/>
        <v>1</v>
      </c>
      <c r="Z42" s="19">
        <f t="shared" si="4"/>
        <v>0</v>
      </c>
      <c r="AA42" s="19">
        <f t="shared" si="5"/>
        <v>0</v>
      </c>
      <c r="AB42" s="29">
        <f t="shared" si="6"/>
        <v>141.33537597716665</v>
      </c>
      <c r="AC42" s="29">
        <f t="shared" si="10"/>
        <v>0</v>
      </c>
      <c r="AD42" s="29">
        <f t="shared" si="11"/>
        <v>0</v>
      </c>
      <c r="AE42" s="28">
        <v>20</v>
      </c>
      <c r="AF42" s="46">
        <v>355</v>
      </c>
      <c r="AG42" s="28">
        <v>210000</v>
      </c>
      <c r="AH42" s="29">
        <v>494.67381592008326</v>
      </c>
      <c r="AI42" s="29">
        <v>0</v>
      </c>
      <c r="AJ42" s="30">
        <v>0</v>
      </c>
      <c r="AK42" s="57">
        <f t="shared" si="12"/>
        <v>26.213531068304068</v>
      </c>
      <c r="AL42" s="57">
        <f t="shared" si="7"/>
        <v>0.66099999999999992</v>
      </c>
      <c r="AM42" s="60"/>
      <c r="AN42" s="57">
        <v>0.19840068468106145</v>
      </c>
      <c r="AO42" s="101">
        <f t="shared" si="8"/>
        <v>1.655</v>
      </c>
      <c r="AP42" s="101">
        <f t="shared" si="9"/>
        <v>231</v>
      </c>
      <c r="AQ42">
        <v>39</v>
      </c>
      <c r="AU42" s="15"/>
      <c r="AV42" s="15"/>
      <c r="AW42" s="16"/>
    </row>
    <row r="43" spans="1:58" ht="21" x14ac:dyDescent="0.5">
      <c r="A43" s="28">
        <v>232</v>
      </c>
      <c r="B43" s="67" t="s">
        <v>132</v>
      </c>
      <c r="C43" s="28">
        <v>180</v>
      </c>
      <c r="D43" s="19">
        <v>180</v>
      </c>
      <c r="E43" s="28">
        <v>400</v>
      </c>
      <c r="F43" s="28">
        <v>13.5</v>
      </c>
      <c r="G43" s="19">
        <v>13.5</v>
      </c>
      <c r="H43" s="28">
        <v>5.8</v>
      </c>
      <c r="I43" s="19">
        <v>21</v>
      </c>
      <c r="J43" s="19">
        <v>21</v>
      </c>
      <c r="K43" s="19">
        <v>32766.913835380084</v>
      </c>
      <c r="L43" s="19">
        <v>0</v>
      </c>
      <c r="M43" s="19">
        <v>1</v>
      </c>
      <c r="N43" s="19">
        <v>2</v>
      </c>
      <c r="O43" s="19">
        <v>3</v>
      </c>
      <c r="P43" s="28">
        <v>200</v>
      </c>
      <c r="Q43" s="19">
        <v>0</v>
      </c>
      <c r="R43" s="19">
        <v>0</v>
      </c>
      <c r="S43" s="19">
        <v>0</v>
      </c>
      <c r="T43" s="36">
        <v>3</v>
      </c>
      <c r="U43" s="43" t="s">
        <v>48</v>
      </c>
      <c r="V43" s="19">
        <v>1</v>
      </c>
      <c r="W43" s="28">
        <v>1</v>
      </c>
      <c r="X43" s="28">
        <v>0</v>
      </c>
      <c r="Y43" s="19">
        <f t="shared" si="3"/>
        <v>1</v>
      </c>
      <c r="Z43" s="19">
        <f t="shared" si="4"/>
        <v>0</v>
      </c>
      <c r="AA43" s="19">
        <f t="shared" si="5"/>
        <v>0</v>
      </c>
      <c r="AB43" s="29">
        <f t="shared" si="6"/>
        <v>95.480587201755426</v>
      </c>
      <c r="AC43" s="29">
        <f t="shared" si="10"/>
        <v>0</v>
      </c>
      <c r="AD43" s="29">
        <f t="shared" si="11"/>
        <v>0</v>
      </c>
      <c r="AE43" s="28">
        <v>20</v>
      </c>
      <c r="AF43" s="46">
        <v>355</v>
      </c>
      <c r="AG43" s="28">
        <v>210000</v>
      </c>
      <c r="AH43" s="29">
        <v>334.18205520614401</v>
      </c>
      <c r="AI43" s="29">
        <v>0</v>
      </c>
      <c r="AJ43" s="30">
        <v>0</v>
      </c>
      <c r="AK43" s="57">
        <f t="shared" si="12"/>
        <v>32.766913835380088</v>
      </c>
      <c r="AL43" s="57">
        <f t="shared" si="7"/>
        <v>0.66099999999999992</v>
      </c>
      <c r="AM43" s="60"/>
      <c r="AN43" s="57">
        <v>0.13403165162017514</v>
      </c>
      <c r="AO43" s="101">
        <f t="shared" si="8"/>
        <v>1.655</v>
      </c>
      <c r="AP43" s="101">
        <f t="shared" si="9"/>
        <v>232</v>
      </c>
      <c r="AQ43">
        <v>40</v>
      </c>
      <c r="AU43" s="15"/>
      <c r="AV43" s="15"/>
      <c r="AW43" s="16"/>
    </row>
    <row r="44" spans="1:58" ht="21" x14ac:dyDescent="0.5">
      <c r="A44" s="28">
        <v>233</v>
      </c>
      <c r="B44" s="67" t="s">
        <v>133</v>
      </c>
      <c r="C44" s="28">
        <v>180</v>
      </c>
      <c r="D44" s="19">
        <v>180</v>
      </c>
      <c r="E44" s="28">
        <v>400</v>
      </c>
      <c r="F44" s="28">
        <v>13.5</v>
      </c>
      <c r="G44" s="19">
        <v>13.5</v>
      </c>
      <c r="H44" s="28">
        <v>4.28</v>
      </c>
      <c r="I44" s="19">
        <v>21</v>
      </c>
      <c r="J44" s="19">
        <v>21</v>
      </c>
      <c r="K44" s="19">
        <v>4035.288547142372</v>
      </c>
      <c r="L44" s="19">
        <v>0</v>
      </c>
      <c r="M44" s="19">
        <v>1</v>
      </c>
      <c r="N44" s="19">
        <v>2</v>
      </c>
      <c r="O44" s="19">
        <v>3</v>
      </c>
      <c r="P44" s="28">
        <v>200</v>
      </c>
      <c r="Q44" s="19">
        <v>0</v>
      </c>
      <c r="R44" s="19">
        <v>0</v>
      </c>
      <c r="S44" s="19">
        <v>0</v>
      </c>
      <c r="T44" s="36">
        <v>3</v>
      </c>
      <c r="U44" s="43" t="s">
        <v>48</v>
      </c>
      <c r="V44" s="19">
        <v>1</v>
      </c>
      <c r="W44" s="28">
        <v>1</v>
      </c>
      <c r="X44" s="28">
        <v>0</v>
      </c>
      <c r="Y44" s="19">
        <f t="shared" si="3"/>
        <v>1</v>
      </c>
      <c r="Z44" s="19">
        <f t="shared" si="4"/>
        <v>0</v>
      </c>
      <c r="AA44" s="19">
        <f t="shared" si="5"/>
        <v>0</v>
      </c>
      <c r="AB44" s="29">
        <f t="shared" si="6"/>
        <v>621.59187224503364</v>
      </c>
      <c r="AC44" s="29">
        <f t="shared" si="10"/>
        <v>0</v>
      </c>
      <c r="AD44" s="29">
        <f t="shared" si="11"/>
        <v>0</v>
      </c>
      <c r="AE44" s="28">
        <v>20</v>
      </c>
      <c r="AF44" s="46">
        <v>355</v>
      </c>
      <c r="AG44" s="28">
        <v>210000</v>
      </c>
      <c r="AH44" s="29">
        <v>2175.5715528576179</v>
      </c>
      <c r="AI44" s="29">
        <v>0</v>
      </c>
      <c r="AJ44" s="30">
        <v>0</v>
      </c>
      <c r="AK44" s="57">
        <f t="shared" si="12"/>
        <v>4.0352885471423718</v>
      </c>
      <c r="AL44" s="57">
        <f t="shared" si="7"/>
        <v>0.66859999999999997</v>
      </c>
      <c r="AM44" s="60"/>
      <c r="AN44" s="57">
        <v>0.94918725666619819</v>
      </c>
      <c r="AO44" s="101">
        <f t="shared" si="8"/>
        <v>1.655</v>
      </c>
      <c r="AP44" s="101">
        <f t="shared" si="9"/>
        <v>233</v>
      </c>
      <c r="AQ44">
        <v>41</v>
      </c>
      <c r="AU44" s="15"/>
      <c r="AV44" s="15"/>
      <c r="AW44" s="16"/>
    </row>
    <row r="45" spans="1:58" ht="21" x14ac:dyDescent="0.5">
      <c r="A45" s="28">
        <v>234</v>
      </c>
      <c r="B45" s="67" t="s">
        <v>134</v>
      </c>
      <c r="C45" s="28">
        <v>180</v>
      </c>
      <c r="D45" s="19">
        <v>180</v>
      </c>
      <c r="E45" s="28">
        <v>400</v>
      </c>
      <c r="F45" s="28">
        <v>13.5</v>
      </c>
      <c r="G45" s="19">
        <v>13.5</v>
      </c>
      <c r="H45" s="28">
        <v>4.28</v>
      </c>
      <c r="I45" s="19">
        <v>21</v>
      </c>
      <c r="J45" s="19">
        <v>21</v>
      </c>
      <c r="K45" s="19">
        <v>6725.4809119039528</v>
      </c>
      <c r="L45" s="19">
        <v>0</v>
      </c>
      <c r="M45" s="19">
        <v>1</v>
      </c>
      <c r="N45" s="19">
        <v>2</v>
      </c>
      <c r="O45" s="19">
        <v>3</v>
      </c>
      <c r="P45" s="28">
        <v>200</v>
      </c>
      <c r="Q45" s="19">
        <v>0</v>
      </c>
      <c r="R45" s="19">
        <v>0</v>
      </c>
      <c r="S45" s="19">
        <v>0</v>
      </c>
      <c r="T45" s="36">
        <v>3</v>
      </c>
      <c r="U45" s="43" t="s">
        <v>48</v>
      </c>
      <c r="V45" s="19">
        <v>1</v>
      </c>
      <c r="W45" s="28">
        <v>1</v>
      </c>
      <c r="X45" s="28">
        <v>0</v>
      </c>
      <c r="Y45" s="19">
        <f t="shared" si="3"/>
        <v>1</v>
      </c>
      <c r="Z45" s="19">
        <f t="shared" si="4"/>
        <v>0</v>
      </c>
      <c r="AA45" s="19">
        <f t="shared" si="5"/>
        <v>0</v>
      </c>
      <c r="AB45" s="29">
        <f t="shared" si="6"/>
        <v>552.09460652920222</v>
      </c>
      <c r="AC45" s="29">
        <f t="shared" si="10"/>
        <v>0</v>
      </c>
      <c r="AD45" s="29">
        <f t="shared" si="11"/>
        <v>0</v>
      </c>
      <c r="AE45" s="28">
        <v>20</v>
      </c>
      <c r="AF45" s="46">
        <v>355</v>
      </c>
      <c r="AG45" s="28">
        <v>210000</v>
      </c>
      <c r="AH45" s="29">
        <v>1932.331122852208</v>
      </c>
      <c r="AI45" s="29">
        <v>0</v>
      </c>
      <c r="AJ45" s="30">
        <v>0</v>
      </c>
      <c r="AK45" s="57">
        <f t="shared" si="12"/>
        <v>6.7254809119039525</v>
      </c>
      <c r="AL45" s="57">
        <f t="shared" si="7"/>
        <v>0.66859999999999997</v>
      </c>
      <c r="AM45" s="60"/>
      <c r="AN45" s="57">
        <v>0.84306309073661567</v>
      </c>
      <c r="AO45" s="101">
        <f t="shared" si="8"/>
        <v>1.655</v>
      </c>
      <c r="AP45" s="101">
        <f t="shared" si="9"/>
        <v>234</v>
      </c>
      <c r="AQ45">
        <v>42</v>
      </c>
      <c r="AU45" s="15"/>
      <c r="AV45" s="15"/>
      <c r="AW45" s="16"/>
    </row>
    <row r="46" spans="1:58" ht="21" x14ac:dyDescent="0.5">
      <c r="A46" s="28">
        <v>235</v>
      </c>
      <c r="B46" s="67" t="s">
        <v>135</v>
      </c>
      <c r="C46" s="28">
        <v>180</v>
      </c>
      <c r="D46" s="19">
        <v>180</v>
      </c>
      <c r="E46" s="28">
        <v>400</v>
      </c>
      <c r="F46" s="28">
        <v>13.5</v>
      </c>
      <c r="G46" s="19">
        <v>13.5</v>
      </c>
      <c r="H46" s="28">
        <v>4.28</v>
      </c>
      <c r="I46" s="19">
        <v>21</v>
      </c>
      <c r="J46" s="19">
        <v>21</v>
      </c>
      <c r="K46" s="19">
        <v>10088.221367855929</v>
      </c>
      <c r="L46" s="19">
        <v>0</v>
      </c>
      <c r="M46" s="19">
        <v>1</v>
      </c>
      <c r="N46" s="19">
        <v>2</v>
      </c>
      <c r="O46" s="19">
        <v>3</v>
      </c>
      <c r="P46" s="28">
        <v>200</v>
      </c>
      <c r="Q46" s="19">
        <v>0</v>
      </c>
      <c r="R46" s="19">
        <v>0</v>
      </c>
      <c r="S46" s="19">
        <v>0</v>
      </c>
      <c r="T46" s="36">
        <v>3</v>
      </c>
      <c r="U46" s="43" t="s">
        <v>48</v>
      </c>
      <c r="V46" s="19">
        <v>1</v>
      </c>
      <c r="W46" s="28">
        <v>1</v>
      </c>
      <c r="X46" s="28">
        <v>0</v>
      </c>
      <c r="Y46" s="19">
        <f t="shared" si="3"/>
        <v>1</v>
      </c>
      <c r="Z46" s="19">
        <f t="shared" si="4"/>
        <v>0</v>
      </c>
      <c r="AA46" s="19">
        <f t="shared" si="5"/>
        <v>0</v>
      </c>
      <c r="AB46" s="29">
        <f t="shared" si="6"/>
        <v>454.25355372964731</v>
      </c>
      <c r="AC46" s="29">
        <f t="shared" si="10"/>
        <v>0</v>
      </c>
      <c r="AD46" s="29">
        <f t="shared" si="11"/>
        <v>0</v>
      </c>
      <c r="AE46" s="28">
        <v>20</v>
      </c>
      <c r="AF46" s="46">
        <v>355</v>
      </c>
      <c r="AG46" s="28">
        <v>210000</v>
      </c>
      <c r="AH46" s="29">
        <v>1589.8874380537657</v>
      </c>
      <c r="AI46" s="29">
        <v>0</v>
      </c>
      <c r="AJ46" s="30">
        <v>0</v>
      </c>
      <c r="AK46" s="57">
        <f t="shared" si="12"/>
        <v>10.08822136785593</v>
      </c>
      <c r="AL46" s="57">
        <f t="shared" si="7"/>
        <v>0.66859999999999997</v>
      </c>
      <c r="AM46" s="60"/>
      <c r="AN46" s="57">
        <v>0.69365721102213196</v>
      </c>
      <c r="AO46" s="101">
        <f t="shared" si="8"/>
        <v>1.655</v>
      </c>
      <c r="AP46" s="101">
        <f t="shared" si="9"/>
        <v>235</v>
      </c>
      <c r="AQ46">
        <v>43</v>
      </c>
      <c r="AU46" s="15"/>
      <c r="AV46" s="15"/>
      <c r="AW46" s="16"/>
    </row>
    <row r="47" spans="1:58" ht="21" x14ac:dyDescent="0.5">
      <c r="A47" s="28">
        <v>236</v>
      </c>
      <c r="B47" s="67" t="s">
        <v>136</v>
      </c>
      <c r="C47" s="28">
        <v>180</v>
      </c>
      <c r="D47" s="19">
        <v>180</v>
      </c>
      <c r="E47" s="28">
        <v>400</v>
      </c>
      <c r="F47" s="28">
        <v>13.5</v>
      </c>
      <c r="G47" s="19">
        <v>13.5</v>
      </c>
      <c r="H47" s="28">
        <v>4.28</v>
      </c>
      <c r="I47" s="19">
        <v>21</v>
      </c>
      <c r="J47" s="19">
        <v>21</v>
      </c>
      <c r="K47" s="19">
        <v>13450.961823807906</v>
      </c>
      <c r="L47" s="19">
        <v>0</v>
      </c>
      <c r="M47" s="19">
        <v>1</v>
      </c>
      <c r="N47" s="19">
        <v>2</v>
      </c>
      <c r="O47" s="19">
        <v>3</v>
      </c>
      <c r="P47" s="28">
        <v>200</v>
      </c>
      <c r="Q47" s="19">
        <v>0</v>
      </c>
      <c r="R47" s="19">
        <v>0</v>
      </c>
      <c r="S47" s="19">
        <v>0</v>
      </c>
      <c r="T47" s="36">
        <v>3</v>
      </c>
      <c r="U47" s="43" t="s">
        <v>48</v>
      </c>
      <c r="V47" s="19">
        <v>1</v>
      </c>
      <c r="W47" s="28">
        <v>1</v>
      </c>
      <c r="X47" s="28">
        <v>0</v>
      </c>
      <c r="Y47" s="19">
        <f t="shared" si="3"/>
        <v>1</v>
      </c>
      <c r="Z47" s="19">
        <f t="shared" si="4"/>
        <v>0</v>
      </c>
      <c r="AA47" s="19">
        <f t="shared" si="5"/>
        <v>0</v>
      </c>
      <c r="AB47" s="29">
        <f t="shared" si="6"/>
        <v>353.68647611369488</v>
      </c>
      <c r="AC47" s="29">
        <f t="shared" si="10"/>
        <v>0</v>
      </c>
      <c r="AD47" s="29">
        <f t="shared" si="11"/>
        <v>0</v>
      </c>
      <c r="AE47" s="28">
        <v>20</v>
      </c>
      <c r="AF47" s="46">
        <v>355</v>
      </c>
      <c r="AG47" s="28">
        <v>210000</v>
      </c>
      <c r="AH47" s="29">
        <v>1237.9026663979321</v>
      </c>
      <c r="AI47" s="29">
        <v>0</v>
      </c>
      <c r="AJ47" s="30">
        <v>0</v>
      </c>
      <c r="AK47" s="57">
        <f t="shared" si="12"/>
        <v>13.450961823807905</v>
      </c>
      <c r="AL47" s="57">
        <f t="shared" si="7"/>
        <v>0.66859999999999997</v>
      </c>
      <c r="AM47" s="60"/>
      <c r="AN47" s="57">
        <v>0.54008861919280848</v>
      </c>
      <c r="AO47" s="101">
        <f t="shared" si="8"/>
        <v>1.655</v>
      </c>
      <c r="AP47" s="101">
        <f t="shared" si="9"/>
        <v>236</v>
      </c>
      <c r="AQ47">
        <v>44</v>
      </c>
      <c r="AU47" s="15"/>
      <c r="AV47" s="15"/>
      <c r="AW47" s="16"/>
    </row>
    <row r="48" spans="1:58" ht="21" x14ac:dyDescent="0.5">
      <c r="A48" s="28">
        <v>237</v>
      </c>
      <c r="B48" s="67" t="s">
        <v>137</v>
      </c>
      <c r="C48" s="28">
        <v>180</v>
      </c>
      <c r="D48" s="19">
        <v>180</v>
      </c>
      <c r="E48" s="28">
        <v>400</v>
      </c>
      <c r="F48" s="28">
        <v>13.5</v>
      </c>
      <c r="G48" s="19">
        <v>13.5</v>
      </c>
      <c r="H48" s="28">
        <v>4.28</v>
      </c>
      <c r="I48" s="19">
        <v>21</v>
      </c>
      <c r="J48" s="19">
        <v>21</v>
      </c>
      <c r="K48" s="61">
        <v>17889.779225664515</v>
      </c>
      <c r="L48" s="19">
        <v>0</v>
      </c>
      <c r="M48" s="19">
        <v>1</v>
      </c>
      <c r="N48" s="19">
        <v>2</v>
      </c>
      <c r="O48" s="19">
        <v>3</v>
      </c>
      <c r="P48" s="28">
        <v>200</v>
      </c>
      <c r="Q48" s="19">
        <v>0</v>
      </c>
      <c r="R48" s="19">
        <v>0</v>
      </c>
      <c r="S48" s="19">
        <v>0</v>
      </c>
      <c r="T48" s="36">
        <v>3</v>
      </c>
      <c r="U48" s="43" t="s">
        <v>48</v>
      </c>
      <c r="V48" s="19">
        <v>1</v>
      </c>
      <c r="W48" s="28">
        <v>1</v>
      </c>
      <c r="X48" s="28">
        <v>0</v>
      </c>
      <c r="Y48" s="19">
        <f t="shared" si="3"/>
        <v>1</v>
      </c>
      <c r="Z48" s="19">
        <f t="shared" si="4"/>
        <v>0</v>
      </c>
      <c r="AA48" s="19">
        <f t="shared" si="5"/>
        <v>0</v>
      </c>
      <c r="AB48" s="29">
        <f t="shared" si="6"/>
        <v>246.57865303719697</v>
      </c>
      <c r="AC48" s="29">
        <f t="shared" si="10"/>
        <v>0</v>
      </c>
      <c r="AD48" s="29">
        <f t="shared" si="11"/>
        <v>0</v>
      </c>
      <c r="AE48" s="28">
        <v>20</v>
      </c>
      <c r="AF48" s="46">
        <v>355</v>
      </c>
      <c r="AG48" s="28">
        <v>210000</v>
      </c>
      <c r="AH48" s="29">
        <v>863.02528563018939</v>
      </c>
      <c r="AI48" s="29">
        <v>0</v>
      </c>
      <c r="AJ48" s="30">
        <v>0</v>
      </c>
      <c r="AK48" s="57">
        <f t="shared" si="12"/>
        <v>17.889779225664515</v>
      </c>
      <c r="AL48" s="57">
        <f t="shared" si="7"/>
        <v>0.66859999999999997</v>
      </c>
      <c r="AM48" s="60"/>
      <c r="AN48" s="57">
        <v>0.37653213576216171</v>
      </c>
      <c r="AO48" s="101">
        <f t="shared" si="8"/>
        <v>1.655</v>
      </c>
      <c r="AP48" s="101">
        <f t="shared" si="9"/>
        <v>237</v>
      </c>
      <c r="AQ48">
        <v>45</v>
      </c>
      <c r="AU48" s="15"/>
      <c r="AV48" s="15"/>
      <c r="AW48" s="16"/>
    </row>
    <row r="49" spans="1:56" ht="21" x14ac:dyDescent="0.5">
      <c r="A49" s="28">
        <v>238</v>
      </c>
      <c r="B49" s="67" t="s">
        <v>138</v>
      </c>
      <c r="C49" s="28">
        <v>180</v>
      </c>
      <c r="D49" s="19">
        <v>180</v>
      </c>
      <c r="E49" s="28">
        <v>400</v>
      </c>
      <c r="F49" s="28">
        <v>13.5</v>
      </c>
      <c r="G49" s="19">
        <v>13.5</v>
      </c>
      <c r="H49" s="28">
        <v>4.28</v>
      </c>
      <c r="I49" s="19">
        <v>21</v>
      </c>
      <c r="J49" s="19">
        <v>21</v>
      </c>
      <c r="K49" s="19">
        <v>22463.106245759202</v>
      </c>
      <c r="L49" s="19">
        <v>0</v>
      </c>
      <c r="M49" s="19">
        <v>1</v>
      </c>
      <c r="N49" s="19">
        <v>2</v>
      </c>
      <c r="O49" s="19">
        <v>3</v>
      </c>
      <c r="P49" s="28">
        <v>200</v>
      </c>
      <c r="Q49" s="19">
        <v>0</v>
      </c>
      <c r="R49" s="19">
        <v>0</v>
      </c>
      <c r="S49" s="19">
        <v>0</v>
      </c>
      <c r="T49" s="36">
        <v>3</v>
      </c>
      <c r="U49" s="43" t="s">
        <v>48</v>
      </c>
      <c r="V49" s="19">
        <v>1</v>
      </c>
      <c r="W49" s="28">
        <v>1</v>
      </c>
      <c r="X49" s="28">
        <v>0</v>
      </c>
      <c r="Y49" s="19">
        <f t="shared" si="3"/>
        <v>1</v>
      </c>
      <c r="Z49" s="19">
        <f t="shared" si="4"/>
        <v>0</v>
      </c>
      <c r="AA49" s="19">
        <f t="shared" si="5"/>
        <v>0</v>
      </c>
      <c r="AB49" s="29">
        <f t="shared" si="6"/>
        <v>173.80978584947815</v>
      </c>
      <c r="AC49" s="29">
        <f t="shared" si="10"/>
        <v>0</v>
      </c>
      <c r="AD49" s="29">
        <f t="shared" si="11"/>
        <v>0</v>
      </c>
      <c r="AE49" s="28">
        <v>20</v>
      </c>
      <c r="AF49" s="46">
        <v>355</v>
      </c>
      <c r="AG49" s="28">
        <v>210000</v>
      </c>
      <c r="AH49" s="29">
        <v>608.33425047317348</v>
      </c>
      <c r="AI49" s="29">
        <v>0</v>
      </c>
      <c r="AJ49" s="30">
        <v>0</v>
      </c>
      <c r="AK49" s="57">
        <f t="shared" si="12"/>
        <v>22.463106245759203</v>
      </c>
      <c r="AL49" s="57">
        <f t="shared" si="7"/>
        <v>0.66859999999999997</v>
      </c>
      <c r="AM49" s="60"/>
      <c r="AN49" s="57">
        <v>0.26541214771091898</v>
      </c>
      <c r="AO49" s="101">
        <f t="shared" si="8"/>
        <v>1.655</v>
      </c>
      <c r="AP49" s="101">
        <f t="shared" si="9"/>
        <v>238</v>
      </c>
      <c r="AQ49">
        <v>46</v>
      </c>
      <c r="AU49" s="15"/>
      <c r="AV49" s="15"/>
      <c r="AW49" s="16"/>
    </row>
    <row r="50" spans="1:56" ht="21" x14ac:dyDescent="0.5">
      <c r="A50" s="81">
        <v>239</v>
      </c>
      <c r="B50" s="67" t="s">
        <v>139</v>
      </c>
      <c r="C50" s="81">
        <v>180</v>
      </c>
      <c r="D50" s="82">
        <v>180</v>
      </c>
      <c r="E50" s="81">
        <v>400</v>
      </c>
      <c r="F50" s="81">
        <v>13.5</v>
      </c>
      <c r="G50" s="82">
        <v>13.5</v>
      </c>
      <c r="H50" s="81">
        <v>4.28</v>
      </c>
      <c r="I50" s="82">
        <v>21</v>
      </c>
      <c r="J50" s="82">
        <v>21</v>
      </c>
      <c r="K50" s="82">
        <v>26901.923647615811</v>
      </c>
      <c r="L50" s="82">
        <v>0</v>
      </c>
      <c r="M50" s="82">
        <v>1</v>
      </c>
      <c r="N50" s="82">
        <v>2</v>
      </c>
      <c r="O50" s="82">
        <v>3</v>
      </c>
      <c r="P50" s="81">
        <v>200</v>
      </c>
      <c r="Q50" s="82">
        <v>0</v>
      </c>
      <c r="R50" s="82">
        <v>0</v>
      </c>
      <c r="S50" s="82">
        <v>0</v>
      </c>
      <c r="T50" s="36">
        <v>3</v>
      </c>
      <c r="U50" s="83" t="s">
        <v>48</v>
      </c>
      <c r="V50" s="82">
        <v>1</v>
      </c>
      <c r="W50" s="81">
        <v>1</v>
      </c>
      <c r="X50" s="81">
        <v>0</v>
      </c>
      <c r="Y50" s="82">
        <f t="shared" si="3"/>
        <v>1</v>
      </c>
      <c r="Z50" s="82">
        <f t="shared" si="4"/>
        <v>0</v>
      </c>
      <c r="AA50" s="82">
        <f t="shared" si="5"/>
        <v>0</v>
      </c>
      <c r="AB50" s="84">
        <f t="shared" si="6"/>
        <v>128.53119977282449</v>
      </c>
      <c r="AC50" s="84">
        <f t="shared" si="10"/>
        <v>0</v>
      </c>
      <c r="AD50" s="84">
        <f t="shared" si="11"/>
        <v>0</v>
      </c>
      <c r="AE50" s="81">
        <v>20</v>
      </c>
      <c r="AF50" s="46">
        <v>355</v>
      </c>
      <c r="AG50" s="81">
        <v>210000</v>
      </c>
      <c r="AH50" s="84">
        <v>449.85919920488573</v>
      </c>
      <c r="AI50" s="84">
        <v>0</v>
      </c>
      <c r="AJ50" s="85">
        <v>0</v>
      </c>
      <c r="AK50" s="57">
        <f t="shared" si="12"/>
        <v>26.90192364761581</v>
      </c>
      <c r="AL50" s="57">
        <f t="shared" si="7"/>
        <v>0.66859999999999997</v>
      </c>
      <c r="AM50" s="60"/>
      <c r="AN50" s="57">
        <v>0.19627054721251161</v>
      </c>
      <c r="AO50" s="101">
        <f t="shared" si="8"/>
        <v>1.655</v>
      </c>
      <c r="AP50" s="101">
        <f t="shared" si="9"/>
        <v>239</v>
      </c>
      <c r="AQ50">
        <v>47</v>
      </c>
      <c r="AU50" s="15"/>
      <c r="AV50" s="15"/>
      <c r="AW50" s="16"/>
    </row>
    <row r="51" spans="1:56" s="88" customFormat="1" ht="21.5" thickBot="1" x14ac:dyDescent="0.55000000000000004">
      <c r="A51" s="31">
        <v>240</v>
      </c>
      <c r="B51" s="67" t="s">
        <v>140</v>
      </c>
      <c r="C51" s="31">
        <v>180</v>
      </c>
      <c r="D51" s="32">
        <v>180</v>
      </c>
      <c r="E51" s="31">
        <v>400</v>
      </c>
      <c r="F51" s="31">
        <v>13.5</v>
      </c>
      <c r="G51" s="32">
        <v>13.5</v>
      </c>
      <c r="H51" s="31">
        <v>4.28</v>
      </c>
      <c r="I51" s="32">
        <v>21</v>
      </c>
      <c r="J51" s="32">
        <v>21</v>
      </c>
      <c r="K51" s="32">
        <v>33627.404559519768</v>
      </c>
      <c r="L51" s="32">
        <v>0</v>
      </c>
      <c r="M51" s="32">
        <v>1</v>
      </c>
      <c r="N51" s="32">
        <v>2</v>
      </c>
      <c r="O51" s="32">
        <v>3</v>
      </c>
      <c r="P51" s="31">
        <v>200</v>
      </c>
      <c r="Q51" s="32">
        <v>0</v>
      </c>
      <c r="R51" s="32">
        <v>0</v>
      </c>
      <c r="S51" s="32">
        <v>0</v>
      </c>
      <c r="T51" s="36">
        <v>3</v>
      </c>
      <c r="U51" s="50" t="s">
        <v>48</v>
      </c>
      <c r="V51" s="32">
        <v>1</v>
      </c>
      <c r="W51" s="31">
        <v>1</v>
      </c>
      <c r="X51" s="31">
        <v>0</v>
      </c>
      <c r="Y51" s="32">
        <f t="shared" si="3"/>
        <v>1</v>
      </c>
      <c r="Z51" s="32">
        <f t="shared" si="4"/>
        <v>0</v>
      </c>
      <c r="AA51" s="32">
        <f t="shared" si="5"/>
        <v>0</v>
      </c>
      <c r="AB51" s="33">
        <f t="shared" si="6"/>
        <v>86.788095210369178</v>
      </c>
      <c r="AC51" s="33">
        <f t="shared" si="10"/>
        <v>0</v>
      </c>
      <c r="AD51" s="33">
        <f t="shared" si="11"/>
        <v>0</v>
      </c>
      <c r="AE51" s="31">
        <v>20</v>
      </c>
      <c r="AF51" s="46">
        <v>355</v>
      </c>
      <c r="AG51" s="31">
        <v>210000</v>
      </c>
      <c r="AH51" s="33">
        <v>303.75833323629212</v>
      </c>
      <c r="AI51" s="33">
        <v>0</v>
      </c>
      <c r="AJ51" s="51">
        <v>0</v>
      </c>
      <c r="AK51" s="57">
        <f t="shared" si="12"/>
        <v>33.627404559519768</v>
      </c>
      <c r="AL51" s="57">
        <f t="shared" si="7"/>
        <v>0.66859999999999997</v>
      </c>
      <c r="AM51" s="60"/>
      <c r="AN51" s="57">
        <v>0.13252772065131088</v>
      </c>
      <c r="AO51" s="101">
        <f t="shared" si="8"/>
        <v>1.655</v>
      </c>
      <c r="AP51" s="101">
        <f t="shared" si="9"/>
        <v>240</v>
      </c>
      <c r="AQ51">
        <v>48</v>
      </c>
      <c r="AU51" s="89"/>
      <c r="AV51" s="89"/>
      <c r="AW51" s="90"/>
      <c r="BD51" s="91"/>
    </row>
    <row r="52" spans="1:56" ht="21" x14ac:dyDescent="0.5">
      <c r="A52" s="46">
        <v>241</v>
      </c>
      <c r="B52" s="67" t="s">
        <v>141</v>
      </c>
      <c r="C52" s="46">
        <v>300</v>
      </c>
      <c r="D52" s="47">
        <v>300</v>
      </c>
      <c r="E52" s="46">
        <v>300</v>
      </c>
      <c r="F52" s="46">
        <v>24.32</v>
      </c>
      <c r="G52" s="47">
        <v>24.32</v>
      </c>
      <c r="H52" s="46">
        <v>14.08</v>
      </c>
      <c r="I52" s="47">
        <v>21</v>
      </c>
      <c r="J52" s="47">
        <v>21</v>
      </c>
      <c r="K52" s="47">
        <v>2931.8320402448121</v>
      </c>
      <c r="L52" s="47">
        <v>0</v>
      </c>
      <c r="M52" s="47">
        <v>1</v>
      </c>
      <c r="N52" s="47">
        <v>2</v>
      </c>
      <c r="O52" s="47">
        <v>3</v>
      </c>
      <c r="P52" s="46">
        <v>200</v>
      </c>
      <c r="Q52" s="47">
        <v>0</v>
      </c>
      <c r="R52" s="47">
        <v>0</v>
      </c>
      <c r="S52" s="47">
        <v>0</v>
      </c>
      <c r="T52" s="36">
        <v>3</v>
      </c>
      <c r="U52" s="86" t="s">
        <v>48</v>
      </c>
      <c r="V52" s="47">
        <v>1</v>
      </c>
      <c r="W52" s="46">
        <v>1</v>
      </c>
      <c r="X52" s="46">
        <v>0</v>
      </c>
      <c r="Y52" s="47">
        <f t="shared" si="3"/>
        <v>1</v>
      </c>
      <c r="Z52" s="47">
        <f t="shared" si="4"/>
        <v>0</v>
      </c>
      <c r="AA52" s="47">
        <f t="shared" si="5"/>
        <v>0</v>
      </c>
      <c r="AB52" s="49">
        <f t="shared" si="6"/>
        <v>1745.4984756367351</v>
      </c>
      <c r="AC52" s="49">
        <f t="shared" si="10"/>
        <v>0</v>
      </c>
      <c r="AD52" s="49">
        <f t="shared" si="11"/>
        <v>0</v>
      </c>
      <c r="AE52" s="46">
        <v>20</v>
      </c>
      <c r="AF52" s="46">
        <v>355</v>
      </c>
      <c r="AG52" s="46">
        <v>210000</v>
      </c>
      <c r="AH52" s="49">
        <v>6109.2446647285724</v>
      </c>
      <c r="AI52" s="49">
        <v>0</v>
      </c>
      <c r="AJ52" s="87">
        <v>0</v>
      </c>
      <c r="AK52" s="57">
        <f t="shared" si="12"/>
        <v>2.9318320402448119</v>
      </c>
      <c r="AL52" s="57">
        <f t="shared" si="7"/>
        <v>1.2196</v>
      </c>
      <c r="AM52" s="60"/>
      <c r="AN52" s="57">
        <v>0.94914779479631584</v>
      </c>
      <c r="AO52" s="101">
        <f t="shared" si="8"/>
        <v>1.0468000000000002</v>
      </c>
      <c r="AP52" s="101">
        <f t="shared" si="9"/>
        <v>241</v>
      </c>
      <c r="AQ52">
        <v>49</v>
      </c>
      <c r="AU52" s="15"/>
      <c r="AV52" s="15"/>
      <c r="AW52" s="16"/>
    </row>
    <row r="53" spans="1:56" ht="21" x14ac:dyDescent="0.5">
      <c r="A53" s="28">
        <v>242</v>
      </c>
      <c r="B53" s="67" t="s">
        <v>142</v>
      </c>
      <c r="C53" s="28">
        <v>300</v>
      </c>
      <c r="D53" s="19">
        <v>300</v>
      </c>
      <c r="E53" s="28">
        <v>300</v>
      </c>
      <c r="F53" s="28">
        <v>24.32</v>
      </c>
      <c r="G53" s="47">
        <v>24.32</v>
      </c>
      <c r="H53" s="28">
        <v>14.08</v>
      </c>
      <c r="I53" s="19">
        <v>21</v>
      </c>
      <c r="J53" s="19">
        <v>21</v>
      </c>
      <c r="K53" s="61">
        <v>4886.3867337413531</v>
      </c>
      <c r="L53" s="19">
        <v>0</v>
      </c>
      <c r="M53" s="19">
        <v>1</v>
      </c>
      <c r="N53" s="19">
        <v>2</v>
      </c>
      <c r="O53" s="19">
        <v>3</v>
      </c>
      <c r="P53" s="28">
        <v>200</v>
      </c>
      <c r="Q53" s="19">
        <v>0</v>
      </c>
      <c r="R53" s="19">
        <v>0</v>
      </c>
      <c r="S53" s="19">
        <v>0</v>
      </c>
      <c r="T53" s="36">
        <v>3</v>
      </c>
      <c r="U53" s="43" t="s">
        <v>48</v>
      </c>
      <c r="V53" s="19">
        <v>1</v>
      </c>
      <c r="W53" s="28">
        <v>1</v>
      </c>
      <c r="X53" s="28">
        <v>0</v>
      </c>
      <c r="Y53" s="19">
        <f t="shared" si="3"/>
        <v>1</v>
      </c>
      <c r="Z53" s="19">
        <f t="shared" si="4"/>
        <v>0</v>
      </c>
      <c r="AA53" s="19">
        <f t="shared" si="5"/>
        <v>0</v>
      </c>
      <c r="AB53" s="29">
        <f t="shared" si="6"/>
        <v>1550.2744318261753</v>
      </c>
      <c r="AC53" s="29">
        <f t="shared" si="10"/>
        <v>0</v>
      </c>
      <c r="AD53" s="29">
        <f t="shared" si="11"/>
        <v>0</v>
      </c>
      <c r="AE53" s="28">
        <v>20</v>
      </c>
      <c r="AF53" s="46">
        <v>355</v>
      </c>
      <c r="AG53" s="28">
        <v>210000</v>
      </c>
      <c r="AH53" s="29">
        <v>5425.9605113916132</v>
      </c>
      <c r="AI53" s="29">
        <v>0</v>
      </c>
      <c r="AJ53" s="30">
        <v>0</v>
      </c>
      <c r="AK53" s="57">
        <f t="shared" si="12"/>
        <v>4.8863867337413529</v>
      </c>
      <c r="AL53" s="57">
        <f t="shared" si="7"/>
        <v>1.2196</v>
      </c>
      <c r="AM53" s="60"/>
      <c r="AN53" s="57">
        <v>0.842991030261521</v>
      </c>
      <c r="AO53" s="101">
        <f t="shared" si="8"/>
        <v>1.0468000000000002</v>
      </c>
      <c r="AP53" s="101">
        <f t="shared" si="9"/>
        <v>242</v>
      </c>
      <c r="AQ53">
        <v>50</v>
      </c>
      <c r="AU53" s="15"/>
      <c r="AV53" s="15"/>
      <c r="AW53" s="16"/>
    </row>
    <row r="54" spans="1:56" ht="21" x14ac:dyDescent="0.5">
      <c r="A54" s="28">
        <v>243</v>
      </c>
      <c r="B54" s="67" t="s">
        <v>143</v>
      </c>
      <c r="C54" s="28">
        <v>300</v>
      </c>
      <c r="D54" s="19">
        <v>300</v>
      </c>
      <c r="E54" s="28">
        <v>300</v>
      </c>
      <c r="F54" s="28">
        <v>24.32</v>
      </c>
      <c r="G54" s="47">
        <v>24.32</v>
      </c>
      <c r="H54" s="28">
        <v>14.08</v>
      </c>
      <c r="I54" s="19">
        <v>21</v>
      </c>
      <c r="J54" s="19">
        <v>21</v>
      </c>
      <c r="K54" s="61">
        <v>7329.58010061203</v>
      </c>
      <c r="L54" s="19">
        <v>0</v>
      </c>
      <c r="M54" s="19">
        <v>1</v>
      </c>
      <c r="N54" s="19">
        <v>2</v>
      </c>
      <c r="O54" s="19">
        <v>3</v>
      </c>
      <c r="P54" s="28">
        <v>200</v>
      </c>
      <c r="Q54" s="19">
        <v>0</v>
      </c>
      <c r="R54" s="19">
        <v>0</v>
      </c>
      <c r="S54" s="19">
        <v>0</v>
      </c>
      <c r="T54" s="36">
        <v>3</v>
      </c>
      <c r="U54" s="43" t="s">
        <v>48</v>
      </c>
      <c r="V54" s="19">
        <v>1</v>
      </c>
      <c r="W54" s="28">
        <v>1</v>
      </c>
      <c r="X54" s="28">
        <v>0</v>
      </c>
      <c r="Y54" s="19">
        <f t="shared" si="3"/>
        <v>1</v>
      </c>
      <c r="Z54" s="19">
        <f t="shared" si="4"/>
        <v>0</v>
      </c>
      <c r="AA54" s="19">
        <f t="shared" si="5"/>
        <v>0</v>
      </c>
      <c r="AB54" s="29">
        <f t="shared" si="6"/>
        <v>1275.4244262117159</v>
      </c>
      <c r="AC54" s="29">
        <f t="shared" si="10"/>
        <v>0</v>
      </c>
      <c r="AD54" s="29">
        <f t="shared" si="11"/>
        <v>0</v>
      </c>
      <c r="AE54" s="28">
        <v>20</v>
      </c>
      <c r="AF54" s="46">
        <v>355</v>
      </c>
      <c r="AG54" s="28">
        <v>210000</v>
      </c>
      <c r="AH54" s="29">
        <v>4463.9854917410057</v>
      </c>
      <c r="AI54" s="29">
        <v>0</v>
      </c>
      <c r="AJ54" s="30">
        <v>0</v>
      </c>
      <c r="AK54" s="57">
        <f t="shared" si="12"/>
        <v>7.3295801006120298</v>
      </c>
      <c r="AL54" s="57">
        <f t="shared" si="7"/>
        <v>1.2196</v>
      </c>
      <c r="AM54" s="60"/>
      <c r="AN54" s="57">
        <v>0.69353614366612826</v>
      </c>
      <c r="AO54" s="101">
        <f t="shared" si="8"/>
        <v>1.0468000000000002</v>
      </c>
      <c r="AP54" s="101">
        <f t="shared" si="9"/>
        <v>243</v>
      </c>
      <c r="AQ54">
        <v>51</v>
      </c>
      <c r="AU54" s="15"/>
      <c r="AV54" s="15"/>
      <c r="AW54" s="16"/>
    </row>
    <row r="55" spans="1:56" ht="21" x14ac:dyDescent="0.5">
      <c r="A55" s="28">
        <v>244</v>
      </c>
      <c r="B55" s="67" t="s">
        <v>144</v>
      </c>
      <c r="C55" s="28">
        <v>300</v>
      </c>
      <c r="D55" s="19">
        <v>300</v>
      </c>
      <c r="E55" s="28">
        <v>300</v>
      </c>
      <c r="F55" s="28">
        <v>24.32</v>
      </c>
      <c r="G55" s="47">
        <v>24.32</v>
      </c>
      <c r="H55" s="28">
        <v>14.08</v>
      </c>
      <c r="I55" s="19">
        <v>21</v>
      </c>
      <c r="J55" s="19">
        <v>21</v>
      </c>
      <c r="K55" s="19">
        <v>9772.7734674827061</v>
      </c>
      <c r="L55" s="19">
        <v>0</v>
      </c>
      <c r="M55" s="19">
        <v>1</v>
      </c>
      <c r="N55" s="19">
        <v>2</v>
      </c>
      <c r="O55" s="19">
        <v>3</v>
      </c>
      <c r="P55" s="28">
        <v>200</v>
      </c>
      <c r="Q55" s="19">
        <v>0</v>
      </c>
      <c r="R55" s="19">
        <v>0</v>
      </c>
      <c r="S55" s="19">
        <v>0</v>
      </c>
      <c r="T55" s="36">
        <v>3</v>
      </c>
      <c r="U55" s="43" t="s">
        <v>48</v>
      </c>
      <c r="V55" s="19">
        <v>1</v>
      </c>
      <c r="W55" s="28">
        <v>1</v>
      </c>
      <c r="X55" s="28">
        <v>0</v>
      </c>
      <c r="Y55" s="19">
        <f t="shared" si="3"/>
        <v>1</v>
      </c>
      <c r="Z55" s="19">
        <f t="shared" si="4"/>
        <v>0</v>
      </c>
      <c r="AA55" s="19">
        <f t="shared" si="5"/>
        <v>0</v>
      </c>
      <c r="AB55" s="29">
        <f t="shared" si="6"/>
        <v>992.95679147444571</v>
      </c>
      <c r="AC55" s="29">
        <f t="shared" si="10"/>
        <v>0</v>
      </c>
      <c r="AD55" s="29">
        <f t="shared" si="11"/>
        <v>0</v>
      </c>
      <c r="AE55" s="28">
        <v>20</v>
      </c>
      <c r="AF55" s="46">
        <v>355</v>
      </c>
      <c r="AG55" s="28">
        <v>210000</v>
      </c>
      <c r="AH55" s="29">
        <v>3475.34877016056</v>
      </c>
      <c r="AI55" s="29">
        <v>0</v>
      </c>
      <c r="AJ55" s="30">
        <v>0</v>
      </c>
      <c r="AK55" s="57">
        <f t="shared" si="12"/>
        <v>9.7727734674827058</v>
      </c>
      <c r="AL55" s="57">
        <f t="shared" si="7"/>
        <v>1.2196</v>
      </c>
      <c r="AM55" s="60"/>
      <c r="AN55" s="57">
        <v>0.53993902722384057</v>
      </c>
      <c r="AO55" s="101">
        <f t="shared" si="8"/>
        <v>1.0468000000000002</v>
      </c>
      <c r="AP55" s="101">
        <f t="shared" si="9"/>
        <v>244</v>
      </c>
      <c r="AQ55">
        <v>52</v>
      </c>
      <c r="AU55" s="15"/>
      <c r="AV55" s="15"/>
      <c r="AW55" s="16"/>
    </row>
    <row r="56" spans="1:56" ht="21" x14ac:dyDescent="0.5">
      <c r="A56" s="28">
        <v>245</v>
      </c>
      <c r="B56" s="67" t="s">
        <v>145</v>
      </c>
      <c r="C56" s="28">
        <v>300</v>
      </c>
      <c r="D56" s="19">
        <v>300</v>
      </c>
      <c r="E56" s="28">
        <v>300</v>
      </c>
      <c r="F56" s="28">
        <v>24.32</v>
      </c>
      <c r="G56" s="47">
        <v>24.32</v>
      </c>
      <c r="H56" s="28">
        <v>14.08</v>
      </c>
      <c r="I56" s="19">
        <v>21</v>
      </c>
      <c r="J56" s="19">
        <v>21</v>
      </c>
      <c r="K56" s="61">
        <v>12997.788711752</v>
      </c>
      <c r="L56" s="19">
        <v>0</v>
      </c>
      <c r="M56" s="19">
        <v>1</v>
      </c>
      <c r="N56" s="19">
        <v>2</v>
      </c>
      <c r="O56" s="19">
        <v>3</v>
      </c>
      <c r="P56" s="28">
        <v>200</v>
      </c>
      <c r="Q56" s="19">
        <v>0</v>
      </c>
      <c r="R56" s="19">
        <v>0</v>
      </c>
      <c r="S56" s="19">
        <v>0</v>
      </c>
      <c r="T56" s="36">
        <v>3</v>
      </c>
      <c r="U56" s="43" t="s">
        <v>48</v>
      </c>
      <c r="V56" s="19">
        <v>1</v>
      </c>
      <c r="W56" s="28">
        <v>1</v>
      </c>
      <c r="X56" s="28">
        <v>0</v>
      </c>
      <c r="Y56" s="19">
        <f t="shared" si="3"/>
        <v>1</v>
      </c>
      <c r="Z56" s="19">
        <f t="shared" si="4"/>
        <v>0</v>
      </c>
      <c r="AA56" s="19">
        <f t="shared" si="5"/>
        <v>0</v>
      </c>
      <c r="AB56" s="29">
        <f t="shared" si="6"/>
        <v>692.1926419583948</v>
      </c>
      <c r="AC56" s="29">
        <f t="shared" si="10"/>
        <v>0</v>
      </c>
      <c r="AD56" s="29">
        <f t="shared" si="11"/>
        <v>0</v>
      </c>
      <c r="AE56" s="28">
        <v>20</v>
      </c>
      <c r="AF56" s="46">
        <v>355</v>
      </c>
      <c r="AG56" s="28">
        <v>210000</v>
      </c>
      <c r="AH56" s="29">
        <v>2422.6742468543816</v>
      </c>
      <c r="AI56" s="29">
        <v>0</v>
      </c>
      <c r="AJ56" s="30">
        <v>0</v>
      </c>
      <c r="AK56" s="57">
        <f t="shared" si="12"/>
        <v>12.997788711752001</v>
      </c>
      <c r="AL56" s="57">
        <f t="shared" si="7"/>
        <v>1.2196</v>
      </c>
      <c r="AM56" s="60"/>
      <c r="AN56" s="57">
        <v>0.37639283497476766</v>
      </c>
      <c r="AO56" s="101">
        <f t="shared" si="8"/>
        <v>1.0468000000000002</v>
      </c>
      <c r="AP56" s="101">
        <f t="shared" si="9"/>
        <v>245</v>
      </c>
      <c r="AQ56">
        <v>53</v>
      </c>
      <c r="AU56" s="15"/>
      <c r="AV56" s="15"/>
      <c r="AW56" s="16"/>
    </row>
    <row r="57" spans="1:56" ht="21" x14ac:dyDescent="0.5">
      <c r="A57" s="28">
        <v>246</v>
      </c>
      <c r="B57" s="67" t="s">
        <v>146</v>
      </c>
      <c r="C57" s="28">
        <v>300</v>
      </c>
      <c r="D57" s="19">
        <v>300</v>
      </c>
      <c r="E57" s="28">
        <v>300</v>
      </c>
      <c r="F57" s="28">
        <v>24.32</v>
      </c>
      <c r="G57" s="47">
        <v>24.32</v>
      </c>
      <c r="H57" s="28">
        <v>14.08</v>
      </c>
      <c r="I57" s="19">
        <v>21</v>
      </c>
      <c r="J57" s="19">
        <v>21</v>
      </c>
      <c r="K57" s="61">
        <v>16320.531690696118</v>
      </c>
      <c r="L57" s="19">
        <v>0</v>
      </c>
      <c r="M57" s="19">
        <v>1</v>
      </c>
      <c r="N57" s="19">
        <v>2</v>
      </c>
      <c r="O57" s="19">
        <v>3</v>
      </c>
      <c r="P57" s="28">
        <v>200</v>
      </c>
      <c r="Q57" s="19">
        <v>0</v>
      </c>
      <c r="R57" s="19">
        <v>0</v>
      </c>
      <c r="S57" s="19">
        <v>0</v>
      </c>
      <c r="T57" s="36">
        <v>3</v>
      </c>
      <c r="U57" s="43" t="s">
        <v>48</v>
      </c>
      <c r="V57" s="19">
        <v>1</v>
      </c>
      <c r="W57" s="28">
        <v>1</v>
      </c>
      <c r="X57" s="28">
        <v>0</v>
      </c>
      <c r="Y57" s="19">
        <f t="shared" si="3"/>
        <v>1</v>
      </c>
      <c r="Z57" s="19">
        <f t="shared" si="4"/>
        <v>0</v>
      </c>
      <c r="AA57" s="19">
        <f t="shared" si="5"/>
        <v>0</v>
      </c>
      <c r="AB57" s="29">
        <f t="shared" si="6"/>
        <v>487.89316440875604</v>
      </c>
      <c r="AC57" s="29">
        <f t="shared" si="10"/>
        <v>0</v>
      </c>
      <c r="AD57" s="29">
        <f t="shared" si="11"/>
        <v>0</v>
      </c>
      <c r="AE57" s="28">
        <v>20</v>
      </c>
      <c r="AF57" s="46">
        <v>355</v>
      </c>
      <c r="AG57" s="28">
        <v>210000</v>
      </c>
      <c r="AH57" s="29">
        <v>1707.6260754306461</v>
      </c>
      <c r="AI57" s="29">
        <v>0</v>
      </c>
      <c r="AJ57" s="30">
        <v>0</v>
      </c>
      <c r="AK57" s="57">
        <f t="shared" si="12"/>
        <v>16.320531690696118</v>
      </c>
      <c r="AL57" s="57">
        <f t="shared" si="7"/>
        <v>1.2196</v>
      </c>
      <c r="AM57" s="60"/>
      <c r="AN57" s="57">
        <v>0.26530113177316905</v>
      </c>
      <c r="AO57" s="101">
        <f t="shared" si="8"/>
        <v>1.0468000000000002</v>
      </c>
      <c r="AP57" s="101">
        <f t="shared" si="9"/>
        <v>246</v>
      </c>
      <c r="AQ57">
        <v>54</v>
      </c>
      <c r="AU57" s="15"/>
      <c r="AV57" s="15"/>
      <c r="AW57" s="16"/>
    </row>
    <row r="58" spans="1:56" ht="21" x14ac:dyDescent="0.5">
      <c r="A58" s="28">
        <v>247</v>
      </c>
      <c r="B58" s="67" t="s">
        <v>147</v>
      </c>
      <c r="C58" s="28">
        <v>300</v>
      </c>
      <c r="D58" s="19">
        <v>300</v>
      </c>
      <c r="E58" s="28">
        <v>300</v>
      </c>
      <c r="F58" s="28">
        <v>24.32</v>
      </c>
      <c r="G58" s="47">
        <v>24.32</v>
      </c>
      <c r="H58" s="28">
        <v>14.08</v>
      </c>
      <c r="I58" s="19">
        <v>21</v>
      </c>
      <c r="J58" s="19">
        <v>21</v>
      </c>
      <c r="K58" s="19">
        <v>19545.546934965412</v>
      </c>
      <c r="L58" s="19">
        <v>0</v>
      </c>
      <c r="M58" s="19">
        <v>1</v>
      </c>
      <c r="N58" s="19">
        <v>2</v>
      </c>
      <c r="O58" s="19">
        <v>3</v>
      </c>
      <c r="P58" s="28">
        <v>200</v>
      </c>
      <c r="Q58" s="19">
        <v>0</v>
      </c>
      <c r="R58" s="19">
        <v>0</v>
      </c>
      <c r="S58" s="19">
        <v>0</v>
      </c>
      <c r="T58" s="36">
        <v>3</v>
      </c>
      <c r="U58" s="43" t="s">
        <v>48</v>
      </c>
      <c r="V58" s="19">
        <v>1</v>
      </c>
      <c r="W58" s="28">
        <v>1</v>
      </c>
      <c r="X58" s="28">
        <v>0</v>
      </c>
      <c r="Y58" s="19">
        <f t="shared" si="3"/>
        <v>1</v>
      </c>
      <c r="Z58" s="19">
        <f t="shared" si="4"/>
        <v>0</v>
      </c>
      <c r="AA58" s="19">
        <f t="shared" si="5"/>
        <v>0</v>
      </c>
      <c r="AB58" s="29">
        <f t="shared" si="6"/>
        <v>360.784917583724</v>
      </c>
      <c r="AC58" s="29">
        <f t="shared" si="10"/>
        <v>0</v>
      </c>
      <c r="AD58" s="29">
        <f t="shared" si="11"/>
        <v>0</v>
      </c>
      <c r="AE58" s="28">
        <v>20</v>
      </c>
      <c r="AF58" s="46">
        <v>355</v>
      </c>
      <c r="AG58" s="28">
        <v>210000</v>
      </c>
      <c r="AH58" s="29">
        <v>1262.7472115430339</v>
      </c>
      <c r="AI58" s="29">
        <v>0</v>
      </c>
      <c r="AJ58" s="30">
        <v>0</v>
      </c>
      <c r="AK58" s="57">
        <f t="shared" si="12"/>
        <v>19.545546934965412</v>
      </c>
      <c r="AL58" s="57">
        <f t="shared" si="7"/>
        <v>1.2196</v>
      </c>
      <c r="AM58" s="60"/>
      <c r="AN58" s="57">
        <v>0.19618361957918362</v>
      </c>
      <c r="AO58" s="101">
        <f t="shared" si="8"/>
        <v>1.0468000000000002</v>
      </c>
      <c r="AP58" s="101">
        <f t="shared" si="9"/>
        <v>247</v>
      </c>
      <c r="AQ58">
        <v>55</v>
      </c>
      <c r="AU58" s="15"/>
      <c r="AV58" s="15"/>
      <c r="AW58" s="16"/>
    </row>
    <row r="59" spans="1:56" ht="21" x14ac:dyDescent="0.5">
      <c r="A59" s="28">
        <v>248</v>
      </c>
      <c r="B59" s="67" t="s">
        <v>148</v>
      </c>
      <c r="C59" s="28">
        <v>300</v>
      </c>
      <c r="D59" s="19">
        <v>300</v>
      </c>
      <c r="E59" s="28">
        <v>300</v>
      </c>
      <c r="F59" s="28">
        <v>24.32</v>
      </c>
      <c r="G59" s="47">
        <v>24.32</v>
      </c>
      <c r="H59" s="28">
        <v>14.08</v>
      </c>
      <c r="I59" s="19">
        <v>21</v>
      </c>
      <c r="J59" s="19">
        <v>21</v>
      </c>
      <c r="K59" s="19">
        <v>24431.933668706766</v>
      </c>
      <c r="L59" s="19">
        <v>0</v>
      </c>
      <c r="M59" s="19">
        <v>1</v>
      </c>
      <c r="N59" s="19">
        <v>2</v>
      </c>
      <c r="O59" s="19">
        <v>3</v>
      </c>
      <c r="P59" s="28">
        <v>200</v>
      </c>
      <c r="Q59" s="19">
        <v>0</v>
      </c>
      <c r="R59" s="19">
        <v>0</v>
      </c>
      <c r="S59" s="19">
        <v>0</v>
      </c>
      <c r="T59" s="36">
        <v>3</v>
      </c>
      <c r="U59" s="43" t="s">
        <v>48</v>
      </c>
      <c r="V59" s="19">
        <v>1</v>
      </c>
      <c r="W59" s="28">
        <v>1</v>
      </c>
      <c r="X59" s="28">
        <v>0</v>
      </c>
      <c r="Y59" s="19">
        <f t="shared" si="3"/>
        <v>1</v>
      </c>
      <c r="Z59" s="19">
        <f t="shared" si="4"/>
        <v>0</v>
      </c>
      <c r="AA59" s="19">
        <f t="shared" si="5"/>
        <v>0</v>
      </c>
      <c r="AB59" s="29">
        <f t="shared" si="6"/>
        <v>243.60786711100062</v>
      </c>
      <c r="AC59" s="29">
        <f t="shared" si="10"/>
        <v>0</v>
      </c>
      <c r="AD59" s="29">
        <f t="shared" si="11"/>
        <v>0</v>
      </c>
      <c r="AE59" s="28">
        <v>20</v>
      </c>
      <c r="AF59" s="46">
        <v>355</v>
      </c>
      <c r="AG59" s="28">
        <v>210000</v>
      </c>
      <c r="AH59" s="29">
        <v>852.62753488850217</v>
      </c>
      <c r="AI59" s="29">
        <v>0</v>
      </c>
      <c r="AJ59" s="30">
        <v>0</v>
      </c>
      <c r="AK59" s="57">
        <f t="shared" si="12"/>
        <v>24.431933668706765</v>
      </c>
      <c r="AL59" s="57">
        <f t="shared" si="7"/>
        <v>1.2196</v>
      </c>
      <c r="AM59" s="60"/>
      <c r="AN59" s="57">
        <v>0.13246638315114781</v>
      </c>
      <c r="AO59" s="101">
        <f t="shared" si="8"/>
        <v>1.0468000000000002</v>
      </c>
      <c r="AP59" s="101">
        <f t="shared" si="9"/>
        <v>248</v>
      </c>
      <c r="AQ59">
        <v>56</v>
      </c>
      <c r="AU59" s="15"/>
      <c r="AV59" s="15"/>
      <c r="AW59" s="16"/>
    </row>
    <row r="60" spans="1:56" ht="21" x14ac:dyDescent="0.5">
      <c r="A60" s="28">
        <v>249</v>
      </c>
      <c r="B60" s="67" t="s">
        <v>149</v>
      </c>
      <c r="C60" s="28">
        <v>300</v>
      </c>
      <c r="D60" s="19">
        <v>300</v>
      </c>
      <c r="E60" s="28">
        <v>300</v>
      </c>
      <c r="F60" s="28">
        <v>17.100000000000001</v>
      </c>
      <c r="G60" s="47">
        <v>17.100000000000001</v>
      </c>
      <c r="H60" s="28">
        <v>9.9</v>
      </c>
      <c r="I60" s="19">
        <v>21</v>
      </c>
      <c r="J60" s="19">
        <v>21</v>
      </c>
      <c r="K60" s="19">
        <v>3001.4938499490954</v>
      </c>
      <c r="L60" s="19">
        <v>0</v>
      </c>
      <c r="M60" s="19">
        <v>1</v>
      </c>
      <c r="N60" s="19">
        <v>2</v>
      </c>
      <c r="O60" s="19">
        <v>3</v>
      </c>
      <c r="P60" s="28">
        <v>200</v>
      </c>
      <c r="Q60" s="19">
        <v>0</v>
      </c>
      <c r="R60" s="19">
        <v>0</v>
      </c>
      <c r="S60" s="19">
        <v>0</v>
      </c>
      <c r="T60" s="36">
        <v>3</v>
      </c>
      <c r="U60" s="43" t="s">
        <v>48</v>
      </c>
      <c r="V60" s="19">
        <v>1</v>
      </c>
      <c r="W60" s="28">
        <v>1</v>
      </c>
      <c r="X60" s="28">
        <v>0</v>
      </c>
      <c r="Y60" s="19">
        <f t="shared" si="3"/>
        <v>1</v>
      </c>
      <c r="Z60" s="19">
        <f t="shared" si="4"/>
        <v>0</v>
      </c>
      <c r="AA60" s="19">
        <f t="shared" si="5"/>
        <v>0</v>
      </c>
      <c r="AB60" s="29">
        <f t="shared" si="6"/>
        <v>1241.0660905718739</v>
      </c>
      <c r="AC60" s="29">
        <f t="shared" si="10"/>
        <v>0</v>
      </c>
      <c r="AD60" s="29">
        <f t="shared" si="11"/>
        <v>0</v>
      </c>
      <c r="AE60" s="28">
        <v>20</v>
      </c>
      <c r="AF60" s="46">
        <v>355</v>
      </c>
      <c r="AG60" s="28">
        <v>210000</v>
      </c>
      <c r="AH60" s="29">
        <v>4343.7313170015586</v>
      </c>
      <c r="AI60" s="29">
        <v>0</v>
      </c>
      <c r="AJ60" s="30">
        <v>0</v>
      </c>
      <c r="AK60" s="57">
        <f t="shared" si="12"/>
        <v>3.0014938499490955</v>
      </c>
      <c r="AL60" s="57">
        <f t="shared" si="7"/>
        <v>1.2405000000000002</v>
      </c>
      <c r="AM60" s="60"/>
      <c r="AN60" s="57">
        <v>0.94914779479631584</v>
      </c>
      <c r="AO60" s="101">
        <f t="shared" si="8"/>
        <v>1.119</v>
      </c>
      <c r="AP60" s="101">
        <f t="shared" si="9"/>
        <v>249</v>
      </c>
      <c r="AQ60">
        <v>57</v>
      </c>
      <c r="AU60" s="15"/>
      <c r="AV60" s="15"/>
      <c r="AW60" s="16"/>
    </row>
    <row r="61" spans="1:56" ht="21" x14ac:dyDescent="0.5">
      <c r="A61" s="28">
        <v>250</v>
      </c>
      <c r="B61" s="67" t="s">
        <v>150</v>
      </c>
      <c r="C61" s="28">
        <v>300</v>
      </c>
      <c r="D61" s="19">
        <v>300</v>
      </c>
      <c r="E61" s="28">
        <v>300</v>
      </c>
      <c r="F61" s="28">
        <v>17.100000000000001</v>
      </c>
      <c r="G61" s="47">
        <v>17.100000000000001</v>
      </c>
      <c r="H61" s="28">
        <v>9.9</v>
      </c>
      <c r="I61" s="19">
        <v>21</v>
      </c>
      <c r="J61" s="19">
        <v>21</v>
      </c>
      <c r="K61" s="19">
        <v>5002.4897499151593</v>
      </c>
      <c r="L61" s="19">
        <v>0</v>
      </c>
      <c r="M61" s="19">
        <v>1</v>
      </c>
      <c r="N61" s="19">
        <v>2</v>
      </c>
      <c r="O61" s="19">
        <v>3</v>
      </c>
      <c r="P61" s="28">
        <v>200</v>
      </c>
      <c r="Q61" s="19">
        <v>0</v>
      </c>
      <c r="R61" s="19">
        <v>0</v>
      </c>
      <c r="S61" s="19">
        <v>0</v>
      </c>
      <c r="T61" s="36">
        <v>3</v>
      </c>
      <c r="U61" s="43" t="s">
        <v>48</v>
      </c>
      <c r="V61" s="19">
        <v>1</v>
      </c>
      <c r="W61" s="28">
        <v>1</v>
      </c>
      <c r="X61" s="28">
        <v>0</v>
      </c>
      <c r="Y61" s="19">
        <f t="shared" si="3"/>
        <v>1</v>
      </c>
      <c r="Z61" s="19">
        <f t="shared" si="4"/>
        <v>0</v>
      </c>
      <c r="AA61" s="19">
        <f t="shared" si="5"/>
        <v>0</v>
      </c>
      <c r="AB61" s="29">
        <f t="shared" si="6"/>
        <v>1102.2599304867322</v>
      </c>
      <c r="AC61" s="29">
        <f t="shared" si="10"/>
        <v>0</v>
      </c>
      <c r="AD61" s="29">
        <f t="shared" si="11"/>
        <v>0</v>
      </c>
      <c r="AE61" s="28">
        <v>20</v>
      </c>
      <c r="AF61" s="46">
        <v>355</v>
      </c>
      <c r="AG61" s="28">
        <v>210000</v>
      </c>
      <c r="AH61" s="29">
        <v>3857.9097567035624</v>
      </c>
      <c r="AI61" s="29">
        <v>0</v>
      </c>
      <c r="AJ61" s="30">
        <v>0</v>
      </c>
      <c r="AK61" s="57">
        <f t="shared" si="12"/>
        <v>5.002489749915159</v>
      </c>
      <c r="AL61" s="57">
        <f t="shared" si="7"/>
        <v>1.2405000000000002</v>
      </c>
      <c r="AM61" s="60"/>
      <c r="AN61" s="57">
        <v>0.842991030261521</v>
      </c>
      <c r="AO61" s="101">
        <f t="shared" si="8"/>
        <v>1.119</v>
      </c>
      <c r="AP61" s="101">
        <f t="shared" si="9"/>
        <v>250</v>
      </c>
      <c r="AQ61">
        <v>58</v>
      </c>
      <c r="AU61" s="15"/>
      <c r="AV61" s="15"/>
      <c r="AW61" s="16"/>
    </row>
    <row r="62" spans="1:56" ht="21" x14ac:dyDescent="0.5">
      <c r="A62" s="28">
        <v>251</v>
      </c>
      <c r="B62" s="67" t="s">
        <v>151</v>
      </c>
      <c r="C62" s="28">
        <v>300</v>
      </c>
      <c r="D62" s="19">
        <v>300</v>
      </c>
      <c r="E62" s="28">
        <v>300</v>
      </c>
      <c r="F62" s="28">
        <v>17.100000000000001</v>
      </c>
      <c r="G62" s="47">
        <v>17.100000000000001</v>
      </c>
      <c r="H62" s="28">
        <v>9.9</v>
      </c>
      <c r="I62" s="19">
        <v>21</v>
      </c>
      <c r="J62" s="19">
        <v>21</v>
      </c>
      <c r="K62" s="19">
        <v>7503.734624872739</v>
      </c>
      <c r="L62" s="19">
        <v>0</v>
      </c>
      <c r="M62" s="19">
        <v>1</v>
      </c>
      <c r="N62" s="19">
        <v>2</v>
      </c>
      <c r="O62" s="19">
        <v>3</v>
      </c>
      <c r="P62" s="28">
        <v>200</v>
      </c>
      <c r="Q62" s="19">
        <v>0</v>
      </c>
      <c r="R62" s="19">
        <v>0</v>
      </c>
      <c r="S62" s="19">
        <v>0</v>
      </c>
      <c r="T62" s="36">
        <v>3</v>
      </c>
      <c r="U62" s="43" t="s">
        <v>48</v>
      </c>
      <c r="V62" s="19">
        <v>1</v>
      </c>
      <c r="W62" s="28">
        <v>1</v>
      </c>
      <c r="X62" s="28">
        <v>0</v>
      </c>
      <c r="Y62" s="19">
        <f t="shared" si="3"/>
        <v>1</v>
      </c>
      <c r="Z62" s="19">
        <f t="shared" si="4"/>
        <v>0</v>
      </c>
      <c r="AA62" s="19">
        <f t="shared" si="5"/>
        <v>0</v>
      </c>
      <c r="AB62" s="29">
        <f t="shared" si="6"/>
        <v>906.83895090829787</v>
      </c>
      <c r="AC62" s="29">
        <f t="shared" si="10"/>
        <v>0</v>
      </c>
      <c r="AD62" s="29">
        <f t="shared" si="11"/>
        <v>0</v>
      </c>
      <c r="AE62" s="28">
        <v>20</v>
      </c>
      <c r="AF62" s="46">
        <v>355</v>
      </c>
      <c r="AG62" s="28">
        <v>210000</v>
      </c>
      <c r="AH62" s="29">
        <v>3173.9363281790424</v>
      </c>
      <c r="AI62" s="29">
        <v>0</v>
      </c>
      <c r="AJ62" s="30">
        <v>0</v>
      </c>
      <c r="AK62" s="57">
        <f t="shared" si="12"/>
        <v>7.503734624872739</v>
      </c>
      <c r="AL62" s="57">
        <f t="shared" si="7"/>
        <v>1.2405000000000002</v>
      </c>
      <c r="AM62" s="60"/>
      <c r="AN62" s="57">
        <v>0.69353614366612826</v>
      </c>
      <c r="AO62" s="101">
        <f t="shared" si="8"/>
        <v>1.119</v>
      </c>
      <c r="AP62" s="101">
        <f t="shared" si="9"/>
        <v>251</v>
      </c>
      <c r="AQ62">
        <v>59</v>
      </c>
      <c r="AU62" s="15"/>
      <c r="AV62" s="15"/>
      <c r="AW62" s="16"/>
    </row>
    <row r="63" spans="1:56" ht="21" x14ac:dyDescent="0.5">
      <c r="A63" s="28">
        <v>252</v>
      </c>
      <c r="B63" s="67" t="s">
        <v>152</v>
      </c>
      <c r="C63" s="28">
        <v>300</v>
      </c>
      <c r="D63" s="19">
        <v>300</v>
      </c>
      <c r="E63" s="28">
        <v>300</v>
      </c>
      <c r="F63" s="28">
        <v>17.100000000000001</v>
      </c>
      <c r="G63" s="47">
        <v>17.100000000000001</v>
      </c>
      <c r="H63" s="28">
        <v>9.9</v>
      </c>
      <c r="I63" s="19">
        <v>21</v>
      </c>
      <c r="J63" s="19">
        <v>21</v>
      </c>
      <c r="K63" s="19">
        <v>10004.979499830319</v>
      </c>
      <c r="L63" s="19">
        <v>0</v>
      </c>
      <c r="M63" s="19">
        <v>1</v>
      </c>
      <c r="N63" s="19">
        <v>2</v>
      </c>
      <c r="O63" s="19">
        <v>3</v>
      </c>
      <c r="P63" s="28">
        <v>200</v>
      </c>
      <c r="Q63" s="19">
        <v>0</v>
      </c>
      <c r="R63" s="19">
        <v>0</v>
      </c>
      <c r="S63" s="19">
        <v>0</v>
      </c>
      <c r="T63" s="36">
        <v>3</v>
      </c>
      <c r="U63" s="43" t="s">
        <v>48</v>
      </c>
      <c r="V63" s="19">
        <v>1</v>
      </c>
      <c r="W63" s="28">
        <v>1</v>
      </c>
      <c r="X63" s="28">
        <v>0</v>
      </c>
      <c r="Y63" s="19">
        <f t="shared" si="3"/>
        <v>1</v>
      </c>
      <c r="Z63" s="19">
        <f t="shared" si="4"/>
        <v>0</v>
      </c>
      <c r="AA63" s="19">
        <f t="shared" si="5"/>
        <v>0</v>
      </c>
      <c r="AB63" s="29">
        <f t="shared" si="6"/>
        <v>706.00176425387349</v>
      </c>
      <c r="AC63" s="29">
        <f t="shared" si="10"/>
        <v>0</v>
      </c>
      <c r="AD63" s="29">
        <f t="shared" si="11"/>
        <v>0</v>
      </c>
      <c r="AE63" s="28">
        <v>20</v>
      </c>
      <c r="AF63" s="46">
        <v>355</v>
      </c>
      <c r="AG63" s="28">
        <v>210000</v>
      </c>
      <c r="AH63" s="29">
        <v>2471.0061748885573</v>
      </c>
      <c r="AI63" s="29">
        <v>0</v>
      </c>
      <c r="AJ63" s="30">
        <v>0</v>
      </c>
      <c r="AK63" s="57">
        <f t="shared" si="12"/>
        <v>10.004979499830318</v>
      </c>
      <c r="AL63" s="57">
        <f t="shared" si="7"/>
        <v>1.2405000000000002</v>
      </c>
      <c r="AM63" s="60"/>
      <c r="AN63" s="57">
        <v>0.53993902722384057</v>
      </c>
      <c r="AO63" s="101">
        <f t="shared" si="8"/>
        <v>1.119</v>
      </c>
      <c r="AP63" s="101">
        <f t="shared" si="9"/>
        <v>252</v>
      </c>
      <c r="AQ63">
        <v>60</v>
      </c>
      <c r="AU63" s="15"/>
      <c r="AV63" s="15"/>
      <c r="AW63" s="16"/>
    </row>
    <row r="64" spans="1:56" ht="21" x14ac:dyDescent="0.5">
      <c r="A64" s="28">
        <v>253</v>
      </c>
      <c r="B64" s="67" t="s">
        <v>153</v>
      </c>
      <c r="C64" s="28">
        <v>300</v>
      </c>
      <c r="D64" s="19">
        <v>300</v>
      </c>
      <c r="E64" s="28">
        <v>300</v>
      </c>
      <c r="F64" s="28">
        <v>17.100000000000001</v>
      </c>
      <c r="G64" s="47">
        <v>17.100000000000001</v>
      </c>
      <c r="H64" s="28">
        <v>9.9</v>
      </c>
      <c r="I64" s="19">
        <v>21</v>
      </c>
      <c r="J64" s="19">
        <v>21</v>
      </c>
      <c r="K64" s="61">
        <v>13306.622734774324</v>
      </c>
      <c r="L64" s="19">
        <v>0</v>
      </c>
      <c r="M64" s="19">
        <v>1</v>
      </c>
      <c r="N64" s="19">
        <v>2</v>
      </c>
      <c r="O64" s="19">
        <v>3</v>
      </c>
      <c r="P64" s="28">
        <v>200</v>
      </c>
      <c r="Q64" s="19">
        <v>0</v>
      </c>
      <c r="R64" s="19">
        <v>0</v>
      </c>
      <c r="S64" s="19">
        <v>0</v>
      </c>
      <c r="T64" s="36">
        <v>3</v>
      </c>
      <c r="U64" s="43" t="s">
        <v>48</v>
      </c>
      <c r="V64" s="19">
        <v>1</v>
      </c>
      <c r="W64" s="28">
        <v>1</v>
      </c>
      <c r="X64" s="28">
        <v>0</v>
      </c>
      <c r="Y64" s="19">
        <f t="shared" si="3"/>
        <v>1</v>
      </c>
      <c r="Z64" s="19">
        <f t="shared" si="4"/>
        <v>0</v>
      </c>
      <c r="AA64" s="19">
        <f t="shared" si="5"/>
        <v>0</v>
      </c>
      <c r="AB64" s="29">
        <f t="shared" si="6"/>
        <v>492.15558080882829</v>
      </c>
      <c r="AC64" s="29">
        <f t="shared" si="10"/>
        <v>0</v>
      </c>
      <c r="AD64" s="29">
        <f t="shared" si="11"/>
        <v>0</v>
      </c>
      <c r="AE64" s="28">
        <v>20</v>
      </c>
      <c r="AF64" s="46">
        <v>355</v>
      </c>
      <c r="AG64" s="28">
        <v>210000</v>
      </c>
      <c r="AH64" s="29">
        <v>1722.544532830899</v>
      </c>
      <c r="AI64" s="29">
        <v>0</v>
      </c>
      <c r="AJ64" s="30">
        <v>0</v>
      </c>
      <c r="AK64" s="57">
        <f t="shared" si="12"/>
        <v>13.306622734774324</v>
      </c>
      <c r="AL64" s="57">
        <f t="shared" si="7"/>
        <v>1.2405000000000002</v>
      </c>
      <c r="AM64" s="60"/>
      <c r="AN64" s="57">
        <v>0.37639283497476766</v>
      </c>
      <c r="AO64" s="101">
        <f t="shared" si="8"/>
        <v>1.119</v>
      </c>
      <c r="AP64" s="101">
        <f t="shared" si="9"/>
        <v>253</v>
      </c>
      <c r="AQ64">
        <v>61</v>
      </c>
      <c r="AU64" s="15"/>
      <c r="AV64" s="15"/>
      <c r="AW64" s="16"/>
    </row>
    <row r="65" spans="1:49" ht="21" x14ac:dyDescent="0.5">
      <c r="A65" s="28">
        <v>254</v>
      </c>
      <c r="B65" s="67" t="s">
        <v>154</v>
      </c>
      <c r="C65" s="28">
        <v>300</v>
      </c>
      <c r="D65" s="19">
        <v>300</v>
      </c>
      <c r="E65" s="28">
        <v>300</v>
      </c>
      <c r="F65" s="28">
        <v>17.100000000000001</v>
      </c>
      <c r="G65" s="47">
        <v>17.100000000000001</v>
      </c>
      <c r="H65" s="28">
        <v>9.9</v>
      </c>
      <c r="I65" s="19">
        <v>21</v>
      </c>
      <c r="J65" s="19">
        <v>21</v>
      </c>
      <c r="K65" s="19">
        <v>16708.31576471663</v>
      </c>
      <c r="L65" s="19">
        <v>0</v>
      </c>
      <c r="M65" s="19">
        <v>1</v>
      </c>
      <c r="N65" s="19">
        <v>2</v>
      </c>
      <c r="O65" s="19">
        <v>3</v>
      </c>
      <c r="P65" s="28">
        <v>200</v>
      </c>
      <c r="Q65" s="19">
        <v>0</v>
      </c>
      <c r="R65" s="19">
        <v>0</v>
      </c>
      <c r="S65" s="19">
        <v>0</v>
      </c>
      <c r="T65" s="36">
        <v>3</v>
      </c>
      <c r="U65" s="43" t="s">
        <v>48</v>
      </c>
      <c r="V65" s="19">
        <v>1</v>
      </c>
      <c r="W65" s="28">
        <v>1</v>
      </c>
      <c r="X65" s="28">
        <v>0</v>
      </c>
      <c r="Y65" s="19">
        <f t="shared" si="3"/>
        <v>1</v>
      </c>
      <c r="Z65" s="19">
        <f t="shared" si="4"/>
        <v>0</v>
      </c>
      <c r="AA65" s="19">
        <f t="shared" si="5"/>
        <v>0</v>
      </c>
      <c r="AB65" s="29">
        <f t="shared" si="6"/>
        <v>346.89670063941713</v>
      </c>
      <c r="AC65" s="29">
        <f t="shared" si="10"/>
        <v>0</v>
      </c>
      <c r="AD65" s="29">
        <f t="shared" si="11"/>
        <v>0</v>
      </c>
      <c r="AE65" s="28">
        <v>20</v>
      </c>
      <c r="AF65" s="46">
        <v>355</v>
      </c>
      <c r="AG65" s="28">
        <v>210000</v>
      </c>
      <c r="AH65" s="29">
        <v>1214.1384522379599</v>
      </c>
      <c r="AI65" s="29">
        <v>0</v>
      </c>
      <c r="AJ65" s="30">
        <v>0</v>
      </c>
      <c r="AK65" s="57">
        <f t="shared" si="12"/>
        <v>16.70831576471663</v>
      </c>
      <c r="AL65" s="57">
        <f t="shared" si="7"/>
        <v>1.2405000000000002</v>
      </c>
      <c r="AM65" s="60"/>
      <c r="AN65" s="57">
        <v>0.26530113177316905</v>
      </c>
      <c r="AO65" s="101">
        <f t="shared" si="8"/>
        <v>1.119</v>
      </c>
      <c r="AP65" s="101">
        <f t="shared" si="9"/>
        <v>254</v>
      </c>
      <c r="AQ65">
        <v>62</v>
      </c>
      <c r="AU65" s="15"/>
      <c r="AV65" s="15"/>
      <c r="AW65" s="16"/>
    </row>
    <row r="66" spans="1:49" ht="21" x14ac:dyDescent="0.5">
      <c r="A66" s="28">
        <v>255</v>
      </c>
      <c r="B66" s="67" t="s">
        <v>155</v>
      </c>
      <c r="C66" s="28">
        <v>300</v>
      </c>
      <c r="D66" s="19">
        <v>300</v>
      </c>
      <c r="E66" s="28">
        <v>300</v>
      </c>
      <c r="F66" s="28">
        <v>17.100000000000001</v>
      </c>
      <c r="G66" s="47">
        <v>17.100000000000001</v>
      </c>
      <c r="H66" s="28">
        <v>9.9</v>
      </c>
      <c r="I66" s="19">
        <v>21</v>
      </c>
      <c r="J66" s="19">
        <v>21</v>
      </c>
      <c r="K66" s="19">
        <v>20009.958999660637</v>
      </c>
      <c r="L66" s="19">
        <v>0</v>
      </c>
      <c r="M66" s="19">
        <v>1</v>
      </c>
      <c r="N66" s="19">
        <v>2</v>
      </c>
      <c r="O66" s="19">
        <v>3</v>
      </c>
      <c r="P66" s="28">
        <v>200</v>
      </c>
      <c r="Q66" s="19">
        <v>0</v>
      </c>
      <c r="R66" s="19">
        <v>0</v>
      </c>
      <c r="S66" s="19">
        <v>0</v>
      </c>
      <c r="T66" s="36">
        <v>3</v>
      </c>
      <c r="U66" s="43" t="s">
        <v>48</v>
      </c>
      <c r="V66" s="19">
        <v>1</v>
      </c>
      <c r="W66" s="28">
        <v>1</v>
      </c>
      <c r="X66" s="28">
        <v>0</v>
      </c>
      <c r="Y66" s="19">
        <f t="shared" si="3"/>
        <v>1</v>
      </c>
      <c r="Z66" s="19">
        <f t="shared" si="4"/>
        <v>0</v>
      </c>
      <c r="AA66" s="19">
        <f t="shared" si="5"/>
        <v>0</v>
      </c>
      <c r="AB66" s="29">
        <f t="shared" si="6"/>
        <v>256.5215229074272</v>
      </c>
      <c r="AC66" s="29">
        <f t="shared" si="10"/>
        <v>0</v>
      </c>
      <c r="AD66" s="29">
        <f t="shared" si="11"/>
        <v>0</v>
      </c>
      <c r="AE66" s="28">
        <v>20</v>
      </c>
      <c r="AF66" s="46">
        <v>355</v>
      </c>
      <c r="AG66" s="28">
        <v>210000</v>
      </c>
      <c r="AH66" s="29">
        <v>897.82533017599519</v>
      </c>
      <c r="AI66" s="29">
        <v>0</v>
      </c>
      <c r="AJ66" s="30">
        <v>0</v>
      </c>
      <c r="AK66" s="57">
        <f t="shared" si="12"/>
        <v>20.009958999660636</v>
      </c>
      <c r="AL66" s="57">
        <f t="shared" si="7"/>
        <v>1.2405000000000002</v>
      </c>
      <c r="AM66" s="60"/>
      <c r="AN66" s="57">
        <v>0.19618361957918362</v>
      </c>
      <c r="AO66" s="101">
        <f t="shared" si="8"/>
        <v>1.119</v>
      </c>
      <c r="AP66" s="101">
        <f t="shared" si="9"/>
        <v>255</v>
      </c>
      <c r="AQ66">
        <v>63</v>
      </c>
      <c r="AU66" s="15"/>
      <c r="AV66" s="15"/>
      <c r="AW66" s="16"/>
    </row>
    <row r="67" spans="1:49" ht="21" x14ac:dyDescent="0.5">
      <c r="A67" s="28">
        <v>256</v>
      </c>
      <c r="B67" s="67" t="s">
        <v>156</v>
      </c>
      <c r="C67" s="28">
        <v>300</v>
      </c>
      <c r="D67" s="19">
        <v>300</v>
      </c>
      <c r="E67" s="28">
        <v>300</v>
      </c>
      <c r="F67" s="28">
        <v>17.100000000000001</v>
      </c>
      <c r="G67" s="47">
        <v>17.100000000000001</v>
      </c>
      <c r="H67" s="28">
        <v>9.9</v>
      </c>
      <c r="I67" s="19">
        <v>21</v>
      </c>
      <c r="J67" s="19">
        <v>21</v>
      </c>
      <c r="K67" s="61">
        <v>25012.448749575797</v>
      </c>
      <c r="L67" s="19">
        <v>0</v>
      </c>
      <c r="M67" s="19">
        <v>1</v>
      </c>
      <c r="N67" s="19">
        <v>2</v>
      </c>
      <c r="O67" s="19">
        <v>3</v>
      </c>
      <c r="P67" s="28">
        <v>200</v>
      </c>
      <c r="Q67" s="19">
        <v>0</v>
      </c>
      <c r="R67" s="19">
        <v>0</v>
      </c>
      <c r="S67" s="19">
        <v>0</v>
      </c>
      <c r="T67" s="36">
        <v>3</v>
      </c>
      <c r="U67" s="43" t="s">
        <v>48</v>
      </c>
      <c r="V67" s="19">
        <v>1</v>
      </c>
      <c r="W67" s="28">
        <v>1</v>
      </c>
      <c r="X67" s="28">
        <v>0</v>
      </c>
      <c r="Y67" s="19">
        <f t="shared" si="3"/>
        <v>1</v>
      </c>
      <c r="Z67" s="19">
        <f t="shared" si="4"/>
        <v>0</v>
      </c>
      <c r="AA67" s="19">
        <f t="shared" si="5"/>
        <v>0</v>
      </c>
      <c r="AB67" s="29">
        <f t="shared" si="6"/>
        <v>173.2075206526404</v>
      </c>
      <c r="AC67" s="29">
        <f t="shared" si="10"/>
        <v>0</v>
      </c>
      <c r="AD67" s="29">
        <f t="shared" si="11"/>
        <v>0</v>
      </c>
      <c r="AE67" s="28">
        <v>20</v>
      </c>
      <c r="AF67" s="46">
        <v>355</v>
      </c>
      <c r="AG67" s="28">
        <v>210000</v>
      </c>
      <c r="AH67" s="29">
        <v>606.22632228424141</v>
      </c>
      <c r="AI67" s="29">
        <v>0</v>
      </c>
      <c r="AJ67" s="30">
        <v>0</v>
      </c>
      <c r="AK67" s="57">
        <f t="shared" si="12"/>
        <v>25.012448749575796</v>
      </c>
      <c r="AL67" s="57">
        <f t="shared" si="7"/>
        <v>1.2405000000000002</v>
      </c>
      <c r="AM67" s="60"/>
      <c r="AN67" s="57">
        <v>0.13246638315114781</v>
      </c>
      <c r="AO67" s="101">
        <f t="shared" si="8"/>
        <v>1.119</v>
      </c>
      <c r="AP67" s="101">
        <f t="shared" si="9"/>
        <v>256</v>
      </c>
      <c r="AQ67">
        <v>64</v>
      </c>
      <c r="AU67" s="15"/>
      <c r="AV67" s="15"/>
      <c r="AW67" s="16"/>
    </row>
    <row r="68" spans="1:49" ht="21" x14ac:dyDescent="0.5">
      <c r="A68" s="28">
        <v>257</v>
      </c>
      <c r="B68" s="67" t="s">
        <v>157</v>
      </c>
      <c r="C68" s="28">
        <v>300</v>
      </c>
      <c r="D68" s="19">
        <v>300</v>
      </c>
      <c r="E68" s="28">
        <v>300</v>
      </c>
      <c r="F68" s="28">
        <v>14.25</v>
      </c>
      <c r="G68" s="47">
        <v>14.25</v>
      </c>
      <c r="H68" s="28">
        <v>8.25</v>
      </c>
      <c r="I68" s="19">
        <v>21</v>
      </c>
      <c r="J68" s="19">
        <v>21</v>
      </c>
      <c r="K68" s="61">
        <v>3029.2940423942819</v>
      </c>
      <c r="L68" s="19">
        <v>0</v>
      </c>
      <c r="M68" s="19">
        <v>1</v>
      </c>
      <c r="N68" s="19">
        <v>2</v>
      </c>
      <c r="O68" s="19">
        <v>3</v>
      </c>
      <c r="P68" s="28">
        <v>200</v>
      </c>
      <c r="Q68" s="19">
        <v>0</v>
      </c>
      <c r="R68" s="19">
        <v>0</v>
      </c>
      <c r="S68" s="19">
        <v>0</v>
      </c>
      <c r="T68" s="36">
        <v>3</v>
      </c>
      <c r="U68" s="43" t="s">
        <v>48</v>
      </c>
      <c r="V68" s="19">
        <v>1</v>
      </c>
      <c r="W68" s="28">
        <v>1</v>
      </c>
      <c r="X68" s="28">
        <v>0</v>
      </c>
      <c r="Y68" s="19">
        <f t="shared" si="3"/>
        <v>1</v>
      </c>
      <c r="Z68" s="19">
        <f t="shared" si="4"/>
        <v>0</v>
      </c>
      <c r="AA68" s="19">
        <f t="shared" si="5"/>
        <v>0</v>
      </c>
      <c r="AB68" s="29">
        <f t="shared" si="6"/>
        <v>1038.7488720411868</v>
      </c>
      <c r="AC68" s="29">
        <f t="shared" si="10"/>
        <v>0</v>
      </c>
      <c r="AD68" s="29">
        <f t="shared" si="11"/>
        <v>0</v>
      </c>
      <c r="AE68" s="28">
        <v>20</v>
      </c>
      <c r="AF68" s="46">
        <v>355</v>
      </c>
      <c r="AG68" s="28">
        <v>210000</v>
      </c>
      <c r="AH68" s="29">
        <v>3635.621052144154</v>
      </c>
      <c r="AI68" s="29">
        <v>0</v>
      </c>
      <c r="AJ68" s="30">
        <v>0</v>
      </c>
      <c r="AK68" s="57">
        <f t="shared" si="12"/>
        <v>3.029294042394282</v>
      </c>
      <c r="AL68" s="57">
        <f t="shared" si="7"/>
        <v>1.24875</v>
      </c>
      <c r="AM68" s="60"/>
      <c r="AN68" s="57">
        <v>0.94914779479631584</v>
      </c>
      <c r="AO68" s="101">
        <f t="shared" si="8"/>
        <v>1.1475</v>
      </c>
      <c r="AP68" s="101">
        <f t="shared" si="9"/>
        <v>257</v>
      </c>
      <c r="AQ68">
        <v>65</v>
      </c>
    </row>
    <row r="69" spans="1:49" ht="21" x14ac:dyDescent="0.5">
      <c r="A69" s="28">
        <v>258</v>
      </c>
      <c r="B69" s="67" t="s">
        <v>158</v>
      </c>
      <c r="C69" s="28">
        <v>300</v>
      </c>
      <c r="D69" s="19">
        <v>300</v>
      </c>
      <c r="E69" s="28">
        <v>300</v>
      </c>
      <c r="F69" s="28">
        <v>14.25</v>
      </c>
      <c r="G69" s="47">
        <v>14.25</v>
      </c>
      <c r="H69" s="28">
        <v>8.25</v>
      </c>
      <c r="I69" s="19">
        <v>21</v>
      </c>
      <c r="J69" s="19">
        <v>21</v>
      </c>
      <c r="K69" s="61">
        <v>5048.8234039904701</v>
      </c>
      <c r="L69" s="19">
        <v>0</v>
      </c>
      <c r="M69" s="19">
        <v>1</v>
      </c>
      <c r="N69" s="19">
        <v>2</v>
      </c>
      <c r="O69" s="19">
        <v>3</v>
      </c>
      <c r="P69" s="28">
        <v>200</v>
      </c>
      <c r="Q69" s="19">
        <v>0</v>
      </c>
      <c r="R69" s="19">
        <v>0</v>
      </c>
      <c r="S69" s="19">
        <v>0</v>
      </c>
      <c r="T69" s="36">
        <v>3</v>
      </c>
      <c r="U69" s="43" t="s">
        <v>48</v>
      </c>
      <c r="V69" s="19">
        <v>1</v>
      </c>
      <c r="W69" s="28">
        <v>1</v>
      </c>
      <c r="X69" s="28">
        <v>0</v>
      </c>
      <c r="Y69" s="19">
        <f t="shared" ref="Y69:Y99" si="13">W69</f>
        <v>1</v>
      </c>
      <c r="Z69" s="19">
        <f t="shared" ref="Z69:Z99" si="14">IF(X69=90,0,(1-Y69)/(TAN(X69/180*PI())+1))</f>
        <v>0</v>
      </c>
      <c r="AA69" s="19">
        <f t="shared" ref="AA69:AA99" si="15">IF(X69=90,1-W69,Z69*TAN(X69/180*PI()))</f>
        <v>0</v>
      </c>
      <c r="AB69" s="29">
        <f t="shared" ref="AB69:AB99" si="16">AH69/3.5</f>
        <v>922.57073832522133</v>
      </c>
      <c r="AC69" s="29">
        <f t="shared" si="10"/>
        <v>0</v>
      </c>
      <c r="AD69" s="29">
        <f t="shared" si="11"/>
        <v>0</v>
      </c>
      <c r="AE69" s="28">
        <v>20</v>
      </c>
      <c r="AF69" s="46">
        <v>355</v>
      </c>
      <c r="AG69" s="28">
        <v>210000</v>
      </c>
      <c r="AH69" s="29">
        <v>3228.9975841382748</v>
      </c>
      <c r="AI69" s="29">
        <v>0</v>
      </c>
      <c r="AJ69" s="30">
        <v>0</v>
      </c>
      <c r="AK69" s="57">
        <f t="shared" si="12"/>
        <v>5.04882340399047</v>
      </c>
      <c r="AL69" s="57">
        <f t="shared" ref="AL69:AL99" si="17">(C69-H69-2*I69)/200</f>
        <v>1.24875</v>
      </c>
      <c r="AM69" s="60"/>
      <c r="AN69" s="57">
        <v>0.84299103026152089</v>
      </c>
      <c r="AO69" s="101">
        <f t="shared" ref="AO69:AO99" si="18">(E69-2*F69-2*I69)/200</f>
        <v>1.1475</v>
      </c>
      <c r="AP69" s="101">
        <f t="shared" ref="AP69:AP99" si="19">A69</f>
        <v>258</v>
      </c>
      <c r="AQ69">
        <v>66</v>
      </c>
    </row>
    <row r="70" spans="1:49" ht="21" x14ac:dyDescent="0.5">
      <c r="A70" s="28">
        <v>259</v>
      </c>
      <c r="B70" s="67" t="s">
        <v>159</v>
      </c>
      <c r="C70" s="28">
        <v>300</v>
      </c>
      <c r="D70" s="19">
        <v>300</v>
      </c>
      <c r="E70" s="28">
        <v>300</v>
      </c>
      <c r="F70" s="28">
        <v>14.25</v>
      </c>
      <c r="G70" s="47">
        <v>14.25</v>
      </c>
      <c r="H70" s="28">
        <v>8.25</v>
      </c>
      <c r="I70" s="19">
        <v>21</v>
      </c>
      <c r="J70" s="19">
        <v>21</v>
      </c>
      <c r="K70" s="61">
        <v>7573.2351059857046</v>
      </c>
      <c r="L70" s="19">
        <v>0</v>
      </c>
      <c r="M70" s="19">
        <v>1</v>
      </c>
      <c r="N70" s="19">
        <v>2</v>
      </c>
      <c r="O70" s="19">
        <v>3</v>
      </c>
      <c r="P70" s="28">
        <v>200</v>
      </c>
      <c r="Q70" s="19">
        <v>0</v>
      </c>
      <c r="R70" s="19">
        <v>0</v>
      </c>
      <c r="S70" s="19">
        <v>0</v>
      </c>
      <c r="T70" s="36">
        <v>3</v>
      </c>
      <c r="U70" s="43" t="s">
        <v>48</v>
      </c>
      <c r="V70" s="19">
        <v>1</v>
      </c>
      <c r="W70" s="28">
        <v>1</v>
      </c>
      <c r="X70" s="28">
        <v>0</v>
      </c>
      <c r="Y70" s="19">
        <f t="shared" si="13"/>
        <v>1</v>
      </c>
      <c r="Z70" s="19">
        <f t="shared" si="14"/>
        <v>0</v>
      </c>
      <c r="AA70" s="19">
        <f t="shared" si="15"/>
        <v>0</v>
      </c>
      <c r="AB70" s="29">
        <f t="shared" si="16"/>
        <v>759.00707023987036</v>
      </c>
      <c r="AC70" s="29">
        <f t="shared" si="10"/>
        <v>0</v>
      </c>
      <c r="AD70" s="29">
        <f t="shared" si="11"/>
        <v>0</v>
      </c>
      <c r="AE70" s="28">
        <v>20</v>
      </c>
      <c r="AF70" s="46">
        <v>355</v>
      </c>
      <c r="AG70" s="28">
        <v>210000</v>
      </c>
      <c r="AH70" s="29">
        <v>2656.5247458395461</v>
      </c>
      <c r="AI70" s="29">
        <v>0</v>
      </c>
      <c r="AJ70" s="30">
        <v>0</v>
      </c>
      <c r="AK70" s="57">
        <f t="shared" si="12"/>
        <v>7.573235105985705</v>
      </c>
      <c r="AL70" s="57">
        <f t="shared" si="17"/>
        <v>1.24875</v>
      </c>
      <c r="AM70" s="60"/>
      <c r="AN70" s="57">
        <v>0.69353614366612826</v>
      </c>
      <c r="AO70" s="101">
        <f t="shared" si="18"/>
        <v>1.1475</v>
      </c>
      <c r="AP70" s="101">
        <f t="shared" si="19"/>
        <v>259</v>
      </c>
      <c r="AQ70">
        <v>67</v>
      </c>
    </row>
    <row r="71" spans="1:49" ht="21" x14ac:dyDescent="0.5">
      <c r="A71" s="28">
        <v>260</v>
      </c>
      <c r="B71" s="67" t="s">
        <v>160</v>
      </c>
      <c r="C71" s="28">
        <v>300</v>
      </c>
      <c r="D71" s="19">
        <v>300</v>
      </c>
      <c r="E71" s="28">
        <v>300</v>
      </c>
      <c r="F71" s="28">
        <v>14.25</v>
      </c>
      <c r="G71" s="47">
        <v>14.25</v>
      </c>
      <c r="H71" s="28">
        <v>8.25</v>
      </c>
      <c r="I71" s="19">
        <v>21</v>
      </c>
      <c r="J71" s="19">
        <v>21</v>
      </c>
      <c r="K71" s="61">
        <v>10097.64680798094</v>
      </c>
      <c r="L71" s="19">
        <v>0</v>
      </c>
      <c r="M71" s="19">
        <v>1</v>
      </c>
      <c r="N71" s="19">
        <v>2</v>
      </c>
      <c r="O71" s="19">
        <v>3</v>
      </c>
      <c r="P71" s="28">
        <v>200</v>
      </c>
      <c r="Q71" s="19">
        <v>0</v>
      </c>
      <c r="R71" s="19">
        <v>0</v>
      </c>
      <c r="S71" s="19">
        <v>0</v>
      </c>
      <c r="T71" s="36">
        <v>3</v>
      </c>
      <c r="U71" s="43" t="s">
        <v>48</v>
      </c>
      <c r="V71" s="19">
        <v>1</v>
      </c>
      <c r="W71" s="28">
        <v>1</v>
      </c>
      <c r="X71" s="28">
        <v>0</v>
      </c>
      <c r="Y71" s="19">
        <f t="shared" si="13"/>
        <v>1</v>
      </c>
      <c r="Z71" s="19">
        <f t="shared" si="14"/>
        <v>0</v>
      </c>
      <c r="AA71" s="19">
        <f t="shared" si="15"/>
        <v>0</v>
      </c>
      <c r="AB71" s="29">
        <f t="shared" si="16"/>
        <v>590.91013915292194</v>
      </c>
      <c r="AC71" s="29">
        <f t="shared" si="10"/>
        <v>0</v>
      </c>
      <c r="AD71" s="29">
        <f t="shared" si="11"/>
        <v>0</v>
      </c>
      <c r="AE71" s="28">
        <v>20</v>
      </c>
      <c r="AF71" s="46">
        <v>355</v>
      </c>
      <c r="AG71" s="28">
        <v>210000</v>
      </c>
      <c r="AH71" s="29">
        <v>2068.1854870352267</v>
      </c>
      <c r="AI71" s="29">
        <v>0</v>
      </c>
      <c r="AJ71" s="30">
        <v>0</v>
      </c>
      <c r="AK71" s="57">
        <f t="shared" si="12"/>
        <v>10.09764680798094</v>
      </c>
      <c r="AL71" s="57">
        <f t="shared" si="17"/>
        <v>1.24875</v>
      </c>
      <c r="AM71" s="60"/>
      <c r="AN71" s="57">
        <v>0.53993902722384046</v>
      </c>
      <c r="AO71" s="101">
        <f t="shared" si="18"/>
        <v>1.1475</v>
      </c>
      <c r="AP71" s="101">
        <f t="shared" si="19"/>
        <v>260</v>
      </c>
      <c r="AQ71">
        <v>68</v>
      </c>
    </row>
    <row r="72" spans="1:49" ht="21" x14ac:dyDescent="0.5">
      <c r="A72" s="28">
        <v>261</v>
      </c>
      <c r="B72" s="67" t="s">
        <v>161</v>
      </c>
      <c r="C72" s="28">
        <v>300</v>
      </c>
      <c r="D72" s="19">
        <v>300</v>
      </c>
      <c r="E72" s="28">
        <v>300</v>
      </c>
      <c r="F72" s="28">
        <v>14.25</v>
      </c>
      <c r="G72" s="47">
        <v>14.25</v>
      </c>
      <c r="H72" s="28">
        <v>8.25</v>
      </c>
      <c r="I72" s="19">
        <v>21</v>
      </c>
      <c r="J72" s="19">
        <v>21</v>
      </c>
      <c r="K72" s="19">
        <v>13429.870254614651</v>
      </c>
      <c r="L72" s="19">
        <v>0</v>
      </c>
      <c r="M72" s="19">
        <v>1</v>
      </c>
      <c r="N72" s="19">
        <v>2</v>
      </c>
      <c r="O72" s="19">
        <v>3</v>
      </c>
      <c r="P72" s="28">
        <v>200</v>
      </c>
      <c r="Q72" s="19">
        <v>0</v>
      </c>
      <c r="R72" s="19">
        <v>0</v>
      </c>
      <c r="S72" s="19">
        <v>0</v>
      </c>
      <c r="T72" s="36">
        <v>3</v>
      </c>
      <c r="U72" s="43" t="s">
        <v>48</v>
      </c>
      <c r="V72" s="19">
        <v>1</v>
      </c>
      <c r="W72" s="28">
        <v>1</v>
      </c>
      <c r="X72" s="28">
        <v>0</v>
      </c>
      <c r="Y72" s="19">
        <f t="shared" si="13"/>
        <v>1</v>
      </c>
      <c r="Z72" s="19">
        <f t="shared" si="14"/>
        <v>0</v>
      </c>
      <c r="AA72" s="19">
        <f t="shared" si="15"/>
        <v>0</v>
      </c>
      <c r="AB72" s="29">
        <f t="shared" si="16"/>
        <v>411.92492351344197</v>
      </c>
      <c r="AC72" s="29">
        <f t="shared" si="10"/>
        <v>0</v>
      </c>
      <c r="AD72" s="29">
        <f t="shared" si="11"/>
        <v>0</v>
      </c>
      <c r="AE72" s="28">
        <v>20</v>
      </c>
      <c r="AF72" s="46">
        <v>355</v>
      </c>
      <c r="AG72" s="28">
        <v>210000</v>
      </c>
      <c r="AH72" s="29">
        <v>1441.7372322970468</v>
      </c>
      <c r="AI72" s="29">
        <v>0</v>
      </c>
      <c r="AJ72" s="30">
        <v>0</v>
      </c>
      <c r="AK72" s="57">
        <f t="shared" si="12"/>
        <v>13.42987025461465</v>
      </c>
      <c r="AL72" s="57">
        <f t="shared" si="17"/>
        <v>1.24875</v>
      </c>
      <c r="AM72" s="60"/>
      <c r="AN72" s="57">
        <v>0.37639283497476766</v>
      </c>
      <c r="AO72" s="101">
        <f t="shared" si="18"/>
        <v>1.1475</v>
      </c>
      <c r="AP72" s="101">
        <f t="shared" si="19"/>
        <v>261</v>
      </c>
      <c r="AQ72">
        <v>69</v>
      </c>
    </row>
    <row r="73" spans="1:49" ht="21" x14ac:dyDescent="0.5">
      <c r="A73" s="28">
        <v>262</v>
      </c>
      <c r="B73" s="67" t="s">
        <v>162</v>
      </c>
      <c r="C73" s="28">
        <v>300</v>
      </c>
      <c r="D73" s="19">
        <v>300</v>
      </c>
      <c r="E73" s="28">
        <v>300</v>
      </c>
      <c r="F73" s="28">
        <v>14.25</v>
      </c>
      <c r="G73" s="47">
        <v>14.25</v>
      </c>
      <c r="H73" s="28">
        <v>8.25</v>
      </c>
      <c r="I73" s="19">
        <v>21</v>
      </c>
      <c r="J73" s="19">
        <v>21</v>
      </c>
      <c r="K73" s="61">
        <v>16863.070169328166</v>
      </c>
      <c r="L73" s="19">
        <v>0</v>
      </c>
      <c r="M73" s="19">
        <v>1</v>
      </c>
      <c r="N73" s="19">
        <v>2</v>
      </c>
      <c r="O73" s="19">
        <v>3</v>
      </c>
      <c r="P73" s="28">
        <v>200</v>
      </c>
      <c r="Q73" s="19">
        <v>0</v>
      </c>
      <c r="R73" s="19">
        <v>0</v>
      </c>
      <c r="S73" s="19">
        <v>0</v>
      </c>
      <c r="T73" s="36">
        <v>3</v>
      </c>
      <c r="U73" s="43" t="s">
        <v>48</v>
      </c>
      <c r="V73" s="19">
        <v>1</v>
      </c>
      <c r="W73" s="28">
        <v>1</v>
      </c>
      <c r="X73" s="28">
        <v>0</v>
      </c>
      <c r="Y73" s="19">
        <f t="shared" si="13"/>
        <v>1</v>
      </c>
      <c r="Z73" s="19">
        <f t="shared" si="14"/>
        <v>0</v>
      </c>
      <c r="AA73" s="19">
        <f t="shared" si="15"/>
        <v>0</v>
      </c>
      <c r="AB73" s="29">
        <f t="shared" si="16"/>
        <v>290.34598498937515</v>
      </c>
      <c r="AC73" s="29">
        <f t="shared" si="10"/>
        <v>0</v>
      </c>
      <c r="AD73" s="29">
        <f t="shared" si="11"/>
        <v>0</v>
      </c>
      <c r="AE73" s="28">
        <v>20</v>
      </c>
      <c r="AF73" s="46">
        <v>355</v>
      </c>
      <c r="AG73" s="28">
        <v>210000</v>
      </c>
      <c r="AH73" s="29">
        <v>1016.210947462813</v>
      </c>
      <c r="AI73" s="29">
        <v>0</v>
      </c>
      <c r="AJ73" s="30">
        <v>0</v>
      </c>
      <c r="AK73" s="57">
        <f t="shared" si="12"/>
        <v>16.863070169328168</v>
      </c>
      <c r="AL73" s="57">
        <f t="shared" si="17"/>
        <v>1.24875</v>
      </c>
      <c r="AM73" s="60"/>
      <c r="AN73" s="57">
        <v>0.26530113177316905</v>
      </c>
      <c r="AO73" s="101">
        <f t="shared" si="18"/>
        <v>1.1475</v>
      </c>
      <c r="AP73" s="101">
        <f t="shared" si="19"/>
        <v>262</v>
      </c>
      <c r="AQ73">
        <v>70</v>
      </c>
    </row>
    <row r="74" spans="1:49" ht="21" x14ac:dyDescent="0.5">
      <c r="A74" s="28">
        <v>263</v>
      </c>
      <c r="B74" s="67" t="s">
        <v>163</v>
      </c>
      <c r="C74" s="28">
        <v>300</v>
      </c>
      <c r="D74" s="19">
        <v>300</v>
      </c>
      <c r="E74" s="28">
        <v>300</v>
      </c>
      <c r="F74" s="28">
        <v>14.25</v>
      </c>
      <c r="G74" s="47">
        <v>14.25</v>
      </c>
      <c r="H74" s="28">
        <v>8.25</v>
      </c>
      <c r="I74" s="19">
        <v>21</v>
      </c>
      <c r="J74" s="19">
        <v>21</v>
      </c>
      <c r="K74" s="19">
        <v>20195.29361596188</v>
      </c>
      <c r="L74" s="19">
        <v>0</v>
      </c>
      <c r="M74" s="19">
        <v>1</v>
      </c>
      <c r="N74" s="19">
        <v>2</v>
      </c>
      <c r="O74" s="19">
        <v>3</v>
      </c>
      <c r="P74" s="28">
        <v>200</v>
      </c>
      <c r="Q74" s="19">
        <v>0</v>
      </c>
      <c r="R74" s="19">
        <v>0</v>
      </c>
      <c r="S74" s="19">
        <v>0</v>
      </c>
      <c r="T74" s="36">
        <v>3</v>
      </c>
      <c r="U74" s="43" t="s">
        <v>48</v>
      </c>
      <c r="V74" s="19">
        <v>1</v>
      </c>
      <c r="W74" s="28">
        <v>1</v>
      </c>
      <c r="X74" s="28">
        <v>0</v>
      </c>
      <c r="Y74" s="19">
        <f t="shared" si="13"/>
        <v>1</v>
      </c>
      <c r="Z74" s="19">
        <f t="shared" si="14"/>
        <v>0</v>
      </c>
      <c r="AA74" s="19">
        <f t="shared" si="15"/>
        <v>0</v>
      </c>
      <c r="AB74" s="29">
        <f t="shared" si="16"/>
        <v>214.70366856256138</v>
      </c>
      <c r="AC74" s="29">
        <f t="shared" si="10"/>
        <v>0</v>
      </c>
      <c r="AD74" s="29">
        <f t="shared" si="11"/>
        <v>0</v>
      </c>
      <c r="AE74" s="28">
        <v>20</v>
      </c>
      <c r="AF74" s="46">
        <v>355</v>
      </c>
      <c r="AG74" s="28">
        <v>210000</v>
      </c>
      <c r="AH74" s="29">
        <v>751.46283996896477</v>
      </c>
      <c r="AI74" s="29">
        <v>0</v>
      </c>
      <c r="AJ74" s="30">
        <v>0</v>
      </c>
      <c r="AK74" s="57">
        <f t="shared" si="12"/>
        <v>20.19529361596188</v>
      </c>
      <c r="AL74" s="57">
        <f t="shared" si="17"/>
        <v>1.24875</v>
      </c>
      <c r="AM74" s="60"/>
      <c r="AN74" s="57">
        <v>0.19618361957918354</v>
      </c>
      <c r="AO74" s="101">
        <f t="shared" si="18"/>
        <v>1.1475</v>
      </c>
      <c r="AP74" s="101">
        <f t="shared" si="19"/>
        <v>263</v>
      </c>
      <c r="AQ74">
        <v>71</v>
      </c>
    </row>
    <row r="75" spans="1:49" ht="21" x14ac:dyDescent="0.5">
      <c r="A75" s="28">
        <v>264</v>
      </c>
      <c r="B75" s="67" t="s">
        <v>164</v>
      </c>
      <c r="C75" s="28">
        <v>300</v>
      </c>
      <c r="D75" s="19">
        <v>300</v>
      </c>
      <c r="E75" s="28">
        <v>300</v>
      </c>
      <c r="F75" s="28">
        <v>14.25</v>
      </c>
      <c r="G75" s="47">
        <v>14.25</v>
      </c>
      <c r="H75" s="28">
        <v>8.25</v>
      </c>
      <c r="I75" s="19">
        <v>21</v>
      </c>
      <c r="J75" s="19">
        <v>21</v>
      </c>
      <c r="K75" s="61">
        <v>25244.117019952348</v>
      </c>
      <c r="L75" s="19">
        <v>0</v>
      </c>
      <c r="M75" s="19">
        <v>1</v>
      </c>
      <c r="N75" s="19">
        <v>2</v>
      </c>
      <c r="O75" s="19">
        <v>3</v>
      </c>
      <c r="P75" s="28">
        <v>200</v>
      </c>
      <c r="Q75" s="19">
        <v>0</v>
      </c>
      <c r="R75" s="19">
        <v>0</v>
      </c>
      <c r="S75" s="19">
        <v>0</v>
      </c>
      <c r="T75" s="36">
        <v>3</v>
      </c>
      <c r="U75" s="43" t="s">
        <v>48</v>
      </c>
      <c r="V75" s="19">
        <v>1</v>
      </c>
      <c r="W75" s="28">
        <v>1</v>
      </c>
      <c r="X75" s="28">
        <v>0</v>
      </c>
      <c r="Y75" s="19">
        <f t="shared" si="13"/>
        <v>1</v>
      </c>
      <c r="Z75" s="19">
        <f t="shared" si="14"/>
        <v>0</v>
      </c>
      <c r="AA75" s="19">
        <f t="shared" si="15"/>
        <v>0</v>
      </c>
      <c r="AB75" s="29">
        <f t="shared" si="16"/>
        <v>144.97142261301767</v>
      </c>
      <c r="AC75" s="29">
        <f t="shared" si="10"/>
        <v>0</v>
      </c>
      <c r="AD75" s="29">
        <f t="shared" si="11"/>
        <v>0</v>
      </c>
      <c r="AE75" s="28">
        <v>20</v>
      </c>
      <c r="AF75" s="46">
        <v>355</v>
      </c>
      <c r="AG75" s="28">
        <v>210000</v>
      </c>
      <c r="AH75" s="29">
        <v>507.39997914556182</v>
      </c>
      <c r="AI75" s="29">
        <v>0</v>
      </c>
      <c r="AJ75" s="30">
        <v>0</v>
      </c>
      <c r="AK75" s="57">
        <f t="shared" si="12"/>
        <v>25.244117019952348</v>
      </c>
      <c r="AL75" s="57">
        <f t="shared" si="17"/>
        <v>1.24875</v>
      </c>
      <c r="AM75" s="60"/>
      <c r="AN75" s="57">
        <v>0.13246638315114781</v>
      </c>
      <c r="AO75" s="101">
        <f t="shared" si="18"/>
        <v>1.1475</v>
      </c>
      <c r="AP75" s="101">
        <f t="shared" si="19"/>
        <v>264</v>
      </c>
      <c r="AQ75">
        <v>72</v>
      </c>
    </row>
    <row r="76" spans="1:49" ht="21" x14ac:dyDescent="0.5">
      <c r="A76" s="28">
        <v>265</v>
      </c>
      <c r="B76" s="67" t="s">
        <v>165</v>
      </c>
      <c r="C76" s="28">
        <v>300</v>
      </c>
      <c r="D76" s="19">
        <v>300</v>
      </c>
      <c r="E76" s="28">
        <v>300</v>
      </c>
      <c r="F76" s="28">
        <v>10.792</v>
      </c>
      <c r="G76" s="47">
        <v>10.792</v>
      </c>
      <c r="H76" s="28">
        <v>6.2479999999999993</v>
      </c>
      <c r="I76" s="19">
        <v>21</v>
      </c>
      <c r="J76" s="19">
        <v>21</v>
      </c>
      <c r="K76" s="19">
        <v>3063.2460293956092</v>
      </c>
      <c r="L76" s="19">
        <v>0</v>
      </c>
      <c r="M76" s="19">
        <v>1</v>
      </c>
      <c r="N76" s="19">
        <v>2</v>
      </c>
      <c r="O76" s="19">
        <v>3</v>
      </c>
      <c r="P76" s="28">
        <v>200</v>
      </c>
      <c r="Q76" s="19">
        <v>0</v>
      </c>
      <c r="R76" s="19">
        <v>0</v>
      </c>
      <c r="S76" s="19">
        <v>0</v>
      </c>
      <c r="T76" s="36">
        <v>3</v>
      </c>
      <c r="U76" s="43" t="s">
        <v>48</v>
      </c>
      <c r="V76" s="19">
        <v>1</v>
      </c>
      <c r="W76" s="28">
        <v>1</v>
      </c>
      <c r="X76" s="28">
        <v>0</v>
      </c>
      <c r="Y76" s="19">
        <f t="shared" si="13"/>
        <v>1</v>
      </c>
      <c r="Z76" s="19">
        <f t="shared" si="14"/>
        <v>0</v>
      </c>
      <c r="AA76" s="19">
        <f t="shared" si="15"/>
        <v>0</v>
      </c>
      <c r="AB76" s="29">
        <f t="shared" si="16"/>
        <v>795.50015087284919</v>
      </c>
      <c r="AC76" s="29">
        <f t="shared" si="10"/>
        <v>0</v>
      </c>
      <c r="AD76" s="29">
        <f t="shared" si="11"/>
        <v>0</v>
      </c>
      <c r="AE76" s="28">
        <v>20</v>
      </c>
      <c r="AF76" s="46">
        <v>355</v>
      </c>
      <c r="AG76" s="28">
        <v>210000</v>
      </c>
      <c r="AH76" s="29">
        <v>2784.2505280549722</v>
      </c>
      <c r="AI76" s="29">
        <v>0</v>
      </c>
      <c r="AJ76" s="30">
        <v>0</v>
      </c>
      <c r="AK76" s="57">
        <f t="shared" si="12"/>
        <v>3.063246029395609</v>
      </c>
      <c r="AL76" s="57">
        <f t="shared" si="17"/>
        <v>1.2587600000000001</v>
      </c>
      <c r="AM76" s="60"/>
      <c r="AN76" s="57">
        <v>0.95474186758624524</v>
      </c>
      <c r="AO76" s="101">
        <f t="shared" si="18"/>
        <v>1.18208</v>
      </c>
      <c r="AP76" s="101">
        <f t="shared" si="19"/>
        <v>265</v>
      </c>
      <c r="AQ76">
        <v>73</v>
      </c>
    </row>
    <row r="77" spans="1:49" ht="21" x14ac:dyDescent="0.5">
      <c r="A77" s="28">
        <v>266</v>
      </c>
      <c r="B77" s="67" t="s">
        <v>166</v>
      </c>
      <c r="C77" s="28">
        <v>300</v>
      </c>
      <c r="D77" s="19">
        <v>300</v>
      </c>
      <c r="E77" s="28">
        <v>300</v>
      </c>
      <c r="F77" s="28">
        <v>10.792</v>
      </c>
      <c r="G77" s="47">
        <v>10.792</v>
      </c>
      <c r="H77" s="28">
        <v>6.2479999999999993</v>
      </c>
      <c r="I77" s="19">
        <v>21</v>
      </c>
      <c r="J77" s="19">
        <v>21</v>
      </c>
      <c r="K77" s="19">
        <v>5105.4100489926814</v>
      </c>
      <c r="L77" s="19">
        <v>0</v>
      </c>
      <c r="M77" s="19">
        <v>1</v>
      </c>
      <c r="N77" s="19">
        <v>2</v>
      </c>
      <c r="O77" s="19">
        <v>3</v>
      </c>
      <c r="P77" s="28">
        <v>200</v>
      </c>
      <c r="Q77" s="19">
        <v>0</v>
      </c>
      <c r="R77" s="19">
        <v>0</v>
      </c>
      <c r="S77" s="19">
        <v>0</v>
      </c>
      <c r="T77" s="36">
        <v>3</v>
      </c>
      <c r="U77" s="43" t="s">
        <v>48</v>
      </c>
      <c r="V77" s="19">
        <v>1</v>
      </c>
      <c r="W77" s="28">
        <v>1</v>
      </c>
      <c r="X77" s="28">
        <v>0</v>
      </c>
      <c r="Y77" s="19">
        <f t="shared" si="13"/>
        <v>1</v>
      </c>
      <c r="Z77" s="19">
        <f t="shared" si="14"/>
        <v>0</v>
      </c>
      <c r="AA77" s="19">
        <f t="shared" si="15"/>
        <v>0</v>
      </c>
      <c r="AB77" s="29">
        <f t="shared" si="16"/>
        <v>710.86229383753391</v>
      </c>
      <c r="AC77" s="29">
        <f t="shared" si="10"/>
        <v>0</v>
      </c>
      <c r="AD77" s="29">
        <f t="shared" si="11"/>
        <v>0</v>
      </c>
      <c r="AE77" s="28">
        <v>20</v>
      </c>
      <c r="AF77" s="46">
        <v>355</v>
      </c>
      <c r="AG77" s="28">
        <v>210000</v>
      </c>
      <c r="AH77" s="29">
        <v>2488.0180284313687</v>
      </c>
      <c r="AI77" s="29">
        <v>0</v>
      </c>
      <c r="AJ77" s="30">
        <v>0</v>
      </c>
      <c r="AK77" s="57">
        <f t="shared" si="12"/>
        <v>5.105410048992681</v>
      </c>
      <c r="AL77" s="57">
        <f t="shared" si="17"/>
        <v>1.2587600000000001</v>
      </c>
      <c r="AM77" s="60"/>
      <c r="AN77" s="57">
        <v>0.85316136429441036</v>
      </c>
      <c r="AO77" s="101">
        <f t="shared" si="18"/>
        <v>1.18208</v>
      </c>
      <c r="AP77" s="101">
        <f t="shared" si="19"/>
        <v>266</v>
      </c>
      <c r="AQ77">
        <v>74</v>
      </c>
    </row>
    <row r="78" spans="1:49" ht="21" x14ac:dyDescent="0.5">
      <c r="A78" s="28">
        <v>267</v>
      </c>
      <c r="B78" s="67" t="s">
        <v>167</v>
      </c>
      <c r="C78" s="28">
        <v>300</v>
      </c>
      <c r="D78" s="19">
        <v>300</v>
      </c>
      <c r="E78" s="28">
        <v>300</v>
      </c>
      <c r="F78" s="28">
        <v>10.792</v>
      </c>
      <c r="G78" s="47">
        <v>10.792</v>
      </c>
      <c r="H78" s="28">
        <v>6.2479999999999993</v>
      </c>
      <c r="I78" s="19">
        <v>21</v>
      </c>
      <c r="J78" s="19">
        <v>21</v>
      </c>
      <c r="K78" s="19">
        <v>7658.1150734890225</v>
      </c>
      <c r="L78" s="19">
        <v>0</v>
      </c>
      <c r="M78" s="19">
        <v>1</v>
      </c>
      <c r="N78" s="19">
        <v>2</v>
      </c>
      <c r="O78" s="19">
        <v>3</v>
      </c>
      <c r="P78" s="28">
        <v>200</v>
      </c>
      <c r="Q78" s="19">
        <v>0</v>
      </c>
      <c r="R78" s="19">
        <v>0</v>
      </c>
      <c r="S78" s="19">
        <v>0</v>
      </c>
      <c r="T78" s="36">
        <v>3</v>
      </c>
      <c r="U78" s="43" t="s">
        <v>48</v>
      </c>
      <c r="V78" s="19">
        <v>1</v>
      </c>
      <c r="W78" s="28">
        <v>1</v>
      </c>
      <c r="X78" s="28">
        <v>0</v>
      </c>
      <c r="Y78" s="19">
        <f t="shared" si="13"/>
        <v>1</v>
      </c>
      <c r="Z78" s="19">
        <f t="shared" si="14"/>
        <v>0</v>
      </c>
      <c r="AA78" s="19">
        <f t="shared" si="15"/>
        <v>0</v>
      </c>
      <c r="AB78" s="29">
        <f t="shared" si="16"/>
        <v>592.14071746877983</v>
      </c>
      <c r="AC78" s="29">
        <f t="shared" si="10"/>
        <v>0</v>
      </c>
      <c r="AD78" s="29">
        <f t="shared" si="11"/>
        <v>0</v>
      </c>
      <c r="AE78" s="28">
        <v>20</v>
      </c>
      <c r="AF78" s="46">
        <v>355</v>
      </c>
      <c r="AG78" s="28">
        <v>210000</v>
      </c>
      <c r="AH78" s="29">
        <v>2072.4925111407292</v>
      </c>
      <c r="AI78" s="29">
        <v>0</v>
      </c>
      <c r="AJ78" s="30">
        <v>0</v>
      </c>
      <c r="AK78" s="57">
        <f t="shared" si="12"/>
        <v>7.6581150734890224</v>
      </c>
      <c r="AL78" s="57">
        <f t="shared" si="17"/>
        <v>1.2587600000000001</v>
      </c>
      <c r="AM78" s="60"/>
      <c r="AN78" s="57">
        <v>0.71067432715090062</v>
      </c>
      <c r="AO78" s="101">
        <f t="shared" si="18"/>
        <v>1.18208</v>
      </c>
      <c r="AP78" s="101">
        <f t="shared" si="19"/>
        <v>267</v>
      </c>
      <c r="AQ78">
        <v>75</v>
      </c>
    </row>
    <row r="79" spans="1:49" ht="21" x14ac:dyDescent="0.5">
      <c r="A79" s="28">
        <v>268</v>
      </c>
      <c r="B79" s="67" t="s">
        <v>168</v>
      </c>
      <c r="C79" s="28">
        <v>300</v>
      </c>
      <c r="D79" s="19">
        <v>300</v>
      </c>
      <c r="E79" s="28">
        <v>300</v>
      </c>
      <c r="F79" s="28">
        <v>10.792</v>
      </c>
      <c r="G79" s="47">
        <v>10.792</v>
      </c>
      <c r="H79" s="28">
        <v>6.2479999999999993</v>
      </c>
      <c r="I79" s="19">
        <v>21</v>
      </c>
      <c r="J79" s="19">
        <v>21</v>
      </c>
      <c r="K79" s="19">
        <v>10210.820097985363</v>
      </c>
      <c r="L79" s="19">
        <v>0</v>
      </c>
      <c r="M79" s="19">
        <v>1</v>
      </c>
      <c r="N79" s="19">
        <v>2</v>
      </c>
      <c r="O79" s="19">
        <v>3</v>
      </c>
      <c r="P79" s="28">
        <v>200</v>
      </c>
      <c r="Q79" s="19">
        <v>0</v>
      </c>
      <c r="R79" s="19">
        <v>0</v>
      </c>
      <c r="S79" s="19">
        <v>0</v>
      </c>
      <c r="T79" s="36">
        <v>3</v>
      </c>
      <c r="U79" s="43" t="s">
        <v>48</v>
      </c>
      <c r="V79" s="19">
        <v>1</v>
      </c>
      <c r="W79" s="28">
        <v>1</v>
      </c>
      <c r="X79" s="28">
        <v>0</v>
      </c>
      <c r="Y79" s="19">
        <f t="shared" si="13"/>
        <v>1</v>
      </c>
      <c r="Z79" s="19">
        <f t="shared" si="14"/>
        <v>0</v>
      </c>
      <c r="AA79" s="19">
        <f t="shared" si="15"/>
        <v>0</v>
      </c>
      <c r="AB79" s="29">
        <f t="shared" si="16"/>
        <v>467.79565719615618</v>
      </c>
      <c r="AC79" s="29">
        <f t="shared" si="10"/>
        <v>0</v>
      </c>
      <c r="AD79" s="29">
        <f t="shared" si="11"/>
        <v>0</v>
      </c>
      <c r="AE79" s="28">
        <v>20</v>
      </c>
      <c r="AF79" s="46">
        <v>355</v>
      </c>
      <c r="AG79" s="28">
        <v>210000</v>
      </c>
      <c r="AH79" s="29">
        <v>1637.2848001865466</v>
      </c>
      <c r="AI79" s="29">
        <v>0</v>
      </c>
      <c r="AJ79" s="30">
        <v>0</v>
      </c>
      <c r="AK79" s="57">
        <f t="shared" si="12"/>
        <v>10.210820097985362</v>
      </c>
      <c r="AL79" s="57">
        <f t="shared" si="17"/>
        <v>1.2587600000000001</v>
      </c>
      <c r="AM79" s="60"/>
      <c r="AN79" s="57">
        <v>0.56143810772398006</v>
      </c>
      <c r="AO79" s="101">
        <f t="shared" si="18"/>
        <v>1.18208</v>
      </c>
      <c r="AP79" s="101">
        <f t="shared" si="19"/>
        <v>268</v>
      </c>
      <c r="AQ79">
        <v>76</v>
      </c>
    </row>
    <row r="80" spans="1:49" ht="21" x14ac:dyDescent="0.5">
      <c r="A80" s="28">
        <v>269</v>
      </c>
      <c r="B80" s="67" t="s">
        <v>169</v>
      </c>
      <c r="C80" s="28">
        <v>300</v>
      </c>
      <c r="D80" s="19">
        <v>300</v>
      </c>
      <c r="E80" s="28">
        <v>300</v>
      </c>
      <c r="F80" s="28">
        <v>10.792</v>
      </c>
      <c r="G80" s="47">
        <v>10.792</v>
      </c>
      <c r="H80" s="28">
        <v>6.2479999999999993</v>
      </c>
      <c r="I80" s="19">
        <v>21</v>
      </c>
      <c r="J80" s="19">
        <v>21</v>
      </c>
      <c r="K80" s="19">
        <v>13580.390730320534</v>
      </c>
      <c r="L80" s="19">
        <v>0</v>
      </c>
      <c r="M80" s="19">
        <v>1</v>
      </c>
      <c r="N80" s="19">
        <v>2</v>
      </c>
      <c r="O80" s="19">
        <v>3</v>
      </c>
      <c r="P80" s="28">
        <v>200</v>
      </c>
      <c r="Q80" s="19">
        <v>0</v>
      </c>
      <c r="R80" s="19">
        <v>0</v>
      </c>
      <c r="S80" s="19">
        <v>0</v>
      </c>
      <c r="T80" s="36">
        <v>3</v>
      </c>
      <c r="U80" s="43" t="s">
        <v>48</v>
      </c>
      <c r="V80" s="19">
        <v>1</v>
      </c>
      <c r="W80" s="28">
        <v>1</v>
      </c>
      <c r="X80" s="28">
        <v>0</v>
      </c>
      <c r="Y80" s="19">
        <f t="shared" si="13"/>
        <v>1</v>
      </c>
      <c r="Z80" s="19">
        <f t="shared" si="14"/>
        <v>0</v>
      </c>
      <c r="AA80" s="19">
        <f t="shared" si="15"/>
        <v>0</v>
      </c>
      <c r="AB80" s="29">
        <f t="shared" si="16"/>
        <v>330.60560021388767</v>
      </c>
      <c r="AC80" s="29">
        <f t="shared" si="10"/>
        <v>0</v>
      </c>
      <c r="AD80" s="29">
        <f t="shared" si="11"/>
        <v>0</v>
      </c>
      <c r="AE80" s="28">
        <v>20</v>
      </c>
      <c r="AF80" s="46">
        <v>355</v>
      </c>
      <c r="AG80" s="28">
        <v>210000</v>
      </c>
      <c r="AH80" s="29">
        <v>1157.1196007486069</v>
      </c>
      <c r="AI80" s="29">
        <v>0</v>
      </c>
      <c r="AJ80" s="30">
        <v>0</v>
      </c>
      <c r="AK80" s="57">
        <f t="shared" si="12"/>
        <v>13.580390730320534</v>
      </c>
      <c r="AL80" s="57">
        <f t="shared" si="17"/>
        <v>1.2587600000000001</v>
      </c>
      <c r="AM80" s="60"/>
      <c r="AN80" s="57">
        <v>0.39678560442300953</v>
      </c>
      <c r="AO80" s="101">
        <f t="shared" si="18"/>
        <v>1.18208</v>
      </c>
      <c r="AP80" s="101">
        <f t="shared" si="19"/>
        <v>269</v>
      </c>
      <c r="AQ80">
        <v>77</v>
      </c>
    </row>
    <row r="81" spans="1:43" ht="21" x14ac:dyDescent="0.5">
      <c r="A81" s="28">
        <v>270</v>
      </c>
      <c r="B81" s="67" t="s">
        <v>170</v>
      </c>
      <c r="C81" s="28">
        <v>300</v>
      </c>
      <c r="D81" s="19">
        <v>300</v>
      </c>
      <c r="E81" s="28">
        <v>300</v>
      </c>
      <c r="F81" s="28">
        <v>10.792</v>
      </c>
      <c r="G81" s="47">
        <v>10.792</v>
      </c>
      <c r="H81" s="28">
        <v>6.2479999999999993</v>
      </c>
      <c r="I81" s="19">
        <v>21</v>
      </c>
      <c r="J81" s="19">
        <v>21</v>
      </c>
      <c r="K81" s="19">
        <v>17052.069563635556</v>
      </c>
      <c r="L81" s="19">
        <v>0</v>
      </c>
      <c r="M81" s="19">
        <v>1</v>
      </c>
      <c r="N81" s="19">
        <v>2</v>
      </c>
      <c r="O81" s="19">
        <v>3</v>
      </c>
      <c r="P81" s="28">
        <v>200</v>
      </c>
      <c r="Q81" s="19">
        <v>0</v>
      </c>
      <c r="R81" s="19">
        <v>0</v>
      </c>
      <c r="S81" s="19">
        <v>0</v>
      </c>
      <c r="T81" s="36">
        <v>3</v>
      </c>
      <c r="U81" s="43" t="s">
        <v>48</v>
      </c>
      <c r="V81" s="19">
        <v>1</v>
      </c>
      <c r="W81" s="28">
        <v>1</v>
      </c>
      <c r="X81" s="28">
        <v>0</v>
      </c>
      <c r="Y81" s="19">
        <f t="shared" si="13"/>
        <v>1</v>
      </c>
      <c r="Z81" s="19">
        <f t="shared" si="14"/>
        <v>0</v>
      </c>
      <c r="AA81" s="19">
        <f t="shared" si="15"/>
        <v>0</v>
      </c>
      <c r="AB81" s="29">
        <f t="shared" si="16"/>
        <v>234.72495119776022</v>
      </c>
      <c r="AC81" s="29">
        <f t="shared" si="10"/>
        <v>0</v>
      </c>
      <c r="AD81" s="29">
        <f t="shared" si="11"/>
        <v>0</v>
      </c>
      <c r="AE81" s="28">
        <v>20</v>
      </c>
      <c r="AF81" s="46">
        <v>355</v>
      </c>
      <c r="AG81" s="28">
        <v>210000</v>
      </c>
      <c r="AH81" s="29">
        <v>821.53732919216077</v>
      </c>
      <c r="AI81" s="29">
        <v>0</v>
      </c>
      <c r="AJ81" s="30">
        <v>0</v>
      </c>
      <c r="AK81" s="57">
        <f t="shared" si="12"/>
        <v>17.052069563635555</v>
      </c>
      <c r="AL81" s="57">
        <f t="shared" si="17"/>
        <v>1.2587600000000001</v>
      </c>
      <c r="AM81" s="60"/>
      <c r="AN81" s="57">
        <v>0.28171174830042206</v>
      </c>
      <c r="AO81" s="101">
        <f t="shared" si="18"/>
        <v>1.18208</v>
      </c>
      <c r="AP81" s="101">
        <f t="shared" si="19"/>
        <v>270</v>
      </c>
      <c r="AQ81">
        <v>78</v>
      </c>
    </row>
    <row r="82" spans="1:43" ht="21" x14ac:dyDescent="0.5">
      <c r="A82" s="28">
        <v>271</v>
      </c>
      <c r="B82" s="67" t="s">
        <v>171</v>
      </c>
      <c r="C82" s="28">
        <v>300</v>
      </c>
      <c r="D82" s="19">
        <v>300</v>
      </c>
      <c r="E82" s="28">
        <v>300</v>
      </c>
      <c r="F82" s="28">
        <v>10.792</v>
      </c>
      <c r="G82" s="47">
        <v>10.792</v>
      </c>
      <c r="H82" s="28">
        <v>6.2479999999999993</v>
      </c>
      <c r="I82" s="19">
        <v>21</v>
      </c>
      <c r="J82" s="19">
        <v>21</v>
      </c>
      <c r="K82" s="19">
        <v>20421.640195970725</v>
      </c>
      <c r="L82" s="19">
        <v>0</v>
      </c>
      <c r="M82" s="19">
        <v>1</v>
      </c>
      <c r="N82" s="19">
        <v>2</v>
      </c>
      <c r="O82" s="19">
        <v>3</v>
      </c>
      <c r="P82" s="28">
        <v>200</v>
      </c>
      <c r="Q82" s="19">
        <v>0</v>
      </c>
      <c r="R82" s="19">
        <v>0</v>
      </c>
      <c r="S82" s="19">
        <v>0</v>
      </c>
      <c r="T82" s="36">
        <v>3</v>
      </c>
      <c r="U82" s="43" t="s">
        <v>48</v>
      </c>
      <c r="V82" s="19">
        <v>1</v>
      </c>
      <c r="W82" s="28">
        <v>1</v>
      </c>
      <c r="X82" s="28">
        <v>0</v>
      </c>
      <c r="Y82" s="19">
        <f t="shared" si="13"/>
        <v>1</v>
      </c>
      <c r="Z82" s="19">
        <f t="shared" si="14"/>
        <v>0</v>
      </c>
      <c r="AA82" s="19">
        <f t="shared" si="15"/>
        <v>0</v>
      </c>
      <c r="AB82" s="29">
        <f t="shared" si="16"/>
        <v>174.21806277054301</v>
      </c>
      <c r="AC82" s="29">
        <f t="shared" si="10"/>
        <v>0</v>
      </c>
      <c r="AD82" s="29">
        <f t="shared" si="11"/>
        <v>0</v>
      </c>
      <c r="AE82" s="28">
        <v>20</v>
      </c>
      <c r="AF82" s="46">
        <v>355</v>
      </c>
      <c r="AG82" s="28">
        <v>210000</v>
      </c>
      <c r="AH82" s="29">
        <v>609.76321969690059</v>
      </c>
      <c r="AI82" s="29">
        <v>0</v>
      </c>
      <c r="AJ82" s="30">
        <v>0</v>
      </c>
      <c r="AK82" s="57">
        <f t="shared" si="12"/>
        <v>20.421640195970724</v>
      </c>
      <c r="AL82" s="57">
        <f t="shared" si="17"/>
        <v>1.2587600000000001</v>
      </c>
      <c r="AM82" s="60"/>
      <c r="AN82" s="57">
        <v>0.20909270530533469</v>
      </c>
      <c r="AO82" s="101">
        <f t="shared" si="18"/>
        <v>1.18208</v>
      </c>
      <c r="AP82" s="101">
        <f t="shared" si="19"/>
        <v>271</v>
      </c>
      <c r="AQ82">
        <v>79</v>
      </c>
    </row>
    <row r="83" spans="1:43" ht="21" x14ac:dyDescent="0.5">
      <c r="A83" s="28">
        <v>272</v>
      </c>
      <c r="B83" s="67" t="s">
        <v>172</v>
      </c>
      <c r="C83" s="28">
        <v>300</v>
      </c>
      <c r="D83" s="19">
        <v>300</v>
      </c>
      <c r="E83" s="28">
        <v>300</v>
      </c>
      <c r="F83" s="28">
        <v>10.792</v>
      </c>
      <c r="G83" s="47">
        <v>10.792</v>
      </c>
      <c r="H83" s="28">
        <v>6.2479999999999993</v>
      </c>
      <c r="I83" s="19">
        <v>21</v>
      </c>
      <c r="J83" s="19">
        <v>21</v>
      </c>
      <c r="K83" s="19">
        <v>25527.050244963408</v>
      </c>
      <c r="L83" s="19">
        <v>0</v>
      </c>
      <c r="M83" s="19">
        <v>1</v>
      </c>
      <c r="N83" s="19">
        <v>2</v>
      </c>
      <c r="O83" s="19">
        <v>3</v>
      </c>
      <c r="P83" s="28">
        <v>200</v>
      </c>
      <c r="Q83" s="19">
        <v>0</v>
      </c>
      <c r="R83" s="19">
        <v>0</v>
      </c>
      <c r="S83" s="19">
        <v>0</v>
      </c>
      <c r="T83" s="36">
        <v>3</v>
      </c>
      <c r="U83" s="43" t="s">
        <v>48</v>
      </c>
      <c r="V83" s="19">
        <v>1</v>
      </c>
      <c r="W83" s="28">
        <v>1</v>
      </c>
      <c r="X83" s="28">
        <v>0</v>
      </c>
      <c r="Y83" s="19">
        <f t="shared" si="13"/>
        <v>1</v>
      </c>
      <c r="Z83" s="19">
        <f t="shared" si="14"/>
        <v>0</v>
      </c>
      <c r="AA83" s="19">
        <f t="shared" si="15"/>
        <v>0</v>
      </c>
      <c r="AB83" s="29">
        <f t="shared" si="16"/>
        <v>117.98767296559883</v>
      </c>
      <c r="AC83" s="29">
        <f t="shared" si="10"/>
        <v>0</v>
      </c>
      <c r="AD83" s="29">
        <f t="shared" si="11"/>
        <v>0</v>
      </c>
      <c r="AE83" s="28">
        <v>20</v>
      </c>
      <c r="AF83" s="46">
        <v>355</v>
      </c>
      <c r="AG83" s="28">
        <v>210000</v>
      </c>
      <c r="AH83" s="29">
        <v>412.95685537959594</v>
      </c>
      <c r="AI83" s="29">
        <v>0</v>
      </c>
      <c r="AJ83" s="30">
        <v>0</v>
      </c>
      <c r="AK83" s="57">
        <f t="shared" si="12"/>
        <v>25.527050244963409</v>
      </c>
      <c r="AL83" s="57">
        <f t="shared" si="17"/>
        <v>1.2587600000000001</v>
      </c>
      <c r="AM83" s="60"/>
      <c r="AN83" s="57">
        <v>0.14160622234418196</v>
      </c>
      <c r="AO83" s="101">
        <f t="shared" si="18"/>
        <v>1.18208</v>
      </c>
      <c r="AP83" s="101">
        <f t="shared" si="19"/>
        <v>272</v>
      </c>
      <c r="AQ83">
        <v>80</v>
      </c>
    </row>
    <row r="84" spans="1:43" ht="21" x14ac:dyDescent="0.5">
      <c r="A84" s="28">
        <v>273</v>
      </c>
      <c r="B84" s="67" t="s">
        <v>173</v>
      </c>
      <c r="C84" s="28">
        <v>300</v>
      </c>
      <c r="D84" s="19">
        <v>300</v>
      </c>
      <c r="E84" s="28">
        <v>300</v>
      </c>
      <c r="F84" s="28">
        <v>7.7899999999999991</v>
      </c>
      <c r="G84" s="47">
        <v>7.7899999999999991</v>
      </c>
      <c r="H84" s="28">
        <v>4.51</v>
      </c>
      <c r="I84" s="19">
        <v>21</v>
      </c>
      <c r="J84" s="19">
        <v>21</v>
      </c>
      <c r="K84" s="19">
        <v>3092.9123706139439</v>
      </c>
      <c r="L84" s="19">
        <v>0</v>
      </c>
      <c r="M84" s="19">
        <v>1</v>
      </c>
      <c r="N84" s="19">
        <v>2</v>
      </c>
      <c r="O84" s="19">
        <v>3</v>
      </c>
      <c r="P84" s="28">
        <v>200</v>
      </c>
      <c r="Q84" s="19">
        <v>0</v>
      </c>
      <c r="R84" s="19">
        <v>0</v>
      </c>
      <c r="S84" s="19">
        <v>0</v>
      </c>
      <c r="T84" s="36">
        <v>3</v>
      </c>
      <c r="U84" s="43" t="s">
        <v>48</v>
      </c>
      <c r="V84" s="19">
        <v>1</v>
      </c>
      <c r="W84" s="28">
        <v>1</v>
      </c>
      <c r="X84" s="28">
        <v>0</v>
      </c>
      <c r="Y84" s="19">
        <f t="shared" si="13"/>
        <v>1</v>
      </c>
      <c r="Z84" s="19">
        <f t="shared" si="14"/>
        <v>0</v>
      </c>
      <c r="AA84" s="19">
        <f t="shared" si="15"/>
        <v>0</v>
      </c>
      <c r="AB84" s="29">
        <f t="shared" si="16"/>
        <v>586.30068357848552</v>
      </c>
      <c r="AC84" s="29">
        <f t="shared" si="10"/>
        <v>0</v>
      </c>
      <c r="AD84" s="29">
        <f t="shared" si="11"/>
        <v>0</v>
      </c>
      <c r="AE84" s="28">
        <v>20</v>
      </c>
      <c r="AF84" s="46">
        <v>355</v>
      </c>
      <c r="AG84" s="28">
        <v>210000</v>
      </c>
      <c r="AH84" s="29">
        <v>2052.0523925246994</v>
      </c>
      <c r="AI84" s="29">
        <v>0</v>
      </c>
      <c r="AJ84" s="30">
        <v>0</v>
      </c>
      <c r="AK84" s="57">
        <f t="shared" si="12"/>
        <v>3.0929123706139441</v>
      </c>
      <c r="AL84" s="57">
        <f t="shared" si="17"/>
        <v>1.26745</v>
      </c>
      <c r="AM84" s="60"/>
      <c r="AN84" s="57">
        <v>0.97040241861345145</v>
      </c>
      <c r="AO84" s="101">
        <f t="shared" si="18"/>
        <v>1.2121000000000002</v>
      </c>
      <c r="AP84" s="101">
        <f t="shared" si="19"/>
        <v>273</v>
      </c>
      <c r="AQ84">
        <v>81</v>
      </c>
    </row>
    <row r="85" spans="1:43" ht="21" x14ac:dyDescent="0.5">
      <c r="A85" s="28">
        <v>274</v>
      </c>
      <c r="B85" s="67" t="s">
        <v>174</v>
      </c>
      <c r="C85" s="28">
        <v>300</v>
      </c>
      <c r="D85" s="19">
        <v>300</v>
      </c>
      <c r="E85" s="28">
        <v>300</v>
      </c>
      <c r="F85" s="28">
        <v>7.7899999999999991</v>
      </c>
      <c r="G85" s="47">
        <v>7.7899999999999991</v>
      </c>
      <c r="H85" s="28">
        <v>4.51</v>
      </c>
      <c r="I85" s="19">
        <v>21</v>
      </c>
      <c r="J85" s="19">
        <v>21</v>
      </c>
      <c r="K85" s="19">
        <v>5154.8539510232404</v>
      </c>
      <c r="L85" s="19">
        <v>0</v>
      </c>
      <c r="M85" s="19">
        <v>1</v>
      </c>
      <c r="N85" s="19">
        <v>2</v>
      </c>
      <c r="O85" s="19">
        <v>3</v>
      </c>
      <c r="P85" s="28">
        <v>200</v>
      </c>
      <c r="Q85" s="19">
        <v>0</v>
      </c>
      <c r="R85" s="19">
        <v>0</v>
      </c>
      <c r="S85" s="19">
        <v>0</v>
      </c>
      <c r="T85" s="36">
        <v>3</v>
      </c>
      <c r="U85" s="43" t="s">
        <v>48</v>
      </c>
      <c r="V85" s="19">
        <v>1</v>
      </c>
      <c r="W85" s="28">
        <v>1</v>
      </c>
      <c r="X85" s="28">
        <v>0</v>
      </c>
      <c r="Y85" s="19">
        <f t="shared" si="13"/>
        <v>1</v>
      </c>
      <c r="Z85" s="19">
        <f t="shared" si="14"/>
        <v>0</v>
      </c>
      <c r="AA85" s="19">
        <f t="shared" si="15"/>
        <v>0</v>
      </c>
      <c r="AB85" s="29">
        <f t="shared" si="16"/>
        <v>532.3703736878457</v>
      </c>
      <c r="AC85" s="29">
        <f t="shared" si="10"/>
        <v>0</v>
      </c>
      <c r="AD85" s="29">
        <f t="shared" si="11"/>
        <v>0</v>
      </c>
      <c r="AE85" s="28">
        <v>20</v>
      </c>
      <c r="AF85" s="46">
        <v>355</v>
      </c>
      <c r="AG85" s="28">
        <v>210000</v>
      </c>
      <c r="AH85" s="29">
        <v>1863.2963079074598</v>
      </c>
      <c r="AI85" s="29">
        <v>0</v>
      </c>
      <c r="AJ85" s="30">
        <v>0</v>
      </c>
      <c r="AK85" s="57">
        <f t="shared" si="12"/>
        <v>5.1548539510232407</v>
      </c>
      <c r="AL85" s="57">
        <f t="shared" si="17"/>
        <v>1.26745</v>
      </c>
      <c r="AM85" s="60"/>
      <c r="AN85" s="57">
        <v>0.88114087650671413</v>
      </c>
      <c r="AO85" s="101">
        <f t="shared" si="18"/>
        <v>1.2121000000000002</v>
      </c>
      <c r="AP85" s="101">
        <f t="shared" si="19"/>
        <v>274</v>
      </c>
      <c r="AQ85">
        <v>82</v>
      </c>
    </row>
    <row r="86" spans="1:43" ht="21" x14ac:dyDescent="0.5">
      <c r="A86" s="28">
        <v>275</v>
      </c>
      <c r="B86" s="67" t="s">
        <v>175</v>
      </c>
      <c r="C86" s="28">
        <v>300</v>
      </c>
      <c r="D86" s="19">
        <v>300</v>
      </c>
      <c r="E86" s="28">
        <v>300</v>
      </c>
      <c r="F86" s="28">
        <v>7.7899999999999991</v>
      </c>
      <c r="G86" s="47">
        <v>7.7899999999999991</v>
      </c>
      <c r="H86" s="28">
        <v>4.51</v>
      </c>
      <c r="I86" s="19">
        <v>21</v>
      </c>
      <c r="J86" s="19">
        <v>21</v>
      </c>
      <c r="K86" s="19">
        <v>7732.2809265348606</v>
      </c>
      <c r="L86" s="19">
        <v>0</v>
      </c>
      <c r="M86" s="19">
        <v>1</v>
      </c>
      <c r="N86" s="19">
        <v>2</v>
      </c>
      <c r="O86" s="19">
        <v>3</v>
      </c>
      <c r="P86" s="28">
        <v>200</v>
      </c>
      <c r="Q86" s="19">
        <v>0</v>
      </c>
      <c r="R86" s="19">
        <v>0</v>
      </c>
      <c r="S86" s="19">
        <v>0</v>
      </c>
      <c r="T86" s="36">
        <v>3</v>
      </c>
      <c r="U86" s="43" t="s">
        <v>48</v>
      </c>
      <c r="V86" s="19">
        <v>1</v>
      </c>
      <c r="W86" s="28">
        <v>1</v>
      </c>
      <c r="X86" s="28">
        <v>0</v>
      </c>
      <c r="Y86" s="19">
        <f t="shared" si="13"/>
        <v>1</v>
      </c>
      <c r="Z86" s="19">
        <f t="shared" si="14"/>
        <v>0</v>
      </c>
      <c r="AA86" s="19">
        <f t="shared" si="15"/>
        <v>0</v>
      </c>
      <c r="AB86" s="29">
        <f t="shared" si="16"/>
        <v>458.01446367101369</v>
      </c>
      <c r="AC86" s="29">
        <f t="shared" si="10"/>
        <v>0</v>
      </c>
      <c r="AD86" s="29">
        <f t="shared" si="11"/>
        <v>0</v>
      </c>
      <c r="AE86" s="28">
        <v>20</v>
      </c>
      <c r="AF86" s="46">
        <v>355</v>
      </c>
      <c r="AG86" s="28">
        <v>210000</v>
      </c>
      <c r="AH86" s="29">
        <v>1603.0506228485478</v>
      </c>
      <c r="AI86" s="29">
        <v>0</v>
      </c>
      <c r="AJ86" s="30">
        <v>0</v>
      </c>
      <c r="AK86" s="57">
        <f t="shared" si="12"/>
        <v>7.7322809265348607</v>
      </c>
      <c r="AL86" s="57">
        <f t="shared" si="17"/>
        <v>1.26745</v>
      </c>
      <c r="AM86" s="60"/>
      <c r="AN86" s="57">
        <v>0.75807236074422335</v>
      </c>
      <c r="AO86" s="101">
        <f t="shared" si="18"/>
        <v>1.2121000000000002</v>
      </c>
      <c r="AP86" s="101">
        <f t="shared" si="19"/>
        <v>275</v>
      </c>
      <c r="AQ86">
        <v>83</v>
      </c>
    </row>
    <row r="87" spans="1:43" ht="21" x14ac:dyDescent="0.5">
      <c r="A87" s="28">
        <v>276</v>
      </c>
      <c r="B87" s="67" t="s">
        <v>176</v>
      </c>
      <c r="C87" s="28">
        <v>300</v>
      </c>
      <c r="D87" s="19">
        <v>300</v>
      </c>
      <c r="E87" s="28">
        <v>300</v>
      </c>
      <c r="F87" s="28">
        <v>7.7899999999999991</v>
      </c>
      <c r="G87" s="47">
        <v>7.7899999999999991</v>
      </c>
      <c r="H87" s="28">
        <v>4.51</v>
      </c>
      <c r="I87" s="19">
        <v>21</v>
      </c>
      <c r="J87" s="19">
        <v>21</v>
      </c>
      <c r="K87" s="19">
        <v>10309.707902046481</v>
      </c>
      <c r="L87" s="19">
        <v>0</v>
      </c>
      <c r="M87" s="19">
        <v>1</v>
      </c>
      <c r="N87" s="19">
        <v>2</v>
      </c>
      <c r="O87" s="19">
        <v>3</v>
      </c>
      <c r="P87" s="28">
        <v>200</v>
      </c>
      <c r="Q87" s="19">
        <v>0</v>
      </c>
      <c r="R87" s="19">
        <v>0</v>
      </c>
      <c r="S87" s="19">
        <v>0</v>
      </c>
      <c r="T87" s="36">
        <v>3</v>
      </c>
      <c r="U87" s="43" t="s">
        <v>48</v>
      </c>
      <c r="V87" s="19">
        <v>1</v>
      </c>
      <c r="W87" s="28">
        <v>1</v>
      </c>
      <c r="X87" s="28">
        <v>0</v>
      </c>
      <c r="Y87" s="19">
        <f t="shared" si="13"/>
        <v>1</v>
      </c>
      <c r="Z87" s="19">
        <f t="shared" si="14"/>
        <v>0</v>
      </c>
      <c r="AA87" s="19">
        <f t="shared" si="15"/>
        <v>0</v>
      </c>
      <c r="AB87" s="29">
        <f t="shared" si="16"/>
        <v>377.09225247951059</v>
      </c>
      <c r="AC87" s="29">
        <f t="shared" si="10"/>
        <v>0</v>
      </c>
      <c r="AD87" s="29">
        <f t="shared" si="11"/>
        <v>0</v>
      </c>
      <c r="AE87" s="28">
        <v>20</v>
      </c>
      <c r="AF87" s="46">
        <v>355</v>
      </c>
      <c r="AG87" s="28">
        <v>210000</v>
      </c>
      <c r="AH87" s="29">
        <v>1319.8228836782871</v>
      </c>
      <c r="AI87" s="29">
        <v>0</v>
      </c>
      <c r="AJ87" s="30">
        <v>0</v>
      </c>
      <c r="AK87" s="57">
        <f t="shared" si="12"/>
        <v>10.309707902046481</v>
      </c>
      <c r="AL87" s="57">
        <f t="shared" si="17"/>
        <v>1.26745</v>
      </c>
      <c r="AM87" s="60"/>
      <c r="AN87" s="57">
        <v>0.62413577895398398</v>
      </c>
      <c r="AO87" s="101">
        <f t="shared" si="18"/>
        <v>1.2121000000000002</v>
      </c>
      <c r="AP87" s="101">
        <f t="shared" si="19"/>
        <v>276</v>
      </c>
      <c r="AQ87">
        <v>84</v>
      </c>
    </row>
    <row r="88" spans="1:43" ht="21" x14ac:dyDescent="0.5">
      <c r="A88" s="28">
        <v>277</v>
      </c>
      <c r="B88" s="67" t="s">
        <v>177</v>
      </c>
      <c r="C88" s="28">
        <v>300</v>
      </c>
      <c r="D88" s="19">
        <v>300</v>
      </c>
      <c r="E88" s="28">
        <v>300</v>
      </c>
      <c r="F88" s="28">
        <v>7.7899999999999991</v>
      </c>
      <c r="G88" s="47">
        <v>7.7899999999999991</v>
      </c>
      <c r="H88" s="28">
        <v>4.51</v>
      </c>
      <c r="I88" s="19">
        <v>21</v>
      </c>
      <c r="J88" s="19">
        <v>21</v>
      </c>
      <c r="K88" s="19">
        <v>13711.91150972182</v>
      </c>
      <c r="L88" s="19">
        <v>0</v>
      </c>
      <c r="M88" s="19">
        <v>1</v>
      </c>
      <c r="N88" s="19">
        <v>2</v>
      </c>
      <c r="O88" s="19">
        <v>3</v>
      </c>
      <c r="P88" s="28">
        <v>200</v>
      </c>
      <c r="Q88" s="19">
        <v>0</v>
      </c>
      <c r="R88" s="19">
        <v>0</v>
      </c>
      <c r="S88" s="19">
        <v>0</v>
      </c>
      <c r="T88" s="36">
        <v>3</v>
      </c>
      <c r="U88" s="43" t="s">
        <v>48</v>
      </c>
      <c r="V88" s="19">
        <v>1</v>
      </c>
      <c r="W88" s="28">
        <v>1</v>
      </c>
      <c r="X88" s="28">
        <v>0</v>
      </c>
      <c r="Y88" s="19">
        <f t="shared" si="13"/>
        <v>1</v>
      </c>
      <c r="Z88" s="19">
        <f t="shared" si="14"/>
        <v>0</v>
      </c>
      <c r="AA88" s="19">
        <f t="shared" si="15"/>
        <v>0</v>
      </c>
      <c r="AB88" s="29">
        <f t="shared" si="16"/>
        <v>278.51184629797871</v>
      </c>
      <c r="AC88" s="29">
        <f t="shared" si="10"/>
        <v>0</v>
      </c>
      <c r="AD88" s="29">
        <f t="shared" si="11"/>
        <v>0</v>
      </c>
      <c r="AE88" s="28">
        <v>20</v>
      </c>
      <c r="AF88" s="46">
        <v>355</v>
      </c>
      <c r="AG88" s="28">
        <v>210000</v>
      </c>
      <c r="AH88" s="29">
        <v>974.79146204292545</v>
      </c>
      <c r="AI88" s="29">
        <v>0</v>
      </c>
      <c r="AJ88" s="30">
        <v>0</v>
      </c>
      <c r="AK88" s="57">
        <f t="shared" si="12"/>
        <v>13.711911509721819</v>
      </c>
      <c r="AL88" s="57">
        <f t="shared" si="17"/>
        <v>1.26745</v>
      </c>
      <c r="AM88" s="60"/>
      <c r="AN88" s="57">
        <v>0.46097263201276262</v>
      </c>
      <c r="AO88" s="101">
        <f t="shared" si="18"/>
        <v>1.2121000000000002</v>
      </c>
      <c r="AP88" s="101">
        <f t="shared" si="19"/>
        <v>277</v>
      </c>
      <c r="AQ88">
        <v>85</v>
      </c>
    </row>
    <row r="89" spans="1:43" ht="21" x14ac:dyDescent="0.5">
      <c r="A89" s="28">
        <v>278</v>
      </c>
      <c r="B89" s="67" t="s">
        <v>178</v>
      </c>
      <c r="C89" s="28">
        <v>300</v>
      </c>
      <c r="D89" s="19">
        <v>300</v>
      </c>
      <c r="E89" s="28">
        <v>300</v>
      </c>
      <c r="F89" s="28">
        <v>7.7899999999999991</v>
      </c>
      <c r="G89" s="47">
        <v>7.7899999999999991</v>
      </c>
      <c r="H89" s="28">
        <v>4.51</v>
      </c>
      <c r="I89" s="19">
        <v>21</v>
      </c>
      <c r="J89" s="19">
        <v>21</v>
      </c>
      <c r="K89" s="19">
        <v>17217.212196417622</v>
      </c>
      <c r="L89" s="19">
        <v>0</v>
      </c>
      <c r="M89" s="19">
        <v>1</v>
      </c>
      <c r="N89" s="19">
        <v>2</v>
      </c>
      <c r="O89" s="19">
        <v>3</v>
      </c>
      <c r="P89" s="28">
        <v>200</v>
      </c>
      <c r="Q89" s="19">
        <v>0</v>
      </c>
      <c r="R89" s="19">
        <v>0</v>
      </c>
      <c r="S89" s="19">
        <v>0</v>
      </c>
      <c r="T89" s="36">
        <v>3</v>
      </c>
      <c r="U89" s="43" t="s">
        <v>48</v>
      </c>
      <c r="V89" s="19">
        <v>1</v>
      </c>
      <c r="W89" s="28">
        <v>1</v>
      </c>
      <c r="X89" s="28">
        <v>0</v>
      </c>
      <c r="Y89" s="19">
        <f t="shared" si="13"/>
        <v>1</v>
      </c>
      <c r="Z89" s="19">
        <f t="shared" si="14"/>
        <v>0</v>
      </c>
      <c r="AA89" s="19">
        <f t="shared" si="15"/>
        <v>0</v>
      </c>
      <c r="AB89" s="29">
        <f t="shared" si="16"/>
        <v>202.82141786916458</v>
      </c>
      <c r="AC89" s="29">
        <f t="shared" si="10"/>
        <v>0</v>
      </c>
      <c r="AD89" s="29">
        <f t="shared" si="11"/>
        <v>0</v>
      </c>
      <c r="AE89" s="28">
        <v>20</v>
      </c>
      <c r="AF89" s="46">
        <v>355</v>
      </c>
      <c r="AG89" s="28">
        <v>210000</v>
      </c>
      <c r="AH89" s="29">
        <v>709.87496254207599</v>
      </c>
      <c r="AI89" s="29">
        <v>0</v>
      </c>
      <c r="AJ89" s="30">
        <v>0</v>
      </c>
      <c r="AK89" s="57">
        <f t="shared" si="12"/>
        <v>17.217212196417623</v>
      </c>
      <c r="AL89" s="57">
        <f t="shared" si="17"/>
        <v>1.26745</v>
      </c>
      <c r="AM89" s="60"/>
      <c r="AN89" s="57">
        <v>0.3356953180500592</v>
      </c>
      <c r="AO89" s="101">
        <f t="shared" si="18"/>
        <v>1.2121000000000002</v>
      </c>
      <c r="AP89" s="101">
        <f t="shared" si="19"/>
        <v>278</v>
      </c>
      <c r="AQ89">
        <v>86</v>
      </c>
    </row>
    <row r="90" spans="1:43" ht="21" x14ac:dyDescent="0.5">
      <c r="A90" s="28">
        <v>279</v>
      </c>
      <c r="B90" s="67" t="s">
        <v>179</v>
      </c>
      <c r="C90" s="28">
        <v>300</v>
      </c>
      <c r="D90" s="19">
        <v>300</v>
      </c>
      <c r="E90" s="28">
        <v>300</v>
      </c>
      <c r="F90" s="28">
        <v>7.7899999999999991</v>
      </c>
      <c r="G90" s="47">
        <v>7.7899999999999991</v>
      </c>
      <c r="H90" s="28">
        <v>4.51</v>
      </c>
      <c r="I90" s="19">
        <v>21</v>
      </c>
      <c r="J90" s="19">
        <v>21</v>
      </c>
      <c r="K90" s="19">
        <v>20619.415804092961</v>
      </c>
      <c r="L90" s="19">
        <v>0</v>
      </c>
      <c r="M90" s="19">
        <v>1</v>
      </c>
      <c r="N90" s="19">
        <v>2</v>
      </c>
      <c r="O90" s="19">
        <v>3</v>
      </c>
      <c r="P90" s="28">
        <v>200</v>
      </c>
      <c r="Q90" s="19">
        <v>0</v>
      </c>
      <c r="R90" s="19">
        <v>0</v>
      </c>
      <c r="S90" s="19">
        <v>0</v>
      </c>
      <c r="T90" s="36">
        <v>3</v>
      </c>
      <c r="U90" s="43" t="s">
        <v>48</v>
      </c>
      <c r="V90" s="19">
        <v>1</v>
      </c>
      <c r="W90" s="28">
        <v>1</v>
      </c>
      <c r="X90" s="28">
        <v>0</v>
      </c>
      <c r="Y90" s="19">
        <f t="shared" si="13"/>
        <v>1</v>
      </c>
      <c r="Z90" s="19">
        <f t="shared" si="14"/>
        <v>0</v>
      </c>
      <c r="AA90" s="19">
        <f t="shared" si="15"/>
        <v>0</v>
      </c>
      <c r="AB90" s="29">
        <f t="shared" si="16"/>
        <v>152.54386578343937</v>
      </c>
      <c r="AC90" s="29">
        <f t="shared" si="10"/>
        <v>0</v>
      </c>
      <c r="AD90" s="29">
        <f t="shared" si="11"/>
        <v>0</v>
      </c>
      <c r="AE90" s="28">
        <v>20</v>
      </c>
      <c r="AF90" s="46">
        <v>355</v>
      </c>
      <c r="AG90" s="28">
        <v>210000</v>
      </c>
      <c r="AH90" s="29">
        <v>533.90353024203785</v>
      </c>
      <c r="AI90" s="29">
        <v>0</v>
      </c>
      <c r="AJ90" s="30">
        <v>0</v>
      </c>
      <c r="AK90" s="57">
        <f t="shared" si="12"/>
        <v>20.619415804092963</v>
      </c>
      <c r="AL90" s="57">
        <f t="shared" si="17"/>
        <v>1.26745</v>
      </c>
      <c r="AM90" s="60"/>
      <c r="AN90" s="57">
        <v>0.25247955604861461</v>
      </c>
      <c r="AO90" s="101">
        <f t="shared" si="18"/>
        <v>1.2121000000000002</v>
      </c>
      <c r="AP90" s="101">
        <f t="shared" si="19"/>
        <v>279</v>
      </c>
      <c r="AQ90">
        <v>87</v>
      </c>
    </row>
    <row r="91" spans="1:43" ht="21" x14ac:dyDescent="0.5">
      <c r="A91" s="28">
        <v>280</v>
      </c>
      <c r="B91" s="67" t="s">
        <v>180</v>
      </c>
      <c r="C91" s="28">
        <v>300</v>
      </c>
      <c r="D91" s="19">
        <v>300</v>
      </c>
      <c r="E91" s="28">
        <v>300</v>
      </c>
      <c r="F91" s="28">
        <v>7.7899999999999991</v>
      </c>
      <c r="G91" s="47">
        <v>7.7899999999999991</v>
      </c>
      <c r="H91" s="28">
        <v>4.51</v>
      </c>
      <c r="I91" s="19">
        <v>21</v>
      </c>
      <c r="J91" s="19">
        <v>21</v>
      </c>
      <c r="K91" s="19">
        <v>25774.269755116202</v>
      </c>
      <c r="L91" s="19">
        <v>0</v>
      </c>
      <c r="M91" s="19">
        <v>1</v>
      </c>
      <c r="N91" s="19">
        <v>2</v>
      </c>
      <c r="O91" s="19">
        <v>3</v>
      </c>
      <c r="P91" s="28">
        <v>200</v>
      </c>
      <c r="Q91" s="19">
        <v>0</v>
      </c>
      <c r="R91" s="19">
        <v>0</v>
      </c>
      <c r="S91" s="19">
        <v>0</v>
      </c>
      <c r="T91" s="36">
        <v>3</v>
      </c>
      <c r="U91" s="43" t="s">
        <v>48</v>
      </c>
      <c r="V91" s="19">
        <v>1</v>
      </c>
      <c r="W91" s="28">
        <v>1</v>
      </c>
      <c r="X91" s="28">
        <v>0</v>
      </c>
      <c r="Y91" s="19">
        <f t="shared" si="13"/>
        <v>1</v>
      </c>
      <c r="Z91" s="19">
        <f t="shared" si="14"/>
        <v>0</v>
      </c>
      <c r="AA91" s="19">
        <f t="shared" si="15"/>
        <v>0</v>
      </c>
      <c r="AB91" s="29">
        <f t="shared" si="16"/>
        <v>104.41221225961594</v>
      </c>
      <c r="AC91" s="29">
        <f t="shared" si="10"/>
        <v>0</v>
      </c>
      <c r="AD91" s="29">
        <f t="shared" si="11"/>
        <v>0</v>
      </c>
      <c r="AE91" s="28">
        <v>20</v>
      </c>
      <c r="AF91" s="46">
        <v>355</v>
      </c>
      <c r="AG91" s="28">
        <v>210000</v>
      </c>
      <c r="AH91" s="29">
        <v>365.44274290865582</v>
      </c>
      <c r="AI91" s="29">
        <v>0</v>
      </c>
      <c r="AJ91" s="30">
        <v>0</v>
      </c>
      <c r="AK91" s="57">
        <f t="shared" si="12"/>
        <v>25.774269755116201</v>
      </c>
      <c r="AL91" s="57">
        <f t="shared" si="17"/>
        <v>1.26745</v>
      </c>
      <c r="AM91" s="60"/>
      <c r="AN91" s="57">
        <v>0.17281552989345761</v>
      </c>
      <c r="AO91" s="101">
        <f t="shared" si="18"/>
        <v>1.2121000000000002</v>
      </c>
      <c r="AP91" s="101">
        <f t="shared" si="19"/>
        <v>280</v>
      </c>
      <c r="AQ91">
        <v>88</v>
      </c>
    </row>
    <row r="92" spans="1:43" ht="21" x14ac:dyDescent="0.5">
      <c r="A92" s="28">
        <v>281</v>
      </c>
      <c r="B92" s="67" t="s">
        <v>181</v>
      </c>
      <c r="C92" s="28">
        <v>300</v>
      </c>
      <c r="D92" s="19">
        <v>300</v>
      </c>
      <c r="E92" s="28">
        <v>300</v>
      </c>
      <c r="F92" s="28">
        <v>5.7</v>
      </c>
      <c r="G92" s="47">
        <v>5.7</v>
      </c>
      <c r="H92" s="28">
        <v>3.3</v>
      </c>
      <c r="I92" s="19">
        <v>21</v>
      </c>
      <c r="J92" s="19">
        <v>21</v>
      </c>
      <c r="K92" s="19">
        <v>3113.6688028349054</v>
      </c>
      <c r="L92" s="19">
        <v>0</v>
      </c>
      <c r="M92" s="19">
        <v>1</v>
      </c>
      <c r="N92" s="19">
        <v>2</v>
      </c>
      <c r="O92" s="19">
        <v>3</v>
      </c>
      <c r="P92" s="28">
        <v>200</v>
      </c>
      <c r="Q92" s="19">
        <v>0</v>
      </c>
      <c r="R92" s="19">
        <v>0</v>
      </c>
      <c r="S92" s="19">
        <v>0</v>
      </c>
      <c r="T92" s="36">
        <v>3</v>
      </c>
      <c r="U92" s="43" t="s">
        <v>48</v>
      </c>
      <c r="V92" s="19">
        <v>1</v>
      </c>
      <c r="W92" s="28">
        <v>1</v>
      </c>
      <c r="X92" s="28">
        <v>0</v>
      </c>
      <c r="Y92" s="19">
        <f t="shared" si="13"/>
        <v>1</v>
      </c>
      <c r="Z92" s="19">
        <f t="shared" si="14"/>
        <v>0</v>
      </c>
      <c r="AA92" s="19">
        <f t="shared" si="15"/>
        <v>0</v>
      </c>
      <c r="AB92" s="29">
        <f t="shared" si="16"/>
        <v>437.17473139050924</v>
      </c>
      <c r="AC92" s="29">
        <f t="shared" si="10"/>
        <v>0</v>
      </c>
      <c r="AD92" s="29">
        <f t="shared" si="11"/>
        <v>0</v>
      </c>
      <c r="AE92" s="28">
        <v>20</v>
      </c>
      <c r="AF92" s="46">
        <v>355</v>
      </c>
      <c r="AG92" s="28">
        <v>210000</v>
      </c>
      <c r="AH92" s="29">
        <v>1530.1115598667823</v>
      </c>
      <c r="AI92" s="29">
        <v>0</v>
      </c>
      <c r="AJ92" s="30">
        <v>0</v>
      </c>
      <c r="AK92" s="57">
        <f t="shared" si="12"/>
        <v>3.1136688028349053</v>
      </c>
      <c r="AL92" s="57">
        <f t="shared" si="17"/>
        <v>1.2734999999999999</v>
      </c>
      <c r="AM92" s="60"/>
      <c r="AN92" s="57">
        <v>0.98577283037509156</v>
      </c>
      <c r="AO92" s="101">
        <f t="shared" si="18"/>
        <v>1.2330000000000001</v>
      </c>
      <c r="AP92" s="101">
        <f t="shared" si="19"/>
        <v>281</v>
      </c>
      <c r="AQ92">
        <v>89</v>
      </c>
    </row>
    <row r="93" spans="1:43" ht="21" x14ac:dyDescent="0.5">
      <c r="A93" s="28">
        <v>282</v>
      </c>
      <c r="B93" s="67" t="s">
        <v>182</v>
      </c>
      <c r="C93" s="28">
        <v>300</v>
      </c>
      <c r="D93" s="19">
        <v>300</v>
      </c>
      <c r="E93" s="28">
        <v>300</v>
      </c>
      <c r="F93" s="28">
        <v>5.7</v>
      </c>
      <c r="G93" s="47">
        <v>5.7</v>
      </c>
      <c r="H93" s="28">
        <v>3.3</v>
      </c>
      <c r="I93" s="19">
        <v>21</v>
      </c>
      <c r="J93" s="19">
        <v>21</v>
      </c>
      <c r="K93" s="19">
        <v>5189.4480047248417</v>
      </c>
      <c r="L93" s="19">
        <v>0</v>
      </c>
      <c r="M93" s="19">
        <v>1</v>
      </c>
      <c r="N93" s="19">
        <v>2</v>
      </c>
      <c r="O93" s="19">
        <v>3</v>
      </c>
      <c r="P93" s="28">
        <v>200</v>
      </c>
      <c r="Q93" s="19">
        <v>0</v>
      </c>
      <c r="R93" s="19">
        <v>0</v>
      </c>
      <c r="S93" s="19">
        <v>0</v>
      </c>
      <c r="T93" s="36">
        <v>3</v>
      </c>
      <c r="U93" s="43" t="s">
        <v>48</v>
      </c>
      <c r="V93" s="19">
        <v>1</v>
      </c>
      <c r="W93" s="28">
        <v>1</v>
      </c>
      <c r="X93" s="28">
        <v>0</v>
      </c>
      <c r="Y93" s="19">
        <f t="shared" si="13"/>
        <v>1</v>
      </c>
      <c r="Z93" s="19">
        <f t="shared" si="14"/>
        <v>0</v>
      </c>
      <c r="AA93" s="19">
        <f t="shared" si="15"/>
        <v>0</v>
      </c>
      <c r="AB93" s="29">
        <f t="shared" si="16"/>
        <v>402.63709976438088</v>
      </c>
      <c r="AC93" s="29">
        <f t="shared" si="10"/>
        <v>0</v>
      </c>
      <c r="AD93" s="29">
        <f t="shared" si="11"/>
        <v>0</v>
      </c>
      <c r="AE93" s="28">
        <v>20</v>
      </c>
      <c r="AF93" s="46">
        <v>355</v>
      </c>
      <c r="AG93" s="28">
        <v>210000</v>
      </c>
      <c r="AH93" s="29">
        <v>1409.2298491753331</v>
      </c>
      <c r="AI93" s="29">
        <v>0</v>
      </c>
      <c r="AJ93" s="30">
        <v>0</v>
      </c>
      <c r="AK93" s="57">
        <f t="shared" si="12"/>
        <v>5.1894480047248415</v>
      </c>
      <c r="AL93" s="57">
        <f t="shared" si="17"/>
        <v>1.2734999999999999</v>
      </c>
      <c r="AM93" s="60"/>
      <c r="AN93" s="57">
        <v>0.90789491008850309</v>
      </c>
      <c r="AO93" s="101">
        <f t="shared" si="18"/>
        <v>1.2330000000000001</v>
      </c>
      <c r="AP93" s="101">
        <f t="shared" si="19"/>
        <v>282</v>
      </c>
      <c r="AQ93">
        <v>90</v>
      </c>
    </row>
    <row r="94" spans="1:43" ht="21" x14ac:dyDescent="0.5">
      <c r="A94" s="28">
        <v>283</v>
      </c>
      <c r="B94" s="67" t="s">
        <v>183</v>
      </c>
      <c r="C94" s="28">
        <v>300</v>
      </c>
      <c r="D94" s="19">
        <v>300</v>
      </c>
      <c r="E94" s="28">
        <v>300</v>
      </c>
      <c r="F94" s="28">
        <v>5.7</v>
      </c>
      <c r="G94" s="47">
        <v>5.7</v>
      </c>
      <c r="H94" s="28">
        <v>3.3</v>
      </c>
      <c r="I94" s="19">
        <v>21</v>
      </c>
      <c r="J94" s="19">
        <v>21</v>
      </c>
      <c r="K94" s="19">
        <v>7784.1720070872634</v>
      </c>
      <c r="L94" s="19">
        <v>0</v>
      </c>
      <c r="M94" s="19">
        <v>1</v>
      </c>
      <c r="N94" s="19">
        <v>2</v>
      </c>
      <c r="O94" s="19">
        <v>3</v>
      </c>
      <c r="P94" s="28">
        <v>200</v>
      </c>
      <c r="Q94" s="19">
        <v>0</v>
      </c>
      <c r="R94" s="19">
        <v>0</v>
      </c>
      <c r="S94" s="19">
        <v>0</v>
      </c>
      <c r="T94" s="36">
        <v>3</v>
      </c>
      <c r="U94" s="43" t="s">
        <v>48</v>
      </c>
      <c r="V94" s="19">
        <v>1</v>
      </c>
      <c r="W94" s="28">
        <v>1</v>
      </c>
      <c r="X94" s="28">
        <v>0</v>
      </c>
      <c r="Y94" s="19">
        <f t="shared" si="13"/>
        <v>1</v>
      </c>
      <c r="Z94" s="19">
        <f t="shared" si="14"/>
        <v>0</v>
      </c>
      <c r="AA94" s="19">
        <f t="shared" si="15"/>
        <v>0</v>
      </c>
      <c r="AB94" s="29">
        <f t="shared" si="16"/>
        <v>356.16204895706966</v>
      </c>
      <c r="AC94" s="29">
        <f t="shared" si="10"/>
        <v>0</v>
      </c>
      <c r="AD94" s="29">
        <f t="shared" si="11"/>
        <v>0</v>
      </c>
      <c r="AE94" s="28">
        <v>20</v>
      </c>
      <c r="AF94" s="46">
        <v>355</v>
      </c>
      <c r="AG94" s="28">
        <v>210000</v>
      </c>
      <c r="AH94" s="29">
        <v>1246.5671713497438</v>
      </c>
      <c r="AI94" s="29">
        <v>0</v>
      </c>
      <c r="AJ94" s="30">
        <v>0</v>
      </c>
      <c r="AK94" s="57">
        <f t="shared" si="12"/>
        <v>7.7841720070872631</v>
      </c>
      <c r="AL94" s="57">
        <f t="shared" si="17"/>
        <v>1.2734999999999999</v>
      </c>
      <c r="AM94" s="60"/>
      <c r="AN94" s="57">
        <v>0.80309964383322219</v>
      </c>
      <c r="AO94" s="101">
        <f t="shared" si="18"/>
        <v>1.2330000000000001</v>
      </c>
      <c r="AP94" s="101">
        <f t="shared" si="19"/>
        <v>283</v>
      </c>
      <c r="AQ94">
        <v>91</v>
      </c>
    </row>
    <row r="95" spans="1:43" ht="21" x14ac:dyDescent="0.5">
      <c r="A95" s="28">
        <v>284</v>
      </c>
      <c r="B95" s="67" t="s">
        <v>184</v>
      </c>
      <c r="C95" s="28">
        <v>300</v>
      </c>
      <c r="D95" s="19">
        <v>300</v>
      </c>
      <c r="E95" s="28">
        <v>300</v>
      </c>
      <c r="F95" s="28">
        <v>5.7</v>
      </c>
      <c r="G95" s="47">
        <v>5.7</v>
      </c>
      <c r="H95" s="28">
        <v>3.3</v>
      </c>
      <c r="I95" s="19">
        <v>21</v>
      </c>
      <c r="J95" s="19">
        <v>21</v>
      </c>
      <c r="K95" s="19">
        <v>10378.896009449683</v>
      </c>
      <c r="L95" s="19">
        <v>0</v>
      </c>
      <c r="M95" s="19">
        <v>1</v>
      </c>
      <c r="N95" s="19">
        <v>2</v>
      </c>
      <c r="O95" s="19">
        <v>3</v>
      </c>
      <c r="P95" s="28">
        <v>200</v>
      </c>
      <c r="Q95" s="19">
        <v>0</v>
      </c>
      <c r="R95" s="19">
        <v>0</v>
      </c>
      <c r="S95" s="19">
        <v>0</v>
      </c>
      <c r="T95" s="36">
        <v>3</v>
      </c>
      <c r="U95" s="43" t="s">
        <v>48</v>
      </c>
      <c r="V95" s="19">
        <v>1</v>
      </c>
      <c r="W95" s="28">
        <v>1</v>
      </c>
      <c r="X95" s="28">
        <v>0</v>
      </c>
      <c r="Y95" s="19">
        <f t="shared" si="13"/>
        <v>1</v>
      </c>
      <c r="Z95" s="19">
        <f t="shared" si="14"/>
        <v>0</v>
      </c>
      <c r="AA95" s="19">
        <f t="shared" si="15"/>
        <v>0</v>
      </c>
      <c r="AB95" s="29">
        <f t="shared" si="16"/>
        <v>304.84380892698198</v>
      </c>
      <c r="AC95" s="29">
        <f t="shared" si="10"/>
        <v>0</v>
      </c>
      <c r="AD95" s="29">
        <f t="shared" si="11"/>
        <v>0</v>
      </c>
      <c r="AE95" s="28">
        <v>20</v>
      </c>
      <c r="AF95" s="46">
        <v>355</v>
      </c>
      <c r="AG95" s="28">
        <v>210000</v>
      </c>
      <c r="AH95" s="29">
        <v>1066.9533312444369</v>
      </c>
      <c r="AI95" s="29">
        <v>0</v>
      </c>
      <c r="AJ95" s="30">
        <v>0</v>
      </c>
      <c r="AK95" s="57">
        <f t="shared" si="12"/>
        <v>10.378896009449683</v>
      </c>
      <c r="AL95" s="57">
        <f t="shared" si="17"/>
        <v>1.2734999999999999</v>
      </c>
      <c r="AM95" s="60"/>
      <c r="AN95" s="57">
        <v>0.68738360836286527</v>
      </c>
      <c r="AO95" s="101">
        <f t="shared" si="18"/>
        <v>1.2330000000000001</v>
      </c>
      <c r="AP95" s="101">
        <f t="shared" si="19"/>
        <v>284</v>
      </c>
      <c r="AQ95">
        <v>92</v>
      </c>
    </row>
    <row r="96" spans="1:43" ht="21" x14ac:dyDescent="0.5">
      <c r="A96" s="28">
        <v>285</v>
      </c>
      <c r="B96" s="67" t="s">
        <v>185</v>
      </c>
      <c r="C96" s="28">
        <v>300</v>
      </c>
      <c r="D96" s="19">
        <v>300</v>
      </c>
      <c r="E96" s="28">
        <v>300</v>
      </c>
      <c r="F96" s="28">
        <v>5.7</v>
      </c>
      <c r="G96" s="47">
        <v>5.7</v>
      </c>
      <c r="H96" s="28">
        <v>3.3</v>
      </c>
      <c r="I96" s="19">
        <v>21</v>
      </c>
      <c r="J96" s="19">
        <v>21</v>
      </c>
      <c r="K96" s="19">
        <v>13803.931692568081</v>
      </c>
      <c r="L96" s="19">
        <v>0</v>
      </c>
      <c r="M96" s="19">
        <v>1</v>
      </c>
      <c r="N96" s="19">
        <v>2</v>
      </c>
      <c r="O96" s="19">
        <v>3</v>
      </c>
      <c r="P96" s="28">
        <v>200</v>
      </c>
      <c r="Q96" s="19">
        <v>0</v>
      </c>
      <c r="R96" s="19">
        <v>0</v>
      </c>
      <c r="S96" s="19">
        <v>0</v>
      </c>
      <c r="T96" s="36">
        <v>3</v>
      </c>
      <c r="U96" s="43" t="s">
        <v>48</v>
      </c>
      <c r="V96" s="19">
        <v>1</v>
      </c>
      <c r="W96" s="28">
        <v>1</v>
      </c>
      <c r="X96" s="28">
        <v>0</v>
      </c>
      <c r="Y96" s="19">
        <f t="shared" si="13"/>
        <v>1</v>
      </c>
      <c r="Z96" s="19">
        <f t="shared" si="14"/>
        <v>0</v>
      </c>
      <c r="AA96" s="19">
        <f t="shared" si="15"/>
        <v>0</v>
      </c>
      <c r="AB96" s="29">
        <f t="shared" si="16"/>
        <v>236.74809778499008</v>
      </c>
      <c r="AC96" s="29">
        <f t="shared" si="10"/>
        <v>0</v>
      </c>
      <c r="AD96" s="29">
        <f t="shared" si="11"/>
        <v>0</v>
      </c>
      <c r="AE96" s="28">
        <v>20</v>
      </c>
      <c r="AF96" s="46">
        <v>355</v>
      </c>
      <c r="AG96" s="28">
        <v>210000</v>
      </c>
      <c r="AH96" s="29">
        <v>828.61834224746531</v>
      </c>
      <c r="AI96" s="29">
        <v>0</v>
      </c>
      <c r="AJ96" s="30">
        <v>0</v>
      </c>
      <c r="AK96" s="57">
        <f t="shared" si="12"/>
        <v>13.803931692568082</v>
      </c>
      <c r="AL96" s="57">
        <f t="shared" si="17"/>
        <v>1.2734999999999999</v>
      </c>
      <c r="AM96" s="60"/>
      <c r="AN96" s="57">
        <v>0.53383653189909674</v>
      </c>
      <c r="AO96" s="101">
        <f t="shared" si="18"/>
        <v>1.2330000000000001</v>
      </c>
      <c r="AP96" s="101">
        <f t="shared" si="19"/>
        <v>285</v>
      </c>
      <c r="AQ96">
        <v>93</v>
      </c>
    </row>
    <row r="97" spans="1:43" ht="21" x14ac:dyDescent="0.5">
      <c r="A97" s="28">
        <v>286</v>
      </c>
      <c r="B97" s="67" t="s">
        <v>186</v>
      </c>
      <c r="C97" s="28">
        <v>300</v>
      </c>
      <c r="D97" s="19">
        <v>300</v>
      </c>
      <c r="E97" s="28">
        <v>300</v>
      </c>
      <c r="F97" s="28">
        <v>5.7</v>
      </c>
      <c r="G97" s="47">
        <v>5.7</v>
      </c>
      <c r="H97" s="28">
        <v>3.3</v>
      </c>
      <c r="I97" s="19">
        <v>21</v>
      </c>
      <c r="J97" s="19">
        <v>21</v>
      </c>
      <c r="K97" s="19">
        <v>17332.75633578097</v>
      </c>
      <c r="L97" s="19">
        <v>0</v>
      </c>
      <c r="M97" s="19">
        <v>1</v>
      </c>
      <c r="N97" s="19">
        <v>2</v>
      </c>
      <c r="O97" s="19">
        <v>3</v>
      </c>
      <c r="P97" s="28">
        <v>200</v>
      </c>
      <c r="Q97" s="19">
        <v>0</v>
      </c>
      <c r="R97" s="19">
        <v>0</v>
      </c>
      <c r="S97" s="19">
        <v>0</v>
      </c>
      <c r="T97" s="36">
        <v>3</v>
      </c>
      <c r="U97" s="43" t="s">
        <v>48</v>
      </c>
      <c r="V97" s="19">
        <v>1</v>
      </c>
      <c r="W97" s="28">
        <v>1</v>
      </c>
      <c r="X97" s="28">
        <v>0</v>
      </c>
      <c r="Y97" s="19">
        <f t="shared" si="13"/>
        <v>1</v>
      </c>
      <c r="Z97" s="19">
        <f t="shared" si="14"/>
        <v>0</v>
      </c>
      <c r="AA97" s="19">
        <f t="shared" si="15"/>
        <v>0</v>
      </c>
      <c r="AB97" s="29">
        <f t="shared" si="16"/>
        <v>178.37416413547786</v>
      </c>
      <c r="AC97" s="29">
        <f t="shared" si="10"/>
        <v>0</v>
      </c>
      <c r="AD97" s="29">
        <f t="shared" si="11"/>
        <v>0</v>
      </c>
      <c r="AE97" s="28">
        <v>20</v>
      </c>
      <c r="AF97" s="46">
        <v>355</v>
      </c>
      <c r="AG97" s="28">
        <v>210000</v>
      </c>
      <c r="AH97" s="29">
        <v>624.30957447417245</v>
      </c>
      <c r="AI97" s="29">
        <v>0</v>
      </c>
      <c r="AJ97" s="30">
        <v>0</v>
      </c>
      <c r="AK97" s="57">
        <f t="shared" si="12"/>
        <v>17.332756335780971</v>
      </c>
      <c r="AL97" s="57">
        <f t="shared" si="17"/>
        <v>1.2734999999999999</v>
      </c>
      <c r="AM97" s="60"/>
      <c r="AN97" s="57">
        <v>0.40221081416655374</v>
      </c>
      <c r="AO97" s="101">
        <f t="shared" si="18"/>
        <v>1.2330000000000001</v>
      </c>
      <c r="AP97" s="101">
        <f t="shared" si="19"/>
        <v>286</v>
      </c>
      <c r="AQ97">
        <v>94</v>
      </c>
    </row>
    <row r="98" spans="1:43" ht="21" x14ac:dyDescent="0.5">
      <c r="A98" s="28">
        <v>287</v>
      </c>
      <c r="B98" s="67" t="s">
        <v>187</v>
      </c>
      <c r="C98" s="28">
        <v>300</v>
      </c>
      <c r="D98" s="19">
        <v>300</v>
      </c>
      <c r="E98" s="28">
        <v>300</v>
      </c>
      <c r="F98" s="28">
        <v>5.7</v>
      </c>
      <c r="G98" s="47">
        <v>5.7</v>
      </c>
      <c r="H98" s="28">
        <v>3.3</v>
      </c>
      <c r="I98" s="19">
        <v>21</v>
      </c>
      <c r="J98" s="19">
        <v>21</v>
      </c>
      <c r="K98" s="19">
        <v>20757.792018899367</v>
      </c>
      <c r="L98" s="19">
        <v>0</v>
      </c>
      <c r="M98" s="19">
        <v>1</v>
      </c>
      <c r="N98" s="19">
        <v>2</v>
      </c>
      <c r="O98" s="19">
        <v>3</v>
      </c>
      <c r="P98" s="28">
        <v>200</v>
      </c>
      <c r="Q98" s="19">
        <v>0</v>
      </c>
      <c r="R98" s="19">
        <v>0</v>
      </c>
      <c r="S98" s="19">
        <v>0</v>
      </c>
      <c r="T98" s="36">
        <v>3</v>
      </c>
      <c r="U98" s="43" t="s">
        <v>48</v>
      </c>
      <c r="V98" s="19">
        <v>1</v>
      </c>
      <c r="W98" s="28">
        <v>1</v>
      </c>
      <c r="X98" s="28">
        <v>0</v>
      </c>
      <c r="Y98" s="19">
        <f t="shared" si="13"/>
        <v>1</v>
      </c>
      <c r="Z98" s="19">
        <f t="shared" si="14"/>
        <v>0</v>
      </c>
      <c r="AA98" s="19">
        <f t="shared" si="15"/>
        <v>0</v>
      </c>
      <c r="AB98" s="29">
        <f t="shared" si="16"/>
        <v>136.70637865877578</v>
      </c>
      <c r="AC98" s="29">
        <f t="shared" si="10"/>
        <v>0</v>
      </c>
      <c r="AD98" s="29">
        <f t="shared" si="11"/>
        <v>0</v>
      </c>
      <c r="AE98" s="28">
        <v>20</v>
      </c>
      <c r="AF98" s="46">
        <v>355</v>
      </c>
      <c r="AG98" s="28">
        <v>210000</v>
      </c>
      <c r="AH98" s="29">
        <v>478.47232530571523</v>
      </c>
      <c r="AI98" s="29">
        <v>0</v>
      </c>
      <c r="AJ98" s="30">
        <v>0</v>
      </c>
      <c r="AK98" s="57">
        <f t="shared" si="12"/>
        <v>20.757792018899366</v>
      </c>
      <c r="AL98" s="57">
        <f t="shared" si="17"/>
        <v>1.2734999999999999</v>
      </c>
      <c r="AM98" s="60"/>
      <c r="AN98" s="57">
        <v>0.30825531336671391</v>
      </c>
      <c r="AO98" s="101">
        <f t="shared" si="18"/>
        <v>1.2330000000000001</v>
      </c>
      <c r="AP98" s="101">
        <f t="shared" si="19"/>
        <v>287</v>
      </c>
      <c r="AQ98">
        <v>95</v>
      </c>
    </row>
    <row r="99" spans="1:43" ht="21" x14ac:dyDescent="0.5">
      <c r="A99" s="28">
        <v>288</v>
      </c>
      <c r="B99" s="67" t="s">
        <v>188</v>
      </c>
      <c r="C99" s="81">
        <v>300</v>
      </c>
      <c r="D99" s="82">
        <v>300</v>
      </c>
      <c r="E99" s="81">
        <v>300</v>
      </c>
      <c r="F99" s="81">
        <v>5.7</v>
      </c>
      <c r="G99" s="82">
        <v>5.7</v>
      </c>
      <c r="H99" s="81">
        <v>3.3</v>
      </c>
      <c r="I99" s="82">
        <v>21</v>
      </c>
      <c r="J99" s="82">
        <v>21</v>
      </c>
      <c r="K99" s="82">
        <v>25947.24002362421</v>
      </c>
      <c r="L99" s="82">
        <v>0</v>
      </c>
      <c r="M99" s="82">
        <v>1</v>
      </c>
      <c r="N99" s="82">
        <v>2</v>
      </c>
      <c r="O99" s="82">
        <v>3</v>
      </c>
      <c r="P99" s="81">
        <v>200</v>
      </c>
      <c r="Q99" s="82">
        <v>0</v>
      </c>
      <c r="R99" s="82">
        <v>0</v>
      </c>
      <c r="S99" s="82">
        <v>0</v>
      </c>
      <c r="T99" s="36">
        <v>3</v>
      </c>
      <c r="U99" s="83" t="s">
        <v>48</v>
      </c>
      <c r="V99" s="82">
        <v>1</v>
      </c>
      <c r="W99" s="81">
        <v>1</v>
      </c>
      <c r="X99" s="81">
        <v>0</v>
      </c>
      <c r="Y99" s="82">
        <f t="shared" si="13"/>
        <v>1</v>
      </c>
      <c r="Z99" s="82">
        <f t="shared" si="14"/>
        <v>0</v>
      </c>
      <c r="AA99" s="82">
        <f t="shared" si="15"/>
        <v>0</v>
      </c>
      <c r="AB99" s="84">
        <f t="shared" si="16"/>
        <v>95.003497178740915</v>
      </c>
      <c r="AC99" s="84">
        <f t="shared" si="10"/>
        <v>0</v>
      </c>
      <c r="AD99" s="84">
        <f t="shared" si="11"/>
        <v>0</v>
      </c>
      <c r="AE99" s="81">
        <v>20</v>
      </c>
      <c r="AF99" s="46">
        <v>355</v>
      </c>
      <c r="AG99" s="81">
        <v>210000</v>
      </c>
      <c r="AH99" s="84">
        <v>332.51224012559322</v>
      </c>
      <c r="AI99" s="84">
        <v>0</v>
      </c>
      <c r="AJ99" s="85">
        <v>0</v>
      </c>
      <c r="AK99" s="57">
        <f t="shared" si="12"/>
        <v>25.947240023624211</v>
      </c>
      <c r="AL99" s="57">
        <f t="shared" si="17"/>
        <v>1.2734999999999999</v>
      </c>
      <c r="AM99" s="60"/>
      <c r="AN99" s="57">
        <v>0.21422067559015506</v>
      </c>
      <c r="AO99" s="101">
        <f t="shared" si="18"/>
        <v>1.2330000000000001</v>
      </c>
      <c r="AP99" s="101">
        <f t="shared" si="19"/>
        <v>288</v>
      </c>
      <c r="AQ99">
        <v>96</v>
      </c>
    </row>
    <row r="100" spans="1:43" ht="21" x14ac:dyDescent="0.5">
      <c r="A100" s="92"/>
      <c r="B100" s="99"/>
      <c r="C100" s="28"/>
      <c r="D100" s="19"/>
      <c r="E100" s="100"/>
      <c r="F100" s="100"/>
      <c r="G100" s="29"/>
      <c r="H100" s="28"/>
      <c r="I100" s="19"/>
      <c r="J100" s="19"/>
      <c r="K100" s="19"/>
      <c r="L100" s="19"/>
      <c r="M100" s="19"/>
      <c r="N100" s="19"/>
      <c r="O100" s="19"/>
      <c r="P100" s="28"/>
      <c r="Q100" s="19"/>
      <c r="R100" s="19"/>
      <c r="S100" s="19"/>
      <c r="T100" s="36"/>
      <c r="U100" s="43"/>
      <c r="V100" s="19"/>
      <c r="W100" s="28"/>
      <c r="X100" s="28"/>
      <c r="Y100" s="19"/>
      <c r="Z100" s="19"/>
      <c r="AA100" s="19"/>
      <c r="AB100" s="77"/>
      <c r="AC100" s="29"/>
      <c r="AD100" s="29"/>
      <c r="AE100" s="28"/>
      <c r="AF100" s="100"/>
      <c r="AG100" s="28"/>
      <c r="AH100" s="29"/>
      <c r="AI100" s="29"/>
      <c r="AJ100" s="30"/>
      <c r="AK100" s="57"/>
      <c r="AL100" s="57"/>
      <c r="AM100" s="57"/>
      <c r="AN100" s="57"/>
      <c r="AO100" s="57"/>
      <c r="AP100" s="57"/>
    </row>
    <row r="101" spans="1:43" ht="21" x14ac:dyDescent="0.5">
      <c r="A101" s="28"/>
      <c r="B101" s="99"/>
      <c r="C101" s="28"/>
      <c r="D101" s="19"/>
      <c r="E101" s="100"/>
      <c r="F101" s="100"/>
      <c r="G101" s="19"/>
      <c r="H101" s="28"/>
      <c r="I101" s="19"/>
      <c r="J101" s="19"/>
      <c r="K101" s="77"/>
      <c r="L101" s="19"/>
      <c r="M101" s="19"/>
      <c r="N101" s="19"/>
      <c r="O101" s="19"/>
      <c r="P101" s="28"/>
      <c r="Q101" s="19"/>
      <c r="R101" s="19"/>
      <c r="S101" s="19"/>
      <c r="T101" s="36"/>
      <c r="U101" s="43"/>
      <c r="V101" s="19"/>
      <c r="W101" s="28"/>
      <c r="X101" s="28"/>
      <c r="Y101" s="19"/>
      <c r="Z101" s="19"/>
      <c r="AA101" s="19"/>
      <c r="AB101" s="29"/>
      <c r="AC101" s="29"/>
      <c r="AD101" s="29"/>
      <c r="AE101" s="28"/>
      <c r="AF101" s="100"/>
      <c r="AG101" s="28"/>
      <c r="AH101" s="29"/>
      <c r="AI101" s="29"/>
      <c r="AJ101" s="30"/>
      <c r="AK101" s="57"/>
      <c r="AL101" s="57"/>
      <c r="AM101" s="57"/>
      <c r="AN101" s="57"/>
      <c r="AO101" s="57"/>
      <c r="AP101" s="57"/>
    </row>
    <row r="102" spans="1:43" ht="21" x14ac:dyDescent="0.5">
      <c r="A102" s="28"/>
      <c r="B102" s="99"/>
      <c r="C102" s="28"/>
      <c r="D102" s="19"/>
      <c r="E102" s="100"/>
      <c r="F102" s="100"/>
      <c r="G102" s="19"/>
      <c r="H102" s="28"/>
      <c r="I102" s="19"/>
      <c r="J102" s="19"/>
      <c r="K102" s="19"/>
      <c r="L102" s="19"/>
      <c r="M102" s="19"/>
      <c r="N102" s="19"/>
      <c r="O102" s="19"/>
      <c r="P102" s="28"/>
      <c r="Q102" s="19"/>
      <c r="R102" s="19"/>
      <c r="S102" s="19"/>
      <c r="T102" s="36"/>
      <c r="U102" s="43"/>
      <c r="V102" s="19"/>
      <c r="W102" s="28"/>
      <c r="X102" s="28"/>
      <c r="Y102" s="19"/>
      <c r="Z102" s="19"/>
      <c r="AA102" s="19"/>
      <c r="AB102" s="29"/>
      <c r="AC102" s="29"/>
      <c r="AD102" s="29"/>
      <c r="AE102" s="28"/>
      <c r="AF102" s="100"/>
      <c r="AG102" s="28"/>
      <c r="AH102" s="29"/>
      <c r="AI102" s="29"/>
      <c r="AJ102" s="30"/>
      <c r="AK102" s="57"/>
      <c r="AL102" s="57"/>
      <c r="AM102" s="57"/>
      <c r="AN102" s="57"/>
      <c r="AO102" s="57"/>
      <c r="AP102" s="57"/>
    </row>
    <row r="103" spans="1:43" ht="21" x14ac:dyDescent="0.5">
      <c r="A103" s="28"/>
      <c r="B103" s="99"/>
      <c r="C103" s="28"/>
      <c r="D103" s="19"/>
      <c r="E103" s="100"/>
      <c r="F103" s="100"/>
      <c r="G103" s="19"/>
      <c r="H103" s="28"/>
      <c r="I103" s="19"/>
      <c r="J103" s="19"/>
      <c r="K103" s="19"/>
      <c r="L103" s="19"/>
      <c r="M103" s="19"/>
      <c r="N103" s="19"/>
      <c r="O103" s="19"/>
      <c r="P103" s="28"/>
      <c r="Q103" s="19"/>
      <c r="R103" s="19"/>
      <c r="S103" s="19"/>
      <c r="T103" s="36"/>
      <c r="U103" s="43"/>
      <c r="V103" s="19"/>
      <c r="W103" s="28"/>
      <c r="X103" s="28"/>
      <c r="Y103" s="19"/>
      <c r="Z103" s="19"/>
      <c r="AA103" s="19"/>
      <c r="AB103" s="29"/>
      <c r="AC103" s="29"/>
      <c r="AD103" s="29"/>
      <c r="AE103" s="28"/>
      <c r="AF103" s="100"/>
      <c r="AG103" s="28"/>
      <c r="AH103" s="29"/>
      <c r="AI103" s="29"/>
      <c r="AJ103" s="30"/>
      <c r="AK103" s="57"/>
      <c r="AL103" s="57"/>
      <c r="AM103" s="57"/>
      <c r="AN103" s="57"/>
      <c r="AO103" s="57"/>
      <c r="AP103" s="57"/>
    </row>
    <row r="104" spans="1:43" ht="21" x14ac:dyDescent="0.5">
      <c r="A104" s="28"/>
      <c r="B104" s="99"/>
      <c r="C104" s="28"/>
      <c r="D104" s="19"/>
      <c r="E104" s="100"/>
      <c r="F104" s="100"/>
      <c r="G104" s="19"/>
      <c r="H104" s="28"/>
      <c r="I104" s="19"/>
      <c r="J104" s="19"/>
      <c r="K104" s="19"/>
      <c r="L104" s="19"/>
      <c r="M104" s="19"/>
      <c r="N104" s="19"/>
      <c r="O104" s="19"/>
      <c r="P104" s="28"/>
      <c r="Q104" s="19"/>
      <c r="R104" s="19"/>
      <c r="S104" s="19"/>
      <c r="T104" s="36"/>
      <c r="U104" s="43"/>
      <c r="V104" s="19"/>
      <c r="W104" s="28"/>
      <c r="X104" s="28"/>
      <c r="Y104" s="19"/>
      <c r="Z104" s="19"/>
      <c r="AA104" s="19"/>
      <c r="AB104" s="29"/>
      <c r="AC104" s="29"/>
      <c r="AD104" s="29"/>
      <c r="AE104" s="28"/>
      <c r="AF104" s="100"/>
      <c r="AG104" s="28"/>
      <c r="AH104" s="29"/>
      <c r="AI104" s="29"/>
      <c r="AJ104" s="30"/>
      <c r="AK104" s="57"/>
      <c r="AL104" s="57"/>
      <c r="AM104" s="57"/>
      <c r="AN104" s="57"/>
      <c r="AO104" s="57"/>
      <c r="AP104" s="57"/>
    </row>
    <row r="105" spans="1:43" ht="21" x14ac:dyDescent="0.5">
      <c r="A105" s="28"/>
      <c r="B105" s="99"/>
      <c r="C105" s="28"/>
      <c r="D105" s="19"/>
      <c r="E105" s="100"/>
      <c r="F105" s="100"/>
      <c r="G105" s="19"/>
      <c r="H105" s="28"/>
      <c r="I105" s="19"/>
      <c r="J105" s="19"/>
      <c r="K105" s="19"/>
      <c r="L105" s="19"/>
      <c r="M105" s="19"/>
      <c r="N105" s="19"/>
      <c r="O105" s="19"/>
      <c r="P105" s="28"/>
      <c r="Q105" s="19"/>
      <c r="R105" s="19"/>
      <c r="S105" s="19"/>
      <c r="T105" s="36"/>
      <c r="U105" s="43"/>
      <c r="V105" s="19"/>
      <c r="W105" s="28"/>
      <c r="X105" s="28"/>
      <c r="Y105" s="19"/>
      <c r="Z105" s="19"/>
      <c r="AA105" s="19"/>
      <c r="AB105" s="29"/>
      <c r="AC105" s="29"/>
      <c r="AD105" s="29"/>
      <c r="AE105" s="28"/>
      <c r="AF105" s="100"/>
      <c r="AG105" s="28"/>
      <c r="AH105" s="29"/>
      <c r="AI105" s="29"/>
      <c r="AJ105" s="30"/>
      <c r="AK105" s="57"/>
      <c r="AL105" s="57"/>
      <c r="AM105" s="57"/>
      <c r="AN105" s="57"/>
      <c r="AO105" s="57"/>
      <c r="AP105" s="57"/>
    </row>
    <row r="106" spans="1:43" ht="21" x14ac:dyDescent="0.5">
      <c r="A106" s="28"/>
      <c r="B106" s="99"/>
      <c r="C106" s="46"/>
      <c r="D106" s="47"/>
      <c r="E106" s="46"/>
      <c r="F106" s="46"/>
      <c r="G106" s="47"/>
      <c r="H106" s="46"/>
      <c r="I106" s="47"/>
      <c r="J106" s="47"/>
      <c r="K106" s="19"/>
      <c r="L106" s="47"/>
      <c r="M106" s="47"/>
      <c r="N106" s="47"/>
      <c r="O106" s="47"/>
      <c r="P106" s="46"/>
      <c r="Q106" s="47"/>
      <c r="R106" s="47"/>
      <c r="S106" s="47"/>
      <c r="T106" s="48"/>
      <c r="U106" s="86"/>
      <c r="V106" s="47"/>
      <c r="W106" s="46"/>
      <c r="X106" s="46"/>
      <c r="Y106" s="47"/>
      <c r="Z106" s="47"/>
      <c r="AA106" s="47"/>
      <c r="AB106" s="49"/>
      <c r="AC106" s="49"/>
      <c r="AD106" s="49"/>
      <c r="AE106" s="46"/>
      <c r="AF106" s="46"/>
      <c r="AG106" s="46"/>
      <c r="AH106" s="49"/>
      <c r="AI106" s="49"/>
      <c r="AJ106" s="87"/>
      <c r="AK106" s="57"/>
      <c r="AL106" s="57"/>
      <c r="AM106" s="57"/>
      <c r="AN106" s="57"/>
      <c r="AO106" s="57"/>
      <c r="AP106" s="57"/>
    </row>
    <row r="107" spans="1:43" ht="21" x14ac:dyDescent="0.5">
      <c r="A107" s="28"/>
      <c r="B107" s="67"/>
      <c r="C107" s="28"/>
      <c r="D107" s="19"/>
      <c r="E107" s="28"/>
      <c r="F107" s="28"/>
      <c r="G107" s="19"/>
      <c r="H107" s="28"/>
      <c r="I107" s="19"/>
      <c r="J107" s="19"/>
      <c r="K107" s="19"/>
      <c r="L107" s="19"/>
      <c r="M107" s="19"/>
      <c r="N107" s="19"/>
      <c r="O107" s="19"/>
      <c r="P107" s="28"/>
      <c r="Q107" s="19"/>
      <c r="R107" s="19"/>
      <c r="S107" s="19"/>
      <c r="T107" s="36"/>
      <c r="U107" s="43"/>
      <c r="V107" s="19"/>
      <c r="W107" s="28"/>
      <c r="X107" s="28"/>
      <c r="Y107" s="19"/>
      <c r="Z107" s="19"/>
      <c r="AA107" s="19"/>
      <c r="AB107" s="29"/>
      <c r="AC107" s="29"/>
      <c r="AD107" s="29"/>
      <c r="AE107" s="28"/>
      <c r="AF107" s="28"/>
      <c r="AG107" s="28"/>
      <c r="AH107" s="29"/>
      <c r="AI107" s="29"/>
      <c r="AJ107" s="30"/>
      <c r="AK107" s="57"/>
      <c r="AL107" s="57"/>
      <c r="AM107" s="57"/>
      <c r="AN107" s="57"/>
      <c r="AO107" s="57"/>
      <c r="AP107" s="57"/>
    </row>
    <row r="108" spans="1:43" ht="21" x14ac:dyDescent="0.5">
      <c r="A108" s="28"/>
      <c r="B108" s="67"/>
      <c r="C108" s="28"/>
      <c r="D108" s="19"/>
      <c r="E108" s="28"/>
      <c r="F108" s="28"/>
      <c r="G108" s="19"/>
      <c r="H108" s="28"/>
      <c r="I108" s="19"/>
      <c r="J108" s="19"/>
      <c r="K108" s="77"/>
      <c r="L108" s="19"/>
      <c r="M108" s="19"/>
      <c r="N108" s="19"/>
      <c r="O108" s="19"/>
      <c r="P108" s="28"/>
      <c r="Q108" s="19"/>
      <c r="R108" s="19"/>
      <c r="S108" s="19"/>
      <c r="T108" s="36"/>
      <c r="U108" s="43"/>
      <c r="V108" s="19"/>
      <c r="W108" s="28"/>
      <c r="X108" s="28"/>
      <c r="Y108" s="19"/>
      <c r="Z108" s="19"/>
      <c r="AA108" s="19"/>
      <c r="AB108" s="29"/>
      <c r="AC108" s="29"/>
      <c r="AD108" s="29"/>
      <c r="AE108" s="28"/>
      <c r="AF108" s="28"/>
      <c r="AG108" s="28"/>
      <c r="AH108" s="29"/>
      <c r="AI108" s="29"/>
      <c r="AJ108" s="30"/>
      <c r="AK108" s="57"/>
      <c r="AL108" s="57"/>
      <c r="AM108" s="57"/>
      <c r="AN108" s="57"/>
      <c r="AO108" s="57"/>
      <c r="AP108" s="57"/>
    </row>
    <row r="109" spans="1:43" ht="21" x14ac:dyDescent="0.5">
      <c r="A109" s="28"/>
      <c r="B109" s="67"/>
      <c r="C109" s="28"/>
      <c r="D109" s="19"/>
      <c r="E109" s="28"/>
      <c r="F109" s="28"/>
      <c r="G109" s="19"/>
      <c r="H109" s="28"/>
      <c r="I109" s="19"/>
      <c r="J109" s="19"/>
      <c r="K109" s="19"/>
      <c r="L109" s="19"/>
      <c r="M109" s="19"/>
      <c r="N109" s="19"/>
      <c r="O109" s="19"/>
      <c r="P109" s="28"/>
      <c r="Q109" s="19"/>
      <c r="R109" s="19"/>
      <c r="S109" s="19"/>
      <c r="T109" s="36"/>
      <c r="U109" s="43"/>
      <c r="V109" s="19"/>
      <c r="W109" s="28"/>
      <c r="X109" s="28"/>
      <c r="Y109" s="19"/>
      <c r="Z109" s="19"/>
      <c r="AA109" s="19"/>
      <c r="AB109" s="29"/>
      <c r="AC109" s="29"/>
      <c r="AD109" s="29"/>
      <c r="AE109" s="28"/>
      <c r="AF109" s="28"/>
      <c r="AG109" s="28"/>
      <c r="AH109" s="29"/>
      <c r="AI109" s="29"/>
      <c r="AJ109" s="30"/>
      <c r="AK109" s="57"/>
      <c r="AL109" s="57"/>
      <c r="AM109" s="57"/>
      <c r="AN109" s="57"/>
      <c r="AO109" s="57"/>
      <c r="AP109" s="57"/>
    </row>
    <row r="110" spans="1:43" ht="21" x14ac:dyDescent="0.5">
      <c r="A110" s="28"/>
      <c r="B110" s="67"/>
      <c r="C110" s="28"/>
      <c r="D110" s="19"/>
      <c r="E110" s="28"/>
      <c r="F110" s="28"/>
      <c r="G110" s="19"/>
      <c r="H110" s="28"/>
      <c r="I110" s="19"/>
      <c r="J110" s="19"/>
      <c r="K110" s="19"/>
      <c r="L110" s="19"/>
      <c r="M110" s="19"/>
      <c r="N110" s="19"/>
      <c r="O110" s="19"/>
      <c r="P110" s="28"/>
      <c r="Q110" s="19"/>
      <c r="R110" s="19"/>
      <c r="S110" s="19"/>
      <c r="T110" s="36"/>
      <c r="U110" s="43"/>
      <c r="V110" s="19"/>
      <c r="W110" s="28"/>
      <c r="X110" s="28"/>
      <c r="Y110" s="19"/>
      <c r="Z110" s="19"/>
      <c r="AA110" s="19"/>
      <c r="AB110" s="29"/>
      <c r="AC110" s="29"/>
      <c r="AD110" s="29"/>
      <c r="AE110" s="28"/>
      <c r="AF110" s="28"/>
      <c r="AG110" s="28"/>
      <c r="AH110" s="29"/>
      <c r="AI110" s="29"/>
      <c r="AJ110" s="30"/>
      <c r="AK110" s="57"/>
      <c r="AL110" s="57"/>
      <c r="AM110" s="57"/>
      <c r="AN110" s="57"/>
      <c r="AO110" s="57"/>
      <c r="AP110" s="57"/>
    </row>
    <row r="111" spans="1:43" ht="21" x14ac:dyDescent="0.5">
      <c r="A111" s="28"/>
      <c r="B111" s="67"/>
      <c r="C111" s="28"/>
      <c r="D111" s="19"/>
      <c r="E111" s="28"/>
      <c r="F111" s="28"/>
      <c r="G111" s="19"/>
      <c r="H111" s="28"/>
      <c r="I111" s="19"/>
      <c r="J111" s="19"/>
      <c r="K111" s="19"/>
      <c r="L111" s="19"/>
      <c r="M111" s="19"/>
      <c r="N111" s="19"/>
      <c r="O111" s="19"/>
      <c r="P111" s="28"/>
      <c r="Q111" s="19"/>
      <c r="R111" s="19"/>
      <c r="S111" s="19"/>
      <c r="T111" s="36"/>
      <c r="U111" s="43"/>
      <c r="V111" s="19"/>
      <c r="W111" s="28"/>
      <c r="X111" s="28"/>
      <c r="Y111" s="19"/>
      <c r="Z111" s="19"/>
      <c r="AA111" s="19"/>
      <c r="AB111" s="29"/>
      <c r="AC111" s="29"/>
      <c r="AD111" s="29"/>
      <c r="AE111" s="28"/>
      <c r="AF111" s="28"/>
      <c r="AG111" s="28"/>
      <c r="AH111" s="29"/>
      <c r="AI111" s="29"/>
      <c r="AJ111" s="30"/>
      <c r="AK111" s="57"/>
      <c r="AL111" s="57"/>
      <c r="AM111" s="57"/>
      <c r="AN111" s="57"/>
      <c r="AO111" s="57"/>
      <c r="AP111" s="57"/>
    </row>
    <row r="112" spans="1:43" ht="21" x14ac:dyDescent="0.5">
      <c r="A112" s="28"/>
      <c r="B112" s="67"/>
      <c r="C112" s="28"/>
      <c r="D112" s="19"/>
      <c r="E112" s="28"/>
      <c r="F112" s="28"/>
      <c r="G112" s="19"/>
      <c r="H112" s="28"/>
      <c r="I112" s="19"/>
      <c r="J112" s="19"/>
      <c r="K112" s="19"/>
      <c r="L112" s="19"/>
      <c r="M112" s="19"/>
      <c r="N112" s="19"/>
      <c r="O112" s="19"/>
      <c r="P112" s="28"/>
      <c r="Q112" s="19"/>
      <c r="R112" s="19"/>
      <c r="S112" s="19"/>
      <c r="T112" s="36"/>
      <c r="U112" s="43"/>
      <c r="V112" s="19"/>
      <c r="W112" s="28"/>
      <c r="X112" s="28"/>
      <c r="Y112" s="19"/>
      <c r="Z112" s="19"/>
      <c r="AA112" s="19"/>
      <c r="AB112" s="29"/>
      <c r="AC112" s="29"/>
      <c r="AD112" s="29"/>
      <c r="AE112" s="28"/>
      <c r="AF112" s="28"/>
      <c r="AG112" s="28"/>
      <c r="AH112" s="29"/>
      <c r="AI112" s="29"/>
      <c r="AJ112" s="30"/>
      <c r="AK112" s="57"/>
      <c r="AL112" s="57"/>
      <c r="AM112" s="57"/>
      <c r="AN112" s="57"/>
      <c r="AO112" s="57"/>
      <c r="AP112" s="57"/>
    </row>
    <row r="113" spans="1:42" ht="21" x14ac:dyDescent="0.5">
      <c r="A113" s="28"/>
      <c r="B113" s="67"/>
      <c r="C113" s="28"/>
      <c r="D113" s="19"/>
      <c r="E113" s="28"/>
      <c r="F113" s="28"/>
      <c r="G113" s="19"/>
      <c r="H113" s="28"/>
      <c r="I113" s="19"/>
      <c r="J113" s="19"/>
      <c r="K113" s="19"/>
      <c r="L113" s="19"/>
      <c r="M113" s="19"/>
      <c r="N113" s="19"/>
      <c r="O113" s="19"/>
      <c r="P113" s="28"/>
      <c r="Q113" s="19"/>
      <c r="R113" s="19"/>
      <c r="S113" s="19"/>
      <c r="T113" s="36"/>
      <c r="U113" s="43"/>
      <c r="V113" s="19"/>
      <c r="W113" s="28"/>
      <c r="X113" s="28"/>
      <c r="Y113" s="19"/>
      <c r="Z113" s="19"/>
      <c r="AA113" s="19"/>
      <c r="AB113" s="29"/>
      <c r="AC113" s="29"/>
      <c r="AD113" s="29"/>
      <c r="AE113" s="28"/>
      <c r="AF113" s="28"/>
      <c r="AG113" s="28"/>
      <c r="AH113" s="29"/>
      <c r="AI113" s="29"/>
      <c r="AJ113" s="30"/>
      <c r="AK113" s="57"/>
      <c r="AL113" s="57"/>
      <c r="AM113" s="57"/>
      <c r="AN113" s="57"/>
      <c r="AO113" s="57"/>
      <c r="AP113" s="57"/>
    </row>
    <row r="114" spans="1:42" ht="21" x14ac:dyDescent="0.5">
      <c r="A114" s="28"/>
      <c r="B114" s="67"/>
      <c r="C114" s="28"/>
      <c r="D114" s="19"/>
      <c r="E114" s="28"/>
      <c r="F114" s="28"/>
      <c r="G114" s="19"/>
      <c r="H114" s="28"/>
      <c r="I114" s="19"/>
      <c r="J114" s="19"/>
      <c r="K114" s="19"/>
      <c r="L114" s="19"/>
      <c r="M114" s="19"/>
      <c r="N114" s="19"/>
      <c r="O114" s="19"/>
      <c r="P114" s="28"/>
      <c r="Q114" s="19"/>
      <c r="R114" s="19"/>
      <c r="S114" s="19"/>
      <c r="T114" s="36"/>
      <c r="U114" s="43"/>
      <c r="V114" s="19"/>
      <c r="W114" s="28"/>
      <c r="X114" s="28"/>
      <c r="Y114" s="19"/>
      <c r="Z114" s="19"/>
      <c r="AA114" s="19"/>
      <c r="AB114" s="29"/>
      <c r="AC114" s="29"/>
      <c r="AD114" s="29"/>
      <c r="AE114" s="28"/>
      <c r="AF114" s="28"/>
      <c r="AG114" s="28"/>
      <c r="AH114" s="29"/>
      <c r="AI114" s="29"/>
      <c r="AJ114" s="30"/>
      <c r="AK114" s="57"/>
      <c r="AL114" s="57"/>
      <c r="AM114" s="57"/>
      <c r="AN114" s="57"/>
      <c r="AO114" s="57"/>
      <c r="AP114" s="57"/>
    </row>
    <row r="115" spans="1:42" ht="21" x14ac:dyDescent="0.5">
      <c r="A115" s="28"/>
      <c r="B115" s="67"/>
      <c r="C115" s="28"/>
      <c r="D115" s="19"/>
      <c r="E115" s="28"/>
      <c r="F115" s="28"/>
      <c r="G115" s="19"/>
      <c r="H115" s="28"/>
      <c r="I115" s="19"/>
      <c r="J115" s="19"/>
      <c r="K115" s="19"/>
      <c r="L115" s="19"/>
      <c r="M115" s="19"/>
      <c r="N115" s="19"/>
      <c r="O115" s="19"/>
      <c r="P115" s="28"/>
      <c r="Q115" s="19"/>
      <c r="R115" s="19"/>
      <c r="S115" s="19"/>
      <c r="T115" s="36"/>
      <c r="U115" s="43"/>
      <c r="V115" s="19"/>
      <c r="W115" s="28"/>
      <c r="X115" s="28"/>
      <c r="Y115" s="19"/>
      <c r="Z115" s="19"/>
      <c r="AA115" s="19"/>
      <c r="AB115" s="29"/>
      <c r="AC115" s="29"/>
      <c r="AD115" s="29"/>
      <c r="AE115" s="28"/>
      <c r="AF115" s="28"/>
      <c r="AG115" s="28"/>
      <c r="AH115" s="29"/>
      <c r="AI115" s="29"/>
      <c r="AJ115" s="30"/>
      <c r="AK115" s="57"/>
      <c r="AL115" s="57"/>
      <c r="AM115" s="57"/>
      <c r="AN115" s="57"/>
      <c r="AO115" s="57"/>
      <c r="AP115" s="57"/>
    </row>
    <row r="116" spans="1:42" ht="21" x14ac:dyDescent="0.5">
      <c r="A116" s="28"/>
      <c r="B116" s="67"/>
      <c r="C116" s="28"/>
      <c r="D116" s="19"/>
      <c r="E116" s="28"/>
      <c r="F116" s="28"/>
      <c r="G116" s="19"/>
      <c r="H116" s="28"/>
      <c r="I116" s="19"/>
      <c r="J116" s="19"/>
      <c r="K116" s="19"/>
      <c r="L116" s="19"/>
      <c r="M116" s="19"/>
      <c r="N116" s="19"/>
      <c r="O116" s="19"/>
      <c r="P116" s="28"/>
      <c r="Q116" s="19"/>
      <c r="R116" s="19"/>
      <c r="S116" s="19"/>
      <c r="T116" s="36"/>
      <c r="U116" s="43"/>
      <c r="V116" s="19"/>
      <c r="W116" s="28"/>
      <c r="X116" s="28"/>
      <c r="Y116" s="19"/>
      <c r="Z116" s="19"/>
      <c r="AA116" s="19"/>
      <c r="AB116" s="29"/>
      <c r="AC116" s="29"/>
      <c r="AD116" s="29"/>
      <c r="AE116" s="28"/>
      <c r="AF116" s="28"/>
      <c r="AG116" s="28"/>
      <c r="AH116" s="29"/>
      <c r="AI116" s="29"/>
      <c r="AJ116" s="30"/>
      <c r="AK116" s="57"/>
      <c r="AL116" s="57"/>
      <c r="AM116" s="57"/>
      <c r="AN116" s="57"/>
      <c r="AO116" s="57"/>
      <c r="AP116" s="57"/>
    </row>
    <row r="117" spans="1:42" ht="21" x14ac:dyDescent="0.5">
      <c r="A117" s="28"/>
      <c r="B117" s="67"/>
      <c r="C117" s="28"/>
      <c r="D117" s="19"/>
      <c r="E117" s="28"/>
      <c r="F117" s="28"/>
      <c r="G117" s="19"/>
      <c r="H117" s="28"/>
      <c r="I117" s="19"/>
      <c r="J117" s="19"/>
      <c r="K117" s="19"/>
      <c r="L117" s="19"/>
      <c r="M117" s="19"/>
      <c r="N117" s="19"/>
      <c r="O117" s="19"/>
      <c r="P117" s="28"/>
      <c r="Q117" s="19"/>
      <c r="R117" s="19"/>
      <c r="S117" s="19"/>
      <c r="T117" s="36"/>
      <c r="U117" s="43"/>
      <c r="V117" s="19"/>
      <c r="W117" s="28"/>
      <c r="X117" s="28"/>
      <c r="Y117" s="19"/>
      <c r="Z117" s="19"/>
      <c r="AA117" s="19"/>
      <c r="AB117" s="29"/>
      <c r="AC117" s="29"/>
      <c r="AD117" s="29"/>
      <c r="AE117" s="28"/>
      <c r="AF117" s="28"/>
      <c r="AG117" s="28"/>
      <c r="AH117" s="29"/>
      <c r="AI117" s="29"/>
      <c r="AJ117" s="30"/>
      <c r="AK117" s="57"/>
      <c r="AL117" s="57"/>
      <c r="AM117" s="57"/>
      <c r="AN117" s="57"/>
      <c r="AO117" s="57"/>
      <c r="AP117" s="57"/>
    </row>
    <row r="118" spans="1:42" ht="21" x14ac:dyDescent="0.5">
      <c r="A118" s="28"/>
      <c r="B118" s="67"/>
      <c r="C118" s="28"/>
      <c r="D118" s="19"/>
      <c r="E118" s="28"/>
      <c r="F118" s="28"/>
      <c r="G118" s="19"/>
      <c r="H118" s="28"/>
      <c r="I118" s="19"/>
      <c r="J118" s="19"/>
      <c r="K118" s="19"/>
      <c r="L118" s="19"/>
      <c r="M118" s="19"/>
      <c r="N118" s="19"/>
      <c r="O118" s="19"/>
      <c r="P118" s="28"/>
      <c r="Q118" s="19"/>
      <c r="R118" s="19"/>
      <c r="S118" s="19"/>
      <c r="T118" s="36"/>
      <c r="U118" s="43"/>
      <c r="V118" s="19"/>
      <c r="W118" s="28"/>
      <c r="X118" s="28"/>
      <c r="Y118" s="19"/>
      <c r="Z118" s="19"/>
      <c r="AA118" s="19"/>
      <c r="AB118" s="29"/>
      <c r="AC118" s="29"/>
      <c r="AD118" s="29"/>
      <c r="AE118" s="28"/>
      <c r="AF118" s="28"/>
      <c r="AG118" s="28"/>
      <c r="AH118" s="29"/>
      <c r="AI118" s="29"/>
      <c r="AJ118" s="30"/>
      <c r="AK118" s="57"/>
      <c r="AL118" s="57"/>
      <c r="AM118" s="57"/>
      <c r="AN118" s="57"/>
      <c r="AO118" s="57"/>
      <c r="AP118" s="57"/>
    </row>
    <row r="119" spans="1:42" ht="21" x14ac:dyDescent="0.5">
      <c r="A119" s="28"/>
      <c r="B119" s="67"/>
      <c r="C119" s="28"/>
      <c r="D119" s="19"/>
      <c r="E119" s="28"/>
      <c r="F119" s="28"/>
      <c r="G119" s="19"/>
      <c r="H119" s="28"/>
      <c r="I119" s="19"/>
      <c r="J119" s="19"/>
      <c r="K119" s="19"/>
      <c r="L119" s="19"/>
      <c r="M119" s="19"/>
      <c r="N119" s="19"/>
      <c r="O119" s="19"/>
      <c r="P119" s="28"/>
      <c r="Q119" s="19"/>
      <c r="R119" s="19"/>
      <c r="S119" s="19"/>
      <c r="T119" s="36"/>
      <c r="U119" s="43"/>
      <c r="V119" s="19"/>
      <c r="W119" s="28"/>
      <c r="X119" s="28"/>
      <c r="Y119" s="19"/>
      <c r="Z119" s="19"/>
      <c r="AA119" s="19"/>
      <c r="AB119" s="29"/>
      <c r="AC119" s="29"/>
      <c r="AD119" s="29"/>
      <c r="AE119" s="28"/>
      <c r="AF119" s="28"/>
      <c r="AG119" s="28"/>
      <c r="AH119" s="29"/>
      <c r="AI119" s="29"/>
      <c r="AJ119" s="30"/>
      <c r="AK119" s="57"/>
      <c r="AL119" s="57"/>
      <c r="AM119" s="57"/>
      <c r="AN119" s="57"/>
      <c r="AO119" s="57"/>
      <c r="AP119" s="57"/>
    </row>
    <row r="120" spans="1:42" ht="21" x14ac:dyDescent="0.5">
      <c r="A120" s="28"/>
      <c r="B120" s="67"/>
      <c r="C120" s="28"/>
      <c r="D120" s="19"/>
      <c r="E120" s="28"/>
      <c r="F120" s="28"/>
      <c r="G120" s="19"/>
      <c r="H120" s="28"/>
      <c r="I120" s="19"/>
      <c r="J120" s="19"/>
      <c r="K120" s="19"/>
      <c r="L120" s="19"/>
      <c r="M120" s="19"/>
      <c r="N120" s="19"/>
      <c r="O120" s="19"/>
      <c r="P120" s="28"/>
      <c r="Q120" s="19"/>
      <c r="R120" s="19"/>
      <c r="S120" s="19"/>
      <c r="T120" s="36"/>
      <c r="U120" s="43"/>
      <c r="V120" s="19"/>
      <c r="W120" s="28"/>
      <c r="X120" s="28"/>
      <c r="Y120" s="19"/>
      <c r="Z120" s="19"/>
      <c r="AA120" s="19"/>
      <c r="AB120" s="29"/>
      <c r="AC120" s="29"/>
      <c r="AD120" s="29"/>
      <c r="AE120" s="28"/>
      <c r="AF120" s="28"/>
      <c r="AG120" s="28"/>
      <c r="AH120" s="29"/>
      <c r="AI120" s="29"/>
      <c r="AJ120" s="30"/>
      <c r="AK120" s="57"/>
      <c r="AL120" s="57"/>
      <c r="AM120" s="57"/>
      <c r="AN120" s="57"/>
      <c r="AO120" s="57"/>
      <c r="AP120" s="57"/>
    </row>
    <row r="121" spans="1:42" ht="21" x14ac:dyDescent="0.5">
      <c r="A121" s="28"/>
      <c r="B121" s="67"/>
      <c r="C121" s="28"/>
      <c r="D121" s="19"/>
      <c r="E121" s="28"/>
      <c r="F121" s="28"/>
      <c r="G121" s="19"/>
      <c r="H121" s="28"/>
      <c r="I121" s="19"/>
      <c r="J121" s="19"/>
      <c r="K121" s="19"/>
      <c r="L121" s="19"/>
      <c r="M121" s="19"/>
      <c r="N121" s="19"/>
      <c r="O121" s="19"/>
      <c r="P121" s="28"/>
      <c r="Q121" s="19"/>
      <c r="R121" s="19"/>
      <c r="S121" s="19"/>
      <c r="T121" s="36"/>
      <c r="U121" s="43"/>
      <c r="V121" s="19"/>
      <c r="W121" s="28"/>
      <c r="X121" s="28"/>
      <c r="Y121" s="19"/>
      <c r="Z121" s="19"/>
      <c r="AA121" s="19"/>
      <c r="AB121" s="29"/>
      <c r="AC121" s="29"/>
      <c r="AD121" s="29"/>
      <c r="AE121" s="28"/>
      <c r="AF121" s="28"/>
      <c r="AG121" s="28"/>
      <c r="AH121" s="29"/>
      <c r="AI121" s="29"/>
      <c r="AJ121" s="30"/>
      <c r="AK121" s="57"/>
      <c r="AL121" s="57"/>
      <c r="AM121" s="57"/>
      <c r="AN121" s="57"/>
      <c r="AO121" s="57"/>
      <c r="AP121" s="57"/>
    </row>
    <row r="122" spans="1:42" ht="21" x14ac:dyDescent="0.5">
      <c r="A122" s="28"/>
      <c r="B122" s="67"/>
      <c r="C122" s="28"/>
      <c r="D122" s="19"/>
      <c r="E122" s="28"/>
      <c r="F122" s="28"/>
      <c r="G122" s="19"/>
      <c r="H122" s="28"/>
      <c r="I122" s="19"/>
      <c r="J122" s="19"/>
      <c r="K122" s="19"/>
      <c r="L122" s="19"/>
      <c r="M122" s="19"/>
      <c r="N122" s="19"/>
      <c r="O122" s="19"/>
      <c r="P122" s="28"/>
      <c r="Q122" s="19"/>
      <c r="R122" s="19"/>
      <c r="S122" s="19"/>
      <c r="T122" s="36"/>
      <c r="U122" s="43"/>
      <c r="V122" s="19"/>
      <c r="W122" s="28"/>
      <c r="X122" s="28"/>
      <c r="Y122" s="19"/>
      <c r="Z122" s="19"/>
      <c r="AA122" s="19"/>
      <c r="AB122" s="29"/>
      <c r="AC122" s="29"/>
      <c r="AD122" s="29"/>
      <c r="AE122" s="28"/>
      <c r="AF122" s="28"/>
      <c r="AG122" s="28"/>
      <c r="AH122" s="29"/>
      <c r="AI122" s="29"/>
      <c r="AJ122" s="30"/>
      <c r="AK122" s="57"/>
      <c r="AL122" s="57"/>
      <c r="AM122" s="57"/>
      <c r="AN122" s="57"/>
      <c r="AO122" s="57"/>
      <c r="AP122" s="57"/>
    </row>
    <row r="123" spans="1:42" ht="21" x14ac:dyDescent="0.5">
      <c r="A123" s="28"/>
      <c r="B123" s="67"/>
      <c r="C123" s="28"/>
      <c r="D123" s="19"/>
      <c r="E123" s="28"/>
      <c r="F123" s="28"/>
      <c r="G123" s="19"/>
      <c r="H123" s="28"/>
      <c r="I123" s="19"/>
      <c r="J123" s="19"/>
      <c r="K123" s="19"/>
      <c r="L123" s="19"/>
      <c r="M123" s="19"/>
      <c r="N123" s="19"/>
      <c r="O123" s="19"/>
      <c r="P123" s="28"/>
      <c r="Q123" s="19"/>
      <c r="R123" s="19"/>
      <c r="S123" s="19"/>
      <c r="T123" s="36"/>
      <c r="U123" s="43"/>
      <c r="V123" s="19"/>
      <c r="W123" s="28"/>
      <c r="X123" s="28"/>
      <c r="Y123" s="19"/>
      <c r="Z123" s="19"/>
      <c r="AA123" s="19"/>
      <c r="AB123" s="29"/>
      <c r="AC123" s="29"/>
      <c r="AD123" s="29"/>
      <c r="AE123" s="28"/>
      <c r="AF123" s="28"/>
      <c r="AG123" s="28"/>
      <c r="AH123" s="29"/>
      <c r="AI123" s="29"/>
      <c r="AJ123" s="30"/>
      <c r="AK123" s="57"/>
      <c r="AL123" s="57"/>
      <c r="AM123" s="57"/>
      <c r="AN123" s="57"/>
      <c r="AO123" s="57"/>
      <c r="AP123" s="57"/>
    </row>
    <row r="124" spans="1:42" ht="21" x14ac:dyDescent="0.5">
      <c r="A124" s="28"/>
      <c r="B124" s="67"/>
      <c r="C124" s="28"/>
      <c r="D124" s="19"/>
      <c r="E124" s="28"/>
      <c r="F124" s="28"/>
      <c r="G124" s="19"/>
      <c r="H124" s="28"/>
      <c r="I124" s="19"/>
      <c r="J124" s="19"/>
      <c r="K124" s="19"/>
      <c r="L124" s="19"/>
      <c r="M124" s="19"/>
      <c r="N124" s="19"/>
      <c r="O124" s="19"/>
      <c r="P124" s="28"/>
      <c r="Q124" s="19"/>
      <c r="R124" s="19"/>
      <c r="S124" s="19"/>
      <c r="T124" s="36"/>
      <c r="U124" s="43"/>
      <c r="V124" s="19"/>
      <c r="W124" s="28"/>
      <c r="X124" s="28"/>
      <c r="Y124" s="19"/>
      <c r="Z124" s="19"/>
      <c r="AA124" s="19"/>
      <c r="AB124" s="29"/>
      <c r="AC124" s="29"/>
      <c r="AD124" s="29"/>
      <c r="AE124" s="28"/>
      <c r="AF124" s="28"/>
      <c r="AG124" s="28"/>
      <c r="AH124" s="29"/>
      <c r="AI124" s="29"/>
      <c r="AJ124" s="30"/>
      <c r="AK124" s="57"/>
      <c r="AL124" s="57"/>
      <c r="AM124" s="57"/>
      <c r="AN124" s="57"/>
      <c r="AO124" s="57"/>
      <c r="AP124" s="57"/>
    </row>
    <row r="125" spans="1:42" ht="21" x14ac:dyDescent="0.5">
      <c r="A125" s="28"/>
      <c r="B125" s="67"/>
      <c r="C125" s="28"/>
      <c r="D125" s="19"/>
      <c r="E125" s="28"/>
      <c r="F125" s="28"/>
      <c r="G125" s="19"/>
      <c r="H125" s="28"/>
      <c r="I125" s="19"/>
      <c r="J125" s="19"/>
      <c r="K125" s="19"/>
      <c r="L125" s="19"/>
      <c r="M125" s="19"/>
      <c r="N125" s="19"/>
      <c r="O125" s="19"/>
      <c r="P125" s="28"/>
      <c r="Q125" s="19"/>
      <c r="R125" s="19"/>
      <c r="S125" s="19"/>
      <c r="T125" s="36"/>
      <c r="U125" s="43"/>
      <c r="V125" s="19"/>
      <c r="W125" s="28"/>
      <c r="X125" s="28"/>
      <c r="Y125" s="19"/>
      <c r="Z125" s="19"/>
      <c r="AA125" s="19"/>
      <c r="AB125" s="29"/>
      <c r="AC125" s="29"/>
      <c r="AD125" s="29"/>
      <c r="AE125" s="28"/>
      <c r="AF125" s="28"/>
      <c r="AG125" s="28"/>
      <c r="AH125" s="29"/>
      <c r="AI125" s="29"/>
      <c r="AJ125" s="30"/>
      <c r="AK125" s="57"/>
      <c r="AL125" s="57"/>
      <c r="AM125" s="57"/>
      <c r="AN125" s="57"/>
      <c r="AO125" s="57"/>
      <c r="AP125" s="57"/>
    </row>
    <row r="126" spans="1:42" ht="21" x14ac:dyDescent="0.5">
      <c r="A126" s="28"/>
      <c r="B126" s="67"/>
      <c r="C126" s="28"/>
      <c r="D126" s="19"/>
      <c r="E126" s="28"/>
      <c r="F126" s="28"/>
      <c r="G126" s="19"/>
      <c r="H126" s="28"/>
      <c r="I126" s="19"/>
      <c r="J126" s="19"/>
      <c r="K126" s="19"/>
      <c r="L126" s="19"/>
      <c r="M126" s="19"/>
      <c r="N126" s="19"/>
      <c r="O126" s="19"/>
      <c r="P126" s="28"/>
      <c r="Q126" s="19"/>
      <c r="R126" s="19"/>
      <c r="S126" s="19"/>
      <c r="T126" s="36"/>
      <c r="U126" s="43"/>
      <c r="V126" s="19"/>
      <c r="W126" s="28"/>
      <c r="X126" s="28"/>
      <c r="Y126" s="19"/>
      <c r="Z126" s="19"/>
      <c r="AA126" s="19"/>
      <c r="AB126" s="29"/>
      <c r="AC126" s="29"/>
      <c r="AD126" s="29"/>
      <c r="AE126" s="28"/>
      <c r="AF126" s="28"/>
      <c r="AG126" s="28"/>
      <c r="AH126" s="29"/>
      <c r="AI126" s="29"/>
      <c r="AJ126" s="30"/>
      <c r="AK126" s="57"/>
      <c r="AL126" s="57"/>
      <c r="AM126" s="57"/>
      <c r="AN126" s="57"/>
      <c r="AO126" s="57"/>
      <c r="AP126" s="57"/>
    </row>
    <row r="127" spans="1:42" ht="21" x14ac:dyDescent="0.5">
      <c r="A127" s="28"/>
      <c r="B127" s="67"/>
      <c r="C127" s="28"/>
      <c r="D127" s="19"/>
      <c r="E127" s="28"/>
      <c r="F127" s="28"/>
      <c r="G127" s="19"/>
      <c r="H127" s="28"/>
      <c r="I127" s="19"/>
      <c r="J127" s="19"/>
      <c r="K127" s="19"/>
      <c r="L127" s="19"/>
      <c r="M127" s="19"/>
      <c r="N127" s="19"/>
      <c r="O127" s="19"/>
      <c r="P127" s="28"/>
      <c r="Q127" s="19"/>
      <c r="R127" s="19"/>
      <c r="S127" s="19"/>
      <c r="T127" s="36"/>
      <c r="U127" s="43"/>
      <c r="V127" s="19"/>
      <c r="W127" s="28"/>
      <c r="X127" s="28"/>
      <c r="Y127" s="19"/>
      <c r="Z127" s="19"/>
      <c r="AA127" s="19"/>
      <c r="AB127" s="29"/>
      <c r="AC127" s="29"/>
      <c r="AD127" s="29"/>
      <c r="AE127" s="28"/>
      <c r="AF127" s="28"/>
      <c r="AG127" s="28"/>
      <c r="AH127" s="29"/>
      <c r="AI127" s="29"/>
      <c r="AJ127" s="30"/>
      <c r="AK127" s="57"/>
      <c r="AL127" s="57"/>
      <c r="AM127" s="57"/>
      <c r="AN127" s="57"/>
      <c r="AO127" s="57"/>
      <c r="AP127" s="57"/>
    </row>
    <row r="128" spans="1:42" ht="21" x14ac:dyDescent="0.5">
      <c r="A128" s="28"/>
      <c r="B128" s="67"/>
      <c r="C128" s="28"/>
      <c r="D128" s="19"/>
      <c r="E128" s="28"/>
      <c r="F128" s="28"/>
      <c r="G128" s="19"/>
      <c r="H128" s="28"/>
      <c r="I128" s="19"/>
      <c r="J128" s="19"/>
      <c r="K128" s="19"/>
      <c r="L128" s="19"/>
      <c r="M128" s="19"/>
      <c r="N128" s="19"/>
      <c r="O128" s="19"/>
      <c r="P128" s="28"/>
      <c r="Q128" s="19"/>
      <c r="R128" s="19"/>
      <c r="S128" s="19"/>
      <c r="T128" s="36"/>
      <c r="U128" s="43"/>
      <c r="V128" s="19"/>
      <c r="W128" s="28"/>
      <c r="X128" s="28"/>
      <c r="Y128" s="19"/>
      <c r="Z128" s="19"/>
      <c r="AA128" s="19"/>
      <c r="AB128" s="29"/>
      <c r="AC128" s="29"/>
      <c r="AD128" s="29"/>
      <c r="AE128" s="28"/>
      <c r="AF128" s="28"/>
      <c r="AG128" s="28"/>
      <c r="AH128" s="29"/>
      <c r="AI128" s="29"/>
      <c r="AJ128" s="30"/>
      <c r="AK128" s="57"/>
      <c r="AL128" s="57"/>
      <c r="AM128" s="57"/>
      <c r="AN128" s="57"/>
      <c r="AO128" s="57"/>
      <c r="AP128" s="57"/>
    </row>
    <row r="129" spans="1:42" ht="21" x14ac:dyDescent="0.5">
      <c r="A129" s="28"/>
      <c r="B129" s="67"/>
      <c r="C129" s="28"/>
      <c r="D129" s="19"/>
      <c r="E129" s="28"/>
      <c r="F129" s="28"/>
      <c r="G129" s="19"/>
      <c r="H129" s="28"/>
      <c r="I129" s="19"/>
      <c r="J129" s="19"/>
      <c r="K129" s="19"/>
      <c r="L129" s="19"/>
      <c r="M129" s="19"/>
      <c r="N129" s="19"/>
      <c r="O129" s="19"/>
      <c r="P129" s="28"/>
      <c r="Q129" s="19"/>
      <c r="R129" s="19"/>
      <c r="S129" s="19"/>
      <c r="T129" s="36"/>
      <c r="U129" s="43"/>
      <c r="V129" s="19"/>
      <c r="W129" s="28"/>
      <c r="X129" s="28"/>
      <c r="Y129" s="19"/>
      <c r="Z129" s="19"/>
      <c r="AA129" s="19"/>
      <c r="AB129" s="29"/>
      <c r="AC129" s="29"/>
      <c r="AD129" s="29"/>
      <c r="AE129" s="28"/>
      <c r="AF129" s="28"/>
      <c r="AG129" s="28"/>
      <c r="AH129" s="29"/>
      <c r="AI129" s="29"/>
      <c r="AJ129" s="30"/>
      <c r="AK129" s="57"/>
      <c r="AL129" s="57"/>
      <c r="AM129" s="57"/>
      <c r="AN129" s="57"/>
      <c r="AO129" s="57"/>
      <c r="AP129" s="57"/>
    </row>
    <row r="130" spans="1:42" ht="21" x14ac:dyDescent="0.5">
      <c r="A130" s="28"/>
      <c r="B130" s="67"/>
      <c r="C130" s="28"/>
      <c r="D130" s="19"/>
      <c r="E130" s="28"/>
      <c r="F130" s="28"/>
      <c r="G130" s="19"/>
      <c r="H130" s="28"/>
      <c r="I130" s="19"/>
      <c r="J130" s="19"/>
      <c r="K130" s="19"/>
      <c r="L130" s="19"/>
      <c r="M130" s="19"/>
      <c r="N130" s="19"/>
      <c r="O130" s="19"/>
      <c r="P130" s="28"/>
      <c r="Q130" s="19"/>
      <c r="R130" s="19"/>
      <c r="S130" s="19"/>
      <c r="T130" s="36"/>
      <c r="U130" s="43"/>
      <c r="V130" s="19"/>
      <c r="W130" s="28"/>
      <c r="X130" s="28"/>
      <c r="Y130" s="19"/>
      <c r="Z130" s="19"/>
      <c r="AA130" s="19"/>
      <c r="AB130" s="29"/>
      <c r="AC130" s="29"/>
      <c r="AD130" s="29"/>
      <c r="AE130" s="28"/>
      <c r="AF130" s="28"/>
      <c r="AG130" s="28"/>
      <c r="AH130" s="29"/>
      <c r="AI130" s="29"/>
      <c r="AJ130" s="30"/>
      <c r="AK130" s="57"/>
      <c r="AL130" s="57"/>
      <c r="AM130" s="57"/>
      <c r="AN130" s="57"/>
      <c r="AO130" s="57"/>
      <c r="AP130" s="57"/>
    </row>
    <row r="131" spans="1:42" ht="21" x14ac:dyDescent="0.5">
      <c r="A131" s="28"/>
      <c r="B131" s="67"/>
      <c r="C131" s="28"/>
      <c r="D131" s="19"/>
      <c r="E131" s="28"/>
      <c r="F131" s="28"/>
      <c r="G131" s="19"/>
      <c r="H131" s="28"/>
      <c r="I131" s="19"/>
      <c r="J131" s="19"/>
      <c r="K131" s="19"/>
      <c r="L131" s="19"/>
      <c r="M131" s="19"/>
      <c r="N131" s="19"/>
      <c r="O131" s="19"/>
      <c r="P131" s="28"/>
      <c r="Q131" s="19"/>
      <c r="R131" s="19"/>
      <c r="S131" s="19"/>
      <c r="T131" s="36"/>
      <c r="U131" s="43"/>
      <c r="V131" s="19"/>
      <c r="W131" s="28"/>
      <c r="X131" s="28"/>
      <c r="Y131" s="19"/>
      <c r="Z131" s="19"/>
      <c r="AA131" s="19"/>
      <c r="AB131" s="29"/>
      <c r="AC131" s="29"/>
      <c r="AD131" s="29"/>
      <c r="AE131" s="28"/>
      <c r="AF131" s="28"/>
      <c r="AG131" s="28"/>
      <c r="AH131" s="29"/>
      <c r="AI131" s="29"/>
      <c r="AJ131" s="30"/>
      <c r="AK131" s="57"/>
      <c r="AL131" s="57"/>
      <c r="AM131" s="57"/>
      <c r="AN131" s="57"/>
      <c r="AO131" s="57"/>
      <c r="AP131" s="57"/>
    </row>
    <row r="132" spans="1:42" ht="21" x14ac:dyDescent="0.5">
      <c r="A132" s="28"/>
      <c r="B132" s="67"/>
      <c r="C132" s="28"/>
      <c r="D132" s="19"/>
      <c r="E132" s="28"/>
      <c r="F132" s="28"/>
      <c r="G132" s="19"/>
      <c r="H132" s="28"/>
      <c r="I132" s="19"/>
      <c r="J132" s="19"/>
      <c r="K132" s="19"/>
      <c r="L132" s="19"/>
      <c r="M132" s="19"/>
      <c r="N132" s="19"/>
      <c r="O132" s="19"/>
      <c r="P132" s="28"/>
      <c r="Q132" s="19"/>
      <c r="R132" s="19"/>
      <c r="S132" s="19"/>
      <c r="T132" s="36"/>
      <c r="U132" s="43"/>
      <c r="V132" s="19"/>
      <c r="W132" s="28"/>
      <c r="X132" s="28"/>
      <c r="Y132" s="19"/>
      <c r="Z132" s="19"/>
      <c r="AA132" s="19"/>
      <c r="AB132" s="29"/>
      <c r="AC132" s="29"/>
      <c r="AD132" s="29"/>
      <c r="AE132" s="28"/>
      <c r="AF132" s="28"/>
      <c r="AG132" s="28"/>
      <c r="AH132" s="29"/>
      <c r="AI132" s="29"/>
      <c r="AJ132" s="30"/>
      <c r="AK132" s="57"/>
      <c r="AL132" s="57"/>
      <c r="AM132" s="57"/>
      <c r="AN132" s="57"/>
      <c r="AO132" s="57"/>
      <c r="AP132" s="57"/>
    </row>
    <row r="133" spans="1:42" ht="21" x14ac:dyDescent="0.5">
      <c r="A133" s="28"/>
      <c r="B133" s="67"/>
      <c r="C133" s="28"/>
      <c r="D133" s="19"/>
      <c r="E133" s="28"/>
      <c r="F133" s="28"/>
      <c r="G133" s="19"/>
      <c r="H133" s="28"/>
      <c r="I133" s="19"/>
      <c r="J133" s="19"/>
      <c r="K133" s="19"/>
      <c r="L133" s="19"/>
      <c r="M133" s="19"/>
      <c r="N133" s="19"/>
      <c r="O133" s="19"/>
      <c r="P133" s="28"/>
      <c r="Q133" s="19"/>
      <c r="R133" s="19"/>
      <c r="S133" s="19"/>
      <c r="T133" s="36"/>
      <c r="U133" s="43"/>
      <c r="V133" s="19"/>
      <c r="W133" s="28"/>
      <c r="X133" s="28"/>
      <c r="Y133" s="19"/>
      <c r="Z133" s="19"/>
      <c r="AA133" s="19"/>
      <c r="AB133" s="29"/>
      <c r="AC133" s="29"/>
      <c r="AD133" s="29"/>
      <c r="AE133" s="28"/>
      <c r="AF133" s="28"/>
      <c r="AG133" s="28"/>
      <c r="AH133" s="29"/>
      <c r="AI133" s="29"/>
      <c r="AJ133" s="30"/>
      <c r="AK133" s="57"/>
      <c r="AL133" s="57"/>
      <c r="AM133" s="57"/>
      <c r="AN133" s="57"/>
      <c r="AO133" s="57"/>
      <c r="AP133" s="57"/>
    </row>
    <row r="134" spans="1:42" ht="21" x14ac:dyDescent="0.5">
      <c r="A134" s="28"/>
      <c r="B134" s="67"/>
      <c r="C134" s="28"/>
      <c r="D134" s="19"/>
      <c r="E134" s="28"/>
      <c r="F134" s="28"/>
      <c r="G134" s="19"/>
      <c r="H134" s="28"/>
      <c r="I134" s="19"/>
      <c r="J134" s="19"/>
      <c r="K134" s="19"/>
      <c r="L134" s="19"/>
      <c r="M134" s="19"/>
      <c r="N134" s="19"/>
      <c r="O134" s="19"/>
      <c r="P134" s="28"/>
      <c r="Q134" s="19"/>
      <c r="R134" s="19"/>
      <c r="S134" s="19"/>
      <c r="T134" s="36"/>
      <c r="U134" s="43"/>
      <c r="V134" s="19"/>
      <c r="W134" s="28"/>
      <c r="X134" s="28"/>
      <c r="Y134" s="19"/>
      <c r="Z134" s="19"/>
      <c r="AA134" s="19"/>
      <c r="AB134" s="29"/>
      <c r="AC134" s="29"/>
      <c r="AD134" s="29"/>
      <c r="AE134" s="28"/>
      <c r="AF134" s="28"/>
      <c r="AG134" s="28"/>
      <c r="AH134" s="29"/>
      <c r="AI134" s="29"/>
      <c r="AJ134" s="30"/>
      <c r="AK134" s="57"/>
      <c r="AL134" s="57"/>
      <c r="AM134" s="57"/>
      <c r="AN134" s="57"/>
      <c r="AO134" s="57"/>
      <c r="AP134" s="57"/>
    </row>
    <row r="135" spans="1:42" ht="21" x14ac:dyDescent="0.5">
      <c r="A135" s="28"/>
      <c r="B135" s="67"/>
      <c r="C135" s="28"/>
      <c r="D135" s="19"/>
      <c r="E135" s="28"/>
      <c r="F135" s="28"/>
      <c r="G135" s="19"/>
      <c r="H135" s="28"/>
      <c r="I135" s="19"/>
      <c r="J135" s="19"/>
      <c r="K135" s="19"/>
      <c r="L135" s="19"/>
      <c r="M135" s="19"/>
      <c r="N135" s="19"/>
      <c r="O135" s="19"/>
      <c r="P135" s="28"/>
      <c r="Q135" s="19"/>
      <c r="R135" s="19"/>
      <c r="S135" s="19"/>
      <c r="T135" s="36"/>
      <c r="U135" s="43"/>
      <c r="V135" s="19"/>
      <c r="W135" s="28"/>
      <c r="X135" s="28"/>
      <c r="Y135" s="19"/>
      <c r="Z135" s="19"/>
      <c r="AA135" s="19"/>
      <c r="AB135" s="29"/>
      <c r="AC135" s="29"/>
      <c r="AD135" s="29"/>
      <c r="AE135" s="28"/>
      <c r="AF135" s="28"/>
      <c r="AG135" s="28"/>
      <c r="AH135" s="29"/>
      <c r="AI135" s="29"/>
      <c r="AJ135" s="30"/>
      <c r="AK135" s="57"/>
      <c r="AL135" s="57"/>
      <c r="AM135" s="57"/>
      <c r="AN135" s="57"/>
      <c r="AO135" s="57"/>
      <c r="AP135" s="57"/>
    </row>
    <row r="136" spans="1:42" ht="21" x14ac:dyDescent="0.5">
      <c r="A136" s="28"/>
      <c r="B136" s="67"/>
      <c r="C136" s="28"/>
      <c r="D136" s="19"/>
      <c r="E136" s="28"/>
      <c r="F136" s="28"/>
      <c r="G136" s="19"/>
      <c r="H136" s="28"/>
      <c r="I136" s="19"/>
      <c r="J136" s="19"/>
      <c r="K136" s="19"/>
      <c r="L136" s="19"/>
      <c r="M136" s="19"/>
      <c r="N136" s="19"/>
      <c r="O136" s="19"/>
      <c r="P136" s="28"/>
      <c r="Q136" s="19"/>
      <c r="R136" s="19"/>
      <c r="S136" s="19"/>
      <c r="T136" s="36"/>
      <c r="U136" s="43"/>
      <c r="V136" s="19"/>
      <c r="W136" s="28"/>
      <c r="X136" s="28"/>
      <c r="Y136" s="19"/>
      <c r="Z136" s="19"/>
      <c r="AA136" s="19"/>
      <c r="AB136" s="29"/>
      <c r="AC136" s="29"/>
      <c r="AD136" s="29"/>
      <c r="AE136" s="28"/>
      <c r="AF136" s="28"/>
      <c r="AG136" s="28"/>
      <c r="AH136" s="29"/>
      <c r="AI136" s="29"/>
      <c r="AJ136" s="30"/>
      <c r="AK136" s="57"/>
      <c r="AL136" s="57"/>
      <c r="AM136" s="57"/>
      <c r="AN136" s="57"/>
      <c r="AO136" s="57"/>
      <c r="AP136" s="57"/>
    </row>
    <row r="137" spans="1:42" ht="21" x14ac:dyDescent="0.5">
      <c r="A137" s="28"/>
      <c r="B137" s="67"/>
      <c r="C137" s="28"/>
      <c r="D137" s="19"/>
      <c r="E137" s="28"/>
      <c r="F137" s="28"/>
      <c r="G137" s="19"/>
      <c r="H137" s="28"/>
      <c r="I137" s="19"/>
      <c r="J137" s="19"/>
      <c r="K137" s="19"/>
      <c r="L137" s="19"/>
      <c r="M137" s="19"/>
      <c r="N137" s="19"/>
      <c r="O137" s="19"/>
      <c r="P137" s="28"/>
      <c r="Q137" s="19"/>
      <c r="R137" s="19"/>
      <c r="S137" s="19"/>
      <c r="T137" s="36"/>
      <c r="U137" s="43"/>
      <c r="V137" s="19"/>
      <c r="W137" s="28"/>
      <c r="X137" s="28"/>
      <c r="Y137" s="19"/>
      <c r="Z137" s="19"/>
      <c r="AA137" s="19"/>
      <c r="AB137" s="29"/>
      <c r="AC137" s="29"/>
      <c r="AD137" s="29"/>
      <c r="AE137" s="28"/>
      <c r="AF137" s="28"/>
      <c r="AG137" s="28"/>
      <c r="AH137" s="29"/>
      <c r="AI137" s="29"/>
      <c r="AJ137" s="30"/>
      <c r="AK137" s="57"/>
      <c r="AL137" s="57"/>
      <c r="AM137" s="57"/>
      <c r="AN137" s="57"/>
      <c r="AO137" s="57"/>
      <c r="AP137" s="57"/>
    </row>
    <row r="138" spans="1:42" ht="21" x14ac:dyDescent="0.5">
      <c r="A138" s="28"/>
      <c r="B138" s="67"/>
      <c r="C138" s="28"/>
      <c r="D138" s="19"/>
      <c r="E138" s="28"/>
      <c r="F138" s="28"/>
      <c r="G138" s="19"/>
      <c r="H138" s="28"/>
      <c r="I138" s="19"/>
      <c r="J138" s="19"/>
      <c r="K138" s="19"/>
      <c r="L138" s="19"/>
      <c r="M138" s="19"/>
      <c r="N138" s="19"/>
      <c r="O138" s="19"/>
      <c r="P138" s="28"/>
      <c r="Q138" s="19"/>
      <c r="R138" s="19"/>
      <c r="S138" s="19"/>
      <c r="T138" s="36"/>
      <c r="U138" s="43"/>
      <c r="V138" s="19"/>
      <c r="W138" s="28"/>
      <c r="X138" s="28"/>
      <c r="Y138" s="19"/>
      <c r="Z138" s="19"/>
      <c r="AA138" s="19"/>
      <c r="AB138" s="29"/>
      <c r="AC138" s="29"/>
      <c r="AD138" s="29"/>
      <c r="AE138" s="28"/>
      <c r="AF138" s="28"/>
      <c r="AG138" s="28"/>
      <c r="AH138" s="29"/>
      <c r="AI138" s="29"/>
      <c r="AJ138" s="30"/>
      <c r="AK138" s="57"/>
      <c r="AL138" s="57"/>
      <c r="AM138" s="57"/>
      <c r="AN138" s="57"/>
      <c r="AO138" s="57"/>
      <c r="AP138" s="57"/>
    </row>
    <row r="139" spans="1:42" ht="21" x14ac:dyDescent="0.5">
      <c r="A139" s="28"/>
      <c r="B139" s="67"/>
      <c r="C139" s="28"/>
      <c r="D139" s="19"/>
      <c r="E139" s="28"/>
      <c r="F139" s="28"/>
      <c r="G139" s="19"/>
      <c r="H139" s="28"/>
      <c r="I139" s="19"/>
      <c r="J139" s="19"/>
      <c r="K139" s="19"/>
      <c r="L139" s="19"/>
      <c r="M139" s="19"/>
      <c r="N139" s="19"/>
      <c r="O139" s="19"/>
      <c r="P139" s="28"/>
      <c r="Q139" s="19"/>
      <c r="R139" s="19"/>
      <c r="S139" s="19"/>
      <c r="T139" s="36"/>
      <c r="U139" s="43"/>
      <c r="V139" s="19"/>
      <c r="W139" s="28"/>
      <c r="X139" s="28"/>
      <c r="Y139" s="19"/>
      <c r="Z139" s="19"/>
      <c r="AA139" s="19"/>
      <c r="AB139" s="29"/>
      <c r="AC139" s="29"/>
      <c r="AD139" s="29"/>
      <c r="AE139" s="28"/>
      <c r="AF139" s="28"/>
      <c r="AG139" s="28"/>
      <c r="AH139" s="29"/>
      <c r="AI139" s="29"/>
      <c r="AJ139" s="30"/>
      <c r="AK139" s="57"/>
      <c r="AL139" s="57"/>
      <c r="AM139" s="57"/>
      <c r="AN139" s="57"/>
      <c r="AO139" s="57"/>
      <c r="AP139" s="57"/>
    </row>
    <row r="140" spans="1:42" ht="21" x14ac:dyDescent="0.5">
      <c r="A140" s="28"/>
      <c r="B140" s="67"/>
      <c r="C140" s="28"/>
      <c r="D140" s="19"/>
      <c r="E140" s="28"/>
      <c r="F140" s="28"/>
      <c r="G140" s="19"/>
      <c r="H140" s="28"/>
      <c r="I140" s="19"/>
      <c r="J140" s="19"/>
      <c r="K140" s="19"/>
      <c r="L140" s="19"/>
      <c r="M140" s="19"/>
      <c r="N140" s="19"/>
      <c r="O140" s="19"/>
      <c r="P140" s="28"/>
      <c r="Q140" s="19"/>
      <c r="R140" s="19"/>
      <c r="S140" s="19"/>
      <c r="T140" s="36"/>
      <c r="U140" s="43"/>
      <c r="V140" s="19"/>
      <c r="W140" s="28"/>
      <c r="X140" s="28"/>
      <c r="Y140" s="19"/>
      <c r="Z140" s="19"/>
      <c r="AA140" s="19"/>
      <c r="AB140" s="29"/>
      <c r="AC140" s="29"/>
      <c r="AD140" s="29"/>
      <c r="AE140" s="28"/>
      <c r="AF140" s="28"/>
      <c r="AG140" s="28"/>
      <c r="AH140" s="29"/>
      <c r="AI140" s="29"/>
      <c r="AJ140" s="30"/>
      <c r="AK140" s="57"/>
      <c r="AL140" s="57"/>
      <c r="AM140" s="57"/>
      <c r="AN140" s="57"/>
      <c r="AO140" s="57"/>
      <c r="AP140" s="57"/>
    </row>
    <row r="141" spans="1:42" ht="21" x14ac:dyDescent="0.5">
      <c r="A141" s="28"/>
      <c r="B141" s="67"/>
      <c r="C141" s="28"/>
      <c r="D141" s="19"/>
      <c r="E141" s="28"/>
      <c r="F141" s="28"/>
      <c r="G141" s="19"/>
      <c r="H141" s="28"/>
      <c r="I141" s="19"/>
      <c r="J141" s="19"/>
      <c r="K141" s="19"/>
      <c r="L141" s="19"/>
      <c r="M141" s="19"/>
      <c r="N141" s="19"/>
      <c r="O141" s="19"/>
      <c r="P141" s="28"/>
      <c r="Q141" s="19"/>
      <c r="R141" s="19"/>
      <c r="S141" s="19"/>
      <c r="T141" s="36"/>
      <c r="U141" s="43"/>
      <c r="V141" s="19"/>
      <c r="W141" s="28"/>
      <c r="X141" s="28"/>
      <c r="Y141" s="19"/>
      <c r="Z141" s="19"/>
      <c r="AA141" s="19"/>
      <c r="AB141" s="29"/>
      <c r="AC141" s="29"/>
      <c r="AD141" s="29"/>
      <c r="AE141" s="28"/>
      <c r="AF141" s="28"/>
      <c r="AG141" s="28"/>
      <c r="AH141" s="29"/>
      <c r="AI141" s="29"/>
      <c r="AJ141" s="30"/>
      <c r="AK141" s="57"/>
      <c r="AL141" s="57"/>
      <c r="AM141" s="57"/>
      <c r="AN141" s="57"/>
      <c r="AO141" s="57"/>
      <c r="AP141" s="57"/>
    </row>
    <row r="142" spans="1:42" ht="21" x14ac:dyDescent="0.5">
      <c r="A142" s="28"/>
      <c r="B142" s="67"/>
      <c r="C142" s="28"/>
      <c r="D142" s="19"/>
      <c r="E142" s="28"/>
      <c r="F142" s="28"/>
      <c r="G142" s="19"/>
      <c r="H142" s="28"/>
      <c r="I142" s="19"/>
      <c r="J142" s="19"/>
      <c r="K142" s="19"/>
      <c r="L142" s="19"/>
      <c r="M142" s="19"/>
      <c r="N142" s="19"/>
      <c r="O142" s="19"/>
      <c r="P142" s="28"/>
      <c r="Q142" s="19"/>
      <c r="R142" s="19"/>
      <c r="S142" s="19"/>
      <c r="T142" s="36"/>
      <c r="U142" s="43"/>
      <c r="V142" s="19"/>
      <c r="W142" s="28"/>
      <c r="X142" s="28"/>
      <c r="Y142" s="19"/>
      <c r="Z142" s="19"/>
      <c r="AA142" s="19"/>
      <c r="AB142" s="29"/>
      <c r="AC142" s="29"/>
      <c r="AD142" s="29"/>
      <c r="AE142" s="28"/>
      <c r="AF142" s="28"/>
      <c r="AG142" s="28"/>
      <c r="AH142" s="29"/>
      <c r="AI142" s="29"/>
      <c r="AJ142" s="30"/>
      <c r="AK142" s="57"/>
      <c r="AL142" s="57"/>
      <c r="AM142" s="57"/>
      <c r="AN142" s="57"/>
      <c r="AO142" s="57"/>
      <c r="AP142" s="57"/>
    </row>
    <row r="143" spans="1:42" ht="21" x14ac:dyDescent="0.5">
      <c r="A143" s="28"/>
      <c r="B143" s="67"/>
      <c r="C143" s="28"/>
      <c r="D143" s="19"/>
      <c r="E143" s="28"/>
      <c r="F143" s="28"/>
      <c r="G143" s="19"/>
      <c r="H143" s="28"/>
      <c r="I143" s="19"/>
      <c r="J143" s="19"/>
      <c r="K143" s="19"/>
      <c r="L143" s="19"/>
      <c r="M143" s="19"/>
      <c r="N143" s="19"/>
      <c r="O143" s="19"/>
      <c r="P143" s="28"/>
      <c r="Q143" s="19"/>
      <c r="R143" s="19"/>
      <c r="S143" s="19"/>
      <c r="T143" s="36"/>
      <c r="U143" s="43"/>
      <c r="V143" s="19"/>
      <c r="W143" s="28"/>
      <c r="X143" s="28"/>
      <c r="Y143" s="19"/>
      <c r="Z143" s="19"/>
      <c r="AA143" s="19"/>
      <c r="AB143" s="29"/>
      <c r="AC143" s="29"/>
      <c r="AD143" s="29"/>
      <c r="AE143" s="28"/>
      <c r="AF143" s="28"/>
      <c r="AG143" s="28"/>
      <c r="AH143" s="29"/>
      <c r="AI143" s="29"/>
      <c r="AJ143" s="30"/>
      <c r="AK143" s="57"/>
      <c r="AL143" s="57"/>
      <c r="AM143" s="57"/>
      <c r="AN143" s="57"/>
      <c r="AO143" s="57"/>
      <c r="AP143" s="57"/>
    </row>
    <row r="144" spans="1:42" ht="21" x14ac:dyDescent="0.5">
      <c r="A144" s="28"/>
      <c r="B144" s="67"/>
      <c r="C144" s="28"/>
      <c r="D144" s="19"/>
      <c r="E144" s="28"/>
      <c r="F144" s="28"/>
      <c r="G144" s="19"/>
      <c r="H144" s="28"/>
      <c r="I144" s="19"/>
      <c r="J144" s="19"/>
      <c r="K144" s="19"/>
      <c r="L144" s="19"/>
      <c r="M144" s="19"/>
      <c r="N144" s="19"/>
      <c r="O144" s="19"/>
      <c r="P144" s="28"/>
      <c r="Q144" s="19"/>
      <c r="R144" s="19"/>
      <c r="S144" s="19"/>
      <c r="T144" s="36"/>
      <c r="U144" s="43"/>
      <c r="V144" s="19"/>
      <c r="W144" s="28"/>
      <c r="X144" s="28"/>
      <c r="Y144" s="19"/>
      <c r="Z144" s="19"/>
      <c r="AA144" s="19"/>
      <c r="AB144" s="29"/>
      <c r="AC144" s="29"/>
      <c r="AD144" s="29"/>
      <c r="AE144" s="28"/>
      <c r="AF144" s="28"/>
      <c r="AG144" s="28"/>
      <c r="AH144" s="29"/>
      <c r="AI144" s="29"/>
      <c r="AJ144" s="30"/>
      <c r="AK144" s="57"/>
      <c r="AL144" s="57"/>
      <c r="AM144" s="57"/>
      <c r="AN144" s="57"/>
      <c r="AO144" s="57"/>
      <c r="AP144" s="57"/>
    </row>
    <row r="145" spans="1:42" ht="21" x14ac:dyDescent="0.5">
      <c r="A145" s="28"/>
      <c r="B145" s="67"/>
      <c r="C145" s="28"/>
      <c r="D145" s="19"/>
      <c r="E145" s="28"/>
      <c r="F145" s="28"/>
      <c r="G145" s="19"/>
      <c r="H145" s="28"/>
      <c r="I145" s="19"/>
      <c r="J145" s="19"/>
      <c r="K145" s="19"/>
      <c r="L145" s="19"/>
      <c r="M145" s="19"/>
      <c r="N145" s="19"/>
      <c r="O145" s="19"/>
      <c r="P145" s="28"/>
      <c r="Q145" s="19"/>
      <c r="R145" s="19"/>
      <c r="S145" s="19"/>
      <c r="T145" s="36"/>
      <c r="U145" s="43"/>
      <c r="V145" s="19"/>
      <c r="W145" s="28"/>
      <c r="X145" s="28"/>
      <c r="Y145" s="19"/>
      <c r="Z145" s="19"/>
      <c r="AA145" s="19"/>
      <c r="AB145" s="29"/>
      <c r="AC145" s="29"/>
      <c r="AD145" s="29"/>
      <c r="AE145" s="28"/>
      <c r="AF145" s="28"/>
      <c r="AG145" s="28"/>
      <c r="AH145" s="29"/>
      <c r="AI145" s="29"/>
      <c r="AJ145" s="30"/>
      <c r="AK145" s="57"/>
      <c r="AL145" s="57"/>
      <c r="AM145" s="57"/>
      <c r="AN145" s="57"/>
      <c r="AO145" s="57"/>
      <c r="AP145" s="57"/>
    </row>
    <row r="146" spans="1:42" ht="21" x14ac:dyDescent="0.5">
      <c r="A146" s="28"/>
      <c r="B146" s="67"/>
      <c r="C146" s="28"/>
      <c r="D146" s="19"/>
      <c r="E146" s="28"/>
      <c r="F146" s="28"/>
      <c r="G146" s="19"/>
      <c r="H146" s="28"/>
      <c r="I146" s="19"/>
      <c r="J146" s="19"/>
      <c r="K146" s="19"/>
      <c r="L146" s="19"/>
      <c r="M146" s="19"/>
      <c r="N146" s="19"/>
      <c r="O146" s="19"/>
      <c r="P146" s="28"/>
      <c r="Q146" s="19"/>
      <c r="R146" s="19"/>
      <c r="S146" s="19"/>
      <c r="T146" s="36"/>
      <c r="U146" s="43"/>
      <c r="V146" s="19"/>
      <c r="W146" s="28"/>
      <c r="X146" s="28"/>
      <c r="Y146" s="19"/>
      <c r="Z146" s="19"/>
      <c r="AA146" s="19"/>
      <c r="AB146" s="29"/>
      <c r="AC146" s="29"/>
      <c r="AD146" s="29"/>
      <c r="AE146" s="28"/>
      <c r="AF146" s="28"/>
      <c r="AG146" s="28"/>
      <c r="AH146" s="29"/>
      <c r="AI146" s="29"/>
      <c r="AJ146" s="30"/>
      <c r="AK146" s="57"/>
      <c r="AL146" s="57"/>
      <c r="AM146" s="57"/>
      <c r="AN146" s="57"/>
      <c r="AO146" s="57"/>
      <c r="AP146" s="57"/>
    </row>
    <row r="147" spans="1:42" ht="21" x14ac:dyDescent="0.5">
      <c r="A147" s="28"/>
      <c r="B147" s="67"/>
      <c r="C147" s="28"/>
      <c r="D147" s="19"/>
      <c r="E147" s="28"/>
      <c r="F147" s="28"/>
      <c r="G147" s="19"/>
      <c r="H147" s="28"/>
      <c r="I147" s="19"/>
      <c r="J147" s="19"/>
      <c r="K147" s="19"/>
      <c r="L147" s="19"/>
      <c r="M147" s="19"/>
      <c r="N147" s="19"/>
      <c r="O147" s="19"/>
      <c r="P147" s="28"/>
      <c r="Q147" s="19"/>
      <c r="R147" s="19"/>
      <c r="S147" s="19"/>
      <c r="T147" s="36"/>
      <c r="U147" s="43"/>
      <c r="V147" s="19"/>
      <c r="W147" s="28"/>
      <c r="X147" s="28"/>
      <c r="Y147" s="19"/>
      <c r="Z147" s="19"/>
      <c r="AA147" s="19"/>
      <c r="AB147" s="29"/>
      <c r="AC147" s="29"/>
      <c r="AD147" s="29"/>
      <c r="AE147" s="28"/>
      <c r="AF147" s="28"/>
      <c r="AG147" s="28"/>
      <c r="AH147" s="29"/>
      <c r="AI147" s="29"/>
      <c r="AJ147" s="30"/>
      <c r="AK147" s="57"/>
      <c r="AL147" s="57"/>
      <c r="AM147" s="57"/>
      <c r="AN147" s="57"/>
      <c r="AO147" s="57"/>
      <c r="AP147" s="57"/>
    </row>
    <row r="148" spans="1:42" ht="21" x14ac:dyDescent="0.5">
      <c r="A148" s="28"/>
      <c r="B148" s="67"/>
      <c r="C148" s="28"/>
      <c r="D148" s="19"/>
      <c r="E148" s="28"/>
      <c r="F148" s="28"/>
      <c r="G148" s="19"/>
      <c r="H148" s="28"/>
      <c r="I148" s="19"/>
      <c r="J148" s="19"/>
      <c r="K148" s="19"/>
      <c r="L148" s="19"/>
      <c r="M148" s="19"/>
      <c r="N148" s="19"/>
      <c r="O148" s="19"/>
      <c r="P148" s="28"/>
      <c r="Q148" s="19"/>
      <c r="R148" s="19"/>
      <c r="S148" s="19"/>
      <c r="T148" s="36"/>
      <c r="U148" s="43"/>
      <c r="V148" s="19"/>
      <c r="W148" s="28"/>
      <c r="X148" s="28"/>
      <c r="Y148" s="19"/>
      <c r="Z148" s="19"/>
      <c r="AA148" s="19"/>
      <c r="AB148" s="29"/>
      <c r="AC148" s="29"/>
      <c r="AD148" s="29"/>
      <c r="AE148" s="28"/>
      <c r="AF148" s="28"/>
      <c r="AG148" s="28"/>
      <c r="AH148" s="29"/>
      <c r="AI148" s="29"/>
      <c r="AJ148" s="30"/>
      <c r="AK148" s="57"/>
      <c r="AL148" s="57"/>
      <c r="AM148" s="57"/>
      <c r="AN148" s="57"/>
      <c r="AO148" s="57"/>
      <c r="AP148" s="57"/>
    </row>
    <row r="149" spans="1:42" ht="21" x14ac:dyDescent="0.5">
      <c r="A149" s="28"/>
      <c r="B149" s="67"/>
      <c r="C149" s="28"/>
      <c r="D149" s="19"/>
      <c r="E149" s="28"/>
      <c r="F149" s="28"/>
      <c r="G149" s="19"/>
      <c r="H149" s="28"/>
      <c r="I149" s="19"/>
      <c r="J149" s="19"/>
      <c r="K149" s="19"/>
      <c r="L149" s="19"/>
      <c r="M149" s="19"/>
      <c r="N149" s="19"/>
      <c r="O149" s="19"/>
      <c r="P149" s="28"/>
      <c r="Q149" s="19"/>
      <c r="R149" s="19"/>
      <c r="S149" s="19"/>
      <c r="T149" s="36"/>
      <c r="U149" s="43"/>
      <c r="V149" s="19"/>
      <c r="W149" s="28"/>
      <c r="X149" s="28"/>
      <c r="Y149" s="19"/>
      <c r="Z149" s="19"/>
      <c r="AA149" s="19"/>
      <c r="AB149" s="29"/>
      <c r="AC149" s="29"/>
      <c r="AD149" s="29"/>
      <c r="AE149" s="28"/>
      <c r="AF149" s="28"/>
      <c r="AG149" s="28"/>
      <c r="AH149" s="29"/>
      <c r="AI149" s="29"/>
      <c r="AJ149" s="30"/>
      <c r="AK149" s="57"/>
      <c r="AL149" s="57"/>
      <c r="AM149" s="57"/>
      <c r="AN149" s="57"/>
      <c r="AO149" s="57"/>
      <c r="AP149" s="57"/>
    </row>
    <row r="150" spans="1:42" ht="21" x14ac:dyDescent="0.5">
      <c r="A150" s="28"/>
      <c r="B150" s="67"/>
      <c r="C150" s="28"/>
      <c r="D150" s="19"/>
      <c r="E150" s="28"/>
      <c r="F150" s="28"/>
      <c r="G150" s="19"/>
      <c r="H150" s="28"/>
      <c r="I150" s="19"/>
      <c r="J150" s="19"/>
      <c r="K150" s="19"/>
      <c r="L150" s="19"/>
      <c r="M150" s="19"/>
      <c r="N150" s="19"/>
      <c r="O150" s="19"/>
      <c r="P150" s="28"/>
      <c r="Q150" s="19"/>
      <c r="R150" s="19"/>
      <c r="S150" s="19"/>
      <c r="T150" s="36"/>
      <c r="U150" s="43"/>
      <c r="V150" s="19"/>
      <c r="W150" s="28"/>
      <c r="X150" s="28"/>
      <c r="Y150" s="19"/>
      <c r="Z150" s="19"/>
      <c r="AA150" s="19"/>
      <c r="AB150" s="29"/>
      <c r="AC150" s="29"/>
      <c r="AD150" s="29"/>
      <c r="AE150" s="28"/>
      <c r="AF150" s="28"/>
      <c r="AG150" s="28"/>
      <c r="AH150" s="29"/>
      <c r="AI150" s="29"/>
      <c r="AJ150" s="30"/>
      <c r="AK150" s="57"/>
      <c r="AL150" s="57"/>
      <c r="AM150" s="57"/>
      <c r="AN150" s="57"/>
      <c r="AO150" s="57"/>
      <c r="AP150" s="57"/>
    </row>
    <row r="151" spans="1:42" ht="21" x14ac:dyDescent="0.5">
      <c r="A151" s="28"/>
      <c r="B151" s="67"/>
      <c r="C151" s="28"/>
      <c r="D151" s="19"/>
      <c r="E151" s="28"/>
      <c r="F151" s="28"/>
      <c r="G151" s="19"/>
      <c r="H151" s="28"/>
      <c r="I151" s="19"/>
      <c r="J151" s="19"/>
      <c r="K151" s="19"/>
      <c r="L151" s="19"/>
      <c r="M151" s="19"/>
      <c r="N151" s="19"/>
      <c r="O151" s="19"/>
      <c r="P151" s="28"/>
      <c r="Q151" s="19"/>
      <c r="R151" s="19"/>
      <c r="S151" s="19"/>
      <c r="T151" s="36"/>
      <c r="U151" s="43"/>
      <c r="V151" s="19"/>
      <c r="W151" s="28"/>
      <c r="X151" s="28"/>
      <c r="Y151" s="19"/>
      <c r="Z151" s="19"/>
      <c r="AA151" s="19"/>
      <c r="AB151" s="29"/>
      <c r="AC151" s="29"/>
      <c r="AD151" s="29"/>
      <c r="AE151" s="28"/>
      <c r="AF151" s="28"/>
      <c r="AG151" s="28"/>
      <c r="AH151" s="29"/>
      <c r="AI151" s="29"/>
      <c r="AJ151" s="30"/>
      <c r="AK151" s="57"/>
      <c r="AL151" s="57"/>
      <c r="AM151" s="57"/>
      <c r="AN151" s="57"/>
      <c r="AO151" s="57"/>
      <c r="AP151" s="57"/>
    </row>
    <row r="152" spans="1:42" ht="21" x14ac:dyDescent="0.5">
      <c r="A152" s="28"/>
      <c r="B152" s="67"/>
      <c r="C152" s="28"/>
      <c r="D152" s="19"/>
      <c r="E152" s="28"/>
      <c r="F152" s="28"/>
      <c r="G152" s="19"/>
      <c r="H152" s="28"/>
      <c r="I152" s="19"/>
      <c r="J152" s="19"/>
      <c r="K152" s="19"/>
      <c r="L152" s="19"/>
      <c r="M152" s="19"/>
      <c r="N152" s="19"/>
      <c r="O152" s="19"/>
      <c r="P152" s="28"/>
      <c r="Q152" s="19"/>
      <c r="R152" s="19"/>
      <c r="S152" s="19"/>
      <c r="T152" s="36"/>
      <c r="U152" s="43"/>
      <c r="V152" s="19"/>
      <c r="W152" s="28"/>
      <c r="X152" s="28"/>
      <c r="Y152" s="19"/>
      <c r="Z152" s="19"/>
      <c r="AA152" s="19"/>
      <c r="AB152" s="29"/>
      <c r="AC152" s="29"/>
      <c r="AD152" s="29"/>
      <c r="AE152" s="28"/>
      <c r="AF152" s="28"/>
      <c r="AG152" s="28"/>
      <c r="AH152" s="29"/>
      <c r="AI152" s="29"/>
      <c r="AJ152" s="30"/>
      <c r="AK152" s="57"/>
      <c r="AL152" s="57"/>
      <c r="AM152" s="57"/>
      <c r="AN152" s="57"/>
      <c r="AO152" s="57"/>
      <c r="AP152" s="57"/>
    </row>
    <row r="153" spans="1:42" ht="21" x14ac:dyDescent="0.5">
      <c r="A153" s="28"/>
      <c r="B153" s="67"/>
      <c r="C153" s="28"/>
      <c r="D153" s="19"/>
      <c r="E153" s="28"/>
      <c r="F153" s="28"/>
      <c r="G153" s="19"/>
      <c r="H153" s="28"/>
      <c r="I153" s="19"/>
      <c r="J153" s="19"/>
      <c r="K153" s="19"/>
      <c r="L153" s="19"/>
      <c r="M153" s="19"/>
      <c r="N153" s="19"/>
      <c r="O153" s="19"/>
      <c r="P153" s="28"/>
      <c r="Q153" s="19"/>
      <c r="R153" s="19"/>
      <c r="S153" s="19"/>
      <c r="T153" s="36"/>
      <c r="U153" s="43"/>
      <c r="V153" s="19"/>
      <c r="W153" s="28"/>
      <c r="X153" s="28"/>
      <c r="Y153" s="19"/>
      <c r="Z153" s="19"/>
      <c r="AA153" s="19"/>
      <c r="AB153" s="29"/>
      <c r="AC153" s="29"/>
      <c r="AD153" s="29"/>
      <c r="AE153" s="28"/>
      <c r="AF153" s="28"/>
      <c r="AG153" s="28"/>
      <c r="AH153" s="29"/>
      <c r="AI153" s="29"/>
      <c r="AJ153" s="30"/>
      <c r="AK153" s="57"/>
      <c r="AL153" s="57"/>
      <c r="AM153" s="57"/>
      <c r="AN153" s="57"/>
      <c r="AO153" s="57"/>
      <c r="AP153" s="57"/>
    </row>
    <row r="154" spans="1:42" ht="21" x14ac:dyDescent="0.5">
      <c r="A154" s="28"/>
      <c r="B154" s="67"/>
      <c r="C154" s="28"/>
      <c r="D154" s="19"/>
      <c r="E154" s="28"/>
      <c r="F154" s="28"/>
      <c r="G154" s="19"/>
      <c r="H154" s="28"/>
      <c r="I154" s="19"/>
      <c r="J154" s="19"/>
      <c r="K154" s="19"/>
      <c r="L154" s="19"/>
      <c r="M154" s="19"/>
      <c r="N154" s="19"/>
      <c r="O154" s="19"/>
      <c r="P154" s="28"/>
      <c r="Q154" s="19"/>
      <c r="R154" s="19"/>
      <c r="S154" s="19"/>
      <c r="T154" s="36"/>
      <c r="U154" s="43"/>
      <c r="V154" s="19"/>
      <c r="W154" s="28"/>
      <c r="X154" s="28"/>
      <c r="Y154" s="19"/>
      <c r="Z154" s="19"/>
      <c r="AA154" s="19"/>
      <c r="AB154" s="29"/>
      <c r="AC154" s="29"/>
      <c r="AD154" s="29"/>
      <c r="AE154" s="28"/>
      <c r="AF154" s="28"/>
      <c r="AG154" s="28"/>
      <c r="AH154" s="29"/>
      <c r="AI154" s="29"/>
      <c r="AJ154" s="30"/>
      <c r="AK154" s="57"/>
      <c r="AL154" s="57"/>
      <c r="AM154" s="57"/>
      <c r="AN154" s="57"/>
      <c r="AO154" s="57"/>
      <c r="AP154" s="57"/>
    </row>
    <row r="155" spans="1:42" ht="21" x14ac:dyDescent="0.5">
      <c r="A155" s="28"/>
      <c r="B155" s="67"/>
      <c r="C155" s="28"/>
      <c r="D155" s="19"/>
      <c r="E155" s="28"/>
      <c r="F155" s="28"/>
      <c r="G155" s="19"/>
      <c r="H155" s="28"/>
      <c r="I155" s="19"/>
      <c r="J155" s="19"/>
      <c r="K155" s="19"/>
      <c r="L155" s="19"/>
      <c r="M155" s="19"/>
      <c r="N155" s="19"/>
      <c r="O155" s="19"/>
      <c r="P155" s="28"/>
      <c r="Q155" s="19"/>
      <c r="R155" s="19"/>
      <c r="S155" s="19"/>
      <c r="T155" s="36"/>
      <c r="U155" s="43"/>
      <c r="V155" s="19"/>
      <c r="W155" s="28"/>
      <c r="X155" s="28"/>
      <c r="Y155" s="19"/>
      <c r="Z155" s="19"/>
      <c r="AA155" s="19"/>
      <c r="AB155" s="29"/>
      <c r="AC155" s="29"/>
      <c r="AD155" s="29"/>
      <c r="AE155" s="28"/>
      <c r="AF155" s="28"/>
      <c r="AG155" s="28"/>
      <c r="AH155" s="29"/>
      <c r="AI155" s="29"/>
      <c r="AJ155" s="30"/>
      <c r="AK155" s="57"/>
      <c r="AL155" s="57"/>
      <c r="AM155" s="57"/>
      <c r="AN155" s="57"/>
      <c r="AO155" s="57"/>
      <c r="AP155" s="57"/>
    </row>
    <row r="156" spans="1:42" ht="21" x14ac:dyDescent="0.5">
      <c r="A156" s="28"/>
      <c r="B156" s="67"/>
      <c r="C156" s="28"/>
      <c r="D156" s="19"/>
      <c r="E156" s="28"/>
      <c r="F156" s="28"/>
      <c r="G156" s="19"/>
      <c r="H156" s="28"/>
      <c r="I156" s="19"/>
      <c r="J156" s="19"/>
      <c r="K156" s="19"/>
      <c r="L156" s="19"/>
      <c r="M156" s="19"/>
      <c r="N156" s="19"/>
      <c r="O156" s="19"/>
      <c r="P156" s="28"/>
      <c r="Q156" s="19"/>
      <c r="R156" s="19"/>
      <c r="S156" s="19"/>
      <c r="T156" s="36"/>
      <c r="U156" s="43"/>
      <c r="V156" s="19"/>
      <c r="W156" s="28"/>
      <c r="X156" s="28"/>
      <c r="Y156" s="19"/>
      <c r="Z156" s="19"/>
      <c r="AA156" s="19"/>
      <c r="AB156" s="29"/>
      <c r="AC156" s="29"/>
      <c r="AD156" s="29"/>
      <c r="AE156" s="28"/>
      <c r="AF156" s="28"/>
      <c r="AG156" s="28"/>
      <c r="AH156" s="29"/>
      <c r="AI156" s="29"/>
      <c r="AJ156" s="30"/>
      <c r="AK156" s="57"/>
      <c r="AL156" s="57"/>
      <c r="AM156" s="57"/>
      <c r="AN156" s="57"/>
      <c r="AO156" s="57"/>
      <c r="AP156" s="57"/>
    </row>
    <row r="157" spans="1:42" ht="21" x14ac:dyDescent="0.5">
      <c r="A157" s="28"/>
      <c r="B157" s="67"/>
      <c r="C157" s="28"/>
      <c r="D157" s="19"/>
      <c r="E157" s="28"/>
      <c r="F157" s="28"/>
      <c r="G157" s="19"/>
      <c r="H157" s="28"/>
      <c r="I157" s="19"/>
      <c r="J157" s="19"/>
      <c r="K157" s="19"/>
      <c r="L157" s="19"/>
      <c r="M157" s="19"/>
      <c r="N157" s="19"/>
      <c r="O157" s="19"/>
      <c r="P157" s="28"/>
      <c r="Q157" s="19"/>
      <c r="R157" s="19"/>
      <c r="S157" s="19"/>
      <c r="T157" s="36"/>
      <c r="U157" s="43"/>
      <c r="V157" s="19"/>
      <c r="W157" s="28"/>
      <c r="X157" s="28"/>
      <c r="Y157" s="19"/>
      <c r="Z157" s="19"/>
      <c r="AA157" s="19"/>
      <c r="AB157" s="29"/>
      <c r="AC157" s="29"/>
      <c r="AD157" s="29"/>
      <c r="AE157" s="28"/>
      <c r="AF157" s="28"/>
      <c r="AG157" s="28"/>
      <c r="AH157" s="29"/>
      <c r="AI157" s="29"/>
      <c r="AJ157" s="30"/>
      <c r="AK157" s="57"/>
      <c r="AL157" s="57"/>
      <c r="AM157" s="57"/>
      <c r="AN157" s="57"/>
      <c r="AO157" s="57"/>
      <c r="AP157" s="57"/>
    </row>
    <row r="158" spans="1:42" ht="21" x14ac:dyDescent="0.5">
      <c r="A158" s="28"/>
      <c r="B158" s="67"/>
      <c r="C158" s="28"/>
      <c r="D158" s="19"/>
      <c r="E158" s="28"/>
      <c r="F158" s="28"/>
      <c r="G158" s="19"/>
      <c r="H158" s="28"/>
      <c r="I158" s="19"/>
      <c r="J158" s="19"/>
      <c r="K158" s="19"/>
      <c r="L158" s="19"/>
      <c r="M158" s="19"/>
      <c r="N158" s="19"/>
      <c r="O158" s="19"/>
      <c r="P158" s="28"/>
      <c r="Q158" s="19"/>
      <c r="R158" s="19"/>
      <c r="S158" s="19"/>
      <c r="T158" s="36"/>
      <c r="U158" s="43"/>
      <c r="V158" s="19"/>
      <c r="W158" s="28"/>
      <c r="X158" s="28"/>
      <c r="Y158" s="19"/>
      <c r="Z158" s="19"/>
      <c r="AA158" s="19"/>
      <c r="AB158" s="29"/>
      <c r="AC158" s="29"/>
      <c r="AD158" s="29"/>
      <c r="AE158" s="28"/>
      <c r="AF158" s="28"/>
      <c r="AG158" s="28"/>
      <c r="AH158" s="29"/>
      <c r="AI158" s="29"/>
      <c r="AJ158" s="30"/>
      <c r="AK158" s="57"/>
      <c r="AL158" s="57"/>
      <c r="AM158" s="57"/>
      <c r="AN158" s="57"/>
      <c r="AO158" s="57"/>
      <c r="AP158" s="57"/>
    </row>
    <row r="159" spans="1:42" ht="21" x14ac:dyDescent="0.5">
      <c r="A159" s="28"/>
      <c r="B159" s="67"/>
      <c r="C159" s="28"/>
      <c r="D159" s="19"/>
      <c r="E159" s="28"/>
      <c r="F159" s="28"/>
      <c r="G159" s="19"/>
      <c r="H159" s="28"/>
      <c r="I159" s="19"/>
      <c r="J159" s="19"/>
      <c r="K159" s="19"/>
      <c r="L159" s="19"/>
      <c r="M159" s="19"/>
      <c r="N159" s="19"/>
      <c r="O159" s="19"/>
      <c r="P159" s="28"/>
      <c r="Q159" s="19"/>
      <c r="R159" s="19"/>
      <c r="S159" s="19"/>
      <c r="T159" s="36"/>
      <c r="U159" s="43"/>
      <c r="V159" s="19"/>
      <c r="W159" s="28"/>
      <c r="X159" s="28"/>
      <c r="Y159" s="19"/>
      <c r="Z159" s="19"/>
      <c r="AA159" s="19"/>
      <c r="AB159" s="29"/>
      <c r="AC159" s="29"/>
      <c r="AD159" s="29"/>
      <c r="AE159" s="28"/>
      <c r="AF159" s="28"/>
      <c r="AG159" s="28"/>
      <c r="AH159" s="29"/>
      <c r="AI159" s="29"/>
      <c r="AJ159" s="30"/>
      <c r="AK159" s="57"/>
      <c r="AL159" s="57"/>
      <c r="AM159" s="57"/>
      <c r="AN159" s="57"/>
      <c r="AO159" s="57"/>
      <c r="AP159" s="57"/>
    </row>
    <row r="160" spans="1:42" ht="21" x14ac:dyDescent="0.5">
      <c r="A160" s="28"/>
      <c r="B160" s="67"/>
      <c r="C160" s="28"/>
      <c r="D160" s="19"/>
      <c r="E160" s="28"/>
      <c r="F160" s="28"/>
      <c r="G160" s="19"/>
      <c r="H160" s="28"/>
      <c r="I160" s="19"/>
      <c r="J160" s="19"/>
      <c r="K160" s="19"/>
      <c r="L160" s="19"/>
      <c r="M160" s="19"/>
      <c r="N160" s="19"/>
      <c r="O160" s="19"/>
      <c r="P160" s="28"/>
      <c r="Q160" s="19"/>
      <c r="R160" s="19"/>
      <c r="S160" s="19"/>
      <c r="T160" s="36"/>
      <c r="U160" s="43"/>
      <c r="V160" s="19"/>
      <c r="W160" s="28"/>
      <c r="X160" s="28"/>
      <c r="Y160" s="19"/>
      <c r="Z160" s="19"/>
      <c r="AA160" s="19"/>
      <c r="AB160" s="29"/>
      <c r="AC160" s="29"/>
      <c r="AD160" s="29"/>
      <c r="AE160" s="28"/>
      <c r="AF160" s="28"/>
      <c r="AG160" s="28"/>
      <c r="AH160" s="29"/>
      <c r="AI160" s="29"/>
      <c r="AJ160" s="30"/>
      <c r="AK160" s="57"/>
      <c r="AL160" s="57"/>
      <c r="AM160" s="57"/>
      <c r="AN160" s="57"/>
      <c r="AO160" s="57"/>
      <c r="AP160" s="57"/>
    </row>
    <row r="161" spans="1:42" ht="21" x14ac:dyDescent="0.5">
      <c r="A161" s="28"/>
      <c r="B161" s="67"/>
      <c r="C161" s="28"/>
      <c r="D161" s="19"/>
      <c r="E161" s="28"/>
      <c r="F161" s="28"/>
      <c r="G161" s="19"/>
      <c r="H161" s="28"/>
      <c r="I161" s="19"/>
      <c r="J161" s="19"/>
      <c r="K161" s="19"/>
      <c r="L161" s="19"/>
      <c r="M161" s="19"/>
      <c r="N161" s="19"/>
      <c r="O161" s="19"/>
      <c r="P161" s="28"/>
      <c r="Q161" s="19"/>
      <c r="R161" s="19"/>
      <c r="S161" s="19"/>
      <c r="T161" s="36"/>
      <c r="U161" s="43"/>
      <c r="V161" s="19"/>
      <c r="W161" s="28"/>
      <c r="X161" s="28"/>
      <c r="Y161" s="19"/>
      <c r="Z161" s="19"/>
      <c r="AA161" s="19"/>
      <c r="AB161" s="29"/>
      <c r="AC161" s="29"/>
      <c r="AD161" s="29"/>
      <c r="AE161" s="28"/>
      <c r="AF161" s="28"/>
      <c r="AG161" s="28"/>
      <c r="AH161" s="29"/>
      <c r="AI161" s="29"/>
      <c r="AJ161" s="30"/>
      <c r="AK161" s="57"/>
      <c r="AL161" s="57"/>
      <c r="AM161" s="57"/>
      <c r="AN161" s="57"/>
      <c r="AO161" s="57"/>
      <c r="AP161" s="57"/>
    </row>
    <row r="162" spans="1:42" ht="21" x14ac:dyDescent="0.5">
      <c r="A162" s="28"/>
      <c r="B162" s="67"/>
      <c r="C162" s="28"/>
      <c r="D162" s="19"/>
      <c r="E162" s="28"/>
      <c r="F162" s="28"/>
      <c r="G162" s="19"/>
      <c r="H162" s="28"/>
      <c r="I162" s="19"/>
      <c r="J162" s="19"/>
      <c r="K162" s="19"/>
      <c r="L162" s="19"/>
      <c r="M162" s="19"/>
      <c r="N162" s="19"/>
      <c r="O162" s="19"/>
      <c r="P162" s="28"/>
      <c r="Q162" s="19"/>
      <c r="R162" s="19"/>
      <c r="S162" s="19"/>
      <c r="T162" s="36"/>
      <c r="U162" s="43"/>
      <c r="V162" s="19"/>
      <c r="W162" s="28"/>
      <c r="X162" s="28"/>
      <c r="Y162" s="19"/>
      <c r="Z162" s="19"/>
      <c r="AA162" s="19"/>
      <c r="AB162" s="29"/>
      <c r="AC162" s="29"/>
      <c r="AD162" s="29"/>
      <c r="AE162" s="28"/>
      <c r="AF162" s="28"/>
      <c r="AG162" s="28"/>
      <c r="AH162" s="29"/>
      <c r="AI162" s="29"/>
      <c r="AJ162" s="30"/>
      <c r="AK162" s="57"/>
      <c r="AL162" s="57"/>
      <c r="AM162" s="57"/>
      <c r="AN162" s="57"/>
      <c r="AO162" s="57"/>
      <c r="AP162" s="57"/>
    </row>
    <row r="163" spans="1:42" ht="21" x14ac:dyDescent="0.5">
      <c r="A163" s="28"/>
      <c r="B163" s="67"/>
      <c r="C163" s="28"/>
      <c r="D163" s="19"/>
      <c r="E163" s="28"/>
      <c r="F163" s="28"/>
      <c r="G163" s="19"/>
      <c r="H163" s="28"/>
      <c r="I163" s="19"/>
      <c r="J163" s="19"/>
      <c r="K163" s="19"/>
      <c r="L163" s="19"/>
      <c r="M163" s="19"/>
      <c r="N163" s="19"/>
      <c r="O163" s="19"/>
      <c r="P163" s="28"/>
      <c r="Q163" s="19"/>
      <c r="R163" s="19"/>
      <c r="S163" s="19"/>
      <c r="T163" s="36"/>
      <c r="U163" s="43"/>
      <c r="V163" s="19"/>
      <c r="W163" s="28"/>
      <c r="X163" s="28"/>
      <c r="Y163" s="19"/>
      <c r="Z163" s="19"/>
      <c r="AA163" s="19"/>
      <c r="AB163" s="29"/>
      <c r="AC163" s="29"/>
      <c r="AD163" s="29"/>
      <c r="AE163" s="28"/>
      <c r="AF163" s="28"/>
      <c r="AG163" s="28"/>
      <c r="AH163" s="29"/>
      <c r="AI163" s="29"/>
      <c r="AJ163" s="30"/>
      <c r="AK163" s="57"/>
      <c r="AL163" s="57"/>
      <c r="AM163" s="57"/>
      <c r="AN163" s="57"/>
      <c r="AO163" s="57"/>
      <c r="AP163" s="57"/>
    </row>
    <row r="164" spans="1:42" ht="21" x14ac:dyDescent="0.5">
      <c r="A164" s="28"/>
      <c r="B164" s="67"/>
      <c r="C164" s="28"/>
      <c r="D164" s="19"/>
      <c r="E164" s="28"/>
      <c r="F164" s="28"/>
      <c r="G164" s="19"/>
      <c r="H164" s="28"/>
      <c r="I164" s="19"/>
      <c r="J164" s="19"/>
      <c r="K164" s="19"/>
      <c r="L164" s="19"/>
      <c r="M164" s="19"/>
      <c r="N164" s="19"/>
      <c r="O164" s="19"/>
      <c r="P164" s="28"/>
      <c r="Q164" s="19"/>
      <c r="R164" s="19"/>
      <c r="S164" s="19"/>
      <c r="T164" s="36"/>
      <c r="U164" s="43"/>
      <c r="V164" s="19"/>
      <c r="W164" s="28"/>
      <c r="X164" s="28"/>
      <c r="Y164" s="19"/>
      <c r="Z164" s="19"/>
      <c r="AA164" s="19"/>
      <c r="AB164" s="29"/>
      <c r="AC164" s="29"/>
      <c r="AD164" s="29"/>
      <c r="AE164" s="28"/>
      <c r="AF164" s="28"/>
      <c r="AG164" s="28"/>
      <c r="AH164" s="29"/>
      <c r="AI164" s="29"/>
      <c r="AJ164" s="30"/>
      <c r="AK164" s="57"/>
      <c r="AL164" s="57"/>
      <c r="AM164" s="57"/>
      <c r="AN164" s="57"/>
      <c r="AO164" s="57"/>
      <c r="AP164" s="57"/>
    </row>
    <row r="165" spans="1:42" ht="21" x14ac:dyDescent="0.5">
      <c r="A165" s="28"/>
      <c r="B165" s="67"/>
      <c r="C165" s="28"/>
      <c r="D165" s="19"/>
      <c r="E165" s="28"/>
      <c r="F165" s="28"/>
      <c r="G165" s="19"/>
      <c r="H165" s="28"/>
      <c r="I165" s="19"/>
      <c r="J165" s="19"/>
      <c r="K165" s="19"/>
      <c r="L165" s="19"/>
      <c r="M165" s="19"/>
      <c r="N165" s="19"/>
      <c r="O165" s="19"/>
      <c r="P165" s="28"/>
      <c r="Q165" s="19"/>
      <c r="R165" s="19"/>
      <c r="S165" s="19"/>
      <c r="T165" s="36"/>
      <c r="U165" s="43"/>
      <c r="V165" s="19"/>
      <c r="W165" s="28"/>
      <c r="X165" s="28"/>
      <c r="Y165" s="19"/>
      <c r="Z165" s="19"/>
      <c r="AA165" s="19"/>
      <c r="AB165" s="29"/>
      <c r="AC165" s="29"/>
      <c r="AD165" s="29"/>
      <c r="AE165" s="28"/>
      <c r="AF165" s="28"/>
      <c r="AG165" s="28"/>
      <c r="AH165" s="29"/>
      <c r="AI165" s="29"/>
      <c r="AJ165" s="30"/>
      <c r="AK165" s="57"/>
      <c r="AL165" s="57"/>
      <c r="AM165" s="57"/>
      <c r="AN165" s="57"/>
      <c r="AO165" s="57"/>
      <c r="AP165" s="57"/>
    </row>
    <row r="166" spans="1:42" ht="21" x14ac:dyDescent="0.5">
      <c r="A166" s="28"/>
      <c r="B166" s="67"/>
      <c r="C166" s="28"/>
      <c r="D166" s="19"/>
      <c r="E166" s="28"/>
      <c r="F166" s="28"/>
      <c r="G166" s="19"/>
      <c r="H166" s="28"/>
      <c r="I166" s="19"/>
      <c r="J166" s="19"/>
      <c r="K166" s="19"/>
      <c r="L166" s="19"/>
      <c r="M166" s="19"/>
      <c r="N166" s="19"/>
      <c r="O166" s="19"/>
      <c r="P166" s="28"/>
      <c r="Q166" s="19"/>
      <c r="R166" s="19"/>
      <c r="S166" s="19"/>
      <c r="T166" s="36"/>
      <c r="U166" s="43"/>
      <c r="V166" s="19"/>
      <c r="W166" s="28"/>
      <c r="X166" s="28"/>
      <c r="Y166" s="19"/>
      <c r="Z166" s="19"/>
      <c r="AA166" s="19"/>
      <c r="AB166" s="29"/>
      <c r="AC166" s="29"/>
      <c r="AD166" s="29"/>
      <c r="AE166" s="28"/>
      <c r="AF166" s="28"/>
      <c r="AG166" s="28"/>
      <c r="AH166" s="29"/>
      <c r="AI166" s="29"/>
      <c r="AJ166" s="30"/>
      <c r="AK166" s="57"/>
      <c r="AL166" s="57"/>
      <c r="AM166" s="57"/>
      <c r="AN166" s="57"/>
      <c r="AO166" s="57"/>
      <c r="AP166" s="57"/>
    </row>
    <row r="167" spans="1:42" ht="21" x14ac:dyDescent="0.5">
      <c r="A167" s="28"/>
      <c r="B167" s="67"/>
      <c r="C167" s="28"/>
      <c r="D167" s="19"/>
      <c r="E167" s="28"/>
      <c r="F167" s="28"/>
      <c r="G167" s="19"/>
      <c r="H167" s="28"/>
      <c r="I167" s="19"/>
      <c r="J167" s="19"/>
      <c r="K167" s="19"/>
      <c r="L167" s="19"/>
      <c r="M167" s="19"/>
      <c r="N167" s="19"/>
      <c r="O167" s="19"/>
      <c r="P167" s="28"/>
      <c r="Q167" s="19"/>
      <c r="R167" s="19"/>
      <c r="S167" s="19"/>
      <c r="T167" s="36"/>
      <c r="U167" s="43"/>
      <c r="V167" s="19"/>
      <c r="W167" s="28"/>
      <c r="X167" s="28"/>
      <c r="Y167" s="19"/>
      <c r="Z167" s="19"/>
      <c r="AA167" s="19"/>
      <c r="AB167" s="29"/>
      <c r="AC167" s="29"/>
      <c r="AD167" s="29"/>
      <c r="AE167" s="28"/>
      <c r="AF167" s="28"/>
      <c r="AG167" s="28"/>
      <c r="AH167" s="29"/>
      <c r="AI167" s="29"/>
      <c r="AJ167" s="30"/>
      <c r="AK167" s="57"/>
      <c r="AL167" s="57"/>
      <c r="AM167" s="57"/>
      <c r="AN167" s="57"/>
      <c r="AO167" s="57"/>
      <c r="AP167" s="57"/>
    </row>
    <row r="168" spans="1:42" ht="21" x14ac:dyDescent="0.5">
      <c r="A168" s="28"/>
      <c r="B168" s="67"/>
      <c r="C168" s="28"/>
      <c r="D168" s="19"/>
      <c r="E168" s="28"/>
      <c r="F168" s="28"/>
      <c r="G168" s="19"/>
      <c r="H168" s="28"/>
      <c r="I168" s="19"/>
      <c r="J168" s="19"/>
      <c r="K168" s="19"/>
      <c r="L168" s="19"/>
      <c r="M168" s="19"/>
      <c r="N168" s="19"/>
      <c r="O168" s="19"/>
      <c r="P168" s="28"/>
      <c r="Q168" s="19"/>
      <c r="R168" s="19"/>
      <c r="S168" s="19"/>
      <c r="T168" s="36"/>
      <c r="U168" s="43"/>
      <c r="V168" s="19"/>
      <c r="W168" s="28"/>
      <c r="X168" s="28"/>
      <c r="Y168" s="19"/>
      <c r="Z168" s="19"/>
      <c r="AA168" s="19"/>
      <c r="AB168" s="29"/>
      <c r="AC168" s="29"/>
      <c r="AD168" s="29"/>
      <c r="AE168" s="28"/>
      <c r="AF168" s="28"/>
      <c r="AG168" s="28"/>
      <c r="AH168" s="29"/>
      <c r="AI168" s="29"/>
      <c r="AJ168" s="30"/>
      <c r="AK168" s="57"/>
      <c r="AL168" s="57"/>
      <c r="AM168" s="57"/>
      <c r="AN168" s="57"/>
      <c r="AO168" s="57"/>
      <c r="AP168" s="57"/>
    </row>
    <row r="169" spans="1:42" ht="21" x14ac:dyDescent="0.5">
      <c r="A169" s="28"/>
      <c r="B169" s="67"/>
      <c r="C169" s="28"/>
      <c r="D169" s="19"/>
      <c r="E169" s="28"/>
      <c r="F169" s="28"/>
      <c r="G169" s="19"/>
      <c r="H169" s="28"/>
      <c r="I169" s="19"/>
      <c r="J169" s="19"/>
      <c r="K169" s="19"/>
      <c r="L169" s="19"/>
      <c r="M169" s="19"/>
      <c r="N169" s="19"/>
      <c r="O169" s="19"/>
      <c r="P169" s="28"/>
      <c r="Q169" s="19"/>
      <c r="R169" s="19"/>
      <c r="S169" s="19"/>
      <c r="T169" s="36"/>
      <c r="U169" s="43"/>
      <c r="V169" s="19"/>
      <c r="W169" s="28"/>
      <c r="X169" s="28"/>
      <c r="Y169" s="19"/>
      <c r="Z169" s="19"/>
      <c r="AA169" s="19"/>
      <c r="AB169" s="29"/>
      <c r="AC169" s="29"/>
      <c r="AD169" s="29"/>
      <c r="AE169" s="28"/>
      <c r="AF169" s="28"/>
      <c r="AG169" s="28"/>
      <c r="AH169" s="29"/>
      <c r="AI169" s="29"/>
      <c r="AJ169" s="30"/>
      <c r="AK169" s="57"/>
      <c r="AL169" s="57"/>
      <c r="AM169" s="57"/>
      <c r="AN169" s="57"/>
      <c r="AO169" s="57"/>
      <c r="AP169" s="57"/>
    </row>
    <row r="170" spans="1:42" ht="21" x14ac:dyDescent="0.5">
      <c r="A170" s="28"/>
      <c r="B170" s="67"/>
      <c r="C170" s="28"/>
      <c r="D170" s="19"/>
      <c r="E170" s="28"/>
      <c r="F170" s="28"/>
      <c r="G170" s="19"/>
      <c r="H170" s="28"/>
      <c r="I170" s="19"/>
      <c r="J170" s="19"/>
      <c r="K170" s="19"/>
      <c r="L170" s="19"/>
      <c r="M170" s="19"/>
      <c r="N170" s="19"/>
      <c r="O170" s="19"/>
      <c r="P170" s="28"/>
      <c r="Q170" s="19"/>
      <c r="R170" s="19"/>
      <c r="S170" s="19"/>
      <c r="T170" s="36"/>
      <c r="U170" s="43"/>
      <c r="V170" s="19"/>
      <c r="W170" s="28"/>
      <c r="X170" s="28"/>
      <c r="Y170" s="19"/>
      <c r="Z170" s="19"/>
      <c r="AA170" s="19"/>
      <c r="AB170" s="29"/>
      <c r="AC170" s="29"/>
      <c r="AD170" s="29"/>
      <c r="AE170" s="28"/>
      <c r="AF170" s="28"/>
      <c r="AG170" s="28"/>
      <c r="AH170" s="29"/>
      <c r="AI170" s="29"/>
      <c r="AJ170" s="30"/>
      <c r="AK170" s="57"/>
      <c r="AL170" s="57"/>
      <c r="AM170" s="57"/>
      <c r="AN170" s="57"/>
      <c r="AO170" s="57"/>
      <c r="AP170" s="57"/>
    </row>
    <row r="171" spans="1:42" ht="21" x14ac:dyDescent="0.5">
      <c r="A171" s="28"/>
      <c r="B171" s="67"/>
      <c r="C171" s="28"/>
      <c r="D171" s="19"/>
      <c r="E171" s="28"/>
      <c r="F171" s="28"/>
      <c r="G171" s="19"/>
      <c r="H171" s="28"/>
      <c r="I171" s="19"/>
      <c r="J171" s="19"/>
      <c r="K171" s="19"/>
      <c r="L171" s="19"/>
      <c r="M171" s="19"/>
      <c r="N171" s="19"/>
      <c r="O171" s="19"/>
      <c r="P171" s="28"/>
      <c r="Q171" s="19"/>
      <c r="R171" s="19"/>
      <c r="S171" s="19"/>
      <c r="T171" s="36"/>
      <c r="U171" s="43"/>
      <c r="V171" s="19"/>
      <c r="W171" s="28"/>
      <c r="X171" s="28"/>
      <c r="Y171" s="19"/>
      <c r="Z171" s="19"/>
      <c r="AA171" s="19"/>
      <c r="AB171" s="29"/>
      <c r="AC171" s="29"/>
      <c r="AD171" s="29"/>
      <c r="AE171" s="28"/>
      <c r="AF171" s="28"/>
      <c r="AG171" s="28"/>
      <c r="AH171" s="29"/>
      <c r="AI171" s="29"/>
      <c r="AJ171" s="30"/>
      <c r="AK171" s="57"/>
      <c r="AL171" s="57"/>
      <c r="AM171" s="57"/>
      <c r="AN171" s="57"/>
      <c r="AO171" s="57"/>
      <c r="AP171" s="57"/>
    </row>
    <row r="172" spans="1:42" ht="21" x14ac:dyDescent="0.5">
      <c r="A172" s="28"/>
      <c r="B172" s="67"/>
      <c r="C172" s="28"/>
      <c r="D172" s="19"/>
      <c r="E172" s="28"/>
      <c r="F172" s="28"/>
      <c r="G172" s="19"/>
      <c r="H172" s="28"/>
      <c r="I172" s="19"/>
      <c r="J172" s="19"/>
      <c r="K172" s="19"/>
      <c r="L172" s="19"/>
      <c r="M172" s="19"/>
      <c r="N172" s="19"/>
      <c r="O172" s="19"/>
      <c r="P172" s="28"/>
      <c r="Q172" s="19"/>
      <c r="R172" s="19"/>
      <c r="S172" s="19"/>
      <c r="T172" s="36"/>
      <c r="U172" s="43"/>
      <c r="V172" s="19"/>
      <c r="W172" s="28"/>
      <c r="X172" s="28"/>
      <c r="Y172" s="19"/>
      <c r="Z172" s="19"/>
      <c r="AA172" s="19"/>
      <c r="AB172" s="29"/>
      <c r="AC172" s="29"/>
      <c r="AD172" s="29"/>
      <c r="AE172" s="28"/>
      <c r="AF172" s="28"/>
      <c r="AG172" s="28"/>
      <c r="AH172" s="29"/>
      <c r="AI172" s="29"/>
      <c r="AJ172" s="30"/>
      <c r="AK172" s="57"/>
      <c r="AL172" s="57"/>
      <c r="AM172" s="57"/>
      <c r="AN172" s="57"/>
      <c r="AO172" s="57"/>
      <c r="AP172" s="57"/>
    </row>
    <row r="173" spans="1:42" ht="21" x14ac:dyDescent="0.5">
      <c r="A173" s="28"/>
      <c r="B173" s="67"/>
      <c r="C173" s="28"/>
      <c r="D173" s="19"/>
      <c r="E173" s="28"/>
      <c r="F173" s="28"/>
      <c r="G173" s="19"/>
      <c r="H173" s="28"/>
      <c r="I173" s="19"/>
      <c r="J173" s="19"/>
      <c r="K173" s="19"/>
      <c r="L173" s="19"/>
      <c r="M173" s="19"/>
      <c r="N173" s="19"/>
      <c r="O173" s="19"/>
      <c r="P173" s="28"/>
      <c r="Q173" s="19"/>
      <c r="R173" s="19"/>
      <c r="S173" s="19"/>
      <c r="T173" s="36"/>
      <c r="U173" s="43"/>
      <c r="V173" s="19"/>
      <c r="W173" s="28"/>
      <c r="X173" s="28"/>
      <c r="Y173" s="19"/>
      <c r="Z173" s="19"/>
      <c r="AA173" s="19"/>
      <c r="AB173" s="29"/>
      <c r="AC173" s="29"/>
      <c r="AD173" s="29"/>
      <c r="AE173" s="28"/>
      <c r="AF173" s="28"/>
      <c r="AG173" s="28"/>
      <c r="AH173" s="29"/>
      <c r="AI173" s="29"/>
      <c r="AJ173" s="30"/>
      <c r="AK173" s="57"/>
      <c r="AL173" s="57"/>
      <c r="AM173" s="57"/>
      <c r="AN173" s="57"/>
      <c r="AO173" s="57"/>
      <c r="AP173" s="57"/>
    </row>
    <row r="174" spans="1:42" ht="21" x14ac:dyDescent="0.5">
      <c r="A174" s="28"/>
      <c r="B174" s="67"/>
      <c r="C174" s="28"/>
      <c r="D174" s="19"/>
      <c r="E174" s="28"/>
      <c r="F174" s="28"/>
      <c r="G174" s="19"/>
      <c r="H174" s="28"/>
      <c r="I174" s="19"/>
      <c r="J174" s="19"/>
      <c r="K174" s="19"/>
      <c r="L174" s="19"/>
      <c r="M174" s="19"/>
      <c r="N174" s="19"/>
      <c r="O174" s="19"/>
      <c r="P174" s="28"/>
      <c r="Q174" s="19"/>
      <c r="R174" s="19"/>
      <c r="S174" s="19"/>
      <c r="T174" s="36"/>
      <c r="U174" s="43"/>
      <c r="V174" s="19"/>
      <c r="W174" s="28"/>
      <c r="X174" s="28"/>
      <c r="Y174" s="19"/>
      <c r="Z174" s="19"/>
      <c r="AA174" s="19"/>
      <c r="AB174" s="29"/>
      <c r="AC174" s="29"/>
      <c r="AD174" s="29"/>
      <c r="AE174" s="28"/>
      <c r="AF174" s="28"/>
      <c r="AG174" s="28"/>
      <c r="AH174" s="29"/>
      <c r="AI174" s="29"/>
      <c r="AJ174" s="30"/>
      <c r="AK174" s="57"/>
      <c r="AL174" s="57"/>
      <c r="AM174" s="57"/>
      <c r="AN174" s="57"/>
      <c r="AO174" s="57"/>
      <c r="AP174" s="57"/>
    </row>
    <row r="175" spans="1:42" ht="21" x14ac:dyDescent="0.5">
      <c r="A175" s="28"/>
      <c r="B175" s="67"/>
      <c r="C175" s="28"/>
      <c r="D175" s="19"/>
      <c r="E175" s="28"/>
      <c r="F175" s="28"/>
      <c r="G175" s="19"/>
      <c r="H175" s="28"/>
      <c r="I175" s="19"/>
      <c r="J175" s="19"/>
      <c r="K175" s="19"/>
      <c r="L175" s="19"/>
      <c r="M175" s="19"/>
      <c r="N175" s="19"/>
      <c r="O175" s="19"/>
      <c r="P175" s="28"/>
      <c r="Q175" s="19"/>
      <c r="R175" s="19"/>
      <c r="S175" s="19"/>
      <c r="T175" s="36"/>
      <c r="U175" s="43"/>
      <c r="V175" s="19"/>
      <c r="W175" s="28"/>
      <c r="X175" s="28"/>
      <c r="Y175" s="19"/>
      <c r="Z175" s="19"/>
      <c r="AA175" s="19"/>
      <c r="AB175" s="29"/>
      <c r="AC175" s="29"/>
      <c r="AD175" s="29"/>
      <c r="AE175" s="28"/>
      <c r="AF175" s="28"/>
      <c r="AG175" s="28"/>
      <c r="AH175" s="29"/>
      <c r="AI175" s="29"/>
      <c r="AJ175" s="30"/>
      <c r="AK175" s="57"/>
      <c r="AL175" s="57"/>
      <c r="AM175" s="57"/>
      <c r="AN175" s="57"/>
      <c r="AO175" s="57"/>
      <c r="AP175" s="57"/>
    </row>
    <row r="176" spans="1:42" ht="21" x14ac:dyDescent="0.5">
      <c r="A176" s="28"/>
      <c r="B176" s="67"/>
      <c r="C176" s="28"/>
      <c r="D176" s="19"/>
      <c r="E176" s="28"/>
      <c r="F176" s="28"/>
      <c r="G176" s="19"/>
      <c r="H176" s="28"/>
      <c r="I176" s="19"/>
      <c r="J176" s="19"/>
      <c r="K176" s="19"/>
      <c r="L176" s="19"/>
      <c r="M176" s="19"/>
      <c r="N176" s="19"/>
      <c r="O176" s="19"/>
      <c r="P176" s="28"/>
      <c r="Q176" s="19"/>
      <c r="R176" s="19"/>
      <c r="S176" s="19"/>
      <c r="T176" s="36"/>
      <c r="U176" s="43"/>
      <c r="V176" s="19"/>
      <c r="W176" s="28"/>
      <c r="X176" s="28"/>
      <c r="Y176" s="19"/>
      <c r="Z176" s="19"/>
      <c r="AA176" s="19"/>
      <c r="AB176" s="29"/>
      <c r="AC176" s="29"/>
      <c r="AD176" s="29"/>
      <c r="AE176" s="28"/>
      <c r="AF176" s="28"/>
      <c r="AG176" s="28"/>
      <c r="AH176" s="29"/>
      <c r="AI176" s="29"/>
      <c r="AJ176" s="30"/>
      <c r="AK176" s="57"/>
      <c r="AL176" s="57"/>
      <c r="AM176" s="57"/>
      <c r="AN176" s="57"/>
      <c r="AO176" s="57"/>
      <c r="AP176" s="57"/>
    </row>
    <row r="177" spans="1:42" ht="21" x14ac:dyDescent="0.5">
      <c r="A177" s="28"/>
      <c r="B177" s="67"/>
      <c r="C177" s="28"/>
      <c r="D177" s="19"/>
      <c r="E177" s="28"/>
      <c r="F177" s="28"/>
      <c r="G177" s="19"/>
      <c r="H177" s="28"/>
      <c r="I177" s="19"/>
      <c r="J177" s="19"/>
      <c r="K177" s="19"/>
      <c r="L177" s="19"/>
      <c r="M177" s="19"/>
      <c r="N177" s="19"/>
      <c r="O177" s="19"/>
      <c r="P177" s="28"/>
      <c r="Q177" s="19"/>
      <c r="R177" s="19"/>
      <c r="S177" s="19"/>
      <c r="T177" s="36"/>
      <c r="U177" s="43"/>
      <c r="V177" s="19"/>
      <c r="W177" s="28"/>
      <c r="X177" s="28"/>
      <c r="Y177" s="19"/>
      <c r="Z177" s="19"/>
      <c r="AA177" s="19"/>
      <c r="AB177" s="29"/>
      <c r="AC177" s="29"/>
      <c r="AD177" s="29"/>
      <c r="AE177" s="28"/>
      <c r="AF177" s="28"/>
      <c r="AG177" s="28"/>
      <c r="AH177" s="29"/>
      <c r="AI177" s="29"/>
      <c r="AJ177" s="30"/>
      <c r="AK177" s="57"/>
      <c r="AL177" s="57"/>
      <c r="AM177" s="57"/>
      <c r="AN177" s="57"/>
      <c r="AO177" s="57"/>
      <c r="AP177" s="57"/>
    </row>
    <row r="178" spans="1:42" ht="21" x14ac:dyDescent="0.5">
      <c r="A178" s="28"/>
      <c r="B178" s="67"/>
      <c r="C178" s="28"/>
      <c r="D178" s="19"/>
      <c r="E178" s="28"/>
      <c r="F178" s="28"/>
      <c r="G178" s="19"/>
      <c r="H178" s="28"/>
      <c r="I178" s="19"/>
      <c r="J178" s="19"/>
      <c r="K178" s="19"/>
      <c r="L178" s="19"/>
      <c r="M178" s="19"/>
      <c r="N178" s="19"/>
      <c r="O178" s="19"/>
      <c r="P178" s="28"/>
      <c r="Q178" s="19"/>
      <c r="R178" s="19"/>
      <c r="S178" s="19"/>
      <c r="T178" s="36"/>
      <c r="U178" s="43"/>
      <c r="V178" s="19"/>
      <c r="W178" s="28"/>
      <c r="X178" s="28"/>
      <c r="Y178" s="19"/>
      <c r="Z178" s="19"/>
      <c r="AA178" s="19"/>
      <c r="AB178" s="29"/>
      <c r="AC178" s="29"/>
      <c r="AD178" s="29"/>
      <c r="AE178" s="28"/>
      <c r="AF178" s="28"/>
      <c r="AG178" s="28"/>
      <c r="AH178" s="29"/>
      <c r="AI178" s="29"/>
      <c r="AJ178" s="30"/>
      <c r="AK178" s="57"/>
      <c r="AL178" s="57"/>
      <c r="AM178" s="57"/>
      <c r="AN178" s="57"/>
      <c r="AO178" s="57"/>
      <c r="AP178" s="57"/>
    </row>
    <row r="179" spans="1:42" ht="21" x14ac:dyDescent="0.5">
      <c r="A179" s="28"/>
      <c r="B179" s="67"/>
      <c r="C179" s="28"/>
      <c r="D179" s="19"/>
      <c r="E179" s="28"/>
      <c r="F179" s="28"/>
      <c r="G179" s="19"/>
      <c r="H179" s="28"/>
      <c r="I179" s="19"/>
      <c r="J179" s="19"/>
      <c r="K179" s="19"/>
      <c r="L179" s="19"/>
      <c r="M179" s="19"/>
      <c r="N179" s="19"/>
      <c r="O179" s="19"/>
      <c r="P179" s="28"/>
      <c r="Q179" s="19"/>
      <c r="R179" s="19"/>
      <c r="S179" s="19"/>
      <c r="T179" s="36"/>
      <c r="U179" s="43"/>
      <c r="V179" s="19"/>
      <c r="W179" s="28"/>
      <c r="X179" s="28"/>
      <c r="Y179" s="19"/>
      <c r="Z179" s="19"/>
      <c r="AA179" s="19"/>
      <c r="AB179" s="29"/>
      <c r="AC179" s="29"/>
      <c r="AD179" s="29"/>
      <c r="AE179" s="28"/>
      <c r="AF179" s="28"/>
      <c r="AG179" s="28"/>
      <c r="AH179" s="29"/>
      <c r="AI179" s="29"/>
      <c r="AJ179" s="30"/>
      <c r="AK179" s="57"/>
      <c r="AL179" s="57"/>
      <c r="AM179" s="57"/>
      <c r="AN179" s="57"/>
      <c r="AO179" s="57"/>
      <c r="AP179" s="57"/>
    </row>
    <row r="180" spans="1:42" ht="21" x14ac:dyDescent="0.5">
      <c r="A180" s="28"/>
      <c r="B180" s="67"/>
      <c r="C180" s="28"/>
      <c r="D180" s="19"/>
      <c r="E180" s="28"/>
      <c r="F180" s="28"/>
      <c r="G180" s="19"/>
      <c r="H180" s="28"/>
      <c r="I180" s="19"/>
      <c r="J180" s="19"/>
      <c r="K180" s="19"/>
      <c r="L180" s="19"/>
      <c r="M180" s="19"/>
      <c r="N180" s="19"/>
      <c r="O180" s="19"/>
      <c r="P180" s="28"/>
      <c r="Q180" s="19"/>
      <c r="R180" s="19"/>
      <c r="S180" s="19"/>
      <c r="T180" s="36"/>
      <c r="U180" s="43"/>
      <c r="V180" s="19"/>
      <c r="W180" s="28"/>
      <c r="X180" s="28"/>
      <c r="Y180" s="19"/>
      <c r="Z180" s="19"/>
      <c r="AA180" s="19"/>
      <c r="AB180" s="29"/>
      <c r="AC180" s="29"/>
      <c r="AD180" s="29"/>
      <c r="AE180" s="28"/>
      <c r="AF180" s="28"/>
      <c r="AG180" s="28"/>
      <c r="AH180" s="29"/>
      <c r="AI180" s="29"/>
      <c r="AJ180" s="30"/>
      <c r="AK180" s="57"/>
      <c r="AL180" s="57"/>
      <c r="AM180" s="57"/>
      <c r="AN180" s="57"/>
      <c r="AO180" s="57"/>
      <c r="AP180" s="57"/>
    </row>
    <row r="181" spans="1:42" ht="21" x14ac:dyDescent="0.5">
      <c r="A181" s="28"/>
      <c r="B181" s="67"/>
      <c r="C181" s="28"/>
      <c r="D181" s="19"/>
      <c r="E181" s="28"/>
      <c r="F181" s="28"/>
      <c r="G181" s="19"/>
      <c r="H181" s="28"/>
      <c r="I181" s="19"/>
      <c r="J181" s="19"/>
      <c r="K181" s="19"/>
      <c r="L181" s="19"/>
      <c r="M181" s="19"/>
      <c r="N181" s="19"/>
      <c r="O181" s="19"/>
      <c r="P181" s="28"/>
      <c r="Q181" s="19"/>
      <c r="R181" s="19"/>
      <c r="S181" s="19"/>
      <c r="T181" s="36"/>
      <c r="U181" s="43"/>
      <c r="V181" s="19"/>
      <c r="W181" s="28"/>
      <c r="X181" s="28"/>
      <c r="Y181" s="19"/>
      <c r="Z181" s="19"/>
      <c r="AA181" s="19"/>
      <c r="AB181" s="29"/>
      <c r="AC181" s="29"/>
      <c r="AD181" s="29"/>
      <c r="AE181" s="28"/>
      <c r="AF181" s="28"/>
      <c r="AG181" s="28"/>
      <c r="AH181" s="29"/>
      <c r="AI181" s="29"/>
      <c r="AJ181" s="30"/>
      <c r="AK181" s="57"/>
      <c r="AL181" s="57"/>
      <c r="AM181" s="57"/>
      <c r="AN181" s="57"/>
      <c r="AO181" s="57"/>
      <c r="AP181" s="57"/>
    </row>
    <row r="182" spans="1:42" ht="21" x14ac:dyDescent="0.5">
      <c r="A182" s="28"/>
      <c r="B182" s="67"/>
      <c r="C182" s="28"/>
      <c r="D182" s="19"/>
      <c r="E182" s="28"/>
      <c r="F182" s="28"/>
      <c r="G182" s="19"/>
      <c r="H182" s="28"/>
      <c r="I182" s="19"/>
      <c r="J182" s="19"/>
      <c r="K182" s="19"/>
      <c r="L182" s="19"/>
      <c r="M182" s="19"/>
      <c r="N182" s="19"/>
      <c r="O182" s="19"/>
      <c r="P182" s="28"/>
      <c r="Q182" s="19"/>
      <c r="R182" s="19"/>
      <c r="S182" s="19"/>
      <c r="T182" s="36"/>
      <c r="U182" s="43"/>
      <c r="V182" s="19"/>
      <c r="W182" s="28"/>
      <c r="X182" s="28"/>
      <c r="Y182" s="19"/>
      <c r="Z182" s="19"/>
      <c r="AA182" s="19"/>
      <c r="AB182" s="29"/>
      <c r="AC182" s="29"/>
      <c r="AD182" s="29"/>
      <c r="AE182" s="28"/>
      <c r="AF182" s="28"/>
      <c r="AG182" s="28"/>
      <c r="AH182" s="29"/>
      <c r="AI182" s="29"/>
      <c r="AJ182" s="30"/>
      <c r="AK182" s="57"/>
      <c r="AL182" s="57"/>
      <c r="AM182" s="57"/>
      <c r="AN182" s="57"/>
      <c r="AO182" s="57"/>
      <c r="AP182" s="57"/>
    </row>
    <row r="183" spans="1:42" ht="21" x14ac:dyDescent="0.5">
      <c r="A183" s="28"/>
      <c r="B183" s="67"/>
      <c r="C183" s="28"/>
      <c r="D183" s="19"/>
      <c r="E183" s="28"/>
      <c r="F183" s="28"/>
      <c r="G183" s="19"/>
      <c r="H183" s="28"/>
      <c r="I183" s="19"/>
      <c r="J183" s="19"/>
      <c r="K183" s="19"/>
      <c r="L183" s="19"/>
      <c r="M183" s="19"/>
      <c r="N183" s="19"/>
      <c r="O183" s="19"/>
      <c r="P183" s="28"/>
      <c r="Q183" s="19"/>
      <c r="R183" s="19"/>
      <c r="S183" s="19"/>
      <c r="T183" s="36"/>
      <c r="U183" s="43"/>
      <c r="V183" s="19"/>
      <c r="W183" s="28"/>
      <c r="X183" s="28"/>
      <c r="Y183" s="19"/>
      <c r="Z183" s="19"/>
      <c r="AA183" s="19"/>
      <c r="AB183" s="29"/>
      <c r="AC183" s="29"/>
      <c r="AD183" s="29"/>
      <c r="AE183" s="28"/>
      <c r="AF183" s="28"/>
      <c r="AG183" s="28"/>
      <c r="AH183" s="29"/>
      <c r="AI183" s="29"/>
      <c r="AJ183" s="30"/>
      <c r="AK183" s="57"/>
      <c r="AL183" s="57"/>
      <c r="AM183" s="57"/>
      <c r="AN183" s="57"/>
      <c r="AO183" s="57"/>
      <c r="AP183" s="57"/>
    </row>
    <row r="184" spans="1:42" ht="21" x14ac:dyDescent="0.5">
      <c r="A184" s="28"/>
      <c r="B184" s="67"/>
      <c r="C184" s="28"/>
      <c r="D184" s="19"/>
      <c r="E184" s="28"/>
      <c r="F184" s="28"/>
      <c r="G184" s="19"/>
      <c r="H184" s="28"/>
      <c r="I184" s="19"/>
      <c r="J184" s="19"/>
      <c r="K184" s="19"/>
      <c r="L184" s="19"/>
      <c r="M184" s="19"/>
      <c r="N184" s="19"/>
      <c r="O184" s="19"/>
      <c r="P184" s="28"/>
      <c r="Q184" s="19"/>
      <c r="R184" s="19"/>
      <c r="S184" s="19"/>
      <c r="T184" s="36"/>
      <c r="U184" s="43"/>
      <c r="V184" s="19"/>
      <c r="W184" s="28"/>
      <c r="X184" s="28"/>
      <c r="Y184" s="19"/>
      <c r="Z184" s="19"/>
      <c r="AA184" s="19"/>
      <c r="AB184" s="29"/>
      <c r="AC184" s="29"/>
      <c r="AD184" s="29"/>
      <c r="AE184" s="28"/>
      <c r="AF184" s="28"/>
      <c r="AG184" s="28"/>
      <c r="AH184" s="29"/>
      <c r="AI184" s="29"/>
      <c r="AJ184" s="30"/>
      <c r="AK184" s="57"/>
      <c r="AL184" s="57"/>
      <c r="AM184" s="57"/>
      <c r="AN184" s="57"/>
      <c r="AO184" s="57"/>
      <c r="AP184" s="57"/>
    </row>
    <row r="185" spans="1:42" ht="21" x14ac:dyDescent="0.5">
      <c r="A185" s="28"/>
      <c r="B185" s="67"/>
      <c r="C185" s="28"/>
      <c r="D185" s="19"/>
      <c r="E185" s="28"/>
      <c r="F185" s="28"/>
      <c r="G185" s="19"/>
      <c r="H185" s="28"/>
      <c r="I185" s="19"/>
      <c r="J185" s="19"/>
      <c r="K185" s="19"/>
      <c r="L185" s="19"/>
      <c r="M185" s="19"/>
      <c r="N185" s="19"/>
      <c r="O185" s="19"/>
      <c r="P185" s="28"/>
      <c r="Q185" s="19"/>
      <c r="R185" s="19"/>
      <c r="S185" s="19"/>
      <c r="T185" s="36"/>
      <c r="U185" s="43"/>
      <c r="V185" s="19"/>
      <c r="W185" s="28"/>
      <c r="X185" s="28"/>
      <c r="Y185" s="19"/>
      <c r="Z185" s="19"/>
      <c r="AA185" s="19"/>
      <c r="AB185" s="29"/>
      <c r="AC185" s="29"/>
      <c r="AD185" s="29"/>
      <c r="AE185" s="28"/>
      <c r="AF185" s="28"/>
      <c r="AG185" s="28"/>
      <c r="AH185" s="29"/>
      <c r="AI185" s="29"/>
      <c r="AJ185" s="30"/>
      <c r="AK185" s="57"/>
      <c r="AL185" s="57"/>
      <c r="AM185" s="57"/>
      <c r="AN185" s="57"/>
      <c r="AO185" s="57"/>
      <c r="AP185" s="57"/>
    </row>
    <row r="186" spans="1:42" ht="21" x14ac:dyDescent="0.5">
      <c r="A186" s="28"/>
      <c r="B186" s="67"/>
      <c r="C186" s="28"/>
      <c r="D186" s="19"/>
      <c r="E186" s="28"/>
      <c r="F186" s="28"/>
      <c r="G186" s="19"/>
      <c r="H186" s="28"/>
      <c r="I186" s="19"/>
      <c r="J186" s="19"/>
      <c r="K186" s="19"/>
      <c r="L186" s="19"/>
      <c r="M186" s="19"/>
      <c r="N186" s="19"/>
      <c r="O186" s="19"/>
      <c r="P186" s="28"/>
      <c r="Q186" s="19"/>
      <c r="R186" s="19"/>
      <c r="S186" s="19"/>
      <c r="T186" s="36"/>
      <c r="U186" s="43"/>
      <c r="V186" s="19"/>
      <c r="W186" s="28"/>
      <c r="X186" s="28"/>
      <c r="Y186" s="19"/>
      <c r="Z186" s="19"/>
      <c r="AA186" s="19"/>
      <c r="AB186" s="29"/>
      <c r="AC186" s="29"/>
      <c r="AD186" s="29"/>
      <c r="AE186" s="28"/>
      <c r="AF186" s="28"/>
      <c r="AG186" s="28"/>
      <c r="AH186" s="29"/>
      <c r="AI186" s="29"/>
      <c r="AJ186" s="30"/>
      <c r="AK186" s="57"/>
      <c r="AL186" s="57"/>
      <c r="AM186" s="57"/>
      <c r="AN186" s="57"/>
      <c r="AO186" s="57"/>
      <c r="AP186" s="57"/>
    </row>
    <row r="187" spans="1:42" ht="21" x14ac:dyDescent="0.5">
      <c r="A187" s="28"/>
      <c r="B187" s="67"/>
      <c r="C187" s="28"/>
      <c r="D187" s="19"/>
      <c r="E187" s="28"/>
      <c r="F187" s="28"/>
      <c r="G187" s="19"/>
      <c r="H187" s="28"/>
      <c r="I187" s="19"/>
      <c r="J187" s="19"/>
      <c r="K187" s="19"/>
      <c r="L187" s="19"/>
      <c r="M187" s="19"/>
      <c r="N187" s="19"/>
      <c r="O187" s="19"/>
      <c r="P187" s="28"/>
      <c r="Q187" s="19"/>
      <c r="R187" s="19"/>
      <c r="S187" s="19"/>
      <c r="T187" s="36"/>
      <c r="U187" s="43"/>
      <c r="V187" s="19"/>
      <c r="W187" s="28"/>
      <c r="X187" s="28"/>
      <c r="Y187" s="19"/>
      <c r="Z187" s="19"/>
      <c r="AA187" s="19"/>
      <c r="AB187" s="29"/>
      <c r="AC187" s="29"/>
      <c r="AD187" s="29"/>
      <c r="AE187" s="28"/>
      <c r="AF187" s="28"/>
      <c r="AG187" s="28"/>
      <c r="AH187" s="29"/>
      <c r="AI187" s="29"/>
      <c r="AJ187" s="30"/>
      <c r="AK187" s="57"/>
      <c r="AL187" s="57"/>
      <c r="AM187" s="57"/>
      <c r="AN187" s="57"/>
      <c r="AO187" s="57"/>
      <c r="AP187" s="57"/>
    </row>
    <row r="188" spans="1:42" ht="21" x14ac:dyDescent="0.5">
      <c r="A188" s="28"/>
      <c r="B188" s="67"/>
      <c r="C188" s="28"/>
      <c r="D188" s="19"/>
      <c r="E188" s="28"/>
      <c r="F188" s="28"/>
      <c r="G188" s="19"/>
      <c r="H188" s="28"/>
      <c r="I188" s="19"/>
      <c r="J188" s="19"/>
      <c r="K188" s="19"/>
      <c r="L188" s="19"/>
      <c r="M188" s="19"/>
      <c r="N188" s="19"/>
      <c r="O188" s="19"/>
      <c r="P188" s="28"/>
      <c r="Q188" s="19"/>
      <c r="R188" s="19"/>
      <c r="S188" s="19"/>
      <c r="T188" s="36"/>
      <c r="U188" s="43"/>
      <c r="V188" s="19"/>
      <c r="W188" s="28"/>
      <c r="X188" s="28"/>
      <c r="Y188" s="19"/>
      <c r="Z188" s="19"/>
      <c r="AA188" s="19"/>
      <c r="AB188" s="29"/>
      <c r="AC188" s="29"/>
      <c r="AD188" s="29"/>
      <c r="AE188" s="28"/>
      <c r="AF188" s="28"/>
      <c r="AG188" s="28"/>
      <c r="AH188" s="29"/>
      <c r="AI188" s="29"/>
      <c r="AJ188" s="30"/>
      <c r="AK188" s="57"/>
      <c r="AL188" s="57"/>
      <c r="AM188" s="57"/>
      <c r="AN188" s="57"/>
      <c r="AO188" s="57"/>
      <c r="AP188" s="57"/>
    </row>
    <row r="189" spans="1:42" ht="21" x14ac:dyDescent="0.5">
      <c r="A189" s="28"/>
      <c r="B189" s="67"/>
      <c r="C189" s="28"/>
      <c r="D189" s="19"/>
      <c r="E189" s="28"/>
      <c r="F189" s="28"/>
      <c r="G189" s="19"/>
      <c r="H189" s="28"/>
      <c r="I189" s="19"/>
      <c r="J189" s="19"/>
      <c r="K189" s="19"/>
      <c r="L189" s="19"/>
      <c r="M189" s="19"/>
      <c r="N189" s="19"/>
      <c r="O189" s="19"/>
      <c r="P189" s="28"/>
      <c r="Q189" s="19"/>
      <c r="R189" s="19"/>
      <c r="S189" s="19"/>
      <c r="T189" s="36"/>
      <c r="U189" s="43"/>
      <c r="V189" s="19"/>
      <c r="W189" s="28"/>
      <c r="X189" s="28"/>
      <c r="Y189" s="19"/>
      <c r="Z189" s="19"/>
      <c r="AA189" s="19"/>
      <c r="AB189" s="29"/>
      <c r="AC189" s="29"/>
      <c r="AD189" s="29"/>
      <c r="AE189" s="28"/>
      <c r="AF189" s="28"/>
      <c r="AG189" s="28"/>
      <c r="AH189" s="29"/>
      <c r="AI189" s="29"/>
      <c r="AJ189" s="30"/>
      <c r="AK189" s="57"/>
      <c r="AL189" s="57"/>
      <c r="AM189" s="57"/>
      <c r="AN189" s="57"/>
      <c r="AO189" s="57"/>
      <c r="AP189" s="57"/>
    </row>
    <row r="190" spans="1:42" ht="21" x14ac:dyDescent="0.5">
      <c r="A190" s="28"/>
      <c r="B190" s="67"/>
      <c r="C190" s="28"/>
      <c r="D190" s="19"/>
      <c r="E190" s="28"/>
      <c r="F190" s="28"/>
      <c r="G190" s="19"/>
      <c r="H190" s="28"/>
      <c r="I190" s="19"/>
      <c r="J190" s="19"/>
      <c r="K190" s="19"/>
      <c r="L190" s="19"/>
      <c r="M190" s="19"/>
      <c r="N190" s="19"/>
      <c r="O190" s="19"/>
      <c r="P190" s="28"/>
      <c r="Q190" s="19"/>
      <c r="R190" s="19"/>
      <c r="S190" s="19"/>
      <c r="T190" s="36"/>
      <c r="U190" s="43"/>
      <c r="V190" s="19"/>
      <c r="W190" s="28"/>
      <c r="X190" s="28"/>
      <c r="Y190" s="19"/>
      <c r="Z190" s="19"/>
      <c r="AA190" s="19"/>
      <c r="AB190" s="29"/>
      <c r="AC190" s="29"/>
      <c r="AD190" s="29"/>
      <c r="AE190" s="28"/>
      <c r="AF190" s="28"/>
      <c r="AG190" s="28"/>
      <c r="AH190" s="29"/>
      <c r="AI190" s="29"/>
      <c r="AJ190" s="30"/>
      <c r="AK190" s="57"/>
      <c r="AL190" s="57"/>
      <c r="AM190" s="57"/>
      <c r="AN190" s="57"/>
      <c r="AO190" s="57"/>
      <c r="AP190" s="57"/>
    </row>
    <row r="191" spans="1:42" ht="21" x14ac:dyDescent="0.5">
      <c r="A191" s="28"/>
      <c r="B191" s="67"/>
      <c r="C191" s="28"/>
      <c r="D191" s="19"/>
      <c r="E191" s="28"/>
      <c r="F191" s="28"/>
      <c r="G191" s="19"/>
      <c r="H191" s="28"/>
      <c r="I191" s="19"/>
      <c r="J191" s="19"/>
      <c r="K191" s="19"/>
      <c r="L191" s="19"/>
      <c r="M191" s="19"/>
      <c r="N191" s="19"/>
      <c r="O191" s="19"/>
      <c r="P191" s="28"/>
      <c r="Q191" s="19"/>
      <c r="R191" s="19"/>
      <c r="S191" s="19"/>
      <c r="T191" s="36"/>
      <c r="U191" s="43"/>
      <c r="V191" s="19"/>
      <c r="W191" s="28"/>
      <c r="X191" s="28"/>
      <c r="Y191" s="19"/>
      <c r="Z191" s="19"/>
      <c r="AA191" s="19"/>
      <c r="AB191" s="29"/>
      <c r="AC191" s="29"/>
      <c r="AD191" s="29"/>
      <c r="AE191" s="28"/>
      <c r="AF191" s="28"/>
      <c r="AG191" s="28"/>
      <c r="AH191" s="29"/>
      <c r="AI191" s="29"/>
      <c r="AJ191" s="30"/>
      <c r="AK191" s="57"/>
      <c r="AL191" s="57"/>
      <c r="AM191" s="57"/>
      <c r="AN191" s="57"/>
      <c r="AO191" s="57"/>
      <c r="AP191" s="57"/>
    </row>
    <row r="192" spans="1:42" ht="21" x14ac:dyDescent="0.5">
      <c r="A192" s="28"/>
      <c r="B192" s="67"/>
      <c r="C192" s="28"/>
      <c r="D192" s="19"/>
      <c r="E192" s="28"/>
      <c r="F192" s="28"/>
      <c r="G192" s="19"/>
      <c r="H192" s="28"/>
      <c r="I192" s="19"/>
      <c r="J192" s="19"/>
      <c r="K192" s="19"/>
      <c r="L192" s="19"/>
      <c r="M192" s="19"/>
      <c r="N192" s="19"/>
      <c r="O192" s="19"/>
      <c r="P192" s="28"/>
      <c r="Q192" s="19"/>
      <c r="R192" s="19"/>
      <c r="S192" s="19"/>
      <c r="T192" s="36"/>
      <c r="U192" s="43"/>
      <c r="V192" s="19"/>
      <c r="W192" s="28"/>
      <c r="X192" s="28"/>
      <c r="Y192" s="19"/>
      <c r="Z192" s="19"/>
      <c r="AA192" s="19"/>
      <c r="AB192" s="29"/>
      <c r="AC192" s="29"/>
      <c r="AD192" s="29"/>
      <c r="AE192" s="28"/>
      <c r="AF192" s="28"/>
      <c r="AG192" s="28"/>
      <c r="AH192" s="29"/>
      <c r="AI192" s="29"/>
      <c r="AJ192" s="30"/>
      <c r="AK192" s="57"/>
      <c r="AL192" s="57"/>
      <c r="AM192" s="57"/>
      <c r="AN192" s="57"/>
      <c r="AO192" s="57"/>
      <c r="AP192" s="57"/>
    </row>
    <row r="193" spans="1:42" ht="21" x14ac:dyDescent="0.5">
      <c r="A193" s="28"/>
      <c r="B193" s="67"/>
      <c r="C193" s="28"/>
      <c r="D193" s="19"/>
      <c r="E193" s="28"/>
      <c r="F193" s="28"/>
      <c r="G193" s="19"/>
      <c r="H193" s="28"/>
      <c r="I193" s="19"/>
      <c r="J193" s="19"/>
      <c r="K193" s="19"/>
      <c r="L193" s="19"/>
      <c r="M193" s="19"/>
      <c r="N193" s="19"/>
      <c r="O193" s="19"/>
      <c r="P193" s="28"/>
      <c r="Q193" s="19"/>
      <c r="R193" s="19"/>
      <c r="S193" s="19"/>
      <c r="T193" s="36"/>
      <c r="U193" s="43"/>
      <c r="V193" s="19"/>
      <c r="W193" s="28"/>
      <c r="X193" s="28"/>
      <c r="Y193" s="19"/>
      <c r="Z193" s="19"/>
      <c r="AA193" s="19"/>
      <c r="AB193" s="29"/>
      <c r="AC193" s="29"/>
      <c r="AD193" s="29"/>
      <c r="AE193" s="28"/>
      <c r="AF193" s="28"/>
      <c r="AG193" s="28"/>
      <c r="AH193" s="29"/>
      <c r="AI193" s="29"/>
      <c r="AJ193" s="30"/>
      <c r="AK193" s="57"/>
      <c r="AL193" s="57"/>
      <c r="AM193" s="57"/>
      <c r="AN193" s="57"/>
      <c r="AO193" s="57"/>
      <c r="AP193" s="57"/>
    </row>
    <row r="194" spans="1:42" ht="21" x14ac:dyDescent="0.5">
      <c r="A194" s="28"/>
      <c r="B194" s="67"/>
      <c r="C194" s="28"/>
      <c r="D194" s="19"/>
      <c r="E194" s="28"/>
      <c r="F194" s="28"/>
      <c r="G194" s="19"/>
      <c r="H194" s="28"/>
      <c r="I194" s="19"/>
      <c r="J194" s="19"/>
      <c r="K194" s="19"/>
      <c r="L194" s="19"/>
      <c r="M194" s="19"/>
      <c r="N194" s="19"/>
      <c r="O194" s="19"/>
      <c r="P194" s="28"/>
      <c r="Q194" s="19"/>
      <c r="R194" s="19"/>
      <c r="S194" s="19"/>
      <c r="T194" s="36"/>
      <c r="U194" s="43"/>
      <c r="V194" s="19"/>
      <c r="W194" s="28"/>
      <c r="X194" s="28"/>
      <c r="Y194" s="19"/>
      <c r="Z194" s="19"/>
      <c r="AA194" s="19"/>
      <c r="AB194" s="29"/>
      <c r="AC194" s="29"/>
      <c r="AD194" s="29"/>
      <c r="AE194" s="28"/>
      <c r="AF194" s="28"/>
      <c r="AG194" s="28"/>
      <c r="AH194" s="29"/>
      <c r="AI194" s="29"/>
      <c r="AJ194" s="30"/>
      <c r="AK194" s="57"/>
      <c r="AL194" s="57"/>
      <c r="AM194" s="57"/>
      <c r="AN194" s="57"/>
      <c r="AO194" s="57"/>
      <c r="AP194" s="57"/>
    </row>
    <row r="195" spans="1:42" ht="21.5" thickBot="1" x14ac:dyDescent="0.55000000000000004">
      <c r="A195" s="28"/>
      <c r="B195" s="67"/>
      <c r="C195" s="31"/>
      <c r="D195" s="32"/>
      <c r="E195" s="31"/>
      <c r="F195" s="31"/>
      <c r="G195" s="32"/>
      <c r="H195" s="31"/>
      <c r="I195" s="32"/>
      <c r="J195" s="32"/>
      <c r="K195" s="32"/>
      <c r="L195" s="32"/>
      <c r="M195" s="32"/>
      <c r="N195" s="32"/>
      <c r="O195" s="32"/>
      <c r="P195" s="31"/>
      <c r="Q195" s="32"/>
      <c r="R195" s="32"/>
      <c r="S195" s="32"/>
      <c r="T195" s="39"/>
      <c r="U195" s="50"/>
      <c r="V195" s="19"/>
      <c r="W195" s="28"/>
      <c r="X195" s="28"/>
      <c r="Y195" s="19"/>
      <c r="Z195" s="19"/>
      <c r="AA195" s="19"/>
      <c r="AB195" s="29"/>
      <c r="AC195" s="33"/>
      <c r="AD195" s="33"/>
      <c r="AE195" s="31"/>
      <c r="AF195" s="31"/>
      <c r="AG195" s="31"/>
      <c r="AH195" s="33"/>
      <c r="AI195" s="33"/>
      <c r="AJ195" s="51"/>
      <c r="AK195" s="57"/>
      <c r="AL195" s="57"/>
      <c r="AM195" s="57"/>
      <c r="AN195" s="57"/>
      <c r="AO195" s="57"/>
      <c r="AP195" s="57"/>
    </row>
    <row r="196" spans="1:42" ht="21.5" thickBot="1" x14ac:dyDescent="0.55000000000000004">
      <c r="A196" s="28"/>
      <c r="B196" s="68"/>
      <c r="C196" s="71"/>
      <c r="D196" s="32"/>
      <c r="E196" s="71"/>
      <c r="F196" s="71"/>
      <c r="G196" s="32"/>
      <c r="H196" s="71"/>
      <c r="I196" s="32"/>
      <c r="J196" s="72"/>
      <c r="K196" s="72"/>
      <c r="L196" s="72"/>
      <c r="M196" s="72"/>
      <c r="N196" s="72"/>
      <c r="O196" s="72"/>
      <c r="P196" s="71"/>
      <c r="Q196" s="72"/>
      <c r="R196" s="72"/>
      <c r="S196" s="72"/>
      <c r="T196" s="73"/>
      <c r="U196" s="50"/>
      <c r="V196" s="72"/>
      <c r="W196" s="71"/>
      <c r="X196" s="71"/>
      <c r="Y196" s="72"/>
      <c r="Z196" s="72"/>
      <c r="AA196" s="72"/>
      <c r="AB196" s="74"/>
      <c r="AC196" s="33"/>
      <c r="AD196" s="75"/>
      <c r="AE196" s="71"/>
      <c r="AF196" s="71"/>
      <c r="AG196" s="71"/>
      <c r="AH196" s="80"/>
      <c r="AI196" s="76"/>
      <c r="AJ196" s="51"/>
      <c r="AK196" s="59"/>
      <c r="AL196" s="59"/>
      <c r="AM196" s="59"/>
      <c r="AN196" s="59"/>
      <c r="AO196" s="57"/>
      <c r="AP196" s="57"/>
    </row>
    <row r="197" spans="1:42" ht="21.5" thickBot="1" x14ac:dyDescent="0.55000000000000004">
      <c r="A197" s="28"/>
      <c r="B197" s="70"/>
      <c r="C197" s="28"/>
      <c r="D197" s="32"/>
      <c r="E197" s="28"/>
      <c r="F197" s="28"/>
      <c r="G197" s="32"/>
      <c r="H197" s="28"/>
      <c r="I197" s="32"/>
      <c r="J197" s="19"/>
      <c r="K197" s="19"/>
      <c r="L197" s="19"/>
      <c r="M197" s="19"/>
      <c r="N197" s="19"/>
      <c r="O197" s="19"/>
      <c r="P197" s="28"/>
      <c r="Q197" s="19"/>
      <c r="R197" s="19"/>
      <c r="S197" s="19"/>
      <c r="T197" s="36"/>
      <c r="U197" s="50"/>
      <c r="V197" s="19"/>
      <c r="W197" s="28"/>
      <c r="X197" s="28"/>
      <c r="Y197" s="19"/>
      <c r="Z197" s="19"/>
      <c r="AA197" s="19"/>
      <c r="AB197" s="77"/>
      <c r="AC197" s="33"/>
      <c r="AD197" s="29"/>
      <c r="AE197" s="28"/>
      <c r="AF197" s="28"/>
      <c r="AG197" s="28"/>
      <c r="AH197" s="80"/>
      <c r="AI197" s="29"/>
      <c r="AJ197" s="51"/>
      <c r="AK197" s="57"/>
      <c r="AL197" s="57"/>
      <c r="AM197" s="57"/>
      <c r="AN197" s="57"/>
      <c r="AO197" s="57"/>
      <c r="AP197" s="57"/>
    </row>
    <row r="198" spans="1:42" ht="21.5" thickBot="1" x14ac:dyDescent="0.55000000000000004">
      <c r="A198" s="28"/>
      <c r="B198" s="45"/>
      <c r="C198" s="46"/>
      <c r="D198" s="32"/>
      <c r="E198" s="46"/>
      <c r="F198" s="46"/>
      <c r="G198" s="32"/>
      <c r="H198" s="46"/>
      <c r="I198" s="32"/>
      <c r="J198" s="47"/>
      <c r="K198" s="72"/>
      <c r="L198" s="47"/>
      <c r="M198" s="47"/>
      <c r="N198" s="47"/>
      <c r="O198" s="47"/>
      <c r="P198" s="46"/>
      <c r="Q198" s="47"/>
      <c r="R198" s="47"/>
      <c r="S198" s="47"/>
      <c r="T198" s="48"/>
      <c r="U198" s="50"/>
      <c r="V198" s="47"/>
      <c r="W198" s="46"/>
      <c r="X198" s="46"/>
      <c r="Y198" s="47"/>
      <c r="Z198" s="47"/>
      <c r="AA198" s="47"/>
      <c r="AB198" s="79"/>
      <c r="AC198" s="33"/>
      <c r="AD198" s="49"/>
      <c r="AE198" s="46"/>
      <c r="AF198" s="46"/>
      <c r="AG198" s="28"/>
      <c r="AH198" s="80"/>
      <c r="AI198" s="49"/>
      <c r="AJ198" s="51"/>
      <c r="AK198" s="57"/>
      <c r="AL198" s="57"/>
      <c r="AM198" s="57"/>
      <c r="AN198" s="57"/>
      <c r="AO198" s="57"/>
      <c r="AP198" s="57"/>
    </row>
    <row r="199" spans="1:42" ht="21" x14ac:dyDescent="0.5">
      <c r="A199" s="28"/>
      <c r="B199" s="78"/>
      <c r="C199" s="34"/>
      <c r="D199" s="35"/>
      <c r="E199" s="34"/>
      <c r="F199" s="34"/>
      <c r="G199" s="35"/>
      <c r="H199" s="34"/>
      <c r="I199" s="19"/>
      <c r="J199" s="35"/>
      <c r="K199" s="19"/>
      <c r="L199" s="19"/>
      <c r="M199" s="19"/>
      <c r="N199" s="19"/>
      <c r="O199" s="19"/>
      <c r="P199" s="28"/>
      <c r="Q199" s="19"/>
      <c r="R199" s="19"/>
      <c r="S199" s="19"/>
      <c r="T199" s="36"/>
      <c r="U199" s="43"/>
      <c r="V199" s="19"/>
      <c r="W199" s="28"/>
      <c r="X199" s="28"/>
      <c r="Y199" s="19"/>
      <c r="Z199" s="19"/>
      <c r="AA199" s="19"/>
      <c r="AB199" s="29"/>
      <c r="AC199" s="29"/>
      <c r="AD199" s="29"/>
      <c r="AE199" s="28"/>
      <c r="AF199" s="28"/>
      <c r="AG199" s="28"/>
      <c r="AH199" s="29"/>
      <c r="AI199" s="29"/>
      <c r="AJ199" s="30"/>
      <c r="AK199" s="57"/>
      <c r="AL199" s="57"/>
      <c r="AM199" s="57"/>
      <c r="AN199" s="57"/>
      <c r="AO199" s="57"/>
      <c r="AP199" s="57"/>
    </row>
    <row r="200" spans="1:42" ht="21" x14ac:dyDescent="0.5">
      <c r="A200" s="28"/>
      <c r="B200" s="69"/>
      <c r="C200" s="34"/>
      <c r="D200" s="35"/>
      <c r="E200" s="34"/>
      <c r="F200" s="34"/>
      <c r="G200" s="35"/>
      <c r="H200" s="34"/>
      <c r="I200" s="19"/>
      <c r="J200" s="35"/>
      <c r="K200" s="19"/>
      <c r="L200" s="19"/>
      <c r="M200" s="19"/>
      <c r="N200" s="19"/>
      <c r="O200" s="19"/>
      <c r="P200" s="28"/>
      <c r="Q200" s="19"/>
      <c r="R200" s="19"/>
      <c r="S200" s="19"/>
      <c r="T200" s="36"/>
      <c r="U200" s="43"/>
      <c r="V200" s="19"/>
      <c r="W200" s="28"/>
      <c r="X200" s="28"/>
      <c r="Y200" s="19"/>
      <c r="Z200" s="19"/>
      <c r="AA200" s="19"/>
      <c r="AB200" s="29"/>
      <c r="AC200" s="29"/>
      <c r="AD200" s="29"/>
      <c r="AE200" s="28"/>
      <c r="AF200" s="28"/>
      <c r="AG200" s="28"/>
      <c r="AH200" s="29"/>
      <c r="AI200" s="29"/>
      <c r="AJ200" s="30"/>
      <c r="AK200" s="57"/>
      <c r="AL200" s="57"/>
      <c r="AM200" s="57"/>
      <c r="AN200" s="57"/>
      <c r="AO200" s="57"/>
      <c r="AP200" s="57"/>
    </row>
    <row r="201" spans="1:42" ht="21" x14ac:dyDescent="0.5">
      <c r="A201" s="28"/>
      <c r="B201" s="69"/>
      <c r="C201" s="34"/>
      <c r="D201" s="35"/>
      <c r="E201" s="34"/>
      <c r="F201" s="34"/>
      <c r="G201" s="35"/>
      <c r="H201" s="34"/>
      <c r="I201" s="19"/>
      <c r="J201" s="35"/>
      <c r="K201" s="19"/>
      <c r="L201" s="19"/>
      <c r="M201" s="19"/>
      <c r="N201" s="19"/>
      <c r="O201" s="19"/>
      <c r="P201" s="28"/>
      <c r="Q201" s="19"/>
      <c r="R201" s="19"/>
      <c r="S201" s="19"/>
      <c r="T201" s="36"/>
      <c r="U201" s="43"/>
      <c r="V201" s="19"/>
      <c r="W201" s="28"/>
      <c r="X201" s="28"/>
      <c r="Y201" s="19"/>
      <c r="Z201" s="19"/>
      <c r="AA201" s="19"/>
      <c r="AB201" s="29"/>
      <c r="AC201" s="29"/>
      <c r="AD201" s="29"/>
      <c r="AE201" s="28"/>
      <c r="AF201" s="28"/>
      <c r="AG201" s="28"/>
      <c r="AH201" s="29"/>
      <c r="AI201" s="29"/>
      <c r="AJ201" s="30"/>
      <c r="AK201" s="57"/>
      <c r="AL201" s="57"/>
      <c r="AM201" s="57"/>
      <c r="AN201" s="57"/>
      <c r="AO201" s="57"/>
      <c r="AP201" s="57"/>
    </row>
    <row r="202" spans="1:42" ht="21" x14ac:dyDescent="0.5">
      <c r="A202" s="28"/>
      <c r="B202" s="69"/>
      <c r="C202" s="34"/>
      <c r="D202" s="35"/>
      <c r="E202" s="34"/>
      <c r="F202" s="34"/>
      <c r="G202" s="35"/>
      <c r="H202" s="34"/>
      <c r="I202" s="19"/>
      <c r="J202" s="35"/>
      <c r="K202" s="19"/>
      <c r="L202" s="19"/>
      <c r="M202" s="19"/>
      <c r="N202" s="19"/>
      <c r="O202" s="19"/>
      <c r="P202" s="28"/>
      <c r="Q202" s="19"/>
      <c r="R202" s="19"/>
      <c r="S202" s="19"/>
      <c r="T202" s="36"/>
      <c r="U202" s="43"/>
      <c r="V202" s="19"/>
      <c r="W202" s="28"/>
      <c r="X202" s="28"/>
      <c r="Y202" s="19"/>
      <c r="Z202" s="19"/>
      <c r="AA202" s="19"/>
      <c r="AB202" s="29"/>
      <c r="AC202" s="29"/>
      <c r="AD202" s="29"/>
      <c r="AE202" s="28"/>
      <c r="AF202" s="28"/>
      <c r="AG202" s="28"/>
      <c r="AH202" s="29"/>
      <c r="AI202" s="29"/>
      <c r="AJ202" s="30"/>
      <c r="AK202" s="57"/>
      <c r="AL202" s="57"/>
      <c r="AM202" s="57"/>
      <c r="AN202" s="57"/>
      <c r="AO202" s="57"/>
      <c r="AP202" s="57"/>
    </row>
    <row r="203" spans="1:42" ht="21" x14ac:dyDescent="0.5">
      <c r="A203" s="28"/>
      <c r="B203" s="69"/>
      <c r="C203" s="34"/>
      <c r="D203" s="35"/>
      <c r="E203" s="34"/>
      <c r="F203" s="34"/>
      <c r="G203" s="35"/>
      <c r="H203" s="34"/>
      <c r="I203" s="19"/>
      <c r="J203" s="35"/>
      <c r="K203" s="19"/>
      <c r="L203" s="19"/>
      <c r="M203" s="19"/>
      <c r="N203" s="19"/>
      <c r="O203" s="19"/>
      <c r="P203" s="28"/>
      <c r="Q203" s="19"/>
      <c r="R203" s="19"/>
      <c r="S203" s="19"/>
      <c r="T203" s="36"/>
      <c r="U203" s="43"/>
      <c r="V203" s="19"/>
      <c r="W203" s="28"/>
      <c r="X203" s="28"/>
      <c r="Y203" s="19"/>
      <c r="Z203" s="19"/>
      <c r="AA203" s="19"/>
      <c r="AB203" s="29"/>
      <c r="AC203" s="29"/>
      <c r="AD203" s="29"/>
      <c r="AE203" s="28"/>
      <c r="AF203" s="28"/>
      <c r="AG203" s="28"/>
      <c r="AH203" s="29"/>
      <c r="AI203" s="29"/>
      <c r="AJ203" s="30"/>
      <c r="AK203" s="57"/>
      <c r="AL203" s="57"/>
      <c r="AM203" s="57"/>
      <c r="AN203" s="57"/>
      <c r="AO203" s="57"/>
      <c r="AP203" s="57"/>
    </row>
    <row r="204" spans="1:42" ht="21" x14ac:dyDescent="0.5">
      <c r="A204" s="28"/>
      <c r="B204" s="69"/>
      <c r="C204" s="34"/>
      <c r="D204" s="35"/>
      <c r="E204" s="34"/>
      <c r="F204" s="34"/>
      <c r="G204" s="35"/>
      <c r="H204" s="34"/>
      <c r="I204" s="19"/>
      <c r="J204" s="35"/>
      <c r="K204" s="19"/>
      <c r="L204" s="19"/>
      <c r="M204" s="19"/>
      <c r="N204" s="19"/>
      <c r="O204" s="19"/>
      <c r="P204" s="28"/>
      <c r="Q204" s="19"/>
      <c r="R204" s="19"/>
      <c r="S204" s="19"/>
      <c r="T204" s="36"/>
      <c r="U204" s="43"/>
      <c r="V204" s="19"/>
      <c r="W204" s="28"/>
      <c r="X204" s="28"/>
      <c r="Y204" s="19"/>
      <c r="Z204" s="19"/>
      <c r="AA204" s="19"/>
      <c r="AB204" s="29"/>
      <c r="AC204" s="29"/>
      <c r="AD204" s="29"/>
      <c r="AE204" s="28"/>
      <c r="AF204" s="28"/>
      <c r="AG204" s="28"/>
      <c r="AH204" s="29"/>
      <c r="AI204" s="29"/>
      <c r="AJ204" s="30"/>
      <c r="AK204" s="57"/>
      <c r="AL204" s="57"/>
      <c r="AM204" s="57"/>
      <c r="AN204" s="57"/>
      <c r="AO204" s="57"/>
      <c r="AP204" s="57"/>
    </row>
    <row r="205" spans="1:42" ht="21" x14ac:dyDescent="0.5">
      <c r="A205" s="28"/>
      <c r="B205" s="69"/>
      <c r="C205" s="34"/>
      <c r="D205" s="35"/>
      <c r="E205" s="34"/>
      <c r="F205" s="34"/>
      <c r="G205" s="35"/>
      <c r="H205" s="34"/>
      <c r="I205" s="19"/>
      <c r="J205" s="35"/>
      <c r="K205" s="19"/>
      <c r="L205" s="19"/>
      <c r="M205" s="19"/>
      <c r="N205" s="19"/>
      <c r="O205" s="19"/>
      <c r="P205" s="28"/>
      <c r="Q205" s="19"/>
      <c r="R205" s="19"/>
      <c r="S205" s="19"/>
      <c r="T205" s="36"/>
      <c r="U205" s="43"/>
      <c r="V205" s="19"/>
      <c r="W205" s="28"/>
      <c r="X205" s="28"/>
      <c r="Y205" s="19"/>
      <c r="Z205" s="19"/>
      <c r="AA205" s="19"/>
      <c r="AB205" s="29"/>
      <c r="AC205" s="29"/>
      <c r="AD205" s="29"/>
      <c r="AE205" s="28"/>
      <c r="AF205" s="28"/>
      <c r="AG205" s="28"/>
      <c r="AH205" s="29"/>
      <c r="AI205" s="29"/>
      <c r="AJ205" s="30"/>
      <c r="AK205" s="57"/>
      <c r="AL205" s="57"/>
      <c r="AM205" s="57"/>
      <c r="AN205" s="57"/>
      <c r="AO205" s="57"/>
      <c r="AP205" s="57"/>
    </row>
    <row r="206" spans="1:42" ht="21" x14ac:dyDescent="0.5">
      <c r="A206" s="28"/>
      <c r="B206" s="69"/>
      <c r="C206" s="34"/>
      <c r="D206" s="35"/>
      <c r="E206" s="34"/>
      <c r="F206" s="34"/>
      <c r="G206" s="35"/>
      <c r="H206" s="34"/>
      <c r="I206" s="19"/>
      <c r="J206" s="35"/>
      <c r="K206" s="19"/>
      <c r="L206" s="19"/>
      <c r="M206" s="19"/>
      <c r="N206" s="19"/>
      <c r="O206" s="19"/>
      <c r="P206" s="28"/>
      <c r="Q206" s="19"/>
      <c r="R206" s="19"/>
      <c r="S206" s="19"/>
      <c r="T206" s="36"/>
      <c r="U206" s="43"/>
      <c r="V206" s="19"/>
      <c r="W206" s="28"/>
      <c r="X206" s="28"/>
      <c r="Y206" s="19"/>
      <c r="Z206" s="19"/>
      <c r="AA206" s="19"/>
      <c r="AB206" s="29"/>
      <c r="AC206" s="29"/>
      <c r="AD206" s="29"/>
      <c r="AE206" s="28"/>
      <c r="AF206" s="28"/>
      <c r="AG206" s="28"/>
      <c r="AH206" s="29"/>
      <c r="AI206" s="29"/>
      <c r="AJ206" s="30"/>
      <c r="AK206" s="57"/>
      <c r="AL206" s="57"/>
      <c r="AM206" s="57"/>
      <c r="AN206" s="57"/>
      <c r="AO206" s="57"/>
      <c r="AP206" s="57"/>
    </row>
    <row r="207" spans="1:42" ht="21" x14ac:dyDescent="0.5">
      <c r="A207" s="28"/>
      <c r="B207" s="69"/>
      <c r="C207" s="34"/>
      <c r="D207" s="35"/>
      <c r="E207" s="34"/>
      <c r="F207" s="34"/>
      <c r="G207" s="35"/>
      <c r="H207" s="34"/>
      <c r="I207" s="19"/>
      <c r="J207" s="35"/>
      <c r="K207" s="19"/>
      <c r="L207" s="19"/>
      <c r="M207" s="19"/>
      <c r="N207" s="19"/>
      <c r="O207" s="19"/>
      <c r="P207" s="28"/>
      <c r="Q207" s="19"/>
      <c r="R207" s="19"/>
      <c r="S207" s="19"/>
      <c r="T207" s="36"/>
      <c r="U207" s="43"/>
      <c r="V207" s="19"/>
      <c r="W207" s="28"/>
      <c r="X207" s="28"/>
      <c r="Y207" s="19"/>
      <c r="Z207" s="19"/>
      <c r="AA207" s="19"/>
      <c r="AB207" s="29"/>
      <c r="AC207" s="29"/>
      <c r="AD207" s="29"/>
      <c r="AE207" s="28"/>
      <c r="AF207" s="28"/>
      <c r="AG207" s="28"/>
      <c r="AH207" s="29"/>
      <c r="AI207" s="29"/>
      <c r="AJ207" s="30"/>
      <c r="AK207" s="57"/>
      <c r="AL207" s="57"/>
      <c r="AM207" s="57"/>
      <c r="AN207" s="57"/>
      <c r="AO207" s="57"/>
      <c r="AP207" s="57"/>
    </row>
    <row r="208" spans="1:42" ht="21" x14ac:dyDescent="0.5">
      <c r="A208" s="28"/>
      <c r="B208" s="69"/>
      <c r="C208" s="34"/>
      <c r="D208" s="35"/>
      <c r="E208" s="34"/>
      <c r="F208" s="34"/>
      <c r="G208" s="35"/>
      <c r="H208" s="34"/>
      <c r="I208" s="19"/>
      <c r="J208" s="35"/>
      <c r="K208" s="19"/>
      <c r="L208" s="19"/>
      <c r="M208" s="19"/>
      <c r="N208" s="19"/>
      <c r="O208" s="19"/>
      <c r="P208" s="28"/>
      <c r="Q208" s="19"/>
      <c r="R208" s="19"/>
      <c r="S208" s="19"/>
      <c r="T208" s="36"/>
      <c r="U208" s="43"/>
      <c r="V208" s="19"/>
      <c r="W208" s="28"/>
      <c r="X208" s="28"/>
      <c r="Y208" s="19"/>
      <c r="Z208" s="19"/>
      <c r="AA208" s="19"/>
      <c r="AB208" s="29"/>
      <c r="AC208" s="29"/>
      <c r="AD208" s="29"/>
      <c r="AE208" s="28"/>
      <c r="AF208" s="28"/>
      <c r="AG208" s="28"/>
      <c r="AH208" s="29"/>
      <c r="AI208" s="29"/>
      <c r="AJ208" s="30"/>
      <c r="AK208" s="57"/>
      <c r="AL208" s="57"/>
      <c r="AM208" s="57"/>
      <c r="AN208" s="57"/>
      <c r="AO208" s="57"/>
      <c r="AP208" s="57"/>
    </row>
    <row r="209" spans="1:42" ht="21" x14ac:dyDescent="0.5">
      <c r="A209" s="28"/>
      <c r="B209" s="69"/>
      <c r="C209" s="34"/>
      <c r="D209" s="35"/>
      <c r="E209" s="34"/>
      <c r="F209" s="34"/>
      <c r="G209" s="35"/>
      <c r="H209" s="34"/>
      <c r="I209" s="19"/>
      <c r="J209" s="35"/>
      <c r="K209" s="19"/>
      <c r="L209" s="19"/>
      <c r="M209" s="19"/>
      <c r="N209" s="19"/>
      <c r="O209" s="19"/>
      <c r="P209" s="28"/>
      <c r="Q209" s="19"/>
      <c r="R209" s="19"/>
      <c r="S209" s="19"/>
      <c r="T209" s="36"/>
      <c r="U209" s="43"/>
      <c r="V209" s="19"/>
      <c r="W209" s="28"/>
      <c r="X209" s="28"/>
      <c r="Y209" s="19"/>
      <c r="Z209" s="19"/>
      <c r="AA209" s="19"/>
      <c r="AB209" s="29"/>
      <c r="AC209" s="29"/>
      <c r="AD209" s="29"/>
      <c r="AE209" s="28"/>
      <c r="AF209" s="28"/>
      <c r="AG209" s="28"/>
      <c r="AH209" s="29"/>
      <c r="AI209" s="29"/>
      <c r="AJ209" s="30"/>
      <c r="AK209" s="57"/>
      <c r="AL209" s="57"/>
      <c r="AM209" s="57"/>
      <c r="AN209" s="57"/>
      <c r="AO209" s="57"/>
      <c r="AP209" s="57"/>
    </row>
    <row r="210" spans="1:42" ht="21" x14ac:dyDescent="0.5">
      <c r="A210" s="28"/>
      <c r="B210" s="69"/>
      <c r="C210" s="34"/>
      <c r="D210" s="35"/>
      <c r="E210" s="34"/>
      <c r="F210" s="34"/>
      <c r="G210" s="35"/>
      <c r="H210" s="34"/>
      <c r="I210" s="19"/>
      <c r="J210" s="35"/>
      <c r="K210" s="19"/>
      <c r="L210" s="19"/>
      <c r="M210" s="19"/>
      <c r="N210" s="19"/>
      <c r="O210" s="19"/>
      <c r="P210" s="28"/>
      <c r="Q210" s="19"/>
      <c r="R210" s="19"/>
      <c r="S210" s="19"/>
      <c r="T210" s="36"/>
      <c r="U210" s="43"/>
      <c r="V210" s="19"/>
      <c r="W210" s="28"/>
      <c r="X210" s="28"/>
      <c r="Y210" s="19"/>
      <c r="Z210" s="19"/>
      <c r="AA210" s="19"/>
      <c r="AB210" s="29"/>
      <c r="AC210" s="29"/>
      <c r="AD210" s="29"/>
      <c r="AE210" s="28"/>
      <c r="AF210" s="28"/>
      <c r="AG210" s="28"/>
      <c r="AH210" s="29"/>
      <c r="AI210" s="29"/>
      <c r="AJ210" s="30"/>
      <c r="AK210" s="57"/>
      <c r="AL210" s="57"/>
      <c r="AM210" s="57"/>
      <c r="AN210" s="57"/>
      <c r="AO210" s="57"/>
      <c r="AP210" s="57"/>
    </row>
    <row r="211" spans="1:42" ht="21" x14ac:dyDescent="0.5">
      <c r="A211" s="28"/>
      <c r="B211" s="69"/>
      <c r="C211" s="34"/>
      <c r="D211" s="35"/>
      <c r="E211" s="34"/>
      <c r="F211" s="34"/>
      <c r="G211" s="35"/>
      <c r="H211" s="34"/>
      <c r="I211" s="19"/>
      <c r="J211" s="35"/>
      <c r="K211" s="19"/>
      <c r="L211" s="19"/>
      <c r="M211" s="19"/>
      <c r="N211" s="19"/>
      <c r="O211" s="19"/>
      <c r="P211" s="28"/>
      <c r="Q211" s="19"/>
      <c r="R211" s="19"/>
      <c r="S211" s="19"/>
      <c r="T211" s="36"/>
      <c r="U211" s="43"/>
      <c r="V211" s="19"/>
      <c r="W211" s="28"/>
      <c r="X211" s="28"/>
      <c r="Y211" s="19"/>
      <c r="Z211" s="19"/>
      <c r="AA211" s="19"/>
      <c r="AB211" s="29"/>
      <c r="AC211" s="29"/>
      <c r="AD211" s="29"/>
      <c r="AE211" s="28"/>
      <c r="AF211" s="28"/>
      <c r="AG211" s="28"/>
      <c r="AH211" s="29"/>
      <c r="AI211" s="29"/>
      <c r="AJ211" s="30"/>
      <c r="AK211" s="57"/>
      <c r="AL211" s="57"/>
      <c r="AM211" s="57"/>
      <c r="AN211" s="57"/>
      <c r="AO211" s="57"/>
      <c r="AP211" s="57"/>
    </row>
    <row r="212" spans="1:42" ht="21" x14ac:dyDescent="0.5">
      <c r="A212" s="28"/>
      <c r="B212" s="69"/>
      <c r="C212" s="34"/>
      <c r="D212" s="35"/>
      <c r="E212" s="34"/>
      <c r="F212" s="34"/>
      <c r="G212" s="35"/>
      <c r="H212" s="34"/>
      <c r="I212" s="19"/>
      <c r="J212" s="35"/>
      <c r="K212" s="19"/>
      <c r="L212" s="19"/>
      <c r="M212" s="19"/>
      <c r="N212" s="19"/>
      <c r="O212" s="19"/>
      <c r="P212" s="28"/>
      <c r="Q212" s="19"/>
      <c r="R212" s="19"/>
      <c r="S212" s="19"/>
      <c r="T212" s="36"/>
      <c r="U212" s="43"/>
      <c r="V212" s="19"/>
      <c r="W212" s="28"/>
      <c r="X212" s="28"/>
      <c r="Y212" s="19"/>
      <c r="Z212" s="19"/>
      <c r="AA212" s="19"/>
      <c r="AB212" s="29"/>
      <c r="AC212" s="29"/>
      <c r="AD212" s="29"/>
      <c r="AE212" s="28"/>
      <c r="AF212" s="28"/>
      <c r="AG212" s="28"/>
      <c r="AH212" s="29"/>
      <c r="AI212" s="29"/>
      <c r="AJ212" s="30"/>
      <c r="AK212" s="57"/>
      <c r="AL212" s="57"/>
      <c r="AM212" s="57"/>
      <c r="AN212" s="57"/>
      <c r="AO212" s="57"/>
      <c r="AP212" s="57"/>
    </row>
    <row r="213" spans="1:42" ht="21" x14ac:dyDescent="0.5">
      <c r="A213" s="28"/>
      <c r="B213" s="69"/>
      <c r="C213" s="34"/>
      <c r="D213" s="35"/>
      <c r="E213" s="34"/>
      <c r="F213" s="34"/>
      <c r="G213" s="35"/>
      <c r="H213" s="34"/>
      <c r="I213" s="19"/>
      <c r="J213" s="35"/>
      <c r="K213" s="19"/>
      <c r="L213" s="19"/>
      <c r="M213" s="19"/>
      <c r="N213" s="19"/>
      <c r="O213" s="19"/>
      <c r="P213" s="28"/>
      <c r="Q213" s="19"/>
      <c r="R213" s="19"/>
      <c r="S213" s="19"/>
      <c r="T213" s="36"/>
      <c r="U213" s="43"/>
      <c r="V213" s="19"/>
      <c r="W213" s="28"/>
      <c r="X213" s="28"/>
      <c r="Y213" s="19"/>
      <c r="Z213" s="19"/>
      <c r="AA213" s="19"/>
      <c r="AB213" s="29"/>
      <c r="AC213" s="29"/>
      <c r="AD213" s="29"/>
      <c r="AE213" s="28"/>
      <c r="AF213" s="28"/>
      <c r="AG213" s="28"/>
      <c r="AH213" s="29"/>
      <c r="AI213" s="29"/>
      <c r="AJ213" s="30"/>
      <c r="AK213" s="57"/>
      <c r="AL213" s="57"/>
      <c r="AM213" s="57"/>
      <c r="AN213" s="57"/>
      <c r="AO213" s="57"/>
      <c r="AP213" s="57"/>
    </row>
    <row r="214" spans="1:42" ht="21" x14ac:dyDescent="0.5">
      <c r="A214" s="28"/>
      <c r="B214" s="69"/>
      <c r="C214" s="34"/>
      <c r="D214" s="35"/>
      <c r="E214" s="34"/>
      <c r="F214" s="34"/>
      <c r="G214" s="35"/>
      <c r="H214" s="34"/>
      <c r="I214" s="19"/>
      <c r="J214" s="35"/>
      <c r="K214" s="19"/>
      <c r="L214" s="19"/>
      <c r="M214" s="19"/>
      <c r="N214" s="19"/>
      <c r="O214" s="19"/>
      <c r="P214" s="28"/>
      <c r="Q214" s="19"/>
      <c r="R214" s="19"/>
      <c r="S214" s="19"/>
      <c r="T214" s="36"/>
      <c r="U214" s="43"/>
      <c r="V214" s="19"/>
      <c r="W214" s="28"/>
      <c r="X214" s="28"/>
      <c r="Y214" s="19"/>
      <c r="Z214" s="19"/>
      <c r="AA214" s="19"/>
      <c r="AB214" s="29"/>
      <c r="AC214" s="29"/>
      <c r="AD214" s="29"/>
      <c r="AE214" s="28"/>
      <c r="AF214" s="28"/>
      <c r="AG214" s="28"/>
      <c r="AH214" s="29"/>
      <c r="AI214" s="29"/>
      <c r="AJ214" s="30"/>
      <c r="AK214" s="57"/>
      <c r="AL214" s="57"/>
      <c r="AM214" s="57"/>
      <c r="AN214" s="57"/>
      <c r="AO214" s="57"/>
      <c r="AP214" s="57"/>
    </row>
    <row r="215" spans="1:42" ht="21" x14ac:dyDescent="0.5">
      <c r="A215" s="28"/>
      <c r="B215" s="69"/>
      <c r="C215" s="34"/>
      <c r="D215" s="35"/>
      <c r="E215" s="34"/>
      <c r="F215" s="34"/>
      <c r="G215" s="35"/>
      <c r="H215" s="34"/>
      <c r="I215" s="19"/>
      <c r="J215" s="35"/>
      <c r="K215" s="19"/>
      <c r="L215" s="19"/>
      <c r="M215" s="19"/>
      <c r="N215" s="19"/>
      <c r="O215" s="19"/>
      <c r="P215" s="28"/>
      <c r="Q215" s="19"/>
      <c r="R215" s="19"/>
      <c r="S215" s="19"/>
      <c r="T215" s="36"/>
      <c r="U215" s="43"/>
      <c r="V215" s="19"/>
      <c r="W215" s="28"/>
      <c r="X215" s="28"/>
      <c r="Y215" s="19"/>
      <c r="Z215" s="19"/>
      <c r="AA215" s="19"/>
      <c r="AB215" s="29"/>
      <c r="AC215" s="29"/>
      <c r="AD215" s="29"/>
      <c r="AE215" s="28"/>
      <c r="AF215" s="28"/>
      <c r="AG215" s="28"/>
      <c r="AH215" s="29"/>
      <c r="AI215" s="29"/>
      <c r="AJ215" s="30"/>
      <c r="AK215" s="57"/>
      <c r="AL215" s="57"/>
      <c r="AM215" s="57"/>
      <c r="AN215" s="57"/>
      <c r="AO215" s="57"/>
      <c r="AP215" s="57"/>
    </row>
    <row r="216" spans="1:42" ht="21" x14ac:dyDescent="0.5">
      <c r="A216" s="28"/>
      <c r="B216" s="69"/>
      <c r="C216" s="34"/>
      <c r="D216" s="35"/>
      <c r="E216" s="34"/>
      <c r="F216" s="34"/>
      <c r="G216" s="35"/>
      <c r="H216" s="34"/>
      <c r="I216" s="19"/>
      <c r="J216" s="35"/>
      <c r="K216" s="19"/>
      <c r="L216" s="19"/>
      <c r="M216" s="19"/>
      <c r="N216" s="19"/>
      <c r="O216" s="19"/>
      <c r="P216" s="28"/>
      <c r="Q216" s="19"/>
      <c r="R216" s="19"/>
      <c r="S216" s="19"/>
      <c r="T216" s="36"/>
      <c r="U216" s="43"/>
      <c r="V216" s="19"/>
      <c r="W216" s="28"/>
      <c r="X216" s="28"/>
      <c r="Y216" s="19"/>
      <c r="Z216" s="19"/>
      <c r="AA216" s="19"/>
      <c r="AB216" s="29"/>
      <c r="AC216" s="29"/>
      <c r="AD216" s="29"/>
      <c r="AE216" s="28"/>
      <c r="AF216" s="28"/>
      <c r="AG216" s="28"/>
      <c r="AH216" s="29"/>
      <c r="AI216" s="29"/>
      <c r="AJ216" s="30"/>
      <c r="AK216" s="57"/>
      <c r="AL216" s="57"/>
      <c r="AM216" s="57"/>
      <c r="AN216" s="57"/>
      <c r="AO216" s="57"/>
      <c r="AP216" s="57"/>
    </row>
    <row r="217" spans="1:42" ht="21" x14ac:dyDescent="0.5">
      <c r="A217" s="28"/>
      <c r="B217" s="69"/>
      <c r="C217" s="34"/>
      <c r="D217" s="35"/>
      <c r="E217" s="34"/>
      <c r="F217" s="34"/>
      <c r="G217" s="35"/>
      <c r="H217" s="34"/>
      <c r="I217" s="19"/>
      <c r="J217" s="35"/>
      <c r="K217" s="19"/>
      <c r="L217" s="19"/>
      <c r="M217" s="19"/>
      <c r="N217" s="19"/>
      <c r="O217" s="19"/>
      <c r="P217" s="28"/>
      <c r="Q217" s="19"/>
      <c r="R217" s="19"/>
      <c r="S217" s="19"/>
      <c r="T217" s="36"/>
      <c r="U217" s="43"/>
      <c r="V217" s="19"/>
      <c r="W217" s="28"/>
      <c r="X217" s="28"/>
      <c r="Y217" s="19"/>
      <c r="Z217" s="19"/>
      <c r="AA217" s="19"/>
      <c r="AB217" s="29"/>
      <c r="AC217" s="29"/>
      <c r="AD217" s="29"/>
      <c r="AE217" s="28"/>
      <c r="AF217" s="28"/>
      <c r="AG217" s="28"/>
      <c r="AH217" s="29"/>
      <c r="AI217" s="29"/>
      <c r="AJ217" s="30"/>
      <c r="AK217" s="57"/>
      <c r="AL217" s="57"/>
      <c r="AM217" s="57"/>
      <c r="AN217" s="57"/>
      <c r="AO217" s="57"/>
      <c r="AP217" s="57"/>
    </row>
    <row r="218" spans="1:42" ht="21" x14ac:dyDescent="0.5">
      <c r="A218" s="28"/>
      <c r="B218" s="69"/>
      <c r="C218" s="34"/>
      <c r="D218" s="35"/>
      <c r="E218" s="34"/>
      <c r="F218" s="34"/>
      <c r="G218" s="35"/>
      <c r="H218" s="34"/>
      <c r="I218" s="19"/>
      <c r="J218" s="35"/>
      <c r="K218" s="19"/>
      <c r="L218" s="19"/>
      <c r="M218" s="19"/>
      <c r="N218" s="19"/>
      <c r="O218" s="19"/>
      <c r="P218" s="28"/>
      <c r="Q218" s="19"/>
      <c r="R218" s="19"/>
      <c r="S218" s="19"/>
      <c r="T218" s="36"/>
      <c r="U218" s="43"/>
      <c r="V218" s="19"/>
      <c r="W218" s="28"/>
      <c r="X218" s="28"/>
      <c r="Y218" s="19"/>
      <c r="Z218" s="19"/>
      <c r="AA218" s="19"/>
      <c r="AB218" s="29"/>
      <c r="AC218" s="29"/>
      <c r="AD218" s="29"/>
      <c r="AE218" s="28"/>
      <c r="AF218" s="28"/>
      <c r="AG218" s="28"/>
      <c r="AH218" s="29"/>
      <c r="AI218" s="29"/>
      <c r="AJ218" s="30"/>
      <c r="AK218" s="57"/>
      <c r="AL218" s="57"/>
      <c r="AM218" s="57"/>
      <c r="AN218" s="57"/>
      <c r="AO218" s="57"/>
      <c r="AP218" s="57"/>
    </row>
    <row r="219" spans="1:42" ht="21" x14ac:dyDescent="0.5">
      <c r="A219" s="28"/>
      <c r="B219" s="69"/>
      <c r="C219" s="34"/>
      <c r="D219" s="35"/>
      <c r="E219" s="34"/>
      <c r="F219" s="34"/>
      <c r="G219" s="35"/>
      <c r="H219" s="34"/>
      <c r="I219" s="19"/>
      <c r="J219" s="35"/>
      <c r="K219" s="19"/>
      <c r="L219" s="19"/>
      <c r="M219" s="19"/>
      <c r="N219" s="19"/>
      <c r="O219" s="19"/>
      <c r="P219" s="28"/>
      <c r="Q219" s="19"/>
      <c r="R219" s="19"/>
      <c r="S219" s="19"/>
      <c r="T219" s="36"/>
      <c r="U219" s="43"/>
      <c r="V219" s="19"/>
      <c r="W219" s="28"/>
      <c r="X219" s="28"/>
      <c r="Y219" s="19"/>
      <c r="Z219" s="19"/>
      <c r="AA219" s="19"/>
      <c r="AB219" s="29"/>
      <c r="AC219" s="29"/>
      <c r="AD219" s="29"/>
      <c r="AE219" s="28"/>
      <c r="AF219" s="28"/>
      <c r="AG219" s="28"/>
      <c r="AH219" s="29"/>
      <c r="AI219" s="29"/>
      <c r="AJ219" s="30"/>
      <c r="AK219" s="57"/>
      <c r="AL219" s="57"/>
      <c r="AM219" s="57"/>
      <c r="AN219" s="57"/>
      <c r="AO219" s="57"/>
      <c r="AP219" s="57"/>
    </row>
    <row r="220" spans="1:42" ht="21" x14ac:dyDescent="0.5">
      <c r="A220" s="28"/>
      <c r="B220" s="69"/>
      <c r="C220" s="34"/>
      <c r="D220" s="35"/>
      <c r="E220" s="34"/>
      <c r="F220" s="34"/>
      <c r="G220" s="35"/>
      <c r="H220" s="34"/>
      <c r="I220" s="19"/>
      <c r="J220" s="35"/>
      <c r="K220" s="19"/>
      <c r="L220" s="19"/>
      <c r="M220" s="19"/>
      <c r="N220" s="19"/>
      <c r="O220" s="19"/>
      <c r="P220" s="28"/>
      <c r="Q220" s="19"/>
      <c r="R220" s="19"/>
      <c r="S220" s="19"/>
      <c r="T220" s="36"/>
      <c r="U220" s="43"/>
      <c r="V220" s="19"/>
      <c r="W220" s="28"/>
      <c r="X220" s="28"/>
      <c r="Y220" s="19"/>
      <c r="Z220" s="19"/>
      <c r="AA220" s="19"/>
      <c r="AB220" s="29"/>
      <c r="AC220" s="29"/>
      <c r="AD220" s="29"/>
      <c r="AE220" s="28"/>
      <c r="AF220" s="28"/>
      <c r="AG220" s="28"/>
      <c r="AH220" s="29"/>
      <c r="AI220" s="29"/>
      <c r="AJ220" s="30"/>
      <c r="AK220" s="57"/>
      <c r="AL220" s="57"/>
      <c r="AM220" s="57"/>
      <c r="AN220" s="57"/>
      <c r="AO220" s="57"/>
      <c r="AP220" s="57"/>
    </row>
    <row r="221" spans="1:42" ht="21" x14ac:dyDescent="0.5">
      <c r="A221" s="28"/>
      <c r="B221" s="69"/>
      <c r="C221" s="34"/>
      <c r="D221" s="35"/>
      <c r="E221" s="34"/>
      <c r="F221" s="34"/>
      <c r="G221" s="35"/>
      <c r="H221" s="34"/>
      <c r="I221" s="19"/>
      <c r="J221" s="35"/>
      <c r="K221" s="19"/>
      <c r="L221" s="19"/>
      <c r="M221" s="19"/>
      <c r="N221" s="19"/>
      <c r="O221" s="19"/>
      <c r="P221" s="28"/>
      <c r="Q221" s="19"/>
      <c r="R221" s="19"/>
      <c r="S221" s="19"/>
      <c r="T221" s="36"/>
      <c r="U221" s="43"/>
      <c r="V221" s="19"/>
      <c r="W221" s="28"/>
      <c r="X221" s="28"/>
      <c r="Y221" s="19"/>
      <c r="Z221" s="19"/>
      <c r="AA221" s="19"/>
      <c r="AB221" s="29"/>
      <c r="AC221" s="29"/>
      <c r="AD221" s="29"/>
      <c r="AE221" s="28"/>
      <c r="AF221" s="28"/>
      <c r="AG221" s="28"/>
      <c r="AH221" s="29"/>
      <c r="AI221" s="29"/>
      <c r="AJ221" s="30"/>
      <c r="AK221" s="57"/>
      <c r="AL221" s="57"/>
      <c r="AM221" s="57"/>
      <c r="AN221" s="57"/>
      <c r="AO221" s="57"/>
      <c r="AP221" s="57"/>
    </row>
    <row r="222" spans="1:42" ht="21" x14ac:dyDescent="0.5">
      <c r="A222" s="28"/>
      <c r="B222" s="69"/>
      <c r="C222" s="34"/>
      <c r="D222" s="35"/>
      <c r="E222" s="34"/>
      <c r="F222" s="34"/>
      <c r="G222" s="35"/>
      <c r="H222" s="34"/>
      <c r="I222" s="19"/>
      <c r="J222" s="35"/>
      <c r="K222" s="19"/>
      <c r="L222" s="19"/>
      <c r="M222" s="19"/>
      <c r="N222" s="19"/>
      <c r="O222" s="19"/>
      <c r="P222" s="28"/>
      <c r="Q222" s="19"/>
      <c r="R222" s="19"/>
      <c r="S222" s="19"/>
      <c r="T222" s="36"/>
      <c r="U222" s="43"/>
      <c r="V222" s="19"/>
      <c r="W222" s="28"/>
      <c r="X222" s="28"/>
      <c r="Y222" s="19"/>
      <c r="Z222" s="19"/>
      <c r="AA222" s="19"/>
      <c r="AB222" s="29"/>
      <c r="AC222" s="29"/>
      <c r="AD222" s="29"/>
      <c r="AE222" s="28"/>
      <c r="AF222" s="28"/>
      <c r="AG222" s="28"/>
      <c r="AH222" s="29"/>
      <c r="AI222" s="29"/>
      <c r="AJ222" s="30"/>
      <c r="AK222" s="57"/>
      <c r="AL222" s="57"/>
      <c r="AM222" s="57"/>
      <c r="AN222" s="57"/>
      <c r="AO222" s="57"/>
      <c r="AP222" s="57"/>
    </row>
    <row r="223" spans="1:42" ht="21" x14ac:dyDescent="0.5">
      <c r="A223" s="28"/>
      <c r="B223" s="69"/>
      <c r="C223" s="34"/>
      <c r="D223" s="35"/>
      <c r="E223" s="34"/>
      <c r="F223" s="34"/>
      <c r="G223" s="35"/>
      <c r="H223" s="34"/>
      <c r="I223" s="19"/>
      <c r="J223" s="35"/>
      <c r="K223" s="19"/>
      <c r="L223" s="19"/>
      <c r="M223" s="19"/>
      <c r="N223" s="19"/>
      <c r="O223" s="19"/>
      <c r="P223" s="28"/>
      <c r="Q223" s="19"/>
      <c r="R223" s="19"/>
      <c r="S223" s="19"/>
      <c r="T223" s="36"/>
      <c r="U223" s="43"/>
      <c r="V223" s="19"/>
      <c r="W223" s="28"/>
      <c r="X223" s="28"/>
      <c r="Y223" s="19"/>
      <c r="Z223" s="19"/>
      <c r="AA223" s="19"/>
      <c r="AB223" s="29"/>
      <c r="AC223" s="29"/>
      <c r="AD223" s="29"/>
      <c r="AE223" s="28"/>
      <c r="AF223" s="28"/>
      <c r="AG223" s="28"/>
      <c r="AH223" s="29"/>
      <c r="AI223" s="29"/>
      <c r="AJ223" s="30"/>
      <c r="AK223" s="57"/>
      <c r="AL223" s="57"/>
      <c r="AM223" s="57"/>
      <c r="AN223" s="57"/>
      <c r="AO223" s="57"/>
      <c r="AP223" s="57"/>
    </row>
    <row r="224" spans="1:42" ht="21" x14ac:dyDescent="0.5">
      <c r="A224" s="28"/>
      <c r="B224" s="69"/>
      <c r="C224" s="34"/>
      <c r="D224" s="35"/>
      <c r="E224" s="34"/>
      <c r="F224" s="34"/>
      <c r="G224" s="35"/>
      <c r="H224" s="34"/>
      <c r="I224" s="19"/>
      <c r="J224" s="35"/>
      <c r="K224" s="19"/>
      <c r="L224" s="19"/>
      <c r="M224" s="19"/>
      <c r="N224" s="19"/>
      <c r="O224" s="19"/>
      <c r="P224" s="28"/>
      <c r="Q224" s="19"/>
      <c r="R224" s="19"/>
      <c r="S224" s="19"/>
      <c r="T224" s="36"/>
      <c r="U224" s="43"/>
      <c r="V224" s="19"/>
      <c r="W224" s="28"/>
      <c r="X224" s="28"/>
      <c r="Y224" s="19"/>
      <c r="Z224" s="19"/>
      <c r="AA224" s="19"/>
      <c r="AB224" s="29"/>
      <c r="AC224" s="29"/>
      <c r="AD224" s="29"/>
      <c r="AE224" s="28"/>
      <c r="AF224" s="28"/>
      <c r="AG224" s="28"/>
      <c r="AH224" s="29"/>
      <c r="AI224" s="29"/>
      <c r="AJ224" s="30"/>
      <c r="AK224" s="57"/>
      <c r="AL224" s="57"/>
      <c r="AM224" s="57"/>
      <c r="AN224" s="57"/>
      <c r="AO224" s="57"/>
      <c r="AP224" s="57"/>
    </row>
    <row r="225" spans="1:42" ht="21" x14ac:dyDescent="0.5">
      <c r="A225" s="28"/>
      <c r="B225" s="69"/>
      <c r="C225" s="34"/>
      <c r="D225" s="35"/>
      <c r="E225" s="34"/>
      <c r="F225" s="34"/>
      <c r="G225" s="35"/>
      <c r="H225" s="34"/>
      <c r="I225" s="19"/>
      <c r="J225" s="35"/>
      <c r="K225" s="19"/>
      <c r="L225" s="19"/>
      <c r="M225" s="19"/>
      <c r="N225" s="19"/>
      <c r="O225" s="19"/>
      <c r="P225" s="28"/>
      <c r="Q225" s="19"/>
      <c r="R225" s="19"/>
      <c r="S225" s="19"/>
      <c r="T225" s="36"/>
      <c r="U225" s="43"/>
      <c r="V225" s="19"/>
      <c r="W225" s="28"/>
      <c r="X225" s="28"/>
      <c r="Y225" s="19"/>
      <c r="Z225" s="19"/>
      <c r="AA225" s="19"/>
      <c r="AB225" s="29"/>
      <c r="AC225" s="29"/>
      <c r="AD225" s="29"/>
      <c r="AE225" s="28"/>
      <c r="AF225" s="28"/>
      <c r="AG225" s="28"/>
      <c r="AH225" s="29"/>
      <c r="AI225" s="29"/>
      <c r="AJ225" s="30"/>
      <c r="AK225" s="57"/>
      <c r="AL225" s="57"/>
      <c r="AM225" s="57"/>
      <c r="AN225" s="57"/>
      <c r="AO225" s="57"/>
      <c r="AP225" s="57"/>
    </row>
    <row r="226" spans="1:42" ht="21" x14ac:dyDescent="0.5">
      <c r="A226" s="28"/>
      <c r="B226" s="69"/>
      <c r="C226" s="34"/>
      <c r="D226" s="35"/>
      <c r="E226" s="34"/>
      <c r="F226" s="34"/>
      <c r="G226" s="35"/>
      <c r="H226" s="34"/>
      <c r="I226" s="19"/>
      <c r="J226" s="35"/>
      <c r="K226" s="19"/>
      <c r="L226" s="19"/>
      <c r="M226" s="19"/>
      <c r="N226" s="19"/>
      <c r="O226" s="19"/>
      <c r="P226" s="28"/>
      <c r="Q226" s="19"/>
      <c r="R226" s="19"/>
      <c r="S226" s="19"/>
      <c r="T226" s="36"/>
      <c r="U226" s="43"/>
      <c r="V226" s="19"/>
      <c r="W226" s="28"/>
      <c r="X226" s="28"/>
      <c r="Y226" s="19"/>
      <c r="Z226" s="19"/>
      <c r="AA226" s="19"/>
      <c r="AB226" s="29"/>
      <c r="AC226" s="29"/>
      <c r="AD226" s="29"/>
      <c r="AE226" s="28"/>
      <c r="AF226" s="28"/>
      <c r="AG226" s="28"/>
      <c r="AH226" s="29"/>
      <c r="AI226" s="29"/>
      <c r="AJ226" s="30"/>
      <c r="AK226" s="57"/>
      <c r="AL226" s="57"/>
      <c r="AM226" s="57"/>
      <c r="AN226" s="57"/>
      <c r="AO226" s="57"/>
      <c r="AP226" s="57"/>
    </row>
    <row r="227" spans="1:42" ht="21" x14ac:dyDescent="0.5">
      <c r="A227" s="28"/>
      <c r="B227" s="69"/>
      <c r="C227" s="34"/>
      <c r="D227" s="35"/>
      <c r="E227" s="34"/>
      <c r="F227" s="34"/>
      <c r="G227" s="35"/>
      <c r="H227" s="34"/>
      <c r="I227" s="19"/>
      <c r="J227" s="35"/>
      <c r="K227" s="19"/>
      <c r="L227" s="19"/>
      <c r="M227" s="19"/>
      <c r="N227" s="19"/>
      <c r="O227" s="19"/>
      <c r="P227" s="28"/>
      <c r="Q227" s="19"/>
      <c r="R227" s="19"/>
      <c r="S227" s="19"/>
      <c r="T227" s="36"/>
      <c r="U227" s="43"/>
      <c r="V227" s="19"/>
      <c r="W227" s="28"/>
      <c r="X227" s="28"/>
      <c r="Y227" s="19"/>
      <c r="Z227" s="19"/>
      <c r="AA227" s="19"/>
      <c r="AB227" s="29"/>
      <c r="AC227" s="29"/>
      <c r="AD227" s="29"/>
      <c r="AE227" s="28"/>
      <c r="AF227" s="28"/>
      <c r="AG227" s="28"/>
      <c r="AH227" s="29"/>
      <c r="AI227" s="29"/>
      <c r="AJ227" s="30"/>
      <c r="AK227" s="57"/>
      <c r="AL227" s="57"/>
      <c r="AM227" s="57"/>
      <c r="AN227" s="57"/>
      <c r="AO227" s="57"/>
      <c r="AP227" s="57"/>
    </row>
    <row r="228" spans="1:42" ht="21" x14ac:dyDescent="0.5">
      <c r="A228" s="28"/>
      <c r="B228" s="69"/>
      <c r="C228" s="34"/>
      <c r="D228" s="35"/>
      <c r="E228" s="34"/>
      <c r="F228" s="34"/>
      <c r="G228" s="35"/>
      <c r="H228" s="34"/>
      <c r="I228" s="19"/>
      <c r="J228" s="35"/>
      <c r="K228" s="19"/>
      <c r="L228" s="19"/>
      <c r="M228" s="19"/>
      <c r="N228" s="19"/>
      <c r="O228" s="19"/>
      <c r="P228" s="28"/>
      <c r="Q228" s="19"/>
      <c r="R228" s="19"/>
      <c r="S228" s="19"/>
      <c r="T228" s="36"/>
      <c r="U228" s="43"/>
      <c r="V228" s="19"/>
      <c r="W228" s="28"/>
      <c r="X228" s="28"/>
      <c r="Y228" s="19"/>
      <c r="Z228" s="19"/>
      <c r="AA228" s="19"/>
      <c r="AB228" s="29"/>
      <c r="AC228" s="29"/>
      <c r="AD228" s="29"/>
      <c r="AE228" s="28"/>
      <c r="AF228" s="28"/>
      <c r="AG228" s="28"/>
      <c r="AH228" s="29"/>
      <c r="AI228" s="29"/>
      <c r="AJ228" s="30"/>
      <c r="AK228" s="57"/>
      <c r="AL228" s="57"/>
      <c r="AM228" s="57"/>
      <c r="AN228" s="57"/>
      <c r="AO228" s="57"/>
      <c r="AP228" s="57"/>
    </row>
    <row r="229" spans="1:42" ht="21" x14ac:dyDescent="0.5">
      <c r="A229" s="28"/>
      <c r="B229" s="69"/>
      <c r="C229" s="34"/>
      <c r="D229" s="35"/>
      <c r="E229" s="34"/>
      <c r="F229" s="34"/>
      <c r="G229" s="35"/>
      <c r="H229" s="34"/>
      <c r="I229" s="19"/>
      <c r="J229" s="35"/>
      <c r="K229" s="19"/>
      <c r="L229" s="19"/>
      <c r="M229" s="19"/>
      <c r="N229" s="19"/>
      <c r="O229" s="19"/>
      <c r="P229" s="28"/>
      <c r="Q229" s="19"/>
      <c r="R229" s="19"/>
      <c r="S229" s="19"/>
      <c r="T229" s="36"/>
      <c r="U229" s="43"/>
      <c r="V229" s="19"/>
      <c r="W229" s="28"/>
      <c r="X229" s="28"/>
      <c r="Y229" s="19"/>
      <c r="Z229" s="19"/>
      <c r="AA229" s="19"/>
      <c r="AB229" s="29"/>
      <c r="AC229" s="29"/>
      <c r="AD229" s="29"/>
      <c r="AE229" s="28"/>
      <c r="AF229" s="28"/>
      <c r="AG229" s="28"/>
      <c r="AH229" s="29"/>
      <c r="AI229" s="29"/>
      <c r="AJ229" s="30"/>
      <c r="AK229" s="57"/>
      <c r="AL229" s="57"/>
      <c r="AM229" s="57"/>
      <c r="AN229" s="57"/>
      <c r="AO229" s="57"/>
      <c r="AP229" s="57"/>
    </row>
    <row r="230" spans="1:42" ht="21" x14ac:dyDescent="0.5">
      <c r="A230" s="28"/>
      <c r="B230" s="69"/>
      <c r="C230" s="34"/>
      <c r="D230" s="35"/>
      <c r="E230" s="34"/>
      <c r="F230" s="34"/>
      <c r="G230" s="35"/>
      <c r="H230" s="34"/>
      <c r="I230" s="19"/>
      <c r="J230" s="35"/>
      <c r="K230" s="19"/>
      <c r="L230" s="19"/>
      <c r="M230" s="19"/>
      <c r="N230" s="19"/>
      <c r="O230" s="19"/>
      <c r="P230" s="28"/>
      <c r="Q230" s="19"/>
      <c r="R230" s="19"/>
      <c r="S230" s="19"/>
      <c r="T230" s="36"/>
      <c r="U230" s="43"/>
      <c r="V230" s="19"/>
      <c r="W230" s="28"/>
      <c r="X230" s="28"/>
      <c r="Y230" s="19"/>
      <c r="Z230" s="19"/>
      <c r="AA230" s="19"/>
      <c r="AB230" s="29"/>
      <c r="AC230" s="29"/>
      <c r="AD230" s="29"/>
      <c r="AE230" s="28"/>
      <c r="AF230" s="28"/>
      <c r="AG230" s="28"/>
      <c r="AH230" s="29"/>
      <c r="AI230" s="29"/>
      <c r="AJ230" s="30"/>
      <c r="AK230" s="57"/>
      <c r="AL230" s="57"/>
      <c r="AM230" s="57"/>
      <c r="AN230" s="57"/>
      <c r="AO230" s="57"/>
      <c r="AP230" s="57"/>
    </row>
    <row r="231" spans="1:42" ht="21" x14ac:dyDescent="0.5">
      <c r="A231" s="28"/>
      <c r="B231" s="69"/>
      <c r="C231" s="34"/>
      <c r="D231" s="35"/>
      <c r="E231" s="34"/>
      <c r="F231" s="34"/>
      <c r="G231" s="35"/>
      <c r="H231" s="34"/>
      <c r="I231" s="19"/>
      <c r="J231" s="35"/>
      <c r="K231" s="19"/>
      <c r="L231" s="19"/>
      <c r="M231" s="19"/>
      <c r="N231" s="19"/>
      <c r="O231" s="19"/>
      <c r="P231" s="28"/>
      <c r="Q231" s="19"/>
      <c r="R231" s="19"/>
      <c r="S231" s="19"/>
      <c r="T231" s="36"/>
      <c r="U231" s="43"/>
      <c r="V231" s="19"/>
      <c r="W231" s="28"/>
      <c r="X231" s="28"/>
      <c r="Y231" s="19"/>
      <c r="Z231" s="19"/>
      <c r="AA231" s="19"/>
      <c r="AB231" s="29"/>
      <c r="AC231" s="29"/>
      <c r="AD231" s="29"/>
      <c r="AE231" s="28"/>
      <c r="AF231" s="28"/>
      <c r="AG231" s="28"/>
      <c r="AH231" s="29"/>
      <c r="AI231" s="29"/>
      <c r="AJ231" s="30"/>
      <c r="AK231" s="57"/>
      <c r="AL231" s="57"/>
      <c r="AM231" s="57"/>
      <c r="AN231" s="57"/>
      <c r="AO231" s="57"/>
      <c r="AP231" s="57"/>
    </row>
    <row r="232" spans="1:42" ht="21" x14ac:dyDescent="0.5">
      <c r="A232" s="28"/>
      <c r="B232" s="69"/>
      <c r="C232" s="34"/>
      <c r="D232" s="35"/>
      <c r="E232" s="34"/>
      <c r="F232" s="34"/>
      <c r="G232" s="35"/>
      <c r="H232" s="34"/>
      <c r="I232" s="19"/>
      <c r="J232" s="35"/>
      <c r="K232" s="19"/>
      <c r="L232" s="19"/>
      <c r="M232" s="19"/>
      <c r="N232" s="19"/>
      <c r="O232" s="19"/>
      <c r="P232" s="28"/>
      <c r="Q232" s="19"/>
      <c r="R232" s="19"/>
      <c r="S232" s="19"/>
      <c r="T232" s="36"/>
      <c r="U232" s="43"/>
      <c r="V232" s="19"/>
      <c r="W232" s="28"/>
      <c r="X232" s="28"/>
      <c r="Y232" s="19"/>
      <c r="Z232" s="19"/>
      <c r="AA232" s="19"/>
      <c r="AB232" s="29"/>
      <c r="AC232" s="29"/>
      <c r="AD232" s="29"/>
      <c r="AE232" s="28"/>
      <c r="AF232" s="28"/>
      <c r="AG232" s="28"/>
      <c r="AH232" s="29"/>
      <c r="AI232" s="29"/>
      <c r="AJ232" s="30"/>
      <c r="AK232" s="57"/>
      <c r="AL232" s="57"/>
      <c r="AM232" s="57"/>
      <c r="AN232" s="57"/>
      <c r="AO232" s="57"/>
      <c r="AP232" s="57"/>
    </row>
    <row r="233" spans="1:42" ht="21" x14ac:dyDescent="0.5">
      <c r="A233" s="28"/>
      <c r="B233" s="69"/>
      <c r="C233" s="34"/>
      <c r="D233" s="35"/>
      <c r="E233" s="34"/>
      <c r="F233" s="34"/>
      <c r="G233" s="35"/>
      <c r="H233" s="34"/>
      <c r="I233" s="19"/>
      <c r="J233" s="35"/>
      <c r="K233" s="19"/>
      <c r="L233" s="19"/>
      <c r="M233" s="19"/>
      <c r="N233" s="19"/>
      <c r="O233" s="19"/>
      <c r="P233" s="28"/>
      <c r="Q233" s="19"/>
      <c r="R233" s="19"/>
      <c r="S233" s="19"/>
      <c r="T233" s="36"/>
      <c r="U233" s="43"/>
      <c r="V233" s="19"/>
      <c r="W233" s="28"/>
      <c r="X233" s="28"/>
      <c r="Y233" s="19"/>
      <c r="Z233" s="19"/>
      <c r="AA233" s="19"/>
      <c r="AB233" s="29"/>
      <c r="AC233" s="29"/>
      <c r="AD233" s="29"/>
      <c r="AE233" s="28"/>
      <c r="AF233" s="28"/>
      <c r="AG233" s="28"/>
      <c r="AH233" s="29"/>
      <c r="AI233" s="29"/>
      <c r="AJ233" s="30"/>
      <c r="AK233" s="57"/>
      <c r="AL233" s="57"/>
      <c r="AM233" s="57"/>
      <c r="AN233" s="57"/>
      <c r="AO233" s="57"/>
      <c r="AP233" s="57"/>
    </row>
    <row r="234" spans="1:42" ht="21" x14ac:dyDescent="0.5">
      <c r="A234" s="28"/>
      <c r="B234" s="69"/>
      <c r="C234" s="34"/>
      <c r="D234" s="35"/>
      <c r="E234" s="34"/>
      <c r="F234" s="34"/>
      <c r="G234" s="35"/>
      <c r="H234" s="34"/>
      <c r="I234" s="19"/>
      <c r="J234" s="35"/>
      <c r="K234" s="19"/>
      <c r="L234" s="19"/>
      <c r="M234" s="19"/>
      <c r="N234" s="19"/>
      <c r="O234" s="19"/>
      <c r="P234" s="28"/>
      <c r="Q234" s="19"/>
      <c r="R234" s="19"/>
      <c r="S234" s="19"/>
      <c r="T234" s="36"/>
      <c r="U234" s="43"/>
      <c r="V234" s="19"/>
      <c r="W234" s="28"/>
      <c r="X234" s="28"/>
      <c r="Y234" s="19"/>
      <c r="Z234" s="19"/>
      <c r="AA234" s="19"/>
      <c r="AB234" s="29"/>
      <c r="AC234" s="29"/>
      <c r="AD234" s="29"/>
      <c r="AE234" s="28"/>
      <c r="AF234" s="28"/>
      <c r="AG234" s="28"/>
      <c r="AH234" s="29"/>
      <c r="AI234" s="29"/>
      <c r="AJ234" s="30"/>
      <c r="AK234" s="57"/>
      <c r="AL234" s="57"/>
      <c r="AM234" s="57"/>
      <c r="AN234" s="57"/>
      <c r="AO234" s="57"/>
      <c r="AP234" s="57"/>
    </row>
    <row r="235" spans="1:42" ht="21" x14ac:dyDescent="0.5">
      <c r="A235" s="28"/>
      <c r="B235" s="69"/>
      <c r="C235" s="34"/>
      <c r="D235" s="35"/>
      <c r="E235" s="34"/>
      <c r="F235" s="34"/>
      <c r="G235" s="35"/>
      <c r="H235" s="34"/>
      <c r="I235" s="19"/>
      <c r="J235" s="35"/>
      <c r="K235" s="19"/>
      <c r="L235" s="19"/>
      <c r="M235" s="19"/>
      <c r="N235" s="19"/>
      <c r="O235" s="19"/>
      <c r="P235" s="28"/>
      <c r="Q235" s="19"/>
      <c r="R235" s="19"/>
      <c r="S235" s="19"/>
      <c r="T235" s="36"/>
      <c r="U235" s="43"/>
      <c r="V235" s="19"/>
      <c r="W235" s="28"/>
      <c r="X235" s="28"/>
      <c r="Y235" s="19"/>
      <c r="Z235" s="19"/>
      <c r="AA235" s="19"/>
      <c r="AB235" s="29"/>
      <c r="AC235" s="29"/>
      <c r="AD235" s="29"/>
      <c r="AE235" s="28"/>
      <c r="AF235" s="28"/>
      <c r="AG235" s="28"/>
      <c r="AH235" s="29"/>
      <c r="AI235" s="29"/>
      <c r="AJ235" s="30"/>
      <c r="AK235" s="57"/>
      <c r="AL235" s="57"/>
      <c r="AM235" s="57"/>
      <c r="AN235" s="57"/>
      <c r="AO235" s="57"/>
      <c r="AP235" s="57"/>
    </row>
    <row r="236" spans="1:42" ht="21" x14ac:dyDescent="0.5">
      <c r="A236" s="28"/>
      <c r="B236" s="69"/>
      <c r="C236" s="34"/>
      <c r="D236" s="35"/>
      <c r="E236" s="34"/>
      <c r="F236" s="34"/>
      <c r="G236" s="35"/>
      <c r="H236" s="34"/>
      <c r="I236" s="19"/>
      <c r="J236" s="35"/>
      <c r="K236" s="19"/>
      <c r="L236" s="19"/>
      <c r="M236" s="19"/>
      <c r="N236" s="19"/>
      <c r="O236" s="19"/>
      <c r="P236" s="28"/>
      <c r="Q236" s="19"/>
      <c r="R236" s="19"/>
      <c r="S236" s="19"/>
      <c r="T236" s="36"/>
      <c r="U236" s="43"/>
      <c r="V236" s="19"/>
      <c r="W236" s="28"/>
      <c r="X236" s="28"/>
      <c r="Y236" s="19"/>
      <c r="Z236" s="19"/>
      <c r="AA236" s="19"/>
      <c r="AB236" s="29"/>
      <c r="AC236" s="29"/>
      <c r="AD236" s="29"/>
      <c r="AE236" s="28"/>
      <c r="AF236" s="28"/>
      <c r="AG236" s="28"/>
      <c r="AH236" s="29"/>
      <c r="AI236" s="29"/>
      <c r="AJ236" s="30"/>
      <c r="AK236" s="57"/>
      <c r="AL236" s="57"/>
      <c r="AM236" s="57"/>
      <c r="AN236" s="57"/>
      <c r="AO236" s="57"/>
      <c r="AP236" s="57"/>
    </row>
    <row r="237" spans="1:42" ht="21" x14ac:dyDescent="0.5">
      <c r="A237" s="28"/>
      <c r="B237" s="69"/>
      <c r="C237" s="34"/>
      <c r="D237" s="35"/>
      <c r="E237" s="34"/>
      <c r="F237" s="34"/>
      <c r="G237" s="35"/>
      <c r="H237" s="34"/>
      <c r="I237" s="19"/>
      <c r="J237" s="35"/>
      <c r="K237" s="19"/>
      <c r="L237" s="19"/>
      <c r="M237" s="19"/>
      <c r="N237" s="19"/>
      <c r="O237" s="19"/>
      <c r="P237" s="28"/>
      <c r="Q237" s="19"/>
      <c r="R237" s="19"/>
      <c r="S237" s="19"/>
      <c r="T237" s="36"/>
      <c r="U237" s="43"/>
      <c r="V237" s="19"/>
      <c r="W237" s="28"/>
      <c r="X237" s="28"/>
      <c r="Y237" s="19"/>
      <c r="Z237" s="19"/>
      <c r="AA237" s="19"/>
      <c r="AB237" s="29"/>
      <c r="AC237" s="29"/>
      <c r="AD237" s="29"/>
      <c r="AE237" s="28"/>
      <c r="AF237" s="28"/>
      <c r="AG237" s="28"/>
      <c r="AH237" s="29"/>
      <c r="AI237" s="29"/>
      <c r="AJ237" s="30"/>
      <c r="AK237" s="57"/>
      <c r="AL237" s="57"/>
      <c r="AM237" s="57"/>
      <c r="AN237" s="57"/>
      <c r="AO237" s="57"/>
      <c r="AP237" s="57"/>
    </row>
    <row r="238" spans="1:42" ht="21" x14ac:dyDescent="0.5">
      <c r="A238" s="28"/>
      <c r="B238" s="69"/>
      <c r="C238" s="34"/>
      <c r="D238" s="35"/>
      <c r="E238" s="34"/>
      <c r="F238" s="34"/>
      <c r="G238" s="35"/>
      <c r="H238" s="34"/>
      <c r="I238" s="19"/>
      <c r="J238" s="35"/>
      <c r="K238" s="19"/>
      <c r="L238" s="19"/>
      <c r="M238" s="19"/>
      <c r="N238" s="19"/>
      <c r="O238" s="19"/>
      <c r="P238" s="28"/>
      <c r="Q238" s="19"/>
      <c r="R238" s="19"/>
      <c r="S238" s="19"/>
      <c r="T238" s="36"/>
      <c r="U238" s="43"/>
      <c r="V238" s="19"/>
      <c r="W238" s="28"/>
      <c r="X238" s="28"/>
      <c r="Y238" s="19"/>
      <c r="Z238" s="19"/>
      <c r="AA238" s="19"/>
      <c r="AB238" s="29"/>
      <c r="AC238" s="29"/>
      <c r="AD238" s="29"/>
      <c r="AE238" s="28"/>
      <c r="AF238" s="28"/>
      <c r="AG238" s="28"/>
      <c r="AH238" s="29"/>
      <c r="AI238" s="29"/>
      <c r="AJ238" s="30"/>
      <c r="AK238" s="57"/>
      <c r="AL238" s="57"/>
      <c r="AM238" s="57"/>
      <c r="AN238" s="57"/>
      <c r="AO238" s="57"/>
      <c r="AP238" s="57"/>
    </row>
    <row r="239" spans="1:42" ht="21" x14ac:dyDescent="0.5">
      <c r="A239" s="28"/>
      <c r="B239" s="69"/>
      <c r="C239" s="34"/>
      <c r="D239" s="35"/>
      <c r="E239" s="34"/>
      <c r="F239" s="34"/>
      <c r="G239" s="35"/>
      <c r="H239" s="34"/>
      <c r="I239" s="19"/>
      <c r="J239" s="35"/>
      <c r="K239" s="19"/>
      <c r="L239" s="19"/>
      <c r="M239" s="19"/>
      <c r="N239" s="19"/>
      <c r="O239" s="19"/>
      <c r="P239" s="28"/>
      <c r="Q239" s="19"/>
      <c r="R239" s="19"/>
      <c r="S239" s="19"/>
      <c r="T239" s="36"/>
      <c r="U239" s="43"/>
      <c r="V239" s="19"/>
      <c r="W239" s="28"/>
      <c r="X239" s="28"/>
      <c r="Y239" s="19"/>
      <c r="Z239" s="19"/>
      <c r="AA239" s="19"/>
      <c r="AB239" s="29"/>
      <c r="AC239" s="29"/>
      <c r="AD239" s="29"/>
      <c r="AE239" s="28"/>
      <c r="AF239" s="28"/>
      <c r="AG239" s="28"/>
      <c r="AH239" s="29"/>
      <c r="AI239" s="29"/>
      <c r="AJ239" s="30"/>
      <c r="AK239" s="57"/>
      <c r="AL239" s="57"/>
      <c r="AM239" s="57"/>
      <c r="AN239" s="57"/>
      <c r="AO239" s="57"/>
      <c r="AP239" s="57"/>
    </row>
    <row r="240" spans="1:42" ht="21" x14ac:dyDescent="0.5">
      <c r="A240" s="28"/>
      <c r="B240" s="69"/>
      <c r="C240" s="34"/>
      <c r="D240" s="35"/>
      <c r="E240" s="34"/>
      <c r="F240" s="34"/>
      <c r="G240" s="35"/>
      <c r="H240" s="34"/>
      <c r="I240" s="19"/>
      <c r="J240" s="35"/>
      <c r="K240" s="19"/>
      <c r="L240" s="19"/>
      <c r="M240" s="19"/>
      <c r="N240" s="19"/>
      <c r="O240" s="19"/>
      <c r="P240" s="28"/>
      <c r="Q240" s="19"/>
      <c r="R240" s="19"/>
      <c r="S240" s="19"/>
      <c r="T240" s="36"/>
      <c r="U240" s="43"/>
      <c r="V240" s="19"/>
      <c r="W240" s="28"/>
      <c r="X240" s="28"/>
      <c r="Y240" s="19"/>
      <c r="Z240" s="19"/>
      <c r="AA240" s="19"/>
      <c r="AB240" s="29"/>
      <c r="AC240" s="29"/>
      <c r="AD240" s="29"/>
      <c r="AE240" s="28"/>
      <c r="AF240" s="28"/>
      <c r="AG240" s="28"/>
      <c r="AH240" s="29"/>
      <c r="AI240" s="29"/>
      <c r="AJ240" s="30"/>
      <c r="AK240" s="57"/>
      <c r="AL240" s="57"/>
      <c r="AM240" s="57"/>
      <c r="AN240" s="57"/>
      <c r="AO240" s="57"/>
      <c r="AP240" s="57"/>
    </row>
    <row r="241" spans="1:42" ht="21" x14ac:dyDescent="0.5">
      <c r="A241" s="28"/>
      <c r="B241" s="69"/>
      <c r="C241" s="34"/>
      <c r="D241" s="35"/>
      <c r="E241" s="34"/>
      <c r="F241" s="34"/>
      <c r="G241" s="35"/>
      <c r="H241" s="34"/>
      <c r="I241" s="19"/>
      <c r="J241" s="35"/>
      <c r="K241" s="19"/>
      <c r="L241" s="19"/>
      <c r="M241" s="19"/>
      <c r="N241" s="19"/>
      <c r="O241" s="19"/>
      <c r="P241" s="28"/>
      <c r="Q241" s="19"/>
      <c r="R241" s="19"/>
      <c r="S241" s="19"/>
      <c r="T241" s="36"/>
      <c r="U241" s="43"/>
      <c r="V241" s="19"/>
      <c r="W241" s="28"/>
      <c r="X241" s="28"/>
      <c r="Y241" s="19"/>
      <c r="Z241" s="19"/>
      <c r="AA241" s="19"/>
      <c r="AB241" s="29"/>
      <c r="AC241" s="29"/>
      <c r="AD241" s="29"/>
      <c r="AE241" s="28"/>
      <c r="AF241" s="28"/>
      <c r="AG241" s="28"/>
      <c r="AH241" s="29"/>
      <c r="AI241" s="29"/>
      <c r="AJ241" s="30"/>
      <c r="AK241" s="57"/>
      <c r="AL241" s="57"/>
      <c r="AM241" s="57"/>
      <c r="AN241" s="57"/>
      <c r="AO241" s="57"/>
      <c r="AP241" s="57"/>
    </row>
    <row r="242" spans="1:42" ht="21" x14ac:dyDescent="0.5">
      <c r="A242" s="28"/>
      <c r="B242" s="69"/>
      <c r="C242" s="34"/>
      <c r="D242" s="35"/>
      <c r="E242" s="34"/>
      <c r="F242" s="34"/>
      <c r="G242" s="35"/>
      <c r="H242" s="34"/>
      <c r="I242" s="19"/>
      <c r="J242" s="35"/>
      <c r="K242" s="19"/>
      <c r="L242" s="19"/>
      <c r="M242" s="19"/>
      <c r="N242" s="19"/>
      <c r="O242" s="19"/>
      <c r="P242" s="28"/>
      <c r="Q242" s="19"/>
      <c r="R242" s="19"/>
      <c r="S242" s="19"/>
      <c r="T242" s="36"/>
      <c r="U242" s="43"/>
      <c r="V242" s="19"/>
      <c r="W242" s="28"/>
      <c r="X242" s="28"/>
      <c r="Y242" s="19"/>
      <c r="Z242" s="19"/>
      <c r="AA242" s="19"/>
      <c r="AB242" s="29"/>
      <c r="AC242" s="29"/>
      <c r="AD242" s="29"/>
      <c r="AE242" s="28"/>
      <c r="AF242" s="28"/>
      <c r="AG242" s="28"/>
      <c r="AH242" s="29"/>
      <c r="AI242" s="29"/>
      <c r="AJ242" s="30"/>
      <c r="AK242" s="57"/>
      <c r="AL242" s="57"/>
      <c r="AM242" s="57"/>
      <c r="AN242" s="57"/>
      <c r="AO242" s="57"/>
      <c r="AP242" s="57"/>
    </row>
    <row r="243" spans="1:42" ht="21" x14ac:dyDescent="0.5">
      <c r="A243" s="28"/>
      <c r="B243" s="69"/>
      <c r="C243" s="34"/>
      <c r="D243" s="35"/>
      <c r="E243" s="34"/>
      <c r="F243" s="34"/>
      <c r="G243" s="35"/>
      <c r="H243" s="34"/>
      <c r="I243" s="19"/>
      <c r="J243" s="35"/>
      <c r="K243" s="19"/>
      <c r="L243" s="19"/>
      <c r="M243" s="19"/>
      <c r="N243" s="19"/>
      <c r="O243" s="19"/>
      <c r="P243" s="28"/>
      <c r="Q243" s="19"/>
      <c r="R243" s="19"/>
      <c r="S243" s="19"/>
      <c r="T243" s="36"/>
      <c r="U243" s="43"/>
      <c r="V243" s="19"/>
      <c r="W243" s="28"/>
      <c r="X243" s="28"/>
      <c r="Y243" s="19"/>
      <c r="Z243" s="19"/>
      <c r="AA243" s="19"/>
      <c r="AB243" s="29"/>
      <c r="AC243" s="29"/>
      <c r="AD243" s="29"/>
      <c r="AE243" s="28"/>
      <c r="AF243" s="28"/>
      <c r="AG243" s="28"/>
      <c r="AH243" s="29"/>
      <c r="AI243" s="29"/>
      <c r="AJ243" s="30"/>
      <c r="AK243" s="57"/>
      <c r="AL243" s="57"/>
      <c r="AM243" s="57"/>
      <c r="AN243" s="57"/>
      <c r="AO243" s="57"/>
      <c r="AP243" s="57"/>
    </row>
    <row r="244" spans="1:42" ht="21" x14ac:dyDescent="0.5">
      <c r="A244" s="28"/>
      <c r="B244" s="69"/>
      <c r="C244" s="34"/>
      <c r="D244" s="35"/>
      <c r="E244" s="34"/>
      <c r="F244" s="34"/>
      <c r="G244" s="35"/>
      <c r="H244" s="34"/>
      <c r="I244" s="19"/>
      <c r="J244" s="35"/>
      <c r="K244" s="19"/>
      <c r="L244" s="19"/>
      <c r="M244" s="19"/>
      <c r="N244" s="19"/>
      <c r="O244" s="19"/>
      <c r="P244" s="28"/>
      <c r="Q244" s="19"/>
      <c r="R244" s="19"/>
      <c r="S244" s="19"/>
      <c r="T244" s="36"/>
      <c r="U244" s="43"/>
      <c r="V244" s="19"/>
      <c r="W244" s="28"/>
      <c r="X244" s="28"/>
      <c r="Y244" s="19"/>
      <c r="Z244" s="19"/>
      <c r="AA244" s="19"/>
      <c r="AB244" s="29"/>
      <c r="AC244" s="29"/>
      <c r="AD244" s="29"/>
      <c r="AE244" s="28"/>
      <c r="AF244" s="28"/>
      <c r="AG244" s="28"/>
      <c r="AH244" s="29"/>
      <c r="AI244" s="29"/>
      <c r="AJ244" s="30"/>
      <c r="AK244" s="57"/>
      <c r="AL244" s="57"/>
      <c r="AM244" s="57"/>
      <c r="AN244" s="57"/>
      <c r="AO244" s="57"/>
      <c r="AP244" s="57"/>
    </row>
    <row r="245" spans="1:42" ht="21" x14ac:dyDescent="0.5">
      <c r="A245" s="28"/>
      <c r="B245" s="69"/>
      <c r="C245" s="34"/>
      <c r="D245" s="35"/>
      <c r="E245" s="34"/>
      <c r="F245" s="34"/>
      <c r="G245" s="35"/>
      <c r="H245" s="34"/>
      <c r="I245" s="19"/>
      <c r="J245" s="35"/>
      <c r="K245" s="19"/>
      <c r="L245" s="19"/>
      <c r="M245" s="19"/>
      <c r="N245" s="19"/>
      <c r="O245" s="19"/>
      <c r="P245" s="28"/>
      <c r="Q245" s="19"/>
      <c r="R245" s="19"/>
      <c r="S245" s="19"/>
      <c r="T245" s="36"/>
      <c r="U245" s="43"/>
      <c r="V245" s="19"/>
      <c r="W245" s="28"/>
      <c r="X245" s="28"/>
      <c r="Y245" s="19"/>
      <c r="Z245" s="19"/>
      <c r="AA245" s="19"/>
      <c r="AB245" s="29"/>
      <c r="AC245" s="29"/>
      <c r="AD245" s="29"/>
      <c r="AE245" s="28"/>
      <c r="AF245" s="28"/>
      <c r="AG245" s="28"/>
      <c r="AH245" s="29"/>
      <c r="AI245" s="29"/>
      <c r="AJ245" s="30"/>
      <c r="AK245" s="57"/>
      <c r="AL245" s="57"/>
      <c r="AM245" s="57"/>
      <c r="AN245" s="57"/>
      <c r="AO245" s="57"/>
      <c r="AP245" s="57"/>
    </row>
    <row r="246" spans="1:42" ht="21" x14ac:dyDescent="0.5">
      <c r="A246" s="28"/>
      <c r="B246" s="69"/>
      <c r="C246" s="34"/>
      <c r="D246" s="35"/>
      <c r="E246" s="34"/>
      <c r="F246" s="34"/>
      <c r="G246" s="35"/>
      <c r="H246" s="34"/>
      <c r="I246" s="19"/>
      <c r="J246" s="35"/>
      <c r="K246" s="19"/>
      <c r="L246" s="19"/>
      <c r="M246" s="19"/>
      <c r="N246" s="19"/>
      <c r="O246" s="19"/>
      <c r="P246" s="28"/>
      <c r="Q246" s="19"/>
      <c r="R246" s="19"/>
      <c r="S246" s="19"/>
      <c r="T246" s="36"/>
      <c r="U246" s="43"/>
      <c r="V246" s="19"/>
      <c r="W246" s="28"/>
      <c r="X246" s="28"/>
      <c r="Y246" s="19"/>
      <c r="Z246" s="19"/>
      <c r="AA246" s="19"/>
      <c r="AB246" s="29"/>
      <c r="AC246" s="29"/>
      <c r="AD246" s="29"/>
      <c r="AE246" s="28"/>
      <c r="AF246" s="28"/>
      <c r="AG246" s="28"/>
      <c r="AH246" s="29"/>
      <c r="AI246" s="29"/>
      <c r="AJ246" s="30"/>
      <c r="AK246" s="57"/>
      <c r="AL246" s="57"/>
      <c r="AM246" s="57"/>
      <c r="AN246" s="57"/>
      <c r="AO246" s="57"/>
      <c r="AP246" s="57"/>
    </row>
    <row r="247" spans="1:42" ht="21" x14ac:dyDescent="0.5">
      <c r="A247" s="28"/>
      <c r="B247" s="69"/>
      <c r="C247" s="34"/>
      <c r="D247" s="35"/>
      <c r="E247" s="34"/>
      <c r="F247" s="34"/>
      <c r="G247" s="35"/>
      <c r="H247" s="34"/>
      <c r="I247" s="19"/>
      <c r="J247" s="35"/>
      <c r="K247" s="19"/>
      <c r="L247" s="19"/>
      <c r="M247" s="19"/>
      <c r="N247" s="19"/>
      <c r="O247" s="19"/>
      <c r="P247" s="28"/>
      <c r="Q247" s="19"/>
      <c r="R247" s="19"/>
      <c r="S247" s="19"/>
      <c r="T247" s="36"/>
      <c r="U247" s="43"/>
      <c r="V247" s="19"/>
      <c r="W247" s="28"/>
      <c r="X247" s="28"/>
      <c r="Y247" s="19"/>
      <c r="Z247" s="19"/>
      <c r="AA247" s="19"/>
      <c r="AB247" s="29"/>
      <c r="AC247" s="29"/>
      <c r="AD247" s="29"/>
      <c r="AE247" s="28"/>
      <c r="AF247" s="28"/>
      <c r="AG247" s="28"/>
      <c r="AH247" s="29"/>
      <c r="AI247" s="29"/>
      <c r="AJ247" s="30"/>
      <c r="AK247" s="57"/>
      <c r="AL247" s="57"/>
      <c r="AM247" s="57"/>
      <c r="AN247" s="57"/>
      <c r="AO247" s="57"/>
      <c r="AP247" s="57"/>
    </row>
    <row r="248" spans="1:42" ht="21" x14ac:dyDescent="0.5">
      <c r="A248" s="28"/>
      <c r="B248" s="69"/>
      <c r="C248" s="34"/>
      <c r="D248" s="35"/>
      <c r="E248" s="34"/>
      <c r="F248" s="34"/>
      <c r="G248" s="35"/>
      <c r="H248" s="34"/>
      <c r="I248" s="19"/>
      <c r="J248" s="35"/>
      <c r="K248" s="19"/>
      <c r="L248" s="19"/>
      <c r="M248" s="19"/>
      <c r="N248" s="19"/>
      <c r="O248" s="19"/>
      <c r="P248" s="28"/>
      <c r="Q248" s="19"/>
      <c r="R248" s="19"/>
      <c r="S248" s="19"/>
      <c r="T248" s="36"/>
      <c r="U248" s="43"/>
      <c r="V248" s="19"/>
      <c r="W248" s="28"/>
      <c r="X248" s="28"/>
      <c r="Y248" s="19"/>
      <c r="Z248" s="19"/>
      <c r="AA248" s="19"/>
      <c r="AB248" s="29"/>
      <c r="AC248" s="29"/>
      <c r="AD248" s="29"/>
      <c r="AE248" s="28"/>
      <c r="AF248" s="28"/>
      <c r="AG248" s="28"/>
      <c r="AH248" s="29"/>
      <c r="AI248" s="29"/>
      <c r="AJ248" s="30"/>
      <c r="AK248" s="57"/>
      <c r="AL248" s="57"/>
      <c r="AM248" s="57"/>
      <c r="AN248" s="57"/>
      <c r="AO248" s="57"/>
      <c r="AP248" s="57"/>
    </row>
    <row r="249" spans="1:42" ht="21" x14ac:dyDescent="0.5">
      <c r="A249" s="28"/>
      <c r="B249" s="69"/>
      <c r="C249" s="34"/>
      <c r="D249" s="35"/>
      <c r="E249" s="34"/>
      <c r="F249" s="34"/>
      <c r="G249" s="35"/>
      <c r="H249" s="34"/>
      <c r="I249" s="19"/>
      <c r="J249" s="35"/>
      <c r="K249" s="19"/>
      <c r="L249" s="19"/>
      <c r="M249" s="19"/>
      <c r="N249" s="19"/>
      <c r="O249" s="19"/>
      <c r="P249" s="28"/>
      <c r="Q249" s="19"/>
      <c r="R249" s="19"/>
      <c r="S249" s="19"/>
      <c r="T249" s="36"/>
      <c r="U249" s="43"/>
      <c r="V249" s="19"/>
      <c r="W249" s="28"/>
      <c r="X249" s="28"/>
      <c r="Y249" s="19"/>
      <c r="Z249" s="19"/>
      <c r="AA249" s="19"/>
      <c r="AB249" s="29"/>
      <c r="AC249" s="29"/>
      <c r="AD249" s="29"/>
      <c r="AE249" s="28"/>
      <c r="AF249" s="28"/>
      <c r="AG249" s="28"/>
      <c r="AH249" s="29"/>
      <c r="AI249" s="29"/>
      <c r="AJ249" s="30"/>
      <c r="AK249" s="57"/>
      <c r="AL249" s="57"/>
      <c r="AM249" s="57"/>
      <c r="AN249" s="57"/>
      <c r="AO249" s="57"/>
      <c r="AP249" s="57"/>
    </row>
    <row r="250" spans="1:42" ht="21" x14ac:dyDescent="0.5">
      <c r="A250" s="28"/>
      <c r="B250" s="69"/>
      <c r="C250" s="34"/>
      <c r="D250" s="35"/>
      <c r="E250" s="34"/>
      <c r="F250" s="34"/>
      <c r="G250" s="35"/>
      <c r="H250" s="34"/>
      <c r="I250" s="19"/>
      <c r="J250" s="35"/>
      <c r="K250" s="19"/>
      <c r="L250" s="19"/>
      <c r="M250" s="19"/>
      <c r="N250" s="19"/>
      <c r="O250" s="19"/>
      <c r="P250" s="28"/>
      <c r="Q250" s="19"/>
      <c r="R250" s="19"/>
      <c r="S250" s="19"/>
      <c r="T250" s="36"/>
      <c r="U250" s="43"/>
      <c r="V250" s="19"/>
      <c r="W250" s="28"/>
      <c r="X250" s="28"/>
      <c r="Y250" s="19"/>
      <c r="Z250" s="19"/>
      <c r="AA250" s="19"/>
      <c r="AB250" s="29"/>
      <c r="AC250" s="29"/>
      <c r="AD250" s="29"/>
      <c r="AE250" s="28"/>
      <c r="AF250" s="28"/>
      <c r="AG250" s="28"/>
      <c r="AH250" s="29"/>
      <c r="AI250" s="29"/>
      <c r="AJ250" s="30"/>
      <c r="AK250" s="57"/>
      <c r="AL250" s="57"/>
      <c r="AM250" s="57"/>
      <c r="AN250" s="57"/>
      <c r="AO250" s="57"/>
      <c r="AP250" s="57"/>
    </row>
    <row r="251" spans="1:42" ht="21" x14ac:dyDescent="0.5">
      <c r="A251" s="28"/>
      <c r="B251" s="69"/>
      <c r="C251" s="34"/>
      <c r="D251" s="35"/>
      <c r="E251" s="34"/>
      <c r="F251" s="34"/>
      <c r="G251" s="35"/>
      <c r="H251" s="34"/>
      <c r="I251" s="19"/>
      <c r="J251" s="35"/>
      <c r="K251" s="19"/>
      <c r="L251" s="19"/>
      <c r="M251" s="19"/>
      <c r="N251" s="19"/>
      <c r="O251" s="19"/>
      <c r="P251" s="28"/>
      <c r="Q251" s="19"/>
      <c r="R251" s="19"/>
      <c r="S251" s="19"/>
      <c r="T251" s="36"/>
      <c r="U251" s="43"/>
      <c r="V251" s="19"/>
      <c r="W251" s="28"/>
      <c r="X251" s="28"/>
      <c r="Y251" s="19"/>
      <c r="Z251" s="19"/>
      <c r="AA251" s="19"/>
      <c r="AB251" s="29"/>
      <c r="AC251" s="29"/>
      <c r="AD251" s="29"/>
      <c r="AE251" s="28"/>
      <c r="AF251" s="28"/>
      <c r="AG251" s="28"/>
      <c r="AH251" s="29"/>
      <c r="AI251" s="29"/>
      <c r="AJ251" s="30"/>
      <c r="AK251" s="57"/>
      <c r="AL251" s="57"/>
      <c r="AM251" s="57"/>
      <c r="AN251" s="57"/>
      <c r="AO251" s="57"/>
      <c r="AP251" s="57"/>
    </row>
    <row r="252" spans="1:42" ht="21" x14ac:dyDescent="0.5">
      <c r="A252" s="28"/>
      <c r="B252" s="69"/>
      <c r="C252" s="34"/>
      <c r="D252" s="35"/>
      <c r="E252" s="34"/>
      <c r="F252" s="34"/>
      <c r="G252" s="35"/>
      <c r="H252" s="34"/>
      <c r="I252" s="19"/>
      <c r="J252" s="35"/>
      <c r="K252" s="19"/>
      <c r="L252" s="19"/>
      <c r="M252" s="19"/>
      <c r="N252" s="19"/>
      <c r="O252" s="19"/>
      <c r="P252" s="28"/>
      <c r="Q252" s="19"/>
      <c r="R252" s="19"/>
      <c r="S252" s="19"/>
      <c r="T252" s="36"/>
      <c r="U252" s="43"/>
      <c r="V252" s="19"/>
      <c r="W252" s="28"/>
      <c r="X252" s="28"/>
      <c r="Y252" s="19"/>
      <c r="Z252" s="19"/>
      <c r="AA252" s="19"/>
      <c r="AB252" s="29"/>
      <c r="AC252" s="29"/>
      <c r="AD252" s="29"/>
      <c r="AE252" s="28"/>
      <c r="AF252" s="28"/>
      <c r="AG252" s="28"/>
      <c r="AH252" s="29"/>
      <c r="AI252" s="29"/>
      <c r="AJ252" s="30"/>
      <c r="AK252" s="57"/>
      <c r="AL252" s="57"/>
      <c r="AM252" s="57"/>
      <c r="AN252" s="57"/>
      <c r="AO252" s="57"/>
      <c r="AP252" s="57"/>
    </row>
    <row r="253" spans="1:42" ht="21" x14ac:dyDescent="0.5">
      <c r="A253" s="28"/>
      <c r="B253" s="69"/>
      <c r="C253" s="34"/>
      <c r="D253" s="35"/>
      <c r="E253" s="34"/>
      <c r="F253" s="34"/>
      <c r="G253" s="35"/>
      <c r="H253" s="34"/>
      <c r="I253" s="19"/>
      <c r="J253" s="35"/>
      <c r="K253" s="19"/>
      <c r="L253" s="19"/>
      <c r="M253" s="19"/>
      <c r="N253" s="19"/>
      <c r="O253" s="19"/>
      <c r="P253" s="28"/>
      <c r="Q253" s="19"/>
      <c r="R253" s="19"/>
      <c r="S253" s="19"/>
      <c r="T253" s="36"/>
      <c r="U253" s="43"/>
      <c r="V253" s="19"/>
      <c r="W253" s="28"/>
      <c r="X253" s="28"/>
      <c r="Y253" s="19"/>
      <c r="Z253" s="19"/>
      <c r="AA253" s="19"/>
      <c r="AB253" s="29"/>
      <c r="AC253" s="29"/>
      <c r="AD253" s="29"/>
      <c r="AE253" s="28"/>
      <c r="AF253" s="28"/>
      <c r="AG253" s="28"/>
      <c r="AH253" s="29"/>
      <c r="AI253" s="29"/>
      <c r="AJ253" s="30"/>
      <c r="AK253" s="57"/>
      <c r="AL253" s="57"/>
      <c r="AM253" s="57"/>
      <c r="AN253" s="57"/>
      <c r="AO253" s="57"/>
      <c r="AP253" s="57"/>
    </row>
    <row r="254" spans="1:42" ht="21" x14ac:dyDescent="0.5">
      <c r="A254" s="28"/>
      <c r="B254" s="69"/>
      <c r="C254" s="34"/>
      <c r="D254" s="35"/>
      <c r="E254" s="34"/>
      <c r="F254" s="34"/>
      <c r="G254" s="35"/>
      <c r="H254" s="34"/>
      <c r="I254" s="19"/>
      <c r="J254" s="35"/>
      <c r="K254" s="19"/>
      <c r="L254" s="19"/>
      <c r="M254" s="19"/>
      <c r="N254" s="19"/>
      <c r="O254" s="19"/>
      <c r="P254" s="28"/>
      <c r="Q254" s="19"/>
      <c r="R254" s="19"/>
      <c r="S254" s="19"/>
      <c r="T254" s="36"/>
      <c r="U254" s="43"/>
      <c r="V254" s="19"/>
      <c r="W254" s="28"/>
      <c r="X254" s="28"/>
      <c r="Y254" s="19"/>
      <c r="Z254" s="19"/>
      <c r="AA254" s="19"/>
      <c r="AB254" s="29"/>
      <c r="AC254" s="29"/>
      <c r="AD254" s="29"/>
      <c r="AE254" s="28"/>
      <c r="AF254" s="28"/>
      <c r="AG254" s="28"/>
      <c r="AH254" s="29"/>
      <c r="AI254" s="29"/>
      <c r="AJ254" s="30"/>
      <c r="AK254" s="57"/>
      <c r="AL254" s="57"/>
      <c r="AM254" s="57"/>
      <c r="AN254" s="57"/>
      <c r="AO254" s="57"/>
      <c r="AP254" s="57"/>
    </row>
    <row r="255" spans="1:42" ht="21" x14ac:dyDescent="0.5">
      <c r="A255" s="28"/>
      <c r="C255" s="34"/>
      <c r="D255" s="35"/>
      <c r="E255" s="34"/>
      <c r="F255" s="34"/>
      <c r="G255" s="35"/>
      <c r="H255" s="34"/>
      <c r="I255" s="19"/>
      <c r="J255" s="35"/>
      <c r="K255" s="19"/>
      <c r="L255" s="19"/>
      <c r="M255" s="19"/>
      <c r="N255" s="19"/>
      <c r="O255" s="19"/>
      <c r="P255" s="28"/>
      <c r="Q255" s="19"/>
      <c r="R255" s="19"/>
      <c r="S255" s="19"/>
      <c r="T255" s="36"/>
      <c r="U255" s="43"/>
      <c r="V255" s="19"/>
      <c r="W255" s="28"/>
      <c r="X255" s="28"/>
      <c r="Y255" s="19"/>
      <c r="Z255" s="19"/>
      <c r="AA255" s="19"/>
      <c r="AB255" s="29"/>
      <c r="AC255" s="29"/>
      <c r="AD255" s="29"/>
      <c r="AE255" s="28"/>
      <c r="AF255" s="28"/>
      <c r="AG255" s="28"/>
      <c r="AH255" s="29"/>
      <c r="AI255" s="29"/>
      <c r="AJ255" s="30"/>
      <c r="AK255" s="57"/>
      <c r="AL255" s="57"/>
      <c r="AM255" s="57"/>
      <c r="AN255" s="57"/>
      <c r="AO255" s="57"/>
      <c r="AP255" s="57"/>
    </row>
    <row r="256" spans="1:42" ht="21" x14ac:dyDescent="0.5">
      <c r="A256" s="28"/>
      <c r="AK256" s="57"/>
      <c r="AL256" s="57"/>
      <c r="AM256" s="57"/>
      <c r="AN256" s="57"/>
      <c r="AO256" s="57"/>
      <c r="AP256" s="57"/>
    </row>
    <row r="257" spans="1:42" ht="21" x14ac:dyDescent="0.5">
      <c r="A257" s="28"/>
      <c r="AO257" s="57"/>
      <c r="AP257" s="57"/>
    </row>
    <row r="258" spans="1:42" ht="21" x14ac:dyDescent="0.5">
      <c r="A258" s="28"/>
      <c r="AO258" s="57"/>
      <c r="AP258" s="57"/>
    </row>
    <row r="259" spans="1:42" ht="21" x14ac:dyDescent="0.5">
      <c r="A259" s="28"/>
      <c r="AO259" s="57"/>
      <c r="AP259" s="57"/>
    </row>
    <row r="260" spans="1:42" ht="21" x14ac:dyDescent="0.5">
      <c r="A260" s="28"/>
      <c r="AO260" s="57"/>
      <c r="AP260" s="57"/>
    </row>
    <row r="261" spans="1:42" ht="21" x14ac:dyDescent="0.5">
      <c r="A261" s="28"/>
      <c r="AO261" s="57"/>
      <c r="AP261" s="57"/>
    </row>
    <row r="262" spans="1:42" ht="21" x14ac:dyDescent="0.5">
      <c r="A262" s="28"/>
      <c r="AO262" s="57"/>
      <c r="AP262" s="57"/>
    </row>
    <row r="263" spans="1:42" ht="21" x14ac:dyDescent="0.5">
      <c r="A263" s="28"/>
      <c r="AO263" s="57"/>
      <c r="AP263" s="57"/>
    </row>
    <row r="264" spans="1:42" ht="21" x14ac:dyDescent="0.5">
      <c r="A264" s="28"/>
      <c r="AO264" s="57"/>
      <c r="AP264" s="57"/>
    </row>
    <row r="265" spans="1:42" ht="21" x14ac:dyDescent="0.5">
      <c r="A265" s="28"/>
      <c r="AO265" s="57"/>
      <c r="AP265" s="57"/>
    </row>
    <row r="266" spans="1:42" ht="21" x14ac:dyDescent="0.5">
      <c r="A266" s="28"/>
      <c r="AO266" s="57"/>
      <c r="AP266" s="57"/>
    </row>
    <row r="267" spans="1:42" ht="21" x14ac:dyDescent="0.5">
      <c r="A267" s="28"/>
      <c r="AO267" s="57"/>
      <c r="AP267" s="57"/>
    </row>
    <row r="268" spans="1:42" ht="21" x14ac:dyDescent="0.5">
      <c r="A268" s="28"/>
      <c r="AO268" s="57"/>
      <c r="AP268" s="57"/>
    </row>
    <row r="269" spans="1:42" ht="21" x14ac:dyDescent="0.5">
      <c r="A269" s="28"/>
      <c r="AO269" s="57"/>
      <c r="AP269" s="57"/>
    </row>
    <row r="270" spans="1:42" ht="21" x14ac:dyDescent="0.5">
      <c r="A270" s="28"/>
      <c r="AO270" s="57"/>
      <c r="AP270" s="57"/>
    </row>
    <row r="271" spans="1:42" ht="21" x14ac:dyDescent="0.5">
      <c r="A271" s="28"/>
      <c r="AO271" s="57"/>
      <c r="AP271" s="57"/>
    </row>
    <row r="272" spans="1:42" ht="21" x14ac:dyDescent="0.5">
      <c r="A272" s="28"/>
      <c r="AO272" s="57"/>
      <c r="AP272" s="57"/>
    </row>
    <row r="273" spans="1:42" ht="21" x14ac:dyDescent="0.5">
      <c r="A273" s="28"/>
      <c r="AO273" s="57"/>
      <c r="AP273" s="57"/>
    </row>
    <row r="274" spans="1:42" ht="21" x14ac:dyDescent="0.5">
      <c r="A274" s="28"/>
      <c r="AO274" s="57"/>
      <c r="AP274" s="57"/>
    </row>
    <row r="275" spans="1:42" ht="21" x14ac:dyDescent="0.5">
      <c r="A275" s="28"/>
      <c r="AO275" s="57"/>
      <c r="AP275" s="57"/>
    </row>
    <row r="276" spans="1:42" ht="21" x14ac:dyDescent="0.5">
      <c r="A276" s="28"/>
      <c r="AO276" s="57"/>
      <c r="AP276" s="57"/>
    </row>
    <row r="277" spans="1:42" ht="21" x14ac:dyDescent="0.5">
      <c r="A277" s="28"/>
      <c r="AO277" s="57"/>
      <c r="AP277" s="57"/>
    </row>
    <row r="278" spans="1:42" ht="21" x14ac:dyDescent="0.5">
      <c r="A278" s="28"/>
      <c r="AO278" s="57"/>
      <c r="AP278" s="57"/>
    </row>
    <row r="279" spans="1:42" ht="21" x14ac:dyDescent="0.5">
      <c r="A279" s="28"/>
      <c r="AO279" s="57"/>
      <c r="AP279" s="57"/>
    </row>
    <row r="280" spans="1:42" ht="21" x14ac:dyDescent="0.5">
      <c r="A280" s="28"/>
      <c r="AO280" s="57"/>
      <c r="AP280" s="57"/>
    </row>
    <row r="281" spans="1:42" ht="21" x14ac:dyDescent="0.5">
      <c r="A281" s="28"/>
      <c r="AO281" s="57"/>
      <c r="AP281" s="57"/>
    </row>
    <row r="282" spans="1:42" ht="21" x14ac:dyDescent="0.5">
      <c r="A282" s="28"/>
      <c r="AO282" s="57"/>
      <c r="AP282" s="57"/>
    </row>
    <row r="283" spans="1:42" ht="21" x14ac:dyDescent="0.5">
      <c r="A283" s="28"/>
      <c r="AO283" s="57"/>
      <c r="AP283" s="57"/>
    </row>
    <row r="284" spans="1:42" ht="21" x14ac:dyDescent="0.5">
      <c r="A284" s="28"/>
      <c r="AO284" s="57"/>
      <c r="AP284" s="57"/>
    </row>
    <row r="285" spans="1:42" ht="21" x14ac:dyDescent="0.5">
      <c r="A285" s="28"/>
      <c r="AO285" s="57"/>
      <c r="AP285" s="57"/>
    </row>
    <row r="286" spans="1:42" ht="21" x14ac:dyDescent="0.5">
      <c r="A286" s="28"/>
      <c r="AO286" s="57"/>
      <c r="AP286" s="57"/>
    </row>
    <row r="287" spans="1:42" ht="21" x14ac:dyDescent="0.5">
      <c r="A287" s="28"/>
      <c r="AO287" s="57"/>
      <c r="AP287" s="57"/>
    </row>
    <row r="288" spans="1:42" ht="21" x14ac:dyDescent="0.5">
      <c r="A288" s="28"/>
      <c r="AO288" s="57"/>
      <c r="AP288" s="57"/>
    </row>
    <row r="289" spans="1:56" ht="21" x14ac:dyDescent="0.5">
      <c r="A289" s="28"/>
      <c r="AO289" s="57"/>
      <c r="AP289" s="57"/>
    </row>
    <row r="290" spans="1:56" ht="21" x14ac:dyDescent="0.5">
      <c r="A290" s="28"/>
      <c r="AO290" s="57"/>
      <c r="AP290" s="57"/>
    </row>
    <row r="291" spans="1:56" ht="21" x14ac:dyDescent="0.5">
      <c r="A291" s="28"/>
      <c r="AO291" s="57"/>
      <c r="AP291" s="57"/>
    </row>
    <row r="292" spans="1:56" s="63" customFormat="1" ht="21.5" thickBot="1" x14ac:dyDescent="0.55000000000000004">
      <c r="A292" s="28"/>
      <c r="B292" s="1"/>
      <c r="C292" s="1"/>
      <c r="D292" s="1"/>
      <c r="E292" s="1"/>
      <c r="F292" s="1"/>
      <c r="G292" s="1"/>
      <c r="H292" s="1"/>
      <c r="I292" s="1"/>
      <c r="J292" s="1"/>
      <c r="K292"/>
      <c r="L292" s="1"/>
      <c r="M292" s="1"/>
      <c r="N292" s="1"/>
      <c r="O292" s="1"/>
      <c r="P292" s="1"/>
      <c r="Q292"/>
      <c r="R292"/>
      <c r="S292"/>
      <c r="T292" s="40"/>
      <c r="U292" s="44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 s="59"/>
      <c r="AP292" s="59"/>
      <c r="BD292" s="64"/>
    </row>
    <row r="293" spans="1:56" ht="21" x14ac:dyDescent="0.5">
      <c r="A293" s="28"/>
      <c r="AO293" s="57"/>
      <c r="AP293" s="57"/>
      <c r="AU293" s="15"/>
      <c r="AV293" s="15"/>
      <c r="AW293" s="16"/>
    </row>
    <row r="294" spans="1:56" ht="21" x14ac:dyDescent="0.5">
      <c r="A294" s="28"/>
      <c r="AO294" s="57"/>
      <c r="AP294" s="57"/>
      <c r="AU294" s="15"/>
      <c r="AV294" s="15"/>
      <c r="AW294" s="16"/>
    </row>
    <row r="295" spans="1:56" ht="21" x14ac:dyDescent="0.5">
      <c r="A295" s="28"/>
      <c r="AO295" s="57"/>
      <c r="AP295" s="57"/>
      <c r="AU295" s="15"/>
      <c r="AV295" s="15"/>
      <c r="AW295" s="16"/>
    </row>
    <row r="296" spans="1:56" ht="21" x14ac:dyDescent="0.35">
      <c r="A296" s="34"/>
      <c r="AO296" s="57"/>
      <c r="AP296" s="57"/>
    </row>
    <row r="297" spans="1:56" ht="21" x14ac:dyDescent="0.35">
      <c r="A297" s="34"/>
      <c r="AO297" s="57"/>
      <c r="AP297" s="57"/>
    </row>
    <row r="298" spans="1:56" ht="21" x14ac:dyDescent="0.35">
      <c r="A298" s="34"/>
      <c r="AO298" s="57"/>
      <c r="AP298" s="57"/>
    </row>
    <row r="299" spans="1:56" ht="21" x14ac:dyDescent="0.35">
      <c r="A299" s="34"/>
      <c r="AO299" s="57"/>
      <c r="AP299" s="57"/>
    </row>
    <row r="300" spans="1:56" ht="21" x14ac:dyDescent="0.35">
      <c r="A300" s="34"/>
      <c r="AO300" s="57"/>
      <c r="AP300" s="57"/>
    </row>
    <row r="301" spans="1:56" ht="21" x14ac:dyDescent="0.35">
      <c r="A301" s="34"/>
      <c r="AO301" s="57"/>
      <c r="AP301" s="57"/>
    </row>
    <row r="302" spans="1:56" ht="21" x14ac:dyDescent="0.35">
      <c r="A302" s="34"/>
      <c r="AO302" s="57"/>
      <c r="AP302" s="57"/>
    </row>
    <row r="303" spans="1:56" ht="21" x14ac:dyDescent="0.35">
      <c r="A303" s="34"/>
      <c r="AO303" s="57"/>
      <c r="AP303" s="57"/>
    </row>
    <row r="304" spans="1:56" ht="21" x14ac:dyDescent="0.35">
      <c r="A304" s="34"/>
      <c r="AO304" s="57"/>
      <c r="AP304" s="57"/>
    </row>
    <row r="305" spans="1:42" ht="21" x14ac:dyDescent="0.35">
      <c r="A305" s="34"/>
      <c r="AO305" s="57"/>
      <c r="AP305" s="57"/>
    </row>
    <row r="306" spans="1:42" ht="21" x14ac:dyDescent="0.35">
      <c r="A306" s="34"/>
      <c r="AO306" s="57"/>
      <c r="AP306" s="57"/>
    </row>
    <row r="307" spans="1:42" ht="21" x14ac:dyDescent="0.35">
      <c r="A307" s="34"/>
      <c r="AO307" s="57"/>
      <c r="AP307" s="57"/>
    </row>
    <row r="308" spans="1:42" ht="21" x14ac:dyDescent="0.35">
      <c r="A308" s="34"/>
      <c r="AO308" s="57"/>
      <c r="AP308" s="57"/>
    </row>
    <row r="309" spans="1:42" ht="21" x14ac:dyDescent="0.35">
      <c r="A309" s="34"/>
      <c r="AO309" s="57"/>
      <c r="AP309" s="57"/>
    </row>
    <row r="310" spans="1:42" ht="21" x14ac:dyDescent="0.35">
      <c r="A310" s="34"/>
      <c r="AO310" s="57"/>
      <c r="AP310" s="57"/>
    </row>
    <row r="311" spans="1:42" ht="21" x14ac:dyDescent="0.35">
      <c r="A311" s="34"/>
      <c r="AO311" s="57"/>
      <c r="AP311" s="57"/>
    </row>
    <row r="312" spans="1:42" ht="21" x14ac:dyDescent="0.35">
      <c r="A312" s="34"/>
      <c r="AO312" s="57"/>
      <c r="AP312" s="57"/>
    </row>
    <row r="313" spans="1:42" ht="21" x14ac:dyDescent="0.35">
      <c r="A313" s="34"/>
      <c r="AO313" s="57"/>
      <c r="AP313" s="57"/>
    </row>
    <row r="314" spans="1:42" ht="21" x14ac:dyDescent="0.35">
      <c r="A314" s="34"/>
      <c r="AO314" s="57"/>
      <c r="AP314" s="57"/>
    </row>
    <row r="315" spans="1:42" ht="21" x14ac:dyDescent="0.35">
      <c r="A315" s="34"/>
      <c r="AO315" s="57"/>
      <c r="AP315" s="57"/>
    </row>
    <row r="316" spans="1:42" ht="21" x14ac:dyDescent="0.35">
      <c r="A316" s="34"/>
      <c r="AO316" s="57"/>
      <c r="AP316" s="57"/>
    </row>
    <row r="317" spans="1:42" ht="21" x14ac:dyDescent="0.35">
      <c r="A317" s="34"/>
      <c r="AO317" s="57"/>
      <c r="AP317" s="57"/>
    </row>
    <row r="318" spans="1:42" ht="21" x14ac:dyDescent="0.35">
      <c r="A318" s="34"/>
      <c r="AO318" s="57"/>
      <c r="AP318" s="57"/>
    </row>
    <row r="319" spans="1:42" ht="21" x14ac:dyDescent="0.35">
      <c r="A319" s="34"/>
      <c r="AO319" s="57"/>
      <c r="AP319" s="57"/>
    </row>
    <row r="320" spans="1:42" ht="21" x14ac:dyDescent="0.35">
      <c r="A320" s="34"/>
      <c r="AO320" s="57"/>
      <c r="AP320" s="57"/>
    </row>
    <row r="321" spans="1:42" ht="21" x14ac:dyDescent="0.35">
      <c r="A321" s="34"/>
      <c r="AO321" s="57"/>
      <c r="AP321" s="57"/>
    </row>
    <row r="322" spans="1:42" ht="21" x14ac:dyDescent="0.35">
      <c r="A322" s="34"/>
      <c r="AO322" s="57"/>
      <c r="AP322" s="57"/>
    </row>
    <row r="323" spans="1:42" ht="21" x14ac:dyDescent="0.35">
      <c r="A323" s="34"/>
      <c r="AO323" s="57"/>
      <c r="AP323" s="57"/>
    </row>
    <row r="324" spans="1:42" ht="21" x14ac:dyDescent="0.35">
      <c r="A324" s="34"/>
      <c r="AO324" s="57"/>
      <c r="AP324" s="57"/>
    </row>
    <row r="325" spans="1:42" ht="21" x14ac:dyDescent="0.35">
      <c r="A325" s="34"/>
      <c r="AO325" s="57"/>
      <c r="AP325" s="57"/>
    </row>
    <row r="326" spans="1:42" ht="21" x14ac:dyDescent="0.35">
      <c r="A326" s="34"/>
      <c r="AO326" s="57"/>
      <c r="AP326" s="57"/>
    </row>
    <row r="327" spans="1:42" ht="21" x14ac:dyDescent="0.35">
      <c r="A327" s="34"/>
      <c r="AO327" s="57"/>
      <c r="AP327" s="57"/>
    </row>
    <row r="328" spans="1:42" ht="21" x14ac:dyDescent="0.35">
      <c r="A328" s="34"/>
      <c r="AO328" s="57"/>
      <c r="AP328" s="57"/>
    </row>
    <row r="329" spans="1:42" ht="21" x14ac:dyDescent="0.35">
      <c r="A329" s="34"/>
      <c r="AO329" s="57"/>
      <c r="AP329" s="57"/>
    </row>
    <row r="330" spans="1:42" ht="21" x14ac:dyDescent="0.35">
      <c r="A330" s="34"/>
      <c r="AO330" s="57"/>
      <c r="AP330" s="57"/>
    </row>
    <row r="331" spans="1:42" ht="21" x14ac:dyDescent="0.35">
      <c r="A331" s="34"/>
      <c r="AO331" s="57"/>
      <c r="AP331" s="57"/>
    </row>
    <row r="332" spans="1:42" ht="21" x14ac:dyDescent="0.35">
      <c r="A332" s="34"/>
      <c r="AO332" s="57"/>
      <c r="AP332" s="57"/>
    </row>
    <row r="333" spans="1:42" ht="21" x14ac:dyDescent="0.35">
      <c r="A333" s="34"/>
      <c r="AO333" s="57"/>
      <c r="AP333" s="57"/>
    </row>
    <row r="334" spans="1:42" ht="21" x14ac:dyDescent="0.35">
      <c r="A334" s="34"/>
      <c r="AO334" s="57"/>
      <c r="AP334" s="57"/>
    </row>
    <row r="335" spans="1:42" ht="21" x14ac:dyDescent="0.35">
      <c r="A335" s="34"/>
      <c r="AO335" s="57"/>
      <c r="AP335" s="57"/>
    </row>
    <row r="336" spans="1:42" ht="21" x14ac:dyDescent="0.35">
      <c r="A336" s="34"/>
      <c r="AO336" s="57"/>
      <c r="AP336" s="57"/>
    </row>
    <row r="337" spans="1:42" ht="21" x14ac:dyDescent="0.35">
      <c r="A337" s="34"/>
      <c r="AO337" s="57"/>
      <c r="AP337" s="57"/>
    </row>
    <row r="338" spans="1:42" ht="21" x14ac:dyDescent="0.35">
      <c r="A338" s="34"/>
      <c r="AO338" s="57"/>
      <c r="AP338" s="57"/>
    </row>
    <row r="339" spans="1:42" ht="21" x14ac:dyDescent="0.35">
      <c r="A339" s="34"/>
      <c r="AO339" s="57"/>
      <c r="AP339" s="57"/>
    </row>
    <row r="340" spans="1:42" ht="21" x14ac:dyDescent="0.35">
      <c r="A340" s="34"/>
      <c r="AO340" s="57"/>
      <c r="AP340" s="57"/>
    </row>
    <row r="341" spans="1:42" ht="21" x14ac:dyDescent="0.35">
      <c r="A341" s="34"/>
      <c r="AO341" s="57"/>
      <c r="AP341" s="57"/>
    </row>
    <row r="342" spans="1:42" ht="21" x14ac:dyDescent="0.35">
      <c r="A342" s="34"/>
      <c r="AO342" s="57"/>
      <c r="AP342" s="57"/>
    </row>
    <row r="343" spans="1:42" ht="21" x14ac:dyDescent="0.35">
      <c r="A343" s="34"/>
      <c r="AO343" s="57"/>
      <c r="AP343" s="57"/>
    </row>
    <row r="344" spans="1:42" ht="21" x14ac:dyDescent="0.35">
      <c r="A344" s="34"/>
      <c r="AO344" s="57"/>
      <c r="AP344" s="57"/>
    </row>
    <row r="345" spans="1:42" ht="21" x14ac:dyDescent="0.35">
      <c r="A345" s="34"/>
      <c r="AO345" s="57"/>
      <c r="AP345" s="57"/>
    </row>
    <row r="346" spans="1:42" ht="21" x14ac:dyDescent="0.35">
      <c r="A346" s="34"/>
      <c r="AO346" s="57"/>
      <c r="AP346" s="57"/>
    </row>
    <row r="347" spans="1:42" ht="21" x14ac:dyDescent="0.35">
      <c r="A347" s="34"/>
      <c r="AO347" s="57"/>
      <c r="AP347" s="57"/>
    </row>
    <row r="348" spans="1:42" ht="21" x14ac:dyDescent="0.35">
      <c r="A348" s="34"/>
      <c r="AO348" s="57"/>
      <c r="AP348" s="57"/>
    </row>
    <row r="349" spans="1:42" ht="21" x14ac:dyDescent="0.35">
      <c r="A349" s="34"/>
      <c r="AO349" s="57"/>
      <c r="AP349" s="57"/>
    </row>
    <row r="350" spans="1:42" ht="21" x14ac:dyDescent="0.35">
      <c r="A350" s="34"/>
      <c r="AO350" s="57"/>
      <c r="AP350" s="57"/>
    </row>
    <row r="351" spans="1:42" ht="21" x14ac:dyDescent="0.35">
      <c r="A351" s="34"/>
      <c r="AO351" s="57"/>
      <c r="AP351" s="57"/>
    </row>
    <row r="352" spans="1:42" ht="21" x14ac:dyDescent="0.35">
      <c r="A352" s="34"/>
      <c r="AO352" s="57"/>
      <c r="AP352" s="57"/>
    </row>
  </sheetData>
  <mergeCells count="5">
    <mergeCell ref="L1:S1"/>
    <mergeCell ref="C1:K1"/>
    <mergeCell ref="AE1:AG1"/>
    <mergeCell ref="AH1:AJ1"/>
    <mergeCell ref="U1:AD1"/>
  </mergeCells>
  <phoneticPr fontId="6" type="noConversion"/>
  <conditionalFormatting sqref="Y199:Y255 Y4:Y195">
    <cfRule type="expression" dxfId="5" priority="66">
      <formula>Y4+Z4+AA4=1</formula>
    </cfRule>
  </conditionalFormatting>
  <conditionalFormatting sqref="Z199:Z255 Z4:Z195">
    <cfRule type="expression" dxfId="4" priority="65">
      <formula>Y4+Z4+AA4=1</formula>
    </cfRule>
  </conditionalFormatting>
  <conditionalFormatting sqref="AA199:AA255 AA4:AA195">
    <cfRule type="expression" dxfId="3" priority="64">
      <formula>Y4+Z4+AA4=1</formula>
    </cfRule>
  </conditionalFormatting>
  <conditionalFormatting sqref="Y196:Y198">
    <cfRule type="expression" dxfId="2" priority="3">
      <formula>Y196+Z196+AA196=1</formula>
    </cfRule>
  </conditionalFormatting>
  <conditionalFormatting sqref="Z196:Z198">
    <cfRule type="expression" dxfId="1" priority="2">
      <formula>Y196+Z196+AA196=1</formula>
    </cfRule>
  </conditionalFormatting>
  <conditionalFormatting sqref="AA196:AA198">
    <cfRule type="expression" dxfId="0" priority="1">
      <formula>Y196+Z196+AA196=1</formula>
    </cfRule>
  </conditionalFormatting>
  <dataValidations disablePrompts="1" count="1">
    <dataValidation type="list" allowBlank="1" showInputMessage="1" showErrorMessage="1" sqref="U4:U255" xr:uid="{00000000-0002-0000-0100-000000000000}">
      <formula1>$AY$3:$AY$9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45</xdr:col>
                <xdr:colOff>666750</xdr:colOff>
                <xdr:row>1</xdr:row>
                <xdr:rowOff>374650</xdr:rowOff>
              </from>
              <to>
                <xdr:col>47</xdr:col>
                <xdr:colOff>241300</xdr:colOff>
                <xdr:row>1</xdr:row>
                <xdr:rowOff>946150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AEA5199BCCC44288D7C684955BC1C7" ma:contentTypeVersion="0" ma:contentTypeDescription="Crée un document." ma:contentTypeScope="" ma:versionID="6b14308c9b7c065f60b248ac4ba4a37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3d6ca9f312fcd1c0ab10337cdbdb7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612324B-B563-49D1-AE3E-A2D21534D7F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7A7BC1B-7ABC-4332-86D8-F185C16F77B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CAC97FB-CB20-4D90-94F7-DD0DD97DA2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General_parameters</vt:lpstr>
      <vt:lpstr>Input_data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Kokou Evignon Attiogbe</cp:lastModifiedBy>
  <dcterms:created xsi:type="dcterms:W3CDTF">2019-07-17T12:46:09Z</dcterms:created>
  <dcterms:modified xsi:type="dcterms:W3CDTF">2026-10-29T06:26:55Z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0x0101009CAEA5199BCCC44288D7C684955BC1C7</vt:lpwstr>
  </property>
</Properties>
</file>