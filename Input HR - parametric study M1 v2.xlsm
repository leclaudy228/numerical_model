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0DEC239E-9119-428E-869A-EF356EF25707}" xr6:coauthVersionLast="47" xr6:coauthVersionMax="47" xr10:uidLastSave="{00000000-0000-0000-0000-000000000000}"/>
  <bookViews>
    <workbookView xWindow="19090" yWindow="-2460" windowWidth="25820" windowHeight="1390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98" i="1" l="1"/>
  <c r="AK99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<sst xmlns="http://schemas.openxmlformats.org/spreadsheetml/2006/main" count="373" uniqueCount="192">
  <si>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</si>
  <si>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</si>
  <si>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</si>
  <si>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</si>
  <si>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</si>
  <si>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</si>
  <si>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</si>
  <si>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</si>
  <si>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</si>
  <si>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</si>
  <si>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</si>
  <si>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</si>
  <si>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</si>
  <si>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</si>
  <si>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</si>
  <si>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</si>
  <si>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</si>
  <si>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</si>
  <si>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</si>
  <si>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</si>
  <si>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</si>
  <si>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</si>
  <si>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</si>
  <si>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</si>
  <si>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</si>
  <si>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</si>
  <si>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</si>
  <si>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</si>
  <si>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</si>
  <si>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</si>
  <si>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</si>
  <si>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</si>
  <si>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</si>
  <si>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</si>
  <si>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</si>
  <si>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</si>
  <si>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</si>
  <si>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</si>
  <si>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</si>
  <si>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</si>
  <si>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</si>
  <si>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</si>
  <si>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</si>
  <si>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</si>
  <si>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</si>
  <si>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</si>
  <si>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</si>
  <si>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</si>
  <si>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</si>
  <si>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</si>
  <si>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</si>
  <si>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</si>
  <si>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</si>
  <si>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</si>
  <si>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</si>
  <si>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</si>
  <si>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</si>
  <si>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</si>
  <si>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</si>
  <si>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</si>
  <si>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</si>
  <si>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</si>
  <si>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</si>
  <si>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</si>
  <si>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</si>
  <si>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</si>
  <si>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</si>
  <si>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</si>
  <si>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</si>
  <si>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</si>
  <si>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</si>
  <si>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</si>
  <si>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</si>
  <si>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</si>
  <si>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</si>
  <si>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</si>
  <si>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</si>
  <si>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</si>
  <si>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</si>
  <si>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</si>
  <si>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</si>
  <si>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</si>
  <si>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</si>
  <si>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</si>
  <si>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</si>
  <si>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</si>
  <si>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</si>
  <si>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</si>
  <si>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</si>
  <si>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</si>
  <si>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</si>
  <si>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ecc</t>
  </si>
  <si>
    <t>S_2</t>
  </si>
  <si>
    <t>s</t>
  </si>
  <si>
    <t>w0</t>
  </si>
  <si>
    <t>HEB-100-1</t>
  </si>
  <si>
    <t>HEB-100-2</t>
  </si>
  <si>
    <t>HEB-100-3</t>
  </si>
  <si>
    <t>HEB-100-4</t>
  </si>
  <si>
    <t>HEB-100-5</t>
  </si>
  <si>
    <t>HEB-100-6</t>
  </si>
  <si>
    <t>HEB-100-7</t>
  </si>
  <si>
    <t>HEB-100-8</t>
  </si>
  <si>
    <t>HEB-140-1</t>
  </si>
  <si>
    <t>HEB-140-2</t>
  </si>
  <si>
    <t>HEB-140-3</t>
  </si>
  <si>
    <t>HEB-140-4</t>
  </si>
  <si>
    <t>HEB-140-5</t>
  </si>
  <si>
    <t>HEB-140-6</t>
  </si>
  <si>
    <t>HEB-140-7</t>
  </si>
  <si>
    <t>HEB-140-8</t>
  </si>
  <si>
    <t>HEB-180-1</t>
  </si>
  <si>
    <t>HEB-180-2</t>
  </si>
  <si>
    <t>HEB-180-3</t>
  </si>
  <si>
    <t>HEB-180-4</t>
  </si>
  <si>
    <t>HEB-180-5</t>
  </si>
  <si>
    <t>HEB-180-6</t>
  </si>
  <si>
    <t>HEB-180-7</t>
  </si>
  <si>
    <t>HEB-180-8</t>
  </si>
  <si>
    <t>HEB-220-1</t>
  </si>
  <si>
    <t>HEB-220-2</t>
  </si>
  <si>
    <t>HEB-220-3</t>
  </si>
  <si>
    <t>HEB-220-4</t>
  </si>
  <si>
    <t>HEB-220-5</t>
  </si>
  <si>
    <t>HEB-220-6</t>
  </si>
  <si>
    <t>HEB-220-7</t>
  </si>
  <si>
    <t>HEB-220-8</t>
  </si>
  <si>
    <t>HEB-260-1</t>
  </si>
  <si>
    <t>HEB-260-2</t>
  </si>
  <si>
    <t>HEB-260-3</t>
  </si>
  <si>
    <t>HEB-260-4</t>
  </si>
  <si>
    <t>HEB-260-5</t>
  </si>
  <si>
    <t>HEB-260-6</t>
  </si>
  <si>
    <t>HEB-260-7</t>
  </si>
  <si>
    <t>HEB-260-8</t>
  </si>
  <si>
    <t>HEB-300-1</t>
  </si>
  <si>
    <t>HEB-300-2</t>
  </si>
  <si>
    <t>HEB-300-3</t>
  </si>
  <si>
    <t>HEB-300-4</t>
  </si>
  <si>
    <t>HEB-300-5</t>
  </si>
  <si>
    <t>HEB-300-6</t>
  </si>
  <si>
    <t>HEB-300-7</t>
  </si>
  <si>
    <t>HEB-300-8</t>
  </si>
  <si>
    <t>HEB-340-1</t>
  </si>
  <si>
    <t>HEB-340-2</t>
  </si>
  <si>
    <t>HEB-340-3</t>
  </si>
  <si>
    <t>HEB-340-4</t>
  </si>
  <si>
    <t>HEB-340-5</t>
  </si>
  <si>
    <t>HEB-340-6</t>
  </si>
  <si>
    <t>HEB-340-7</t>
  </si>
  <si>
    <t>HEB-340-8</t>
  </si>
  <si>
    <t>HEB-400-1</t>
  </si>
  <si>
    <t>HEB-400-2</t>
  </si>
  <si>
    <t>HEB-400-3</t>
  </si>
  <si>
    <t>HEB-400-4</t>
  </si>
  <si>
    <t>HEB-400-5</t>
  </si>
  <si>
    <t>HEB-400-6</t>
  </si>
  <si>
    <t>HEB-400-7</t>
  </si>
  <si>
    <t>HEB-400-8</t>
  </si>
  <si>
    <t>HEB-500-1</t>
  </si>
  <si>
    <t>HEB-500-2</t>
  </si>
  <si>
    <t>HEB-500-3</t>
  </si>
  <si>
    <t>HEB-500-4</t>
  </si>
  <si>
    <t>HEB-500-5</t>
  </si>
  <si>
    <t>HEB-500-6</t>
  </si>
  <si>
    <t>HEB-500-7</t>
  </si>
  <si>
    <t>HEB-500-8</t>
  </si>
  <si>
    <t>HEB-600-1</t>
  </si>
  <si>
    <t>HEB-600-2</t>
  </si>
  <si>
    <t>HEB-600-3</t>
  </si>
  <si>
    <t>HEB-600-4</t>
  </si>
  <si>
    <t>HEB-600-5</t>
  </si>
  <si>
    <t>HEB-600-6</t>
  </si>
  <si>
    <t>HEB-600-7</t>
  </si>
  <si>
    <t>HEB-600-8</t>
  </si>
  <si>
    <t>HEB-700-1</t>
  </si>
  <si>
    <t>HEB-700-2</t>
  </si>
  <si>
    <t>HEB-700-3</t>
  </si>
  <si>
    <t>HEB-700-4</t>
  </si>
  <si>
    <t>HEB-700-5</t>
  </si>
  <si>
    <t>HEB-700-6</t>
  </si>
  <si>
    <t>HEB-700-7</t>
  </si>
  <si>
    <t>HEB-700-8</t>
  </si>
  <si>
    <t>HEB-900-1</t>
  </si>
  <si>
    <t>HEB-900-2</t>
  </si>
  <si>
    <t>HEB-900-3</t>
  </si>
  <si>
    <t>HEB-900-4</t>
  </si>
  <si>
    <t>HEB-900-5</t>
  </si>
  <si>
    <t>HEB-900-6</t>
  </si>
  <si>
    <t>HEB-900-7</t>
  </si>
  <si>
    <t>HEB-900-8</t>
  </si>
  <si>
    <t>Parametric_study_HR_690_v2_lba_beam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</si>
</sst>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25" sqref="B25"/>
    </sheetView>
  </sheetViews>
  <sheetFormatPr defaultColWidth="9.140625" defaultRowHeight="15" x14ac:dyDescent="0.25"/>
  <cols>
    <col min="1" max="1" width="35.7109375" customWidth="1"/>
    <col min="2" max="2" width="37.42578125" bestFit="1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9" t="s">
        <v>36</v>
      </c>
      <c r="B1" s="120"/>
      <c r="C1" s="121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191</v>
      </c>
      <c r="C3" s="8"/>
      <c r="E3" s="5" t="s">
        <v>77</v>
      </c>
    </row>
    <row r="4" spans="1:16" x14ac:dyDescent="0.25">
      <c r="A4" s="9" t="s">
        <v>34</v>
      </c>
      <c r="B4" s="5" t="s">
        <v>92</v>
      </c>
      <c r="C4" s="8"/>
    </row>
    <row r="5" spans="1:16" x14ac:dyDescent="0.25">
      <c r="A5" s="9"/>
      <c r="B5" s="6"/>
      <c r="C5" s="8"/>
    </row>
    <row r="6" spans="1:16" ht="18.75" x14ac:dyDescent="0.3">
      <c r="A6" s="122" t="s">
        <v>37</v>
      </c>
      <c r="B6" s="123"/>
      <c r="C6" s="124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9.9999999999999995E-7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22" t="s">
        <v>38</v>
      </c>
      <c r="B14" s="123"/>
      <c r="C14" s="124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7" x14ac:dyDescent="0.25">
      <c r="A17" s="9" t="s">
        <v>40</v>
      </c>
      <c r="B17" s="3">
        <v>13</v>
      </c>
      <c r="C17" s="8"/>
      <c r="E17">
        <v>25</v>
      </c>
    </row>
    <row r="18" spans="1:7" x14ac:dyDescent="0.25">
      <c r="A18" s="7"/>
      <c r="B18" s="6"/>
      <c r="C18" s="8"/>
    </row>
    <row r="19" spans="1:7" x14ac:dyDescent="0.25">
      <c r="A19" s="7"/>
      <c r="B19" s="6"/>
      <c r="C19" s="8"/>
    </row>
    <row r="20" spans="1:7" x14ac:dyDescent="0.25">
      <c r="A20" s="7"/>
      <c r="B20" s="6"/>
      <c r="C20" s="8"/>
    </row>
    <row r="21" spans="1:7" x14ac:dyDescent="0.25">
      <c r="A21" s="7"/>
      <c r="B21" s="6"/>
      <c r="C21" s="8"/>
    </row>
    <row r="22" spans="1:7" ht="15.75" thickBot="1" x14ac:dyDescent="0.3">
      <c r="A22" s="10"/>
      <c r="B22" s="11"/>
      <c r="C22" s="12"/>
      <c r="G22" s="5"/>
    </row>
    <row r="23" spans="1:7" x14ac:dyDescent="0.25">
      <c r="A23" s="6"/>
      <c r="B23" s="6"/>
      <c r="C23" s="6"/>
    </row>
    <row r="24" spans="1:7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zoomScale="80" zoomScaleNormal="80" workbookViewId="0">
      <pane ySplit="2" topLeftCell="A3" activePane="bottomLeft" state="frozen"/>
      <selection pane="bottomLeft" activeCell="D5" sqref="D5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0" t="s">
        <v>26</v>
      </c>
      <c r="D1" s="111"/>
      <c r="E1" s="111"/>
      <c r="F1" s="111"/>
      <c r="G1" s="111"/>
      <c r="H1" s="111"/>
      <c r="I1" s="111"/>
      <c r="J1" s="111"/>
      <c r="K1" s="112"/>
      <c r="L1" s="109" t="s">
        <v>25</v>
      </c>
      <c r="M1" s="109"/>
      <c r="N1" s="109"/>
      <c r="O1" s="109"/>
      <c r="P1" s="109"/>
      <c r="Q1" s="109"/>
      <c r="R1" s="109"/>
      <c r="S1" s="109"/>
      <c r="T1" s="36" t="s">
        <v>27</v>
      </c>
      <c r="U1" s="110" t="s">
        <v>17</v>
      </c>
      <c r="V1" s="111"/>
      <c r="W1" s="111"/>
      <c r="X1" s="111"/>
      <c r="Y1" s="111"/>
      <c r="Z1" s="111"/>
      <c r="AA1" s="111"/>
      <c r="AB1" s="111"/>
      <c r="AC1" s="111"/>
      <c r="AD1" s="112"/>
      <c r="AE1" s="113" t="s">
        <v>43</v>
      </c>
      <c r="AF1" s="114"/>
      <c r="AG1" s="115"/>
      <c r="AH1" s="116" t="s">
        <v>88</v>
      </c>
      <c r="AI1" s="117"/>
      <c r="AJ1" s="118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94</v>
      </c>
      <c r="AM2" s="56" t="s">
        <v>91</v>
      </c>
      <c r="AN2" s="56" t="s">
        <v>89</v>
      </c>
      <c r="AO2" s="56"/>
      <c r="AP2" s="56" t="s">
        <v>93</v>
      </c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95</v>
      </c>
      <c r="C4" s="96">
        <v>100</v>
      </c>
      <c r="D4" s="96">
        <v>100</v>
      </c>
      <c r="E4" s="96">
        <v>100</v>
      </c>
      <c r="F4" s="96">
        <v>10</v>
      </c>
      <c r="G4" s="96">
        <v>10</v>
      </c>
      <c r="H4" s="96">
        <v>6</v>
      </c>
      <c r="I4" s="96">
        <v>12</v>
      </c>
      <c r="J4" s="96">
        <v>12</v>
      </c>
      <c r="K4" s="96">
        <v>686.44581645644178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1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464.05191613013022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690</v>
      </c>
      <c r="AG4" s="96">
        <v>210000</v>
      </c>
      <c r="AH4" s="104">
        <v>1624.1817064554557</v>
      </c>
      <c r="AI4" s="104">
        <v>0</v>
      </c>
      <c r="AJ4" s="105">
        <v>0</v>
      </c>
      <c r="AK4" s="106">
        <f>K4/1000</f>
        <v>0.68644581645644176</v>
      </c>
      <c r="AL4" s="102">
        <f>C4/200</f>
        <v>0.5</v>
      </c>
      <c r="AM4" s="102"/>
      <c r="AN4" s="102">
        <v>0.94914779479631584</v>
      </c>
      <c r="AO4" s="60"/>
      <c r="AP4" s="60">
        <v>1</v>
      </c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2</v>
      </c>
      <c r="B5" s="67" t="s">
        <v>96</v>
      </c>
      <c r="C5" s="28">
        <v>100</v>
      </c>
      <c r="D5" s="19">
        <v>100</v>
      </c>
      <c r="E5" s="28">
        <v>100</v>
      </c>
      <c r="F5" s="28">
        <v>10</v>
      </c>
      <c r="G5" s="19">
        <v>10</v>
      </c>
      <c r="H5" s="28">
        <v>6</v>
      </c>
      <c r="I5" s="19">
        <v>12</v>
      </c>
      <c r="J5" s="19">
        <v>12</v>
      </c>
      <c r="K5" s="19">
        <v>1144.0763607607362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1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1">W5</f>
        <v>1</v>
      </c>
      <c r="Z5" s="19">
        <f t="shared" ref="Z5:Z68" si="2">IF(X5=90,0,(1-Y5)/(TAN(X5/180*PI())+1))</f>
        <v>0</v>
      </c>
      <c r="AA5" s="19">
        <f t="shared" ref="AA5:AA68" si="3">IF(X5=90,1-W5,Z5*TAN(X5/180*PI()))</f>
        <v>0</v>
      </c>
      <c r="AB5" s="29">
        <f t="shared" ref="AB5:AB68" si="4">AH5/3.5</f>
        <v>412.15035742386135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1442.5262509835147</v>
      </c>
      <c r="AI5" s="29">
        <v>0</v>
      </c>
      <c r="AJ5" s="30">
        <v>0</v>
      </c>
      <c r="AK5" s="57">
        <f t="shared" ref="AK5:AK68" si="5">K5/1000</f>
        <v>1.1440763607607363</v>
      </c>
      <c r="AL5" s="57">
        <f t="shared" ref="AL5:AL68" si="6">C5/200</f>
        <v>0.5</v>
      </c>
      <c r="AM5" s="60"/>
      <c r="AN5" s="57">
        <v>0.842991030261521</v>
      </c>
      <c r="AO5" s="57"/>
      <c r="AP5" s="57">
        <v>1</v>
      </c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3</v>
      </c>
      <c r="B6" s="67" t="s">
        <v>97</v>
      </c>
      <c r="C6" s="28">
        <v>100</v>
      </c>
      <c r="D6" s="19">
        <v>100</v>
      </c>
      <c r="E6" s="28">
        <v>100</v>
      </c>
      <c r="F6" s="28">
        <v>10</v>
      </c>
      <c r="G6" s="19">
        <v>10</v>
      </c>
      <c r="H6" s="28">
        <v>6</v>
      </c>
      <c r="I6" s="19">
        <v>12</v>
      </c>
      <c r="J6" s="19">
        <v>12</v>
      </c>
      <c r="K6" s="19">
        <v>1716.1145411411044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1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1"/>
        <v>1</v>
      </c>
      <c r="Z6" s="19">
        <f t="shared" si="2"/>
        <v>0</v>
      </c>
      <c r="AA6" s="19">
        <f t="shared" si="3"/>
        <v>0</v>
      </c>
      <c r="AB6" s="29">
        <f t="shared" si="4"/>
        <v>339.07972829756534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1186.7790490414786</v>
      </c>
      <c r="AI6" s="29">
        <v>0</v>
      </c>
      <c r="AJ6" s="30">
        <v>0</v>
      </c>
      <c r="AK6" s="57">
        <f t="shared" si="5"/>
        <v>1.7161145411411043</v>
      </c>
      <c r="AL6" s="57">
        <f t="shared" si="6"/>
        <v>0.5</v>
      </c>
      <c r="AM6" s="60"/>
      <c r="AN6" s="57">
        <v>0.69353614366612826</v>
      </c>
      <c r="AO6" s="57"/>
      <c r="AP6" s="57">
        <v>1</v>
      </c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4</v>
      </c>
      <c r="B7" s="67" t="s">
        <v>98</v>
      </c>
      <c r="C7" s="28">
        <v>100</v>
      </c>
      <c r="D7" s="19">
        <v>100</v>
      </c>
      <c r="E7" s="28">
        <v>100</v>
      </c>
      <c r="F7" s="28">
        <v>10</v>
      </c>
      <c r="G7" s="19">
        <v>10</v>
      </c>
      <c r="H7" s="28">
        <v>6</v>
      </c>
      <c r="I7" s="19">
        <v>12</v>
      </c>
      <c r="J7" s="19">
        <v>12</v>
      </c>
      <c r="K7" s="19">
        <v>2288.1527215214724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1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1"/>
        <v>1</v>
      </c>
      <c r="Z7" s="19">
        <f t="shared" si="2"/>
        <v>0</v>
      </c>
      <c r="AA7" s="19">
        <f t="shared" si="3"/>
        <v>0</v>
      </c>
      <c r="AB7" s="29">
        <f t="shared" si="4"/>
        <v>263.98390382441028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923.94366338543591</v>
      </c>
      <c r="AI7" s="29">
        <v>0</v>
      </c>
      <c r="AJ7" s="30">
        <v>0</v>
      </c>
      <c r="AK7" s="57">
        <f t="shared" si="5"/>
        <v>2.2881527215214725</v>
      </c>
      <c r="AL7" s="57">
        <f t="shared" si="6"/>
        <v>0.5</v>
      </c>
      <c r="AM7" s="60"/>
      <c r="AN7" s="57">
        <v>0.53993902722384057</v>
      </c>
      <c r="AO7" s="57"/>
      <c r="AP7" s="57">
        <v>1</v>
      </c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5</v>
      </c>
      <c r="B8" s="67" t="s">
        <v>99</v>
      </c>
      <c r="C8" s="28">
        <v>100</v>
      </c>
      <c r="D8" s="19">
        <v>100</v>
      </c>
      <c r="E8" s="28">
        <v>100</v>
      </c>
      <c r="F8" s="28">
        <v>10</v>
      </c>
      <c r="G8" s="19">
        <v>10</v>
      </c>
      <c r="H8" s="28">
        <v>6</v>
      </c>
      <c r="I8" s="19">
        <v>12</v>
      </c>
      <c r="J8" s="19">
        <v>12</v>
      </c>
      <c r="K8" s="19">
        <v>3043.2431196235589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1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1"/>
        <v>1</v>
      </c>
      <c r="Z8" s="19">
        <f t="shared" si="2"/>
        <v>0</v>
      </c>
      <c r="AA8" s="19">
        <f t="shared" si="3"/>
        <v>0</v>
      </c>
      <c r="AB8" s="29">
        <f t="shared" si="4"/>
        <v>184.02383405966356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644.08341920882242</v>
      </c>
      <c r="AI8" s="29">
        <v>0</v>
      </c>
      <c r="AJ8" s="30">
        <v>0</v>
      </c>
      <c r="AK8" s="57">
        <f t="shared" si="5"/>
        <v>3.043243119623559</v>
      </c>
      <c r="AL8" s="57">
        <f t="shared" si="6"/>
        <v>0.5</v>
      </c>
      <c r="AM8" s="60"/>
      <c r="AN8" s="57">
        <v>0.37639283497476766</v>
      </c>
      <c r="AO8" s="57"/>
      <c r="AP8" s="57">
        <v>1</v>
      </c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6</v>
      </c>
      <c r="B9" s="67" t="s">
        <v>100</v>
      </c>
      <c r="C9" s="28">
        <v>100</v>
      </c>
      <c r="D9" s="19">
        <v>100</v>
      </c>
      <c r="E9" s="28">
        <v>100</v>
      </c>
      <c r="F9" s="28">
        <v>10</v>
      </c>
      <c r="G9" s="19">
        <v>10</v>
      </c>
      <c r="H9" s="28">
        <v>6</v>
      </c>
      <c r="I9" s="19">
        <v>12</v>
      </c>
      <c r="J9" s="19">
        <v>12</v>
      </c>
      <c r="K9" s="19">
        <v>3821.2150449408587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1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1"/>
        <v>1</v>
      </c>
      <c r="Z9" s="19">
        <f t="shared" si="2"/>
        <v>0</v>
      </c>
      <c r="AA9" s="19">
        <f t="shared" si="3"/>
        <v>0</v>
      </c>
      <c r="AB9" s="29">
        <f t="shared" si="4"/>
        <v>129.70951334007054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453.9832966902469</v>
      </c>
      <c r="AI9" s="29">
        <v>0</v>
      </c>
      <c r="AJ9" s="30">
        <v>0</v>
      </c>
      <c r="AK9" s="57">
        <f t="shared" si="5"/>
        <v>3.8212150449408586</v>
      </c>
      <c r="AL9" s="57">
        <f t="shared" si="6"/>
        <v>0.5</v>
      </c>
      <c r="AM9" s="60"/>
      <c r="AN9" s="57">
        <v>0.26530113177316905</v>
      </c>
      <c r="AO9" s="57"/>
      <c r="AP9" s="57">
        <v>1</v>
      </c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7</v>
      </c>
      <c r="B10" s="67" t="s">
        <v>101</v>
      </c>
      <c r="C10" s="28">
        <v>100</v>
      </c>
      <c r="D10" s="19">
        <v>100</v>
      </c>
      <c r="E10" s="28">
        <v>100</v>
      </c>
      <c r="F10" s="28">
        <v>10</v>
      </c>
      <c r="G10" s="19">
        <v>10</v>
      </c>
      <c r="H10" s="28">
        <v>6</v>
      </c>
      <c r="I10" s="19">
        <v>12</v>
      </c>
      <c r="J10" s="19">
        <v>12</v>
      </c>
      <c r="K10" s="19">
        <v>4576.3054430429447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1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1"/>
        <v>1</v>
      </c>
      <c r="Z10" s="19">
        <f t="shared" si="2"/>
        <v>0</v>
      </c>
      <c r="AA10" s="19">
        <f t="shared" si="3"/>
        <v>0</v>
      </c>
      <c r="AB10" s="29">
        <f t="shared" si="4"/>
        <v>95.916974235399721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335.70940982389902</v>
      </c>
      <c r="AI10" s="29">
        <v>0</v>
      </c>
      <c r="AJ10" s="30">
        <v>0</v>
      </c>
      <c r="AK10" s="57">
        <f t="shared" si="5"/>
        <v>4.5763054430429451</v>
      </c>
      <c r="AL10" s="57">
        <f t="shared" si="6"/>
        <v>0.5</v>
      </c>
      <c r="AM10" s="60"/>
      <c r="AN10" s="57">
        <v>0.19618361957918362</v>
      </c>
      <c r="AO10" s="57"/>
      <c r="AP10" s="57">
        <v>1</v>
      </c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8</v>
      </c>
      <c r="B11" s="67" t="s">
        <v>102</v>
      </c>
      <c r="C11" s="28">
        <v>100</v>
      </c>
      <c r="D11" s="19">
        <v>100</v>
      </c>
      <c r="E11" s="28">
        <v>100</v>
      </c>
      <c r="F11" s="28">
        <v>10</v>
      </c>
      <c r="G11" s="19">
        <v>10</v>
      </c>
      <c r="H11" s="28">
        <v>6</v>
      </c>
      <c r="I11" s="19">
        <v>12</v>
      </c>
      <c r="J11" s="19">
        <v>12</v>
      </c>
      <c r="K11" s="19">
        <v>5720.3818038036816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1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1"/>
        <v>1</v>
      </c>
      <c r="Z11" s="19">
        <f t="shared" si="2"/>
        <v>0</v>
      </c>
      <c r="AA11" s="19">
        <f t="shared" si="3"/>
        <v>0</v>
      </c>
      <c r="AB11" s="29">
        <f t="shared" si="4"/>
        <v>64.764707099498324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226.67647484824414</v>
      </c>
      <c r="AI11" s="29">
        <v>0</v>
      </c>
      <c r="AJ11" s="30">
        <v>0</v>
      </c>
      <c r="AK11" s="57">
        <f t="shared" si="5"/>
        <v>5.720381803803682</v>
      </c>
      <c r="AL11" s="57">
        <f t="shared" si="6"/>
        <v>0.5</v>
      </c>
      <c r="AM11" s="60"/>
      <c r="AN11" s="57">
        <v>0.13246638315114781</v>
      </c>
      <c r="AO11" s="57"/>
      <c r="AP11" s="57">
        <v>1</v>
      </c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9</v>
      </c>
      <c r="B12" s="67" t="s">
        <v>103</v>
      </c>
      <c r="C12" s="28">
        <v>140</v>
      </c>
      <c r="D12" s="19">
        <v>140</v>
      </c>
      <c r="E12" s="28">
        <v>140</v>
      </c>
      <c r="F12" s="28">
        <v>12</v>
      </c>
      <c r="G12" s="19">
        <v>12</v>
      </c>
      <c r="H12" s="28">
        <v>7</v>
      </c>
      <c r="I12" s="19">
        <v>12</v>
      </c>
      <c r="J12" s="19">
        <v>12</v>
      </c>
      <c r="K12" s="19">
        <v>976.42893330373772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1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1"/>
        <v>1</v>
      </c>
      <c r="Z12" s="19">
        <f t="shared" si="2"/>
        <v>0</v>
      </c>
      <c r="AA12" s="19">
        <f t="shared" si="3"/>
        <v>0</v>
      </c>
      <c r="AB12" s="29">
        <f t="shared" si="4"/>
        <v>780.65507826407395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2732.2927739242587</v>
      </c>
      <c r="AI12" s="29">
        <v>0</v>
      </c>
      <c r="AJ12" s="30">
        <v>0</v>
      </c>
      <c r="AK12" s="57">
        <f t="shared" si="5"/>
        <v>0.9764289333037377</v>
      </c>
      <c r="AL12" s="57">
        <f t="shared" si="6"/>
        <v>0.7</v>
      </c>
      <c r="AM12" s="60"/>
      <c r="AN12" s="57">
        <v>0.94914779479631584</v>
      </c>
      <c r="AO12" s="57"/>
      <c r="AP12" s="57">
        <v>1</v>
      </c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</v>
      </c>
      <c r="B13" s="67" t="s">
        <v>104</v>
      </c>
      <c r="C13" s="28">
        <v>140</v>
      </c>
      <c r="D13" s="19">
        <v>140</v>
      </c>
      <c r="E13" s="28">
        <v>140</v>
      </c>
      <c r="F13" s="28">
        <v>12</v>
      </c>
      <c r="G13" s="19">
        <v>12</v>
      </c>
      <c r="H13" s="28">
        <v>7</v>
      </c>
      <c r="I13" s="19">
        <v>12</v>
      </c>
      <c r="J13" s="19">
        <v>12</v>
      </c>
      <c r="K13" s="19">
        <v>1627.3815555062295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1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1"/>
        <v>1</v>
      </c>
      <c r="Z13" s="19">
        <f t="shared" si="2"/>
        <v>0</v>
      </c>
      <c r="AA13" s="19">
        <f t="shared" si="3"/>
        <v>0</v>
      </c>
      <c r="AB13" s="29">
        <f t="shared" si="4"/>
        <v>693.34326256949578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2426.7014189932352</v>
      </c>
      <c r="AI13" s="29">
        <v>0</v>
      </c>
      <c r="AJ13" s="30">
        <v>0</v>
      </c>
      <c r="AK13" s="57">
        <f t="shared" si="5"/>
        <v>1.6273815555062294</v>
      </c>
      <c r="AL13" s="57">
        <f t="shared" si="6"/>
        <v>0.7</v>
      </c>
      <c r="AM13" s="60"/>
      <c r="AN13" s="57">
        <v>0.842991030261521</v>
      </c>
      <c r="AO13" s="57"/>
      <c r="AP13" s="57">
        <v>1</v>
      </c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11</v>
      </c>
      <c r="B14" s="67" t="s">
        <v>105</v>
      </c>
      <c r="C14" s="28">
        <v>140</v>
      </c>
      <c r="D14" s="19">
        <v>140</v>
      </c>
      <c r="E14" s="28">
        <v>140</v>
      </c>
      <c r="F14" s="28">
        <v>12</v>
      </c>
      <c r="G14" s="19">
        <v>12</v>
      </c>
      <c r="H14" s="28">
        <v>7</v>
      </c>
      <c r="I14" s="19">
        <v>12</v>
      </c>
      <c r="J14" s="19">
        <v>12</v>
      </c>
      <c r="K14" s="19">
        <v>2441.0723332593443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1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1"/>
        <v>1</v>
      </c>
      <c r="Z14" s="19">
        <f t="shared" si="2"/>
        <v>0</v>
      </c>
      <c r="AA14" s="19">
        <f t="shared" si="3"/>
        <v>0</v>
      </c>
      <c r="AB14" s="29">
        <f t="shared" si="4"/>
        <v>570.41960744251719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1996.4686260488102</v>
      </c>
      <c r="AI14" s="29">
        <v>0</v>
      </c>
      <c r="AJ14" s="30">
        <v>0</v>
      </c>
      <c r="AK14" s="57">
        <f t="shared" si="5"/>
        <v>2.4410723332593443</v>
      </c>
      <c r="AL14" s="57">
        <f t="shared" si="6"/>
        <v>0.7</v>
      </c>
      <c r="AM14" s="60"/>
      <c r="AN14" s="57">
        <v>0.69353614366612826</v>
      </c>
      <c r="AO14" s="57"/>
      <c r="AP14" s="57">
        <v>1</v>
      </c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12</v>
      </c>
      <c r="B15" s="67" t="s">
        <v>106</v>
      </c>
      <c r="C15" s="28">
        <v>140</v>
      </c>
      <c r="D15" s="19">
        <v>140</v>
      </c>
      <c r="E15" s="28">
        <v>140</v>
      </c>
      <c r="F15" s="28">
        <v>12</v>
      </c>
      <c r="G15" s="19">
        <v>12</v>
      </c>
      <c r="H15" s="28">
        <v>7</v>
      </c>
      <c r="I15" s="19">
        <v>12</v>
      </c>
      <c r="J15" s="19">
        <v>12</v>
      </c>
      <c r="K15" s="19">
        <v>3254.7631110124589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1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1"/>
        <v>1</v>
      </c>
      <c r="Z15" s="19">
        <f t="shared" si="2"/>
        <v>0</v>
      </c>
      <c r="AA15" s="19">
        <f t="shared" si="3"/>
        <v>0</v>
      </c>
      <c r="AB15" s="29">
        <f t="shared" si="4"/>
        <v>444.08905111106435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1554.3116788887253</v>
      </c>
      <c r="AI15" s="29">
        <v>0</v>
      </c>
      <c r="AJ15" s="30">
        <v>0</v>
      </c>
      <c r="AK15" s="57">
        <f t="shared" si="5"/>
        <v>3.2547631110124589</v>
      </c>
      <c r="AL15" s="57">
        <f t="shared" si="6"/>
        <v>0.7</v>
      </c>
      <c r="AM15" s="60"/>
      <c r="AN15" s="57">
        <v>0.53993902722384057</v>
      </c>
      <c r="AO15" s="57"/>
      <c r="AP15" s="57">
        <v>1</v>
      </c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13</v>
      </c>
      <c r="B16" s="67" t="s">
        <v>107</v>
      </c>
      <c r="C16" s="28">
        <v>140</v>
      </c>
      <c r="D16" s="19">
        <v>140</v>
      </c>
      <c r="E16" s="28">
        <v>140</v>
      </c>
      <c r="F16" s="28">
        <v>12</v>
      </c>
      <c r="G16" s="19">
        <v>12</v>
      </c>
      <c r="H16" s="28">
        <v>7</v>
      </c>
      <c r="I16" s="19">
        <v>12</v>
      </c>
      <c r="J16" s="19">
        <v>12</v>
      </c>
      <c r="K16" s="19">
        <v>4328.8349376465703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1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1"/>
        <v>1</v>
      </c>
      <c r="Z16" s="19">
        <f t="shared" si="2"/>
        <v>0</v>
      </c>
      <c r="AA16" s="19">
        <f t="shared" si="3"/>
        <v>0</v>
      </c>
      <c r="AB16" s="29">
        <f t="shared" si="4"/>
        <v>309.57557891004689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1083.5145261851642</v>
      </c>
      <c r="AI16" s="29">
        <v>0</v>
      </c>
      <c r="AJ16" s="30">
        <v>0</v>
      </c>
      <c r="AK16" s="57">
        <f t="shared" si="5"/>
        <v>4.3288349376465707</v>
      </c>
      <c r="AL16" s="57">
        <f t="shared" si="6"/>
        <v>0.7</v>
      </c>
      <c r="AM16" s="60"/>
      <c r="AN16" s="57">
        <v>0.37639283497476766</v>
      </c>
      <c r="AO16" s="57"/>
      <c r="AP16" s="57">
        <v>1</v>
      </c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14</v>
      </c>
      <c r="B17" s="67" t="s">
        <v>108</v>
      </c>
      <c r="C17" s="28">
        <v>140</v>
      </c>
      <c r="D17" s="19">
        <v>140</v>
      </c>
      <c r="E17" s="28">
        <v>140</v>
      </c>
      <c r="F17" s="28">
        <v>12</v>
      </c>
      <c r="G17" s="19">
        <v>12</v>
      </c>
      <c r="H17" s="28">
        <v>7</v>
      </c>
      <c r="I17" s="19">
        <v>12</v>
      </c>
      <c r="J17" s="19">
        <v>12</v>
      </c>
      <c r="K17" s="19">
        <v>5435.454395390806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1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1"/>
        <v>1</v>
      </c>
      <c r="Z17" s="19">
        <f t="shared" si="2"/>
        <v>0</v>
      </c>
      <c r="AA17" s="19">
        <f t="shared" si="3"/>
        <v>0</v>
      </c>
      <c r="AB17" s="29">
        <f t="shared" si="4"/>
        <v>218.20487486079608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763.7170620127863</v>
      </c>
      <c r="AI17" s="29">
        <v>0</v>
      </c>
      <c r="AJ17" s="30">
        <v>0</v>
      </c>
      <c r="AK17" s="57">
        <f t="shared" si="5"/>
        <v>5.4354543953908063</v>
      </c>
      <c r="AL17" s="57">
        <f t="shared" si="6"/>
        <v>0.7</v>
      </c>
      <c r="AM17" s="60"/>
      <c r="AN17" s="57">
        <v>0.26530113177316905</v>
      </c>
      <c r="AO17" s="57"/>
      <c r="AP17" s="57">
        <v>1</v>
      </c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15</v>
      </c>
      <c r="B18" s="67" t="s">
        <v>109</v>
      </c>
      <c r="C18" s="28">
        <v>140</v>
      </c>
      <c r="D18" s="19">
        <v>140</v>
      </c>
      <c r="E18" s="28">
        <v>140</v>
      </c>
      <c r="F18" s="28">
        <v>12</v>
      </c>
      <c r="G18" s="19">
        <v>12</v>
      </c>
      <c r="H18" s="28">
        <v>7</v>
      </c>
      <c r="I18" s="19">
        <v>12</v>
      </c>
      <c r="J18" s="19">
        <v>12</v>
      </c>
      <c r="K18" s="19">
        <v>6509.5262220249178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1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1"/>
        <v>1</v>
      </c>
      <c r="Z18" s="19">
        <f t="shared" si="2"/>
        <v>0</v>
      </c>
      <c r="AA18" s="19">
        <f t="shared" si="3"/>
        <v>0</v>
      </c>
      <c r="AB18" s="29">
        <f t="shared" si="4"/>
        <v>161.35710343148693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564.74986201020431</v>
      </c>
      <c r="AI18" s="29">
        <v>0</v>
      </c>
      <c r="AJ18" s="30">
        <v>0</v>
      </c>
      <c r="AK18" s="57">
        <f t="shared" si="5"/>
        <v>6.5095262220249177</v>
      </c>
      <c r="AL18" s="57">
        <f t="shared" si="6"/>
        <v>0.7</v>
      </c>
      <c r="AM18" s="60"/>
      <c r="AN18" s="57">
        <v>0.19618361957918362</v>
      </c>
      <c r="AO18" s="57"/>
      <c r="AP18" s="57">
        <v>1</v>
      </c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16</v>
      </c>
      <c r="B19" s="67" t="s">
        <v>110</v>
      </c>
      <c r="C19" s="28">
        <v>140</v>
      </c>
      <c r="D19" s="19">
        <v>140</v>
      </c>
      <c r="E19" s="28">
        <v>140</v>
      </c>
      <c r="F19" s="28">
        <v>12</v>
      </c>
      <c r="G19" s="19">
        <v>12</v>
      </c>
      <c r="H19" s="28">
        <v>7</v>
      </c>
      <c r="I19" s="19">
        <v>12</v>
      </c>
      <c r="J19" s="19">
        <v>12</v>
      </c>
      <c r="K19" s="19">
        <v>8136.9077775311471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1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1"/>
        <v>1</v>
      </c>
      <c r="Z19" s="19">
        <f t="shared" si="2"/>
        <v>0</v>
      </c>
      <c r="AA19" s="19">
        <f t="shared" si="3"/>
        <v>0</v>
      </c>
      <c r="AB19" s="29">
        <f t="shared" si="4"/>
        <v>108.95095081415604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381.32832784954616</v>
      </c>
      <c r="AI19" s="29">
        <v>0</v>
      </c>
      <c r="AJ19" s="30">
        <v>0</v>
      </c>
      <c r="AK19" s="57">
        <f t="shared" si="5"/>
        <v>8.1369077775311478</v>
      </c>
      <c r="AL19" s="57">
        <f t="shared" si="6"/>
        <v>0.7</v>
      </c>
      <c r="AM19" s="60"/>
      <c r="AN19" s="57">
        <v>0.13246638315114781</v>
      </c>
      <c r="AO19" s="57"/>
      <c r="AP19" s="57">
        <v>1</v>
      </c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17</v>
      </c>
      <c r="B20" s="67" t="s">
        <v>111</v>
      </c>
      <c r="C20" s="28">
        <v>180</v>
      </c>
      <c r="D20" s="19">
        <v>180</v>
      </c>
      <c r="E20" s="28">
        <v>180</v>
      </c>
      <c r="F20" s="28">
        <v>14</v>
      </c>
      <c r="G20" s="19">
        <v>14</v>
      </c>
      <c r="H20" s="28">
        <v>8.5</v>
      </c>
      <c r="I20" s="19">
        <v>15</v>
      </c>
      <c r="J20" s="19">
        <v>15</v>
      </c>
      <c r="K20" s="19">
        <v>1261.7820921302387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1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1"/>
        <v>1</v>
      </c>
      <c r="Z20" s="19">
        <f t="shared" si="2"/>
        <v>0</v>
      </c>
      <c r="AA20" s="19">
        <f t="shared" si="3"/>
        <v>0</v>
      </c>
      <c r="AB20" s="29">
        <f t="shared" si="4"/>
        <v>1184.8293277967678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4146.9026472886871</v>
      </c>
      <c r="AI20" s="29">
        <v>0</v>
      </c>
      <c r="AJ20" s="30">
        <v>0</v>
      </c>
      <c r="AK20" s="57">
        <f t="shared" si="5"/>
        <v>1.2617820921302387</v>
      </c>
      <c r="AL20" s="57">
        <f t="shared" si="6"/>
        <v>0.9</v>
      </c>
      <c r="AM20" s="60"/>
      <c r="AN20" s="57">
        <v>0.94914779479631584</v>
      </c>
      <c r="AO20" s="57"/>
      <c r="AP20" s="57">
        <v>1</v>
      </c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18</v>
      </c>
      <c r="B21" s="67" t="s">
        <v>112</v>
      </c>
      <c r="C21" s="28">
        <v>180</v>
      </c>
      <c r="D21" s="19">
        <v>180</v>
      </c>
      <c r="E21" s="28">
        <v>180</v>
      </c>
      <c r="F21" s="28">
        <v>14</v>
      </c>
      <c r="G21" s="19">
        <v>14</v>
      </c>
      <c r="H21" s="28">
        <v>8.5</v>
      </c>
      <c r="I21" s="19">
        <v>15</v>
      </c>
      <c r="J21" s="19">
        <v>15</v>
      </c>
      <c r="K21" s="19">
        <v>2102.9701535503978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1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1"/>
        <v>1</v>
      </c>
      <c r="Z21" s="19">
        <f t="shared" si="2"/>
        <v>0</v>
      </c>
      <c r="AA21" s="19">
        <f t="shared" si="3"/>
        <v>0</v>
      </c>
      <c r="AB21" s="29">
        <f t="shared" si="4"/>
        <v>1052.312928712859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3683.0952504950064</v>
      </c>
      <c r="AI21" s="29">
        <v>0</v>
      </c>
      <c r="AJ21" s="30">
        <v>0</v>
      </c>
      <c r="AK21" s="57">
        <f t="shared" si="5"/>
        <v>2.1029701535503977</v>
      </c>
      <c r="AL21" s="57">
        <f t="shared" si="6"/>
        <v>0.9</v>
      </c>
      <c r="AM21" s="60"/>
      <c r="AN21" s="57">
        <v>0.842991030261521</v>
      </c>
      <c r="AO21" s="57"/>
      <c r="AP21" s="57">
        <v>1</v>
      </c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19</v>
      </c>
      <c r="B22" s="67" t="s">
        <v>113</v>
      </c>
      <c r="C22" s="28">
        <v>180</v>
      </c>
      <c r="D22" s="19">
        <v>180</v>
      </c>
      <c r="E22" s="28">
        <v>180</v>
      </c>
      <c r="F22" s="28">
        <v>14</v>
      </c>
      <c r="G22" s="19">
        <v>14</v>
      </c>
      <c r="H22" s="28">
        <v>8.5</v>
      </c>
      <c r="I22" s="19">
        <v>15</v>
      </c>
      <c r="J22" s="19">
        <v>15</v>
      </c>
      <c r="K22" s="19">
        <v>3154.4552303255969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1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1"/>
        <v>1</v>
      </c>
      <c r="Z22" s="19">
        <f t="shared" si="2"/>
        <v>0</v>
      </c>
      <c r="AA22" s="19">
        <f t="shared" si="3"/>
        <v>0</v>
      </c>
      <c r="AB22" s="29">
        <f t="shared" si="4"/>
        <v>865.74711273394496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3030.1148945688074</v>
      </c>
      <c r="AI22" s="29">
        <v>0</v>
      </c>
      <c r="AJ22" s="30">
        <v>0</v>
      </c>
      <c r="AK22" s="57">
        <f t="shared" si="5"/>
        <v>3.1544552303255968</v>
      </c>
      <c r="AL22" s="57">
        <f t="shared" si="6"/>
        <v>0.9</v>
      </c>
      <c r="AM22" s="60"/>
      <c r="AN22" s="57">
        <v>0.69353614366612826</v>
      </c>
      <c r="AO22" s="57"/>
      <c r="AP22" s="57">
        <v>1</v>
      </c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20</v>
      </c>
      <c r="B23" s="67" t="s">
        <v>114</v>
      </c>
      <c r="C23" s="28">
        <v>180</v>
      </c>
      <c r="D23" s="19">
        <v>180</v>
      </c>
      <c r="E23" s="28">
        <v>180</v>
      </c>
      <c r="F23" s="28">
        <v>14</v>
      </c>
      <c r="G23" s="19">
        <v>14</v>
      </c>
      <c r="H23" s="28">
        <v>8.5</v>
      </c>
      <c r="I23" s="19">
        <v>15</v>
      </c>
      <c r="J23" s="19">
        <v>15</v>
      </c>
      <c r="K23" s="19">
        <v>4205.9403071007955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1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1"/>
        <v>1</v>
      </c>
      <c r="Z23" s="19">
        <f t="shared" si="2"/>
        <v>0</v>
      </c>
      <c r="AA23" s="19">
        <f t="shared" si="3"/>
        <v>0</v>
      </c>
      <c r="AB23" s="29">
        <f t="shared" si="4"/>
        <v>674.01051573232496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2359.0368050631373</v>
      </c>
      <c r="AI23" s="29">
        <v>0</v>
      </c>
      <c r="AJ23" s="30">
        <v>0</v>
      </c>
      <c r="AK23" s="57">
        <f t="shared" si="5"/>
        <v>4.2059403071007955</v>
      </c>
      <c r="AL23" s="57">
        <f t="shared" si="6"/>
        <v>0.9</v>
      </c>
      <c r="AM23" s="60"/>
      <c r="AN23" s="57">
        <v>0.53993902722384057</v>
      </c>
      <c r="AO23" s="57"/>
      <c r="AP23" s="57">
        <v>1</v>
      </c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</v>
      </c>
      <c r="B24" s="67" t="s">
        <v>115</v>
      </c>
      <c r="C24" s="28">
        <v>180</v>
      </c>
      <c r="D24" s="19">
        <v>180</v>
      </c>
      <c r="E24" s="28">
        <v>180</v>
      </c>
      <c r="F24" s="28">
        <v>14</v>
      </c>
      <c r="G24" s="19">
        <v>14</v>
      </c>
      <c r="H24" s="28">
        <v>8.5</v>
      </c>
      <c r="I24" s="19">
        <v>15</v>
      </c>
      <c r="J24" s="19">
        <v>15</v>
      </c>
      <c r="K24" s="19">
        <v>5593.9006084440589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1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1"/>
        <v>1</v>
      </c>
      <c r="Z24" s="19">
        <f t="shared" si="2"/>
        <v>0</v>
      </c>
      <c r="AA24" s="19">
        <f t="shared" si="3"/>
        <v>0</v>
      </c>
      <c r="AB24" s="29">
        <f t="shared" si="4"/>
        <v>469.85440212330229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1644.490407431558</v>
      </c>
      <c r="AI24" s="29">
        <v>0</v>
      </c>
      <c r="AJ24" s="30">
        <v>0</v>
      </c>
      <c r="AK24" s="57">
        <f t="shared" si="5"/>
        <v>5.5939006084440592</v>
      </c>
      <c r="AL24" s="57">
        <f t="shared" si="6"/>
        <v>0.9</v>
      </c>
      <c r="AM24" s="60"/>
      <c r="AN24" s="57">
        <v>0.37639283497476766</v>
      </c>
      <c r="AO24" s="57"/>
      <c r="AP24" s="57">
        <v>1</v>
      </c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22</v>
      </c>
      <c r="B25" s="67" t="s">
        <v>116</v>
      </c>
      <c r="C25" s="28">
        <v>180</v>
      </c>
      <c r="D25" s="19">
        <v>180</v>
      </c>
      <c r="E25" s="28">
        <v>180</v>
      </c>
      <c r="F25" s="28">
        <v>14</v>
      </c>
      <c r="G25" s="19">
        <v>14</v>
      </c>
      <c r="H25" s="28">
        <v>8.5</v>
      </c>
      <c r="I25" s="19">
        <v>15</v>
      </c>
      <c r="J25" s="19">
        <v>15</v>
      </c>
      <c r="K25" s="19">
        <v>7023.9203128583285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1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1"/>
        <v>1</v>
      </c>
      <c r="Z25" s="19">
        <f t="shared" si="2"/>
        <v>0</v>
      </c>
      <c r="AA25" s="19">
        <f t="shared" si="3"/>
        <v>0</v>
      </c>
      <c r="AB25" s="29">
        <f t="shared" si="4"/>
        <v>331.17767680214786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1159.1218688075176</v>
      </c>
      <c r="AI25" s="29">
        <v>0</v>
      </c>
      <c r="AJ25" s="30">
        <v>0</v>
      </c>
      <c r="AK25" s="57">
        <f t="shared" si="5"/>
        <v>7.023920312858329</v>
      </c>
      <c r="AL25" s="57">
        <f t="shared" si="6"/>
        <v>0.9</v>
      </c>
      <c r="AM25" s="60"/>
      <c r="AN25" s="57">
        <v>0.26530113177316905</v>
      </c>
      <c r="AO25" s="57"/>
      <c r="AP25" s="57">
        <v>1</v>
      </c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23</v>
      </c>
      <c r="B26" s="67" t="s">
        <v>117</v>
      </c>
      <c r="C26" s="28">
        <v>180</v>
      </c>
      <c r="D26" s="19">
        <v>180</v>
      </c>
      <c r="E26" s="28">
        <v>180</v>
      </c>
      <c r="F26" s="28">
        <v>14</v>
      </c>
      <c r="G26" s="19">
        <v>14</v>
      </c>
      <c r="H26" s="28">
        <v>8.5</v>
      </c>
      <c r="I26" s="19">
        <v>15</v>
      </c>
      <c r="J26" s="19">
        <v>15</v>
      </c>
      <c r="K26" s="19">
        <v>8411.880614201591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1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1"/>
        <v>1</v>
      </c>
      <c r="Z26" s="19">
        <f t="shared" si="2"/>
        <v>0</v>
      </c>
      <c r="AA26" s="19">
        <f t="shared" si="3"/>
        <v>0</v>
      </c>
      <c r="AB26" s="29">
        <f t="shared" si="4"/>
        <v>244.89769389457703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857.1419286310196</v>
      </c>
      <c r="AI26" s="29">
        <v>0</v>
      </c>
      <c r="AJ26" s="30">
        <v>0</v>
      </c>
      <c r="AK26" s="57">
        <f t="shared" si="5"/>
        <v>8.4118806142015909</v>
      </c>
      <c r="AL26" s="57">
        <f t="shared" si="6"/>
        <v>0.9</v>
      </c>
      <c r="AM26" s="60"/>
      <c r="AN26" s="57">
        <v>0.19618361957918362</v>
      </c>
      <c r="AO26" s="57"/>
      <c r="AP26" s="57">
        <v>1</v>
      </c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24</v>
      </c>
      <c r="B27" s="67" t="s">
        <v>118</v>
      </c>
      <c r="C27" s="28">
        <v>180</v>
      </c>
      <c r="D27" s="19">
        <v>180</v>
      </c>
      <c r="E27" s="28">
        <v>180</v>
      </c>
      <c r="F27" s="28">
        <v>14</v>
      </c>
      <c r="G27" s="19">
        <v>14</v>
      </c>
      <c r="H27" s="28">
        <v>8.5</v>
      </c>
      <c r="I27" s="19">
        <v>15</v>
      </c>
      <c r="J27" s="19">
        <v>15</v>
      </c>
      <c r="K27" s="19">
        <v>10514.85076775199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1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1"/>
        <v>1</v>
      </c>
      <c r="Z27" s="19">
        <f t="shared" si="2"/>
        <v>0</v>
      </c>
      <c r="AA27" s="19">
        <f t="shared" si="3"/>
        <v>0</v>
      </c>
      <c r="AB27" s="29">
        <f t="shared" si="4"/>
        <v>165.35892151371914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578.75622529801694</v>
      </c>
      <c r="AI27" s="29">
        <v>0</v>
      </c>
      <c r="AJ27" s="30">
        <v>0</v>
      </c>
      <c r="AK27" s="57">
        <f t="shared" si="5"/>
        <v>10.514850767751991</v>
      </c>
      <c r="AL27" s="57">
        <f t="shared" si="6"/>
        <v>0.9</v>
      </c>
      <c r="AM27" s="60"/>
      <c r="AN27" s="57">
        <v>0.13246638315114781</v>
      </c>
      <c r="AO27" s="57"/>
      <c r="AP27" s="57">
        <v>1</v>
      </c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25</v>
      </c>
      <c r="B28" s="67" t="s">
        <v>119</v>
      </c>
      <c r="C28" s="28">
        <v>220</v>
      </c>
      <c r="D28" s="19">
        <v>220</v>
      </c>
      <c r="E28" s="28">
        <v>220</v>
      </c>
      <c r="F28" s="28">
        <v>16</v>
      </c>
      <c r="G28" s="19">
        <v>16</v>
      </c>
      <c r="H28" s="28">
        <v>9.5</v>
      </c>
      <c r="I28" s="19">
        <v>18</v>
      </c>
      <c r="J28" s="19">
        <v>18</v>
      </c>
      <c r="K28" s="19">
        <v>1552.160547580299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1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1"/>
        <v>1</v>
      </c>
      <c r="Z28" s="19">
        <f t="shared" si="2"/>
        <v>0</v>
      </c>
      <c r="AA28" s="19">
        <f t="shared" si="3"/>
        <v>0</v>
      </c>
      <c r="AB28" s="29">
        <f t="shared" si="4"/>
        <v>1651.500891840536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5780.2531214418759</v>
      </c>
      <c r="AI28" s="29">
        <v>0</v>
      </c>
      <c r="AJ28" s="30">
        <v>0</v>
      </c>
      <c r="AK28" s="57">
        <f t="shared" si="5"/>
        <v>1.5521605475802989</v>
      </c>
      <c r="AL28" s="57">
        <f t="shared" si="6"/>
        <v>1.1000000000000001</v>
      </c>
      <c r="AM28" s="60"/>
      <c r="AN28" s="57">
        <v>0.94914779479631584</v>
      </c>
      <c r="AO28" s="57"/>
      <c r="AP28" s="57">
        <v>2</v>
      </c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26</v>
      </c>
      <c r="B29" s="67" t="s">
        <v>120</v>
      </c>
      <c r="C29" s="28">
        <v>220</v>
      </c>
      <c r="D29" s="19">
        <v>220</v>
      </c>
      <c r="E29" s="28">
        <v>220</v>
      </c>
      <c r="F29" s="28">
        <v>16</v>
      </c>
      <c r="G29" s="19">
        <v>16</v>
      </c>
      <c r="H29" s="28">
        <v>9.5</v>
      </c>
      <c r="I29" s="19">
        <v>18</v>
      </c>
      <c r="J29" s="19">
        <v>18</v>
      </c>
      <c r="K29" s="19">
        <v>2586.9342459671648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1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1"/>
        <v>1</v>
      </c>
      <c r="Z29" s="19">
        <f t="shared" si="2"/>
        <v>0</v>
      </c>
      <c r="AA29" s="19">
        <f t="shared" si="3"/>
        <v>0</v>
      </c>
      <c r="AB29" s="29">
        <f t="shared" si="4"/>
        <v>1466.7899413802422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5133.7647948308477</v>
      </c>
      <c r="AI29" s="29">
        <v>0</v>
      </c>
      <c r="AJ29" s="30">
        <v>0</v>
      </c>
      <c r="AK29" s="57">
        <f t="shared" si="5"/>
        <v>2.5869342459671647</v>
      </c>
      <c r="AL29" s="57">
        <f t="shared" si="6"/>
        <v>1.1000000000000001</v>
      </c>
      <c r="AM29" s="60"/>
      <c r="AN29" s="57">
        <v>0.842991030261521</v>
      </c>
      <c r="AO29" s="57"/>
      <c r="AP29" s="57">
        <v>2</v>
      </c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27</v>
      </c>
      <c r="B30" s="67" t="s">
        <v>121</v>
      </c>
      <c r="C30" s="28">
        <v>220</v>
      </c>
      <c r="D30" s="19">
        <v>220</v>
      </c>
      <c r="E30" s="28">
        <v>220</v>
      </c>
      <c r="F30" s="28">
        <v>16</v>
      </c>
      <c r="G30" s="19">
        <v>16</v>
      </c>
      <c r="H30" s="28">
        <v>9.5</v>
      </c>
      <c r="I30" s="19">
        <v>18</v>
      </c>
      <c r="J30" s="19">
        <v>18</v>
      </c>
      <c r="K30" s="19">
        <v>3880.4013689507474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1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1"/>
        <v>1</v>
      </c>
      <c r="Z30" s="19">
        <f t="shared" si="2"/>
        <v>0</v>
      </c>
      <c r="AA30" s="19">
        <f t="shared" si="3"/>
        <v>0</v>
      </c>
      <c r="AB30" s="29">
        <f t="shared" si="4"/>
        <v>1206.7410007880292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4223.5935027581017</v>
      </c>
      <c r="AI30" s="29">
        <v>0</v>
      </c>
      <c r="AJ30" s="30">
        <v>0</v>
      </c>
      <c r="AK30" s="57">
        <f t="shared" si="5"/>
        <v>3.8804013689507473</v>
      </c>
      <c r="AL30" s="57">
        <f t="shared" si="6"/>
        <v>1.1000000000000001</v>
      </c>
      <c r="AM30" s="60"/>
      <c r="AN30" s="57">
        <v>0.69353614366612826</v>
      </c>
      <c r="AO30" s="57"/>
      <c r="AP30" s="57">
        <v>2</v>
      </c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28</v>
      </c>
      <c r="B31" s="67" t="s">
        <v>122</v>
      </c>
      <c r="C31" s="28">
        <v>220</v>
      </c>
      <c r="D31" s="19">
        <v>220</v>
      </c>
      <c r="E31" s="28">
        <v>220</v>
      </c>
      <c r="F31" s="28">
        <v>16</v>
      </c>
      <c r="G31" s="19">
        <v>16</v>
      </c>
      <c r="H31" s="28">
        <v>9.5</v>
      </c>
      <c r="I31" s="19">
        <v>18</v>
      </c>
      <c r="J31" s="19">
        <v>18</v>
      </c>
      <c r="K31" s="19">
        <v>5173.8684919343295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1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1"/>
        <v>1</v>
      </c>
      <c r="Z31" s="19">
        <f t="shared" si="2"/>
        <v>0</v>
      </c>
      <c r="AA31" s="19">
        <f t="shared" si="3"/>
        <v>0</v>
      </c>
      <c r="AB31" s="29">
        <f t="shared" si="4"/>
        <v>939.48465127187308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3288.1962794515557</v>
      </c>
      <c r="AI31" s="29">
        <v>0</v>
      </c>
      <c r="AJ31" s="30">
        <v>0</v>
      </c>
      <c r="AK31" s="57">
        <f t="shared" si="5"/>
        <v>5.1738684919343294</v>
      </c>
      <c r="AL31" s="57">
        <f t="shared" si="6"/>
        <v>1.1000000000000001</v>
      </c>
      <c r="AM31" s="60"/>
      <c r="AN31" s="57">
        <v>0.53993902722384057</v>
      </c>
      <c r="AO31" s="57"/>
      <c r="AP31" s="57">
        <v>2</v>
      </c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29</v>
      </c>
      <c r="B32" s="67" t="s">
        <v>123</v>
      </c>
      <c r="C32" s="28">
        <v>220</v>
      </c>
      <c r="D32" s="19">
        <v>220</v>
      </c>
      <c r="E32" s="28">
        <v>220</v>
      </c>
      <c r="F32" s="28">
        <v>16</v>
      </c>
      <c r="G32" s="19">
        <v>16</v>
      </c>
      <c r="H32" s="28">
        <v>9.5</v>
      </c>
      <c r="I32" s="19">
        <v>18</v>
      </c>
      <c r="J32" s="19">
        <v>18</v>
      </c>
      <c r="K32" s="19">
        <v>6881.2450942726591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1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1"/>
        <v>1</v>
      </c>
      <c r="Z32" s="19">
        <f t="shared" si="2"/>
        <v>0</v>
      </c>
      <c r="AA32" s="19">
        <f t="shared" si="3"/>
        <v>0</v>
      </c>
      <c r="AB32" s="29">
        <f t="shared" si="4"/>
        <v>654.9170804074962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2292.2097814262365</v>
      </c>
      <c r="AI32" s="29">
        <v>0</v>
      </c>
      <c r="AJ32" s="30">
        <v>0</v>
      </c>
      <c r="AK32" s="57">
        <f t="shared" si="5"/>
        <v>6.8812450942726588</v>
      </c>
      <c r="AL32" s="57">
        <f t="shared" si="6"/>
        <v>1.1000000000000001</v>
      </c>
      <c r="AM32" s="60"/>
      <c r="AN32" s="57">
        <v>0.37639283497476766</v>
      </c>
      <c r="AO32" s="57"/>
      <c r="AP32" s="57">
        <v>2</v>
      </c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30</v>
      </c>
      <c r="B33" s="67" t="s">
        <v>124</v>
      </c>
      <c r="C33" s="28">
        <v>220</v>
      </c>
      <c r="D33" s="19">
        <v>220</v>
      </c>
      <c r="E33" s="28">
        <v>220</v>
      </c>
      <c r="F33" s="28">
        <v>16</v>
      </c>
      <c r="G33" s="19">
        <v>16</v>
      </c>
      <c r="H33" s="28">
        <v>9.5</v>
      </c>
      <c r="I33" s="19">
        <v>18</v>
      </c>
      <c r="J33" s="19">
        <v>18</v>
      </c>
      <c r="K33" s="19">
        <v>8640.3603815303304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1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1"/>
        <v>1</v>
      </c>
      <c r="Z33" s="19">
        <f t="shared" si="2"/>
        <v>0</v>
      </c>
      <c r="AA33" s="19">
        <f t="shared" si="3"/>
        <v>0</v>
      </c>
      <c r="AB33" s="29">
        <f t="shared" si="4"/>
        <v>461.61942126591231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1615.667974430693</v>
      </c>
      <c r="AI33" s="29">
        <v>0</v>
      </c>
      <c r="AJ33" s="30">
        <v>0</v>
      </c>
      <c r="AK33" s="57">
        <f t="shared" si="5"/>
        <v>8.6403603815303303</v>
      </c>
      <c r="AL33" s="57">
        <f t="shared" si="6"/>
        <v>1.1000000000000001</v>
      </c>
      <c r="AM33" s="60"/>
      <c r="AN33" s="57">
        <v>0.26530113177316905</v>
      </c>
      <c r="AO33" s="57"/>
      <c r="AP33" s="57">
        <v>2</v>
      </c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31</v>
      </c>
      <c r="B34" s="67" t="s">
        <v>125</v>
      </c>
      <c r="C34" s="28">
        <v>220</v>
      </c>
      <c r="D34" s="19">
        <v>220</v>
      </c>
      <c r="E34" s="28">
        <v>220</v>
      </c>
      <c r="F34" s="28">
        <v>16</v>
      </c>
      <c r="G34" s="19">
        <v>16</v>
      </c>
      <c r="H34" s="28">
        <v>9.5</v>
      </c>
      <c r="I34" s="19">
        <v>18</v>
      </c>
      <c r="J34" s="19">
        <v>18</v>
      </c>
      <c r="K34" s="19">
        <v>10347.736983868659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1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1"/>
        <v>1</v>
      </c>
      <c r="Z34" s="19">
        <f t="shared" si="2"/>
        <v>0</v>
      </c>
      <c r="AA34" s="19">
        <f t="shared" si="3"/>
        <v>0</v>
      </c>
      <c r="AB34" s="29">
        <f t="shared" si="4"/>
        <v>341.35613492001528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1194.7464722200534</v>
      </c>
      <c r="AI34" s="29">
        <v>0</v>
      </c>
      <c r="AJ34" s="30">
        <v>0</v>
      </c>
      <c r="AK34" s="57">
        <f t="shared" si="5"/>
        <v>10.347736983868659</v>
      </c>
      <c r="AL34" s="57">
        <f t="shared" si="6"/>
        <v>1.1000000000000001</v>
      </c>
      <c r="AM34" s="60"/>
      <c r="AN34" s="57">
        <v>0.19618361957918362</v>
      </c>
      <c r="AO34" s="57"/>
      <c r="AP34" s="57">
        <v>2</v>
      </c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32</v>
      </c>
      <c r="B35" s="67" t="s">
        <v>126</v>
      </c>
      <c r="C35" s="28">
        <v>220</v>
      </c>
      <c r="D35" s="19">
        <v>220</v>
      </c>
      <c r="E35" s="28">
        <v>220</v>
      </c>
      <c r="F35" s="28">
        <v>16</v>
      </c>
      <c r="G35" s="19">
        <v>16</v>
      </c>
      <c r="H35" s="28">
        <v>9.5</v>
      </c>
      <c r="I35" s="19">
        <v>18</v>
      </c>
      <c r="J35" s="19">
        <v>18</v>
      </c>
      <c r="K35" s="19">
        <v>12934.671229835823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1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1"/>
        <v>1</v>
      </c>
      <c r="Z35" s="19">
        <f t="shared" si="2"/>
        <v>0</v>
      </c>
      <c r="AA35" s="19">
        <f t="shared" si="3"/>
        <v>0</v>
      </c>
      <c r="AB35" s="29">
        <f t="shared" si="4"/>
        <v>230.48923583071459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806.71232540750111</v>
      </c>
      <c r="AI35" s="29">
        <v>0</v>
      </c>
      <c r="AJ35" s="30">
        <v>0</v>
      </c>
      <c r="AK35" s="57">
        <f t="shared" si="5"/>
        <v>12.934671229835823</v>
      </c>
      <c r="AL35" s="57">
        <f t="shared" si="6"/>
        <v>1.1000000000000001</v>
      </c>
      <c r="AM35" s="60"/>
      <c r="AN35" s="57">
        <v>0.13246638315114781</v>
      </c>
      <c r="AO35" s="57"/>
      <c r="AP35" s="57">
        <v>2</v>
      </c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33</v>
      </c>
      <c r="B36" s="67" t="s">
        <v>127</v>
      </c>
      <c r="C36" s="28">
        <v>260</v>
      </c>
      <c r="D36" s="19">
        <v>260</v>
      </c>
      <c r="E36" s="28">
        <v>260</v>
      </c>
      <c r="F36" s="28">
        <v>17.5</v>
      </c>
      <c r="G36" s="19">
        <v>17.5</v>
      </c>
      <c r="H36" s="28">
        <v>10</v>
      </c>
      <c r="I36" s="19">
        <v>24</v>
      </c>
      <c r="J36" s="19">
        <v>24</v>
      </c>
      <c r="K36" s="19">
        <v>1848.8314995532969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1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1"/>
        <v>1</v>
      </c>
      <c r="Z36" s="19">
        <f t="shared" si="2"/>
        <v>0</v>
      </c>
      <c r="AA36" s="19">
        <f t="shared" si="3"/>
        <v>0</v>
      </c>
      <c r="AB36" s="29">
        <f t="shared" si="4"/>
        <v>2123.7859871278138</v>
      </c>
      <c r="AC36" s="29">
        <f t="shared" ref="AC36:AC68" si="7">Z36*AI36/3.5</f>
        <v>0</v>
      </c>
      <c r="AD36" s="29">
        <f t="shared" ref="AD36:AD68" si="8">AA36*AJ36/3.5</f>
        <v>0</v>
      </c>
      <c r="AE36" s="28">
        <v>20</v>
      </c>
      <c r="AF36" s="28">
        <v>690</v>
      </c>
      <c r="AG36" s="28">
        <v>210000</v>
      </c>
      <c r="AH36" s="29">
        <v>7433.250954947348</v>
      </c>
      <c r="AI36" s="29">
        <v>0</v>
      </c>
      <c r="AJ36" s="30">
        <v>0</v>
      </c>
      <c r="AK36" s="57">
        <f t="shared" si="5"/>
        <v>1.8488314995532968</v>
      </c>
      <c r="AL36" s="57">
        <f t="shared" si="6"/>
        <v>1.3</v>
      </c>
      <c r="AM36" s="60"/>
      <c r="AN36" s="57">
        <v>0.94914779479631584</v>
      </c>
      <c r="AO36" s="57"/>
      <c r="AP36" s="57">
        <v>2</v>
      </c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128</v>
      </c>
      <c r="C37" s="28">
        <v>260</v>
      </c>
      <c r="D37" s="19">
        <v>260</v>
      </c>
      <c r="E37" s="28">
        <v>260</v>
      </c>
      <c r="F37" s="28">
        <v>17.5</v>
      </c>
      <c r="G37" s="19">
        <v>17.5</v>
      </c>
      <c r="H37" s="28">
        <v>10</v>
      </c>
      <c r="I37" s="19">
        <v>24</v>
      </c>
      <c r="J37" s="19">
        <v>24</v>
      </c>
      <c r="K37" s="19">
        <v>3081.3858325888282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1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1"/>
        <v>1</v>
      </c>
      <c r="Z37" s="19">
        <f t="shared" si="2"/>
        <v>0</v>
      </c>
      <c r="AA37" s="19">
        <f t="shared" si="3"/>
        <v>0</v>
      </c>
      <c r="AB37" s="29">
        <f t="shared" si="4"/>
        <v>1886.2526438551718</v>
      </c>
      <c r="AC37" s="29">
        <f t="shared" si="7"/>
        <v>0</v>
      </c>
      <c r="AD37" s="29">
        <f t="shared" si="8"/>
        <v>0</v>
      </c>
      <c r="AE37" s="28">
        <v>20</v>
      </c>
      <c r="AF37" s="28">
        <v>690</v>
      </c>
      <c r="AG37" s="28">
        <v>210000</v>
      </c>
      <c r="AH37" s="29">
        <v>6601.8842534931009</v>
      </c>
      <c r="AI37" s="29">
        <v>0</v>
      </c>
      <c r="AJ37" s="30">
        <v>0</v>
      </c>
      <c r="AK37" s="57">
        <f t="shared" si="5"/>
        <v>3.0813858325888281</v>
      </c>
      <c r="AL37" s="57">
        <f t="shared" si="6"/>
        <v>1.3</v>
      </c>
      <c r="AM37" s="60"/>
      <c r="AN37" s="57">
        <v>0.842991030261521</v>
      </c>
      <c r="AO37" s="57"/>
      <c r="AP37" s="57">
        <v>2</v>
      </c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35</v>
      </c>
      <c r="B38" s="67" t="s">
        <v>129</v>
      </c>
      <c r="C38" s="28">
        <v>260</v>
      </c>
      <c r="D38" s="19">
        <v>260</v>
      </c>
      <c r="E38" s="28">
        <v>260</v>
      </c>
      <c r="F38" s="28">
        <v>17.5</v>
      </c>
      <c r="G38" s="19">
        <v>17.5</v>
      </c>
      <c r="H38" s="28">
        <v>10</v>
      </c>
      <c r="I38" s="19">
        <v>24</v>
      </c>
      <c r="J38" s="19">
        <v>24</v>
      </c>
      <c r="K38" s="19">
        <v>4622.078748883242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1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1"/>
        <v>1</v>
      </c>
      <c r="Z38" s="19">
        <f t="shared" si="2"/>
        <v>0</v>
      </c>
      <c r="AA38" s="19">
        <f t="shared" si="3"/>
        <v>0</v>
      </c>
      <c r="AB38" s="29">
        <f t="shared" si="4"/>
        <v>1551.8366597489382</v>
      </c>
      <c r="AC38" s="29">
        <f t="shared" si="7"/>
        <v>0</v>
      </c>
      <c r="AD38" s="29">
        <f t="shared" si="8"/>
        <v>0</v>
      </c>
      <c r="AE38" s="28">
        <v>20</v>
      </c>
      <c r="AF38" s="28">
        <v>690</v>
      </c>
      <c r="AG38" s="28">
        <v>210000</v>
      </c>
      <c r="AH38" s="29">
        <v>5431.4283091212837</v>
      </c>
      <c r="AI38" s="29">
        <v>0</v>
      </c>
      <c r="AJ38" s="30">
        <v>0</v>
      </c>
      <c r="AK38" s="57">
        <f t="shared" si="5"/>
        <v>4.6220787488832418</v>
      </c>
      <c r="AL38" s="57">
        <f t="shared" si="6"/>
        <v>1.3</v>
      </c>
      <c r="AM38" s="60"/>
      <c r="AN38" s="57">
        <v>0.69353614366612826</v>
      </c>
      <c r="AO38" s="57"/>
      <c r="AP38" s="57">
        <v>2</v>
      </c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36</v>
      </c>
      <c r="B39" s="67" t="s">
        <v>130</v>
      </c>
      <c r="C39" s="28">
        <v>260</v>
      </c>
      <c r="D39" s="19">
        <v>260</v>
      </c>
      <c r="E39" s="28">
        <v>260</v>
      </c>
      <c r="F39" s="28">
        <v>17.5</v>
      </c>
      <c r="G39" s="19">
        <v>17.5</v>
      </c>
      <c r="H39" s="28">
        <v>10</v>
      </c>
      <c r="I39" s="19">
        <v>24</v>
      </c>
      <c r="J39" s="19">
        <v>24</v>
      </c>
      <c r="K39" s="19">
        <v>6162.7716651776564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1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1"/>
        <v>1</v>
      </c>
      <c r="Z39" s="19">
        <f t="shared" si="2"/>
        <v>0</v>
      </c>
      <c r="AA39" s="19">
        <f t="shared" si="3"/>
        <v>0</v>
      </c>
      <c r="AB39" s="29">
        <f t="shared" si="4"/>
        <v>1208.1521404867165</v>
      </c>
      <c r="AC39" s="29">
        <f t="shared" si="7"/>
        <v>0</v>
      </c>
      <c r="AD39" s="29">
        <f t="shared" si="8"/>
        <v>0</v>
      </c>
      <c r="AE39" s="28">
        <v>20</v>
      </c>
      <c r="AF39" s="28">
        <v>690</v>
      </c>
      <c r="AG39" s="28">
        <v>210000</v>
      </c>
      <c r="AH39" s="29">
        <v>4228.5324917035077</v>
      </c>
      <c r="AI39" s="29">
        <v>0</v>
      </c>
      <c r="AJ39" s="30">
        <v>0</v>
      </c>
      <c r="AK39" s="57">
        <f t="shared" si="5"/>
        <v>6.1627716651776563</v>
      </c>
      <c r="AL39" s="57">
        <f t="shared" si="6"/>
        <v>1.3</v>
      </c>
      <c r="AM39" s="60"/>
      <c r="AN39" s="57">
        <v>0.53993902722384057</v>
      </c>
      <c r="AO39" s="57"/>
      <c r="AP39" s="57">
        <v>2</v>
      </c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37</v>
      </c>
      <c r="B40" s="67" t="s">
        <v>131</v>
      </c>
      <c r="C40" s="28">
        <v>260</v>
      </c>
      <c r="D40" s="19">
        <v>260</v>
      </c>
      <c r="E40" s="28">
        <v>260</v>
      </c>
      <c r="F40" s="28">
        <v>17.5</v>
      </c>
      <c r="G40" s="19">
        <v>17.5</v>
      </c>
      <c r="H40" s="28">
        <v>10</v>
      </c>
      <c r="I40" s="19">
        <v>24</v>
      </c>
      <c r="J40" s="19">
        <v>24</v>
      </c>
      <c r="K40" s="19">
        <v>8196.4863146862845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1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1"/>
        <v>1</v>
      </c>
      <c r="Z40" s="19">
        <f t="shared" si="2"/>
        <v>0</v>
      </c>
      <c r="AA40" s="19">
        <f t="shared" si="3"/>
        <v>0</v>
      </c>
      <c r="AB40" s="29">
        <f t="shared" si="4"/>
        <v>842.20585345854056</v>
      </c>
      <c r="AC40" s="29">
        <f t="shared" si="7"/>
        <v>0</v>
      </c>
      <c r="AD40" s="29">
        <f t="shared" si="8"/>
        <v>0</v>
      </c>
      <c r="AE40" s="28">
        <v>20</v>
      </c>
      <c r="AF40" s="28">
        <v>690</v>
      </c>
      <c r="AG40" s="28">
        <v>210000</v>
      </c>
      <c r="AH40" s="29">
        <v>2947.7204871048921</v>
      </c>
      <c r="AI40" s="29">
        <v>0</v>
      </c>
      <c r="AJ40" s="30">
        <v>0</v>
      </c>
      <c r="AK40" s="57">
        <f t="shared" si="5"/>
        <v>8.1964863146862843</v>
      </c>
      <c r="AL40" s="57">
        <f t="shared" si="6"/>
        <v>1.3</v>
      </c>
      <c r="AM40" s="60"/>
      <c r="AN40" s="57">
        <v>0.37639283497476755</v>
      </c>
      <c r="AO40" s="57"/>
      <c r="AP40" s="57">
        <v>2</v>
      </c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38</v>
      </c>
      <c r="B41" s="67" t="s">
        <v>132</v>
      </c>
      <c r="C41" s="28">
        <v>260</v>
      </c>
      <c r="D41" s="19">
        <v>260</v>
      </c>
      <c r="E41" s="28">
        <v>260</v>
      </c>
      <c r="F41" s="28">
        <v>17.5</v>
      </c>
      <c r="G41" s="19">
        <v>17.5</v>
      </c>
      <c r="H41" s="28">
        <v>10</v>
      </c>
      <c r="I41" s="19">
        <v>24</v>
      </c>
      <c r="J41" s="19">
        <v>24</v>
      </c>
      <c r="K41" s="19">
        <v>10291.828680846686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1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1"/>
        <v>1</v>
      </c>
      <c r="Z41" s="19">
        <f t="shared" si="2"/>
        <v>0</v>
      </c>
      <c r="AA41" s="19">
        <f t="shared" si="3"/>
        <v>0</v>
      </c>
      <c r="AB41" s="29">
        <f t="shared" si="4"/>
        <v>593.63023242330667</v>
      </c>
      <c r="AC41" s="29">
        <f t="shared" si="7"/>
        <v>0</v>
      </c>
      <c r="AD41" s="29">
        <f t="shared" si="8"/>
        <v>0</v>
      </c>
      <c r="AE41" s="28">
        <v>20</v>
      </c>
      <c r="AF41" s="28">
        <v>690</v>
      </c>
      <c r="AG41" s="28">
        <v>210000</v>
      </c>
      <c r="AH41" s="29">
        <v>2077.7058134815734</v>
      </c>
      <c r="AI41" s="29">
        <v>0</v>
      </c>
      <c r="AJ41" s="30">
        <v>0</v>
      </c>
      <c r="AK41" s="57">
        <f t="shared" si="5"/>
        <v>10.291828680846686</v>
      </c>
      <c r="AL41" s="57">
        <f t="shared" si="6"/>
        <v>1.3</v>
      </c>
      <c r="AM41" s="60"/>
      <c r="AN41" s="57">
        <v>0.26530113177316905</v>
      </c>
      <c r="AO41" s="57"/>
      <c r="AP41" s="57">
        <v>2</v>
      </c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133</v>
      </c>
      <c r="C42" s="28">
        <v>260</v>
      </c>
      <c r="D42" s="19">
        <v>260</v>
      </c>
      <c r="E42" s="28">
        <v>260</v>
      </c>
      <c r="F42" s="28">
        <v>17.5</v>
      </c>
      <c r="G42" s="19">
        <v>17.5</v>
      </c>
      <c r="H42" s="28">
        <v>10</v>
      </c>
      <c r="I42" s="19">
        <v>24</v>
      </c>
      <c r="J42" s="19">
        <v>24</v>
      </c>
      <c r="K42" s="19">
        <v>12325.543330355313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1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1"/>
        <v>1</v>
      </c>
      <c r="Z42" s="19">
        <f t="shared" si="2"/>
        <v>0</v>
      </c>
      <c r="AA42" s="19">
        <f t="shared" si="3"/>
        <v>0</v>
      </c>
      <c r="AB42" s="29">
        <f t="shared" si="4"/>
        <v>438.97486192410759</v>
      </c>
      <c r="AC42" s="29">
        <f t="shared" si="7"/>
        <v>0</v>
      </c>
      <c r="AD42" s="29">
        <f t="shared" si="8"/>
        <v>0</v>
      </c>
      <c r="AE42" s="28">
        <v>20</v>
      </c>
      <c r="AF42" s="28">
        <v>690</v>
      </c>
      <c r="AG42" s="28">
        <v>210000</v>
      </c>
      <c r="AH42" s="29">
        <v>1536.4120167343765</v>
      </c>
      <c r="AI42" s="29">
        <v>0</v>
      </c>
      <c r="AJ42" s="30">
        <v>0</v>
      </c>
      <c r="AK42" s="57">
        <f t="shared" si="5"/>
        <v>12.325543330355313</v>
      </c>
      <c r="AL42" s="57">
        <f t="shared" si="6"/>
        <v>1.3</v>
      </c>
      <c r="AM42" s="60"/>
      <c r="AN42" s="57">
        <v>0.19618361957918362</v>
      </c>
      <c r="AO42" s="57"/>
      <c r="AP42" s="57">
        <v>2</v>
      </c>
      <c r="AU42" s="15"/>
      <c r="AV42" s="15"/>
      <c r="AW42" s="16"/>
    </row>
    <row r="43" spans="1:58" ht="21" x14ac:dyDescent="0.35">
      <c r="A43" s="28">
        <v>40</v>
      </c>
      <c r="B43" s="67" t="s">
        <v>134</v>
      </c>
      <c r="C43" s="28">
        <v>260</v>
      </c>
      <c r="D43" s="19">
        <v>260</v>
      </c>
      <c r="E43" s="28">
        <v>260</v>
      </c>
      <c r="F43" s="28">
        <v>17.5</v>
      </c>
      <c r="G43" s="19">
        <v>17.5</v>
      </c>
      <c r="H43" s="28">
        <v>10</v>
      </c>
      <c r="I43" s="19">
        <v>24</v>
      </c>
      <c r="J43" s="19">
        <v>24</v>
      </c>
      <c r="K43" s="19">
        <v>15406.929162944141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1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1"/>
        <v>1</v>
      </c>
      <c r="Z43" s="19">
        <f t="shared" si="2"/>
        <v>0</v>
      </c>
      <c r="AA43" s="19">
        <f t="shared" si="3"/>
        <v>0</v>
      </c>
      <c r="AB43" s="29">
        <f t="shared" si="4"/>
        <v>296.40299418520402</v>
      </c>
      <c r="AC43" s="29">
        <f t="shared" si="7"/>
        <v>0</v>
      </c>
      <c r="AD43" s="29">
        <f t="shared" si="8"/>
        <v>0</v>
      </c>
      <c r="AE43" s="28">
        <v>20</v>
      </c>
      <c r="AF43" s="28">
        <v>690</v>
      </c>
      <c r="AG43" s="28">
        <v>210000</v>
      </c>
      <c r="AH43" s="29">
        <v>1037.4104796482141</v>
      </c>
      <c r="AI43" s="29">
        <v>0</v>
      </c>
      <c r="AJ43" s="30">
        <v>0</v>
      </c>
      <c r="AK43" s="57">
        <f t="shared" si="5"/>
        <v>15.406929162944142</v>
      </c>
      <c r="AL43" s="57">
        <f t="shared" si="6"/>
        <v>1.3</v>
      </c>
      <c r="AM43" s="60"/>
      <c r="AN43" s="57">
        <v>0.13246638315114781</v>
      </c>
      <c r="AO43" s="57"/>
      <c r="AP43" s="57">
        <v>2</v>
      </c>
      <c r="AU43" s="15"/>
      <c r="AV43" s="15"/>
      <c r="AW43" s="16"/>
    </row>
    <row r="44" spans="1:58" ht="21" x14ac:dyDescent="0.35">
      <c r="A44" s="28">
        <v>41</v>
      </c>
      <c r="B44" s="67" t="s">
        <v>135</v>
      </c>
      <c r="C44" s="28">
        <v>300</v>
      </c>
      <c r="D44" s="19">
        <v>300</v>
      </c>
      <c r="E44" s="28">
        <v>300</v>
      </c>
      <c r="F44" s="28">
        <v>19</v>
      </c>
      <c r="G44" s="19">
        <v>19</v>
      </c>
      <c r="H44" s="28">
        <v>11</v>
      </c>
      <c r="I44" s="19">
        <v>27</v>
      </c>
      <c r="J44" s="19">
        <v>27</v>
      </c>
      <c r="K44" s="19">
        <v>2139.6894375254997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1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1"/>
        <v>1</v>
      </c>
      <c r="Z44" s="19">
        <f t="shared" si="2"/>
        <v>0</v>
      </c>
      <c r="AA44" s="19">
        <f t="shared" si="3"/>
        <v>0</v>
      </c>
      <c r="AB44" s="29">
        <f t="shared" si="4"/>
        <v>2672.4151073268222</v>
      </c>
      <c r="AC44" s="29">
        <f t="shared" si="7"/>
        <v>0</v>
      </c>
      <c r="AD44" s="29">
        <f t="shared" si="8"/>
        <v>0</v>
      </c>
      <c r="AE44" s="28">
        <v>20</v>
      </c>
      <c r="AF44" s="28">
        <v>690</v>
      </c>
      <c r="AG44" s="28">
        <v>210000</v>
      </c>
      <c r="AH44" s="29">
        <v>9353.4528756438776</v>
      </c>
      <c r="AI44" s="29">
        <v>0</v>
      </c>
      <c r="AJ44" s="30">
        <v>0</v>
      </c>
      <c r="AK44" s="57">
        <f t="shared" si="5"/>
        <v>2.1396894375254996</v>
      </c>
      <c r="AL44" s="57">
        <f t="shared" si="6"/>
        <v>1.5</v>
      </c>
      <c r="AM44" s="60"/>
      <c r="AN44" s="57">
        <v>0.94914779479631584</v>
      </c>
      <c r="AO44" s="57"/>
      <c r="AP44" s="57">
        <v>3</v>
      </c>
      <c r="AU44" s="15"/>
      <c r="AV44" s="15"/>
      <c r="AW44" s="16"/>
    </row>
    <row r="45" spans="1:58" ht="21" x14ac:dyDescent="0.35">
      <c r="A45" s="28">
        <v>42</v>
      </c>
      <c r="B45" s="67" t="s">
        <v>136</v>
      </c>
      <c r="C45" s="28">
        <v>300</v>
      </c>
      <c r="D45" s="19">
        <v>300</v>
      </c>
      <c r="E45" s="28">
        <v>300</v>
      </c>
      <c r="F45" s="28">
        <v>19</v>
      </c>
      <c r="G45" s="19">
        <v>19</v>
      </c>
      <c r="H45" s="28">
        <v>11</v>
      </c>
      <c r="I45" s="19">
        <v>27</v>
      </c>
      <c r="J45" s="19">
        <v>27</v>
      </c>
      <c r="K45" s="19">
        <v>3566.1490625424999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1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1"/>
        <v>1</v>
      </c>
      <c r="Z45" s="19">
        <f t="shared" si="2"/>
        <v>0</v>
      </c>
      <c r="AA45" s="19">
        <f t="shared" si="3"/>
        <v>0</v>
      </c>
      <c r="AB45" s="29">
        <f t="shared" si="4"/>
        <v>2373.5207277127365</v>
      </c>
      <c r="AC45" s="29">
        <f t="shared" si="7"/>
        <v>0</v>
      </c>
      <c r="AD45" s="29">
        <f t="shared" si="8"/>
        <v>0</v>
      </c>
      <c r="AE45" s="28">
        <v>20</v>
      </c>
      <c r="AF45" s="28">
        <v>690</v>
      </c>
      <c r="AG45" s="28">
        <v>210000</v>
      </c>
      <c r="AH45" s="29">
        <v>8307.3225469945774</v>
      </c>
      <c r="AI45" s="29">
        <v>0</v>
      </c>
      <c r="AJ45" s="30">
        <v>0</v>
      </c>
      <c r="AK45" s="57">
        <f t="shared" si="5"/>
        <v>3.5661490625424999</v>
      </c>
      <c r="AL45" s="57">
        <f t="shared" si="6"/>
        <v>1.5</v>
      </c>
      <c r="AM45" s="60"/>
      <c r="AN45" s="57">
        <v>0.84299103026152089</v>
      </c>
      <c r="AO45" s="57"/>
      <c r="AP45" s="57">
        <v>3</v>
      </c>
      <c r="AU45" s="15"/>
      <c r="AV45" s="15"/>
      <c r="AW45" s="16"/>
    </row>
    <row r="46" spans="1:58" ht="21" x14ac:dyDescent="0.35">
      <c r="A46" s="28">
        <v>43</v>
      </c>
      <c r="B46" s="67" t="s">
        <v>137</v>
      </c>
      <c r="C46" s="28">
        <v>300</v>
      </c>
      <c r="D46" s="19">
        <v>300</v>
      </c>
      <c r="E46" s="28">
        <v>300</v>
      </c>
      <c r="F46" s="28">
        <v>19</v>
      </c>
      <c r="G46" s="19">
        <v>19</v>
      </c>
      <c r="H46" s="28">
        <v>11</v>
      </c>
      <c r="I46" s="19">
        <v>27</v>
      </c>
      <c r="J46" s="19">
        <v>27</v>
      </c>
      <c r="K46" s="19">
        <v>5349.2235938137492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1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1"/>
        <v>1</v>
      </c>
      <c r="Z46" s="19">
        <f t="shared" si="2"/>
        <v>0</v>
      </c>
      <c r="AA46" s="19">
        <f t="shared" si="3"/>
        <v>0</v>
      </c>
      <c r="AB46" s="29">
        <f t="shared" si="4"/>
        <v>1952.7164030426727</v>
      </c>
      <c r="AC46" s="29">
        <f t="shared" si="7"/>
        <v>0</v>
      </c>
      <c r="AD46" s="29">
        <f t="shared" si="8"/>
        <v>0</v>
      </c>
      <c r="AE46" s="28">
        <v>20</v>
      </c>
      <c r="AF46" s="28">
        <v>690</v>
      </c>
      <c r="AG46" s="28">
        <v>210000</v>
      </c>
      <c r="AH46" s="29">
        <v>6834.5074106493548</v>
      </c>
      <c r="AI46" s="29">
        <v>0</v>
      </c>
      <c r="AJ46" s="30">
        <v>0</v>
      </c>
      <c r="AK46" s="57">
        <f t="shared" si="5"/>
        <v>5.3492235938137496</v>
      </c>
      <c r="AL46" s="57">
        <f t="shared" si="6"/>
        <v>1.5</v>
      </c>
      <c r="AM46" s="60"/>
      <c r="AN46" s="57">
        <v>0.69353614366612826</v>
      </c>
      <c r="AO46" s="57"/>
      <c r="AP46" s="57">
        <v>3</v>
      </c>
      <c r="AU46" s="15"/>
      <c r="AV46" s="15"/>
      <c r="AW46" s="16"/>
    </row>
    <row r="47" spans="1:58" ht="21" x14ac:dyDescent="0.35">
      <c r="A47" s="28">
        <v>44</v>
      </c>
      <c r="B47" s="67" t="s">
        <v>138</v>
      </c>
      <c r="C47" s="28">
        <v>300</v>
      </c>
      <c r="D47" s="19">
        <v>300</v>
      </c>
      <c r="E47" s="28">
        <v>300</v>
      </c>
      <c r="F47" s="28">
        <v>19</v>
      </c>
      <c r="G47" s="19">
        <v>19</v>
      </c>
      <c r="H47" s="28">
        <v>11</v>
      </c>
      <c r="I47" s="19">
        <v>27</v>
      </c>
      <c r="J47" s="19">
        <v>27</v>
      </c>
      <c r="K47" s="19">
        <v>7132.2981250849998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1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1"/>
        <v>1</v>
      </c>
      <c r="Z47" s="19">
        <f t="shared" si="2"/>
        <v>0</v>
      </c>
      <c r="AA47" s="19">
        <f t="shared" si="3"/>
        <v>0</v>
      </c>
      <c r="AB47" s="29">
        <f t="shared" si="4"/>
        <v>1520.2492396855755</v>
      </c>
      <c r="AC47" s="29">
        <f t="shared" si="7"/>
        <v>0</v>
      </c>
      <c r="AD47" s="29">
        <f t="shared" si="8"/>
        <v>0</v>
      </c>
      <c r="AE47" s="28">
        <v>20</v>
      </c>
      <c r="AF47" s="28">
        <v>690</v>
      </c>
      <c r="AG47" s="28">
        <v>210000</v>
      </c>
      <c r="AH47" s="29">
        <v>5320.872338899514</v>
      </c>
      <c r="AI47" s="29">
        <v>0</v>
      </c>
      <c r="AJ47" s="30">
        <v>0</v>
      </c>
      <c r="AK47" s="57">
        <f t="shared" si="5"/>
        <v>7.1322981250849997</v>
      </c>
      <c r="AL47" s="57">
        <f t="shared" si="6"/>
        <v>1.5</v>
      </c>
      <c r="AM47" s="60"/>
      <c r="AN47" s="57">
        <v>0.53993902722384046</v>
      </c>
      <c r="AO47" s="57"/>
      <c r="AP47" s="57">
        <v>3</v>
      </c>
      <c r="AU47" s="15"/>
      <c r="AV47" s="15"/>
      <c r="AW47" s="16"/>
    </row>
    <row r="48" spans="1:58" ht="21" x14ac:dyDescent="0.35">
      <c r="A48" s="28">
        <v>45</v>
      </c>
      <c r="B48" s="67" t="s">
        <v>139</v>
      </c>
      <c r="C48" s="28">
        <v>300</v>
      </c>
      <c r="D48" s="19">
        <v>300</v>
      </c>
      <c r="E48" s="28">
        <v>300</v>
      </c>
      <c r="F48" s="28">
        <v>19</v>
      </c>
      <c r="G48" s="19">
        <v>19</v>
      </c>
      <c r="H48" s="28">
        <v>11</v>
      </c>
      <c r="I48" s="19">
        <v>27</v>
      </c>
      <c r="J48" s="19">
        <v>27</v>
      </c>
      <c r="K48" s="61">
        <v>9485.9565063630507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1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1"/>
        <v>1</v>
      </c>
      <c r="Z48" s="19">
        <f t="shared" si="2"/>
        <v>0</v>
      </c>
      <c r="AA48" s="19">
        <f t="shared" si="3"/>
        <v>0</v>
      </c>
      <c r="AB48" s="29">
        <f t="shared" si="4"/>
        <v>1059.7695153387556</v>
      </c>
      <c r="AC48" s="29">
        <f t="shared" si="7"/>
        <v>0</v>
      </c>
      <c r="AD48" s="29">
        <f t="shared" si="8"/>
        <v>0</v>
      </c>
      <c r="AE48" s="28">
        <v>20</v>
      </c>
      <c r="AF48" s="28">
        <v>690</v>
      </c>
      <c r="AG48" s="28">
        <v>210000</v>
      </c>
      <c r="AH48" s="29">
        <v>3709.1933036856444</v>
      </c>
      <c r="AI48" s="29">
        <v>0</v>
      </c>
      <c r="AJ48" s="30">
        <v>0</v>
      </c>
      <c r="AK48" s="57">
        <f t="shared" si="5"/>
        <v>9.4859565063630509</v>
      </c>
      <c r="AL48" s="57">
        <f t="shared" si="6"/>
        <v>1.5</v>
      </c>
      <c r="AM48" s="60"/>
      <c r="AN48" s="57">
        <v>0.37639283497476755</v>
      </c>
      <c r="AO48" s="57"/>
      <c r="AP48" s="57">
        <v>3</v>
      </c>
      <c r="AU48" s="15"/>
      <c r="AV48" s="15"/>
      <c r="AW48" s="16"/>
    </row>
    <row r="49" spans="1:56" ht="21" x14ac:dyDescent="0.35">
      <c r="A49" s="28">
        <v>46</v>
      </c>
      <c r="B49" s="67" t="s">
        <v>140</v>
      </c>
      <c r="C49" s="28">
        <v>300</v>
      </c>
      <c r="D49" s="19">
        <v>300</v>
      </c>
      <c r="E49" s="28">
        <v>300</v>
      </c>
      <c r="F49" s="28">
        <v>19</v>
      </c>
      <c r="G49" s="19">
        <v>19</v>
      </c>
      <c r="H49" s="28">
        <v>11</v>
      </c>
      <c r="I49" s="19">
        <v>27</v>
      </c>
      <c r="J49" s="19">
        <v>27</v>
      </c>
      <c r="K49" s="19">
        <v>11910.937868891948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1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1"/>
        <v>1</v>
      </c>
      <c r="Z49" s="19">
        <f t="shared" si="2"/>
        <v>0</v>
      </c>
      <c r="AA49" s="19">
        <f t="shared" si="3"/>
        <v>0</v>
      </c>
      <c r="AB49" s="29">
        <f t="shared" si="4"/>
        <v>746.98035061406756</v>
      </c>
      <c r="AC49" s="29">
        <f t="shared" si="7"/>
        <v>0</v>
      </c>
      <c r="AD49" s="29">
        <f t="shared" si="8"/>
        <v>0</v>
      </c>
      <c r="AE49" s="28">
        <v>20</v>
      </c>
      <c r="AF49" s="28">
        <v>690</v>
      </c>
      <c r="AG49" s="28">
        <v>210000</v>
      </c>
      <c r="AH49" s="29">
        <v>2614.4312271492363</v>
      </c>
      <c r="AI49" s="29">
        <v>0</v>
      </c>
      <c r="AJ49" s="30">
        <v>0</v>
      </c>
      <c r="AK49" s="57">
        <f t="shared" si="5"/>
        <v>11.910937868891947</v>
      </c>
      <c r="AL49" s="57">
        <f t="shared" si="6"/>
        <v>1.5</v>
      </c>
      <c r="AM49" s="60"/>
      <c r="AN49" s="57">
        <v>0.26530113177316905</v>
      </c>
      <c r="AO49" s="57"/>
      <c r="AP49" s="57">
        <v>3</v>
      </c>
      <c r="AU49" s="15"/>
      <c r="AV49" s="15"/>
      <c r="AW49" s="16"/>
    </row>
    <row r="50" spans="1:56" ht="21" x14ac:dyDescent="0.35">
      <c r="A50" s="81">
        <v>47</v>
      </c>
      <c r="B50" s="82" t="s">
        <v>141</v>
      </c>
      <c r="C50" s="81">
        <v>300</v>
      </c>
      <c r="D50" s="83">
        <v>300</v>
      </c>
      <c r="E50" s="81">
        <v>300</v>
      </c>
      <c r="F50" s="81">
        <v>19</v>
      </c>
      <c r="G50" s="83">
        <v>19</v>
      </c>
      <c r="H50" s="81">
        <v>11</v>
      </c>
      <c r="I50" s="83">
        <v>27</v>
      </c>
      <c r="J50" s="83">
        <v>27</v>
      </c>
      <c r="K50" s="83">
        <v>14264.59625017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36">
        <v>1</v>
      </c>
      <c r="U50" s="85" t="s">
        <v>48</v>
      </c>
      <c r="V50" s="83">
        <v>1</v>
      </c>
      <c r="W50" s="81">
        <v>1</v>
      </c>
      <c r="X50" s="81">
        <v>0</v>
      </c>
      <c r="Y50" s="83">
        <f t="shared" si="1"/>
        <v>1</v>
      </c>
      <c r="Z50" s="83">
        <f t="shared" si="2"/>
        <v>0</v>
      </c>
      <c r="AA50" s="83">
        <f t="shared" si="3"/>
        <v>0</v>
      </c>
      <c r="AB50" s="86">
        <f t="shared" si="4"/>
        <v>552.37347823789446</v>
      </c>
      <c r="AC50" s="86">
        <f t="shared" si="7"/>
        <v>0</v>
      </c>
      <c r="AD50" s="86">
        <f t="shared" si="8"/>
        <v>0</v>
      </c>
      <c r="AE50" s="81">
        <v>20</v>
      </c>
      <c r="AF50" s="81">
        <v>690</v>
      </c>
      <c r="AG50" s="81">
        <v>210000</v>
      </c>
      <c r="AH50" s="86">
        <v>1933.3071738326305</v>
      </c>
      <c r="AI50" s="86">
        <v>0</v>
      </c>
      <c r="AJ50" s="87">
        <v>0</v>
      </c>
      <c r="AK50" s="57">
        <f t="shared" si="5"/>
        <v>14.264596250169999</v>
      </c>
      <c r="AL50" s="57">
        <f t="shared" si="6"/>
        <v>1.5</v>
      </c>
      <c r="AM50" s="60"/>
      <c r="AN50" s="57">
        <v>0.19618361957918354</v>
      </c>
      <c r="AO50" s="57"/>
      <c r="AP50" s="57">
        <v>3</v>
      </c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142</v>
      </c>
      <c r="C51" s="31">
        <v>300</v>
      </c>
      <c r="D51" s="32">
        <v>300</v>
      </c>
      <c r="E51" s="31">
        <v>300</v>
      </c>
      <c r="F51" s="31">
        <v>19</v>
      </c>
      <c r="G51" s="32">
        <v>19</v>
      </c>
      <c r="H51" s="31">
        <v>11</v>
      </c>
      <c r="I51" s="32">
        <v>27</v>
      </c>
      <c r="J51" s="32">
        <v>27</v>
      </c>
      <c r="K51" s="32">
        <v>17830.745312712497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1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1"/>
        <v>1</v>
      </c>
      <c r="Z51" s="32">
        <f t="shared" si="2"/>
        <v>0</v>
      </c>
      <c r="AA51" s="32">
        <f t="shared" si="3"/>
        <v>0</v>
      </c>
      <c r="AB51" s="33">
        <f t="shared" si="4"/>
        <v>372.97159144961091</v>
      </c>
      <c r="AC51" s="33">
        <f t="shared" si="7"/>
        <v>0</v>
      </c>
      <c r="AD51" s="33">
        <f t="shared" si="8"/>
        <v>0</v>
      </c>
      <c r="AE51" s="31">
        <v>20</v>
      </c>
      <c r="AF51" s="31">
        <v>690</v>
      </c>
      <c r="AG51" s="31">
        <v>210000</v>
      </c>
      <c r="AH51" s="33">
        <v>1305.4005700736382</v>
      </c>
      <c r="AI51" s="33">
        <v>0</v>
      </c>
      <c r="AJ51" s="51">
        <v>0</v>
      </c>
      <c r="AK51" s="91">
        <f t="shared" si="5"/>
        <v>17.830745312712498</v>
      </c>
      <c r="AL51" s="91">
        <f t="shared" si="6"/>
        <v>1.5</v>
      </c>
      <c r="AM51" s="60"/>
      <c r="AN51" s="91">
        <v>0.13246638315114781</v>
      </c>
      <c r="AO51" s="91"/>
      <c r="AP51" s="91">
        <v>3</v>
      </c>
      <c r="AU51" s="93"/>
      <c r="AV51" s="93"/>
      <c r="AW51" s="94"/>
      <c r="BD51" s="95"/>
    </row>
    <row r="52" spans="1:56" ht="21" x14ac:dyDescent="0.35">
      <c r="A52" s="46">
        <v>49</v>
      </c>
      <c r="B52" s="88" t="s">
        <v>143</v>
      </c>
      <c r="C52" s="46">
        <v>300</v>
      </c>
      <c r="D52" s="47">
        <v>300</v>
      </c>
      <c r="E52" s="46">
        <v>340</v>
      </c>
      <c r="F52" s="46">
        <v>21.5</v>
      </c>
      <c r="G52" s="47">
        <v>21.5</v>
      </c>
      <c r="H52" s="46">
        <v>12</v>
      </c>
      <c r="I52" s="47">
        <v>27</v>
      </c>
      <c r="J52" s="47">
        <v>27</v>
      </c>
      <c r="K52" s="47">
        <v>2410.4373500593292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1</v>
      </c>
      <c r="U52" s="89" t="s">
        <v>48</v>
      </c>
      <c r="V52" s="47">
        <v>1</v>
      </c>
      <c r="W52" s="46">
        <v>1</v>
      </c>
      <c r="X52" s="46">
        <v>0</v>
      </c>
      <c r="Y52" s="47">
        <f t="shared" si="1"/>
        <v>1</v>
      </c>
      <c r="Z52" s="47">
        <f t="shared" si="2"/>
        <v>0</v>
      </c>
      <c r="AA52" s="47">
        <f t="shared" si="3"/>
        <v>0</v>
      </c>
      <c r="AB52" s="49">
        <f t="shared" si="4"/>
        <v>3080.70594643809</v>
      </c>
      <c r="AC52" s="49">
        <f t="shared" si="7"/>
        <v>0</v>
      </c>
      <c r="AD52" s="49">
        <f t="shared" si="8"/>
        <v>0</v>
      </c>
      <c r="AE52" s="46">
        <v>20</v>
      </c>
      <c r="AF52" s="46">
        <v>690</v>
      </c>
      <c r="AG52" s="46">
        <v>210000</v>
      </c>
      <c r="AH52" s="49">
        <v>10782.470812533315</v>
      </c>
      <c r="AI52" s="49">
        <v>0</v>
      </c>
      <c r="AJ52" s="90">
        <v>0</v>
      </c>
      <c r="AK52" s="57">
        <f t="shared" si="5"/>
        <v>2.410437350059329</v>
      </c>
      <c r="AL52" s="57">
        <f t="shared" si="6"/>
        <v>1.5</v>
      </c>
      <c r="AM52" s="60"/>
      <c r="AN52" s="57">
        <v>0.94914779479631584</v>
      </c>
      <c r="AO52" s="57"/>
      <c r="AP52" s="57">
        <v>2</v>
      </c>
      <c r="AU52" s="15"/>
      <c r="AV52" s="15"/>
      <c r="AW52" s="16"/>
    </row>
    <row r="53" spans="1:56" ht="21" x14ac:dyDescent="0.35">
      <c r="A53" s="28">
        <v>50</v>
      </c>
      <c r="B53" s="67" t="s">
        <v>144</v>
      </c>
      <c r="C53" s="28">
        <v>300</v>
      </c>
      <c r="D53" s="19">
        <v>300</v>
      </c>
      <c r="E53" s="28">
        <v>340</v>
      </c>
      <c r="F53" s="46">
        <v>21.5</v>
      </c>
      <c r="G53" s="47">
        <v>21.5</v>
      </c>
      <c r="H53" s="28">
        <v>12</v>
      </c>
      <c r="I53" s="19">
        <v>27</v>
      </c>
      <c r="J53" s="19">
        <v>27</v>
      </c>
      <c r="K53" s="61">
        <v>4017.3955834322151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1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1"/>
        <v>1</v>
      </c>
      <c r="Z53" s="19">
        <f t="shared" si="2"/>
        <v>0</v>
      </c>
      <c r="AA53" s="19">
        <f t="shared" si="3"/>
        <v>0</v>
      </c>
      <c r="AB53" s="29">
        <f t="shared" si="4"/>
        <v>2736.1465663816343</v>
      </c>
      <c r="AC53" s="29">
        <f t="shared" si="7"/>
        <v>0</v>
      </c>
      <c r="AD53" s="29">
        <f t="shared" si="8"/>
        <v>0</v>
      </c>
      <c r="AE53" s="28">
        <v>20</v>
      </c>
      <c r="AF53" s="28">
        <v>690</v>
      </c>
      <c r="AG53" s="28">
        <v>210000</v>
      </c>
      <c r="AH53" s="29">
        <v>9576.5129823357202</v>
      </c>
      <c r="AI53" s="29">
        <v>0</v>
      </c>
      <c r="AJ53" s="30">
        <v>0</v>
      </c>
      <c r="AK53" s="57">
        <f t="shared" si="5"/>
        <v>4.017395583432215</v>
      </c>
      <c r="AL53" s="57">
        <f t="shared" si="6"/>
        <v>1.5</v>
      </c>
      <c r="AM53" s="60"/>
      <c r="AN53" s="57">
        <v>0.842991030261521</v>
      </c>
      <c r="AO53" s="57"/>
      <c r="AP53" s="57">
        <v>2</v>
      </c>
      <c r="AU53" s="15"/>
      <c r="AV53" s="15"/>
      <c r="AW53" s="16"/>
    </row>
    <row r="54" spans="1:56" ht="21" x14ac:dyDescent="0.35">
      <c r="A54" s="28">
        <v>51</v>
      </c>
      <c r="B54" s="67" t="s">
        <v>145</v>
      </c>
      <c r="C54" s="28">
        <v>300</v>
      </c>
      <c r="D54" s="19">
        <v>300</v>
      </c>
      <c r="E54" s="28">
        <v>340</v>
      </c>
      <c r="F54" s="46">
        <v>21.5</v>
      </c>
      <c r="G54" s="47">
        <v>21.5</v>
      </c>
      <c r="H54" s="28">
        <v>12</v>
      </c>
      <c r="I54" s="19">
        <v>27</v>
      </c>
      <c r="J54" s="19">
        <v>27</v>
      </c>
      <c r="K54" s="61">
        <v>6026.0933751483226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1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1"/>
        <v>1</v>
      </c>
      <c r="Z54" s="19">
        <f t="shared" si="2"/>
        <v>0</v>
      </c>
      <c r="AA54" s="19">
        <f t="shared" si="3"/>
        <v>0</v>
      </c>
      <c r="AB54" s="29">
        <f t="shared" si="4"/>
        <v>2251.0518736657723</v>
      </c>
      <c r="AC54" s="29">
        <f t="shared" si="7"/>
        <v>0</v>
      </c>
      <c r="AD54" s="29">
        <f t="shared" si="8"/>
        <v>0</v>
      </c>
      <c r="AE54" s="28">
        <v>20</v>
      </c>
      <c r="AF54" s="28">
        <v>690</v>
      </c>
      <c r="AG54" s="28">
        <v>210000</v>
      </c>
      <c r="AH54" s="29">
        <v>7878.681557830203</v>
      </c>
      <c r="AI54" s="29">
        <v>0</v>
      </c>
      <c r="AJ54" s="30">
        <v>0</v>
      </c>
      <c r="AK54" s="57">
        <f t="shared" si="5"/>
        <v>6.0260933751483226</v>
      </c>
      <c r="AL54" s="57">
        <f t="shared" si="6"/>
        <v>1.5</v>
      </c>
      <c r="AM54" s="60"/>
      <c r="AN54" s="57">
        <v>0.69353614366612826</v>
      </c>
      <c r="AO54" s="57"/>
      <c r="AP54" s="57">
        <v>2</v>
      </c>
      <c r="AU54" s="15"/>
      <c r="AV54" s="15"/>
      <c r="AW54" s="16"/>
    </row>
    <row r="55" spans="1:56" ht="21" x14ac:dyDescent="0.35">
      <c r="A55" s="28">
        <v>52</v>
      </c>
      <c r="B55" s="67" t="s">
        <v>146</v>
      </c>
      <c r="C55" s="28">
        <v>300</v>
      </c>
      <c r="D55" s="19">
        <v>300</v>
      </c>
      <c r="E55" s="28">
        <v>340</v>
      </c>
      <c r="F55" s="46">
        <v>21.5</v>
      </c>
      <c r="G55" s="47">
        <v>21.5</v>
      </c>
      <c r="H55" s="28">
        <v>12</v>
      </c>
      <c r="I55" s="19">
        <v>27</v>
      </c>
      <c r="J55" s="19">
        <v>27</v>
      </c>
      <c r="K55" s="19">
        <v>8034.7911668644301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1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1"/>
        <v>1</v>
      </c>
      <c r="Z55" s="19">
        <f t="shared" si="2"/>
        <v>0</v>
      </c>
      <c r="AA55" s="19">
        <f t="shared" si="3"/>
        <v>0</v>
      </c>
      <c r="AB55" s="29">
        <f t="shared" si="4"/>
        <v>1752.5124970020527</v>
      </c>
      <c r="AC55" s="29">
        <f t="shared" si="7"/>
        <v>0</v>
      </c>
      <c r="AD55" s="29">
        <f t="shared" si="8"/>
        <v>0</v>
      </c>
      <c r="AE55" s="28">
        <v>20</v>
      </c>
      <c r="AF55" s="28">
        <v>690</v>
      </c>
      <c r="AG55" s="28">
        <v>210000</v>
      </c>
      <c r="AH55" s="29">
        <v>6133.793739507184</v>
      </c>
      <c r="AI55" s="29">
        <v>0</v>
      </c>
      <c r="AJ55" s="30">
        <v>0</v>
      </c>
      <c r="AK55" s="57">
        <f t="shared" si="5"/>
        <v>8.0347911668644301</v>
      </c>
      <c r="AL55" s="57">
        <f t="shared" si="6"/>
        <v>1.5</v>
      </c>
      <c r="AM55" s="60"/>
      <c r="AN55" s="57">
        <v>0.53993902722384057</v>
      </c>
      <c r="AO55" s="57"/>
      <c r="AP55" s="57">
        <v>2</v>
      </c>
      <c r="AU55" s="15"/>
      <c r="AV55" s="15"/>
      <c r="AW55" s="16"/>
    </row>
    <row r="56" spans="1:56" ht="21" x14ac:dyDescent="0.35">
      <c r="A56" s="28">
        <v>53</v>
      </c>
      <c r="B56" s="67" t="s">
        <v>147</v>
      </c>
      <c r="C56" s="28">
        <v>300</v>
      </c>
      <c r="D56" s="19">
        <v>300</v>
      </c>
      <c r="E56" s="28">
        <v>340</v>
      </c>
      <c r="F56" s="46">
        <v>21.5</v>
      </c>
      <c r="G56" s="47">
        <v>21.5</v>
      </c>
      <c r="H56" s="28">
        <v>12</v>
      </c>
      <c r="I56" s="19">
        <v>27</v>
      </c>
      <c r="J56" s="19">
        <v>27</v>
      </c>
      <c r="K56" s="61">
        <v>10686.272251929693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1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1"/>
        <v>1</v>
      </c>
      <c r="Z56" s="19">
        <f t="shared" si="2"/>
        <v>0</v>
      </c>
      <c r="AA56" s="19">
        <f t="shared" si="3"/>
        <v>0</v>
      </c>
      <c r="AB56" s="29">
        <f t="shared" si="4"/>
        <v>1221.6808080477019</v>
      </c>
      <c r="AC56" s="29">
        <f t="shared" si="7"/>
        <v>0</v>
      </c>
      <c r="AD56" s="29">
        <f t="shared" si="8"/>
        <v>0</v>
      </c>
      <c r="AE56" s="28">
        <v>20</v>
      </c>
      <c r="AF56" s="28">
        <v>690</v>
      </c>
      <c r="AG56" s="28">
        <v>210000</v>
      </c>
      <c r="AH56" s="29">
        <v>4275.8828281669566</v>
      </c>
      <c r="AI56" s="29">
        <v>0</v>
      </c>
      <c r="AJ56" s="30">
        <v>0</v>
      </c>
      <c r="AK56" s="57">
        <f t="shared" si="5"/>
        <v>10.686272251929694</v>
      </c>
      <c r="AL56" s="57">
        <f t="shared" si="6"/>
        <v>1.5</v>
      </c>
      <c r="AM56" s="60"/>
      <c r="AN56" s="57">
        <v>0.37639283497476766</v>
      </c>
      <c r="AO56" s="57"/>
      <c r="AP56" s="57">
        <v>2</v>
      </c>
      <c r="AU56" s="15"/>
      <c r="AV56" s="15"/>
      <c r="AW56" s="16"/>
    </row>
    <row r="57" spans="1:56" ht="21" x14ac:dyDescent="0.35">
      <c r="A57" s="28">
        <v>54</v>
      </c>
      <c r="B57" s="67" t="s">
        <v>148</v>
      </c>
      <c r="C57" s="28">
        <v>300</v>
      </c>
      <c r="D57" s="19">
        <v>300</v>
      </c>
      <c r="E57" s="28">
        <v>340</v>
      </c>
      <c r="F57" s="46">
        <v>21.5</v>
      </c>
      <c r="G57" s="47">
        <v>21.5</v>
      </c>
      <c r="H57" s="28">
        <v>12</v>
      </c>
      <c r="I57" s="19">
        <v>27</v>
      </c>
      <c r="J57" s="19">
        <v>27</v>
      </c>
      <c r="K57" s="61">
        <v>13418.101248663597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1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1"/>
        <v>1</v>
      </c>
      <c r="Z57" s="19">
        <f t="shared" si="2"/>
        <v>0</v>
      </c>
      <c r="AA57" s="19">
        <f t="shared" si="3"/>
        <v>0</v>
      </c>
      <c r="AB57" s="29">
        <f t="shared" si="4"/>
        <v>861.10380146408113</v>
      </c>
      <c r="AC57" s="29">
        <f t="shared" si="7"/>
        <v>0</v>
      </c>
      <c r="AD57" s="29">
        <f t="shared" si="8"/>
        <v>0</v>
      </c>
      <c r="AE57" s="28">
        <v>20</v>
      </c>
      <c r="AF57" s="28">
        <v>690</v>
      </c>
      <c r="AG57" s="28">
        <v>210000</v>
      </c>
      <c r="AH57" s="29">
        <v>3013.8633051242841</v>
      </c>
      <c r="AI57" s="29">
        <v>0</v>
      </c>
      <c r="AJ57" s="30">
        <v>0</v>
      </c>
      <c r="AK57" s="57">
        <f t="shared" si="5"/>
        <v>13.418101248663596</v>
      </c>
      <c r="AL57" s="57">
        <f t="shared" si="6"/>
        <v>1.5</v>
      </c>
      <c r="AM57" s="60"/>
      <c r="AN57" s="57">
        <v>0.26530113177316905</v>
      </c>
      <c r="AO57" s="57"/>
      <c r="AP57" s="57">
        <v>2</v>
      </c>
      <c r="AU57" s="15"/>
      <c r="AV57" s="15"/>
      <c r="AW57" s="16"/>
    </row>
    <row r="58" spans="1:56" ht="21" x14ac:dyDescent="0.35">
      <c r="A58" s="28">
        <v>55</v>
      </c>
      <c r="B58" s="67" t="s">
        <v>149</v>
      </c>
      <c r="C58" s="28">
        <v>300</v>
      </c>
      <c r="D58" s="19">
        <v>300</v>
      </c>
      <c r="E58" s="28">
        <v>340</v>
      </c>
      <c r="F58" s="46">
        <v>21.5</v>
      </c>
      <c r="G58" s="47">
        <v>21.5</v>
      </c>
      <c r="H58" s="28">
        <v>12</v>
      </c>
      <c r="I58" s="19">
        <v>27</v>
      </c>
      <c r="J58" s="19">
        <v>27</v>
      </c>
      <c r="K58" s="19">
        <v>16069.58233372886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1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1"/>
        <v>1</v>
      </c>
      <c r="Z58" s="19">
        <f t="shared" si="2"/>
        <v>0</v>
      </c>
      <c r="AA58" s="19">
        <f t="shared" si="3"/>
        <v>0</v>
      </c>
      <c r="AB58" s="29">
        <f t="shared" si="4"/>
        <v>636.76494508533108</v>
      </c>
      <c r="AC58" s="29">
        <f t="shared" si="7"/>
        <v>0</v>
      </c>
      <c r="AD58" s="29">
        <f t="shared" si="8"/>
        <v>0</v>
      </c>
      <c r="AE58" s="28">
        <v>20</v>
      </c>
      <c r="AF58" s="28">
        <v>690</v>
      </c>
      <c r="AG58" s="28">
        <v>210000</v>
      </c>
      <c r="AH58" s="29">
        <v>2228.6773077986586</v>
      </c>
      <c r="AI58" s="29">
        <v>0</v>
      </c>
      <c r="AJ58" s="30">
        <v>0</v>
      </c>
      <c r="AK58" s="57">
        <f t="shared" si="5"/>
        <v>16.06958233372886</v>
      </c>
      <c r="AL58" s="57">
        <f t="shared" si="6"/>
        <v>1.5</v>
      </c>
      <c r="AM58" s="60"/>
      <c r="AN58" s="57">
        <v>0.19618361957918362</v>
      </c>
      <c r="AO58" s="57"/>
      <c r="AP58" s="57">
        <v>2</v>
      </c>
      <c r="AU58" s="15"/>
      <c r="AV58" s="15"/>
      <c r="AW58" s="16"/>
    </row>
    <row r="59" spans="1:56" ht="21" x14ac:dyDescent="0.35">
      <c r="A59" s="28">
        <v>56</v>
      </c>
      <c r="B59" s="67" t="s">
        <v>150</v>
      </c>
      <c r="C59" s="28">
        <v>300</v>
      </c>
      <c r="D59" s="19">
        <v>300</v>
      </c>
      <c r="E59" s="28">
        <v>340</v>
      </c>
      <c r="F59" s="46">
        <v>21.5</v>
      </c>
      <c r="G59" s="47">
        <v>21.5</v>
      </c>
      <c r="H59" s="28">
        <v>12</v>
      </c>
      <c r="I59" s="19">
        <v>27</v>
      </c>
      <c r="J59" s="19">
        <v>27</v>
      </c>
      <c r="K59" s="19">
        <v>20086.977917161075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1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1"/>
        <v>1</v>
      </c>
      <c r="Z59" s="19">
        <f t="shared" si="2"/>
        <v>0</v>
      </c>
      <c r="AA59" s="19">
        <f t="shared" si="3"/>
        <v>0</v>
      </c>
      <c r="AB59" s="29">
        <f t="shared" si="4"/>
        <v>429.9540877766695</v>
      </c>
      <c r="AC59" s="29">
        <f t="shared" si="7"/>
        <v>0</v>
      </c>
      <c r="AD59" s="29">
        <f t="shared" si="8"/>
        <v>0</v>
      </c>
      <c r="AE59" s="28">
        <v>20</v>
      </c>
      <c r="AF59" s="28">
        <v>690</v>
      </c>
      <c r="AG59" s="28">
        <v>210000</v>
      </c>
      <c r="AH59" s="29">
        <v>1504.8393072183433</v>
      </c>
      <c r="AI59" s="29">
        <v>0</v>
      </c>
      <c r="AJ59" s="30">
        <v>0</v>
      </c>
      <c r="AK59" s="57">
        <f t="shared" si="5"/>
        <v>20.086977917161075</v>
      </c>
      <c r="AL59" s="57">
        <f t="shared" si="6"/>
        <v>1.5</v>
      </c>
      <c r="AM59" s="60"/>
      <c r="AN59" s="57">
        <v>0.13246638315114781</v>
      </c>
      <c r="AO59" s="57"/>
      <c r="AP59" s="57">
        <v>2</v>
      </c>
      <c r="AU59" s="15"/>
      <c r="AV59" s="15"/>
      <c r="AW59" s="16"/>
    </row>
    <row r="60" spans="1:56" ht="21" x14ac:dyDescent="0.35">
      <c r="A60" s="28">
        <v>57</v>
      </c>
      <c r="B60" s="67" t="s">
        <v>151</v>
      </c>
      <c r="C60" s="28">
        <v>300</v>
      </c>
      <c r="D60" s="19">
        <v>300</v>
      </c>
      <c r="E60" s="28">
        <v>400</v>
      </c>
      <c r="F60" s="28">
        <v>24</v>
      </c>
      <c r="G60" s="47">
        <v>24</v>
      </c>
      <c r="H60" s="28">
        <v>13.5</v>
      </c>
      <c r="I60" s="19">
        <v>27</v>
      </c>
      <c r="J60" s="19">
        <v>27</v>
      </c>
      <c r="K60" s="19">
        <v>2808.2947617670206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1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1"/>
        <v>1</v>
      </c>
      <c r="Z60" s="19">
        <f t="shared" si="2"/>
        <v>0</v>
      </c>
      <c r="AA60" s="19">
        <f t="shared" si="3"/>
        <v>0</v>
      </c>
      <c r="AB60" s="29">
        <f t="shared" si="4"/>
        <v>3583.6783458565537</v>
      </c>
      <c r="AC60" s="29">
        <f t="shared" si="7"/>
        <v>0</v>
      </c>
      <c r="AD60" s="29">
        <f t="shared" si="8"/>
        <v>0</v>
      </c>
      <c r="AE60" s="28">
        <v>20</v>
      </c>
      <c r="AF60" s="28">
        <v>690</v>
      </c>
      <c r="AG60" s="28">
        <v>210000</v>
      </c>
      <c r="AH60" s="29">
        <v>12542.874210497937</v>
      </c>
      <c r="AI60" s="29">
        <v>0</v>
      </c>
      <c r="AJ60" s="30">
        <v>0</v>
      </c>
      <c r="AK60" s="57">
        <f t="shared" si="5"/>
        <v>2.8082947617670206</v>
      </c>
      <c r="AL60" s="57">
        <f t="shared" si="6"/>
        <v>1.5</v>
      </c>
      <c r="AM60" s="60"/>
      <c r="AN60" s="57">
        <v>0.94914779479631584</v>
      </c>
      <c r="AO60" s="57"/>
      <c r="AP60" s="57">
        <v>2</v>
      </c>
      <c r="AU60" s="15"/>
      <c r="AV60" s="15"/>
      <c r="AW60" s="16"/>
    </row>
    <row r="61" spans="1:56" ht="21" x14ac:dyDescent="0.35">
      <c r="A61" s="28">
        <v>58</v>
      </c>
      <c r="B61" s="67" t="s">
        <v>152</v>
      </c>
      <c r="C61" s="28">
        <v>300</v>
      </c>
      <c r="D61" s="19">
        <v>300</v>
      </c>
      <c r="E61" s="28">
        <v>400</v>
      </c>
      <c r="F61" s="28">
        <v>24</v>
      </c>
      <c r="G61" s="47">
        <v>24</v>
      </c>
      <c r="H61" s="28">
        <v>13.5</v>
      </c>
      <c r="I61" s="19">
        <v>27</v>
      </c>
      <c r="J61" s="19">
        <v>27</v>
      </c>
      <c r="K61" s="19">
        <v>4680.4912696117008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1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1"/>
        <v>1</v>
      </c>
      <c r="Z61" s="19">
        <f t="shared" si="2"/>
        <v>0</v>
      </c>
      <c r="AA61" s="19">
        <f t="shared" si="3"/>
        <v>0</v>
      </c>
      <c r="AB61" s="29">
        <f t="shared" si="4"/>
        <v>3182.8643731378193</v>
      </c>
      <c r="AC61" s="29">
        <f t="shared" si="7"/>
        <v>0</v>
      </c>
      <c r="AD61" s="29">
        <f t="shared" si="8"/>
        <v>0</v>
      </c>
      <c r="AE61" s="28">
        <v>20</v>
      </c>
      <c r="AF61" s="28">
        <v>690</v>
      </c>
      <c r="AG61" s="28">
        <v>210000</v>
      </c>
      <c r="AH61" s="29">
        <v>11140.025305982368</v>
      </c>
      <c r="AI61" s="29">
        <v>0</v>
      </c>
      <c r="AJ61" s="30">
        <v>0</v>
      </c>
      <c r="AK61" s="57">
        <f t="shared" si="5"/>
        <v>4.6804912696117009</v>
      </c>
      <c r="AL61" s="57">
        <f t="shared" si="6"/>
        <v>1.5</v>
      </c>
      <c r="AM61" s="60"/>
      <c r="AN61" s="57">
        <v>0.842991030261521</v>
      </c>
      <c r="AO61" s="57"/>
      <c r="AP61" s="57">
        <v>2</v>
      </c>
      <c r="AU61" s="15"/>
      <c r="AV61" s="15"/>
      <c r="AW61" s="16"/>
    </row>
    <row r="62" spans="1:56" ht="21" x14ac:dyDescent="0.35">
      <c r="A62" s="28">
        <v>59</v>
      </c>
      <c r="B62" s="67" t="s">
        <v>153</v>
      </c>
      <c r="C62" s="28">
        <v>300</v>
      </c>
      <c r="D62" s="19">
        <v>300</v>
      </c>
      <c r="E62" s="28">
        <v>400</v>
      </c>
      <c r="F62" s="28">
        <v>24</v>
      </c>
      <c r="G62" s="47">
        <v>24</v>
      </c>
      <c r="H62" s="28">
        <v>13.5</v>
      </c>
      <c r="I62" s="19">
        <v>27</v>
      </c>
      <c r="J62" s="19">
        <v>27</v>
      </c>
      <c r="K62" s="19">
        <v>7020.7369044175512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1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1"/>
        <v>1</v>
      </c>
      <c r="Z62" s="19">
        <f t="shared" si="2"/>
        <v>0</v>
      </c>
      <c r="AA62" s="19">
        <f t="shared" si="3"/>
        <v>0</v>
      </c>
      <c r="AB62" s="29">
        <f t="shared" si="4"/>
        <v>2618.5705469173272</v>
      </c>
      <c r="AC62" s="29">
        <f t="shared" si="7"/>
        <v>0</v>
      </c>
      <c r="AD62" s="29">
        <f t="shared" si="8"/>
        <v>0</v>
      </c>
      <c r="AE62" s="28">
        <v>20</v>
      </c>
      <c r="AF62" s="28">
        <v>690</v>
      </c>
      <c r="AG62" s="28">
        <v>210000</v>
      </c>
      <c r="AH62" s="29">
        <v>9164.9969142106456</v>
      </c>
      <c r="AI62" s="29">
        <v>0</v>
      </c>
      <c r="AJ62" s="30">
        <v>0</v>
      </c>
      <c r="AK62" s="57">
        <f t="shared" si="5"/>
        <v>7.0207369044175509</v>
      </c>
      <c r="AL62" s="57">
        <f t="shared" si="6"/>
        <v>1.5</v>
      </c>
      <c r="AM62" s="60"/>
      <c r="AN62" s="57">
        <v>0.69353614366612826</v>
      </c>
      <c r="AO62" s="57"/>
      <c r="AP62" s="57">
        <v>2</v>
      </c>
      <c r="AU62" s="15"/>
      <c r="AV62" s="15"/>
      <c r="AW62" s="16"/>
    </row>
    <row r="63" spans="1:56" ht="21" x14ac:dyDescent="0.35">
      <c r="A63" s="28">
        <v>60</v>
      </c>
      <c r="B63" s="67" t="s">
        <v>154</v>
      </c>
      <c r="C63" s="28">
        <v>300</v>
      </c>
      <c r="D63" s="19">
        <v>300</v>
      </c>
      <c r="E63" s="28">
        <v>400</v>
      </c>
      <c r="F63" s="28">
        <v>24</v>
      </c>
      <c r="G63" s="47">
        <v>24</v>
      </c>
      <c r="H63" s="28">
        <v>13.5</v>
      </c>
      <c r="I63" s="19">
        <v>27</v>
      </c>
      <c r="J63" s="19">
        <v>27</v>
      </c>
      <c r="K63" s="19">
        <v>9360.9825392234015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1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1"/>
        <v>1</v>
      </c>
      <c r="Z63" s="19">
        <f t="shared" si="2"/>
        <v>0</v>
      </c>
      <c r="AA63" s="19">
        <f t="shared" si="3"/>
        <v>0</v>
      </c>
      <c r="AB63" s="29">
        <f t="shared" si="4"/>
        <v>2038.6369863085104</v>
      </c>
      <c r="AC63" s="29">
        <f t="shared" si="7"/>
        <v>0</v>
      </c>
      <c r="AD63" s="29">
        <f t="shared" si="8"/>
        <v>0</v>
      </c>
      <c r="AE63" s="28">
        <v>20</v>
      </c>
      <c r="AF63" s="28">
        <v>690</v>
      </c>
      <c r="AG63" s="28">
        <v>210000</v>
      </c>
      <c r="AH63" s="29">
        <v>7135.2294520797859</v>
      </c>
      <c r="AI63" s="29">
        <v>0</v>
      </c>
      <c r="AJ63" s="30">
        <v>0</v>
      </c>
      <c r="AK63" s="57">
        <f t="shared" si="5"/>
        <v>9.3609825392234018</v>
      </c>
      <c r="AL63" s="57">
        <f t="shared" si="6"/>
        <v>1.5</v>
      </c>
      <c r="AM63" s="60"/>
      <c r="AN63" s="57">
        <v>0.53993902722384057</v>
      </c>
      <c r="AO63" s="57"/>
      <c r="AP63" s="57">
        <v>2</v>
      </c>
      <c r="AU63" s="15"/>
      <c r="AV63" s="15"/>
      <c r="AW63" s="16"/>
    </row>
    <row r="64" spans="1:56" ht="21" x14ac:dyDescent="0.35">
      <c r="A64" s="28">
        <v>61</v>
      </c>
      <c r="B64" s="67" t="s">
        <v>155</v>
      </c>
      <c r="C64" s="28">
        <v>300</v>
      </c>
      <c r="D64" s="19">
        <v>300</v>
      </c>
      <c r="E64" s="28">
        <v>400</v>
      </c>
      <c r="F64" s="28">
        <v>24</v>
      </c>
      <c r="G64" s="47">
        <v>24</v>
      </c>
      <c r="H64" s="28">
        <v>13.5</v>
      </c>
      <c r="I64" s="19">
        <v>27</v>
      </c>
      <c r="J64" s="19">
        <v>27</v>
      </c>
      <c r="K64" s="61">
        <v>12450.106777167126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1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1"/>
        <v>1</v>
      </c>
      <c r="Z64" s="19">
        <f t="shared" si="2"/>
        <v>0</v>
      </c>
      <c r="AA64" s="19">
        <f t="shared" si="3"/>
        <v>0</v>
      </c>
      <c r="AB64" s="29">
        <f t="shared" si="4"/>
        <v>1421.1388991575302</v>
      </c>
      <c r="AC64" s="29">
        <f t="shared" si="7"/>
        <v>0</v>
      </c>
      <c r="AD64" s="29">
        <f t="shared" si="8"/>
        <v>0</v>
      </c>
      <c r="AE64" s="28">
        <v>20</v>
      </c>
      <c r="AF64" s="28">
        <v>690</v>
      </c>
      <c r="AG64" s="28">
        <v>210000</v>
      </c>
      <c r="AH64" s="29">
        <v>4973.9861470513561</v>
      </c>
      <c r="AI64" s="29">
        <v>0</v>
      </c>
      <c r="AJ64" s="30">
        <v>0</v>
      </c>
      <c r="AK64" s="57">
        <f t="shared" si="5"/>
        <v>12.450106777167125</v>
      </c>
      <c r="AL64" s="57">
        <f t="shared" si="6"/>
        <v>1.5</v>
      </c>
      <c r="AM64" s="60"/>
      <c r="AN64" s="57">
        <v>0.37639283497476755</v>
      </c>
      <c r="AO64" s="57"/>
      <c r="AP64" s="57">
        <v>2</v>
      </c>
      <c r="AU64" s="15"/>
      <c r="AV64" s="15"/>
      <c r="AW64" s="16"/>
    </row>
    <row r="65" spans="1:49" ht="21" x14ac:dyDescent="0.35">
      <c r="A65" s="28">
        <v>62</v>
      </c>
      <c r="B65" s="67" t="s">
        <v>156</v>
      </c>
      <c r="C65" s="28">
        <v>300</v>
      </c>
      <c r="D65" s="19">
        <v>300</v>
      </c>
      <c r="E65" s="28">
        <v>400</v>
      </c>
      <c r="F65" s="28">
        <v>24</v>
      </c>
      <c r="G65" s="47">
        <v>24</v>
      </c>
      <c r="H65" s="28">
        <v>13.5</v>
      </c>
      <c r="I65" s="19">
        <v>27</v>
      </c>
      <c r="J65" s="19">
        <v>27</v>
      </c>
      <c r="K65" s="19">
        <v>15632.84084050308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1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1"/>
        <v>1</v>
      </c>
      <c r="Z65" s="19">
        <f t="shared" si="2"/>
        <v>0</v>
      </c>
      <c r="AA65" s="19">
        <f t="shared" si="3"/>
        <v>0</v>
      </c>
      <c r="AB65" s="29">
        <f t="shared" si="4"/>
        <v>1001.6921772133189</v>
      </c>
      <c r="AC65" s="29">
        <f t="shared" si="7"/>
        <v>0</v>
      </c>
      <c r="AD65" s="29">
        <f t="shared" si="8"/>
        <v>0</v>
      </c>
      <c r="AE65" s="28">
        <v>20</v>
      </c>
      <c r="AF65" s="28">
        <v>690</v>
      </c>
      <c r="AG65" s="28">
        <v>210000</v>
      </c>
      <c r="AH65" s="29">
        <v>3505.9226202466161</v>
      </c>
      <c r="AI65" s="29">
        <v>0</v>
      </c>
      <c r="AJ65" s="30">
        <v>0</v>
      </c>
      <c r="AK65" s="57">
        <f t="shared" si="5"/>
        <v>15.63284084050308</v>
      </c>
      <c r="AL65" s="57">
        <f t="shared" si="6"/>
        <v>1.5</v>
      </c>
      <c r="AM65" s="60"/>
      <c r="AN65" s="57">
        <v>0.26530113177316905</v>
      </c>
      <c r="AO65" s="57"/>
      <c r="AP65" s="57">
        <v>2</v>
      </c>
      <c r="AU65" s="15"/>
      <c r="AV65" s="15"/>
      <c r="AW65" s="16"/>
    </row>
    <row r="66" spans="1:49" ht="21" x14ac:dyDescent="0.35">
      <c r="A66" s="28">
        <v>63</v>
      </c>
      <c r="B66" s="67" t="s">
        <v>157</v>
      </c>
      <c r="C66" s="28">
        <v>300</v>
      </c>
      <c r="D66" s="19">
        <v>300</v>
      </c>
      <c r="E66" s="28">
        <v>400</v>
      </c>
      <c r="F66" s="28">
        <v>24</v>
      </c>
      <c r="G66" s="47">
        <v>24</v>
      </c>
      <c r="H66" s="28">
        <v>13.5</v>
      </c>
      <c r="I66" s="19">
        <v>27</v>
      </c>
      <c r="J66" s="19">
        <v>27</v>
      </c>
      <c r="K66" s="19">
        <v>18721.965078446803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1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1"/>
        <v>1</v>
      </c>
      <c r="Z66" s="19">
        <f t="shared" si="2"/>
        <v>0</v>
      </c>
      <c r="AA66" s="19">
        <f t="shared" si="3"/>
        <v>0</v>
      </c>
      <c r="AB66" s="29">
        <f t="shared" si="4"/>
        <v>740.72656877273209</v>
      </c>
      <c r="AC66" s="29">
        <f t="shared" si="7"/>
        <v>0</v>
      </c>
      <c r="AD66" s="29">
        <f t="shared" si="8"/>
        <v>0</v>
      </c>
      <c r="AE66" s="28">
        <v>20</v>
      </c>
      <c r="AF66" s="28">
        <v>690</v>
      </c>
      <c r="AG66" s="28">
        <v>210000</v>
      </c>
      <c r="AH66" s="29">
        <v>2592.5429907045623</v>
      </c>
      <c r="AI66" s="29">
        <v>0</v>
      </c>
      <c r="AJ66" s="30">
        <v>0</v>
      </c>
      <c r="AK66" s="57">
        <f t="shared" si="5"/>
        <v>18.721965078446804</v>
      </c>
      <c r="AL66" s="57">
        <f t="shared" si="6"/>
        <v>1.5</v>
      </c>
      <c r="AM66" s="60"/>
      <c r="AN66" s="57">
        <v>0.19618361957918362</v>
      </c>
      <c r="AO66" s="57"/>
      <c r="AP66" s="57">
        <v>2</v>
      </c>
      <c r="AU66" s="15"/>
      <c r="AV66" s="15"/>
      <c r="AW66" s="16"/>
    </row>
    <row r="67" spans="1:49" ht="21" x14ac:dyDescent="0.35">
      <c r="A67" s="28">
        <v>64</v>
      </c>
      <c r="B67" s="67" t="s">
        <v>158</v>
      </c>
      <c r="C67" s="28">
        <v>300</v>
      </c>
      <c r="D67" s="19">
        <v>300</v>
      </c>
      <c r="E67" s="28">
        <v>400</v>
      </c>
      <c r="F67" s="28">
        <v>24</v>
      </c>
      <c r="G67" s="47">
        <v>24</v>
      </c>
      <c r="H67" s="28">
        <v>13.5</v>
      </c>
      <c r="I67" s="19">
        <v>27</v>
      </c>
      <c r="J67" s="19">
        <v>27</v>
      </c>
      <c r="K67" s="61">
        <v>23402.456348058506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1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1"/>
        <v>1</v>
      </c>
      <c r="Z67" s="19">
        <f t="shared" si="2"/>
        <v>0</v>
      </c>
      <c r="AA67" s="19">
        <f t="shared" si="3"/>
        <v>0</v>
      </c>
      <c r="AB67" s="29">
        <f t="shared" si="4"/>
        <v>500.15067353612579</v>
      </c>
      <c r="AC67" s="29">
        <f t="shared" si="7"/>
        <v>0</v>
      </c>
      <c r="AD67" s="29">
        <f t="shared" si="8"/>
        <v>0</v>
      </c>
      <c r="AE67" s="28">
        <v>20</v>
      </c>
      <c r="AF67" s="28">
        <v>690</v>
      </c>
      <c r="AG67" s="28">
        <v>210000</v>
      </c>
      <c r="AH67" s="29">
        <v>1750.5273573764402</v>
      </c>
      <c r="AI67" s="29">
        <v>0</v>
      </c>
      <c r="AJ67" s="30">
        <v>0</v>
      </c>
      <c r="AK67" s="57">
        <f t="shared" si="5"/>
        <v>23.402456348058507</v>
      </c>
      <c r="AL67" s="57">
        <f t="shared" si="6"/>
        <v>1.5</v>
      </c>
      <c r="AM67" s="60"/>
      <c r="AN67" s="57">
        <v>0.13246638315114781</v>
      </c>
      <c r="AO67" s="57"/>
      <c r="AP67" s="57">
        <v>2</v>
      </c>
      <c r="AU67" s="15"/>
      <c r="AV67" s="15"/>
      <c r="AW67" s="16"/>
    </row>
    <row r="68" spans="1:49" ht="21" x14ac:dyDescent="0.35">
      <c r="A68" s="28">
        <v>65</v>
      </c>
      <c r="B68" s="67" t="s">
        <v>159</v>
      </c>
      <c r="C68" s="28">
        <v>300</v>
      </c>
      <c r="D68" s="19">
        <v>300</v>
      </c>
      <c r="E68" s="28">
        <v>500</v>
      </c>
      <c r="F68" s="28">
        <v>28</v>
      </c>
      <c r="G68" s="47">
        <v>28</v>
      </c>
      <c r="H68" s="28">
        <v>14.5</v>
      </c>
      <c r="I68" s="19">
        <v>27</v>
      </c>
      <c r="J68" s="19">
        <v>27</v>
      </c>
      <c r="K68" s="61">
        <v>3482.6201370257904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1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1"/>
        <v>1</v>
      </c>
      <c r="Z68" s="19">
        <f t="shared" si="2"/>
        <v>0</v>
      </c>
      <c r="AA68" s="19">
        <f t="shared" si="3"/>
        <v>0</v>
      </c>
      <c r="AB68" s="29">
        <f t="shared" si="4"/>
        <v>4348.241301222567</v>
      </c>
      <c r="AC68" s="29">
        <f t="shared" si="7"/>
        <v>0</v>
      </c>
      <c r="AD68" s="29">
        <f t="shared" si="8"/>
        <v>0</v>
      </c>
      <c r="AE68" s="28">
        <v>20</v>
      </c>
      <c r="AF68" s="28">
        <v>690</v>
      </c>
      <c r="AG68" s="28">
        <v>210000</v>
      </c>
      <c r="AH68" s="29">
        <v>15218.844554278983</v>
      </c>
      <c r="AI68" s="29">
        <v>0</v>
      </c>
      <c r="AJ68" s="30">
        <v>0</v>
      </c>
      <c r="AK68" s="57">
        <f t="shared" si="5"/>
        <v>3.4826201370257905</v>
      </c>
      <c r="AL68" s="57">
        <f t="shared" si="6"/>
        <v>1.5</v>
      </c>
      <c r="AM68" s="60"/>
      <c r="AN68" s="57">
        <v>0.94914779479631584</v>
      </c>
      <c r="AO68" s="57"/>
      <c r="AP68" s="57">
        <v>4</v>
      </c>
    </row>
    <row r="69" spans="1:49" ht="21" x14ac:dyDescent="0.35">
      <c r="A69" s="28">
        <v>66</v>
      </c>
      <c r="B69" s="67" t="s">
        <v>160</v>
      </c>
      <c r="C69" s="28">
        <v>300</v>
      </c>
      <c r="D69" s="19">
        <v>300</v>
      </c>
      <c r="E69" s="28">
        <v>500</v>
      </c>
      <c r="F69" s="28">
        <v>28</v>
      </c>
      <c r="G69" s="47">
        <v>28</v>
      </c>
      <c r="H69" s="28">
        <v>14.5</v>
      </c>
      <c r="I69" s="19">
        <v>27</v>
      </c>
      <c r="J69" s="19">
        <v>27</v>
      </c>
      <c r="K69" s="61">
        <v>5804.3668950429837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1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9">W69</f>
        <v>1</v>
      </c>
      <c r="Z69" s="19">
        <f t="shared" ref="Z69:Z99" si="10">IF(X69=90,0,(1-Y69)/(TAN(X69/180*PI())+1))</f>
        <v>0</v>
      </c>
      <c r="AA69" s="19">
        <f t="shared" ref="AA69:AA99" si="11">IF(X69=90,1-W69,Z69*TAN(X69/180*PI()))</f>
        <v>0</v>
      </c>
      <c r="AB69" s="29">
        <f t="shared" ref="AB69:AB99" si="12">AH69/3.5</f>
        <v>3861.9153249256815</v>
      </c>
      <c r="AC69" s="29">
        <f t="shared" ref="AC69:AC99" si="13">Z69*AI69/3.5</f>
        <v>0</v>
      </c>
      <c r="AD69" s="29">
        <f t="shared" ref="AD69:AD99" si="14">AA69*AJ69/3.5</f>
        <v>0</v>
      </c>
      <c r="AE69" s="28">
        <v>20</v>
      </c>
      <c r="AF69" s="28">
        <v>690</v>
      </c>
      <c r="AG69" s="28">
        <v>210000</v>
      </c>
      <c r="AH69" s="29">
        <v>13516.703637239885</v>
      </c>
      <c r="AI69" s="29">
        <v>0</v>
      </c>
      <c r="AJ69" s="30">
        <v>0</v>
      </c>
      <c r="AK69" s="57">
        <f t="shared" ref="AK69:AK99" si="15">K69/1000</f>
        <v>5.8043668950429836</v>
      </c>
      <c r="AL69" s="57">
        <f t="shared" ref="AL69:AL99" si="16">C69/200</f>
        <v>1.5</v>
      </c>
      <c r="AM69" s="60"/>
      <c r="AN69" s="57">
        <v>0.842991030261521</v>
      </c>
      <c r="AO69" s="57"/>
      <c r="AP69" s="57">
        <v>4</v>
      </c>
    </row>
    <row r="70" spans="1:49" ht="21" x14ac:dyDescent="0.35">
      <c r="A70" s="28">
        <v>67</v>
      </c>
      <c r="B70" s="67" t="s">
        <v>161</v>
      </c>
      <c r="C70" s="28">
        <v>300</v>
      </c>
      <c r="D70" s="19">
        <v>300</v>
      </c>
      <c r="E70" s="28">
        <v>500</v>
      </c>
      <c r="F70" s="28">
        <v>28</v>
      </c>
      <c r="G70" s="47">
        <v>28</v>
      </c>
      <c r="H70" s="28">
        <v>14.5</v>
      </c>
      <c r="I70" s="19">
        <v>27</v>
      </c>
      <c r="J70" s="19">
        <v>27</v>
      </c>
      <c r="K70" s="61">
        <v>8706.5503425644765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1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9"/>
        <v>1</v>
      </c>
      <c r="Z70" s="19">
        <f t="shared" si="10"/>
        <v>0</v>
      </c>
      <c r="AA70" s="19">
        <f t="shared" si="11"/>
        <v>0</v>
      </c>
      <c r="AB70" s="29">
        <f t="shared" si="12"/>
        <v>3177.2317444269443</v>
      </c>
      <c r="AC70" s="29">
        <f t="shared" si="13"/>
        <v>0</v>
      </c>
      <c r="AD70" s="29">
        <f t="shared" si="14"/>
        <v>0</v>
      </c>
      <c r="AE70" s="28">
        <v>20</v>
      </c>
      <c r="AF70" s="28">
        <v>690</v>
      </c>
      <c r="AG70" s="28">
        <v>210000</v>
      </c>
      <c r="AH70" s="29">
        <v>11120.311105494306</v>
      </c>
      <c r="AI70" s="29">
        <v>0</v>
      </c>
      <c r="AJ70" s="30">
        <v>0</v>
      </c>
      <c r="AK70" s="57">
        <f t="shared" si="15"/>
        <v>8.7065503425644764</v>
      </c>
      <c r="AL70" s="57">
        <f t="shared" si="16"/>
        <v>1.5</v>
      </c>
      <c r="AM70" s="60"/>
      <c r="AN70" s="57">
        <v>0.69353614366612815</v>
      </c>
      <c r="AO70" s="57"/>
      <c r="AP70" s="57">
        <v>4</v>
      </c>
    </row>
    <row r="71" spans="1:49" ht="21" x14ac:dyDescent="0.35">
      <c r="A71" s="28">
        <v>68</v>
      </c>
      <c r="B71" s="67" t="s">
        <v>162</v>
      </c>
      <c r="C71" s="28">
        <v>300</v>
      </c>
      <c r="D71" s="19">
        <v>300</v>
      </c>
      <c r="E71" s="28">
        <v>500</v>
      </c>
      <c r="F71" s="28">
        <v>28</v>
      </c>
      <c r="G71" s="47">
        <v>28</v>
      </c>
      <c r="H71" s="28">
        <v>14.5</v>
      </c>
      <c r="I71" s="19">
        <v>27</v>
      </c>
      <c r="J71" s="19">
        <v>27</v>
      </c>
      <c r="K71" s="61">
        <v>11608.733790085967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1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9"/>
        <v>1</v>
      </c>
      <c r="Z71" s="19">
        <f t="shared" si="10"/>
        <v>0</v>
      </c>
      <c r="AA71" s="19">
        <f t="shared" si="11"/>
        <v>0</v>
      </c>
      <c r="AB71" s="29">
        <f t="shared" si="12"/>
        <v>2473.5717568837281</v>
      </c>
      <c r="AC71" s="29">
        <f t="shared" si="13"/>
        <v>0</v>
      </c>
      <c r="AD71" s="29">
        <f t="shared" si="14"/>
        <v>0</v>
      </c>
      <c r="AE71" s="28">
        <v>20</v>
      </c>
      <c r="AF71" s="28">
        <v>690</v>
      </c>
      <c r="AG71" s="28">
        <v>210000</v>
      </c>
      <c r="AH71" s="29">
        <v>8657.5011490930483</v>
      </c>
      <c r="AI71" s="29">
        <v>0</v>
      </c>
      <c r="AJ71" s="30">
        <v>0</v>
      </c>
      <c r="AK71" s="57">
        <f t="shared" si="15"/>
        <v>11.608733790085967</v>
      </c>
      <c r="AL71" s="57">
        <f t="shared" si="16"/>
        <v>1.5</v>
      </c>
      <c r="AM71" s="60"/>
      <c r="AN71" s="57">
        <v>0.53993902722384057</v>
      </c>
      <c r="AO71" s="57"/>
      <c r="AP71" s="57">
        <v>4</v>
      </c>
    </row>
    <row r="72" spans="1:49" ht="21" x14ac:dyDescent="0.35">
      <c r="A72" s="28">
        <v>69</v>
      </c>
      <c r="B72" s="67" t="s">
        <v>163</v>
      </c>
      <c r="C72" s="28">
        <v>300</v>
      </c>
      <c r="D72" s="19">
        <v>300</v>
      </c>
      <c r="E72" s="28">
        <v>500</v>
      </c>
      <c r="F72" s="28">
        <v>28</v>
      </c>
      <c r="G72" s="47">
        <v>28</v>
      </c>
      <c r="H72" s="28">
        <v>14.5</v>
      </c>
      <c r="I72" s="19">
        <v>27</v>
      </c>
      <c r="J72" s="19">
        <v>27</v>
      </c>
      <c r="K72" s="19">
        <v>15439.615940814338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1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9"/>
        <v>1</v>
      </c>
      <c r="Z72" s="19">
        <f t="shared" si="10"/>
        <v>0</v>
      </c>
      <c r="AA72" s="19">
        <f t="shared" si="11"/>
        <v>0</v>
      </c>
      <c r="AB72" s="29">
        <f t="shared" si="12"/>
        <v>1724.3330064026056</v>
      </c>
      <c r="AC72" s="29">
        <f t="shared" si="13"/>
        <v>0</v>
      </c>
      <c r="AD72" s="29">
        <f t="shared" si="14"/>
        <v>0</v>
      </c>
      <c r="AE72" s="28">
        <v>20</v>
      </c>
      <c r="AF72" s="28">
        <v>690</v>
      </c>
      <c r="AG72" s="28">
        <v>210000</v>
      </c>
      <c r="AH72" s="29">
        <v>6035.1655224091201</v>
      </c>
      <c r="AI72" s="29">
        <v>0</v>
      </c>
      <c r="AJ72" s="30">
        <v>0</v>
      </c>
      <c r="AK72" s="57">
        <f t="shared" si="15"/>
        <v>15.439615940814338</v>
      </c>
      <c r="AL72" s="57">
        <f t="shared" si="16"/>
        <v>1.5</v>
      </c>
      <c r="AM72" s="60"/>
      <c r="AN72" s="57">
        <v>0.37639283497476766</v>
      </c>
      <c r="AO72" s="57"/>
      <c r="AP72" s="57">
        <v>4</v>
      </c>
    </row>
    <row r="73" spans="1:49" ht="21" x14ac:dyDescent="0.35">
      <c r="A73" s="28">
        <v>70</v>
      </c>
      <c r="B73" s="67" t="s">
        <v>164</v>
      </c>
      <c r="C73" s="28">
        <v>300</v>
      </c>
      <c r="D73" s="19">
        <v>300</v>
      </c>
      <c r="E73" s="28">
        <v>500</v>
      </c>
      <c r="F73" s="28">
        <v>28</v>
      </c>
      <c r="G73" s="47">
        <v>28</v>
      </c>
      <c r="H73" s="28">
        <v>14.5</v>
      </c>
      <c r="I73" s="19">
        <v>27</v>
      </c>
      <c r="J73" s="19">
        <v>27</v>
      </c>
      <c r="K73" s="61">
        <v>19386.585429443563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1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9"/>
        <v>1</v>
      </c>
      <c r="Z73" s="19">
        <f t="shared" si="10"/>
        <v>0</v>
      </c>
      <c r="AA73" s="19">
        <f t="shared" si="11"/>
        <v>0</v>
      </c>
      <c r="AB73" s="29">
        <f t="shared" si="12"/>
        <v>1215.3990608857093</v>
      </c>
      <c r="AC73" s="29">
        <f t="shared" si="13"/>
        <v>0</v>
      </c>
      <c r="AD73" s="29">
        <f t="shared" si="14"/>
        <v>0</v>
      </c>
      <c r="AE73" s="28">
        <v>20</v>
      </c>
      <c r="AF73" s="28">
        <v>690</v>
      </c>
      <c r="AG73" s="28">
        <v>210000</v>
      </c>
      <c r="AH73" s="29">
        <v>4253.8967130999827</v>
      </c>
      <c r="AI73" s="29">
        <v>0</v>
      </c>
      <c r="AJ73" s="30">
        <v>0</v>
      </c>
      <c r="AK73" s="57">
        <f t="shared" si="15"/>
        <v>19.386585429443564</v>
      </c>
      <c r="AL73" s="57">
        <f t="shared" si="16"/>
        <v>1.5</v>
      </c>
      <c r="AM73" s="60"/>
      <c r="AN73" s="57">
        <v>0.26530113177316905</v>
      </c>
      <c r="AO73" s="57"/>
      <c r="AP73" s="57">
        <v>4</v>
      </c>
    </row>
    <row r="74" spans="1:49" ht="21" x14ac:dyDescent="0.35">
      <c r="A74" s="28">
        <v>71</v>
      </c>
      <c r="B74" s="67" t="s">
        <v>165</v>
      </c>
      <c r="C74" s="28">
        <v>300</v>
      </c>
      <c r="D74" s="19">
        <v>300</v>
      </c>
      <c r="E74" s="28">
        <v>500</v>
      </c>
      <c r="F74" s="28">
        <v>28</v>
      </c>
      <c r="G74" s="47">
        <v>28</v>
      </c>
      <c r="H74" s="28">
        <v>14.5</v>
      </c>
      <c r="I74" s="19">
        <v>27</v>
      </c>
      <c r="J74" s="19">
        <v>27</v>
      </c>
      <c r="K74" s="19">
        <v>23217.467580171935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1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9"/>
        <v>1</v>
      </c>
      <c r="Z74" s="19">
        <f t="shared" si="10"/>
        <v>0</v>
      </c>
      <c r="AA74" s="19">
        <f t="shared" si="11"/>
        <v>0</v>
      </c>
      <c r="AB74" s="29">
        <f t="shared" si="12"/>
        <v>898.75751906541063</v>
      </c>
      <c r="AC74" s="29">
        <f t="shared" si="13"/>
        <v>0</v>
      </c>
      <c r="AD74" s="29">
        <f t="shared" si="14"/>
        <v>0</v>
      </c>
      <c r="AE74" s="28">
        <v>20</v>
      </c>
      <c r="AF74" s="28">
        <v>690</v>
      </c>
      <c r="AG74" s="28">
        <v>210000</v>
      </c>
      <c r="AH74" s="29">
        <v>3145.6513167289372</v>
      </c>
      <c r="AI74" s="29">
        <v>0</v>
      </c>
      <c r="AJ74" s="30">
        <v>0</v>
      </c>
      <c r="AK74" s="57">
        <f t="shared" si="15"/>
        <v>23.217467580171935</v>
      </c>
      <c r="AL74" s="57">
        <f t="shared" si="16"/>
        <v>1.5</v>
      </c>
      <c r="AM74" s="60"/>
      <c r="AN74" s="57">
        <v>0.19618361957918362</v>
      </c>
      <c r="AO74" s="57"/>
      <c r="AP74" s="57">
        <v>4</v>
      </c>
    </row>
    <row r="75" spans="1:49" ht="21" x14ac:dyDescent="0.35">
      <c r="A75" s="28">
        <v>72</v>
      </c>
      <c r="B75" s="67" t="s">
        <v>166</v>
      </c>
      <c r="C75" s="28">
        <v>300</v>
      </c>
      <c r="D75" s="19">
        <v>300</v>
      </c>
      <c r="E75" s="28">
        <v>500</v>
      </c>
      <c r="F75" s="28">
        <v>28</v>
      </c>
      <c r="G75" s="47">
        <v>28</v>
      </c>
      <c r="H75" s="28">
        <v>14.5</v>
      </c>
      <c r="I75" s="19">
        <v>27</v>
      </c>
      <c r="J75" s="19">
        <v>27</v>
      </c>
      <c r="K75" s="61">
        <v>29021.834475214921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1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9"/>
        <v>1</v>
      </c>
      <c r="Z75" s="19">
        <f t="shared" si="10"/>
        <v>0</v>
      </c>
      <c r="AA75" s="19">
        <f t="shared" si="11"/>
        <v>0</v>
      </c>
      <c r="AB75" s="29">
        <f t="shared" si="12"/>
        <v>606.85575144279926</v>
      </c>
      <c r="AC75" s="29">
        <f t="shared" si="13"/>
        <v>0</v>
      </c>
      <c r="AD75" s="29">
        <f t="shared" si="14"/>
        <v>0</v>
      </c>
      <c r="AE75" s="28">
        <v>20</v>
      </c>
      <c r="AF75" s="28">
        <v>690</v>
      </c>
      <c r="AG75" s="28">
        <v>210000</v>
      </c>
      <c r="AH75" s="29">
        <v>2123.9951300497974</v>
      </c>
      <c r="AI75" s="29">
        <v>0</v>
      </c>
      <c r="AJ75" s="30">
        <v>0</v>
      </c>
      <c r="AK75" s="57">
        <f t="shared" si="15"/>
        <v>29.02183447521492</v>
      </c>
      <c r="AL75" s="57">
        <f t="shared" si="16"/>
        <v>1.5</v>
      </c>
      <c r="AM75" s="60"/>
      <c r="AN75" s="57">
        <v>0.13246638315114781</v>
      </c>
      <c r="AO75" s="57"/>
      <c r="AP75" s="57">
        <v>4</v>
      </c>
    </row>
    <row r="76" spans="1:49" ht="21" x14ac:dyDescent="0.35">
      <c r="A76" s="28">
        <v>73</v>
      </c>
      <c r="B76" s="67" t="s">
        <v>167</v>
      </c>
      <c r="C76" s="28">
        <v>300</v>
      </c>
      <c r="D76" s="19">
        <v>300</v>
      </c>
      <c r="E76" s="28">
        <v>600</v>
      </c>
      <c r="F76" s="28">
        <v>30</v>
      </c>
      <c r="G76" s="47">
        <v>30</v>
      </c>
      <c r="H76" s="28">
        <v>15.5</v>
      </c>
      <c r="I76" s="19">
        <v>27</v>
      </c>
      <c r="J76" s="19">
        <v>27</v>
      </c>
      <c r="K76" s="19">
        <v>4133.7264896651886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1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9"/>
        <v>1</v>
      </c>
      <c r="Z76" s="19">
        <f t="shared" si="10"/>
        <v>0</v>
      </c>
      <c r="AA76" s="19">
        <f t="shared" si="11"/>
        <v>0</v>
      </c>
      <c r="AB76" s="29">
        <f t="shared" si="12"/>
        <v>4934.2939630449737</v>
      </c>
      <c r="AC76" s="29">
        <f t="shared" si="13"/>
        <v>0</v>
      </c>
      <c r="AD76" s="29">
        <f t="shared" si="14"/>
        <v>0</v>
      </c>
      <c r="AE76" s="28">
        <v>20</v>
      </c>
      <c r="AF76" s="28">
        <v>690</v>
      </c>
      <c r="AG76" s="28">
        <v>210000</v>
      </c>
      <c r="AH76" s="29">
        <v>17270.028870657407</v>
      </c>
      <c r="AI76" s="29">
        <v>0</v>
      </c>
      <c r="AJ76" s="30">
        <v>0</v>
      </c>
      <c r="AK76" s="57">
        <f t="shared" si="15"/>
        <v>4.1337264896651886</v>
      </c>
      <c r="AL76" s="57">
        <f t="shared" si="16"/>
        <v>1.5</v>
      </c>
      <c r="AM76" s="60"/>
      <c r="AN76" s="57">
        <v>0.94914779479631584</v>
      </c>
      <c r="AO76" s="57"/>
      <c r="AP76" s="57">
        <v>4</v>
      </c>
    </row>
    <row r="77" spans="1:49" ht="21" x14ac:dyDescent="0.35">
      <c r="A77" s="28">
        <v>74</v>
      </c>
      <c r="B77" s="67" t="s">
        <v>168</v>
      </c>
      <c r="C77" s="28">
        <v>300</v>
      </c>
      <c r="D77" s="19">
        <v>300</v>
      </c>
      <c r="E77" s="28">
        <v>600</v>
      </c>
      <c r="F77" s="28">
        <v>30</v>
      </c>
      <c r="G77" s="47">
        <v>30</v>
      </c>
      <c r="H77" s="28">
        <v>15.5</v>
      </c>
      <c r="I77" s="19">
        <v>27</v>
      </c>
      <c r="J77" s="19">
        <v>27</v>
      </c>
      <c r="K77" s="19">
        <v>6889.5441494419811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1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9"/>
        <v>1</v>
      </c>
      <c r="Z77" s="19">
        <f t="shared" si="10"/>
        <v>0</v>
      </c>
      <c r="AA77" s="19">
        <f t="shared" si="11"/>
        <v>0</v>
      </c>
      <c r="AB77" s="29">
        <f t="shared" si="12"/>
        <v>4382.4213408335581</v>
      </c>
      <c r="AC77" s="29">
        <f t="shared" si="13"/>
        <v>0</v>
      </c>
      <c r="AD77" s="29">
        <f t="shared" si="14"/>
        <v>0</v>
      </c>
      <c r="AE77" s="28">
        <v>20</v>
      </c>
      <c r="AF77" s="28">
        <v>690</v>
      </c>
      <c r="AG77" s="28">
        <v>210000</v>
      </c>
      <c r="AH77" s="29">
        <v>15338.474692917453</v>
      </c>
      <c r="AI77" s="29">
        <v>0</v>
      </c>
      <c r="AJ77" s="30">
        <v>0</v>
      </c>
      <c r="AK77" s="57">
        <f t="shared" si="15"/>
        <v>6.8895441494419813</v>
      </c>
      <c r="AL77" s="57">
        <f t="shared" si="16"/>
        <v>1.5</v>
      </c>
      <c r="AM77" s="60"/>
      <c r="AN77" s="57">
        <v>0.842991030261521</v>
      </c>
      <c r="AO77" s="57"/>
      <c r="AP77" s="57">
        <v>4</v>
      </c>
    </row>
    <row r="78" spans="1:49" ht="21" x14ac:dyDescent="0.35">
      <c r="A78" s="28">
        <v>75</v>
      </c>
      <c r="B78" s="67" t="s">
        <v>169</v>
      </c>
      <c r="C78" s="28">
        <v>300</v>
      </c>
      <c r="D78" s="19">
        <v>300</v>
      </c>
      <c r="E78" s="28">
        <v>600</v>
      </c>
      <c r="F78" s="28">
        <v>30</v>
      </c>
      <c r="G78" s="47">
        <v>30</v>
      </c>
      <c r="H78" s="28">
        <v>15.5</v>
      </c>
      <c r="I78" s="19">
        <v>27</v>
      </c>
      <c r="J78" s="19">
        <v>27</v>
      </c>
      <c r="K78" s="19">
        <v>10334.316224162971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1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9"/>
        <v>1</v>
      </c>
      <c r="Z78" s="19">
        <f t="shared" si="10"/>
        <v>0</v>
      </c>
      <c r="AA78" s="19">
        <f t="shared" si="11"/>
        <v>0</v>
      </c>
      <c r="AB78" s="29">
        <f t="shared" si="12"/>
        <v>3605.4566270995156</v>
      </c>
      <c r="AC78" s="29">
        <f t="shared" si="13"/>
        <v>0</v>
      </c>
      <c r="AD78" s="29">
        <f t="shared" si="14"/>
        <v>0</v>
      </c>
      <c r="AE78" s="28">
        <v>20</v>
      </c>
      <c r="AF78" s="28">
        <v>690</v>
      </c>
      <c r="AG78" s="28">
        <v>210000</v>
      </c>
      <c r="AH78" s="29">
        <v>12619.098194848304</v>
      </c>
      <c r="AI78" s="29">
        <v>0</v>
      </c>
      <c r="AJ78" s="30">
        <v>0</v>
      </c>
      <c r="AK78" s="57">
        <f t="shared" si="15"/>
        <v>10.33431622416297</v>
      </c>
      <c r="AL78" s="57">
        <f t="shared" si="16"/>
        <v>1.5</v>
      </c>
      <c r="AM78" s="60"/>
      <c r="AN78" s="57">
        <v>0.69353614366612837</v>
      </c>
      <c r="AO78" s="57"/>
      <c r="AP78" s="57">
        <v>4</v>
      </c>
    </row>
    <row r="79" spans="1:49" ht="21" x14ac:dyDescent="0.35">
      <c r="A79" s="28">
        <v>76</v>
      </c>
      <c r="B79" s="67" t="s">
        <v>170</v>
      </c>
      <c r="C79" s="28">
        <v>300</v>
      </c>
      <c r="D79" s="19">
        <v>300</v>
      </c>
      <c r="E79" s="28">
        <v>600</v>
      </c>
      <c r="F79" s="28">
        <v>30</v>
      </c>
      <c r="G79" s="47">
        <v>30</v>
      </c>
      <c r="H79" s="28">
        <v>15.5</v>
      </c>
      <c r="I79" s="19">
        <v>27</v>
      </c>
      <c r="J79" s="19">
        <v>27</v>
      </c>
      <c r="K79" s="19">
        <v>13779.088298883962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1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9"/>
        <v>1</v>
      </c>
      <c r="Z79" s="19">
        <f t="shared" si="10"/>
        <v>0</v>
      </c>
      <c r="AA79" s="19">
        <f t="shared" si="11"/>
        <v>0</v>
      </c>
      <c r="AB79" s="29">
        <f t="shared" si="12"/>
        <v>2806.9578805845558</v>
      </c>
      <c r="AC79" s="29">
        <f t="shared" si="13"/>
        <v>0</v>
      </c>
      <c r="AD79" s="29">
        <f t="shared" si="14"/>
        <v>0</v>
      </c>
      <c r="AE79" s="28">
        <v>20</v>
      </c>
      <c r="AF79" s="28">
        <v>690</v>
      </c>
      <c r="AG79" s="28">
        <v>210000</v>
      </c>
      <c r="AH79" s="29">
        <v>9824.3525820459454</v>
      </c>
      <c r="AI79" s="29">
        <v>0</v>
      </c>
      <c r="AJ79" s="30">
        <v>0</v>
      </c>
      <c r="AK79" s="57">
        <f t="shared" si="15"/>
        <v>13.779088298883963</v>
      </c>
      <c r="AL79" s="57">
        <f t="shared" si="16"/>
        <v>1.5</v>
      </c>
      <c r="AM79" s="60"/>
      <c r="AN79" s="57">
        <v>0.53993902722384057</v>
      </c>
      <c r="AO79" s="57"/>
      <c r="AP79" s="57">
        <v>4</v>
      </c>
    </row>
    <row r="80" spans="1:49" ht="21" x14ac:dyDescent="0.35">
      <c r="A80" s="28">
        <v>77</v>
      </c>
      <c r="B80" s="67" t="s">
        <v>171</v>
      </c>
      <c r="C80" s="28">
        <v>300</v>
      </c>
      <c r="D80" s="19">
        <v>300</v>
      </c>
      <c r="E80" s="28">
        <v>600</v>
      </c>
      <c r="F80" s="28">
        <v>30</v>
      </c>
      <c r="G80" s="47">
        <v>30</v>
      </c>
      <c r="H80" s="28">
        <v>15.5</v>
      </c>
      <c r="I80" s="19">
        <v>27</v>
      </c>
      <c r="J80" s="19">
        <v>27</v>
      </c>
      <c r="K80" s="19">
        <v>18326.187437515669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1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9"/>
        <v>1</v>
      </c>
      <c r="Z80" s="19">
        <f t="shared" si="10"/>
        <v>0</v>
      </c>
      <c r="AA80" s="19">
        <f t="shared" si="11"/>
        <v>0</v>
      </c>
      <c r="AB80" s="29">
        <f t="shared" si="12"/>
        <v>1956.7373000618261</v>
      </c>
      <c r="AC80" s="29">
        <f t="shared" si="13"/>
        <v>0</v>
      </c>
      <c r="AD80" s="29">
        <f t="shared" si="14"/>
        <v>0</v>
      </c>
      <c r="AE80" s="28">
        <v>20</v>
      </c>
      <c r="AF80" s="28">
        <v>690</v>
      </c>
      <c r="AG80" s="28">
        <v>210000</v>
      </c>
      <c r="AH80" s="29">
        <v>6848.5805502163912</v>
      </c>
      <c r="AI80" s="29">
        <v>0</v>
      </c>
      <c r="AJ80" s="30">
        <v>0</v>
      </c>
      <c r="AK80" s="57">
        <f t="shared" si="15"/>
        <v>18.326187437515671</v>
      </c>
      <c r="AL80" s="57">
        <f t="shared" si="16"/>
        <v>1.5</v>
      </c>
      <c r="AM80" s="60"/>
      <c r="AN80" s="57">
        <v>0.37639283497476772</v>
      </c>
      <c r="AO80" s="57"/>
      <c r="AP80" s="57">
        <v>4</v>
      </c>
    </row>
    <row r="81" spans="1:42" ht="21" x14ac:dyDescent="0.35">
      <c r="A81" s="28">
        <v>78</v>
      </c>
      <c r="B81" s="67" t="s">
        <v>172</v>
      </c>
      <c r="C81" s="28">
        <v>300</v>
      </c>
      <c r="D81" s="19">
        <v>300</v>
      </c>
      <c r="E81" s="28">
        <v>600</v>
      </c>
      <c r="F81" s="28">
        <v>30</v>
      </c>
      <c r="G81" s="47">
        <v>30</v>
      </c>
      <c r="H81" s="28">
        <v>15.5</v>
      </c>
      <c r="I81" s="19">
        <v>27</v>
      </c>
      <c r="J81" s="19">
        <v>27</v>
      </c>
      <c r="K81" s="19">
        <v>23011.077459136213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1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9"/>
        <v>1</v>
      </c>
      <c r="Z81" s="19">
        <f t="shared" si="10"/>
        <v>0</v>
      </c>
      <c r="AA81" s="19">
        <f t="shared" si="11"/>
        <v>0</v>
      </c>
      <c r="AB81" s="29">
        <f t="shared" si="12"/>
        <v>1379.2096237006695</v>
      </c>
      <c r="AC81" s="29">
        <f t="shared" si="13"/>
        <v>0</v>
      </c>
      <c r="AD81" s="29">
        <f t="shared" si="14"/>
        <v>0</v>
      </c>
      <c r="AE81" s="28">
        <v>20</v>
      </c>
      <c r="AF81" s="28">
        <v>690</v>
      </c>
      <c r="AG81" s="28">
        <v>210000</v>
      </c>
      <c r="AH81" s="29">
        <v>4827.2336829523429</v>
      </c>
      <c r="AI81" s="29">
        <v>0</v>
      </c>
      <c r="AJ81" s="30">
        <v>0</v>
      </c>
      <c r="AK81" s="57">
        <f t="shared" si="15"/>
        <v>23.011077459136214</v>
      </c>
      <c r="AL81" s="57">
        <f t="shared" si="16"/>
        <v>1.5</v>
      </c>
      <c r="AM81" s="60"/>
      <c r="AN81" s="57">
        <v>0.26530113177316905</v>
      </c>
      <c r="AO81" s="57"/>
      <c r="AP81" s="57">
        <v>4</v>
      </c>
    </row>
    <row r="82" spans="1:42" ht="21" x14ac:dyDescent="0.35">
      <c r="A82" s="28">
        <v>79</v>
      </c>
      <c r="B82" s="67" t="s">
        <v>173</v>
      </c>
      <c r="C82" s="28">
        <v>300</v>
      </c>
      <c r="D82" s="19">
        <v>300</v>
      </c>
      <c r="E82" s="28">
        <v>600</v>
      </c>
      <c r="F82" s="28">
        <v>30</v>
      </c>
      <c r="G82" s="47">
        <v>30</v>
      </c>
      <c r="H82" s="28">
        <v>15.5</v>
      </c>
      <c r="I82" s="19">
        <v>27</v>
      </c>
      <c r="J82" s="19">
        <v>27</v>
      </c>
      <c r="K82" s="19">
        <v>27558.176597767924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1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9"/>
        <v>1</v>
      </c>
      <c r="Z82" s="19">
        <f t="shared" si="10"/>
        <v>0</v>
      </c>
      <c r="AA82" s="19">
        <f t="shared" si="11"/>
        <v>0</v>
      </c>
      <c r="AB82" s="29">
        <f t="shared" si="12"/>
        <v>1019.8913752368913</v>
      </c>
      <c r="AC82" s="29">
        <f t="shared" si="13"/>
        <v>0</v>
      </c>
      <c r="AD82" s="29">
        <f t="shared" si="14"/>
        <v>0</v>
      </c>
      <c r="AE82" s="28">
        <v>20</v>
      </c>
      <c r="AF82" s="28">
        <v>690</v>
      </c>
      <c r="AG82" s="28">
        <v>210000</v>
      </c>
      <c r="AH82" s="29">
        <v>3569.6198133291196</v>
      </c>
      <c r="AI82" s="29">
        <v>0</v>
      </c>
      <c r="AJ82" s="30">
        <v>0</v>
      </c>
      <c r="AK82" s="57">
        <f t="shared" si="15"/>
        <v>27.558176597767925</v>
      </c>
      <c r="AL82" s="57">
        <f t="shared" si="16"/>
        <v>1.5</v>
      </c>
      <c r="AM82" s="60"/>
      <c r="AN82" s="57">
        <v>0.19618361957918362</v>
      </c>
      <c r="AO82" s="57"/>
      <c r="AP82" s="57">
        <v>4</v>
      </c>
    </row>
    <row r="83" spans="1:42" ht="21" x14ac:dyDescent="0.35">
      <c r="A83" s="28">
        <v>80</v>
      </c>
      <c r="B83" s="67" t="s">
        <v>174</v>
      </c>
      <c r="C83" s="28">
        <v>300</v>
      </c>
      <c r="D83" s="19">
        <v>300</v>
      </c>
      <c r="E83" s="28">
        <v>600</v>
      </c>
      <c r="F83" s="28">
        <v>30</v>
      </c>
      <c r="G83" s="47">
        <v>30</v>
      </c>
      <c r="H83" s="28">
        <v>15.5</v>
      </c>
      <c r="I83" s="19">
        <v>27</v>
      </c>
      <c r="J83" s="19">
        <v>27</v>
      </c>
      <c r="K83" s="19">
        <v>34447.720747209903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1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9"/>
        <v>1</v>
      </c>
      <c r="Z83" s="19">
        <f t="shared" si="10"/>
        <v>0</v>
      </c>
      <c r="AA83" s="19">
        <f t="shared" si="11"/>
        <v>0</v>
      </c>
      <c r="AB83" s="29">
        <f t="shared" si="12"/>
        <v>688.64730895716559</v>
      </c>
      <c r="AC83" s="29">
        <f t="shared" si="13"/>
        <v>0</v>
      </c>
      <c r="AD83" s="29">
        <f t="shared" si="14"/>
        <v>0</v>
      </c>
      <c r="AE83" s="28">
        <v>20</v>
      </c>
      <c r="AF83" s="28">
        <v>690</v>
      </c>
      <c r="AG83" s="28">
        <v>210000</v>
      </c>
      <c r="AH83" s="29">
        <v>2410.2655813500796</v>
      </c>
      <c r="AI83" s="29">
        <v>0</v>
      </c>
      <c r="AJ83" s="30">
        <v>0</v>
      </c>
      <c r="AK83" s="57">
        <f t="shared" si="15"/>
        <v>34.447720747209907</v>
      </c>
      <c r="AL83" s="57">
        <f t="shared" si="16"/>
        <v>1.5</v>
      </c>
      <c r="AM83" s="60"/>
      <c r="AN83" s="57">
        <v>0.13246638315114781</v>
      </c>
      <c r="AO83" s="57"/>
      <c r="AP83" s="57">
        <v>4</v>
      </c>
    </row>
    <row r="84" spans="1:42" ht="21" x14ac:dyDescent="0.35">
      <c r="A84" s="28">
        <v>81</v>
      </c>
      <c r="B84" s="67" t="s">
        <v>175</v>
      </c>
      <c r="C84" s="28">
        <v>300</v>
      </c>
      <c r="D84" s="19">
        <v>300</v>
      </c>
      <c r="E84" s="28">
        <v>700</v>
      </c>
      <c r="F84" s="28">
        <v>32</v>
      </c>
      <c r="G84" s="47">
        <v>32</v>
      </c>
      <c r="H84" s="28">
        <v>17</v>
      </c>
      <c r="I84" s="19">
        <v>27</v>
      </c>
      <c r="J84" s="19">
        <v>27</v>
      </c>
      <c r="K84" s="19">
        <v>4753.0179297249424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1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9"/>
        <v>1</v>
      </c>
      <c r="Z84" s="19">
        <f t="shared" si="10"/>
        <v>0</v>
      </c>
      <c r="AA84" s="19">
        <f t="shared" si="11"/>
        <v>0</v>
      </c>
      <c r="AB84" s="29">
        <f t="shared" si="12"/>
        <v>5615.7766560070431</v>
      </c>
      <c r="AC84" s="29">
        <f t="shared" si="13"/>
        <v>0</v>
      </c>
      <c r="AD84" s="29">
        <f t="shared" si="14"/>
        <v>0</v>
      </c>
      <c r="AE84" s="28">
        <v>20</v>
      </c>
      <c r="AF84" s="28">
        <v>690</v>
      </c>
      <c r="AG84" s="28">
        <v>210000</v>
      </c>
      <c r="AH84" s="29">
        <v>19655.21829602465</v>
      </c>
      <c r="AI84" s="29">
        <v>0</v>
      </c>
      <c r="AJ84" s="30">
        <v>0</v>
      </c>
      <c r="AK84" s="57">
        <f t="shared" si="15"/>
        <v>4.7530179297249422</v>
      </c>
      <c r="AL84" s="57">
        <f t="shared" si="16"/>
        <v>1.5</v>
      </c>
      <c r="AM84" s="60"/>
      <c r="AN84" s="57">
        <v>0.94914779479631584</v>
      </c>
      <c r="AO84" s="57"/>
      <c r="AP84" s="57">
        <v>4</v>
      </c>
    </row>
    <row r="85" spans="1:42" ht="21" x14ac:dyDescent="0.35">
      <c r="A85" s="28">
        <v>82</v>
      </c>
      <c r="B85" s="67" t="s">
        <v>176</v>
      </c>
      <c r="C85" s="28">
        <v>300</v>
      </c>
      <c r="D85" s="19">
        <v>300</v>
      </c>
      <c r="E85" s="28">
        <v>700</v>
      </c>
      <c r="F85" s="28">
        <v>32</v>
      </c>
      <c r="G85" s="47">
        <v>32</v>
      </c>
      <c r="H85" s="28">
        <v>17</v>
      </c>
      <c r="I85" s="19">
        <v>27</v>
      </c>
      <c r="J85" s="19">
        <v>27</v>
      </c>
      <c r="K85" s="19">
        <v>7921.6965495415707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1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9"/>
        <v>1</v>
      </c>
      <c r="Z85" s="19">
        <f t="shared" si="10"/>
        <v>0</v>
      </c>
      <c r="AA85" s="19">
        <f t="shared" si="11"/>
        <v>0</v>
      </c>
      <c r="AB85" s="29">
        <f t="shared" si="12"/>
        <v>4987.6840834697286</v>
      </c>
      <c r="AC85" s="29">
        <f t="shared" si="13"/>
        <v>0</v>
      </c>
      <c r="AD85" s="29">
        <f t="shared" si="14"/>
        <v>0</v>
      </c>
      <c r="AE85" s="28">
        <v>20</v>
      </c>
      <c r="AF85" s="28">
        <v>690</v>
      </c>
      <c r="AG85" s="28">
        <v>210000</v>
      </c>
      <c r="AH85" s="29">
        <v>17456.89429214405</v>
      </c>
      <c r="AI85" s="29">
        <v>0</v>
      </c>
      <c r="AJ85" s="30">
        <v>0</v>
      </c>
      <c r="AK85" s="57">
        <f t="shared" si="15"/>
        <v>7.9216965495415703</v>
      </c>
      <c r="AL85" s="57">
        <f t="shared" si="16"/>
        <v>1.5</v>
      </c>
      <c r="AM85" s="60"/>
      <c r="AN85" s="57">
        <v>0.842991030261521</v>
      </c>
      <c r="AO85" s="57"/>
      <c r="AP85" s="57">
        <v>4</v>
      </c>
    </row>
    <row r="86" spans="1:42" ht="21" x14ac:dyDescent="0.35">
      <c r="A86" s="28">
        <v>83</v>
      </c>
      <c r="B86" s="67" t="s">
        <v>177</v>
      </c>
      <c r="C86" s="28">
        <v>300</v>
      </c>
      <c r="D86" s="19">
        <v>300</v>
      </c>
      <c r="E86" s="28">
        <v>700</v>
      </c>
      <c r="F86" s="28">
        <v>32</v>
      </c>
      <c r="G86" s="47">
        <v>32</v>
      </c>
      <c r="H86" s="28">
        <v>17</v>
      </c>
      <c r="I86" s="19">
        <v>27</v>
      </c>
      <c r="J86" s="19">
        <v>27</v>
      </c>
      <c r="K86" s="19">
        <v>11882.544824312356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1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9"/>
        <v>1</v>
      </c>
      <c r="Z86" s="19">
        <f t="shared" si="10"/>
        <v>0</v>
      </c>
      <c r="AA86" s="19">
        <f t="shared" si="11"/>
        <v>0</v>
      </c>
      <c r="AB86" s="29">
        <f t="shared" si="12"/>
        <v>4103.411615188118</v>
      </c>
      <c r="AC86" s="29">
        <f t="shared" si="13"/>
        <v>0</v>
      </c>
      <c r="AD86" s="29">
        <f t="shared" si="14"/>
        <v>0</v>
      </c>
      <c r="AE86" s="28">
        <v>20</v>
      </c>
      <c r="AF86" s="28">
        <v>690</v>
      </c>
      <c r="AG86" s="28">
        <v>210000</v>
      </c>
      <c r="AH86" s="29">
        <v>14361.940653158412</v>
      </c>
      <c r="AI86" s="29">
        <v>0</v>
      </c>
      <c r="AJ86" s="30">
        <v>0</v>
      </c>
      <c r="AK86" s="57">
        <f t="shared" si="15"/>
        <v>11.882544824312356</v>
      </c>
      <c r="AL86" s="57">
        <f t="shared" si="16"/>
        <v>1.5</v>
      </c>
      <c r="AM86" s="60"/>
      <c r="AN86" s="57">
        <v>0.69353614366612826</v>
      </c>
      <c r="AO86" s="57"/>
      <c r="AP86" s="57">
        <v>4</v>
      </c>
    </row>
    <row r="87" spans="1:42" ht="21" x14ac:dyDescent="0.35">
      <c r="A87" s="28">
        <v>84</v>
      </c>
      <c r="B87" s="67" t="s">
        <v>178</v>
      </c>
      <c r="C87" s="28">
        <v>300</v>
      </c>
      <c r="D87" s="19">
        <v>300</v>
      </c>
      <c r="E87" s="28">
        <v>700</v>
      </c>
      <c r="F87" s="28">
        <v>32</v>
      </c>
      <c r="G87" s="47">
        <v>32</v>
      </c>
      <c r="H87" s="28">
        <v>17</v>
      </c>
      <c r="I87" s="19">
        <v>27</v>
      </c>
      <c r="J87" s="19">
        <v>27</v>
      </c>
      <c r="K87" s="19">
        <v>15843.393099083141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1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9"/>
        <v>1</v>
      </c>
      <c r="Z87" s="19">
        <f t="shared" si="10"/>
        <v>0</v>
      </c>
      <c r="AA87" s="19">
        <f t="shared" si="11"/>
        <v>0</v>
      </c>
      <c r="AB87" s="29">
        <f t="shared" si="12"/>
        <v>3194.6310167654042</v>
      </c>
      <c r="AC87" s="29">
        <f t="shared" si="13"/>
        <v>0</v>
      </c>
      <c r="AD87" s="29">
        <f t="shared" si="14"/>
        <v>0</v>
      </c>
      <c r="AE87" s="28">
        <v>20</v>
      </c>
      <c r="AF87" s="28">
        <v>690</v>
      </c>
      <c r="AG87" s="28">
        <v>210000</v>
      </c>
      <c r="AH87" s="29">
        <v>11181.208558678914</v>
      </c>
      <c r="AI87" s="29">
        <v>0</v>
      </c>
      <c r="AJ87" s="30">
        <v>0</v>
      </c>
      <c r="AK87" s="57">
        <f t="shared" si="15"/>
        <v>15.843393099083141</v>
      </c>
      <c r="AL87" s="57">
        <f t="shared" si="16"/>
        <v>1.5</v>
      </c>
      <c r="AM87" s="60"/>
      <c r="AN87" s="57">
        <v>0.53993902722384057</v>
      </c>
      <c r="AO87" s="57"/>
      <c r="AP87" s="57">
        <v>4</v>
      </c>
    </row>
    <row r="88" spans="1:42" ht="21" x14ac:dyDescent="0.35">
      <c r="A88" s="28">
        <v>85</v>
      </c>
      <c r="B88" s="67" t="s">
        <v>179</v>
      </c>
      <c r="C88" s="28">
        <v>300</v>
      </c>
      <c r="D88" s="19">
        <v>300</v>
      </c>
      <c r="E88" s="28">
        <v>700</v>
      </c>
      <c r="F88" s="28">
        <v>32</v>
      </c>
      <c r="G88" s="47">
        <v>32</v>
      </c>
      <c r="H88" s="28">
        <v>17</v>
      </c>
      <c r="I88" s="19">
        <v>27</v>
      </c>
      <c r="J88" s="19">
        <v>27</v>
      </c>
      <c r="K88" s="19">
        <v>21071.71282178058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1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9"/>
        <v>1</v>
      </c>
      <c r="Z88" s="19">
        <f t="shared" si="10"/>
        <v>0</v>
      </c>
      <c r="AA88" s="19">
        <f t="shared" si="11"/>
        <v>0</v>
      </c>
      <c r="AB88" s="29">
        <f t="shared" si="12"/>
        <v>2226.9852047575091</v>
      </c>
      <c r="AC88" s="29">
        <f t="shared" si="13"/>
        <v>0</v>
      </c>
      <c r="AD88" s="29">
        <f t="shared" si="14"/>
        <v>0</v>
      </c>
      <c r="AE88" s="28">
        <v>20</v>
      </c>
      <c r="AF88" s="28">
        <v>690</v>
      </c>
      <c r="AG88" s="28">
        <v>210000</v>
      </c>
      <c r="AH88" s="29">
        <v>7794.4482166512817</v>
      </c>
      <c r="AI88" s="29">
        <v>0</v>
      </c>
      <c r="AJ88" s="30">
        <v>0</v>
      </c>
      <c r="AK88" s="57">
        <f t="shared" si="15"/>
        <v>21.071712821780579</v>
      </c>
      <c r="AL88" s="57">
        <f t="shared" si="16"/>
        <v>1.5</v>
      </c>
      <c r="AM88" s="60"/>
      <c r="AN88" s="57">
        <v>0.37639283497476766</v>
      </c>
      <c r="AO88" s="57"/>
      <c r="AP88" s="57">
        <v>4</v>
      </c>
    </row>
    <row r="89" spans="1:42" ht="21" x14ac:dyDescent="0.35">
      <c r="A89" s="28">
        <v>86</v>
      </c>
      <c r="B89" s="67" t="s">
        <v>180</v>
      </c>
      <c r="C89" s="28">
        <v>300</v>
      </c>
      <c r="D89" s="19">
        <v>300</v>
      </c>
      <c r="E89" s="28">
        <v>700</v>
      </c>
      <c r="F89" s="28">
        <v>32</v>
      </c>
      <c r="G89" s="47">
        <v>32</v>
      </c>
      <c r="H89" s="28">
        <v>17</v>
      </c>
      <c r="I89" s="19">
        <v>27</v>
      </c>
      <c r="J89" s="19">
        <v>27</v>
      </c>
      <c r="K89" s="19">
        <v>26458.466475468842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1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9"/>
        <v>1</v>
      </c>
      <c r="Z89" s="19">
        <f t="shared" si="10"/>
        <v>0</v>
      </c>
      <c r="AA89" s="19">
        <f t="shared" si="11"/>
        <v>0</v>
      </c>
      <c r="AB89" s="29">
        <f t="shared" si="12"/>
        <v>1569.6943203073374</v>
      </c>
      <c r="AC89" s="29">
        <f t="shared" si="13"/>
        <v>0</v>
      </c>
      <c r="AD89" s="29">
        <f t="shared" si="14"/>
        <v>0</v>
      </c>
      <c r="AE89" s="28">
        <v>20</v>
      </c>
      <c r="AF89" s="28">
        <v>690</v>
      </c>
      <c r="AG89" s="28">
        <v>210000</v>
      </c>
      <c r="AH89" s="29">
        <v>5493.9301210756812</v>
      </c>
      <c r="AI89" s="29">
        <v>0</v>
      </c>
      <c r="AJ89" s="30">
        <v>0</v>
      </c>
      <c r="AK89" s="57">
        <f t="shared" si="15"/>
        <v>26.458466475468843</v>
      </c>
      <c r="AL89" s="57">
        <f t="shared" si="16"/>
        <v>1.5</v>
      </c>
      <c r="AM89" s="60"/>
      <c r="AN89" s="57">
        <v>0.26530113177316905</v>
      </c>
      <c r="AO89" s="57"/>
      <c r="AP89" s="57">
        <v>4</v>
      </c>
    </row>
    <row r="90" spans="1:42" ht="21" x14ac:dyDescent="0.35">
      <c r="A90" s="28">
        <v>87</v>
      </c>
      <c r="B90" s="67" t="s">
        <v>181</v>
      </c>
      <c r="C90" s="28">
        <v>300</v>
      </c>
      <c r="D90" s="19">
        <v>300</v>
      </c>
      <c r="E90" s="28">
        <v>700</v>
      </c>
      <c r="F90" s="28">
        <v>32</v>
      </c>
      <c r="G90" s="47">
        <v>32</v>
      </c>
      <c r="H90" s="28">
        <v>17</v>
      </c>
      <c r="I90" s="19">
        <v>27</v>
      </c>
      <c r="J90" s="19">
        <v>27</v>
      </c>
      <c r="K90" s="19">
        <v>31686.786198166283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1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9"/>
        <v>1</v>
      </c>
      <c r="Z90" s="19">
        <f t="shared" si="10"/>
        <v>0</v>
      </c>
      <c r="AA90" s="19">
        <f t="shared" si="11"/>
        <v>0</v>
      </c>
      <c r="AB90" s="29">
        <f t="shared" si="12"/>
        <v>1160.7500930454903</v>
      </c>
      <c r="AC90" s="29">
        <f t="shared" si="13"/>
        <v>0</v>
      </c>
      <c r="AD90" s="29">
        <f t="shared" si="14"/>
        <v>0</v>
      </c>
      <c r="AE90" s="28">
        <v>20</v>
      </c>
      <c r="AF90" s="28">
        <v>690</v>
      </c>
      <c r="AG90" s="28">
        <v>210000</v>
      </c>
      <c r="AH90" s="29">
        <v>4062.6253256592163</v>
      </c>
      <c r="AI90" s="29">
        <v>0</v>
      </c>
      <c r="AJ90" s="30">
        <v>0</v>
      </c>
      <c r="AK90" s="57">
        <f t="shared" si="15"/>
        <v>31.686786198166281</v>
      </c>
      <c r="AL90" s="57">
        <f t="shared" si="16"/>
        <v>1.5</v>
      </c>
      <c r="AM90" s="60"/>
      <c r="AN90" s="57">
        <v>0.19618361957918362</v>
      </c>
      <c r="AO90" s="57"/>
      <c r="AP90" s="57">
        <v>4</v>
      </c>
    </row>
    <row r="91" spans="1:42" ht="21" x14ac:dyDescent="0.35">
      <c r="A91" s="28">
        <v>88</v>
      </c>
      <c r="B91" s="67" t="s">
        <v>182</v>
      </c>
      <c r="C91" s="28">
        <v>300</v>
      </c>
      <c r="D91" s="19">
        <v>300</v>
      </c>
      <c r="E91" s="28">
        <v>700</v>
      </c>
      <c r="F91" s="28">
        <v>32</v>
      </c>
      <c r="G91" s="47">
        <v>32</v>
      </c>
      <c r="H91" s="28">
        <v>17</v>
      </c>
      <c r="I91" s="19">
        <v>27</v>
      </c>
      <c r="J91" s="19">
        <v>27</v>
      </c>
      <c r="K91" s="19">
        <v>39608.482747707851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1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9"/>
        <v>1</v>
      </c>
      <c r="Z91" s="19">
        <f t="shared" si="10"/>
        <v>0</v>
      </c>
      <c r="AA91" s="19">
        <f t="shared" si="11"/>
        <v>0</v>
      </c>
      <c r="AB91" s="29">
        <f t="shared" si="12"/>
        <v>783.75741510892897</v>
      </c>
      <c r="AC91" s="29">
        <f t="shared" si="13"/>
        <v>0</v>
      </c>
      <c r="AD91" s="29">
        <f t="shared" si="14"/>
        <v>0</v>
      </c>
      <c r="AE91" s="28">
        <v>20</v>
      </c>
      <c r="AF91" s="28">
        <v>690</v>
      </c>
      <c r="AG91" s="28">
        <v>210000</v>
      </c>
      <c r="AH91" s="29">
        <v>2743.1509528812512</v>
      </c>
      <c r="AI91" s="29">
        <v>0</v>
      </c>
      <c r="AJ91" s="30">
        <v>0</v>
      </c>
      <c r="AK91" s="57">
        <f t="shared" si="15"/>
        <v>39.608482747707853</v>
      </c>
      <c r="AL91" s="57">
        <f t="shared" si="16"/>
        <v>1.5</v>
      </c>
      <c r="AM91" s="60"/>
      <c r="AN91" s="57">
        <v>0.13246638315114781</v>
      </c>
      <c r="AO91" s="57"/>
      <c r="AP91" s="57">
        <v>4</v>
      </c>
    </row>
    <row r="92" spans="1:42" ht="21" x14ac:dyDescent="0.35">
      <c r="A92" s="28">
        <v>89</v>
      </c>
      <c r="B92" s="67" t="s">
        <v>183</v>
      </c>
      <c r="C92" s="28">
        <v>300</v>
      </c>
      <c r="D92" s="19">
        <v>300</v>
      </c>
      <c r="E92" s="28">
        <v>900</v>
      </c>
      <c r="F92" s="28">
        <v>35</v>
      </c>
      <c r="G92" s="47">
        <v>35</v>
      </c>
      <c r="H92" s="28">
        <v>18.5</v>
      </c>
      <c r="I92" s="19">
        <v>30</v>
      </c>
      <c r="J92" s="19">
        <v>30</v>
      </c>
      <c r="K92" s="19">
        <v>5981.7642214877524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1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9"/>
        <v>1</v>
      </c>
      <c r="Z92" s="19">
        <f t="shared" si="10"/>
        <v>0</v>
      </c>
      <c r="AA92" s="19">
        <f t="shared" si="11"/>
        <v>0</v>
      </c>
      <c r="AB92" s="29">
        <f t="shared" si="12"/>
        <v>6895.180250391827</v>
      </c>
      <c r="AC92" s="29">
        <f t="shared" si="13"/>
        <v>0</v>
      </c>
      <c r="AD92" s="29">
        <f t="shared" si="14"/>
        <v>0</v>
      </c>
      <c r="AE92" s="28">
        <v>20</v>
      </c>
      <c r="AF92" s="28">
        <v>690</v>
      </c>
      <c r="AG92" s="28">
        <v>210000</v>
      </c>
      <c r="AH92" s="29">
        <v>24133.130876371393</v>
      </c>
      <c r="AI92" s="29">
        <v>0</v>
      </c>
      <c r="AJ92" s="30">
        <v>0</v>
      </c>
      <c r="AK92" s="57">
        <f t="shared" si="15"/>
        <v>5.9817642214877527</v>
      </c>
      <c r="AL92" s="57">
        <f t="shared" si="16"/>
        <v>1.5</v>
      </c>
      <c r="AM92" s="60"/>
      <c r="AN92" s="57">
        <v>0.96205616819532813</v>
      </c>
      <c r="AO92" s="57"/>
      <c r="AP92" s="57">
        <v>4</v>
      </c>
    </row>
    <row r="93" spans="1:42" ht="21" x14ac:dyDescent="0.35">
      <c r="A93" s="28">
        <v>90</v>
      </c>
      <c r="B93" s="67" t="s">
        <v>184</v>
      </c>
      <c r="C93" s="28">
        <v>300</v>
      </c>
      <c r="D93" s="19">
        <v>300</v>
      </c>
      <c r="E93" s="28">
        <v>900</v>
      </c>
      <c r="F93" s="28">
        <v>35</v>
      </c>
      <c r="G93" s="47">
        <v>35</v>
      </c>
      <c r="H93" s="28">
        <v>18.5</v>
      </c>
      <c r="I93" s="19">
        <v>30</v>
      </c>
      <c r="J93" s="19">
        <v>30</v>
      </c>
      <c r="K93" s="19">
        <v>9969.60703581292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1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9"/>
        <v>1</v>
      </c>
      <c r="Z93" s="19">
        <f t="shared" si="10"/>
        <v>0</v>
      </c>
      <c r="AA93" s="19">
        <f t="shared" si="11"/>
        <v>0</v>
      </c>
      <c r="AB93" s="29">
        <f t="shared" si="12"/>
        <v>6209.029600449695</v>
      </c>
      <c r="AC93" s="29">
        <f t="shared" si="13"/>
        <v>0</v>
      </c>
      <c r="AD93" s="29">
        <f t="shared" si="14"/>
        <v>0</v>
      </c>
      <c r="AE93" s="28">
        <v>20</v>
      </c>
      <c r="AF93" s="28">
        <v>690</v>
      </c>
      <c r="AG93" s="28">
        <v>210000</v>
      </c>
      <c r="AH93" s="29">
        <v>21731.603601573934</v>
      </c>
      <c r="AI93" s="29">
        <v>0</v>
      </c>
      <c r="AJ93" s="30">
        <v>0</v>
      </c>
      <c r="AK93" s="57">
        <f t="shared" si="15"/>
        <v>9.9696070358129205</v>
      </c>
      <c r="AL93" s="57">
        <f t="shared" si="16"/>
        <v>1.5</v>
      </c>
      <c r="AM93" s="60"/>
      <c r="AN93" s="57">
        <v>0.86632038738661765</v>
      </c>
      <c r="AO93" s="57"/>
      <c r="AP93" s="57">
        <v>4</v>
      </c>
    </row>
    <row r="94" spans="1:42" ht="21" x14ac:dyDescent="0.35">
      <c r="A94" s="28">
        <v>91</v>
      </c>
      <c r="B94" s="67" t="s">
        <v>185</v>
      </c>
      <c r="C94" s="28">
        <v>300</v>
      </c>
      <c r="D94" s="19">
        <v>300</v>
      </c>
      <c r="E94" s="28">
        <v>900</v>
      </c>
      <c r="F94" s="28">
        <v>35</v>
      </c>
      <c r="G94" s="47">
        <v>35</v>
      </c>
      <c r="H94" s="28">
        <v>18.5</v>
      </c>
      <c r="I94" s="19">
        <v>30</v>
      </c>
      <c r="J94" s="19">
        <v>30</v>
      </c>
      <c r="K94" s="19">
        <v>14954.410553719381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1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9"/>
        <v>1</v>
      </c>
      <c r="Z94" s="19">
        <f t="shared" si="10"/>
        <v>0</v>
      </c>
      <c r="AA94" s="19">
        <f t="shared" si="11"/>
        <v>0</v>
      </c>
      <c r="AB94" s="29">
        <f t="shared" si="12"/>
        <v>5253.1624305386231</v>
      </c>
      <c r="AC94" s="29">
        <f t="shared" si="13"/>
        <v>0</v>
      </c>
      <c r="AD94" s="29">
        <f t="shared" si="14"/>
        <v>0</v>
      </c>
      <c r="AE94" s="28">
        <v>20</v>
      </c>
      <c r="AF94" s="28">
        <v>690</v>
      </c>
      <c r="AG94" s="28">
        <v>210000</v>
      </c>
      <c r="AH94" s="29">
        <v>18386.068506885182</v>
      </c>
      <c r="AI94" s="29">
        <v>0</v>
      </c>
      <c r="AJ94" s="30">
        <v>0</v>
      </c>
      <c r="AK94" s="57">
        <f t="shared" si="15"/>
        <v>14.954410553719381</v>
      </c>
      <c r="AL94" s="57">
        <f t="shared" si="16"/>
        <v>1.5</v>
      </c>
      <c r="AM94" s="60"/>
      <c r="AN94" s="57">
        <v>0.73295216880580516</v>
      </c>
      <c r="AO94" s="57"/>
      <c r="AP94" s="57">
        <v>4</v>
      </c>
    </row>
    <row r="95" spans="1:42" ht="21" x14ac:dyDescent="0.35">
      <c r="A95" s="28">
        <v>92</v>
      </c>
      <c r="B95" s="67" t="s">
        <v>186</v>
      </c>
      <c r="C95" s="28">
        <v>300</v>
      </c>
      <c r="D95" s="19">
        <v>300</v>
      </c>
      <c r="E95" s="28">
        <v>900</v>
      </c>
      <c r="F95" s="28">
        <v>35</v>
      </c>
      <c r="G95" s="47">
        <v>35</v>
      </c>
      <c r="H95" s="28">
        <v>18.5</v>
      </c>
      <c r="I95" s="19">
        <v>30</v>
      </c>
      <c r="J95" s="19">
        <v>30</v>
      </c>
      <c r="K95" s="19">
        <v>19939.21407162584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1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9"/>
        <v>1</v>
      </c>
      <c r="Z95" s="19">
        <f t="shared" si="10"/>
        <v>0</v>
      </c>
      <c r="AA95" s="19">
        <f t="shared" si="11"/>
        <v>0</v>
      </c>
      <c r="AB95" s="29">
        <f t="shared" si="12"/>
        <v>4231.0229469572068</v>
      </c>
      <c r="AC95" s="29">
        <f t="shared" si="13"/>
        <v>0</v>
      </c>
      <c r="AD95" s="29">
        <f t="shared" si="14"/>
        <v>0</v>
      </c>
      <c r="AE95" s="28">
        <v>20</v>
      </c>
      <c r="AF95" s="28">
        <v>690</v>
      </c>
      <c r="AG95" s="28">
        <v>210000</v>
      </c>
      <c r="AH95" s="29">
        <v>14808.580314350223</v>
      </c>
      <c r="AI95" s="29">
        <v>0</v>
      </c>
      <c r="AJ95" s="30">
        <v>0</v>
      </c>
      <c r="AK95" s="57">
        <f t="shared" si="15"/>
        <v>19.939214071625841</v>
      </c>
      <c r="AL95" s="57">
        <f t="shared" si="16"/>
        <v>1.5</v>
      </c>
      <c r="AM95" s="60"/>
      <c r="AN95" s="57">
        <v>0.59033724661002807</v>
      </c>
      <c r="AO95" s="57"/>
      <c r="AP95" s="57">
        <v>4</v>
      </c>
    </row>
    <row r="96" spans="1:42" ht="21" x14ac:dyDescent="0.35">
      <c r="A96" s="28">
        <v>93</v>
      </c>
      <c r="B96" s="67" t="s">
        <v>187</v>
      </c>
      <c r="C96" s="28">
        <v>300</v>
      </c>
      <c r="D96" s="19">
        <v>300</v>
      </c>
      <c r="E96" s="28">
        <v>900</v>
      </c>
      <c r="F96" s="28">
        <v>35</v>
      </c>
      <c r="G96" s="47">
        <v>35</v>
      </c>
      <c r="H96" s="28">
        <v>18.5</v>
      </c>
      <c r="I96" s="19">
        <v>30</v>
      </c>
      <c r="J96" s="19">
        <v>30</v>
      </c>
      <c r="K96" s="19">
        <v>26519.154715262372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1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9"/>
        <v>1</v>
      </c>
      <c r="Z96" s="19">
        <f t="shared" si="10"/>
        <v>0</v>
      </c>
      <c r="AA96" s="19">
        <f t="shared" si="11"/>
        <v>0</v>
      </c>
      <c r="AB96" s="29">
        <f t="shared" si="12"/>
        <v>3049.2671681064071</v>
      </c>
      <c r="AC96" s="29">
        <f t="shared" si="13"/>
        <v>0</v>
      </c>
      <c r="AD96" s="29">
        <f t="shared" si="14"/>
        <v>0</v>
      </c>
      <c r="AE96" s="28">
        <v>20</v>
      </c>
      <c r="AF96" s="28">
        <v>690</v>
      </c>
      <c r="AG96" s="28">
        <v>210000</v>
      </c>
      <c r="AH96" s="29">
        <v>10672.435088372426</v>
      </c>
      <c r="AI96" s="29">
        <v>0</v>
      </c>
      <c r="AJ96" s="30">
        <v>0</v>
      </c>
      <c r="AK96" s="57">
        <f t="shared" si="15"/>
        <v>26.519154715262371</v>
      </c>
      <c r="AL96" s="57">
        <f t="shared" si="16"/>
        <v>1.5</v>
      </c>
      <c r="AM96" s="60"/>
      <c r="AN96" s="57">
        <v>0.42545171859511083</v>
      </c>
      <c r="AO96" s="57"/>
      <c r="AP96" s="57">
        <v>4</v>
      </c>
    </row>
    <row r="97" spans="1:42" ht="21" x14ac:dyDescent="0.35">
      <c r="A97" s="28">
        <v>94</v>
      </c>
      <c r="B97" s="67" t="s">
        <v>188</v>
      </c>
      <c r="C97" s="28">
        <v>300</v>
      </c>
      <c r="D97" s="19">
        <v>300</v>
      </c>
      <c r="E97" s="28">
        <v>900</v>
      </c>
      <c r="F97" s="28">
        <v>35</v>
      </c>
      <c r="G97" s="47">
        <v>35</v>
      </c>
      <c r="H97" s="28">
        <v>18.5</v>
      </c>
      <c r="I97" s="19">
        <v>30</v>
      </c>
      <c r="J97" s="19">
        <v>30</v>
      </c>
      <c r="K97" s="19">
        <v>33298.487499615148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1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9"/>
        <v>1</v>
      </c>
      <c r="Z97" s="19">
        <f t="shared" si="10"/>
        <v>0</v>
      </c>
      <c r="AA97" s="19">
        <f t="shared" si="11"/>
        <v>0</v>
      </c>
      <c r="AB97" s="29">
        <f t="shared" si="12"/>
        <v>2188.5252969434077</v>
      </c>
      <c r="AC97" s="29">
        <f t="shared" si="13"/>
        <v>0</v>
      </c>
      <c r="AD97" s="29">
        <f t="shared" si="14"/>
        <v>0</v>
      </c>
      <c r="AE97" s="28">
        <v>20</v>
      </c>
      <c r="AF97" s="28">
        <v>690</v>
      </c>
      <c r="AG97" s="28">
        <v>210000</v>
      </c>
      <c r="AH97" s="29">
        <v>7659.8385393019271</v>
      </c>
      <c r="AI97" s="29">
        <v>0</v>
      </c>
      <c r="AJ97" s="30">
        <v>0</v>
      </c>
      <c r="AK97" s="57">
        <f t="shared" si="15"/>
        <v>33.298487499615149</v>
      </c>
      <c r="AL97" s="57">
        <f t="shared" si="16"/>
        <v>1.5</v>
      </c>
      <c r="AM97" s="60"/>
      <c r="AN97" s="57">
        <v>0.30535594208088623</v>
      </c>
      <c r="AO97" s="57"/>
      <c r="AP97" s="57">
        <v>4</v>
      </c>
    </row>
    <row r="98" spans="1:42" ht="21" x14ac:dyDescent="0.35">
      <c r="A98" s="28">
        <v>95</v>
      </c>
      <c r="B98" s="67" t="s">
        <v>189</v>
      </c>
      <c r="C98" s="28">
        <v>300</v>
      </c>
      <c r="D98" s="19">
        <v>300</v>
      </c>
      <c r="E98" s="28">
        <v>900</v>
      </c>
      <c r="F98" s="28">
        <v>35</v>
      </c>
      <c r="G98" s="47">
        <v>35</v>
      </c>
      <c r="H98" s="28">
        <v>18.5</v>
      </c>
      <c r="I98" s="19">
        <v>30</v>
      </c>
      <c r="J98" s="19">
        <v>30</v>
      </c>
      <c r="K98" s="19">
        <v>39878.42814325168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1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9"/>
        <v>1</v>
      </c>
      <c r="Z98" s="19">
        <f t="shared" si="10"/>
        <v>0</v>
      </c>
      <c r="AA98" s="19">
        <f t="shared" si="11"/>
        <v>0</v>
      </c>
      <c r="AB98" s="29">
        <f t="shared" si="12"/>
        <v>1633.4798166840046</v>
      </c>
      <c r="AC98" s="29">
        <f t="shared" si="13"/>
        <v>0</v>
      </c>
      <c r="AD98" s="29">
        <f t="shared" si="14"/>
        <v>0</v>
      </c>
      <c r="AE98" s="28">
        <v>20</v>
      </c>
      <c r="AF98" s="28">
        <v>690</v>
      </c>
      <c r="AG98" s="28">
        <v>210000</v>
      </c>
      <c r="AH98" s="29">
        <v>5717.1793583940162</v>
      </c>
      <c r="AI98" s="29">
        <v>0</v>
      </c>
      <c r="AJ98" s="30">
        <v>0</v>
      </c>
      <c r="AK98" s="57">
        <f t="shared" si="15"/>
        <v>39.878428143251682</v>
      </c>
      <c r="AL98" s="57">
        <f t="shared" si="16"/>
        <v>1.5</v>
      </c>
      <c r="AM98" s="60"/>
      <c r="AN98" s="57">
        <v>0.22791272688978917</v>
      </c>
      <c r="AO98" s="57"/>
      <c r="AP98" s="57">
        <v>4</v>
      </c>
    </row>
    <row r="99" spans="1:42" ht="21.75" thickBot="1" x14ac:dyDescent="0.4">
      <c r="A99" s="28">
        <v>96</v>
      </c>
      <c r="B99" s="68" t="s">
        <v>190</v>
      </c>
      <c r="C99" s="31">
        <v>300</v>
      </c>
      <c r="D99" s="32">
        <v>300</v>
      </c>
      <c r="E99" s="31">
        <v>900</v>
      </c>
      <c r="F99" s="31">
        <v>35</v>
      </c>
      <c r="G99" s="32">
        <v>35</v>
      </c>
      <c r="H99" s="31">
        <v>18.5</v>
      </c>
      <c r="I99" s="32">
        <v>30</v>
      </c>
      <c r="J99" s="32">
        <v>30</v>
      </c>
      <c r="K99" s="32">
        <v>49848.035179064602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6">
        <v>1</v>
      </c>
      <c r="U99" s="50" t="s">
        <v>48</v>
      </c>
      <c r="V99" s="32">
        <v>1</v>
      </c>
      <c r="W99" s="31">
        <v>1</v>
      </c>
      <c r="X99" s="31">
        <v>0</v>
      </c>
      <c r="Y99" s="32">
        <f t="shared" si="9"/>
        <v>1</v>
      </c>
      <c r="Z99" s="32">
        <f t="shared" si="10"/>
        <v>0</v>
      </c>
      <c r="AA99" s="32">
        <f t="shared" si="11"/>
        <v>0</v>
      </c>
      <c r="AB99" s="33">
        <f t="shared" si="12"/>
        <v>1111.2443064541546</v>
      </c>
      <c r="AC99" s="33">
        <f t="shared" si="13"/>
        <v>0</v>
      </c>
      <c r="AD99" s="33">
        <f t="shared" si="14"/>
        <v>0</v>
      </c>
      <c r="AE99" s="31">
        <v>20</v>
      </c>
      <c r="AF99" s="31">
        <v>690</v>
      </c>
      <c r="AG99" s="31">
        <v>210000</v>
      </c>
      <c r="AH99" s="33">
        <v>3889.3550725895411</v>
      </c>
      <c r="AI99" s="33">
        <v>0</v>
      </c>
      <c r="AJ99" s="51">
        <v>0</v>
      </c>
      <c r="AK99" s="57">
        <f t="shared" si="15"/>
        <v>49.848035179064603</v>
      </c>
      <c r="AL99" s="57">
        <f t="shared" si="16"/>
        <v>1.5</v>
      </c>
      <c r="AM99" s="60"/>
      <c r="AN99" s="57">
        <v>0.15504735200148062</v>
      </c>
      <c r="AO99" s="57"/>
      <c r="AP99" s="57">
        <v>4</v>
      </c>
    </row>
    <row r="100" spans="1:42" ht="21" x14ac:dyDescent="0.35">
      <c r="A100" s="96"/>
      <c r="B100" s="97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9"/>
      <c r="AC100" s="99"/>
      <c r="AD100" s="99"/>
      <c r="AE100" s="98"/>
      <c r="AF100" s="98"/>
      <c r="AG100" s="98"/>
      <c r="AH100" s="99"/>
      <c r="AI100" s="99"/>
      <c r="AJ100" s="100"/>
      <c r="AK100" s="101"/>
      <c r="AL100" s="101"/>
      <c r="AM100" s="102"/>
      <c r="AN100" s="101"/>
      <c r="AO100" s="57"/>
      <c r="AP100" s="57"/>
    </row>
    <row r="101" spans="1:42" ht="21" x14ac:dyDescent="0.35">
      <c r="A101" s="28"/>
      <c r="B101" s="67"/>
      <c r="C101" s="28"/>
      <c r="D101" s="19"/>
      <c r="E101" s="28"/>
      <c r="F101" s="28"/>
      <c r="G101" s="19"/>
      <c r="H101" s="28"/>
      <c r="I101" s="19"/>
      <c r="J101" s="19"/>
      <c r="K101" s="19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46"/>
      <c r="AG101" s="28"/>
      <c r="AH101" s="29"/>
      <c r="AI101" s="29"/>
      <c r="AJ101" s="30"/>
      <c r="AK101" s="57"/>
      <c r="AL101" s="57"/>
      <c r="AM101" s="60"/>
      <c r="AN101" s="57"/>
      <c r="AO101" s="57"/>
      <c r="AP101" s="57"/>
    </row>
    <row r="102" spans="1:42" ht="21" x14ac:dyDescent="0.35">
      <c r="A102" s="28"/>
      <c r="B102" s="67"/>
      <c r="C102" s="28"/>
      <c r="D102" s="19"/>
      <c r="E102" s="28"/>
      <c r="F102" s="28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46"/>
      <c r="AG102" s="28"/>
      <c r="AH102" s="29"/>
      <c r="AI102" s="29"/>
      <c r="AJ102" s="30"/>
      <c r="AK102" s="57"/>
      <c r="AL102" s="57"/>
      <c r="AM102" s="60"/>
      <c r="AN102" s="57"/>
      <c r="AO102" s="57"/>
      <c r="AP102" s="57"/>
    </row>
    <row r="103" spans="1:42" ht="21" x14ac:dyDescent="0.35">
      <c r="A103" s="28"/>
      <c r="B103" s="67"/>
      <c r="C103" s="28"/>
      <c r="D103" s="19"/>
      <c r="E103" s="28"/>
      <c r="F103" s="28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46"/>
      <c r="AG103" s="28"/>
      <c r="AH103" s="29"/>
      <c r="AI103" s="29"/>
      <c r="AJ103" s="30"/>
      <c r="AK103" s="57"/>
      <c r="AL103" s="57"/>
      <c r="AM103" s="60"/>
      <c r="AN103" s="57"/>
      <c r="AO103" s="57"/>
      <c r="AP103" s="57"/>
    </row>
    <row r="104" spans="1:42" ht="21" x14ac:dyDescent="0.35">
      <c r="A104" s="28"/>
      <c r="B104" s="67"/>
      <c r="C104" s="28"/>
      <c r="D104" s="19"/>
      <c r="E104" s="28"/>
      <c r="F104" s="28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46"/>
      <c r="AG104" s="28"/>
      <c r="AH104" s="29"/>
      <c r="AI104" s="29"/>
      <c r="AJ104" s="30"/>
      <c r="AK104" s="57"/>
      <c r="AL104" s="57"/>
      <c r="AM104" s="60"/>
      <c r="AN104" s="57"/>
      <c r="AO104" s="57"/>
      <c r="AP104" s="57"/>
    </row>
    <row r="105" spans="1:42" ht="21" x14ac:dyDescent="0.35">
      <c r="A105" s="28"/>
      <c r="B105" s="67"/>
      <c r="C105" s="28"/>
      <c r="D105" s="19"/>
      <c r="E105" s="28"/>
      <c r="F105" s="28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46"/>
      <c r="AG105" s="28"/>
      <c r="AH105" s="29"/>
      <c r="AI105" s="29"/>
      <c r="AJ105" s="30"/>
      <c r="AK105" s="57"/>
      <c r="AL105" s="57"/>
      <c r="AM105" s="60"/>
      <c r="AN105" s="57"/>
      <c r="AO105" s="57"/>
      <c r="AP105" s="57"/>
    </row>
    <row r="106" spans="1:42" ht="21" x14ac:dyDescent="0.35">
      <c r="A106" s="28"/>
      <c r="B106" s="67"/>
      <c r="C106" s="28"/>
      <c r="D106" s="19"/>
      <c r="E106" s="28"/>
      <c r="F106" s="28"/>
      <c r="G106" s="19"/>
      <c r="H106" s="28"/>
      <c r="I106" s="19"/>
      <c r="J106" s="19"/>
      <c r="K106" s="19"/>
      <c r="L106" s="19"/>
      <c r="M106" s="19"/>
      <c r="N106" s="19"/>
      <c r="O106" s="19"/>
      <c r="P106" s="28"/>
      <c r="Q106" s="19"/>
      <c r="R106" s="19"/>
      <c r="S106" s="19"/>
      <c r="T106" s="36"/>
      <c r="U106" s="43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46"/>
      <c r="AG106" s="28"/>
      <c r="AH106" s="29"/>
      <c r="AI106" s="29"/>
      <c r="AJ106" s="30"/>
      <c r="AK106" s="57"/>
      <c r="AL106" s="57"/>
      <c r="AM106" s="60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46"/>
      <c r="AG107" s="28"/>
      <c r="AH107" s="29"/>
      <c r="AI107" s="29"/>
      <c r="AJ107" s="30"/>
      <c r="AK107" s="57"/>
      <c r="AL107" s="57"/>
      <c r="AM107" s="60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19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46"/>
      <c r="AG108" s="28"/>
      <c r="AH108" s="29"/>
      <c r="AI108" s="29"/>
      <c r="AJ108" s="30"/>
      <c r="AK108" s="57"/>
      <c r="AL108" s="57"/>
      <c r="AM108" s="60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46"/>
      <c r="AG109" s="28"/>
      <c r="AH109" s="29"/>
      <c r="AI109" s="29"/>
      <c r="AJ109" s="30"/>
      <c r="AK109" s="57"/>
      <c r="AL109" s="57"/>
      <c r="AM109" s="60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46"/>
      <c r="AG110" s="28"/>
      <c r="AH110" s="29"/>
      <c r="AI110" s="29"/>
      <c r="AJ110" s="30"/>
      <c r="AK110" s="57"/>
      <c r="AL110" s="57"/>
      <c r="AM110" s="60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46"/>
      <c r="AG111" s="28"/>
      <c r="AH111" s="29"/>
      <c r="AI111" s="29"/>
      <c r="AJ111" s="30"/>
      <c r="AK111" s="57"/>
      <c r="AL111" s="57"/>
      <c r="AM111" s="60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46"/>
      <c r="AG112" s="28"/>
      <c r="AH112" s="29"/>
      <c r="AI112" s="29"/>
      <c r="AJ112" s="30"/>
      <c r="AK112" s="57"/>
      <c r="AL112" s="57"/>
      <c r="AM112" s="60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46"/>
      <c r="AG113" s="28"/>
      <c r="AH113" s="29"/>
      <c r="AI113" s="29"/>
      <c r="AJ113" s="30"/>
      <c r="AK113" s="57"/>
      <c r="AL113" s="57"/>
      <c r="AM113" s="60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46"/>
      <c r="AG114" s="28"/>
      <c r="AH114" s="29"/>
      <c r="AI114" s="29"/>
      <c r="AJ114" s="30"/>
      <c r="AK114" s="57"/>
      <c r="AL114" s="57"/>
      <c r="AM114" s="60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46"/>
      <c r="AG115" s="28"/>
      <c r="AH115" s="29"/>
      <c r="AI115" s="29"/>
      <c r="AJ115" s="30"/>
      <c r="AK115" s="57"/>
      <c r="AL115" s="57"/>
      <c r="AM115" s="60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46"/>
      <c r="AG116" s="28"/>
      <c r="AH116" s="29"/>
      <c r="AI116" s="29"/>
      <c r="AJ116" s="30"/>
      <c r="AK116" s="57"/>
      <c r="AL116" s="57"/>
      <c r="AM116" s="60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46"/>
      <c r="AG117" s="28"/>
      <c r="AH117" s="29"/>
      <c r="AI117" s="29"/>
      <c r="AJ117" s="30"/>
      <c r="AK117" s="57"/>
      <c r="AL117" s="57"/>
      <c r="AM117" s="60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46"/>
      <c r="AG118" s="28"/>
      <c r="AH118" s="29"/>
      <c r="AI118" s="29"/>
      <c r="AJ118" s="30"/>
      <c r="AK118" s="57"/>
      <c r="AL118" s="57"/>
      <c r="AM118" s="60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46"/>
      <c r="AG119" s="28"/>
      <c r="AH119" s="29"/>
      <c r="AI119" s="29"/>
      <c r="AJ119" s="30"/>
      <c r="AK119" s="57"/>
      <c r="AL119" s="57"/>
      <c r="AM119" s="60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46"/>
      <c r="AG120" s="28"/>
      <c r="AH120" s="29"/>
      <c r="AI120" s="29"/>
      <c r="AJ120" s="30"/>
      <c r="AK120" s="57"/>
      <c r="AL120" s="57"/>
      <c r="AM120" s="60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46"/>
      <c r="AG121" s="28"/>
      <c r="AH121" s="29"/>
      <c r="AI121" s="29"/>
      <c r="AJ121" s="30"/>
      <c r="AK121" s="57"/>
      <c r="AL121" s="57"/>
      <c r="AM121" s="60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46"/>
      <c r="AG122" s="28"/>
      <c r="AH122" s="29"/>
      <c r="AI122" s="29"/>
      <c r="AJ122" s="30"/>
      <c r="AK122" s="57"/>
      <c r="AL122" s="57"/>
      <c r="AM122" s="60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46"/>
      <c r="AG123" s="28"/>
      <c r="AH123" s="29"/>
      <c r="AI123" s="29"/>
      <c r="AJ123" s="30"/>
      <c r="AK123" s="57"/>
      <c r="AL123" s="57"/>
      <c r="AM123" s="60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46"/>
      <c r="AG124" s="28"/>
      <c r="AH124" s="29"/>
      <c r="AI124" s="29"/>
      <c r="AJ124" s="30"/>
      <c r="AK124" s="57"/>
      <c r="AL124" s="57"/>
      <c r="AM124" s="60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46"/>
      <c r="AG125" s="28"/>
      <c r="AH125" s="29"/>
      <c r="AI125" s="29"/>
      <c r="AJ125" s="30"/>
      <c r="AK125" s="57"/>
      <c r="AL125" s="57"/>
      <c r="AM125" s="60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46"/>
      <c r="AG126" s="28"/>
      <c r="AH126" s="29"/>
      <c r="AI126" s="29"/>
      <c r="AJ126" s="30"/>
      <c r="AK126" s="57"/>
      <c r="AL126" s="57"/>
      <c r="AM126" s="60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46"/>
      <c r="AG127" s="28"/>
      <c r="AH127" s="29"/>
      <c r="AI127" s="29"/>
      <c r="AJ127" s="30"/>
      <c r="AK127" s="57"/>
      <c r="AL127" s="57"/>
      <c r="AM127" s="60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46"/>
      <c r="AG128" s="28"/>
      <c r="AH128" s="29"/>
      <c r="AI128" s="29"/>
      <c r="AJ128" s="30"/>
      <c r="AK128" s="57"/>
      <c r="AL128" s="57"/>
      <c r="AM128" s="60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46"/>
      <c r="AG129" s="28"/>
      <c r="AH129" s="29"/>
      <c r="AI129" s="29"/>
      <c r="AJ129" s="30"/>
      <c r="AK129" s="57"/>
      <c r="AL129" s="57"/>
      <c r="AM129" s="60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46"/>
      <c r="AG130" s="28"/>
      <c r="AH130" s="29"/>
      <c r="AI130" s="29"/>
      <c r="AJ130" s="30"/>
      <c r="AK130" s="57"/>
      <c r="AL130" s="57"/>
      <c r="AM130" s="60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46"/>
      <c r="AG131" s="28"/>
      <c r="AH131" s="29"/>
      <c r="AI131" s="29"/>
      <c r="AJ131" s="30"/>
      <c r="AK131" s="57"/>
      <c r="AL131" s="57"/>
      <c r="AM131" s="60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46"/>
      <c r="AG132" s="28"/>
      <c r="AH132" s="29"/>
      <c r="AI132" s="29"/>
      <c r="AJ132" s="30"/>
      <c r="AK132" s="57"/>
      <c r="AL132" s="57"/>
      <c r="AM132" s="60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46"/>
      <c r="AG133" s="28"/>
      <c r="AH133" s="29"/>
      <c r="AI133" s="29"/>
      <c r="AJ133" s="30"/>
      <c r="AK133" s="57"/>
      <c r="AL133" s="57"/>
      <c r="AM133" s="60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46"/>
      <c r="AG134" s="28"/>
      <c r="AH134" s="29"/>
      <c r="AI134" s="29"/>
      <c r="AJ134" s="30"/>
      <c r="AK134" s="57"/>
      <c r="AL134" s="57"/>
      <c r="AM134" s="60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46"/>
      <c r="AG135" s="28"/>
      <c r="AH135" s="29"/>
      <c r="AI135" s="29"/>
      <c r="AJ135" s="30"/>
      <c r="AK135" s="57"/>
      <c r="AL135" s="57"/>
      <c r="AM135" s="60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46"/>
      <c r="AG136" s="28"/>
      <c r="AH136" s="29"/>
      <c r="AI136" s="29"/>
      <c r="AJ136" s="30"/>
      <c r="AK136" s="57"/>
      <c r="AL136" s="57"/>
      <c r="AM136" s="60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46"/>
      <c r="AG137" s="28"/>
      <c r="AH137" s="29"/>
      <c r="AI137" s="29"/>
      <c r="AJ137" s="30"/>
      <c r="AK137" s="57"/>
      <c r="AL137" s="57"/>
      <c r="AM137" s="60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46"/>
      <c r="AG138" s="28"/>
      <c r="AH138" s="29"/>
      <c r="AI138" s="29"/>
      <c r="AJ138" s="30"/>
      <c r="AK138" s="57"/>
      <c r="AL138" s="57"/>
      <c r="AM138" s="60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46"/>
      <c r="AG139" s="28"/>
      <c r="AH139" s="29"/>
      <c r="AI139" s="29"/>
      <c r="AJ139" s="30"/>
      <c r="AK139" s="57"/>
      <c r="AL139" s="57"/>
      <c r="AM139" s="60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46"/>
      <c r="AG140" s="28"/>
      <c r="AH140" s="29"/>
      <c r="AI140" s="29"/>
      <c r="AJ140" s="30"/>
      <c r="AK140" s="57"/>
      <c r="AL140" s="57"/>
      <c r="AM140" s="60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46"/>
      <c r="AG141" s="28"/>
      <c r="AH141" s="29"/>
      <c r="AI141" s="29"/>
      <c r="AJ141" s="30"/>
      <c r="AK141" s="57"/>
      <c r="AL141" s="57"/>
      <c r="AM141" s="60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46"/>
      <c r="AG142" s="28"/>
      <c r="AH142" s="29"/>
      <c r="AI142" s="29"/>
      <c r="AJ142" s="30"/>
      <c r="AK142" s="57"/>
      <c r="AL142" s="57"/>
      <c r="AM142" s="60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46"/>
      <c r="AG143" s="28"/>
      <c r="AH143" s="29"/>
      <c r="AI143" s="29"/>
      <c r="AJ143" s="30"/>
      <c r="AK143" s="57"/>
      <c r="AL143" s="57"/>
      <c r="AM143" s="60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61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46"/>
      <c r="AG144" s="28"/>
      <c r="AH144" s="29"/>
      <c r="AI144" s="29"/>
      <c r="AJ144" s="30"/>
      <c r="AK144" s="57"/>
      <c r="AL144" s="57"/>
      <c r="AM144" s="60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46"/>
      <c r="AG145" s="28"/>
      <c r="AH145" s="29"/>
      <c r="AI145" s="29"/>
      <c r="AJ145" s="30"/>
      <c r="AK145" s="57"/>
      <c r="AL145" s="57"/>
      <c r="AM145" s="60"/>
      <c r="AN145" s="57"/>
      <c r="AO145" s="57"/>
      <c r="AP145" s="57"/>
    </row>
    <row r="146" spans="1:42" ht="21" x14ac:dyDescent="0.35">
      <c r="A146" s="28"/>
      <c r="B146" s="67"/>
      <c r="C146" s="81"/>
      <c r="D146" s="83"/>
      <c r="E146" s="81"/>
      <c r="F146" s="81"/>
      <c r="G146" s="83"/>
      <c r="H146" s="81"/>
      <c r="I146" s="83"/>
      <c r="J146" s="83"/>
      <c r="K146" s="83"/>
      <c r="L146" s="83"/>
      <c r="M146" s="83"/>
      <c r="N146" s="83"/>
      <c r="O146" s="83"/>
      <c r="P146" s="81"/>
      <c r="Q146" s="83"/>
      <c r="R146" s="83"/>
      <c r="S146" s="83"/>
      <c r="T146" s="84"/>
      <c r="U146" s="85"/>
      <c r="V146" s="83"/>
      <c r="W146" s="81"/>
      <c r="X146" s="81"/>
      <c r="Y146" s="83"/>
      <c r="Z146" s="83"/>
      <c r="AA146" s="83"/>
      <c r="AB146" s="86"/>
      <c r="AC146" s="86"/>
      <c r="AD146" s="86"/>
      <c r="AE146" s="81"/>
      <c r="AF146" s="46"/>
      <c r="AG146" s="81"/>
      <c r="AH146" s="86"/>
      <c r="AI146" s="86"/>
      <c r="AJ146" s="87"/>
      <c r="AK146" s="57"/>
      <c r="AL146" s="57"/>
      <c r="AM146" s="60"/>
      <c r="AN146" s="57"/>
      <c r="AO146" s="57"/>
      <c r="AP146" s="57"/>
    </row>
    <row r="147" spans="1:42" ht="21.75" thickBot="1" x14ac:dyDescent="0.4">
      <c r="A147" s="28"/>
      <c r="B147" s="67"/>
      <c r="C147" s="31"/>
      <c r="D147" s="32"/>
      <c r="E147" s="31"/>
      <c r="F147" s="31"/>
      <c r="G147" s="32"/>
      <c r="H147" s="31"/>
      <c r="I147" s="32"/>
      <c r="J147" s="32"/>
      <c r="K147" s="32"/>
      <c r="L147" s="32"/>
      <c r="M147" s="32"/>
      <c r="N147" s="32"/>
      <c r="O147" s="32"/>
      <c r="P147" s="31"/>
      <c r="Q147" s="32"/>
      <c r="R147" s="32"/>
      <c r="S147" s="32"/>
      <c r="T147" s="39"/>
      <c r="U147" s="50"/>
      <c r="V147" s="32"/>
      <c r="W147" s="31"/>
      <c r="X147" s="31"/>
      <c r="Y147" s="32"/>
      <c r="Z147" s="32"/>
      <c r="AA147" s="32"/>
      <c r="AB147" s="33"/>
      <c r="AC147" s="33"/>
      <c r="AD147" s="33"/>
      <c r="AE147" s="31"/>
      <c r="AF147" s="46"/>
      <c r="AG147" s="31"/>
      <c r="AH147" s="33"/>
      <c r="AI147" s="33"/>
      <c r="AJ147" s="51"/>
      <c r="AK147" s="57"/>
      <c r="AL147" s="57"/>
      <c r="AM147" s="60"/>
      <c r="AN147" s="57"/>
      <c r="AO147" s="57"/>
      <c r="AP147" s="57"/>
    </row>
    <row r="148" spans="1:42" ht="21" x14ac:dyDescent="0.35">
      <c r="A148" s="28"/>
      <c r="B148" s="67"/>
      <c r="C148" s="46"/>
      <c r="D148" s="47"/>
      <c r="E148" s="46"/>
      <c r="F148" s="46"/>
      <c r="G148" s="47"/>
      <c r="H148" s="46"/>
      <c r="I148" s="47"/>
      <c r="J148" s="47"/>
      <c r="K148" s="47"/>
      <c r="L148" s="47"/>
      <c r="M148" s="47"/>
      <c r="N148" s="47"/>
      <c r="O148" s="47"/>
      <c r="P148" s="46"/>
      <c r="Q148" s="47"/>
      <c r="R148" s="47"/>
      <c r="S148" s="47"/>
      <c r="T148" s="48"/>
      <c r="U148" s="89"/>
      <c r="V148" s="47"/>
      <c r="W148" s="46"/>
      <c r="X148" s="46"/>
      <c r="Y148" s="47"/>
      <c r="Z148" s="47"/>
      <c r="AA148" s="47"/>
      <c r="AB148" s="49"/>
      <c r="AC148" s="49"/>
      <c r="AD148" s="49"/>
      <c r="AE148" s="46"/>
      <c r="AF148" s="46"/>
      <c r="AG148" s="46"/>
      <c r="AH148" s="49"/>
      <c r="AI148" s="49"/>
      <c r="AJ148" s="90"/>
      <c r="AK148" s="57"/>
      <c r="AL148" s="57"/>
      <c r="AM148" s="60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47"/>
      <c r="H149" s="28"/>
      <c r="I149" s="19"/>
      <c r="J149" s="19"/>
      <c r="K149" s="61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46"/>
      <c r="AG149" s="28"/>
      <c r="AH149" s="29"/>
      <c r="AI149" s="29"/>
      <c r="AJ149" s="30"/>
      <c r="AK149" s="57"/>
      <c r="AL149" s="57"/>
      <c r="AM149" s="60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47"/>
      <c r="H150" s="28"/>
      <c r="I150" s="19"/>
      <c r="J150" s="19"/>
      <c r="K150" s="61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46"/>
      <c r="AG150" s="28"/>
      <c r="AH150" s="29"/>
      <c r="AI150" s="29"/>
      <c r="AJ150" s="30"/>
      <c r="AK150" s="57"/>
      <c r="AL150" s="57"/>
      <c r="AM150" s="60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47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46"/>
      <c r="AG151" s="28"/>
      <c r="AH151" s="29"/>
      <c r="AI151" s="29"/>
      <c r="AJ151" s="30"/>
      <c r="AK151" s="57"/>
      <c r="AL151" s="57"/>
      <c r="AM151" s="60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47"/>
      <c r="H152" s="28"/>
      <c r="I152" s="19"/>
      <c r="J152" s="19"/>
      <c r="K152" s="61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46"/>
      <c r="AG152" s="28"/>
      <c r="AH152" s="29"/>
      <c r="AI152" s="29"/>
      <c r="AJ152" s="30"/>
      <c r="AK152" s="57"/>
      <c r="AL152" s="57"/>
      <c r="AM152" s="60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47"/>
      <c r="H153" s="28"/>
      <c r="I153" s="19"/>
      <c r="J153" s="19"/>
      <c r="K153" s="61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46"/>
      <c r="AG153" s="28"/>
      <c r="AH153" s="29"/>
      <c r="AI153" s="29"/>
      <c r="AJ153" s="30"/>
      <c r="AK153" s="57"/>
      <c r="AL153" s="57"/>
      <c r="AM153" s="60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47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46"/>
      <c r="AG154" s="28"/>
      <c r="AH154" s="29"/>
      <c r="AI154" s="29"/>
      <c r="AJ154" s="30"/>
      <c r="AK154" s="57"/>
      <c r="AL154" s="57"/>
      <c r="AM154" s="60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47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46"/>
      <c r="AG155" s="28"/>
      <c r="AH155" s="29"/>
      <c r="AI155" s="29"/>
      <c r="AJ155" s="30"/>
      <c r="AK155" s="57"/>
      <c r="AL155" s="57"/>
      <c r="AM155" s="60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47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46"/>
      <c r="AG156" s="28"/>
      <c r="AH156" s="29"/>
      <c r="AI156" s="29"/>
      <c r="AJ156" s="30"/>
      <c r="AK156" s="57"/>
      <c r="AL156" s="57"/>
      <c r="AM156" s="60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47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46"/>
      <c r="AG157" s="28"/>
      <c r="AH157" s="29"/>
      <c r="AI157" s="29"/>
      <c r="AJ157" s="30"/>
      <c r="AK157" s="57"/>
      <c r="AL157" s="57"/>
      <c r="AM157" s="60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47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46"/>
      <c r="AG158" s="28"/>
      <c r="AH158" s="29"/>
      <c r="AI158" s="29"/>
      <c r="AJ158" s="30"/>
      <c r="AK158" s="57"/>
      <c r="AL158" s="57"/>
      <c r="AM158" s="60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47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46"/>
      <c r="AG159" s="28"/>
      <c r="AH159" s="29"/>
      <c r="AI159" s="29"/>
      <c r="AJ159" s="30"/>
      <c r="AK159" s="57"/>
      <c r="AL159" s="57"/>
      <c r="AM159" s="60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47"/>
      <c r="H160" s="28"/>
      <c r="I160" s="19"/>
      <c r="J160" s="19"/>
      <c r="K160" s="61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46"/>
      <c r="AG160" s="28"/>
      <c r="AH160" s="29"/>
      <c r="AI160" s="29"/>
      <c r="AJ160" s="30"/>
      <c r="AK160" s="57"/>
      <c r="AL160" s="57"/>
      <c r="AM160" s="60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47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46"/>
      <c r="AG161" s="28"/>
      <c r="AH161" s="29"/>
      <c r="AI161" s="29"/>
      <c r="AJ161" s="30"/>
      <c r="AK161" s="57"/>
      <c r="AL161" s="57"/>
      <c r="AM161" s="60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47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46"/>
      <c r="AG162" s="28"/>
      <c r="AH162" s="29"/>
      <c r="AI162" s="29"/>
      <c r="AJ162" s="30"/>
      <c r="AK162" s="57"/>
      <c r="AL162" s="57"/>
      <c r="AM162" s="60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47"/>
      <c r="H163" s="28"/>
      <c r="I163" s="19"/>
      <c r="J163" s="19"/>
      <c r="K163" s="61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46"/>
      <c r="AG163" s="28"/>
      <c r="AH163" s="29"/>
      <c r="AI163" s="29"/>
      <c r="AJ163" s="30"/>
      <c r="AK163" s="57"/>
      <c r="AL163" s="57"/>
      <c r="AM163" s="60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47"/>
      <c r="H164" s="28"/>
      <c r="I164" s="19"/>
      <c r="J164" s="19"/>
      <c r="K164" s="61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46"/>
      <c r="AG164" s="28"/>
      <c r="AH164" s="29"/>
      <c r="AI164" s="29"/>
      <c r="AJ164" s="30"/>
      <c r="AK164" s="57"/>
      <c r="AL164" s="57"/>
      <c r="AM164" s="60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47"/>
      <c r="H165" s="28"/>
      <c r="I165" s="19"/>
      <c r="J165" s="19"/>
      <c r="K165" s="61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46"/>
      <c r="AG165" s="28"/>
      <c r="AH165" s="29"/>
      <c r="AI165" s="29"/>
      <c r="AJ165" s="30"/>
      <c r="AK165" s="57"/>
      <c r="AL165" s="57"/>
      <c r="AM165" s="60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47"/>
      <c r="H166" s="28"/>
      <c r="I166" s="19"/>
      <c r="J166" s="19"/>
      <c r="K166" s="61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46"/>
      <c r="AG166" s="28"/>
      <c r="AH166" s="29"/>
      <c r="AI166" s="29"/>
      <c r="AJ166" s="30"/>
      <c r="AK166" s="57"/>
      <c r="AL166" s="57"/>
      <c r="AM166" s="60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47"/>
      <c r="H167" s="28"/>
      <c r="I167" s="19"/>
      <c r="J167" s="19"/>
      <c r="K167" s="61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46"/>
      <c r="AG167" s="28"/>
      <c r="AH167" s="29"/>
      <c r="AI167" s="29"/>
      <c r="AJ167" s="30"/>
      <c r="AK167" s="57"/>
      <c r="AL167" s="57"/>
      <c r="AM167" s="60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47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46"/>
      <c r="AG168" s="28"/>
      <c r="AH168" s="29"/>
      <c r="AI168" s="29"/>
      <c r="AJ168" s="30"/>
      <c r="AK168" s="57"/>
      <c r="AL168" s="57"/>
      <c r="AM168" s="60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47"/>
      <c r="H169" s="28"/>
      <c r="I169" s="19"/>
      <c r="J169" s="19"/>
      <c r="K169" s="61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46"/>
      <c r="AG169" s="28"/>
      <c r="AH169" s="29"/>
      <c r="AI169" s="29"/>
      <c r="AJ169" s="30"/>
      <c r="AK169" s="57"/>
      <c r="AL169" s="57"/>
      <c r="AM169" s="60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47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46"/>
      <c r="AG170" s="28"/>
      <c r="AH170" s="29"/>
      <c r="AI170" s="29"/>
      <c r="AJ170" s="30"/>
      <c r="AK170" s="57"/>
      <c r="AL170" s="57"/>
      <c r="AM170" s="60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47"/>
      <c r="H171" s="28"/>
      <c r="I171" s="19"/>
      <c r="J171" s="19"/>
      <c r="K171" s="61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46"/>
      <c r="AG171" s="28"/>
      <c r="AH171" s="29"/>
      <c r="AI171" s="29"/>
      <c r="AJ171" s="30"/>
      <c r="AK171" s="57"/>
      <c r="AL171" s="57"/>
      <c r="AM171" s="60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47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46"/>
      <c r="AG172" s="28"/>
      <c r="AH172" s="29"/>
      <c r="AI172" s="29"/>
      <c r="AJ172" s="30"/>
      <c r="AK172" s="57"/>
      <c r="AL172" s="57"/>
      <c r="AM172" s="60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47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46"/>
      <c r="AG173" s="28"/>
      <c r="AH173" s="29"/>
      <c r="AI173" s="29"/>
      <c r="AJ173" s="30"/>
      <c r="AK173" s="57"/>
      <c r="AL173" s="57"/>
      <c r="AM173" s="60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47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46"/>
      <c r="AG174" s="28"/>
      <c r="AH174" s="29"/>
      <c r="AI174" s="29"/>
      <c r="AJ174" s="30"/>
      <c r="AK174" s="57"/>
      <c r="AL174" s="57"/>
      <c r="AM174" s="60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47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46"/>
      <c r="AG175" s="28"/>
      <c r="AH175" s="29"/>
      <c r="AI175" s="29"/>
      <c r="AJ175" s="30"/>
      <c r="AK175" s="57"/>
      <c r="AL175" s="57"/>
      <c r="AM175" s="60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47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46"/>
      <c r="AG176" s="28"/>
      <c r="AH176" s="29"/>
      <c r="AI176" s="29"/>
      <c r="AJ176" s="30"/>
      <c r="AK176" s="57"/>
      <c r="AL176" s="57"/>
      <c r="AM176" s="60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47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46"/>
      <c r="AG177" s="28"/>
      <c r="AH177" s="29"/>
      <c r="AI177" s="29"/>
      <c r="AJ177" s="30"/>
      <c r="AK177" s="57"/>
      <c r="AL177" s="57"/>
      <c r="AM177" s="60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47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46"/>
      <c r="AG178" s="28"/>
      <c r="AH178" s="29"/>
      <c r="AI178" s="29"/>
      <c r="AJ178" s="30"/>
      <c r="AK178" s="57"/>
      <c r="AL178" s="57"/>
      <c r="AM178" s="60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47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46"/>
      <c r="AG179" s="28"/>
      <c r="AH179" s="29"/>
      <c r="AI179" s="29"/>
      <c r="AJ179" s="30"/>
      <c r="AK179" s="57"/>
      <c r="AL179" s="57"/>
      <c r="AM179" s="60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47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46"/>
      <c r="AG180" s="28"/>
      <c r="AH180" s="29"/>
      <c r="AI180" s="29"/>
      <c r="AJ180" s="30"/>
      <c r="AK180" s="57"/>
      <c r="AL180" s="57"/>
      <c r="AM180" s="60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47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46"/>
      <c r="AG181" s="28"/>
      <c r="AH181" s="29"/>
      <c r="AI181" s="29"/>
      <c r="AJ181" s="30"/>
      <c r="AK181" s="57"/>
      <c r="AL181" s="57"/>
      <c r="AM181" s="60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47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46"/>
      <c r="AG182" s="28"/>
      <c r="AH182" s="29"/>
      <c r="AI182" s="29"/>
      <c r="AJ182" s="30"/>
      <c r="AK182" s="57"/>
      <c r="AL182" s="57"/>
      <c r="AM182" s="60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47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46"/>
      <c r="AG183" s="28"/>
      <c r="AH183" s="29"/>
      <c r="AI183" s="29"/>
      <c r="AJ183" s="30"/>
      <c r="AK183" s="57"/>
      <c r="AL183" s="57"/>
      <c r="AM183" s="60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47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46"/>
      <c r="AG184" s="28"/>
      <c r="AH184" s="29"/>
      <c r="AI184" s="29"/>
      <c r="AJ184" s="30"/>
      <c r="AK184" s="57"/>
      <c r="AL184" s="57"/>
      <c r="AM184" s="60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47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46"/>
      <c r="AG185" s="28"/>
      <c r="AH185" s="29"/>
      <c r="AI185" s="29"/>
      <c r="AJ185" s="30"/>
      <c r="AK185" s="57"/>
      <c r="AL185" s="57"/>
      <c r="AM185" s="60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47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46"/>
      <c r="AG186" s="28"/>
      <c r="AH186" s="29"/>
      <c r="AI186" s="29"/>
      <c r="AJ186" s="30"/>
      <c r="AK186" s="57"/>
      <c r="AL186" s="57"/>
      <c r="AM186" s="60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47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46"/>
      <c r="AG187" s="28"/>
      <c r="AH187" s="29"/>
      <c r="AI187" s="29"/>
      <c r="AJ187" s="30"/>
      <c r="AK187" s="57"/>
      <c r="AL187" s="57"/>
      <c r="AM187" s="60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47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46"/>
      <c r="AG188" s="28"/>
      <c r="AH188" s="29"/>
      <c r="AI188" s="29"/>
      <c r="AJ188" s="30"/>
      <c r="AK188" s="57"/>
      <c r="AL188" s="57"/>
      <c r="AM188" s="60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47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46"/>
      <c r="AG189" s="28"/>
      <c r="AH189" s="29"/>
      <c r="AI189" s="29"/>
      <c r="AJ189" s="30"/>
      <c r="AK189" s="57"/>
      <c r="AL189" s="57"/>
      <c r="AM189" s="60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47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46"/>
      <c r="AG190" s="28"/>
      <c r="AH190" s="29"/>
      <c r="AI190" s="29"/>
      <c r="AJ190" s="30"/>
      <c r="AK190" s="57"/>
      <c r="AL190" s="57"/>
      <c r="AM190" s="60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47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46"/>
      <c r="AG191" s="28"/>
      <c r="AH191" s="29"/>
      <c r="AI191" s="29"/>
      <c r="AJ191" s="30"/>
      <c r="AK191" s="57"/>
      <c r="AL191" s="57"/>
      <c r="AM191" s="60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47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46"/>
      <c r="AG192" s="28"/>
      <c r="AH192" s="29"/>
      <c r="AI192" s="29"/>
      <c r="AJ192" s="30"/>
      <c r="AK192" s="57"/>
      <c r="AL192" s="57"/>
      <c r="AM192" s="60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47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46"/>
      <c r="AG193" s="28"/>
      <c r="AH193" s="29"/>
      <c r="AI193" s="29"/>
      <c r="AJ193" s="30"/>
      <c r="AK193" s="57"/>
      <c r="AL193" s="57"/>
      <c r="AM193" s="60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47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46"/>
      <c r="AG194" s="28"/>
      <c r="AH194" s="29"/>
      <c r="AI194" s="29"/>
      <c r="AJ194" s="30"/>
      <c r="AK194" s="57"/>
      <c r="AL194" s="57"/>
      <c r="AM194" s="60"/>
      <c r="AN194" s="57"/>
      <c r="AO194" s="57"/>
      <c r="AP194" s="57"/>
    </row>
    <row r="195" spans="1:42" ht="21" x14ac:dyDescent="0.35">
      <c r="A195" s="28"/>
      <c r="B195" s="67"/>
      <c r="C195" s="81"/>
      <c r="D195" s="83"/>
      <c r="E195" s="81"/>
      <c r="F195" s="81"/>
      <c r="G195" s="83"/>
      <c r="H195" s="81"/>
      <c r="I195" s="83"/>
      <c r="J195" s="83"/>
      <c r="K195" s="83"/>
      <c r="L195" s="83"/>
      <c r="M195" s="83"/>
      <c r="N195" s="83"/>
      <c r="O195" s="83"/>
      <c r="P195" s="81"/>
      <c r="Q195" s="83"/>
      <c r="R195" s="83"/>
      <c r="S195" s="83"/>
      <c r="T195" s="84"/>
      <c r="U195" s="85"/>
      <c r="V195" s="83"/>
      <c r="W195" s="81"/>
      <c r="X195" s="81"/>
      <c r="Y195" s="83"/>
      <c r="Z195" s="83"/>
      <c r="AA195" s="83"/>
      <c r="AB195" s="86"/>
      <c r="AC195" s="86"/>
      <c r="AD195" s="86"/>
      <c r="AE195" s="81"/>
      <c r="AF195" s="71"/>
      <c r="AG195" s="81"/>
      <c r="AH195" s="86"/>
      <c r="AI195" s="86"/>
      <c r="AJ195" s="87"/>
      <c r="AK195" s="57"/>
      <c r="AL195" s="57"/>
      <c r="AM195" s="60"/>
      <c r="AN195" s="57"/>
      <c r="AO195" s="57"/>
      <c r="AP195" s="57"/>
    </row>
    <row r="196" spans="1:42" ht="21" x14ac:dyDescent="0.35">
      <c r="A196" s="28"/>
      <c r="B196" s="107"/>
      <c r="C196" s="28"/>
      <c r="D196" s="19"/>
      <c r="E196" s="108"/>
      <c r="F196" s="108"/>
      <c r="G196" s="29"/>
      <c r="H196" s="28"/>
      <c r="I196" s="19"/>
      <c r="J196" s="19"/>
      <c r="K196" s="19"/>
      <c r="L196" s="19"/>
      <c r="M196" s="19"/>
      <c r="N196" s="19"/>
      <c r="O196" s="19"/>
      <c r="P196" s="28"/>
      <c r="Q196" s="19"/>
      <c r="R196" s="19"/>
      <c r="S196" s="19"/>
      <c r="T196" s="36"/>
      <c r="U196" s="43"/>
      <c r="V196" s="19"/>
      <c r="W196" s="28"/>
      <c r="X196" s="28"/>
      <c r="Y196" s="19"/>
      <c r="Z196" s="19"/>
      <c r="AA196" s="19"/>
      <c r="AB196" s="77"/>
      <c r="AC196" s="29"/>
      <c r="AD196" s="29"/>
      <c r="AE196" s="28"/>
      <c r="AF196" s="108"/>
      <c r="AG196" s="28"/>
      <c r="AH196" s="29"/>
      <c r="AI196" s="29"/>
      <c r="AJ196" s="30"/>
      <c r="AK196" s="57"/>
      <c r="AL196" s="57"/>
      <c r="AM196" s="57"/>
      <c r="AN196" s="57"/>
      <c r="AO196" s="57"/>
      <c r="AP196" s="57"/>
    </row>
    <row r="197" spans="1:42" ht="21" x14ac:dyDescent="0.35">
      <c r="A197" s="28"/>
      <c r="B197" s="107"/>
      <c r="C197" s="28"/>
      <c r="D197" s="19"/>
      <c r="E197" s="108"/>
      <c r="F197" s="108"/>
      <c r="G197" s="19"/>
      <c r="H197" s="28"/>
      <c r="I197" s="19"/>
      <c r="J197" s="19"/>
      <c r="K197" s="77"/>
      <c r="L197" s="19"/>
      <c r="M197" s="19"/>
      <c r="N197" s="19"/>
      <c r="O197" s="19"/>
      <c r="P197" s="28"/>
      <c r="Q197" s="19"/>
      <c r="R197" s="19"/>
      <c r="S197" s="19"/>
      <c r="T197" s="36"/>
      <c r="U197" s="43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108"/>
      <c r="AG197" s="28"/>
      <c r="AH197" s="29"/>
      <c r="AI197" s="29"/>
      <c r="AJ197" s="30"/>
      <c r="AK197" s="57"/>
      <c r="AL197" s="57"/>
      <c r="AM197" s="57"/>
      <c r="AN197" s="57"/>
      <c r="AO197" s="57"/>
      <c r="AP197" s="57"/>
    </row>
    <row r="198" spans="1:42" ht="21" x14ac:dyDescent="0.35">
      <c r="A198" s="28"/>
      <c r="B198" s="107"/>
      <c r="C198" s="28"/>
      <c r="D198" s="19"/>
      <c r="E198" s="108"/>
      <c r="F198" s="108"/>
      <c r="G198" s="19"/>
      <c r="H198" s="28"/>
      <c r="I198" s="19"/>
      <c r="J198" s="19"/>
      <c r="K198" s="19"/>
      <c r="L198" s="19"/>
      <c r="M198" s="19"/>
      <c r="N198" s="19"/>
      <c r="O198" s="19"/>
      <c r="P198" s="28"/>
      <c r="Q198" s="19"/>
      <c r="R198" s="19"/>
      <c r="S198" s="19"/>
      <c r="T198" s="36"/>
      <c r="U198" s="43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108"/>
      <c r="AG198" s="28"/>
      <c r="AH198" s="29"/>
      <c r="AI198" s="29"/>
      <c r="AJ198" s="30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107"/>
      <c r="C199" s="28"/>
      <c r="D199" s="19"/>
      <c r="E199" s="108"/>
      <c r="F199" s="108"/>
      <c r="G199" s="19"/>
      <c r="H199" s="28"/>
      <c r="I199" s="19"/>
      <c r="J199" s="19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10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107"/>
      <c r="C200" s="28"/>
      <c r="D200" s="19"/>
      <c r="E200" s="108"/>
      <c r="F200" s="108"/>
      <c r="G200" s="19"/>
      <c r="H200" s="28"/>
      <c r="I200" s="19"/>
      <c r="J200" s="19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10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107"/>
      <c r="C201" s="28"/>
      <c r="D201" s="19"/>
      <c r="E201" s="108"/>
      <c r="F201" s="108"/>
      <c r="G201" s="19"/>
      <c r="H201" s="28"/>
      <c r="I201" s="19"/>
      <c r="J201" s="19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10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107"/>
      <c r="C202" s="46"/>
      <c r="D202" s="47"/>
      <c r="E202" s="46"/>
      <c r="F202" s="46"/>
      <c r="G202" s="47"/>
      <c r="H202" s="46"/>
      <c r="I202" s="47"/>
      <c r="J202" s="47"/>
      <c r="K202" s="19"/>
      <c r="L202" s="47"/>
      <c r="M202" s="47"/>
      <c r="N202" s="47"/>
      <c r="O202" s="47"/>
      <c r="P202" s="46"/>
      <c r="Q202" s="47"/>
      <c r="R202" s="47"/>
      <c r="S202" s="47"/>
      <c r="T202" s="48"/>
      <c r="U202" s="89"/>
      <c r="V202" s="47"/>
      <c r="W202" s="46"/>
      <c r="X202" s="46"/>
      <c r="Y202" s="47"/>
      <c r="Z202" s="47"/>
      <c r="AA202" s="47"/>
      <c r="AB202" s="49"/>
      <c r="AC202" s="49"/>
      <c r="AD202" s="49"/>
      <c r="AE202" s="46"/>
      <c r="AF202" s="46"/>
      <c r="AG202" s="46"/>
      <c r="AH202" s="49"/>
      <c r="AI202" s="49"/>
      <c r="AJ202" s="9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7"/>
      <c r="C203" s="28"/>
      <c r="D203" s="19"/>
      <c r="E203" s="28"/>
      <c r="F203" s="28"/>
      <c r="G203" s="19"/>
      <c r="H203" s="28"/>
      <c r="I203" s="19"/>
      <c r="J203" s="19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7"/>
      <c r="C204" s="28"/>
      <c r="D204" s="19"/>
      <c r="E204" s="28"/>
      <c r="F204" s="28"/>
      <c r="G204" s="19"/>
      <c r="H204" s="28"/>
      <c r="I204" s="19"/>
      <c r="J204" s="19"/>
      <c r="K204" s="77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7"/>
      <c r="C205" s="28"/>
      <c r="D205" s="19"/>
      <c r="E205" s="28"/>
      <c r="F205" s="28"/>
      <c r="G205" s="19"/>
      <c r="H205" s="28"/>
      <c r="I205" s="19"/>
      <c r="J205" s="19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7"/>
      <c r="C206" s="28"/>
      <c r="D206" s="19"/>
      <c r="E206" s="28"/>
      <c r="F206" s="28"/>
      <c r="G206" s="19"/>
      <c r="H206" s="28"/>
      <c r="I206" s="19"/>
      <c r="J206" s="19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7"/>
      <c r="C207" s="28"/>
      <c r="D207" s="19"/>
      <c r="E207" s="28"/>
      <c r="F207" s="28"/>
      <c r="G207" s="19"/>
      <c r="H207" s="28"/>
      <c r="I207" s="19"/>
      <c r="J207" s="19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7"/>
      <c r="C208" s="28"/>
      <c r="D208" s="19"/>
      <c r="E208" s="28"/>
      <c r="F208" s="28"/>
      <c r="G208" s="19"/>
      <c r="H208" s="28"/>
      <c r="I208" s="19"/>
      <c r="J208" s="19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7"/>
      <c r="C209" s="28"/>
      <c r="D209" s="19"/>
      <c r="E209" s="28"/>
      <c r="F209" s="28"/>
      <c r="G209" s="19"/>
      <c r="H209" s="28"/>
      <c r="I209" s="19"/>
      <c r="J209" s="19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7"/>
      <c r="C210" s="28"/>
      <c r="D210" s="19"/>
      <c r="E210" s="28"/>
      <c r="F210" s="28"/>
      <c r="G210" s="19"/>
      <c r="H210" s="28"/>
      <c r="I210" s="19"/>
      <c r="J210" s="19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7"/>
      <c r="C211" s="28"/>
      <c r="D211" s="19"/>
      <c r="E211" s="28"/>
      <c r="F211" s="28"/>
      <c r="G211" s="19"/>
      <c r="H211" s="28"/>
      <c r="I211" s="19"/>
      <c r="J211" s="19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7"/>
      <c r="C212" s="28"/>
      <c r="D212" s="19"/>
      <c r="E212" s="28"/>
      <c r="F212" s="28"/>
      <c r="G212" s="19"/>
      <c r="H212" s="28"/>
      <c r="I212" s="19"/>
      <c r="J212" s="19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7"/>
      <c r="C213" s="28"/>
      <c r="D213" s="19"/>
      <c r="E213" s="28"/>
      <c r="F213" s="28"/>
      <c r="G213" s="19"/>
      <c r="H213" s="28"/>
      <c r="I213" s="19"/>
      <c r="J213" s="19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7"/>
      <c r="C214" s="28"/>
      <c r="D214" s="19"/>
      <c r="E214" s="28"/>
      <c r="F214" s="28"/>
      <c r="G214" s="19"/>
      <c r="H214" s="28"/>
      <c r="I214" s="19"/>
      <c r="J214" s="19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7"/>
      <c r="C215" s="28"/>
      <c r="D215" s="19"/>
      <c r="E215" s="28"/>
      <c r="F215" s="28"/>
      <c r="G215" s="19"/>
      <c r="H215" s="28"/>
      <c r="I215" s="19"/>
      <c r="J215" s="19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7"/>
      <c r="C216" s="28"/>
      <c r="D216" s="19"/>
      <c r="E216" s="28"/>
      <c r="F216" s="28"/>
      <c r="G216" s="19"/>
      <c r="H216" s="28"/>
      <c r="I216" s="19"/>
      <c r="J216" s="19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7"/>
      <c r="C217" s="28"/>
      <c r="D217" s="19"/>
      <c r="E217" s="28"/>
      <c r="F217" s="28"/>
      <c r="G217" s="19"/>
      <c r="H217" s="28"/>
      <c r="I217" s="19"/>
      <c r="J217" s="19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7"/>
      <c r="C218" s="28"/>
      <c r="D218" s="19"/>
      <c r="E218" s="28"/>
      <c r="F218" s="28"/>
      <c r="G218" s="19"/>
      <c r="H218" s="28"/>
      <c r="I218" s="19"/>
      <c r="J218" s="19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7"/>
      <c r="C219" s="28"/>
      <c r="D219" s="19"/>
      <c r="E219" s="28"/>
      <c r="F219" s="28"/>
      <c r="G219" s="19"/>
      <c r="H219" s="28"/>
      <c r="I219" s="19"/>
      <c r="J219" s="19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7"/>
      <c r="C220" s="28"/>
      <c r="D220" s="19"/>
      <c r="E220" s="28"/>
      <c r="F220" s="28"/>
      <c r="G220" s="19"/>
      <c r="H220" s="28"/>
      <c r="I220" s="19"/>
      <c r="J220" s="19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7"/>
      <c r="C221" s="28"/>
      <c r="D221" s="19"/>
      <c r="E221" s="28"/>
      <c r="F221" s="28"/>
      <c r="G221" s="19"/>
      <c r="H221" s="28"/>
      <c r="I221" s="19"/>
      <c r="J221" s="19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7"/>
      <c r="C222" s="28"/>
      <c r="D222" s="19"/>
      <c r="E222" s="28"/>
      <c r="F222" s="28"/>
      <c r="G222" s="19"/>
      <c r="H222" s="28"/>
      <c r="I222" s="19"/>
      <c r="J222" s="19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7"/>
      <c r="C223" s="28"/>
      <c r="D223" s="19"/>
      <c r="E223" s="28"/>
      <c r="F223" s="28"/>
      <c r="G223" s="19"/>
      <c r="H223" s="28"/>
      <c r="I223" s="19"/>
      <c r="J223" s="19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7"/>
      <c r="C224" s="28"/>
      <c r="D224" s="19"/>
      <c r="E224" s="28"/>
      <c r="F224" s="28"/>
      <c r="G224" s="19"/>
      <c r="H224" s="28"/>
      <c r="I224" s="19"/>
      <c r="J224" s="19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7"/>
      <c r="C225" s="28"/>
      <c r="D225" s="19"/>
      <c r="E225" s="28"/>
      <c r="F225" s="28"/>
      <c r="G225" s="19"/>
      <c r="H225" s="28"/>
      <c r="I225" s="19"/>
      <c r="J225" s="19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7"/>
      <c r="C226" s="28"/>
      <c r="D226" s="19"/>
      <c r="E226" s="28"/>
      <c r="F226" s="28"/>
      <c r="G226" s="19"/>
      <c r="H226" s="28"/>
      <c r="I226" s="19"/>
      <c r="J226" s="19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7"/>
      <c r="C227" s="28"/>
      <c r="D227" s="19"/>
      <c r="E227" s="28"/>
      <c r="F227" s="28"/>
      <c r="G227" s="19"/>
      <c r="H227" s="28"/>
      <c r="I227" s="19"/>
      <c r="J227" s="19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7"/>
      <c r="C228" s="28"/>
      <c r="D228" s="19"/>
      <c r="E228" s="28"/>
      <c r="F228" s="28"/>
      <c r="G228" s="19"/>
      <c r="H228" s="28"/>
      <c r="I228" s="19"/>
      <c r="J228" s="19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7"/>
      <c r="C229" s="28"/>
      <c r="D229" s="19"/>
      <c r="E229" s="28"/>
      <c r="F229" s="28"/>
      <c r="G229" s="19"/>
      <c r="H229" s="28"/>
      <c r="I229" s="19"/>
      <c r="J229" s="19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7"/>
      <c r="C230" s="28"/>
      <c r="D230" s="19"/>
      <c r="E230" s="28"/>
      <c r="F230" s="28"/>
      <c r="G230" s="19"/>
      <c r="H230" s="28"/>
      <c r="I230" s="19"/>
      <c r="J230" s="19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7"/>
      <c r="C231" s="28"/>
      <c r="D231" s="19"/>
      <c r="E231" s="28"/>
      <c r="F231" s="28"/>
      <c r="G231" s="19"/>
      <c r="H231" s="28"/>
      <c r="I231" s="19"/>
      <c r="J231" s="19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7"/>
      <c r="C232" s="28"/>
      <c r="D232" s="19"/>
      <c r="E232" s="28"/>
      <c r="F232" s="28"/>
      <c r="G232" s="19"/>
      <c r="H232" s="28"/>
      <c r="I232" s="19"/>
      <c r="J232" s="19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7"/>
      <c r="C233" s="28"/>
      <c r="D233" s="19"/>
      <c r="E233" s="28"/>
      <c r="F233" s="28"/>
      <c r="G233" s="19"/>
      <c r="H233" s="28"/>
      <c r="I233" s="19"/>
      <c r="J233" s="19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7"/>
      <c r="C234" s="28"/>
      <c r="D234" s="19"/>
      <c r="E234" s="28"/>
      <c r="F234" s="28"/>
      <c r="G234" s="19"/>
      <c r="H234" s="28"/>
      <c r="I234" s="19"/>
      <c r="J234" s="19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7"/>
      <c r="C235" s="28"/>
      <c r="D235" s="19"/>
      <c r="E235" s="28"/>
      <c r="F235" s="28"/>
      <c r="G235" s="19"/>
      <c r="H235" s="28"/>
      <c r="I235" s="19"/>
      <c r="J235" s="19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7"/>
      <c r="C236" s="28"/>
      <c r="D236" s="19"/>
      <c r="E236" s="28"/>
      <c r="F236" s="28"/>
      <c r="G236" s="19"/>
      <c r="H236" s="28"/>
      <c r="I236" s="19"/>
      <c r="J236" s="19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7"/>
      <c r="C237" s="28"/>
      <c r="D237" s="19"/>
      <c r="E237" s="28"/>
      <c r="F237" s="28"/>
      <c r="G237" s="19"/>
      <c r="H237" s="28"/>
      <c r="I237" s="19"/>
      <c r="J237" s="19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7"/>
      <c r="C238" s="28"/>
      <c r="D238" s="19"/>
      <c r="E238" s="28"/>
      <c r="F238" s="28"/>
      <c r="G238" s="19"/>
      <c r="H238" s="28"/>
      <c r="I238" s="19"/>
      <c r="J238" s="19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7"/>
      <c r="C239" s="28"/>
      <c r="D239" s="19"/>
      <c r="E239" s="28"/>
      <c r="F239" s="28"/>
      <c r="G239" s="19"/>
      <c r="H239" s="28"/>
      <c r="I239" s="19"/>
      <c r="J239" s="19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7"/>
      <c r="C240" s="28"/>
      <c r="D240" s="19"/>
      <c r="E240" s="28"/>
      <c r="F240" s="28"/>
      <c r="G240" s="19"/>
      <c r="H240" s="28"/>
      <c r="I240" s="19"/>
      <c r="J240" s="19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7"/>
      <c r="C241" s="28"/>
      <c r="D241" s="19"/>
      <c r="E241" s="28"/>
      <c r="F241" s="28"/>
      <c r="G241" s="19"/>
      <c r="H241" s="28"/>
      <c r="I241" s="19"/>
      <c r="J241" s="19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7"/>
      <c r="C242" s="28"/>
      <c r="D242" s="19"/>
      <c r="E242" s="28"/>
      <c r="F242" s="28"/>
      <c r="G242" s="19"/>
      <c r="H242" s="28"/>
      <c r="I242" s="19"/>
      <c r="J242" s="19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7"/>
      <c r="C243" s="28"/>
      <c r="D243" s="19"/>
      <c r="E243" s="28"/>
      <c r="F243" s="28"/>
      <c r="G243" s="19"/>
      <c r="H243" s="28"/>
      <c r="I243" s="19"/>
      <c r="J243" s="19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7"/>
      <c r="C244" s="28"/>
      <c r="D244" s="19"/>
      <c r="E244" s="28"/>
      <c r="F244" s="28"/>
      <c r="G244" s="19"/>
      <c r="H244" s="28"/>
      <c r="I244" s="19"/>
      <c r="J244" s="19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7"/>
      <c r="C245" s="28"/>
      <c r="D245" s="19"/>
      <c r="E245" s="28"/>
      <c r="F245" s="28"/>
      <c r="G245" s="19"/>
      <c r="H245" s="28"/>
      <c r="I245" s="19"/>
      <c r="J245" s="19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7"/>
      <c r="C246" s="28"/>
      <c r="D246" s="19"/>
      <c r="E246" s="28"/>
      <c r="F246" s="28"/>
      <c r="G246" s="19"/>
      <c r="H246" s="28"/>
      <c r="I246" s="19"/>
      <c r="J246" s="19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7"/>
      <c r="C247" s="28"/>
      <c r="D247" s="19"/>
      <c r="E247" s="28"/>
      <c r="F247" s="28"/>
      <c r="G247" s="19"/>
      <c r="H247" s="28"/>
      <c r="I247" s="19"/>
      <c r="J247" s="19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7"/>
      <c r="C248" s="28"/>
      <c r="D248" s="19"/>
      <c r="E248" s="28"/>
      <c r="F248" s="28"/>
      <c r="G248" s="19"/>
      <c r="H248" s="28"/>
      <c r="I248" s="19"/>
      <c r="J248" s="19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7"/>
      <c r="C249" s="28"/>
      <c r="D249" s="19"/>
      <c r="E249" s="28"/>
      <c r="F249" s="28"/>
      <c r="G249" s="19"/>
      <c r="H249" s="28"/>
      <c r="I249" s="19"/>
      <c r="J249" s="19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7"/>
      <c r="C250" s="28"/>
      <c r="D250" s="19"/>
      <c r="E250" s="28"/>
      <c r="F250" s="28"/>
      <c r="G250" s="19"/>
      <c r="H250" s="28"/>
      <c r="I250" s="19"/>
      <c r="J250" s="19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7"/>
      <c r="C251" s="28"/>
      <c r="D251" s="19"/>
      <c r="E251" s="28"/>
      <c r="F251" s="28"/>
      <c r="G251" s="19"/>
      <c r="H251" s="28"/>
      <c r="I251" s="19"/>
      <c r="J251" s="19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7"/>
      <c r="C252" s="28"/>
      <c r="D252" s="19"/>
      <c r="E252" s="28"/>
      <c r="F252" s="28"/>
      <c r="G252" s="19"/>
      <c r="H252" s="28"/>
      <c r="I252" s="19"/>
      <c r="J252" s="19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7"/>
      <c r="C253" s="28"/>
      <c r="D253" s="19"/>
      <c r="E253" s="28"/>
      <c r="F253" s="28"/>
      <c r="G253" s="19"/>
      <c r="H253" s="28"/>
      <c r="I253" s="19"/>
      <c r="J253" s="19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7"/>
      <c r="C254" s="28"/>
      <c r="D254" s="19"/>
      <c r="E254" s="28"/>
      <c r="F254" s="28"/>
      <c r="G254" s="19"/>
      <c r="H254" s="28"/>
      <c r="I254" s="19"/>
      <c r="J254" s="19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B255" s="67"/>
      <c r="C255" s="28"/>
      <c r="D255" s="19"/>
      <c r="E255" s="28"/>
      <c r="F255" s="28"/>
      <c r="G255" s="19"/>
      <c r="H255" s="28"/>
      <c r="I255" s="19"/>
      <c r="J255" s="19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B256" s="67"/>
      <c r="C256" s="28"/>
      <c r="D256" s="19"/>
      <c r="E256" s="28"/>
      <c r="F256" s="28"/>
      <c r="G256" s="19"/>
      <c r="H256" s="28"/>
      <c r="I256" s="19"/>
      <c r="J256" s="19"/>
      <c r="K256" s="19"/>
      <c r="L256" s="19"/>
      <c r="M256" s="19"/>
      <c r="N256" s="19"/>
      <c r="O256" s="19"/>
      <c r="P256" s="28"/>
      <c r="Q256" s="19"/>
      <c r="R256" s="19"/>
      <c r="S256" s="19"/>
      <c r="T256" s="36"/>
      <c r="U256" s="43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B257" s="67"/>
      <c r="C257" s="28"/>
      <c r="D257" s="19"/>
      <c r="E257" s="28"/>
      <c r="F257" s="28"/>
      <c r="G257" s="19"/>
      <c r="H257" s="28"/>
      <c r="I257" s="19"/>
      <c r="J257" s="19"/>
      <c r="K257" s="19"/>
      <c r="L257" s="19"/>
      <c r="M257" s="19"/>
      <c r="N257" s="19"/>
      <c r="O257" s="19"/>
      <c r="P257" s="28"/>
      <c r="Q257" s="19"/>
      <c r="R257" s="19"/>
      <c r="S257" s="19"/>
      <c r="T257" s="36"/>
      <c r="U257" s="43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57"/>
      <c r="AL257" s="57"/>
      <c r="AM257" s="57"/>
      <c r="AN257" s="57"/>
      <c r="AO257" s="57"/>
      <c r="AP257" s="57"/>
    </row>
    <row r="258" spans="1:42" ht="21" x14ac:dyDescent="0.35">
      <c r="A258" s="28"/>
      <c r="B258" s="67"/>
      <c r="C258" s="28"/>
      <c r="D258" s="19"/>
      <c r="E258" s="28"/>
      <c r="F258" s="28"/>
      <c r="G258" s="19"/>
      <c r="H258" s="28"/>
      <c r="I258" s="19"/>
      <c r="J258" s="19"/>
      <c r="K258" s="19"/>
      <c r="L258" s="19"/>
      <c r="M258" s="19"/>
      <c r="N258" s="19"/>
      <c r="O258" s="19"/>
      <c r="P258" s="28"/>
      <c r="Q258" s="19"/>
      <c r="R258" s="19"/>
      <c r="S258" s="19"/>
      <c r="T258" s="36"/>
      <c r="U258" s="43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57"/>
      <c r="AL258" s="57"/>
      <c r="AM258" s="57"/>
      <c r="AN258" s="57"/>
      <c r="AO258" s="57"/>
      <c r="AP258" s="57"/>
    </row>
    <row r="259" spans="1:42" ht="21" x14ac:dyDescent="0.35">
      <c r="A259" s="28"/>
      <c r="B259" s="67"/>
      <c r="C259" s="28"/>
      <c r="D259" s="19"/>
      <c r="E259" s="28"/>
      <c r="F259" s="28"/>
      <c r="G259" s="19"/>
      <c r="H259" s="28"/>
      <c r="I259" s="19"/>
      <c r="J259" s="19"/>
      <c r="K259" s="19"/>
      <c r="L259" s="19"/>
      <c r="M259" s="19"/>
      <c r="N259" s="19"/>
      <c r="O259" s="19"/>
      <c r="P259" s="28"/>
      <c r="Q259" s="19"/>
      <c r="R259" s="19"/>
      <c r="S259" s="19"/>
      <c r="T259" s="36"/>
      <c r="U259" s="43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57"/>
      <c r="AL259" s="57"/>
      <c r="AM259" s="57"/>
      <c r="AN259" s="57"/>
      <c r="AO259" s="57"/>
      <c r="AP259" s="57"/>
    </row>
    <row r="260" spans="1:42" ht="21" x14ac:dyDescent="0.35">
      <c r="A260" s="28"/>
      <c r="B260" s="67"/>
      <c r="C260" s="28"/>
      <c r="D260" s="19"/>
      <c r="E260" s="28"/>
      <c r="F260" s="28"/>
      <c r="G260" s="19"/>
      <c r="H260" s="28"/>
      <c r="I260" s="19"/>
      <c r="J260" s="19"/>
      <c r="K260" s="19"/>
      <c r="L260" s="19"/>
      <c r="M260" s="19"/>
      <c r="N260" s="19"/>
      <c r="O260" s="19"/>
      <c r="P260" s="28"/>
      <c r="Q260" s="19"/>
      <c r="R260" s="19"/>
      <c r="S260" s="19"/>
      <c r="T260" s="36"/>
      <c r="U260" s="43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57"/>
      <c r="AL260" s="57"/>
      <c r="AM260" s="57"/>
      <c r="AN260" s="57"/>
      <c r="AO260" s="57"/>
      <c r="AP260" s="57"/>
    </row>
    <row r="261" spans="1:42" ht="21" x14ac:dyDescent="0.35">
      <c r="A261" s="28"/>
      <c r="B261" s="67"/>
      <c r="C261" s="28"/>
      <c r="D261" s="19"/>
      <c r="E261" s="28"/>
      <c r="F261" s="28"/>
      <c r="G261" s="19"/>
      <c r="H261" s="28"/>
      <c r="I261" s="19"/>
      <c r="J261" s="19"/>
      <c r="K261" s="19"/>
      <c r="L261" s="19"/>
      <c r="M261" s="19"/>
      <c r="N261" s="19"/>
      <c r="O261" s="19"/>
      <c r="P261" s="28"/>
      <c r="Q261" s="19"/>
      <c r="R261" s="19"/>
      <c r="S261" s="19"/>
      <c r="T261" s="36"/>
      <c r="U261" s="43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57"/>
      <c r="AL261" s="57"/>
      <c r="AM261" s="57"/>
      <c r="AN261" s="57"/>
      <c r="AO261" s="57"/>
      <c r="AP261" s="57"/>
    </row>
    <row r="262" spans="1:42" ht="21" x14ac:dyDescent="0.35">
      <c r="A262" s="28"/>
      <c r="B262" s="67"/>
      <c r="C262" s="28"/>
      <c r="D262" s="19"/>
      <c r="E262" s="28"/>
      <c r="F262" s="28"/>
      <c r="G262" s="19"/>
      <c r="H262" s="28"/>
      <c r="I262" s="19"/>
      <c r="J262" s="19"/>
      <c r="K262" s="19"/>
      <c r="L262" s="19"/>
      <c r="M262" s="19"/>
      <c r="N262" s="19"/>
      <c r="O262" s="19"/>
      <c r="P262" s="28"/>
      <c r="Q262" s="19"/>
      <c r="R262" s="19"/>
      <c r="S262" s="19"/>
      <c r="T262" s="36"/>
      <c r="U262" s="43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57"/>
      <c r="AL262" s="57"/>
      <c r="AM262" s="57"/>
      <c r="AN262" s="57"/>
      <c r="AO262" s="57"/>
      <c r="AP262" s="57"/>
    </row>
    <row r="263" spans="1:42" ht="21" x14ac:dyDescent="0.35">
      <c r="A263" s="28"/>
      <c r="B263" s="67"/>
      <c r="C263" s="28"/>
      <c r="D263" s="19"/>
      <c r="E263" s="28"/>
      <c r="F263" s="28"/>
      <c r="G263" s="19"/>
      <c r="H263" s="28"/>
      <c r="I263" s="19"/>
      <c r="J263" s="19"/>
      <c r="K263" s="19"/>
      <c r="L263" s="19"/>
      <c r="M263" s="19"/>
      <c r="N263" s="19"/>
      <c r="O263" s="19"/>
      <c r="P263" s="28"/>
      <c r="Q263" s="19"/>
      <c r="R263" s="19"/>
      <c r="S263" s="19"/>
      <c r="T263" s="36"/>
      <c r="U263" s="43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57"/>
      <c r="AL263" s="57"/>
      <c r="AM263" s="57"/>
      <c r="AN263" s="57"/>
      <c r="AO263" s="57"/>
      <c r="AP263" s="57"/>
    </row>
    <row r="264" spans="1:42" ht="21" x14ac:dyDescent="0.35">
      <c r="A264" s="28"/>
      <c r="B264" s="67"/>
      <c r="C264" s="28"/>
      <c r="D264" s="19"/>
      <c r="E264" s="28"/>
      <c r="F264" s="28"/>
      <c r="G264" s="19"/>
      <c r="H264" s="28"/>
      <c r="I264" s="19"/>
      <c r="J264" s="19"/>
      <c r="K264" s="19"/>
      <c r="L264" s="19"/>
      <c r="M264" s="19"/>
      <c r="N264" s="19"/>
      <c r="O264" s="19"/>
      <c r="P264" s="28"/>
      <c r="Q264" s="19"/>
      <c r="R264" s="19"/>
      <c r="S264" s="19"/>
      <c r="T264" s="36"/>
      <c r="U264" s="43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57"/>
      <c r="AL264" s="57"/>
      <c r="AM264" s="57"/>
      <c r="AN264" s="57"/>
      <c r="AO264" s="57"/>
      <c r="AP264" s="57"/>
    </row>
    <row r="265" spans="1:42" ht="21" x14ac:dyDescent="0.35">
      <c r="A265" s="28"/>
      <c r="B265" s="67"/>
      <c r="C265" s="28"/>
      <c r="D265" s="19"/>
      <c r="E265" s="28"/>
      <c r="F265" s="28"/>
      <c r="G265" s="19"/>
      <c r="H265" s="28"/>
      <c r="I265" s="19"/>
      <c r="J265" s="19"/>
      <c r="K265" s="19"/>
      <c r="L265" s="19"/>
      <c r="M265" s="19"/>
      <c r="N265" s="19"/>
      <c r="O265" s="19"/>
      <c r="P265" s="28"/>
      <c r="Q265" s="19"/>
      <c r="R265" s="19"/>
      <c r="S265" s="19"/>
      <c r="T265" s="36"/>
      <c r="U265" s="43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57"/>
      <c r="AL265" s="57"/>
      <c r="AM265" s="57"/>
      <c r="AN265" s="57"/>
      <c r="AO265" s="57"/>
      <c r="AP265" s="57"/>
    </row>
    <row r="266" spans="1:42" ht="21" x14ac:dyDescent="0.35">
      <c r="A266" s="28"/>
      <c r="B266" s="67"/>
      <c r="C266" s="28"/>
      <c r="D266" s="19"/>
      <c r="E266" s="28"/>
      <c r="F266" s="28"/>
      <c r="G266" s="19"/>
      <c r="H266" s="28"/>
      <c r="I266" s="19"/>
      <c r="J266" s="19"/>
      <c r="K266" s="19"/>
      <c r="L266" s="19"/>
      <c r="M266" s="19"/>
      <c r="N266" s="19"/>
      <c r="O266" s="19"/>
      <c r="P266" s="28"/>
      <c r="Q266" s="19"/>
      <c r="R266" s="19"/>
      <c r="S266" s="19"/>
      <c r="T266" s="36"/>
      <c r="U266" s="43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57"/>
      <c r="AL266" s="57"/>
      <c r="AM266" s="57"/>
      <c r="AN266" s="57"/>
      <c r="AO266" s="57"/>
      <c r="AP266" s="57"/>
    </row>
    <row r="267" spans="1:42" ht="21" x14ac:dyDescent="0.35">
      <c r="A267" s="28"/>
      <c r="B267" s="67"/>
      <c r="C267" s="28"/>
      <c r="D267" s="19"/>
      <c r="E267" s="28"/>
      <c r="F267" s="28"/>
      <c r="G267" s="19"/>
      <c r="H267" s="28"/>
      <c r="I267" s="19"/>
      <c r="J267" s="19"/>
      <c r="K267" s="19"/>
      <c r="L267" s="19"/>
      <c r="M267" s="19"/>
      <c r="N267" s="19"/>
      <c r="O267" s="19"/>
      <c r="P267" s="28"/>
      <c r="Q267" s="19"/>
      <c r="R267" s="19"/>
      <c r="S267" s="19"/>
      <c r="T267" s="36"/>
      <c r="U267" s="43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57"/>
      <c r="AL267" s="57"/>
      <c r="AM267" s="57"/>
      <c r="AN267" s="57"/>
      <c r="AO267" s="57"/>
      <c r="AP267" s="57"/>
    </row>
    <row r="268" spans="1:42" ht="21" x14ac:dyDescent="0.35">
      <c r="A268" s="28"/>
      <c r="B268" s="67"/>
      <c r="C268" s="28"/>
      <c r="D268" s="19"/>
      <c r="E268" s="28"/>
      <c r="F268" s="28"/>
      <c r="G268" s="19"/>
      <c r="H268" s="28"/>
      <c r="I268" s="19"/>
      <c r="J268" s="19"/>
      <c r="K268" s="19"/>
      <c r="L268" s="19"/>
      <c r="M268" s="19"/>
      <c r="N268" s="19"/>
      <c r="O268" s="19"/>
      <c r="P268" s="28"/>
      <c r="Q268" s="19"/>
      <c r="R268" s="19"/>
      <c r="S268" s="19"/>
      <c r="T268" s="36"/>
      <c r="U268" s="43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57"/>
      <c r="AL268" s="57"/>
      <c r="AM268" s="57"/>
      <c r="AN268" s="57"/>
      <c r="AO268" s="57"/>
      <c r="AP268" s="57"/>
    </row>
    <row r="269" spans="1:42" ht="21" x14ac:dyDescent="0.35">
      <c r="A269" s="28"/>
      <c r="B269" s="67"/>
      <c r="C269" s="28"/>
      <c r="D269" s="19"/>
      <c r="E269" s="28"/>
      <c r="F269" s="28"/>
      <c r="G269" s="19"/>
      <c r="H269" s="28"/>
      <c r="I269" s="19"/>
      <c r="J269" s="19"/>
      <c r="K269" s="19"/>
      <c r="L269" s="19"/>
      <c r="M269" s="19"/>
      <c r="N269" s="19"/>
      <c r="O269" s="19"/>
      <c r="P269" s="28"/>
      <c r="Q269" s="19"/>
      <c r="R269" s="19"/>
      <c r="S269" s="19"/>
      <c r="T269" s="36"/>
      <c r="U269" s="43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57"/>
      <c r="AL269" s="57"/>
      <c r="AM269" s="57"/>
      <c r="AN269" s="57"/>
      <c r="AO269" s="57"/>
      <c r="AP269" s="57"/>
    </row>
    <row r="270" spans="1:42" ht="21" x14ac:dyDescent="0.35">
      <c r="A270" s="28"/>
      <c r="B270" s="67"/>
      <c r="C270" s="28"/>
      <c r="D270" s="19"/>
      <c r="E270" s="28"/>
      <c r="F270" s="28"/>
      <c r="G270" s="19"/>
      <c r="H270" s="28"/>
      <c r="I270" s="19"/>
      <c r="J270" s="19"/>
      <c r="K270" s="19"/>
      <c r="L270" s="19"/>
      <c r="M270" s="19"/>
      <c r="N270" s="19"/>
      <c r="O270" s="19"/>
      <c r="P270" s="28"/>
      <c r="Q270" s="19"/>
      <c r="R270" s="19"/>
      <c r="S270" s="19"/>
      <c r="T270" s="36"/>
      <c r="U270" s="43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57"/>
      <c r="AL270" s="57"/>
      <c r="AM270" s="57"/>
      <c r="AN270" s="57"/>
      <c r="AO270" s="57"/>
      <c r="AP270" s="57"/>
    </row>
    <row r="271" spans="1:42" ht="21" x14ac:dyDescent="0.35">
      <c r="A271" s="28"/>
      <c r="B271" s="67"/>
      <c r="C271" s="28"/>
      <c r="D271" s="19"/>
      <c r="E271" s="28"/>
      <c r="F271" s="28"/>
      <c r="G271" s="19"/>
      <c r="H271" s="28"/>
      <c r="I271" s="19"/>
      <c r="J271" s="19"/>
      <c r="K271" s="19"/>
      <c r="L271" s="19"/>
      <c r="M271" s="19"/>
      <c r="N271" s="19"/>
      <c r="O271" s="19"/>
      <c r="P271" s="28"/>
      <c r="Q271" s="19"/>
      <c r="R271" s="19"/>
      <c r="S271" s="19"/>
      <c r="T271" s="36"/>
      <c r="U271" s="43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57"/>
      <c r="AL271" s="57"/>
      <c r="AM271" s="57"/>
      <c r="AN271" s="57"/>
      <c r="AO271" s="57"/>
      <c r="AP271" s="57"/>
    </row>
    <row r="272" spans="1:42" ht="21" x14ac:dyDescent="0.35">
      <c r="A272" s="28"/>
      <c r="B272" s="67"/>
      <c r="C272" s="28"/>
      <c r="D272" s="19"/>
      <c r="E272" s="28"/>
      <c r="F272" s="28"/>
      <c r="G272" s="19"/>
      <c r="H272" s="28"/>
      <c r="I272" s="19"/>
      <c r="J272" s="19"/>
      <c r="K272" s="19"/>
      <c r="L272" s="19"/>
      <c r="M272" s="19"/>
      <c r="N272" s="19"/>
      <c r="O272" s="19"/>
      <c r="P272" s="28"/>
      <c r="Q272" s="19"/>
      <c r="R272" s="19"/>
      <c r="S272" s="19"/>
      <c r="T272" s="36"/>
      <c r="U272" s="43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57"/>
      <c r="AL272" s="57"/>
      <c r="AM272" s="57"/>
      <c r="AN272" s="57"/>
      <c r="AO272" s="57"/>
      <c r="AP272" s="57"/>
    </row>
    <row r="273" spans="1:42" ht="21" x14ac:dyDescent="0.35">
      <c r="A273" s="28"/>
      <c r="B273" s="67"/>
      <c r="C273" s="28"/>
      <c r="D273" s="19"/>
      <c r="E273" s="28"/>
      <c r="F273" s="28"/>
      <c r="G273" s="19"/>
      <c r="H273" s="28"/>
      <c r="I273" s="19"/>
      <c r="J273" s="19"/>
      <c r="K273" s="19"/>
      <c r="L273" s="19"/>
      <c r="M273" s="19"/>
      <c r="N273" s="19"/>
      <c r="O273" s="19"/>
      <c r="P273" s="28"/>
      <c r="Q273" s="19"/>
      <c r="R273" s="19"/>
      <c r="S273" s="19"/>
      <c r="T273" s="36"/>
      <c r="U273" s="43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57"/>
      <c r="AL273" s="57"/>
      <c r="AM273" s="57"/>
      <c r="AN273" s="57"/>
      <c r="AO273" s="57"/>
      <c r="AP273" s="57"/>
    </row>
    <row r="274" spans="1:42" ht="21" x14ac:dyDescent="0.35">
      <c r="A274" s="28"/>
      <c r="B274" s="67"/>
      <c r="C274" s="28"/>
      <c r="D274" s="19"/>
      <c r="E274" s="28"/>
      <c r="F274" s="28"/>
      <c r="G274" s="19"/>
      <c r="H274" s="28"/>
      <c r="I274" s="19"/>
      <c r="J274" s="19"/>
      <c r="K274" s="19"/>
      <c r="L274" s="19"/>
      <c r="M274" s="19"/>
      <c r="N274" s="19"/>
      <c r="O274" s="19"/>
      <c r="P274" s="28"/>
      <c r="Q274" s="19"/>
      <c r="R274" s="19"/>
      <c r="S274" s="19"/>
      <c r="T274" s="36"/>
      <c r="U274" s="43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57"/>
      <c r="AL274" s="57"/>
      <c r="AM274" s="57"/>
      <c r="AN274" s="57"/>
      <c r="AO274" s="57"/>
      <c r="AP274" s="57"/>
    </row>
    <row r="275" spans="1:42" ht="21" x14ac:dyDescent="0.35">
      <c r="A275" s="28"/>
      <c r="B275" s="67"/>
      <c r="C275" s="28"/>
      <c r="D275" s="19"/>
      <c r="E275" s="28"/>
      <c r="F275" s="28"/>
      <c r="G275" s="19"/>
      <c r="H275" s="28"/>
      <c r="I275" s="19"/>
      <c r="J275" s="19"/>
      <c r="K275" s="19"/>
      <c r="L275" s="19"/>
      <c r="M275" s="19"/>
      <c r="N275" s="19"/>
      <c r="O275" s="19"/>
      <c r="P275" s="28"/>
      <c r="Q275" s="19"/>
      <c r="R275" s="19"/>
      <c r="S275" s="19"/>
      <c r="T275" s="36"/>
      <c r="U275" s="43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57"/>
      <c r="AL275" s="57"/>
      <c r="AM275" s="57"/>
      <c r="AN275" s="57"/>
      <c r="AO275" s="57"/>
      <c r="AP275" s="57"/>
    </row>
    <row r="276" spans="1:42" ht="21" x14ac:dyDescent="0.35">
      <c r="A276" s="28"/>
      <c r="B276" s="67"/>
      <c r="C276" s="28"/>
      <c r="D276" s="19"/>
      <c r="E276" s="28"/>
      <c r="F276" s="28"/>
      <c r="G276" s="19"/>
      <c r="H276" s="28"/>
      <c r="I276" s="19"/>
      <c r="J276" s="19"/>
      <c r="K276" s="19"/>
      <c r="L276" s="19"/>
      <c r="M276" s="19"/>
      <c r="N276" s="19"/>
      <c r="O276" s="19"/>
      <c r="P276" s="28"/>
      <c r="Q276" s="19"/>
      <c r="R276" s="19"/>
      <c r="S276" s="19"/>
      <c r="T276" s="36"/>
      <c r="U276" s="43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57"/>
      <c r="AL276" s="57"/>
      <c r="AM276" s="57"/>
      <c r="AN276" s="57"/>
      <c r="AO276" s="57"/>
      <c r="AP276" s="57"/>
    </row>
    <row r="277" spans="1:42" ht="21" x14ac:dyDescent="0.35">
      <c r="A277" s="28"/>
      <c r="B277" s="67"/>
      <c r="C277" s="28"/>
      <c r="D277" s="19"/>
      <c r="E277" s="28"/>
      <c r="F277" s="28"/>
      <c r="G277" s="19"/>
      <c r="H277" s="28"/>
      <c r="I277" s="19"/>
      <c r="J277" s="19"/>
      <c r="K277" s="19"/>
      <c r="L277" s="19"/>
      <c r="M277" s="19"/>
      <c r="N277" s="19"/>
      <c r="O277" s="19"/>
      <c r="P277" s="28"/>
      <c r="Q277" s="19"/>
      <c r="R277" s="19"/>
      <c r="S277" s="19"/>
      <c r="T277" s="36"/>
      <c r="U277" s="43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57"/>
      <c r="AL277" s="57"/>
      <c r="AM277" s="57"/>
      <c r="AN277" s="57"/>
      <c r="AO277" s="57"/>
      <c r="AP277" s="57"/>
    </row>
    <row r="278" spans="1:42" ht="21" x14ac:dyDescent="0.35">
      <c r="A278" s="28"/>
      <c r="B278" s="67"/>
      <c r="C278" s="28"/>
      <c r="D278" s="19"/>
      <c r="E278" s="28"/>
      <c r="F278" s="28"/>
      <c r="G278" s="19"/>
      <c r="H278" s="28"/>
      <c r="I278" s="19"/>
      <c r="J278" s="19"/>
      <c r="K278" s="19"/>
      <c r="L278" s="19"/>
      <c r="M278" s="19"/>
      <c r="N278" s="19"/>
      <c r="O278" s="19"/>
      <c r="P278" s="28"/>
      <c r="Q278" s="19"/>
      <c r="R278" s="19"/>
      <c r="S278" s="19"/>
      <c r="T278" s="36"/>
      <c r="U278" s="43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57"/>
      <c r="AL278" s="57"/>
      <c r="AM278" s="57"/>
      <c r="AN278" s="57"/>
      <c r="AO278" s="57"/>
      <c r="AP278" s="57"/>
    </row>
    <row r="279" spans="1:42" ht="21" x14ac:dyDescent="0.35">
      <c r="A279" s="28"/>
      <c r="B279" s="67"/>
      <c r="C279" s="28"/>
      <c r="D279" s="19"/>
      <c r="E279" s="28"/>
      <c r="F279" s="28"/>
      <c r="G279" s="19"/>
      <c r="H279" s="28"/>
      <c r="I279" s="19"/>
      <c r="J279" s="19"/>
      <c r="K279" s="19"/>
      <c r="L279" s="19"/>
      <c r="M279" s="19"/>
      <c r="N279" s="19"/>
      <c r="O279" s="19"/>
      <c r="P279" s="28"/>
      <c r="Q279" s="19"/>
      <c r="R279" s="19"/>
      <c r="S279" s="19"/>
      <c r="T279" s="36"/>
      <c r="U279" s="43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57"/>
      <c r="AL279" s="57"/>
      <c r="AM279" s="57"/>
      <c r="AN279" s="57"/>
      <c r="AO279" s="57"/>
      <c r="AP279" s="57"/>
    </row>
    <row r="280" spans="1:42" ht="21" x14ac:dyDescent="0.35">
      <c r="A280" s="28"/>
      <c r="B280" s="67"/>
      <c r="C280" s="28"/>
      <c r="D280" s="19"/>
      <c r="E280" s="28"/>
      <c r="F280" s="28"/>
      <c r="G280" s="19"/>
      <c r="H280" s="28"/>
      <c r="I280" s="19"/>
      <c r="J280" s="19"/>
      <c r="K280" s="19"/>
      <c r="L280" s="19"/>
      <c r="M280" s="19"/>
      <c r="N280" s="19"/>
      <c r="O280" s="19"/>
      <c r="P280" s="28"/>
      <c r="Q280" s="19"/>
      <c r="R280" s="19"/>
      <c r="S280" s="19"/>
      <c r="T280" s="36"/>
      <c r="U280" s="43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57"/>
      <c r="AL280" s="57"/>
      <c r="AM280" s="57"/>
      <c r="AN280" s="57"/>
      <c r="AO280" s="57"/>
      <c r="AP280" s="57"/>
    </row>
    <row r="281" spans="1:42" ht="21" x14ac:dyDescent="0.35">
      <c r="A281" s="28"/>
      <c r="B281" s="67"/>
      <c r="C281" s="28"/>
      <c r="D281" s="19"/>
      <c r="E281" s="28"/>
      <c r="F281" s="28"/>
      <c r="G281" s="19"/>
      <c r="H281" s="28"/>
      <c r="I281" s="19"/>
      <c r="J281" s="19"/>
      <c r="K281" s="19"/>
      <c r="L281" s="19"/>
      <c r="M281" s="19"/>
      <c r="N281" s="19"/>
      <c r="O281" s="19"/>
      <c r="P281" s="28"/>
      <c r="Q281" s="19"/>
      <c r="R281" s="19"/>
      <c r="S281" s="19"/>
      <c r="T281" s="36"/>
      <c r="U281" s="43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57"/>
      <c r="AL281" s="57"/>
      <c r="AM281" s="57"/>
      <c r="AN281" s="57"/>
      <c r="AO281" s="57"/>
      <c r="AP281" s="57"/>
    </row>
    <row r="282" spans="1:42" ht="21" x14ac:dyDescent="0.35">
      <c r="A282" s="28"/>
      <c r="B282" s="67"/>
      <c r="C282" s="28"/>
      <c r="D282" s="19"/>
      <c r="E282" s="28"/>
      <c r="F282" s="28"/>
      <c r="G282" s="19"/>
      <c r="H282" s="28"/>
      <c r="I282" s="19"/>
      <c r="J282" s="19"/>
      <c r="K282" s="19"/>
      <c r="L282" s="19"/>
      <c r="M282" s="19"/>
      <c r="N282" s="19"/>
      <c r="O282" s="19"/>
      <c r="P282" s="28"/>
      <c r="Q282" s="19"/>
      <c r="R282" s="19"/>
      <c r="S282" s="19"/>
      <c r="T282" s="36"/>
      <c r="U282" s="43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57"/>
      <c r="AL282" s="57"/>
      <c r="AM282" s="57"/>
      <c r="AN282" s="57"/>
      <c r="AO282" s="57"/>
      <c r="AP282" s="57"/>
    </row>
    <row r="283" spans="1:42" ht="21" x14ac:dyDescent="0.35">
      <c r="A283" s="28"/>
      <c r="B283" s="67"/>
      <c r="C283" s="28"/>
      <c r="D283" s="19"/>
      <c r="E283" s="28"/>
      <c r="F283" s="28"/>
      <c r="G283" s="19"/>
      <c r="H283" s="28"/>
      <c r="I283" s="19"/>
      <c r="J283" s="19"/>
      <c r="K283" s="19"/>
      <c r="L283" s="19"/>
      <c r="M283" s="19"/>
      <c r="N283" s="19"/>
      <c r="O283" s="19"/>
      <c r="P283" s="28"/>
      <c r="Q283" s="19"/>
      <c r="R283" s="19"/>
      <c r="S283" s="19"/>
      <c r="T283" s="36"/>
      <c r="U283" s="43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57"/>
      <c r="AL283" s="57"/>
      <c r="AM283" s="57"/>
      <c r="AN283" s="57"/>
      <c r="AO283" s="57"/>
      <c r="AP283" s="57"/>
    </row>
    <row r="284" spans="1:42" ht="21" x14ac:dyDescent="0.35">
      <c r="A284" s="28"/>
      <c r="B284" s="67"/>
      <c r="C284" s="28"/>
      <c r="D284" s="19"/>
      <c r="E284" s="28"/>
      <c r="F284" s="28"/>
      <c r="G284" s="19"/>
      <c r="H284" s="28"/>
      <c r="I284" s="19"/>
      <c r="J284" s="19"/>
      <c r="K284" s="19"/>
      <c r="L284" s="19"/>
      <c r="M284" s="19"/>
      <c r="N284" s="19"/>
      <c r="O284" s="19"/>
      <c r="P284" s="28"/>
      <c r="Q284" s="19"/>
      <c r="R284" s="19"/>
      <c r="S284" s="19"/>
      <c r="T284" s="36"/>
      <c r="U284" s="43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57"/>
      <c r="AL284" s="57"/>
      <c r="AM284" s="57"/>
      <c r="AN284" s="57"/>
      <c r="AO284" s="57"/>
      <c r="AP284" s="57"/>
    </row>
    <row r="285" spans="1:42" ht="21" x14ac:dyDescent="0.35">
      <c r="A285" s="28"/>
      <c r="B285" s="67"/>
      <c r="C285" s="28"/>
      <c r="D285" s="19"/>
      <c r="E285" s="28"/>
      <c r="F285" s="28"/>
      <c r="G285" s="19"/>
      <c r="H285" s="28"/>
      <c r="I285" s="19"/>
      <c r="J285" s="19"/>
      <c r="K285" s="19"/>
      <c r="L285" s="19"/>
      <c r="M285" s="19"/>
      <c r="N285" s="19"/>
      <c r="O285" s="19"/>
      <c r="P285" s="28"/>
      <c r="Q285" s="19"/>
      <c r="R285" s="19"/>
      <c r="S285" s="19"/>
      <c r="T285" s="36"/>
      <c r="U285" s="43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57"/>
      <c r="AL285" s="57"/>
      <c r="AM285" s="57"/>
      <c r="AN285" s="57"/>
      <c r="AO285" s="57"/>
      <c r="AP285" s="57"/>
    </row>
    <row r="286" spans="1:42" ht="21" x14ac:dyDescent="0.35">
      <c r="A286" s="28"/>
      <c r="B286" s="67"/>
      <c r="C286" s="28"/>
      <c r="D286" s="19"/>
      <c r="E286" s="28"/>
      <c r="F286" s="28"/>
      <c r="G286" s="19"/>
      <c r="H286" s="28"/>
      <c r="I286" s="19"/>
      <c r="J286" s="19"/>
      <c r="K286" s="19"/>
      <c r="L286" s="19"/>
      <c r="M286" s="19"/>
      <c r="N286" s="19"/>
      <c r="O286" s="19"/>
      <c r="P286" s="28"/>
      <c r="Q286" s="19"/>
      <c r="R286" s="19"/>
      <c r="S286" s="19"/>
      <c r="T286" s="36"/>
      <c r="U286" s="43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57"/>
      <c r="AL286" s="57"/>
      <c r="AM286" s="57"/>
      <c r="AN286" s="57"/>
      <c r="AO286" s="57"/>
      <c r="AP286" s="57"/>
    </row>
    <row r="287" spans="1:42" ht="21" x14ac:dyDescent="0.35">
      <c r="A287" s="28"/>
      <c r="B287" s="67"/>
      <c r="C287" s="28"/>
      <c r="D287" s="19"/>
      <c r="E287" s="28"/>
      <c r="F287" s="28"/>
      <c r="G287" s="19"/>
      <c r="H287" s="28"/>
      <c r="I287" s="19"/>
      <c r="J287" s="19"/>
      <c r="K287" s="19"/>
      <c r="L287" s="19"/>
      <c r="M287" s="19"/>
      <c r="N287" s="19"/>
      <c r="O287" s="19"/>
      <c r="P287" s="28"/>
      <c r="Q287" s="19"/>
      <c r="R287" s="19"/>
      <c r="S287" s="19"/>
      <c r="T287" s="36"/>
      <c r="U287" s="43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57"/>
      <c r="AL287" s="57"/>
      <c r="AM287" s="57"/>
      <c r="AN287" s="57"/>
      <c r="AO287" s="57"/>
      <c r="AP287" s="57"/>
    </row>
    <row r="288" spans="1:42" ht="21" x14ac:dyDescent="0.35">
      <c r="A288" s="28"/>
      <c r="B288" s="67"/>
      <c r="C288" s="28"/>
      <c r="D288" s="19"/>
      <c r="E288" s="28"/>
      <c r="F288" s="28"/>
      <c r="G288" s="19"/>
      <c r="H288" s="28"/>
      <c r="I288" s="19"/>
      <c r="J288" s="19"/>
      <c r="K288" s="19"/>
      <c r="L288" s="19"/>
      <c r="M288" s="19"/>
      <c r="N288" s="19"/>
      <c r="O288" s="19"/>
      <c r="P288" s="28"/>
      <c r="Q288" s="19"/>
      <c r="R288" s="19"/>
      <c r="S288" s="19"/>
      <c r="T288" s="36"/>
      <c r="U288" s="43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57"/>
      <c r="AL288" s="57"/>
      <c r="AM288" s="57"/>
      <c r="AN288" s="57"/>
      <c r="AO288" s="57"/>
      <c r="AP288" s="57"/>
    </row>
    <row r="289" spans="1:56" ht="21" x14ac:dyDescent="0.35">
      <c r="A289" s="28"/>
      <c r="B289" s="67"/>
      <c r="C289" s="28"/>
      <c r="D289" s="19"/>
      <c r="E289" s="28"/>
      <c r="F289" s="28"/>
      <c r="G289" s="19"/>
      <c r="H289" s="28"/>
      <c r="I289" s="19"/>
      <c r="J289" s="19"/>
      <c r="K289" s="19"/>
      <c r="L289" s="19"/>
      <c r="M289" s="19"/>
      <c r="N289" s="19"/>
      <c r="O289" s="19"/>
      <c r="P289" s="28"/>
      <c r="Q289" s="19"/>
      <c r="R289" s="19"/>
      <c r="S289" s="19"/>
      <c r="T289" s="36"/>
      <c r="U289" s="43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57"/>
      <c r="AL289" s="57"/>
      <c r="AM289" s="57"/>
      <c r="AN289" s="57"/>
      <c r="AO289" s="57"/>
      <c r="AP289" s="57"/>
    </row>
    <row r="290" spans="1:56" ht="21" x14ac:dyDescent="0.35">
      <c r="A290" s="28"/>
      <c r="B290" s="67"/>
      <c r="C290" s="28"/>
      <c r="D290" s="19"/>
      <c r="E290" s="28"/>
      <c r="F290" s="28"/>
      <c r="G290" s="19"/>
      <c r="H290" s="28"/>
      <c r="I290" s="19"/>
      <c r="J290" s="19"/>
      <c r="K290" s="19"/>
      <c r="L290" s="19"/>
      <c r="M290" s="19"/>
      <c r="N290" s="19"/>
      <c r="O290" s="19"/>
      <c r="P290" s="28"/>
      <c r="Q290" s="19"/>
      <c r="R290" s="19"/>
      <c r="S290" s="19"/>
      <c r="T290" s="36"/>
      <c r="U290" s="43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57"/>
      <c r="AL290" s="57"/>
      <c r="AM290" s="57"/>
      <c r="AN290" s="57"/>
      <c r="AO290" s="57"/>
      <c r="AP290" s="57"/>
    </row>
    <row r="291" spans="1:56" ht="21.75" thickBot="1" x14ac:dyDescent="0.4">
      <c r="A291" s="28"/>
      <c r="B291" s="67"/>
      <c r="C291" s="31"/>
      <c r="D291" s="32"/>
      <c r="E291" s="31"/>
      <c r="F291" s="31"/>
      <c r="G291" s="32"/>
      <c r="H291" s="31"/>
      <c r="I291" s="32"/>
      <c r="J291" s="32"/>
      <c r="K291" s="32"/>
      <c r="L291" s="32"/>
      <c r="M291" s="32"/>
      <c r="N291" s="32"/>
      <c r="O291" s="32"/>
      <c r="P291" s="31"/>
      <c r="Q291" s="32"/>
      <c r="R291" s="32"/>
      <c r="S291" s="32"/>
      <c r="T291" s="39"/>
      <c r="U291" s="50"/>
      <c r="V291" s="19"/>
      <c r="W291" s="28"/>
      <c r="X291" s="28"/>
      <c r="Y291" s="19"/>
      <c r="Z291" s="19"/>
      <c r="AA291" s="19"/>
      <c r="AB291" s="29"/>
      <c r="AC291" s="33"/>
      <c r="AD291" s="33"/>
      <c r="AE291" s="31"/>
      <c r="AF291" s="31"/>
      <c r="AG291" s="31"/>
      <c r="AH291" s="33"/>
      <c r="AI291" s="33"/>
      <c r="AJ291" s="51"/>
      <c r="AK291" s="57"/>
      <c r="AL291" s="57"/>
      <c r="AM291" s="57"/>
      <c r="AN291" s="57"/>
      <c r="AO291" s="57"/>
      <c r="AP291" s="57"/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5" priority="66">
      <formula>Y4+Z4+AA4=1</formula>
    </cfRule>
  </conditionalFormatting>
  <conditionalFormatting sqref="Z295:Z351 Z4:Z291">
    <cfRule type="expression" dxfId="4" priority="65">
      <formula>Y4+Z4+AA4=1</formula>
    </cfRule>
  </conditionalFormatting>
  <conditionalFormatting sqref="AA295:AA351 AA4:AA291">
    <cfRule type="expression" dxfId="3" priority="64">
      <formula>Y4+Z4+AA4=1</formula>
    </cfRule>
  </conditionalFormatting>
  <conditionalFormatting sqref="Y292:Y294">
    <cfRule type="expression" dxfId="2" priority="3">
      <formula>Y292+Z292+AA292=1</formula>
    </cfRule>
  </conditionalFormatting>
  <conditionalFormatting sqref="Z292:Z294">
    <cfRule type="expression" dxfId="1" priority="2">
      <formula>Y292+Z292+AA292=1</formula>
    </cfRule>
  </conditionalFormatting>
  <conditionalFormatting sqref="AA292:AA294">
    <cfRule type="expression" dxfId="0" priority="1">
      <formula>Y292+Z292+AA292=1</formula>
    </cfRule>
  </conditionalFormatting>
  <dataValidations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2026-09-06T14:45:52Z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