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46FDD396-0B31-44CB-AAD7-F2AC677DF3EE}" xr6:coauthVersionLast="47" xr6:coauthVersionMax="47" xr10:uidLastSave="{00000000-0000-0000-0000-000000000000}"/>
  <bookViews>
    <workbookView xWindow="-120" yWindow="-120" windowWidth="29040" windowHeight="15720" tabRatio="858" activeTab="3" xr2:uid="{00000000-000D-0000-FFFF-FFFF00000000}"/>
  </bookViews>
  <sheets>
    <sheet name="Local and Global" sheetId="27" r:id="rId1"/>
    <sheet name="Global Only" sheetId="20" r:id="rId2"/>
    <sheet name="HR_Local and Global" sheetId="22" r:id="rId3"/>
    <sheet name="HEB_HR_Global Only" sheetId="23" r:id="rId4"/>
    <sheet name="IPE_HR_Global Only" sheetId="40" r:id="rId5"/>
  </sheets>
  <definedNames>
    <definedName name="_xlnm._FilterDatabase" localSheetId="1" hidden="1">'Global Only'!$A$1:$AT$293</definedName>
    <definedName name="_xlnm._FilterDatabase" localSheetId="3" hidden="1">'HEB_HR_Global Only'!$AM$4:$AO$293</definedName>
    <definedName name="_xlnm._FilterDatabase" localSheetId="4" hidden="1">'IPE_HR_Global Only'!$AM$4:$AO$293</definedName>
  </definedName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02" i="40" l="1"/>
  <c r="AP103" i="40"/>
  <c r="AP104" i="40"/>
  <c r="AP105" i="40"/>
  <c r="AP106" i="40"/>
  <c r="AP107" i="40"/>
  <c r="AP108" i="40"/>
  <c r="AP109" i="40"/>
  <c r="AP110" i="40"/>
  <c r="AP111" i="40"/>
  <c r="AP112" i="40"/>
  <c r="AP113" i="40"/>
  <c r="AP114" i="40"/>
  <c r="AP115" i="40"/>
  <c r="AP116" i="40"/>
  <c r="AP117" i="40"/>
  <c r="AP118" i="40"/>
  <c r="AP119" i="40"/>
  <c r="AP120" i="40"/>
  <c r="AP121" i="40"/>
  <c r="AP122" i="40"/>
  <c r="AP123" i="40"/>
  <c r="AP124" i="40"/>
  <c r="AP125" i="40"/>
  <c r="AP126" i="40"/>
  <c r="AP127" i="40"/>
  <c r="AP128" i="40"/>
  <c r="AP129" i="40"/>
  <c r="AP130" i="40"/>
  <c r="AP131" i="40"/>
  <c r="AP132" i="40"/>
  <c r="AP133" i="40"/>
  <c r="AP134" i="40"/>
  <c r="AP135" i="40"/>
  <c r="AP136" i="40"/>
  <c r="AP137" i="40"/>
  <c r="AP138" i="40"/>
  <c r="AP139" i="40"/>
  <c r="AP140" i="40"/>
  <c r="AP141" i="40"/>
  <c r="AP142" i="40"/>
  <c r="AP143" i="40"/>
  <c r="AP144" i="40"/>
  <c r="AP145" i="40"/>
  <c r="AP146" i="40"/>
  <c r="AP147" i="40"/>
  <c r="AP148" i="40"/>
  <c r="AP149" i="40"/>
  <c r="AP150" i="40"/>
  <c r="AP151" i="40"/>
  <c r="AP152" i="40"/>
  <c r="AP153" i="40"/>
  <c r="AP154" i="40"/>
  <c r="AP155" i="40"/>
  <c r="AP156" i="40"/>
  <c r="AP157" i="40"/>
  <c r="AP158" i="40"/>
  <c r="AP159" i="40"/>
  <c r="AP160" i="40"/>
  <c r="AP161" i="40"/>
  <c r="AP162" i="40"/>
  <c r="AP163" i="40"/>
  <c r="AP164" i="40"/>
  <c r="AP165" i="40"/>
  <c r="AP166" i="40"/>
  <c r="AP167" i="40"/>
  <c r="AP168" i="40"/>
  <c r="AP169" i="40"/>
  <c r="AP170" i="40"/>
  <c r="AP171" i="40"/>
  <c r="AP172" i="40"/>
  <c r="AP173" i="40"/>
  <c r="AP174" i="40"/>
  <c r="AP175" i="40"/>
  <c r="AP176" i="40"/>
  <c r="AP177" i="40"/>
  <c r="AP178" i="40"/>
  <c r="AP179" i="40"/>
  <c r="AP180" i="40"/>
  <c r="AP181" i="40"/>
  <c r="AP182" i="40"/>
  <c r="AP183" i="40"/>
  <c r="AP184" i="40"/>
  <c r="AP185" i="40"/>
  <c r="AP186" i="40"/>
  <c r="AP187" i="40"/>
  <c r="AP188" i="40"/>
  <c r="AP189" i="40"/>
  <c r="AP190" i="40"/>
  <c r="AP191" i="40"/>
  <c r="AP192" i="40"/>
  <c r="AP193" i="40"/>
  <c r="AP194" i="40"/>
  <c r="AP195" i="40"/>
  <c r="AP196" i="40"/>
  <c r="AP197" i="40"/>
  <c r="AP198" i="40"/>
  <c r="AP199" i="40"/>
  <c r="AP200" i="40"/>
  <c r="AP201" i="40"/>
  <c r="AP202" i="40"/>
  <c r="AP203" i="40"/>
  <c r="AP204" i="40"/>
  <c r="AP205" i="40"/>
  <c r="AP206" i="40"/>
  <c r="AP207" i="40"/>
  <c r="AP208" i="40"/>
  <c r="AP209" i="40"/>
  <c r="AP210" i="40"/>
  <c r="AP211" i="40"/>
  <c r="AP212" i="40"/>
  <c r="AP213" i="40"/>
  <c r="AP214" i="40"/>
  <c r="AP215" i="40"/>
  <c r="AP216" i="40"/>
  <c r="AP217" i="40"/>
  <c r="AP218" i="40"/>
  <c r="AP219" i="40"/>
  <c r="AP220" i="40"/>
  <c r="AP221" i="40"/>
  <c r="AP222" i="40"/>
  <c r="AP223" i="40"/>
  <c r="AP224" i="40"/>
  <c r="AP225" i="40"/>
  <c r="AP226" i="40"/>
  <c r="AP227" i="40"/>
  <c r="AP228" i="40"/>
  <c r="AP229" i="40"/>
  <c r="AP230" i="40"/>
  <c r="AP231" i="40"/>
  <c r="AP232" i="40"/>
  <c r="AP233" i="40"/>
  <c r="AP234" i="40"/>
  <c r="AP235" i="40"/>
  <c r="AP236" i="40"/>
  <c r="AP237" i="40"/>
  <c r="AP238" i="40"/>
  <c r="AP239" i="40"/>
  <c r="AP240" i="40"/>
  <c r="AP241" i="40"/>
  <c r="AP242" i="40"/>
  <c r="AP243" i="40"/>
  <c r="AP244" i="40"/>
  <c r="AP245" i="40"/>
  <c r="AP246" i="40"/>
  <c r="AP247" i="40"/>
  <c r="AP248" i="40"/>
  <c r="AP249" i="40"/>
  <c r="AP250" i="40"/>
  <c r="AP251" i="40"/>
  <c r="AP252" i="40"/>
  <c r="AP253" i="40"/>
  <c r="AP254" i="40"/>
  <c r="AP255" i="40"/>
  <c r="AP256" i="40"/>
  <c r="AP257" i="40"/>
  <c r="AP258" i="40"/>
  <c r="AP259" i="40"/>
  <c r="AP260" i="40"/>
  <c r="AP261" i="40"/>
  <c r="AP262" i="40"/>
  <c r="AP263" i="40"/>
  <c r="AP264" i="40"/>
  <c r="AP265" i="40"/>
  <c r="AP266" i="40"/>
  <c r="AP267" i="40"/>
  <c r="AP268" i="40"/>
  <c r="AP269" i="40"/>
  <c r="AP270" i="40"/>
  <c r="AP271" i="40"/>
  <c r="AP272" i="40"/>
  <c r="AP273" i="40"/>
  <c r="AP274" i="40"/>
  <c r="AP275" i="40"/>
  <c r="AP276" i="40"/>
  <c r="AP277" i="40"/>
  <c r="AP278" i="40"/>
  <c r="AP279" i="40"/>
  <c r="AP280" i="40"/>
  <c r="AP281" i="40"/>
  <c r="AP282" i="40"/>
  <c r="AP283" i="40"/>
  <c r="AP284" i="40"/>
  <c r="AP285" i="40"/>
  <c r="AP286" i="40"/>
  <c r="AP287" i="40"/>
  <c r="AP288" i="40"/>
  <c r="AP289" i="40"/>
  <c r="AP290" i="40"/>
  <c r="AP291" i="40"/>
  <c r="AP292" i="40"/>
  <c r="AP293" i="40"/>
  <c r="AP103" i="23"/>
  <c r="AP104" i="23"/>
  <c r="AP105" i="23"/>
  <c r="AP106" i="23"/>
  <c r="AP107" i="23"/>
  <c r="AP108" i="23"/>
  <c r="AP109" i="23"/>
  <c r="AP110" i="23"/>
  <c r="AP111" i="23"/>
  <c r="AP112" i="23"/>
  <c r="AP113" i="23"/>
  <c r="AP114" i="23"/>
  <c r="AP115" i="23"/>
  <c r="AP116" i="23"/>
  <c r="AP117" i="23"/>
  <c r="AP118" i="23"/>
  <c r="AP119" i="23"/>
  <c r="AP120" i="23"/>
  <c r="AP121" i="23"/>
  <c r="AP122" i="23"/>
  <c r="AP123" i="23"/>
  <c r="AP124" i="23"/>
  <c r="AP125" i="23"/>
  <c r="AP126" i="23"/>
  <c r="AP127" i="23"/>
  <c r="AP128" i="23"/>
  <c r="AP129" i="23"/>
  <c r="AP130" i="23"/>
  <c r="AP131" i="23"/>
  <c r="AP132" i="23"/>
  <c r="AP133" i="23"/>
  <c r="AP134" i="23"/>
  <c r="AP135" i="23"/>
  <c r="AP136" i="23"/>
  <c r="AP137" i="23"/>
  <c r="AP138" i="23"/>
  <c r="AP139" i="23"/>
  <c r="AP140" i="23"/>
  <c r="AP141" i="23"/>
  <c r="AP142" i="23"/>
  <c r="AP143" i="23"/>
  <c r="AP144" i="23"/>
  <c r="AP145" i="23"/>
  <c r="AP146" i="23"/>
  <c r="AP147" i="23"/>
  <c r="AP148" i="23"/>
  <c r="AP149" i="23"/>
  <c r="AP150" i="23"/>
  <c r="AP151" i="23"/>
  <c r="AP152" i="23"/>
  <c r="AP153" i="23"/>
  <c r="AP154" i="23"/>
  <c r="AP155" i="23"/>
  <c r="AP156" i="23"/>
  <c r="AP157" i="23"/>
  <c r="AP158" i="23"/>
  <c r="AP159" i="23"/>
  <c r="AP160" i="23"/>
  <c r="AP161" i="23"/>
  <c r="AP162" i="23"/>
  <c r="AP163" i="23"/>
  <c r="AP164" i="23"/>
  <c r="AP165" i="23"/>
  <c r="AP166" i="23"/>
  <c r="AP167" i="23"/>
  <c r="AP168" i="23"/>
  <c r="AP169" i="23"/>
  <c r="AP170" i="23"/>
  <c r="AP171" i="23"/>
  <c r="AP172" i="23"/>
  <c r="AP173" i="23"/>
  <c r="AP174" i="23"/>
  <c r="AP175" i="23"/>
  <c r="AP176" i="23"/>
  <c r="AP177" i="23"/>
  <c r="AP178" i="23"/>
  <c r="AP179" i="23"/>
  <c r="AP180" i="23"/>
  <c r="AP181" i="23"/>
  <c r="AP182" i="23"/>
  <c r="AP183" i="23"/>
  <c r="AP184" i="23"/>
  <c r="AP185" i="23"/>
  <c r="AP186" i="23"/>
  <c r="AP187" i="23"/>
  <c r="AP188" i="23"/>
  <c r="AP189" i="23"/>
  <c r="AP190" i="23"/>
  <c r="AP191" i="23"/>
  <c r="AP192" i="23"/>
  <c r="AP193" i="23"/>
  <c r="AP194" i="23"/>
  <c r="AP195" i="23"/>
  <c r="AP196" i="23"/>
  <c r="AP197" i="23"/>
  <c r="AP198" i="23"/>
  <c r="AP199" i="23"/>
  <c r="AP200" i="23"/>
  <c r="AP201" i="23"/>
  <c r="AP202" i="23"/>
  <c r="AP203" i="23"/>
  <c r="AP204" i="23"/>
  <c r="AP205" i="23"/>
  <c r="AP206" i="23"/>
  <c r="AP207" i="23"/>
  <c r="AP208" i="23"/>
  <c r="AP209" i="23"/>
  <c r="AP210" i="23"/>
  <c r="AP211" i="23"/>
  <c r="AP212" i="23"/>
  <c r="AP213" i="23"/>
  <c r="AP214" i="23"/>
  <c r="AP215" i="23"/>
  <c r="AP216" i="23"/>
  <c r="AP217" i="23"/>
  <c r="AP218" i="23"/>
  <c r="AP219" i="23"/>
  <c r="AP220" i="23"/>
  <c r="AP221" i="23"/>
  <c r="AP222" i="23"/>
  <c r="AP223" i="23"/>
  <c r="AP224" i="23"/>
  <c r="AP225" i="23"/>
  <c r="AP226" i="23"/>
  <c r="AP227" i="23"/>
  <c r="AP228" i="23"/>
  <c r="AP229" i="23"/>
  <c r="AP230" i="23"/>
  <c r="AP231" i="23"/>
  <c r="AP232" i="23"/>
  <c r="AP233" i="23"/>
  <c r="AP234" i="23"/>
  <c r="AP235" i="23"/>
  <c r="AP236" i="23"/>
  <c r="AP237" i="23"/>
  <c r="AP238" i="23"/>
  <c r="AP239" i="23"/>
  <c r="AP240" i="23"/>
  <c r="AP241" i="23"/>
  <c r="AP242" i="23"/>
  <c r="AP243" i="23"/>
  <c r="AP244" i="23"/>
  <c r="AP245" i="23"/>
  <c r="AP246" i="23"/>
  <c r="AP247" i="23"/>
  <c r="AP248" i="23"/>
  <c r="AP249" i="23"/>
  <c r="AP250" i="23"/>
  <c r="AP251" i="23"/>
  <c r="AP252" i="23"/>
  <c r="AP253" i="23"/>
  <c r="AP254" i="23"/>
  <c r="AP255" i="23"/>
  <c r="AP256" i="23"/>
  <c r="AP257" i="23"/>
  <c r="AP258" i="23"/>
  <c r="AP259" i="23"/>
  <c r="AP260" i="23"/>
  <c r="AP261" i="23"/>
  <c r="AP262" i="23"/>
  <c r="AP263" i="23"/>
  <c r="AP264" i="23"/>
  <c r="AP265" i="23"/>
  <c r="AP266" i="23"/>
  <c r="AP267" i="23"/>
  <c r="AP268" i="23"/>
  <c r="AP269" i="23"/>
  <c r="AP270" i="23"/>
  <c r="AP271" i="23"/>
  <c r="AP272" i="23"/>
  <c r="AP273" i="23"/>
  <c r="AP274" i="23"/>
  <c r="AP275" i="23"/>
  <c r="AP276" i="23"/>
  <c r="AP277" i="23"/>
  <c r="AP278" i="23"/>
  <c r="AP279" i="23"/>
  <c r="AP280" i="23"/>
  <c r="AP281" i="23"/>
  <c r="AP282" i="23"/>
  <c r="AP283" i="23"/>
  <c r="AP284" i="23"/>
  <c r="AP285" i="23"/>
  <c r="AP286" i="23"/>
  <c r="AP287" i="23"/>
  <c r="AP288" i="23"/>
  <c r="AP289" i="23"/>
  <c r="AP290" i="23"/>
  <c r="AP291" i="23"/>
  <c r="AP292" i="23"/>
  <c r="AP293" i="23"/>
  <c r="AO293" i="40"/>
  <c r="V293" i="40"/>
  <c r="AK293" i="40"/>
  <c r="AJ293" i="40"/>
  <c r="AG293" i="40"/>
  <c r="AO292" i="40"/>
  <c r="V292" i="40"/>
  <c r="AK292" i="40"/>
  <c r="AJ292" i="40"/>
  <c r="AG292" i="40"/>
  <c r="AO291" i="40"/>
  <c r="V291" i="40"/>
  <c r="AK291" i="40"/>
  <c r="AJ291" i="40"/>
  <c r="AG291" i="40"/>
  <c r="AO290" i="40"/>
  <c r="V290" i="40"/>
  <c r="AK290" i="40"/>
  <c r="AJ290" i="40"/>
  <c r="AG290" i="40"/>
  <c r="AO289" i="40"/>
  <c r="V289" i="40"/>
  <c r="AK289" i="40"/>
  <c r="AJ289" i="40"/>
  <c r="AG289" i="40"/>
  <c r="AO288" i="40"/>
  <c r="V288" i="40"/>
  <c r="AK288" i="40"/>
  <c r="AJ288" i="40"/>
  <c r="AG288" i="40"/>
  <c r="AO287" i="40"/>
  <c r="V287" i="40"/>
  <c r="AK287" i="40"/>
  <c r="AJ287" i="40"/>
  <c r="AG287" i="40"/>
  <c r="AO286" i="40"/>
  <c r="V286" i="40"/>
  <c r="AK286" i="40"/>
  <c r="AJ286" i="40"/>
  <c r="AG286" i="40"/>
  <c r="AO285" i="40"/>
  <c r="V285" i="40"/>
  <c r="AK285" i="40"/>
  <c r="AJ285" i="40"/>
  <c r="AG285" i="40"/>
  <c r="AO284" i="40"/>
  <c r="V284" i="40"/>
  <c r="AK284" i="40"/>
  <c r="AJ284" i="40"/>
  <c r="AG284" i="40"/>
  <c r="AO283" i="40"/>
  <c r="V283" i="40"/>
  <c r="AK283" i="40"/>
  <c r="AJ283" i="40"/>
  <c r="AG283" i="40"/>
  <c r="AO282" i="40"/>
  <c r="V282" i="40"/>
  <c r="AK282" i="40"/>
  <c r="AJ282" i="40"/>
  <c r="AG282" i="40"/>
  <c r="AO281" i="40"/>
  <c r="V281" i="40"/>
  <c r="AK281" i="40"/>
  <c r="AJ281" i="40"/>
  <c r="AG281" i="40"/>
  <c r="AO280" i="40"/>
  <c r="V280" i="40"/>
  <c r="AK280" i="40"/>
  <c r="AJ280" i="40"/>
  <c r="AG280" i="40"/>
  <c r="AO279" i="40"/>
  <c r="V279" i="40"/>
  <c r="AK279" i="40"/>
  <c r="AJ279" i="40"/>
  <c r="AG279" i="40"/>
  <c r="AO278" i="40"/>
  <c r="V278" i="40"/>
  <c r="AK278" i="40"/>
  <c r="AJ278" i="40"/>
  <c r="AG278" i="40"/>
  <c r="AO277" i="40"/>
  <c r="V277" i="40"/>
  <c r="AK277" i="40"/>
  <c r="AJ277" i="40"/>
  <c r="AG277" i="40"/>
  <c r="AO276" i="40"/>
  <c r="V276" i="40"/>
  <c r="AK276" i="40"/>
  <c r="AJ276" i="40"/>
  <c r="AG276" i="40"/>
  <c r="AO275" i="40"/>
  <c r="V275" i="40"/>
  <c r="AK275" i="40"/>
  <c r="AJ275" i="40"/>
  <c r="AG275" i="40"/>
  <c r="AO274" i="40"/>
  <c r="V274" i="40"/>
  <c r="AK274" i="40"/>
  <c r="AJ274" i="40"/>
  <c r="AG274" i="40"/>
  <c r="AO273" i="40"/>
  <c r="V273" i="40"/>
  <c r="AK273" i="40"/>
  <c r="AJ273" i="40"/>
  <c r="AG273" i="40"/>
  <c r="AO272" i="40"/>
  <c r="V272" i="40"/>
  <c r="AK272" i="40"/>
  <c r="AJ272" i="40"/>
  <c r="AG272" i="40"/>
  <c r="AO271" i="40"/>
  <c r="V271" i="40"/>
  <c r="AK271" i="40"/>
  <c r="AJ271" i="40"/>
  <c r="AG271" i="40"/>
  <c r="AO270" i="40"/>
  <c r="V270" i="40"/>
  <c r="AK270" i="40"/>
  <c r="AJ270" i="40"/>
  <c r="AG270" i="40"/>
  <c r="AO269" i="40"/>
  <c r="V269" i="40"/>
  <c r="AK269" i="40"/>
  <c r="AJ269" i="40"/>
  <c r="AG269" i="40"/>
  <c r="AO268" i="40"/>
  <c r="V268" i="40"/>
  <c r="AK268" i="40"/>
  <c r="AJ268" i="40"/>
  <c r="AG268" i="40"/>
  <c r="AO267" i="40"/>
  <c r="V267" i="40"/>
  <c r="AK267" i="40"/>
  <c r="AJ267" i="40"/>
  <c r="AG267" i="40"/>
  <c r="AO266" i="40"/>
  <c r="V266" i="40"/>
  <c r="AK266" i="40"/>
  <c r="AJ266" i="40"/>
  <c r="AG266" i="40"/>
  <c r="AO265" i="40"/>
  <c r="V265" i="40"/>
  <c r="AK265" i="40"/>
  <c r="AJ265" i="40"/>
  <c r="AG265" i="40"/>
  <c r="AO264" i="40"/>
  <c r="V264" i="40"/>
  <c r="AK264" i="40"/>
  <c r="AJ264" i="40"/>
  <c r="AG264" i="40"/>
  <c r="AO263" i="40"/>
  <c r="V263" i="40"/>
  <c r="AK263" i="40"/>
  <c r="AJ263" i="40"/>
  <c r="AG263" i="40"/>
  <c r="AO262" i="40"/>
  <c r="V262" i="40"/>
  <c r="AK262" i="40"/>
  <c r="AJ262" i="40"/>
  <c r="AG262" i="40"/>
  <c r="AO261" i="40"/>
  <c r="V261" i="40"/>
  <c r="AK261" i="40"/>
  <c r="AJ261" i="40"/>
  <c r="AG261" i="40"/>
  <c r="AO260" i="40"/>
  <c r="V260" i="40"/>
  <c r="AK260" i="40"/>
  <c r="AJ260" i="40"/>
  <c r="AG260" i="40"/>
  <c r="AO259" i="40"/>
  <c r="V259" i="40"/>
  <c r="AK259" i="40"/>
  <c r="AJ259" i="40"/>
  <c r="AG259" i="40"/>
  <c r="AO258" i="40"/>
  <c r="V258" i="40"/>
  <c r="AK258" i="40"/>
  <c r="AJ258" i="40"/>
  <c r="AG258" i="40"/>
  <c r="AO257" i="40"/>
  <c r="V257" i="40"/>
  <c r="AK257" i="40"/>
  <c r="AJ257" i="40"/>
  <c r="AG257" i="40"/>
  <c r="AO256" i="40"/>
  <c r="V256" i="40"/>
  <c r="AK256" i="40"/>
  <c r="AJ256" i="40"/>
  <c r="AG256" i="40"/>
  <c r="AO255" i="40"/>
  <c r="V255" i="40"/>
  <c r="AK255" i="40"/>
  <c r="AJ255" i="40"/>
  <c r="AG255" i="40"/>
  <c r="AO254" i="40"/>
  <c r="V254" i="40"/>
  <c r="AK254" i="40"/>
  <c r="AJ254" i="40"/>
  <c r="AG254" i="40"/>
  <c r="AO253" i="40"/>
  <c r="V253" i="40"/>
  <c r="AK253" i="40"/>
  <c r="AJ253" i="40"/>
  <c r="AG253" i="40"/>
  <c r="AO252" i="40"/>
  <c r="V252" i="40"/>
  <c r="AK252" i="40"/>
  <c r="AJ252" i="40"/>
  <c r="AG252" i="40"/>
  <c r="AO251" i="40"/>
  <c r="V251" i="40"/>
  <c r="AK251" i="40"/>
  <c r="AJ251" i="40"/>
  <c r="AG251" i="40"/>
  <c r="AO250" i="40"/>
  <c r="V250" i="40"/>
  <c r="AK250" i="40"/>
  <c r="AJ250" i="40"/>
  <c r="AG250" i="40"/>
  <c r="AO249" i="40"/>
  <c r="V249" i="40"/>
  <c r="AK249" i="40"/>
  <c r="AJ249" i="40"/>
  <c r="AG249" i="40"/>
  <c r="AO248" i="40"/>
  <c r="V248" i="40"/>
  <c r="AK248" i="40"/>
  <c r="AJ248" i="40"/>
  <c r="AG248" i="40"/>
  <c r="AO247" i="40"/>
  <c r="V247" i="40"/>
  <c r="AK247" i="40"/>
  <c r="AJ247" i="40"/>
  <c r="AG247" i="40"/>
  <c r="AO246" i="40"/>
  <c r="V246" i="40"/>
  <c r="AK246" i="40"/>
  <c r="AJ246" i="40"/>
  <c r="AG246" i="40"/>
  <c r="AO245" i="40"/>
  <c r="V245" i="40"/>
  <c r="AK245" i="40"/>
  <c r="AJ245" i="40"/>
  <c r="AG245" i="40"/>
  <c r="AO244" i="40"/>
  <c r="V244" i="40"/>
  <c r="AK244" i="40"/>
  <c r="AJ244" i="40"/>
  <c r="AG244" i="40"/>
  <c r="AO243" i="40"/>
  <c r="V243" i="40"/>
  <c r="AK243" i="40"/>
  <c r="AJ243" i="40"/>
  <c r="AG243" i="40"/>
  <c r="AO242" i="40"/>
  <c r="V242" i="40"/>
  <c r="AK242" i="40"/>
  <c r="AJ242" i="40"/>
  <c r="AG242" i="40"/>
  <c r="AO241" i="40"/>
  <c r="V241" i="40"/>
  <c r="AK241" i="40"/>
  <c r="AJ241" i="40"/>
  <c r="AG241" i="40"/>
  <c r="AO240" i="40"/>
  <c r="V240" i="40"/>
  <c r="AK240" i="40"/>
  <c r="AJ240" i="40"/>
  <c r="AG240" i="40"/>
  <c r="AO239" i="40"/>
  <c r="V239" i="40"/>
  <c r="AK239" i="40"/>
  <c r="AJ239" i="40"/>
  <c r="AG239" i="40"/>
  <c r="AO238" i="40"/>
  <c r="V238" i="40"/>
  <c r="AK238" i="40"/>
  <c r="AJ238" i="40"/>
  <c r="AG238" i="40"/>
  <c r="AO237" i="40"/>
  <c r="V237" i="40"/>
  <c r="AK237" i="40"/>
  <c r="AJ237" i="40"/>
  <c r="AG237" i="40"/>
  <c r="AO236" i="40"/>
  <c r="V236" i="40"/>
  <c r="AK236" i="40"/>
  <c r="AJ236" i="40"/>
  <c r="AG236" i="40"/>
  <c r="AO235" i="40"/>
  <c r="V235" i="40"/>
  <c r="AK235" i="40"/>
  <c r="AJ235" i="40"/>
  <c r="AG235" i="40"/>
  <c r="AO234" i="40"/>
  <c r="V234" i="40"/>
  <c r="AK234" i="40"/>
  <c r="AJ234" i="40"/>
  <c r="AG234" i="40"/>
  <c r="AO233" i="40"/>
  <c r="V233" i="40"/>
  <c r="AK233" i="40"/>
  <c r="AJ233" i="40"/>
  <c r="AG233" i="40"/>
  <c r="AO232" i="40"/>
  <c r="V232" i="40"/>
  <c r="AK232" i="40"/>
  <c r="AJ232" i="40"/>
  <c r="AG232" i="40"/>
  <c r="AO231" i="40"/>
  <c r="V231" i="40"/>
  <c r="AK231" i="40"/>
  <c r="AJ231" i="40"/>
  <c r="AG231" i="40"/>
  <c r="AO230" i="40"/>
  <c r="V230" i="40"/>
  <c r="AK230" i="40"/>
  <c r="AJ230" i="40"/>
  <c r="AG230" i="40"/>
  <c r="AO229" i="40"/>
  <c r="V229" i="40"/>
  <c r="AK229" i="40"/>
  <c r="AJ229" i="40"/>
  <c r="AG229" i="40"/>
  <c r="AO228" i="40"/>
  <c r="V228" i="40"/>
  <c r="AK228" i="40"/>
  <c r="AJ228" i="40"/>
  <c r="AG228" i="40"/>
  <c r="AO227" i="40"/>
  <c r="V227" i="40"/>
  <c r="AK227" i="40"/>
  <c r="AJ227" i="40"/>
  <c r="AG227" i="40"/>
  <c r="AO226" i="40"/>
  <c r="V226" i="40"/>
  <c r="AK226" i="40"/>
  <c r="AJ226" i="40"/>
  <c r="AG226" i="40"/>
  <c r="AO225" i="40"/>
  <c r="V225" i="40"/>
  <c r="AK225" i="40"/>
  <c r="AJ225" i="40"/>
  <c r="AG225" i="40"/>
  <c r="AO224" i="40"/>
  <c r="V224" i="40"/>
  <c r="AK224" i="40"/>
  <c r="AJ224" i="40"/>
  <c r="AG224" i="40"/>
  <c r="AO223" i="40"/>
  <c r="V223" i="40"/>
  <c r="AK223" i="40"/>
  <c r="AJ223" i="40"/>
  <c r="AG223" i="40"/>
  <c r="AO222" i="40"/>
  <c r="V222" i="40"/>
  <c r="AK222" i="40"/>
  <c r="AJ222" i="40"/>
  <c r="AG222" i="40"/>
  <c r="AO221" i="40"/>
  <c r="V221" i="40"/>
  <c r="AK221" i="40"/>
  <c r="AJ221" i="40"/>
  <c r="AG221" i="40"/>
  <c r="AO220" i="40"/>
  <c r="V220" i="40"/>
  <c r="AK220" i="40"/>
  <c r="AJ220" i="40"/>
  <c r="AG220" i="40"/>
  <c r="AO219" i="40"/>
  <c r="V219" i="40"/>
  <c r="AK219" i="40"/>
  <c r="AJ219" i="40"/>
  <c r="AG219" i="40"/>
  <c r="AO218" i="40"/>
  <c r="V218" i="40"/>
  <c r="AK218" i="40"/>
  <c r="AJ218" i="40"/>
  <c r="AG218" i="40"/>
  <c r="AO217" i="40"/>
  <c r="V217" i="40"/>
  <c r="AK217" i="40"/>
  <c r="AJ217" i="40"/>
  <c r="AG217" i="40"/>
  <c r="AO216" i="40"/>
  <c r="V216" i="40"/>
  <c r="AK216" i="40"/>
  <c r="AJ216" i="40"/>
  <c r="AG216" i="40"/>
  <c r="AO215" i="40"/>
  <c r="V215" i="40"/>
  <c r="AK215" i="40"/>
  <c r="AJ215" i="40"/>
  <c r="AG215" i="40"/>
  <c r="AO214" i="40"/>
  <c r="V214" i="40"/>
  <c r="AK214" i="40"/>
  <c r="AJ214" i="40"/>
  <c r="AG214" i="40"/>
  <c r="AO213" i="40"/>
  <c r="V213" i="40"/>
  <c r="AK213" i="40"/>
  <c r="AJ213" i="40"/>
  <c r="AG213" i="40"/>
  <c r="AO212" i="40"/>
  <c r="V212" i="40"/>
  <c r="AK212" i="40"/>
  <c r="AJ212" i="40"/>
  <c r="AG212" i="40"/>
  <c r="AO211" i="40"/>
  <c r="V211" i="40"/>
  <c r="AK211" i="40"/>
  <c r="AJ211" i="40"/>
  <c r="AG211" i="40"/>
  <c r="AO210" i="40"/>
  <c r="V210" i="40"/>
  <c r="AK210" i="40"/>
  <c r="AJ210" i="40"/>
  <c r="AG210" i="40"/>
  <c r="AO209" i="40"/>
  <c r="V209" i="40"/>
  <c r="AK209" i="40"/>
  <c r="AJ209" i="40"/>
  <c r="AG209" i="40"/>
  <c r="AO208" i="40"/>
  <c r="V208" i="40"/>
  <c r="AK208" i="40"/>
  <c r="AJ208" i="40"/>
  <c r="AG208" i="40"/>
  <c r="AO207" i="40"/>
  <c r="V207" i="40"/>
  <c r="AK207" i="40"/>
  <c r="AJ207" i="40"/>
  <c r="AG207" i="40"/>
  <c r="AO206" i="40"/>
  <c r="V206" i="40"/>
  <c r="AK206" i="40"/>
  <c r="AJ206" i="40"/>
  <c r="AG206" i="40"/>
  <c r="AO205" i="40"/>
  <c r="V205" i="40"/>
  <c r="AK205" i="40"/>
  <c r="AJ205" i="40"/>
  <c r="AG205" i="40"/>
  <c r="AO204" i="40"/>
  <c r="V204" i="40"/>
  <c r="AK204" i="40"/>
  <c r="AJ204" i="40"/>
  <c r="AG204" i="40"/>
  <c r="AO203" i="40"/>
  <c r="V203" i="40"/>
  <c r="AK203" i="40"/>
  <c r="AJ203" i="40"/>
  <c r="AG203" i="40"/>
  <c r="AO202" i="40"/>
  <c r="V202" i="40"/>
  <c r="AK202" i="40"/>
  <c r="AJ202" i="40"/>
  <c r="AG202" i="40"/>
  <c r="AO201" i="40"/>
  <c r="V201" i="40"/>
  <c r="AK201" i="40"/>
  <c r="AJ201" i="40"/>
  <c r="AG201" i="40"/>
  <c r="AO200" i="40"/>
  <c r="V200" i="40"/>
  <c r="AK200" i="40"/>
  <c r="AJ200" i="40"/>
  <c r="AG200" i="40"/>
  <c r="AO199" i="40"/>
  <c r="V199" i="40"/>
  <c r="AK199" i="40"/>
  <c r="AJ199" i="40"/>
  <c r="AG199" i="40"/>
  <c r="AO198" i="40"/>
  <c r="V198" i="40"/>
  <c r="AK198" i="40"/>
  <c r="AJ198" i="40"/>
  <c r="AG198" i="40"/>
  <c r="AO197" i="40"/>
  <c r="V197" i="40"/>
  <c r="AK197" i="40"/>
  <c r="AJ197" i="40"/>
  <c r="AG197" i="40"/>
  <c r="AO196" i="40"/>
  <c r="V196" i="40"/>
  <c r="AK196" i="40"/>
  <c r="AJ196" i="40"/>
  <c r="AG196" i="40"/>
  <c r="AO195" i="40"/>
  <c r="V195" i="40"/>
  <c r="AK195" i="40"/>
  <c r="AJ195" i="40"/>
  <c r="AG195" i="40"/>
  <c r="AO194" i="40"/>
  <c r="V194" i="40"/>
  <c r="AK194" i="40"/>
  <c r="AJ194" i="40"/>
  <c r="AG194" i="40"/>
  <c r="AO193" i="40"/>
  <c r="V193" i="40"/>
  <c r="AK193" i="40"/>
  <c r="AJ193" i="40"/>
  <c r="AG193" i="40"/>
  <c r="AO192" i="40"/>
  <c r="V192" i="40"/>
  <c r="AK192" i="40"/>
  <c r="AJ192" i="40"/>
  <c r="AG192" i="40"/>
  <c r="AO191" i="40"/>
  <c r="V191" i="40"/>
  <c r="AK191" i="40"/>
  <c r="AJ191" i="40"/>
  <c r="AG191" i="40"/>
  <c r="AO190" i="40"/>
  <c r="V190" i="40"/>
  <c r="AK190" i="40"/>
  <c r="AJ190" i="40"/>
  <c r="AG190" i="40"/>
  <c r="AO189" i="40"/>
  <c r="V189" i="40"/>
  <c r="AK189" i="40"/>
  <c r="AJ189" i="40"/>
  <c r="AG189" i="40"/>
  <c r="AO188" i="40"/>
  <c r="V188" i="40"/>
  <c r="AK188" i="40"/>
  <c r="AJ188" i="40"/>
  <c r="AG188" i="40"/>
  <c r="AO187" i="40"/>
  <c r="V187" i="40"/>
  <c r="AK187" i="40"/>
  <c r="AJ187" i="40"/>
  <c r="AG187" i="40"/>
  <c r="AO186" i="40"/>
  <c r="V186" i="40"/>
  <c r="AK186" i="40"/>
  <c r="AJ186" i="40"/>
  <c r="AG186" i="40"/>
  <c r="AO185" i="40"/>
  <c r="V185" i="40"/>
  <c r="AK185" i="40"/>
  <c r="AJ185" i="40"/>
  <c r="AG185" i="40"/>
  <c r="AO184" i="40"/>
  <c r="V184" i="40"/>
  <c r="AK184" i="40"/>
  <c r="AJ184" i="40"/>
  <c r="AG184" i="40"/>
  <c r="AO183" i="40"/>
  <c r="V183" i="40"/>
  <c r="AK183" i="40"/>
  <c r="AJ183" i="40"/>
  <c r="AG183" i="40"/>
  <c r="AO182" i="40"/>
  <c r="V182" i="40"/>
  <c r="AK182" i="40"/>
  <c r="AJ182" i="40"/>
  <c r="AG182" i="40"/>
  <c r="AO181" i="40"/>
  <c r="V181" i="40"/>
  <c r="AK181" i="40"/>
  <c r="AJ181" i="40"/>
  <c r="AG181" i="40"/>
  <c r="AO180" i="40"/>
  <c r="V180" i="40"/>
  <c r="AK180" i="40"/>
  <c r="AJ180" i="40"/>
  <c r="AG180" i="40"/>
  <c r="AO179" i="40"/>
  <c r="V179" i="40"/>
  <c r="AK179" i="40"/>
  <c r="AJ179" i="40"/>
  <c r="AG179" i="40"/>
  <c r="AO178" i="40"/>
  <c r="V178" i="40"/>
  <c r="AK178" i="40"/>
  <c r="AJ178" i="40"/>
  <c r="AG178" i="40"/>
  <c r="AO177" i="40"/>
  <c r="V177" i="40"/>
  <c r="AK177" i="40"/>
  <c r="AJ177" i="40"/>
  <c r="AG177" i="40"/>
  <c r="AO176" i="40"/>
  <c r="V176" i="40"/>
  <c r="AK176" i="40"/>
  <c r="AJ176" i="40"/>
  <c r="AG176" i="40"/>
  <c r="AO175" i="40"/>
  <c r="V175" i="40"/>
  <c r="AK175" i="40"/>
  <c r="AJ175" i="40"/>
  <c r="AG175" i="40"/>
  <c r="AO174" i="40"/>
  <c r="V174" i="40"/>
  <c r="AK174" i="40"/>
  <c r="AJ174" i="40"/>
  <c r="AG174" i="40"/>
  <c r="AO173" i="40"/>
  <c r="V173" i="40"/>
  <c r="AK173" i="40"/>
  <c r="AJ173" i="40"/>
  <c r="AG173" i="40"/>
  <c r="AO172" i="40"/>
  <c r="V172" i="40"/>
  <c r="AK172" i="40"/>
  <c r="AJ172" i="40"/>
  <c r="AG172" i="40"/>
  <c r="AO171" i="40"/>
  <c r="V171" i="40"/>
  <c r="AK171" i="40"/>
  <c r="AJ171" i="40"/>
  <c r="AG171" i="40"/>
  <c r="AO170" i="40"/>
  <c r="V170" i="40"/>
  <c r="AK170" i="40"/>
  <c r="AJ170" i="40"/>
  <c r="AG170" i="40"/>
  <c r="AO169" i="40"/>
  <c r="V169" i="40"/>
  <c r="AK169" i="40"/>
  <c r="AJ169" i="40"/>
  <c r="AG169" i="40"/>
  <c r="AO168" i="40"/>
  <c r="V168" i="40"/>
  <c r="AK168" i="40"/>
  <c r="AJ168" i="40"/>
  <c r="AG168" i="40"/>
  <c r="AO167" i="40"/>
  <c r="V167" i="40"/>
  <c r="AK167" i="40"/>
  <c r="AJ167" i="40"/>
  <c r="AG167" i="40"/>
  <c r="AO166" i="40"/>
  <c r="V166" i="40"/>
  <c r="AK166" i="40"/>
  <c r="AJ166" i="40"/>
  <c r="AG166" i="40"/>
  <c r="AO165" i="40"/>
  <c r="V165" i="40"/>
  <c r="AK165" i="40"/>
  <c r="AJ165" i="40"/>
  <c r="AG165" i="40"/>
  <c r="AO164" i="40"/>
  <c r="V164" i="40"/>
  <c r="AK164" i="40"/>
  <c r="AJ164" i="40"/>
  <c r="AG164" i="40"/>
  <c r="AO163" i="40"/>
  <c r="V163" i="40"/>
  <c r="AK163" i="40"/>
  <c r="AJ163" i="40"/>
  <c r="AG163" i="40"/>
  <c r="AO162" i="40"/>
  <c r="V162" i="40"/>
  <c r="AK162" i="40"/>
  <c r="AJ162" i="40"/>
  <c r="AG162" i="40"/>
  <c r="AO161" i="40"/>
  <c r="V161" i="40"/>
  <c r="AK161" i="40"/>
  <c r="AJ161" i="40"/>
  <c r="AG161" i="40"/>
  <c r="AO160" i="40"/>
  <c r="V160" i="40"/>
  <c r="AK160" i="40"/>
  <c r="AJ160" i="40"/>
  <c r="AG160" i="40"/>
  <c r="AO159" i="40"/>
  <c r="V159" i="40"/>
  <c r="AK159" i="40"/>
  <c r="AJ159" i="40"/>
  <c r="AG159" i="40"/>
  <c r="AO158" i="40"/>
  <c r="V158" i="40"/>
  <c r="AK158" i="40"/>
  <c r="AJ158" i="40"/>
  <c r="AG158" i="40"/>
  <c r="AO157" i="40"/>
  <c r="V157" i="40"/>
  <c r="AK157" i="40"/>
  <c r="AJ157" i="40"/>
  <c r="AG157" i="40"/>
  <c r="AO156" i="40"/>
  <c r="V156" i="40"/>
  <c r="AK156" i="40"/>
  <c r="AJ156" i="40"/>
  <c r="AG156" i="40"/>
  <c r="AO155" i="40"/>
  <c r="V155" i="40"/>
  <c r="AK155" i="40"/>
  <c r="AJ155" i="40"/>
  <c r="AG155" i="40"/>
  <c r="AO154" i="40"/>
  <c r="V154" i="40"/>
  <c r="AK154" i="40"/>
  <c r="AJ154" i="40"/>
  <c r="AG154" i="40"/>
  <c r="AO153" i="40"/>
  <c r="V153" i="40"/>
  <c r="AK153" i="40"/>
  <c r="AJ153" i="40"/>
  <c r="AG153" i="40"/>
  <c r="AO152" i="40"/>
  <c r="V152" i="40"/>
  <c r="AK152" i="40"/>
  <c r="AJ152" i="40"/>
  <c r="AG152" i="40"/>
  <c r="AO151" i="40"/>
  <c r="V151" i="40"/>
  <c r="AK151" i="40"/>
  <c r="AJ151" i="40"/>
  <c r="AG151" i="40"/>
  <c r="AO150" i="40"/>
  <c r="V150" i="40"/>
  <c r="AK150" i="40"/>
  <c r="AJ150" i="40"/>
  <c r="AG150" i="40"/>
  <c r="AO149" i="40"/>
  <c r="V149" i="40"/>
  <c r="AK149" i="40"/>
  <c r="AJ149" i="40"/>
  <c r="AG149" i="40"/>
  <c r="AO148" i="40"/>
  <c r="V148" i="40"/>
  <c r="AK148" i="40"/>
  <c r="AJ148" i="40"/>
  <c r="AG148" i="40"/>
  <c r="AO147" i="40"/>
  <c r="V147" i="40"/>
  <c r="AK147" i="40"/>
  <c r="AJ147" i="40"/>
  <c r="AG147" i="40"/>
  <c r="AO146" i="40"/>
  <c r="V146" i="40"/>
  <c r="AK146" i="40"/>
  <c r="AJ146" i="40"/>
  <c r="AG146" i="40"/>
  <c r="AO145" i="40"/>
  <c r="V145" i="40"/>
  <c r="AK145" i="40"/>
  <c r="AJ145" i="40"/>
  <c r="AG145" i="40"/>
  <c r="AO144" i="40"/>
  <c r="V144" i="40"/>
  <c r="AK144" i="40"/>
  <c r="AJ144" i="40"/>
  <c r="AG144" i="40"/>
  <c r="AO143" i="40"/>
  <c r="V143" i="40"/>
  <c r="AK143" i="40"/>
  <c r="AJ143" i="40"/>
  <c r="AG143" i="40"/>
  <c r="AO142" i="40"/>
  <c r="V142" i="40"/>
  <c r="AK142" i="40"/>
  <c r="AJ142" i="40"/>
  <c r="AG142" i="40"/>
  <c r="AO141" i="40"/>
  <c r="V141" i="40"/>
  <c r="AK141" i="40"/>
  <c r="AJ141" i="40"/>
  <c r="AG141" i="40"/>
  <c r="AO140" i="40"/>
  <c r="V140" i="40"/>
  <c r="AK140" i="40"/>
  <c r="AJ140" i="40"/>
  <c r="AG140" i="40"/>
  <c r="AO139" i="40"/>
  <c r="V139" i="40"/>
  <c r="AK139" i="40"/>
  <c r="AJ139" i="40"/>
  <c r="AG139" i="40"/>
  <c r="AO138" i="40"/>
  <c r="V138" i="40"/>
  <c r="AK138" i="40"/>
  <c r="AJ138" i="40"/>
  <c r="AG138" i="40"/>
  <c r="AO137" i="40"/>
  <c r="V137" i="40"/>
  <c r="AK137" i="40"/>
  <c r="AJ137" i="40"/>
  <c r="AG137" i="40"/>
  <c r="AO136" i="40"/>
  <c r="V136" i="40"/>
  <c r="AK136" i="40"/>
  <c r="AJ136" i="40"/>
  <c r="AG136" i="40"/>
  <c r="AO135" i="40"/>
  <c r="V135" i="40"/>
  <c r="AK135" i="40"/>
  <c r="AJ135" i="40"/>
  <c r="AG135" i="40"/>
  <c r="AO134" i="40"/>
  <c r="V134" i="40"/>
  <c r="AK134" i="40"/>
  <c r="AJ134" i="40"/>
  <c r="AG134" i="40"/>
  <c r="AO133" i="40"/>
  <c r="V133" i="40"/>
  <c r="AK133" i="40"/>
  <c r="AJ133" i="40"/>
  <c r="AG133" i="40"/>
  <c r="AO132" i="40"/>
  <c r="V132" i="40"/>
  <c r="AK132" i="40"/>
  <c r="AJ132" i="40"/>
  <c r="AG132" i="40"/>
  <c r="AO131" i="40"/>
  <c r="V131" i="40"/>
  <c r="AK131" i="40"/>
  <c r="AJ131" i="40"/>
  <c r="AG131" i="40"/>
  <c r="AO130" i="40"/>
  <c r="V130" i="40"/>
  <c r="AK130" i="40"/>
  <c r="AJ130" i="40"/>
  <c r="AG130" i="40"/>
  <c r="AO129" i="40"/>
  <c r="V129" i="40"/>
  <c r="AK129" i="40"/>
  <c r="AJ129" i="40"/>
  <c r="AG129" i="40"/>
  <c r="AO128" i="40"/>
  <c r="V128" i="40"/>
  <c r="AK128" i="40"/>
  <c r="AJ128" i="40"/>
  <c r="AG128" i="40"/>
  <c r="AO127" i="40"/>
  <c r="V127" i="40"/>
  <c r="AK127" i="40"/>
  <c r="AJ127" i="40"/>
  <c r="AG127" i="40"/>
  <c r="AO126" i="40"/>
  <c r="V126" i="40"/>
  <c r="AK126" i="40"/>
  <c r="AJ126" i="40"/>
  <c r="AG126" i="40"/>
  <c r="AO125" i="40"/>
  <c r="V125" i="40"/>
  <c r="AK125" i="40"/>
  <c r="AJ125" i="40"/>
  <c r="AG125" i="40"/>
  <c r="AO124" i="40"/>
  <c r="V124" i="40"/>
  <c r="AK124" i="40"/>
  <c r="AJ124" i="40"/>
  <c r="AG124" i="40"/>
  <c r="AO123" i="40"/>
  <c r="V123" i="40"/>
  <c r="AK123" i="40"/>
  <c r="AJ123" i="40"/>
  <c r="AG123" i="40"/>
  <c r="AO122" i="40"/>
  <c r="V122" i="40"/>
  <c r="AK122" i="40"/>
  <c r="AJ122" i="40"/>
  <c r="AG122" i="40"/>
  <c r="AO121" i="40"/>
  <c r="V121" i="40"/>
  <c r="AK121" i="40"/>
  <c r="AJ121" i="40"/>
  <c r="AG121" i="40"/>
  <c r="AO120" i="40"/>
  <c r="V120" i="40"/>
  <c r="AK120" i="40"/>
  <c r="AJ120" i="40"/>
  <c r="AG120" i="40"/>
  <c r="AO119" i="40"/>
  <c r="V119" i="40"/>
  <c r="AK119" i="40"/>
  <c r="AJ119" i="40"/>
  <c r="AG119" i="40"/>
  <c r="AO118" i="40"/>
  <c r="V118" i="40"/>
  <c r="AK118" i="40"/>
  <c r="AJ118" i="40"/>
  <c r="AG118" i="40"/>
  <c r="AO117" i="40"/>
  <c r="V117" i="40"/>
  <c r="AK117" i="40"/>
  <c r="AJ117" i="40"/>
  <c r="AG117" i="40"/>
  <c r="AO116" i="40"/>
  <c r="V116" i="40"/>
  <c r="AK116" i="40"/>
  <c r="AJ116" i="40"/>
  <c r="AG116" i="40"/>
  <c r="AO115" i="40"/>
  <c r="V115" i="40"/>
  <c r="AK115" i="40"/>
  <c r="AJ115" i="40"/>
  <c r="AG115" i="40"/>
  <c r="AO114" i="40"/>
  <c r="V114" i="40"/>
  <c r="AK114" i="40"/>
  <c r="AJ114" i="40"/>
  <c r="AG114" i="40"/>
  <c r="AO113" i="40"/>
  <c r="V113" i="40"/>
  <c r="AK113" i="40"/>
  <c r="AJ113" i="40"/>
  <c r="AG113" i="40"/>
  <c r="AO112" i="40"/>
  <c r="V112" i="40"/>
  <c r="AK112" i="40"/>
  <c r="AJ112" i="40"/>
  <c r="AG112" i="40"/>
  <c r="AO111" i="40"/>
  <c r="V111" i="40"/>
  <c r="AK111" i="40"/>
  <c r="AJ111" i="40"/>
  <c r="AG111" i="40"/>
  <c r="AO110" i="40"/>
  <c r="V110" i="40"/>
  <c r="AK110" i="40"/>
  <c r="AJ110" i="40"/>
  <c r="AG110" i="40"/>
  <c r="AO109" i="40"/>
  <c r="V109" i="40"/>
  <c r="AK109" i="40"/>
  <c r="AJ109" i="40"/>
  <c r="AG109" i="40"/>
  <c r="AO108" i="40"/>
  <c r="V108" i="40"/>
  <c r="AK108" i="40"/>
  <c r="AJ108" i="40"/>
  <c r="AG108" i="40"/>
  <c r="AO107" i="40"/>
  <c r="V107" i="40"/>
  <c r="AK107" i="40"/>
  <c r="AJ107" i="40"/>
  <c r="AG107" i="40"/>
  <c r="AO106" i="40"/>
  <c r="V106" i="40"/>
  <c r="AK106" i="40"/>
  <c r="AJ106" i="40"/>
  <c r="AG106" i="40"/>
  <c r="AO105" i="40"/>
  <c r="V105" i="40"/>
  <c r="AK105" i="40"/>
  <c r="AJ105" i="40"/>
  <c r="AG105" i="40"/>
  <c r="AO104" i="40"/>
  <c r="V104" i="40"/>
  <c r="AK104" i="40"/>
  <c r="AJ104" i="40"/>
  <c r="AG104" i="40"/>
  <c r="AO103" i="40"/>
  <c r="V103" i="40"/>
  <c r="AK103" i="40"/>
  <c r="AJ103" i="40"/>
  <c r="AG103" i="40"/>
  <c r="AO102" i="40"/>
  <c r="V102" i="40"/>
  <c r="AK102" i="40"/>
  <c r="AJ102" i="40"/>
  <c r="AG102" i="40"/>
  <c r="AP101" i="40"/>
  <c r="AO101" i="40"/>
  <c r="AN101" i="40"/>
  <c r="V101" i="40"/>
  <c r="AK101" i="40"/>
  <c r="AJ101" i="40"/>
  <c r="AG101" i="40"/>
  <c r="AP100" i="40"/>
  <c r="AO100" i="40"/>
  <c r="AN100" i="40"/>
  <c r="V100" i="40"/>
  <c r="AK100" i="40"/>
  <c r="AJ100" i="40"/>
  <c r="AG100" i="40"/>
  <c r="AP99" i="40"/>
  <c r="AO99" i="40"/>
  <c r="AN99" i="40"/>
  <c r="V99" i="40"/>
  <c r="AK99" i="40"/>
  <c r="AJ99" i="40"/>
  <c r="AG99" i="40"/>
  <c r="AP98" i="40"/>
  <c r="AO98" i="40"/>
  <c r="AN98" i="40"/>
  <c r="V98" i="40"/>
  <c r="AK98" i="40"/>
  <c r="AJ98" i="40"/>
  <c r="AG98" i="40"/>
  <c r="AP97" i="40"/>
  <c r="AO97" i="40"/>
  <c r="AN97" i="40"/>
  <c r="V97" i="40"/>
  <c r="AK97" i="40"/>
  <c r="AJ97" i="40"/>
  <c r="AG97" i="40"/>
  <c r="AP96" i="40"/>
  <c r="AO96" i="40"/>
  <c r="AM96" i="40"/>
  <c r="AN96" i="40"/>
  <c r="V96" i="40"/>
  <c r="AK96" i="40"/>
  <c r="AJ96" i="40"/>
  <c r="AG96" i="40"/>
  <c r="AP95" i="40"/>
  <c r="AO95" i="40"/>
  <c r="AM95" i="40"/>
  <c r="AN95" i="40"/>
  <c r="V95" i="40"/>
  <c r="AK95" i="40"/>
  <c r="AJ95" i="40"/>
  <c r="AG95" i="40"/>
  <c r="AP94" i="40"/>
  <c r="AO94" i="40"/>
  <c r="AM94" i="40"/>
  <c r="AN94" i="40"/>
  <c r="V94" i="40"/>
  <c r="AK94" i="40"/>
  <c r="AJ94" i="40"/>
  <c r="AG94" i="40"/>
  <c r="AP93" i="40"/>
  <c r="AO93" i="40"/>
  <c r="AN93" i="40"/>
  <c r="V93" i="40"/>
  <c r="AK93" i="40"/>
  <c r="AJ93" i="40"/>
  <c r="AG93" i="40"/>
  <c r="AP92" i="40"/>
  <c r="AO92" i="40"/>
  <c r="AN92" i="40"/>
  <c r="V92" i="40"/>
  <c r="AK92" i="40"/>
  <c r="AJ92" i="40"/>
  <c r="AG92" i="40"/>
  <c r="AP91" i="40"/>
  <c r="AO91" i="40"/>
  <c r="AN91" i="40"/>
  <c r="V91" i="40"/>
  <c r="AK91" i="40"/>
  <c r="AJ91" i="40"/>
  <c r="AG91" i="40"/>
  <c r="AP90" i="40"/>
  <c r="AO90" i="40"/>
  <c r="AN90" i="40"/>
  <c r="V90" i="40"/>
  <c r="AK90" i="40"/>
  <c r="AJ90" i="40"/>
  <c r="AG90" i="40"/>
  <c r="AP89" i="40"/>
  <c r="AO89" i="40"/>
  <c r="AN89" i="40"/>
  <c r="V89" i="40"/>
  <c r="AK89" i="40"/>
  <c r="AJ89" i="40"/>
  <c r="AG89" i="40"/>
  <c r="AP88" i="40"/>
  <c r="AO88" i="40"/>
  <c r="AN88" i="40"/>
  <c r="V88" i="40"/>
  <c r="AK88" i="40"/>
  <c r="AJ88" i="40"/>
  <c r="AG88" i="40"/>
  <c r="AP87" i="40"/>
  <c r="AO87" i="40"/>
  <c r="AM87" i="40"/>
  <c r="AN87" i="40"/>
  <c r="V87" i="40"/>
  <c r="AK87" i="40"/>
  <c r="AJ87" i="40"/>
  <c r="AG87" i="40"/>
  <c r="AP86" i="40"/>
  <c r="AO86" i="40"/>
  <c r="AM86" i="40"/>
  <c r="AN86" i="40"/>
  <c r="V86" i="40"/>
  <c r="AK86" i="40"/>
  <c r="AJ86" i="40"/>
  <c r="AG86" i="40"/>
  <c r="AP85" i="40"/>
  <c r="AO85" i="40"/>
  <c r="AN85" i="40"/>
  <c r="V85" i="40"/>
  <c r="AK85" i="40"/>
  <c r="AJ85" i="40"/>
  <c r="AG85" i="40"/>
  <c r="AP84" i="40"/>
  <c r="AO84" i="40"/>
  <c r="AN84" i="40"/>
  <c r="V84" i="40"/>
  <c r="AK84" i="40"/>
  <c r="AJ84" i="40"/>
  <c r="AG84" i="40"/>
  <c r="AP83" i="40"/>
  <c r="AO83" i="40"/>
  <c r="AN83" i="40"/>
  <c r="V83" i="40"/>
  <c r="AK83" i="40"/>
  <c r="AJ83" i="40"/>
  <c r="AG83" i="40"/>
  <c r="AP82" i="40"/>
  <c r="AO82" i="40"/>
  <c r="AN82" i="40"/>
  <c r="V82" i="40"/>
  <c r="AK82" i="40"/>
  <c r="AJ82" i="40"/>
  <c r="AG82" i="40"/>
  <c r="AP81" i="40"/>
  <c r="AO81" i="40"/>
  <c r="AN81" i="40"/>
  <c r="V81" i="40"/>
  <c r="AK81" i="40"/>
  <c r="AJ81" i="40"/>
  <c r="AG81" i="40"/>
  <c r="AP80" i="40"/>
  <c r="AO80" i="40"/>
  <c r="AN80" i="40"/>
  <c r="V80" i="40"/>
  <c r="AK80" i="40"/>
  <c r="AJ80" i="40"/>
  <c r="AG80" i="40"/>
  <c r="AP79" i="40"/>
  <c r="AO79" i="40"/>
  <c r="AM79" i="40"/>
  <c r="AN79" i="40"/>
  <c r="V79" i="40"/>
  <c r="AK79" i="40"/>
  <c r="AJ79" i="40"/>
  <c r="AG79" i="40"/>
  <c r="AP78" i="40"/>
  <c r="AO78" i="40"/>
  <c r="AM78" i="40"/>
  <c r="AN78" i="40"/>
  <c r="V78" i="40"/>
  <c r="AK78" i="40"/>
  <c r="AJ78" i="40"/>
  <c r="AG78" i="40"/>
  <c r="AP77" i="40"/>
  <c r="AO77" i="40"/>
  <c r="AN77" i="40"/>
  <c r="V77" i="40"/>
  <c r="AK77" i="40"/>
  <c r="AJ77" i="40"/>
  <c r="AG77" i="40"/>
  <c r="AP76" i="40"/>
  <c r="AO76" i="40"/>
  <c r="AN76" i="40"/>
  <c r="V76" i="40"/>
  <c r="AK76" i="40"/>
  <c r="AJ76" i="40"/>
  <c r="AG76" i="40"/>
  <c r="AP75" i="40"/>
  <c r="AO75" i="40"/>
  <c r="AN75" i="40"/>
  <c r="V75" i="40"/>
  <c r="AK75" i="40"/>
  <c r="AJ75" i="40"/>
  <c r="AG75" i="40"/>
  <c r="AP74" i="40"/>
  <c r="AO74" i="40"/>
  <c r="AN74" i="40"/>
  <c r="V74" i="40"/>
  <c r="AK74" i="40"/>
  <c r="AJ74" i="40"/>
  <c r="AG74" i="40"/>
  <c r="AP73" i="40"/>
  <c r="AO73" i="40"/>
  <c r="AN73" i="40"/>
  <c r="V73" i="40"/>
  <c r="AK73" i="40"/>
  <c r="AJ73" i="40"/>
  <c r="AG73" i="40"/>
  <c r="AP72" i="40"/>
  <c r="AO72" i="40"/>
  <c r="AN72" i="40"/>
  <c r="V72" i="40"/>
  <c r="AK72" i="40"/>
  <c r="AJ72" i="40"/>
  <c r="AG72" i="40"/>
  <c r="AP71" i="40"/>
  <c r="AO71" i="40"/>
  <c r="AM71" i="40"/>
  <c r="AN71" i="40"/>
  <c r="V71" i="40"/>
  <c r="AK71" i="40"/>
  <c r="AJ71" i="40"/>
  <c r="AG71" i="40"/>
  <c r="AP70" i="40"/>
  <c r="AO70" i="40"/>
  <c r="AM70" i="40"/>
  <c r="AN70" i="40"/>
  <c r="V70" i="40"/>
  <c r="AK70" i="40"/>
  <c r="AJ70" i="40"/>
  <c r="AG70" i="40"/>
  <c r="AP69" i="40"/>
  <c r="AO69" i="40"/>
  <c r="AN69" i="40"/>
  <c r="V69" i="40"/>
  <c r="AK69" i="40"/>
  <c r="AJ69" i="40"/>
  <c r="AG69" i="40"/>
  <c r="AP68" i="40"/>
  <c r="AO68" i="40"/>
  <c r="AN68" i="40"/>
  <c r="V68" i="40"/>
  <c r="AK68" i="40"/>
  <c r="AJ68" i="40"/>
  <c r="AG68" i="40"/>
  <c r="AP67" i="40"/>
  <c r="AO67" i="40"/>
  <c r="AN67" i="40"/>
  <c r="V67" i="40"/>
  <c r="AK67" i="40"/>
  <c r="AJ67" i="40"/>
  <c r="AG67" i="40"/>
  <c r="AP66" i="40"/>
  <c r="AO66" i="40"/>
  <c r="AN66" i="40"/>
  <c r="V66" i="40"/>
  <c r="AK66" i="40"/>
  <c r="AJ66" i="40"/>
  <c r="AG66" i="40"/>
  <c r="AP65" i="40"/>
  <c r="AO65" i="40"/>
  <c r="AN65" i="40"/>
  <c r="V65" i="40"/>
  <c r="AK65" i="40"/>
  <c r="AJ65" i="40"/>
  <c r="AG65" i="40"/>
  <c r="AP64" i="40"/>
  <c r="AO64" i="40"/>
  <c r="AN64" i="40"/>
  <c r="V64" i="40"/>
  <c r="AK64" i="40"/>
  <c r="AJ64" i="40"/>
  <c r="AG64" i="40"/>
  <c r="AP63" i="40"/>
  <c r="AO63" i="40"/>
  <c r="AN63" i="40"/>
  <c r="V63" i="40"/>
  <c r="AK63" i="40"/>
  <c r="AJ63" i="40"/>
  <c r="AG63" i="40"/>
  <c r="AP62" i="40"/>
  <c r="AO62" i="40"/>
  <c r="AM62" i="40"/>
  <c r="AN62" i="40"/>
  <c r="V62" i="40"/>
  <c r="AK62" i="40"/>
  <c r="AJ62" i="40"/>
  <c r="AG62" i="40"/>
  <c r="AP61" i="40"/>
  <c r="AO61" i="40"/>
  <c r="AN61" i="40"/>
  <c r="V61" i="40"/>
  <c r="AK61" i="40"/>
  <c r="AJ61" i="40"/>
  <c r="AG61" i="40"/>
  <c r="AP60" i="40"/>
  <c r="AO60" i="40"/>
  <c r="AN60" i="40"/>
  <c r="V60" i="40"/>
  <c r="AK60" i="40"/>
  <c r="AJ60" i="40"/>
  <c r="AG60" i="40"/>
  <c r="AP59" i="40"/>
  <c r="AO59" i="40"/>
  <c r="AN59" i="40"/>
  <c r="V59" i="40"/>
  <c r="AK59" i="40"/>
  <c r="AJ59" i="40"/>
  <c r="AG59" i="40"/>
  <c r="AP58" i="40"/>
  <c r="AO58" i="40"/>
  <c r="AN58" i="40"/>
  <c r="V58" i="40"/>
  <c r="AK58" i="40"/>
  <c r="AJ58" i="40"/>
  <c r="AG58" i="40"/>
  <c r="AP57" i="40"/>
  <c r="AO57" i="40"/>
  <c r="AN57" i="40"/>
  <c r="V57" i="40"/>
  <c r="AK57" i="40"/>
  <c r="AJ57" i="40"/>
  <c r="AG57" i="40"/>
  <c r="AP56" i="40"/>
  <c r="AO56" i="40"/>
  <c r="AN56" i="40"/>
  <c r="V56" i="40"/>
  <c r="AK56" i="40"/>
  <c r="AJ56" i="40"/>
  <c r="AG56" i="40"/>
  <c r="AP55" i="40"/>
  <c r="AO55" i="40"/>
  <c r="AN55" i="40"/>
  <c r="V55" i="40"/>
  <c r="AK55" i="40"/>
  <c r="AJ55" i="40"/>
  <c r="AG55" i="40"/>
  <c r="AP54" i="40"/>
  <c r="AO54" i="40"/>
  <c r="AM54" i="40"/>
  <c r="AN54" i="40"/>
  <c r="V54" i="40"/>
  <c r="AK54" i="40"/>
  <c r="AJ54" i="40"/>
  <c r="AG54" i="40"/>
  <c r="AP53" i="40"/>
  <c r="AO53" i="40"/>
  <c r="AN53" i="40"/>
  <c r="V53" i="40"/>
  <c r="AK53" i="40"/>
  <c r="AJ53" i="40"/>
  <c r="AG53" i="40"/>
  <c r="AP52" i="40"/>
  <c r="AO52" i="40"/>
  <c r="AN52" i="40"/>
  <c r="V52" i="40"/>
  <c r="AK52" i="40"/>
  <c r="AJ52" i="40"/>
  <c r="AG52" i="40"/>
  <c r="AP51" i="40"/>
  <c r="AO51" i="40"/>
  <c r="AN51" i="40"/>
  <c r="V51" i="40"/>
  <c r="AK51" i="40"/>
  <c r="AJ51" i="40"/>
  <c r="AG51" i="40"/>
  <c r="AP50" i="40"/>
  <c r="AO50" i="40"/>
  <c r="AN50" i="40"/>
  <c r="V50" i="40"/>
  <c r="AK50" i="40"/>
  <c r="AJ50" i="40"/>
  <c r="AG50" i="40"/>
  <c r="AP49" i="40"/>
  <c r="AO49" i="40"/>
  <c r="AN49" i="40"/>
  <c r="V49" i="40"/>
  <c r="AK49" i="40"/>
  <c r="AJ49" i="40"/>
  <c r="AG49" i="40"/>
  <c r="AP48" i="40"/>
  <c r="AO48" i="40"/>
  <c r="AN48" i="40"/>
  <c r="V48" i="40"/>
  <c r="AK48" i="40"/>
  <c r="AJ48" i="40"/>
  <c r="AG48" i="40"/>
  <c r="AP47" i="40"/>
  <c r="AO47" i="40"/>
  <c r="AM47" i="40"/>
  <c r="AN47" i="40"/>
  <c r="V47" i="40"/>
  <c r="AK47" i="40"/>
  <c r="AJ47" i="40"/>
  <c r="AG47" i="40"/>
  <c r="AP46" i="40"/>
  <c r="AO46" i="40"/>
  <c r="AM46" i="40"/>
  <c r="AN46" i="40"/>
  <c r="V46" i="40"/>
  <c r="AK46" i="40"/>
  <c r="AJ46" i="40"/>
  <c r="AG46" i="40"/>
  <c r="AP45" i="40"/>
  <c r="AO45" i="40"/>
  <c r="AN45" i="40"/>
  <c r="V45" i="40"/>
  <c r="AK45" i="40"/>
  <c r="AJ45" i="40"/>
  <c r="AG45" i="40"/>
  <c r="AP44" i="40"/>
  <c r="AO44" i="40"/>
  <c r="AN44" i="40"/>
  <c r="V44" i="40"/>
  <c r="AK44" i="40"/>
  <c r="AJ44" i="40"/>
  <c r="AG44" i="40"/>
  <c r="AP43" i="40"/>
  <c r="AO43" i="40"/>
  <c r="AN43" i="40"/>
  <c r="V43" i="40"/>
  <c r="AK43" i="40"/>
  <c r="AJ43" i="40"/>
  <c r="AG43" i="40"/>
  <c r="AP42" i="40"/>
  <c r="AO42" i="40"/>
  <c r="AN42" i="40"/>
  <c r="V42" i="40"/>
  <c r="AK42" i="40"/>
  <c r="AJ42" i="40"/>
  <c r="AG42" i="40"/>
  <c r="AP41" i="40"/>
  <c r="AO41" i="40"/>
  <c r="AN41" i="40"/>
  <c r="V41" i="40"/>
  <c r="AK41" i="40"/>
  <c r="AJ41" i="40"/>
  <c r="AG41" i="40"/>
  <c r="AP40" i="40"/>
  <c r="AO40" i="40"/>
  <c r="AN40" i="40"/>
  <c r="V40" i="40"/>
  <c r="AK40" i="40"/>
  <c r="AJ40" i="40"/>
  <c r="AG40" i="40"/>
  <c r="AP39" i="40"/>
  <c r="AO39" i="40"/>
  <c r="AM39" i="40"/>
  <c r="AN39" i="40"/>
  <c r="V39" i="40"/>
  <c r="AK39" i="40"/>
  <c r="AJ39" i="40"/>
  <c r="AG39" i="40"/>
  <c r="AP38" i="40"/>
  <c r="AO38" i="40"/>
  <c r="AM38" i="40"/>
  <c r="AN38" i="40"/>
  <c r="V38" i="40"/>
  <c r="AK38" i="40"/>
  <c r="AJ38" i="40"/>
  <c r="AG38" i="40"/>
  <c r="AP37" i="40"/>
  <c r="AO37" i="40"/>
  <c r="AN37" i="40"/>
  <c r="V37" i="40"/>
  <c r="AK37" i="40"/>
  <c r="AJ37" i="40"/>
  <c r="AG37" i="40"/>
  <c r="AP36" i="40"/>
  <c r="AO36" i="40"/>
  <c r="AN36" i="40"/>
  <c r="V36" i="40"/>
  <c r="AK36" i="40"/>
  <c r="AJ36" i="40"/>
  <c r="AG36" i="40"/>
  <c r="AP35" i="40"/>
  <c r="AO35" i="40"/>
  <c r="AN35" i="40"/>
  <c r="V35" i="40"/>
  <c r="AK35" i="40"/>
  <c r="AJ35" i="40"/>
  <c r="AG35" i="40"/>
  <c r="AP34" i="40"/>
  <c r="AO34" i="40"/>
  <c r="AN34" i="40"/>
  <c r="V34" i="40"/>
  <c r="AK34" i="40"/>
  <c r="AJ34" i="40"/>
  <c r="AG34" i="40"/>
  <c r="AP33" i="40"/>
  <c r="AO33" i="40"/>
  <c r="AN33" i="40"/>
  <c r="V33" i="40"/>
  <c r="AK33" i="40"/>
  <c r="AJ33" i="40"/>
  <c r="AG33" i="40"/>
  <c r="AP32" i="40"/>
  <c r="AO32" i="40"/>
  <c r="AN32" i="40"/>
  <c r="V32" i="40"/>
  <c r="AK32" i="40"/>
  <c r="AJ32" i="40"/>
  <c r="AG32" i="40"/>
  <c r="AP31" i="40"/>
  <c r="AO31" i="40"/>
  <c r="AN31" i="40"/>
  <c r="V31" i="40"/>
  <c r="AK31" i="40"/>
  <c r="AJ31" i="40"/>
  <c r="AG31" i="40"/>
  <c r="AP30" i="40"/>
  <c r="AO30" i="40"/>
  <c r="AM30" i="40"/>
  <c r="AN30" i="40"/>
  <c r="V30" i="40"/>
  <c r="AK30" i="40"/>
  <c r="AJ30" i="40"/>
  <c r="AG30" i="40"/>
  <c r="AP29" i="40"/>
  <c r="AO29" i="40"/>
  <c r="AN29" i="40"/>
  <c r="V29" i="40"/>
  <c r="AK29" i="40"/>
  <c r="AJ29" i="40"/>
  <c r="AG29" i="40"/>
  <c r="AP28" i="40"/>
  <c r="AO28" i="40"/>
  <c r="AN28" i="40"/>
  <c r="V28" i="40"/>
  <c r="AK28" i="40"/>
  <c r="AJ28" i="40"/>
  <c r="AG28" i="40"/>
  <c r="AP27" i="40"/>
  <c r="AO27" i="40"/>
  <c r="AN27" i="40"/>
  <c r="V27" i="40"/>
  <c r="AK27" i="40"/>
  <c r="AJ27" i="40"/>
  <c r="AG27" i="40"/>
  <c r="AP26" i="40"/>
  <c r="AO26" i="40"/>
  <c r="AN26" i="40"/>
  <c r="V26" i="40"/>
  <c r="AK26" i="40"/>
  <c r="AJ26" i="40"/>
  <c r="AG26" i="40"/>
  <c r="AP25" i="40"/>
  <c r="AO25" i="40"/>
  <c r="AN25" i="40"/>
  <c r="V25" i="40"/>
  <c r="AK25" i="40"/>
  <c r="AJ25" i="40"/>
  <c r="AG25" i="40"/>
  <c r="AP24" i="40"/>
  <c r="AO24" i="40"/>
  <c r="AN24" i="40"/>
  <c r="V24" i="40"/>
  <c r="AK24" i="40"/>
  <c r="AJ24" i="40"/>
  <c r="AG24" i="40"/>
  <c r="AP23" i="40"/>
  <c r="AO23" i="40"/>
  <c r="AN23" i="40"/>
  <c r="V23" i="40"/>
  <c r="AK23" i="40"/>
  <c r="AJ23" i="40"/>
  <c r="AG23" i="40"/>
  <c r="AP22" i="40"/>
  <c r="AO22" i="40"/>
  <c r="AM22" i="40"/>
  <c r="AN22" i="40"/>
  <c r="V22" i="40"/>
  <c r="AK22" i="40"/>
  <c r="AJ22" i="40"/>
  <c r="AG22" i="40"/>
  <c r="AP21" i="40"/>
  <c r="AO21" i="40"/>
  <c r="AN21" i="40"/>
  <c r="V21" i="40"/>
  <c r="AK21" i="40"/>
  <c r="AJ21" i="40"/>
  <c r="AG21" i="40"/>
  <c r="AP20" i="40"/>
  <c r="AO20" i="40"/>
  <c r="AN20" i="40"/>
  <c r="V20" i="40"/>
  <c r="AK20" i="40"/>
  <c r="AJ20" i="40"/>
  <c r="AG20" i="40"/>
  <c r="AP19" i="40"/>
  <c r="AO19" i="40"/>
  <c r="AN19" i="40"/>
  <c r="V19" i="40"/>
  <c r="AK19" i="40"/>
  <c r="AJ19" i="40"/>
  <c r="AG19" i="40"/>
  <c r="AP18" i="40"/>
  <c r="AO18" i="40"/>
  <c r="AN18" i="40"/>
  <c r="V18" i="40"/>
  <c r="AK18" i="40"/>
  <c r="AJ18" i="40"/>
  <c r="AG18" i="40"/>
  <c r="AP17" i="40"/>
  <c r="AO17" i="40"/>
  <c r="AN17" i="40"/>
  <c r="V17" i="40"/>
  <c r="AK17" i="40"/>
  <c r="AJ17" i="40"/>
  <c r="AG17" i="40"/>
  <c r="AP16" i="40"/>
  <c r="AO16" i="40"/>
  <c r="AN16" i="40"/>
  <c r="V16" i="40"/>
  <c r="AK16" i="40"/>
  <c r="AJ16" i="40"/>
  <c r="AG16" i="40"/>
  <c r="AP15" i="40"/>
  <c r="AO15" i="40"/>
  <c r="AN15" i="40"/>
  <c r="V15" i="40"/>
  <c r="AK15" i="40"/>
  <c r="AJ15" i="40"/>
  <c r="AG15" i="40"/>
  <c r="AP14" i="40"/>
  <c r="AO14" i="40"/>
  <c r="AM14" i="40"/>
  <c r="AN14" i="40"/>
  <c r="V14" i="40"/>
  <c r="AK14" i="40"/>
  <c r="AJ14" i="40"/>
  <c r="AG14" i="40"/>
  <c r="AP13" i="40"/>
  <c r="AO13" i="40"/>
  <c r="AN13" i="40"/>
  <c r="V13" i="40"/>
  <c r="AK13" i="40"/>
  <c r="AJ13" i="40"/>
  <c r="AG13" i="40"/>
  <c r="AP12" i="40"/>
  <c r="AO12" i="40"/>
  <c r="AN12" i="40"/>
  <c r="V12" i="40"/>
  <c r="AK12" i="40"/>
  <c r="AJ12" i="40"/>
  <c r="AG12" i="40"/>
  <c r="AP11" i="40"/>
  <c r="AO11" i="40"/>
  <c r="AN11" i="40"/>
  <c r="V11" i="40"/>
  <c r="AK11" i="40"/>
  <c r="AJ11" i="40"/>
  <c r="AG11" i="40"/>
  <c r="AP10" i="40"/>
  <c r="AO10" i="40"/>
  <c r="AN10" i="40"/>
  <c r="V10" i="40"/>
  <c r="AK10" i="40"/>
  <c r="AJ10" i="40"/>
  <c r="AG10" i="40"/>
  <c r="AP9" i="40"/>
  <c r="AO9" i="40"/>
  <c r="AN9" i="40"/>
  <c r="V9" i="40"/>
  <c r="AK9" i="40"/>
  <c r="AJ9" i="40"/>
  <c r="AG9" i="40"/>
  <c r="AP8" i="40"/>
  <c r="AO8" i="40"/>
  <c r="AN8" i="40"/>
  <c r="V8" i="40"/>
  <c r="AK8" i="40"/>
  <c r="AJ8" i="40"/>
  <c r="AG8" i="40"/>
  <c r="AP7" i="40"/>
  <c r="AO7" i="40"/>
  <c r="AN7" i="40"/>
  <c r="V7" i="40"/>
  <c r="AK7" i="40"/>
  <c r="AJ7" i="40"/>
  <c r="AG7" i="40"/>
  <c r="AP6" i="40"/>
  <c r="AO6" i="40"/>
  <c r="AM6" i="40"/>
  <c r="AN6" i="40"/>
  <c r="V6" i="40"/>
  <c r="AK6" i="40"/>
  <c r="AJ6" i="40"/>
  <c r="AG6" i="40"/>
  <c r="V6" i="23"/>
  <c r="AJ6" i="23"/>
  <c r="AP6" i="23"/>
  <c r="AP7" i="23"/>
  <c r="AP8" i="23"/>
  <c r="AP9" i="23"/>
  <c r="AP10" i="23"/>
  <c r="AP11" i="23"/>
  <c r="AP12" i="23"/>
  <c r="AP13" i="23"/>
  <c r="AP14" i="23"/>
  <c r="AP15" i="23"/>
  <c r="AP16" i="23"/>
  <c r="AP17" i="23"/>
  <c r="AP18" i="23"/>
  <c r="AP19" i="23"/>
  <c r="AP20" i="23"/>
  <c r="AP21" i="23"/>
  <c r="AP22" i="23"/>
  <c r="AP23" i="23"/>
  <c r="AP24" i="23"/>
  <c r="AP25" i="23"/>
  <c r="AP26" i="23"/>
  <c r="AP27" i="23"/>
  <c r="AP28" i="23"/>
  <c r="AP29" i="23"/>
  <c r="AP30" i="23"/>
  <c r="AP31" i="23"/>
  <c r="AP32" i="23"/>
  <c r="AP33" i="23"/>
  <c r="AP34" i="23"/>
  <c r="AP35" i="23"/>
  <c r="AP36" i="23"/>
  <c r="AP37" i="23"/>
  <c r="AP38" i="23"/>
  <c r="AP39" i="23"/>
  <c r="AP40" i="23"/>
  <c r="AP41" i="23"/>
  <c r="AP42" i="23"/>
  <c r="AP43" i="23"/>
  <c r="AP44" i="23"/>
  <c r="AP45" i="23"/>
  <c r="AP46" i="23"/>
  <c r="AP47" i="23"/>
  <c r="AP48" i="23"/>
  <c r="AP49" i="23"/>
  <c r="AP50" i="23"/>
  <c r="AP51" i="23"/>
  <c r="AP52" i="23"/>
  <c r="AP53" i="23"/>
  <c r="AP54" i="23"/>
  <c r="AP55" i="23"/>
  <c r="AP56" i="23"/>
  <c r="AP57" i="23"/>
  <c r="AP58" i="23"/>
  <c r="AP59" i="23"/>
  <c r="AP60" i="23"/>
  <c r="AP61" i="23"/>
  <c r="AP62" i="23"/>
  <c r="AP63" i="23"/>
  <c r="AP64" i="23"/>
  <c r="AP65" i="23"/>
  <c r="AP66" i="23"/>
  <c r="AP67" i="23"/>
  <c r="AP68" i="23"/>
  <c r="AP69" i="23"/>
  <c r="AP70" i="23"/>
  <c r="AP71" i="23"/>
  <c r="AP72" i="23"/>
  <c r="AP73" i="23"/>
  <c r="AP74" i="23"/>
  <c r="AP75" i="23"/>
  <c r="AP76" i="23"/>
  <c r="AP77" i="23"/>
  <c r="AP78" i="23"/>
  <c r="AP79" i="23"/>
  <c r="AP80" i="23"/>
  <c r="AP81" i="23"/>
  <c r="AP82" i="23"/>
  <c r="AP83" i="23"/>
  <c r="AP84" i="23"/>
  <c r="AP85" i="23"/>
  <c r="AP86" i="23"/>
  <c r="AP87" i="23"/>
  <c r="AP88" i="23"/>
  <c r="AP89" i="23"/>
  <c r="AP90" i="23"/>
  <c r="AP91" i="23"/>
  <c r="AP92" i="23"/>
  <c r="AP93" i="23"/>
  <c r="AP94" i="23"/>
  <c r="AP95" i="23"/>
  <c r="AP96" i="23"/>
  <c r="AP97" i="23"/>
  <c r="AP98" i="23"/>
  <c r="AP99" i="23"/>
  <c r="AP100" i="23"/>
  <c r="AP101" i="23"/>
  <c r="AP102" i="23"/>
  <c r="AN7" i="20"/>
  <c r="AN8" i="20"/>
  <c r="AN9" i="20"/>
  <c r="AN10" i="20"/>
  <c r="AN11" i="20"/>
  <c r="AN12" i="20"/>
  <c r="AN13" i="20"/>
  <c r="AN14" i="20"/>
  <c r="AN15" i="20"/>
  <c r="AN16" i="20"/>
  <c r="AN17" i="20"/>
  <c r="AN18" i="20"/>
  <c r="AN19" i="20"/>
  <c r="AN20" i="20"/>
  <c r="AN21" i="20"/>
  <c r="AN22" i="20"/>
  <c r="AN23" i="20"/>
  <c r="AN24" i="20"/>
  <c r="AN25" i="20"/>
  <c r="AN26" i="20"/>
  <c r="AN27" i="20"/>
  <c r="AN28" i="20"/>
  <c r="AN29" i="20"/>
  <c r="AN30" i="20"/>
  <c r="AN31" i="20"/>
  <c r="AN32" i="20"/>
  <c r="AN33" i="20"/>
  <c r="AN34" i="20"/>
  <c r="AN35" i="20"/>
  <c r="AN36" i="20"/>
  <c r="AN37" i="20"/>
  <c r="AN38" i="20"/>
  <c r="AN39" i="20"/>
  <c r="AN40" i="20"/>
  <c r="AN41" i="20"/>
  <c r="AN42" i="20"/>
  <c r="AN43" i="20"/>
  <c r="AN44" i="20"/>
  <c r="AN45" i="20"/>
  <c r="AN46" i="20"/>
  <c r="AN47" i="20"/>
  <c r="AN48" i="20"/>
  <c r="AN49" i="20"/>
  <c r="AN50" i="20"/>
  <c r="AN51" i="20"/>
  <c r="AN52" i="20"/>
  <c r="AN53" i="20"/>
  <c r="AN54" i="20"/>
  <c r="AN55" i="20"/>
  <c r="AN56" i="20"/>
  <c r="AN57" i="20"/>
  <c r="AN58" i="20"/>
  <c r="AN59" i="20"/>
  <c r="AN60" i="20"/>
  <c r="AN61" i="20"/>
  <c r="AN62" i="20"/>
  <c r="AN63" i="20"/>
  <c r="AN64" i="20"/>
  <c r="AN65" i="20"/>
  <c r="AN66" i="20"/>
  <c r="AN67" i="20"/>
  <c r="AN68" i="20"/>
  <c r="AN69" i="20"/>
  <c r="AN70" i="20"/>
  <c r="AN71" i="20"/>
  <c r="AN72" i="20"/>
  <c r="AN73" i="20"/>
  <c r="AN74" i="20"/>
  <c r="AN75" i="20"/>
  <c r="AN76" i="20"/>
  <c r="AN77" i="20"/>
  <c r="AN78" i="20"/>
  <c r="AN79" i="20"/>
  <c r="AN80" i="20"/>
  <c r="AN81" i="20"/>
  <c r="AN82" i="20"/>
  <c r="AN83" i="20"/>
  <c r="AN84" i="20"/>
  <c r="AN85" i="20"/>
  <c r="AN86" i="20"/>
  <c r="AN87" i="20"/>
  <c r="AN88" i="20"/>
  <c r="AN89" i="20"/>
  <c r="AN90" i="20"/>
  <c r="AN91" i="20"/>
  <c r="AN92" i="20"/>
  <c r="AN93" i="20"/>
  <c r="AN94" i="20"/>
  <c r="AN95" i="20"/>
  <c r="AN96" i="20"/>
  <c r="AN97" i="20"/>
  <c r="AN98" i="20"/>
  <c r="AN99" i="20"/>
  <c r="AN100" i="20"/>
  <c r="AN101" i="20"/>
  <c r="AN102" i="20"/>
  <c r="AN103" i="20"/>
  <c r="AN104" i="20"/>
  <c r="AN105" i="20"/>
  <c r="AN106" i="20"/>
  <c r="AN107" i="20"/>
  <c r="AN108" i="20"/>
  <c r="AN109" i="20"/>
  <c r="AN110" i="20"/>
  <c r="AN111" i="20"/>
  <c r="AN112" i="20"/>
  <c r="AN113" i="20"/>
  <c r="AN114" i="20"/>
  <c r="AN115" i="20"/>
  <c r="AN116" i="20"/>
  <c r="AN117" i="20"/>
  <c r="AN118" i="20"/>
  <c r="AN119" i="20"/>
  <c r="AN120" i="20"/>
  <c r="AN121" i="20"/>
  <c r="AN122" i="20"/>
  <c r="AN123" i="20"/>
  <c r="AN124" i="20"/>
  <c r="AN125" i="20"/>
  <c r="AN126" i="20"/>
  <c r="AN127" i="20"/>
  <c r="AN128" i="20"/>
  <c r="AN129" i="20"/>
  <c r="AN130" i="20"/>
  <c r="AN131" i="20"/>
  <c r="AN132" i="20"/>
  <c r="AN133" i="20"/>
  <c r="AN134" i="20"/>
  <c r="AN135" i="20"/>
  <c r="AN136" i="20"/>
  <c r="AN137" i="20"/>
  <c r="AN138" i="20"/>
  <c r="AN139" i="20"/>
  <c r="AN140" i="20"/>
  <c r="AN141" i="20"/>
  <c r="AN142" i="20"/>
  <c r="AN143" i="20"/>
  <c r="AN144" i="20"/>
  <c r="AN145" i="20"/>
  <c r="AN146" i="20"/>
  <c r="AN147" i="20"/>
  <c r="AN148" i="20"/>
  <c r="AN149" i="20"/>
  <c r="AN150" i="20"/>
  <c r="AN151" i="20"/>
  <c r="AN152" i="20"/>
  <c r="AN153" i="20"/>
  <c r="AN154" i="20"/>
  <c r="AN155" i="20"/>
  <c r="AN156" i="20"/>
  <c r="AN157" i="20"/>
  <c r="AN158" i="20"/>
  <c r="AN159" i="20"/>
  <c r="AN160" i="20"/>
  <c r="AN161" i="20"/>
  <c r="AN162" i="20"/>
  <c r="AN163" i="20"/>
  <c r="AN164" i="20"/>
  <c r="AN165" i="20"/>
  <c r="AN166" i="20"/>
  <c r="AN167" i="20"/>
  <c r="AN168" i="20"/>
  <c r="AN169" i="20"/>
  <c r="AN170" i="20"/>
  <c r="AN171" i="20"/>
  <c r="AN172" i="20"/>
  <c r="AN173" i="20"/>
  <c r="AN174" i="20"/>
  <c r="AN175" i="20"/>
  <c r="AN176" i="20"/>
  <c r="AN177" i="20"/>
  <c r="AN178" i="20"/>
  <c r="AN179" i="20"/>
  <c r="AN180" i="20"/>
  <c r="AN181" i="20"/>
  <c r="AN182" i="20"/>
  <c r="AN183" i="20"/>
  <c r="AN184" i="20"/>
  <c r="AN185" i="20"/>
  <c r="AN186" i="20"/>
  <c r="AN187" i="20"/>
  <c r="AN188" i="20"/>
  <c r="AN189" i="20"/>
  <c r="AN190" i="20"/>
  <c r="AN191" i="20"/>
  <c r="AN192" i="20"/>
  <c r="AN193" i="20"/>
  <c r="AN194" i="20"/>
  <c r="AN195" i="20"/>
  <c r="AN196" i="20"/>
  <c r="AN197" i="20"/>
  <c r="AN198" i="20"/>
  <c r="AN199" i="20"/>
  <c r="AN200" i="20"/>
  <c r="AN201" i="20"/>
  <c r="AN202" i="20"/>
  <c r="AN203" i="20"/>
  <c r="AN204" i="20"/>
  <c r="AN205" i="20"/>
  <c r="AN206" i="20"/>
  <c r="AN207" i="20"/>
  <c r="AN208" i="20"/>
  <c r="AN209" i="20"/>
  <c r="AN210" i="20"/>
  <c r="AN211" i="20"/>
  <c r="AN212" i="20"/>
  <c r="AN213" i="20"/>
  <c r="AN214" i="20"/>
  <c r="AN215" i="20"/>
  <c r="AN216" i="20"/>
  <c r="AN217" i="20"/>
  <c r="AN218" i="20"/>
  <c r="AN219" i="20"/>
  <c r="AN220" i="20"/>
  <c r="AN221" i="20"/>
  <c r="AN222" i="20"/>
  <c r="AN223" i="20"/>
  <c r="AN224" i="20"/>
  <c r="AN225" i="20"/>
  <c r="AN226" i="20"/>
  <c r="AN227" i="20"/>
  <c r="AN228" i="20"/>
  <c r="AN229" i="20"/>
  <c r="AN230" i="20"/>
  <c r="AN231" i="20"/>
  <c r="AN232" i="20"/>
  <c r="AN233" i="20"/>
  <c r="AN234" i="20"/>
  <c r="AN235" i="20"/>
  <c r="AN236" i="20"/>
  <c r="AN237" i="20"/>
  <c r="AN238" i="20"/>
  <c r="AN239" i="20"/>
  <c r="AN240" i="20"/>
  <c r="AN241" i="20"/>
  <c r="AN242" i="20"/>
  <c r="AN243" i="20"/>
  <c r="AN244" i="20"/>
  <c r="AN245" i="20"/>
  <c r="AN246" i="20"/>
  <c r="AN247" i="20"/>
  <c r="AN248" i="20"/>
  <c r="AN249" i="20"/>
  <c r="AN250" i="20"/>
  <c r="AN251" i="20"/>
  <c r="AN252" i="20"/>
  <c r="AN253" i="20"/>
  <c r="AN254" i="20"/>
  <c r="AN255" i="20"/>
  <c r="AN256" i="20"/>
  <c r="AN257" i="20"/>
  <c r="AN258" i="20"/>
  <c r="AN259" i="20"/>
  <c r="AN260" i="20"/>
  <c r="AN261" i="20"/>
  <c r="AN262" i="20"/>
  <c r="AN263" i="20"/>
  <c r="AN264" i="20"/>
  <c r="AN265" i="20"/>
  <c r="AN266" i="20"/>
  <c r="AN267" i="20"/>
  <c r="AN268" i="20"/>
  <c r="AN269" i="20"/>
  <c r="AN270" i="20"/>
  <c r="AN271" i="20"/>
  <c r="AN272" i="20"/>
  <c r="AN273" i="20"/>
  <c r="AN274" i="20"/>
  <c r="AN275" i="20"/>
  <c r="AN276" i="20"/>
  <c r="AN277" i="20"/>
  <c r="AN278" i="20"/>
  <c r="AN279" i="20"/>
  <c r="AN280" i="20"/>
  <c r="AN281" i="20"/>
  <c r="AN282" i="20"/>
  <c r="AN283" i="20"/>
  <c r="AN284" i="20"/>
  <c r="AN285" i="20"/>
  <c r="AN286" i="20"/>
  <c r="AN287" i="20"/>
  <c r="AN288" i="20"/>
  <c r="AN289" i="20"/>
  <c r="AN290" i="20"/>
  <c r="AN291" i="20"/>
  <c r="AN292" i="20"/>
  <c r="AN293" i="20"/>
  <c r="AN6" i="20"/>
  <c r="Y7" i="27"/>
  <c r="Y8" i="27"/>
  <c r="Y9" i="27"/>
  <c r="Y10" i="27"/>
  <c r="Y11" i="27"/>
  <c r="Y12" i="27"/>
  <c r="Y13" i="27"/>
  <c r="Y14" i="27"/>
  <c r="Y15" i="27"/>
  <c r="Y16" i="27"/>
  <c r="Y17" i="27"/>
  <c r="Y18" i="27"/>
  <c r="Y19" i="27"/>
  <c r="Y20" i="27"/>
  <c r="Y21" i="27"/>
  <c r="Y22" i="27"/>
  <c r="Y23" i="27"/>
  <c r="Y24" i="27"/>
  <c r="Y25" i="27"/>
  <c r="Y26" i="27"/>
  <c r="Y27" i="27"/>
  <c r="Y28" i="27"/>
  <c r="Y29" i="27"/>
  <c r="Y30" i="27"/>
  <c r="Y31" i="27"/>
  <c r="Y32" i="27"/>
  <c r="Y33" i="27"/>
  <c r="Y34" i="27"/>
  <c r="Y35" i="27"/>
  <c r="Y36" i="27"/>
  <c r="Y37" i="27"/>
  <c r="Y38" i="27"/>
  <c r="Y39" i="27"/>
  <c r="Y40" i="27"/>
  <c r="Y41" i="27"/>
  <c r="Y42" i="27"/>
  <c r="Y43" i="27"/>
  <c r="Y44" i="27"/>
  <c r="Y45" i="27"/>
  <c r="Y46" i="27"/>
  <c r="Y47" i="27"/>
  <c r="Y48" i="27"/>
  <c r="Y49" i="27"/>
  <c r="Y50" i="27"/>
  <c r="Y51" i="27"/>
  <c r="Y52" i="27"/>
  <c r="Y53" i="27"/>
  <c r="Y54" i="27"/>
  <c r="Y55" i="27"/>
  <c r="Y56" i="27"/>
  <c r="Y57" i="27"/>
  <c r="Y58" i="27"/>
  <c r="Y59" i="27"/>
  <c r="Y60" i="27"/>
  <c r="Y61" i="27"/>
  <c r="Y62" i="27"/>
  <c r="Y63" i="27"/>
  <c r="Y64" i="27"/>
  <c r="Y65" i="27"/>
  <c r="Y66" i="27"/>
  <c r="Y67" i="27"/>
  <c r="Y68" i="27"/>
  <c r="Y69" i="27"/>
  <c r="Y70" i="27"/>
  <c r="Y71" i="27"/>
  <c r="Y72" i="27"/>
  <c r="Y73" i="27"/>
  <c r="Y74" i="27"/>
  <c r="Y75" i="27"/>
  <c r="Y76" i="27"/>
  <c r="Y77" i="27"/>
  <c r="Y78" i="27"/>
  <c r="Y79" i="27"/>
  <c r="Y80" i="27"/>
  <c r="Y81" i="27"/>
  <c r="Y82" i="27"/>
  <c r="Y83" i="27"/>
  <c r="Y84" i="27"/>
  <c r="Y85" i="27"/>
  <c r="Y86" i="27"/>
  <c r="Y87" i="27"/>
  <c r="Y88" i="27"/>
  <c r="Y89" i="27"/>
  <c r="Y90" i="27"/>
  <c r="Y91" i="27"/>
  <c r="Y92" i="27"/>
  <c r="Y93" i="27"/>
  <c r="Y94" i="27"/>
  <c r="Y95" i="27"/>
  <c r="Y96" i="27"/>
  <c r="Y97" i="27"/>
  <c r="Y98" i="27"/>
  <c r="Y99" i="27"/>
  <c r="Y100" i="27"/>
  <c r="Y101" i="27"/>
  <c r="Y102" i="27"/>
  <c r="Y103" i="27"/>
  <c r="Y104" i="27"/>
  <c r="Y105" i="27"/>
  <c r="Y106" i="27"/>
  <c r="Y107" i="27"/>
  <c r="Y108" i="27"/>
  <c r="Y109" i="27"/>
  <c r="Y110" i="27"/>
  <c r="Y111" i="27"/>
  <c r="Y112" i="27"/>
  <c r="Y113" i="27"/>
  <c r="Y114" i="27"/>
  <c r="Y115" i="27"/>
  <c r="Y116" i="27"/>
  <c r="Y117" i="27"/>
  <c r="Y118" i="27"/>
  <c r="Y119" i="27"/>
  <c r="Y120" i="27"/>
  <c r="Y121" i="27"/>
  <c r="Y122" i="27"/>
  <c r="Y123" i="27"/>
  <c r="Y124" i="27"/>
  <c r="Y125" i="27"/>
  <c r="Y126" i="27"/>
  <c r="Y127" i="27"/>
  <c r="Y128" i="27"/>
  <c r="Y129" i="27"/>
  <c r="Y130" i="27"/>
  <c r="Y131" i="27"/>
  <c r="Y132" i="27"/>
  <c r="Y133" i="27"/>
  <c r="Y134" i="27"/>
  <c r="Y135" i="27"/>
  <c r="Y136" i="27"/>
  <c r="Y137" i="27"/>
  <c r="Y138" i="27"/>
  <c r="Y139" i="27"/>
  <c r="Y140" i="27"/>
  <c r="Y141" i="27"/>
  <c r="Y142" i="27"/>
  <c r="Y143" i="27"/>
  <c r="Y144" i="27"/>
  <c r="Y145" i="27"/>
  <c r="Y146" i="27"/>
  <c r="Y147" i="27"/>
  <c r="Y148" i="27"/>
  <c r="Y149" i="27"/>
  <c r="Y150" i="27"/>
  <c r="Y151" i="27"/>
  <c r="Y152" i="27"/>
  <c r="Y153" i="27"/>
  <c r="Y154" i="27"/>
  <c r="Y155" i="27"/>
  <c r="Y156" i="27"/>
  <c r="Y157" i="27"/>
  <c r="Y158" i="27"/>
  <c r="Y159" i="27"/>
  <c r="Y160" i="27"/>
  <c r="Y161" i="27"/>
  <c r="Y162" i="27"/>
  <c r="Y163" i="27"/>
  <c r="Y164" i="27"/>
  <c r="Y165" i="27"/>
  <c r="Y166" i="27"/>
  <c r="Y167" i="27"/>
  <c r="Y168" i="27"/>
  <c r="Y169" i="27"/>
  <c r="Y170" i="27"/>
  <c r="Y171" i="27"/>
  <c r="Y172" i="27"/>
  <c r="Y173" i="27"/>
  <c r="Y174" i="27"/>
  <c r="Y175" i="27"/>
  <c r="Y176" i="27"/>
  <c r="Y177" i="27"/>
  <c r="Y178" i="27"/>
  <c r="Y179" i="27"/>
  <c r="Y180" i="27"/>
  <c r="Y181" i="27"/>
  <c r="Y182" i="27"/>
  <c r="Y183" i="27"/>
  <c r="Y184" i="27"/>
  <c r="Y185" i="27"/>
  <c r="Y186" i="27"/>
  <c r="Y187" i="27"/>
  <c r="Y188" i="27"/>
  <c r="Y189" i="27"/>
  <c r="Y190" i="27"/>
  <c r="Y191" i="27"/>
  <c r="Y192" i="27"/>
  <c r="Y193" i="27"/>
  <c r="Y194" i="27"/>
  <c r="Y195" i="27"/>
  <c r="Y196" i="27"/>
  <c r="Y197" i="27"/>
  <c r="Y198" i="27"/>
  <c r="Y199" i="27"/>
  <c r="Y200" i="27"/>
  <c r="Y201" i="27"/>
  <c r="Y202" i="27"/>
  <c r="Y203" i="27"/>
  <c r="Y204" i="27"/>
  <c r="Y205" i="27"/>
  <c r="Y206" i="27"/>
  <c r="Y207" i="27"/>
  <c r="Y208" i="27"/>
  <c r="Y209" i="27"/>
  <c r="Y210" i="27"/>
  <c r="Y211" i="27"/>
  <c r="Y212" i="27"/>
  <c r="Y213" i="27"/>
  <c r="Y214" i="27"/>
  <c r="Y215" i="27"/>
  <c r="Y216" i="27"/>
  <c r="Y217" i="27"/>
  <c r="Y218" i="27"/>
  <c r="Y219" i="27"/>
  <c r="Y220" i="27"/>
  <c r="Y221" i="27"/>
  <c r="Y222" i="27"/>
  <c r="Y223" i="27"/>
  <c r="Y224" i="27"/>
  <c r="Y225" i="27"/>
  <c r="Y226" i="27"/>
  <c r="Y227" i="27"/>
  <c r="Y228" i="27"/>
  <c r="Y229" i="27"/>
  <c r="Y230" i="27"/>
  <c r="Y231" i="27"/>
  <c r="Y232" i="27"/>
  <c r="Y233" i="27"/>
  <c r="Y234" i="27"/>
  <c r="Y235" i="27"/>
  <c r="Y236" i="27"/>
  <c r="Y237" i="27"/>
  <c r="Y238" i="27"/>
  <c r="Y239" i="27"/>
  <c r="Y240" i="27"/>
  <c r="Y241" i="27"/>
  <c r="Y242" i="27"/>
  <c r="Y243" i="27"/>
  <c r="Y244" i="27"/>
  <c r="Y245" i="27"/>
  <c r="Y246" i="27"/>
  <c r="Y247" i="27"/>
  <c r="Y248" i="27"/>
  <c r="Y249" i="27"/>
  <c r="Y250" i="27"/>
  <c r="Y251" i="27"/>
  <c r="Y252" i="27"/>
  <c r="Y253" i="27"/>
  <c r="Y254" i="27"/>
  <c r="Y255" i="27"/>
  <c r="Y256" i="27"/>
  <c r="Y257" i="27"/>
  <c r="Y258" i="27"/>
  <c r="Y259" i="27"/>
  <c r="Y260" i="27"/>
  <c r="Y261" i="27"/>
  <c r="Y262" i="27"/>
  <c r="Y263" i="27"/>
  <c r="Y264" i="27"/>
  <c r="Y265" i="27"/>
  <c r="Y266" i="27"/>
  <c r="Y267" i="27"/>
  <c r="Y268" i="27"/>
  <c r="Y269" i="27"/>
  <c r="Y270" i="27"/>
  <c r="Y271" i="27"/>
  <c r="Y272" i="27"/>
  <c r="Y273" i="27"/>
  <c r="Y274" i="27"/>
  <c r="Y275" i="27"/>
  <c r="Y276" i="27"/>
  <c r="Y277" i="27"/>
  <c r="Y278" i="27"/>
  <c r="Y279" i="27"/>
  <c r="Y280" i="27"/>
  <c r="Y281" i="27"/>
  <c r="Y282" i="27"/>
  <c r="Y283" i="27"/>
  <c r="Y284" i="27"/>
  <c r="Y285" i="27"/>
  <c r="Y286" i="27"/>
  <c r="Y287" i="27"/>
  <c r="Y288" i="27"/>
  <c r="Y289" i="27"/>
  <c r="Y290" i="27"/>
  <c r="Y291" i="27"/>
  <c r="Y292" i="27"/>
  <c r="Y293" i="27"/>
  <c r="Y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6" i="27"/>
  <c r="AI7" i="27"/>
  <c r="AI8" i="27"/>
  <c r="AI9" i="27"/>
  <c r="AI10" i="27"/>
  <c r="AI11" i="27"/>
  <c r="AI12" i="27"/>
  <c r="AI13" i="27"/>
  <c r="AI14" i="27"/>
  <c r="AI15" i="27"/>
  <c r="AI16" i="27"/>
  <c r="AI17" i="27"/>
  <c r="AI18" i="27"/>
  <c r="AI19" i="27"/>
  <c r="AI20" i="27"/>
  <c r="AI21" i="27"/>
  <c r="AI22" i="27"/>
  <c r="AI23" i="27"/>
  <c r="AI24" i="27"/>
  <c r="AI25" i="27"/>
  <c r="AI26" i="27"/>
  <c r="AI27" i="27"/>
  <c r="AI28" i="27"/>
  <c r="AI29" i="27"/>
  <c r="AI30" i="27"/>
  <c r="AI31" i="27"/>
  <c r="AI32" i="27"/>
  <c r="AI33" i="27"/>
  <c r="AI34" i="27"/>
  <c r="AI35" i="27"/>
  <c r="AI36" i="27"/>
  <c r="AI37" i="27"/>
  <c r="AI38" i="27"/>
  <c r="AI39" i="27"/>
  <c r="AI40" i="27"/>
  <c r="AI41" i="27"/>
  <c r="AI42" i="27"/>
  <c r="AI43" i="27"/>
  <c r="AI44" i="27"/>
  <c r="AI45" i="27"/>
  <c r="AI46" i="27"/>
  <c r="AI47" i="27"/>
  <c r="AI48" i="27"/>
  <c r="AI49" i="27"/>
  <c r="AI50" i="27"/>
  <c r="AI51" i="27"/>
  <c r="AI52" i="27"/>
  <c r="AI53" i="27"/>
  <c r="AI54" i="27"/>
  <c r="AI55" i="27"/>
  <c r="AI56" i="27"/>
  <c r="AI57" i="27"/>
  <c r="AI58" i="27"/>
  <c r="AI59" i="27"/>
  <c r="AI60" i="27"/>
  <c r="AI61" i="27"/>
  <c r="AI62" i="27"/>
  <c r="AI63" i="27"/>
  <c r="AI64" i="27"/>
  <c r="AI65" i="27"/>
  <c r="AI66" i="27"/>
  <c r="AI67" i="27"/>
  <c r="AI68" i="27"/>
  <c r="AI69" i="27"/>
  <c r="AI70" i="27"/>
  <c r="AI71" i="27"/>
  <c r="AI72" i="27"/>
  <c r="AI73" i="27"/>
  <c r="AI74" i="27"/>
  <c r="AI75" i="27"/>
  <c r="AI76" i="27"/>
  <c r="AI77" i="27"/>
  <c r="AI78" i="27"/>
  <c r="AI79" i="27"/>
  <c r="AI80" i="27"/>
  <c r="AI81" i="27"/>
  <c r="AI82" i="27"/>
  <c r="AI83" i="27"/>
  <c r="AI84" i="27"/>
  <c r="AI85" i="27"/>
  <c r="AI86" i="27"/>
  <c r="AI87" i="27"/>
  <c r="AI88" i="27"/>
  <c r="AI89" i="27"/>
  <c r="AI90" i="27"/>
  <c r="AI91" i="27"/>
  <c r="AI92" i="27"/>
  <c r="AI93" i="27"/>
  <c r="AI94" i="27"/>
  <c r="AI95" i="27"/>
  <c r="AI96" i="27"/>
  <c r="AI97" i="27"/>
  <c r="AI98" i="27"/>
  <c r="AI99" i="27"/>
  <c r="AI100" i="27"/>
  <c r="AI101" i="27"/>
  <c r="AI102" i="27"/>
  <c r="AI103" i="27"/>
  <c r="AI104" i="27"/>
  <c r="AI105" i="27"/>
  <c r="AI106" i="27"/>
  <c r="AI107" i="27"/>
  <c r="AI108" i="27"/>
  <c r="AI109" i="27"/>
  <c r="AI110" i="27"/>
  <c r="AI111" i="27"/>
  <c r="AI112" i="27"/>
  <c r="AI113" i="27"/>
  <c r="AI114" i="27"/>
  <c r="AI115" i="27"/>
  <c r="AI116" i="27"/>
  <c r="AI117" i="27"/>
  <c r="AI118" i="27"/>
  <c r="AI119" i="27"/>
  <c r="AI120" i="27"/>
  <c r="AI121" i="27"/>
  <c r="AI122" i="27"/>
  <c r="AI123" i="27"/>
  <c r="AI124" i="27"/>
  <c r="AI125" i="27"/>
  <c r="AI126" i="27"/>
  <c r="AI127" i="27"/>
  <c r="AI128" i="27"/>
  <c r="AI129" i="27"/>
  <c r="AI130" i="27"/>
  <c r="AI131" i="27"/>
  <c r="AI132" i="27"/>
  <c r="AI133" i="27"/>
  <c r="AI134" i="27"/>
  <c r="AI135" i="27"/>
  <c r="AI136" i="27"/>
  <c r="AI137" i="27"/>
  <c r="AI138" i="27"/>
  <c r="AI139" i="27"/>
  <c r="AI140" i="27"/>
  <c r="AI141" i="27"/>
  <c r="AI142" i="27"/>
  <c r="AI143" i="27"/>
  <c r="AI144" i="27"/>
  <c r="AI145" i="27"/>
  <c r="AI146" i="27"/>
  <c r="AI147" i="27"/>
  <c r="AI148" i="27"/>
  <c r="AI149" i="27"/>
  <c r="AI150" i="27"/>
  <c r="AI151" i="27"/>
  <c r="AI152" i="27"/>
  <c r="AI153" i="27"/>
  <c r="AI154" i="27"/>
  <c r="AI155" i="27"/>
  <c r="AI156" i="27"/>
  <c r="AI157" i="27"/>
  <c r="AI158" i="27"/>
  <c r="AI159" i="27"/>
  <c r="AI160" i="27"/>
  <c r="AI161" i="27"/>
  <c r="AI162" i="27"/>
  <c r="AI163" i="27"/>
  <c r="AI164" i="27"/>
  <c r="AI165" i="27"/>
  <c r="AI166" i="27"/>
  <c r="AI167" i="27"/>
  <c r="AI168" i="27"/>
  <c r="AI169" i="27"/>
  <c r="AI170" i="27"/>
  <c r="AI171" i="27"/>
  <c r="AI172" i="27"/>
  <c r="AI173" i="27"/>
  <c r="AI174" i="27"/>
  <c r="AI175" i="27"/>
  <c r="AI176" i="27"/>
  <c r="AI177" i="27"/>
  <c r="AI178" i="27"/>
  <c r="AI179" i="27"/>
  <c r="AI180" i="27"/>
  <c r="AI181" i="27"/>
  <c r="AI182" i="27"/>
  <c r="AI183" i="27"/>
  <c r="AI184" i="27"/>
  <c r="AI185" i="27"/>
  <c r="AI186" i="27"/>
  <c r="AI187" i="27"/>
  <c r="AI188" i="27"/>
  <c r="AI189" i="27"/>
  <c r="AI190" i="27"/>
  <c r="AI191" i="27"/>
  <c r="AI192" i="27"/>
  <c r="AI193" i="27"/>
  <c r="AI194" i="27"/>
  <c r="AI195" i="27"/>
  <c r="AI196" i="27"/>
  <c r="AI197" i="27"/>
  <c r="AI198" i="27"/>
  <c r="AI199" i="27"/>
  <c r="AI200" i="27"/>
  <c r="AI201" i="27"/>
  <c r="AI202" i="27"/>
  <c r="AI203" i="27"/>
  <c r="AI204" i="27"/>
  <c r="AI205" i="27"/>
  <c r="AI206" i="27"/>
  <c r="AI207" i="27"/>
  <c r="AI208" i="27"/>
  <c r="AI209" i="27"/>
  <c r="AI210" i="27"/>
  <c r="AI211" i="27"/>
  <c r="AI212" i="27"/>
  <c r="AI213" i="27"/>
  <c r="AI214" i="27"/>
  <c r="AI215" i="27"/>
  <c r="AI216" i="27"/>
  <c r="AI217" i="27"/>
  <c r="AI218" i="27"/>
  <c r="AI219" i="27"/>
  <c r="AI220" i="27"/>
  <c r="AI221" i="27"/>
  <c r="AI222" i="27"/>
  <c r="AI223" i="27"/>
  <c r="AI224" i="27"/>
  <c r="AI225" i="27"/>
  <c r="AI226" i="27"/>
  <c r="AI227" i="27"/>
  <c r="AI228" i="27"/>
  <c r="AI229" i="27"/>
  <c r="AI230" i="27"/>
  <c r="AI231" i="27"/>
  <c r="AI232" i="27"/>
  <c r="AI233" i="27"/>
  <c r="AI234" i="27"/>
  <c r="AI235" i="27"/>
  <c r="AI236" i="27"/>
  <c r="AI237" i="27"/>
  <c r="AI238" i="27"/>
  <c r="AI239" i="27"/>
  <c r="AI240" i="27"/>
  <c r="AI241" i="27"/>
  <c r="AI242" i="27"/>
  <c r="AI243" i="27"/>
  <c r="AI244" i="27"/>
  <c r="AI245" i="27"/>
  <c r="AI246" i="27"/>
  <c r="AI247" i="27"/>
  <c r="AI248" i="27"/>
  <c r="AI249" i="27"/>
  <c r="AI250" i="27"/>
  <c r="AI251" i="27"/>
  <c r="AI252" i="27"/>
  <c r="AI253" i="27"/>
  <c r="AI254" i="27"/>
  <c r="AI255" i="27"/>
  <c r="AI256" i="27"/>
  <c r="AI257" i="27"/>
  <c r="AI258" i="27"/>
  <c r="AI259" i="27"/>
  <c r="AI260" i="27"/>
  <c r="AI261" i="27"/>
  <c r="AI262" i="27"/>
  <c r="AI263" i="27"/>
  <c r="AI264" i="27"/>
  <c r="AI265" i="27"/>
  <c r="AI266" i="27"/>
  <c r="AI267" i="27"/>
  <c r="AI268" i="27"/>
  <c r="AI269" i="27"/>
  <c r="AI270" i="27"/>
  <c r="AI271" i="27"/>
  <c r="AI272" i="27"/>
  <c r="AI273" i="27"/>
  <c r="AI274" i="27"/>
  <c r="AI275" i="27"/>
  <c r="AI276" i="27"/>
  <c r="AI277" i="27"/>
  <c r="AI278" i="27"/>
  <c r="AI279" i="27"/>
  <c r="AI280" i="27"/>
  <c r="AI281" i="27"/>
  <c r="AI282" i="27"/>
  <c r="AI283" i="27"/>
  <c r="AI284" i="27"/>
  <c r="AI285" i="27"/>
  <c r="AI286" i="27"/>
  <c r="AI287" i="27"/>
  <c r="AI288" i="27"/>
  <c r="AI289" i="27"/>
  <c r="AI290" i="27"/>
  <c r="AI291" i="27"/>
  <c r="AI292" i="27"/>
  <c r="AI293" i="27"/>
  <c r="AI6" i="27"/>
  <c r="AO7" i="23"/>
  <c r="AO8" i="23"/>
  <c r="AO9" i="23"/>
  <c r="AO10" i="23"/>
  <c r="AO11" i="23"/>
  <c r="AO12" i="23"/>
  <c r="AO13" i="23"/>
  <c r="AO14" i="23"/>
  <c r="AO15" i="23"/>
  <c r="AO16" i="23"/>
  <c r="AO17" i="23"/>
  <c r="AO18" i="23"/>
  <c r="AO19" i="23"/>
  <c r="AO20" i="23"/>
  <c r="AO21" i="23"/>
  <c r="AO22" i="23"/>
  <c r="AO23" i="23"/>
  <c r="AO24" i="23"/>
  <c r="AO25" i="23"/>
  <c r="AO26" i="23"/>
  <c r="AO27" i="23"/>
  <c r="AO28" i="23"/>
  <c r="AO29" i="23"/>
  <c r="AO30" i="23"/>
  <c r="AO31" i="23"/>
  <c r="AO32" i="23"/>
  <c r="AO33" i="23"/>
  <c r="AO34" i="23"/>
  <c r="AO35" i="23"/>
  <c r="AO36" i="23"/>
  <c r="AO37" i="23"/>
  <c r="AO38" i="23"/>
  <c r="AO39" i="23"/>
  <c r="AO40" i="23"/>
  <c r="AO41" i="23"/>
  <c r="AO42" i="23"/>
  <c r="AO43" i="23"/>
  <c r="AO44" i="23"/>
  <c r="AO45" i="23"/>
  <c r="AO46" i="23"/>
  <c r="AO47" i="23"/>
  <c r="AO48" i="23"/>
  <c r="AO49" i="23"/>
  <c r="AO50" i="23"/>
  <c r="AO51" i="23"/>
  <c r="AO52" i="23"/>
  <c r="AO53" i="23"/>
  <c r="AO54" i="23"/>
  <c r="AO55" i="23"/>
  <c r="AO56" i="23"/>
  <c r="AO57" i="23"/>
  <c r="AO58" i="23"/>
  <c r="AO59" i="23"/>
  <c r="AO60" i="23"/>
  <c r="AO61" i="23"/>
  <c r="AO62" i="23"/>
  <c r="AO63" i="23"/>
  <c r="AO64" i="23"/>
  <c r="AO65" i="23"/>
  <c r="AO66" i="23"/>
  <c r="AO67" i="23"/>
  <c r="AO68" i="23"/>
  <c r="AO69" i="23"/>
  <c r="AO70" i="23"/>
  <c r="AO71" i="23"/>
  <c r="AO72" i="23"/>
  <c r="AO73" i="23"/>
  <c r="AO74" i="23"/>
  <c r="AO75" i="23"/>
  <c r="AO76" i="23"/>
  <c r="AO77" i="23"/>
  <c r="AO78" i="23"/>
  <c r="AO79" i="23"/>
  <c r="AO80" i="23"/>
  <c r="AO81" i="23"/>
  <c r="AO82" i="23"/>
  <c r="AO83" i="23"/>
  <c r="AO84" i="23"/>
  <c r="AO85" i="23"/>
  <c r="AO86" i="23"/>
  <c r="AO87" i="23"/>
  <c r="AO88" i="23"/>
  <c r="AO89" i="23"/>
  <c r="AO90" i="23"/>
  <c r="AO91" i="23"/>
  <c r="AO92" i="23"/>
  <c r="AO93" i="23"/>
  <c r="AO94" i="23"/>
  <c r="AO95" i="23"/>
  <c r="AO96" i="23"/>
  <c r="AO97" i="23"/>
  <c r="AO98" i="23"/>
  <c r="AO99" i="23"/>
  <c r="AO100" i="23"/>
  <c r="AO101" i="23"/>
  <c r="AO102" i="23"/>
  <c r="AO103" i="23"/>
  <c r="AO104" i="23"/>
  <c r="AO105" i="23"/>
  <c r="AO106" i="23"/>
  <c r="AO107" i="23"/>
  <c r="AO108" i="23"/>
  <c r="AO109" i="23"/>
  <c r="AO110" i="23"/>
  <c r="AO111" i="23"/>
  <c r="AO112" i="23"/>
  <c r="AO113" i="23"/>
  <c r="AO114" i="23"/>
  <c r="AO115" i="23"/>
  <c r="AO116" i="23"/>
  <c r="AO117" i="23"/>
  <c r="AO118" i="23"/>
  <c r="AO119" i="23"/>
  <c r="AO120" i="23"/>
  <c r="AO121" i="23"/>
  <c r="AO122" i="23"/>
  <c r="AO123" i="23"/>
  <c r="AO124" i="23"/>
  <c r="AO125" i="23"/>
  <c r="AO126" i="23"/>
  <c r="AO127" i="23"/>
  <c r="AO128" i="23"/>
  <c r="AO129" i="23"/>
  <c r="AO130" i="23"/>
  <c r="AO131" i="23"/>
  <c r="AO132" i="23"/>
  <c r="AO133" i="23"/>
  <c r="AO134" i="23"/>
  <c r="AO135" i="23"/>
  <c r="AO136" i="23"/>
  <c r="AO137" i="23"/>
  <c r="AO138" i="23"/>
  <c r="AO139" i="23"/>
  <c r="AO140" i="23"/>
  <c r="AO141" i="23"/>
  <c r="AO142" i="23"/>
  <c r="AO143" i="23"/>
  <c r="AO144" i="23"/>
  <c r="AO145" i="23"/>
  <c r="AO146" i="23"/>
  <c r="AO147" i="23"/>
  <c r="AO148" i="23"/>
  <c r="AO149" i="23"/>
  <c r="AO150" i="23"/>
  <c r="AO151" i="23"/>
  <c r="AO152" i="23"/>
  <c r="AO153" i="23"/>
  <c r="AO154" i="23"/>
  <c r="AO155" i="23"/>
  <c r="AO156" i="23"/>
  <c r="AO157" i="23"/>
  <c r="AO158" i="23"/>
  <c r="AO159" i="23"/>
  <c r="AO160" i="23"/>
  <c r="AO161" i="23"/>
  <c r="AO162" i="23"/>
  <c r="AO163" i="23"/>
  <c r="AO164" i="23"/>
  <c r="AO165" i="23"/>
  <c r="AO166" i="23"/>
  <c r="AO167" i="23"/>
  <c r="AO168" i="23"/>
  <c r="AO169" i="23"/>
  <c r="AO170" i="23"/>
  <c r="AO171" i="23"/>
  <c r="AO172" i="23"/>
  <c r="AO173" i="23"/>
  <c r="AO174" i="23"/>
  <c r="AO175" i="23"/>
  <c r="AO176" i="23"/>
  <c r="AO177" i="23"/>
  <c r="AO178" i="23"/>
  <c r="AO179" i="23"/>
  <c r="AO180" i="23"/>
  <c r="AO181" i="23"/>
  <c r="AO182" i="23"/>
  <c r="AO183" i="23"/>
  <c r="AO184" i="23"/>
  <c r="AO185" i="23"/>
  <c r="AO186" i="23"/>
  <c r="AO187" i="23"/>
  <c r="AO188" i="23"/>
  <c r="AO189" i="23"/>
  <c r="AO190" i="23"/>
  <c r="AO191" i="23"/>
  <c r="AO192" i="23"/>
  <c r="AO193" i="23"/>
  <c r="AO194" i="23"/>
  <c r="AO195" i="23"/>
  <c r="AO196" i="23"/>
  <c r="AO197" i="23"/>
  <c r="AO198" i="23"/>
  <c r="AO199" i="23"/>
  <c r="AO200" i="23"/>
  <c r="AO201" i="23"/>
  <c r="AO202" i="23"/>
  <c r="AO203" i="23"/>
  <c r="AO204" i="23"/>
  <c r="AO205" i="23"/>
  <c r="AO206" i="23"/>
  <c r="AO207" i="23"/>
  <c r="AO208" i="23"/>
  <c r="AO209" i="23"/>
  <c r="AO210" i="23"/>
  <c r="AO211" i="23"/>
  <c r="AO212" i="23"/>
  <c r="AO213" i="23"/>
  <c r="AO214" i="23"/>
  <c r="AO215" i="23"/>
  <c r="AO216" i="23"/>
  <c r="AO217" i="23"/>
  <c r="AO218" i="23"/>
  <c r="AO219" i="23"/>
  <c r="AO220" i="23"/>
  <c r="AO221" i="23"/>
  <c r="AO222" i="23"/>
  <c r="AO223" i="23"/>
  <c r="AO224" i="23"/>
  <c r="AO225" i="23"/>
  <c r="AO226" i="23"/>
  <c r="AO227" i="23"/>
  <c r="AO228" i="23"/>
  <c r="AO229" i="23"/>
  <c r="AO230" i="23"/>
  <c r="AO231" i="23"/>
  <c r="AO232" i="23"/>
  <c r="AO233" i="23"/>
  <c r="AO234" i="23"/>
  <c r="AO235" i="23"/>
  <c r="AO236" i="23"/>
  <c r="AO237" i="23"/>
  <c r="AO238" i="23"/>
  <c r="AO239" i="23"/>
  <c r="AO240" i="23"/>
  <c r="AO241" i="23"/>
  <c r="AO242" i="23"/>
  <c r="AO243" i="23"/>
  <c r="AO244" i="23"/>
  <c r="AO245" i="23"/>
  <c r="AO246" i="23"/>
  <c r="AO247" i="23"/>
  <c r="AO248" i="23"/>
  <c r="AO249" i="23"/>
  <c r="AO250" i="23"/>
  <c r="AO251" i="23"/>
  <c r="AO252" i="23"/>
  <c r="AO253" i="23"/>
  <c r="AO254" i="23"/>
  <c r="AO255" i="23"/>
  <c r="AO256" i="23"/>
  <c r="AO257" i="23"/>
  <c r="AO258" i="23"/>
  <c r="AO259" i="23"/>
  <c r="AO260" i="23"/>
  <c r="AO261" i="23"/>
  <c r="AO262" i="23"/>
  <c r="AO263" i="23"/>
  <c r="AO264" i="23"/>
  <c r="AO265" i="23"/>
  <c r="AO266" i="23"/>
  <c r="AO267" i="23"/>
  <c r="AO268" i="23"/>
  <c r="AO269" i="23"/>
  <c r="AO270" i="23"/>
  <c r="AO271" i="23"/>
  <c r="AO272" i="23"/>
  <c r="AO273" i="23"/>
  <c r="AO274" i="23"/>
  <c r="AO275" i="23"/>
  <c r="AO276" i="23"/>
  <c r="AO277" i="23"/>
  <c r="AO278" i="23"/>
  <c r="AO279" i="23"/>
  <c r="AO280" i="23"/>
  <c r="AO281" i="23"/>
  <c r="AO282" i="23"/>
  <c r="AO283" i="23"/>
  <c r="AO284" i="23"/>
  <c r="AO285" i="23"/>
  <c r="AO286" i="23"/>
  <c r="AO287" i="23"/>
  <c r="AO288" i="23"/>
  <c r="AO289" i="23"/>
  <c r="AO290" i="23"/>
  <c r="AO291" i="23"/>
  <c r="AO292" i="23"/>
  <c r="AO293" i="23"/>
  <c r="AO6" i="23"/>
  <c r="AM95" i="23"/>
  <c r="AM96" i="23"/>
  <c r="AM94" i="23"/>
  <c r="AM87" i="23"/>
  <c r="AM86" i="23"/>
  <c r="AM79" i="23"/>
  <c r="AM78" i="23"/>
  <c r="AM71" i="23"/>
  <c r="AM70" i="23"/>
  <c r="AM62" i="23"/>
  <c r="AM54" i="23"/>
  <c r="AM47" i="23"/>
  <c r="AM46" i="23"/>
  <c r="AM39" i="23"/>
  <c r="AM38" i="23"/>
  <c r="AM30" i="23"/>
  <c r="AM22" i="23"/>
  <c r="AM14" i="23"/>
  <c r="AM6" i="23"/>
  <c r="AN7" i="23"/>
  <c r="AN8" i="23"/>
  <c r="AN9" i="23"/>
  <c r="AN10" i="23"/>
  <c r="AN11" i="23"/>
  <c r="AN12" i="23"/>
  <c r="AN13" i="23"/>
  <c r="AN14" i="23"/>
  <c r="AN15" i="23"/>
  <c r="AN16" i="23"/>
  <c r="AN17" i="23"/>
  <c r="AN18" i="23"/>
  <c r="AN19" i="23"/>
  <c r="AN20" i="23"/>
  <c r="AN21" i="23"/>
  <c r="AN22" i="23"/>
  <c r="AN23" i="23"/>
  <c r="AN24" i="23"/>
  <c r="AN25" i="23"/>
  <c r="AN26" i="23"/>
  <c r="AN27" i="23"/>
  <c r="AN28" i="23"/>
  <c r="AN29" i="23"/>
  <c r="AN30" i="23"/>
  <c r="AN31" i="23"/>
  <c r="AN32" i="23"/>
  <c r="AN33" i="23"/>
  <c r="AN34" i="23"/>
  <c r="AN35" i="23"/>
  <c r="AN36" i="23"/>
  <c r="AN37" i="23"/>
  <c r="AN38" i="23"/>
  <c r="AN39" i="23"/>
  <c r="AN40" i="23"/>
  <c r="AN41" i="23"/>
  <c r="AN42" i="23"/>
  <c r="AN43" i="23"/>
  <c r="AN44" i="23"/>
  <c r="AN45" i="23"/>
  <c r="AN46" i="23"/>
  <c r="AN47" i="23"/>
  <c r="AN48" i="23"/>
  <c r="AN49" i="23"/>
  <c r="AN50" i="23"/>
  <c r="AN51" i="23"/>
  <c r="AN52" i="23"/>
  <c r="AN53" i="23"/>
  <c r="AN54" i="23"/>
  <c r="AN55" i="23"/>
  <c r="AN56" i="23"/>
  <c r="AN57" i="23"/>
  <c r="AN58" i="23"/>
  <c r="AN59" i="23"/>
  <c r="AN60" i="23"/>
  <c r="AN61" i="23"/>
  <c r="AN62" i="23"/>
  <c r="AN63" i="23"/>
  <c r="AN64" i="23"/>
  <c r="AN65" i="23"/>
  <c r="AN66" i="23"/>
  <c r="AN67" i="23"/>
  <c r="AN68" i="23"/>
  <c r="AN69" i="23"/>
  <c r="AN70" i="23"/>
  <c r="AN71" i="23"/>
  <c r="AN72" i="23"/>
  <c r="AN73" i="23"/>
  <c r="AN74" i="23"/>
  <c r="AN75" i="23"/>
  <c r="AN76" i="23"/>
  <c r="AN77" i="23"/>
  <c r="AN78" i="23"/>
  <c r="AN79" i="23"/>
  <c r="AN80" i="23"/>
  <c r="AN81" i="23"/>
  <c r="AN82" i="23"/>
  <c r="AN83" i="23"/>
  <c r="AN84" i="23"/>
  <c r="AN85" i="23"/>
  <c r="AN86" i="23"/>
  <c r="AN87" i="23"/>
  <c r="AN88" i="23"/>
  <c r="AN89" i="23"/>
  <c r="AN90" i="23"/>
  <c r="AN91" i="23"/>
  <c r="AN92" i="23"/>
  <c r="AN93" i="23"/>
  <c r="AN94" i="23"/>
  <c r="AN95" i="23"/>
  <c r="AN96" i="23"/>
  <c r="AN97" i="23"/>
  <c r="AN98" i="23"/>
  <c r="AN99" i="23"/>
  <c r="AN100" i="23"/>
  <c r="AN101" i="23"/>
  <c r="AN6" i="23"/>
  <c r="V6" i="20"/>
  <c r="AK6" i="20"/>
  <c r="Y6" i="20"/>
  <c r="V271" i="20"/>
  <c r="AK271" i="20"/>
  <c r="V293" i="20"/>
  <c r="AK293" i="20"/>
  <c r="Y293" i="20"/>
  <c r="V292" i="20"/>
  <c r="AK292" i="20"/>
  <c r="Y292" i="20"/>
  <c r="V291" i="20"/>
  <c r="AK291" i="20"/>
  <c r="Y291" i="20"/>
  <c r="V290" i="20"/>
  <c r="AK290" i="20"/>
  <c r="Y290" i="20"/>
  <c r="V289" i="20"/>
  <c r="AK289" i="20"/>
  <c r="Y289" i="20"/>
  <c r="V288" i="20"/>
  <c r="AK288" i="20"/>
  <c r="Y288" i="20"/>
  <c r="V287" i="20"/>
  <c r="AK287" i="20"/>
  <c r="Y287" i="20"/>
  <c r="V286" i="20"/>
  <c r="AK286" i="20"/>
  <c r="Y286" i="20"/>
  <c r="V285" i="20"/>
  <c r="AK285" i="20"/>
  <c r="Y285" i="20"/>
  <c r="V284" i="20"/>
  <c r="AK284" i="20"/>
  <c r="Y284" i="20"/>
  <c r="V283" i="20"/>
  <c r="AK283" i="20"/>
  <c r="Y283" i="20"/>
  <c r="V282" i="20"/>
  <c r="AK282" i="20"/>
  <c r="Y282" i="20"/>
  <c r="V281" i="20"/>
  <c r="AK281" i="20"/>
  <c r="Y281" i="20"/>
  <c r="V280" i="20"/>
  <c r="AK280" i="20"/>
  <c r="Y280" i="20"/>
  <c r="V279" i="20"/>
  <c r="AK279" i="20"/>
  <c r="Y279" i="20"/>
  <c r="V278" i="20"/>
  <c r="AK278" i="20"/>
  <c r="Y278" i="20"/>
  <c r="V277" i="20"/>
  <c r="AK277" i="20"/>
  <c r="Y277" i="20"/>
  <c r="V276" i="20"/>
  <c r="AK276" i="20"/>
  <c r="Y276" i="20"/>
  <c r="V275" i="20"/>
  <c r="AK275" i="20"/>
  <c r="Y275" i="20"/>
  <c r="V274" i="20"/>
  <c r="AK274" i="20"/>
  <c r="Y274" i="20"/>
  <c r="V273" i="20"/>
  <c r="AK273" i="20"/>
  <c r="Y273" i="20"/>
  <c r="V272" i="20"/>
  <c r="AK272" i="20"/>
  <c r="Y272" i="20"/>
  <c r="Y271" i="20"/>
  <c r="V270" i="20"/>
  <c r="AK270" i="20"/>
  <c r="Y270" i="20"/>
  <c r="V269" i="20"/>
  <c r="AK269" i="20"/>
  <c r="Y269" i="20"/>
  <c r="V268" i="20"/>
  <c r="AK268" i="20"/>
  <c r="Y268" i="20"/>
  <c r="V267" i="20"/>
  <c r="AK267" i="20"/>
  <c r="Y267" i="20"/>
  <c r="V266" i="20"/>
  <c r="AK266" i="20"/>
  <c r="Y266" i="20"/>
  <c r="V265" i="20"/>
  <c r="AK265" i="20"/>
  <c r="Y265" i="20"/>
  <c r="V264" i="20"/>
  <c r="AK264" i="20"/>
  <c r="Y264" i="20"/>
  <c r="V263" i="20"/>
  <c r="AK263" i="20"/>
  <c r="Y263" i="20"/>
  <c r="V262" i="20"/>
  <c r="AK262" i="20"/>
  <c r="Y262" i="20"/>
  <c r="V261" i="20"/>
  <c r="AK261" i="20"/>
  <c r="Y261" i="20"/>
  <c r="V260" i="20"/>
  <c r="AK260" i="20"/>
  <c r="Y260" i="20"/>
  <c r="V259" i="20"/>
  <c r="AK259" i="20"/>
  <c r="Y259" i="20"/>
  <c r="V258" i="20"/>
  <c r="AK258" i="20"/>
  <c r="Y258" i="20"/>
  <c r="V257" i="20"/>
  <c r="AK257" i="20"/>
  <c r="Y257" i="20"/>
  <c r="V256" i="20"/>
  <c r="AK256" i="20"/>
  <c r="Y256" i="20"/>
  <c r="V255" i="20"/>
  <c r="AK255" i="20"/>
  <c r="Y255" i="20"/>
  <c r="V254" i="20"/>
  <c r="AK254" i="20"/>
  <c r="Y254" i="20"/>
  <c r="V253" i="20"/>
  <c r="AK253" i="20"/>
  <c r="Y253" i="20"/>
  <c r="V252" i="20"/>
  <c r="AK252" i="20"/>
  <c r="Y252" i="20"/>
  <c r="V251" i="20"/>
  <c r="AK251" i="20"/>
  <c r="Y251" i="20"/>
  <c r="V250" i="20"/>
  <c r="AK250" i="20"/>
  <c r="Y250" i="20"/>
  <c r="V249" i="20"/>
  <c r="AK249" i="20"/>
  <c r="Y249" i="20"/>
  <c r="V248" i="20"/>
  <c r="AK248" i="20"/>
  <c r="Y248" i="20"/>
  <c r="V247" i="20"/>
  <c r="AK247" i="20"/>
  <c r="Y247" i="20"/>
  <c r="V246" i="20"/>
  <c r="AK246" i="20"/>
  <c r="Y246" i="20"/>
  <c r="V245" i="20"/>
  <c r="AK245" i="20"/>
  <c r="Y245" i="20"/>
  <c r="V244" i="20"/>
  <c r="AK244" i="20"/>
  <c r="Y244" i="20"/>
  <c r="V243" i="20"/>
  <c r="AK243" i="20"/>
  <c r="Y243" i="20"/>
  <c r="V242" i="20"/>
  <c r="AK242" i="20"/>
  <c r="Y242" i="20"/>
  <c r="V241" i="20"/>
  <c r="AK241" i="20"/>
  <c r="Y241" i="20"/>
  <c r="V240" i="20"/>
  <c r="AK240" i="20"/>
  <c r="Y240" i="20"/>
  <c r="V239" i="20"/>
  <c r="AK239" i="20"/>
  <c r="Y239" i="20"/>
  <c r="V238" i="20"/>
  <c r="AK238" i="20"/>
  <c r="Y238" i="20"/>
  <c r="V237" i="20"/>
  <c r="AK237" i="20"/>
  <c r="Y237" i="20"/>
  <c r="V236" i="20"/>
  <c r="AK236" i="20"/>
  <c r="Y236" i="20"/>
  <c r="V235" i="20"/>
  <c r="AK235" i="20"/>
  <c r="Y235" i="20"/>
  <c r="V234" i="20"/>
  <c r="AK234" i="20"/>
  <c r="Y234" i="20"/>
  <c r="V233" i="20"/>
  <c r="AK233" i="20"/>
  <c r="Y233" i="20"/>
  <c r="V232" i="20"/>
  <c r="AK232" i="20"/>
  <c r="Y232" i="20"/>
  <c r="V231" i="20"/>
  <c r="AK231" i="20"/>
  <c r="Y231" i="20"/>
  <c r="V230" i="20"/>
  <c r="AK230" i="20"/>
  <c r="Y230" i="20"/>
  <c r="V229" i="20"/>
  <c r="AK229" i="20"/>
  <c r="Y229" i="20"/>
  <c r="V228" i="20"/>
  <c r="AK228" i="20"/>
  <c r="Y228" i="20"/>
  <c r="V227" i="20"/>
  <c r="AK227" i="20"/>
  <c r="Y227" i="20"/>
  <c r="V226" i="20"/>
  <c r="AK226" i="20"/>
  <c r="Y226" i="20"/>
  <c r="V225" i="20"/>
  <c r="AK225" i="20"/>
  <c r="Y225" i="20"/>
  <c r="V224" i="20"/>
  <c r="AK224" i="20"/>
  <c r="Y224" i="20"/>
  <c r="V223" i="20"/>
  <c r="AK223" i="20"/>
  <c r="Y223" i="20"/>
  <c r="V222" i="20"/>
  <c r="AK222" i="20"/>
  <c r="Y222" i="20"/>
  <c r="V221" i="20"/>
  <c r="AK221" i="20"/>
  <c r="Y221" i="20"/>
  <c r="V220" i="20"/>
  <c r="AK220" i="20"/>
  <c r="Y220" i="20"/>
  <c r="V219" i="20"/>
  <c r="AK219" i="20"/>
  <c r="Y219" i="20"/>
  <c r="V218" i="20"/>
  <c r="AK218" i="20"/>
  <c r="Y218" i="20"/>
  <c r="V217" i="20"/>
  <c r="AK217" i="20"/>
  <c r="Y217" i="20"/>
  <c r="V216" i="20"/>
  <c r="AK216" i="20"/>
  <c r="Y216" i="20"/>
  <c r="V215" i="20"/>
  <c r="AK215" i="20"/>
  <c r="Y215" i="20"/>
  <c r="V214" i="20"/>
  <c r="AK214" i="20"/>
  <c r="Y214" i="20"/>
  <c r="V213" i="20"/>
  <c r="AK213" i="20"/>
  <c r="Y213" i="20"/>
  <c r="V212" i="20"/>
  <c r="AK212" i="20"/>
  <c r="Y212" i="20"/>
  <c r="V211" i="20"/>
  <c r="AK211" i="20"/>
  <c r="Y211" i="20"/>
  <c r="V210" i="20"/>
  <c r="AK210" i="20"/>
  <c r="Y210" i="20"/>
  <c r="V209" i="20"/>
  <c r="AK209" i="20"/>
  <c r="Y209" i="20"/>
  <c r="V208" i="20"/>
  <c r="AK208" i="20"/>
  <c r="Y208" i="20"/>
  <c r="V207" i="20"/>
  <c r="AK207" i="20"/>
  <c r="Y207" i="20"/>
  <c r="V206" i="20"/>
  <c r="AK206" i="20"/>
  <c r="Y206" i="20"/>
  <c r="V205" i="20"/>
  <c r="AK205" i="20"/>
  <c r="Y205" i="20"/>
  <c r="V204" i="20"/>
  <c r="AK204" i="20"/>
  <c r="Y204" i="20"/>
  <c r="V203" i="20"/>
  <c r="AK203" i="20"/>
  <c r="Y203" i="20"/>
  <c r="V202" i="20"/>
  <c r="AK202" i="20"/>
  <c r="Y202" i="20"/>
  <c r="V201" i="20"/>
  <c r="AK201" i="20"/>
  <c r="Y201" i="20"/>
  <c r="V200" i="20"/>
  <c r="AK200" i="20"/>
  <c r="Y200" i="20"/>
  <c r="V199" i="20"/>
  <c r="AK199" i="20"/>
  <c r="Y199" i="20"/>
  <c r="V198" i="20"/>
  <c r="AK198" i="20"/>
  <c r="Y198" i="20"/>
  <c r="V197" i="20"/>
  <c r="AK197" i="20"/>
  <c r="Y197" i="20"/>
  <c r="V196" i="20"/>
  <c r="AK196" i="20"/>
  <c r="Y196" i="20"/>
  <c r="V195" i="20"/>
  <c r="AK195" i="20"/>
  <c r="Y195" i="20"/>
  <c r="V194" i="20"/>
  <c r="AK194" i="20"/>
  <c r="Y194" i="20"/>
  <c r="V193" i="20"/>
  <c r="AK193" i="20"/>
  <c r="Y193" i="20"/>
  <c r="V192" i="20"/>
  <c r="AK192" i="20"/>
  <c r="Y192" i="20"/>
  <c r="V191" i="20"/>
  <c r="AK191" i="20"/>
  <c r="Y191" i="20"/>
  <c r="V190" i="20"/>
  <c r="AK190" i="20"/>
  <c r="Y190" i="20"/>
  <c r="V189" i="20"/>
  <c r="AK189" i="20"/>
  <c r="Y189" i="20"/>
  <c r="V188" i="20"/>
  <c r="AK188" i="20"/>
  <c r="Y188" i="20"/>
  <c r="V187" i="20"/>
  <c r="AK187" i="20"/>
  <c r="Y187" i="20"/>
  <c r="V186" i="20"/>
  <c r="AK186" i="20"/>
  <c r="Y186" i="20"/>
  <c r="V185" i="20"/>
  <c r="AK185" i="20"/>
  <c r="Y185" i="20"/>
  <c r="V184" i="20"/>
  <c r="AK184" i="20"/>
  <c r="Y184" i="20"/>
  <c r="V183" i="20"/>
  <c r="AK183" i="20"/>
  <c r="Y183" i="20"/>
  <c r="V182" i="20"/>
  <c r="AK182" i="20"/>
  <c r="Y182" i="20"/>
  <c r="V181" i="20"/>
  <c r="AK181" i="20"/>
  <c r="Y181" i="20"/>
  <c r="V180" i="20"/>
  <c r="AK180" i="20"/>
  <c r="Y180" i="20"/>
  <c r="V179" i="20"/>
  <c r="AK179" i="20"/>
  <c r="Y179" i="20"/>
  <c r="V178" i="20"/>
  <c r="AK178" i="20"/>
  <c r="Y178" i="20"/>
  <c r="V177" i="20"/>
  <c r="AK177" i="20"/>
  <c r="Y177" i="20"/>
  <c r="V176" i="20"/>
  <c r="AK176" i="20"/>
  <c r="Y176" i="20"/>
  <c r="V175" i="20"/>
  <c r="AK175" i="20"/>
  <c r="Y175" i="20"/>
  <c r="V174" i="20"/>
  <c r="AK174" i="20"/>
  <c r="Y174" i="20"/>
  <c r="V173" i="20"/>
  <c r="AK173" i="20"/>
  <c r="Y173" i="20"/>
  <c r="V172" i="20"/>
  <c r="AK172" i="20"/>
  <c r="Y172" i="20"/>
  <c r="V171" i="20"/>
  <c r="AK171" i="20"/>
  <c r="Y171" i="20"/>
  <c r="V170" i="20"/>
  <c r="AK170" i="20"/>
  <c r="Y170" i="20"/>
  <c r="V169" i="20"/>
  <c r="AK169" i="20"/>
  <c r="Y169" i="20"/>
  <c r="V168" i="20"/>
  <c r="AK168" i="20"/>
  <c r="Y168" i="20"/>
  <c r="V167" i="20"/>
  <c r="AK167" i="20"/>
  <c r="Y167" i="20"/>
  <c r="V166" i="20"/>
  <c r="AK166" i="20"/>
  <c r="Y166" i="20"/>
  <c r="V165" i="20"/>
  <c r="AK165" i="20"/>
  <c r="Y165" i="20"/>
  <c r="V164" i="20"/>
  <c r="AK164" i="20"/>
  <c r="Y164" i="20"/>
  <c r="V163" i="20"/>
  <c r="AK163" i="20"/>
  <c r="Y163" i="20"/>
  <c r="V162" i="20"/>
  <c r="AK162" i="20"/>
  <c r="Y162" i="20"/>
  <c r="V161" i="20"/>
  <c r="AK161" i="20"/>
  <c r="Y161" i="20"/>
  <c r="V160" i="20"/>
  <c r="AK160" i="20"/>
  <c r="Y160" i="20"/>
  <c r="V159" i="20"/>
  <c r="AK159" i="20"/>
  <c r="Y159" i="20"/>
  <c r="V158" i="20"/>
  <c r="AK158" i="20"/>
  <c r="Y158" i="20"/>
  <c r="V157" i="20"/>
  <c r="AK157" i="20"/>
  <c r="Y157" i="20"/>
  <c r="V156" i="20"/>
  <c r="AK156" i="20"/>
  <c r="Y156" i="20"/>
  <c r="V155" i="20"/>
  <c r="AK155" i="20"/>
  <c r="Y155" i="20"/>
  <c r="V154" i="20"/>
  <c r="AK154" i="20"/>
  <c r="Y154" i="20"/>
  <c r="V153" i="20"/>
  <c r="AK153" i="20"/>
  <c r="Y153" i="20"/>
  <c r="V152" i="20"/>
  <c r="AK152" i="20"/>
  <c r="Y152" i="20"/>
  <c r="V151" i="20"/>
  <c r="AK151" i="20"/>
  <c r="Y151" i="20"/>
  <c r="V150" i="20"/>
  <c r="AK150" i="20"/>
  <c r="Y150" i="20"/>
  <c r="V149" i="20"/>
  <c r="AK149" i="20"/>
  <c r="Y149" i="20"/>
  <c r="V148" i="20"/>
  <c r="AK148" i="20"/>
  <c r="Y148" i="20"/>
  <c r="V147" i="20"/>
  <c r="AK147" i="20"/>
  <c r="Y147" i="20"/>
  <c r="V146" i="20"/>
  <c r="AK146" i="20"/>
  <c r="Y146" i="20"/>
  <c r="V145" i="20"/>
  <c r="AK145" i="20"/>
  <c r="Y145" i="20"/>
  <c r="V144" i="20"/>
  <c r="AK144" i="20"/>
  <c r="Y144" i="20"/>
  <c r="V143" i="20"/>
  <c r="AK143" i="20"/>
  <c r="Y143" i="20"/>
  <c r="V142" i="20"/>
  <c r="AK142" i="20"/>
  <c r="Y142" i="20"/>
  <c r="V141" i="20"/>
  <c r="AK141" i="20"/>
  <c r="Y141" i="20"/>
  <c r="V140" i="20"/>
  <c r="AK140" i="20"/>
  <c r="Y140" i="20"/>
  <c r="V139" i="20"/>
  <c r="AK139" i="20"/>
  <c r="Y139" i="20"/>
  <c r="V138" i="20"/>
  <c r="AK138" i="20"/>
  <c r="Y138" i="20"/>
  <c r="V137" i="20"/>
  <c r="AK137" i="20"/>
  <c r="Y137" i="20"/>
  <c r="V136" i="20"/>
  <c r="AK136" i="20"/>
  <c r="Y136" i="20"/>
  <c r="V135" i="20"/>
  <c r="AK135" i="20"/>
  <c r="Y135" i="20"/>
  <c r="V134" i="20"/>
  <c r="AK134" i="20"/>
  <c r="Y134" i="20"/>
  <c r="V133" i="20"/>
  <c r="AK133" i="20"/>
  <c r="Y133" i="20"/>
  <c r="V132" i="20"/>
  <c r="AK132" i="20"/>
  <c r="Y132" i="20"/>
  <c r="V131" i="20"/>
  <c r="AK131" i="20"/>
  <c r="Y131" i="20"/>
  <c r="V130" i="20"/>
  <c r="AK130" i="20"/>
  <c r="Y130" i="20"/>
  <c r="V129" i="20"/>
  <c r="AK129" i="20"/>
  <c r="Y129" i="20"/>
  <c r="V128" i="20"/>
  <c r="AK128" i="20"/>
  <c r="Y128" i="20"/>
  <c r="V127" i="20"/>
  <c r="AK127" i="20"/>
  <c r="Y127" i="20"/>
  <c r="V126" i="20"/>
  <c r="AK126" i="20"/>
  <c r="Y126" i="20"/>
  <c r="V125" i="20"/>
  <c r="AK125" i="20"/>
  <c r="Y125" i="20"/>
  <c r="V124" i="20"/>
  <c r="AK124" i="20"/>
  <c r="Y124" i="20"/>
  <c r="V123" i="20"/>
  <c r="AK123" i="20"/>
  <c r="Y123" i="20"/>
  <c r="V122" i="20"/>
  <c r="AK122" i="20"/>
  <c r="Y122" i="20"/>
  <c r="V121" i="20"/>
  <c r="AK121" i="20"/>
  <c r="Y121" i="20"/>
  <c r="V120" i="20"/>
  <c r="AK120" i="20"/>
  <c r="Y120" i="20"/>
  <c r="V119" i="20"/>
  <c r="AK119" i="20"/>
  <c r="Y119" i="20"/>
  <c r="V118" i="20"/>
  <c r="AK118" i="20"/>
  <c r="Y118" i="20"/>
  <c r="V117" i="20"/>
  <c r="AK117" i="20"/>
  <c r="Y117" i="20"/>
  <c r="V116" i="20"/>
  <c r="AK116" i="20"/>
  <c r="Y116" i="20"/>
  <c r="V115" i="20"/>
  <c r="AK115" i="20"/>
  <c r="Y115" i="20"/>
  <c r="V114" i="20"/>
  <c r="AK114" i="20"/>
  <c r="Y114" i="20"/>
  <c r="V113" i="20"/>
  <c r="AK113" i="20"/>
  <c r="Y113" i="20"/>
  <c r="V112" i="20"/>
  <c r="AK112" i="20"/>
  <c r="Y112" i="20"/>
  <c r="V111" i="20"/>
  <c r="AK111" i="20"/>
  <c r="Y111" i="20"/>
  <c r="V110" i="20"/>
  <c r="AK110" i="20"/>
  <c r="Y110" i="20"/>
  <c r="V109" i="20"/>
  <c r="AK109" i="20"/>
  <c r="Y109" i="20"/>
  <c r="V108" i="20"/>
  <c r="AK108" i="20"/>
  <c r="Y108" i="20"/>
  <c r="V107" i="20"/>
  <c r="AK107" i="20"/>
  <c r="Y107" i="20"/>
  <c r="V106" i="20"/>
  <c r="AK106" i="20"/>
  <c r="Y106" i="20"/>
  <c r="V105" i="20"/>
  <c r="AK105" i="20"/>
  <c r="Y105" i="20"/>
  <c r="V104" i="20"/>
  <c r="AK104" i="20"/>
  <c r="Y104" i="20"/>
  <c r="V103" i="20"/>
  <c r="AK103" i="20"/>
  <c r="Y103" i="20"/>
  <c r="V102" i="20"/>
  <c r="AK102" i="20"/>
  <c r="Y102" i="20"/>
  <c r="V101" i="20"/>
  <c r="AK101" i="20"/>
  <c r="Y101" i="20"/>
  <c r="V100" i="20"/>
  <c r="AK100" i="20"/>
  <c r="Y100" i="20"/>
  <c r="V99" i="20"/>
  <c r="AK99" i="20"/>
  <c r="Y99" i="20"/>
  <c r="V98" i="20"/>
  <c r="AK98" i="20"/>
  <c r="Y98" i="20"/>
  <c r="V97" i="20"/>
  <c r="AK97" i="20"/>
  <c r="Y97" i="20"/>
  <c r="V96" i="20"/>
  <c r="AK96" i="20"/>
  <c r="Y96" i="20"/>
  <c r="V95" i="20"/>
  <c r="AK95" i="20"/>
  <c r="Y95" i="20"/>
  <c r="V94" i="20"/>
  <c r="AK94" i="20"/>
  <c r="Y94" i="20"/>
  <c r="V93" i="20"/>
  <c r="AK93" i="20"/>
  <c r="Y93" i="20"/>
  <c r="V92" i="20"/>
  <c r="AK92" i="20"/>
  <c r="Y92" i="20"/>
  <c r="V91" i="20"/>
  <c r="AK91" i="20"/>
  <c r="Y91" i="20"/>
  <c r="V90" i="20"/>
  <c r="AK90" i="20"/>
  <c r="Y90" i="20"/>
  <c r="V89" i="20"/>
  <c r="AK89" i="20"/>
  <c r="Y89" i="20"/>
  <c r="V88" i="20"/>
  <c r="AK88" i="20"/>
  <c r="Y88" i="20"/>
  <c r="V87" i="20"/>
  <c r="AK87" i="20"/>
  <c r="Y87" i="20"/>
  <c r="V86" i="20"/>
  <c r="AK86" i="20"/>
  <c r="Y86" i="20"/>
  <c r="V85" i="20"/>
  <c r="AK85" i="20"/>
  <c r="Y85" i="20"/>
  <c r="V84" i="20"/>
  <c r="AK84" i="20"/>
  <c r="Y84" i="20"/>
  <c r="V83" i="20"/>
  <c r="AK83" i="20"/>
  <c r="Y83" i="20"/>
  <c r="V82" i="20"/>
  <c r="AK82" i="20"/>
  <c r="Y82" i="20"/>
  <c r="V81" i="20"/>
  <c r="AK81" i="20"/>
  <c r="Y81" i="20"/>
  <c r="V80" i="20"/>
  <c r="AK80" i="20"/>
  <c r="Y80" i="20"/>
  <c r="V79" i="20"/>
  <c r="AK79" i="20"/>
  <c r="Y79" i="20"/>
  <c r="V78" i="20"/>
  <c r="AK78" i="20"/>
  <c r="Y78" i="20"/>
  <c r="V77" i="20"/>
  <c r="AK77" i="20"/>
  <c r="Y77" i="20"/>
  <c r="V76" i="20"/>
  <c r="AK76" i="20"/>
  <c r="Y76" i="20"/>
  <c r="V75" i="20"/>
  <c r="AK75" i="20"/>
  <c r="Y75" i="20"/>
  <c r="V74" i="20"/>
  <c r="AK74" i="20"/>
  <c r="Y74" i="20"/>
  <c r="V73" i="20"/>
  <c r="AK73" i="20"/>
  <c r="Y73" i="20"/>
  <c r="V72" i="20"/>
  <c r="AK72" i="20"/>
  <c r="Y72" i="20"/>
  <c r="V71" i="20"/>
  <c r="AK71" i="20"/>
  <c r="Y71" i="20"/>
  <c r="V70" i="20"/>
  <c r="AK70" i="20"/>
  <c r="Y70" i="20"/>
  <c r="V69" i="20"/>
  <c r="AK69" i="20"/>
  <c r="Y69" i="20"/>
  <c r="V68" i="20"/>
  <c r="AK68" i="20"/>
  <c r="Y68" i="20"/>
  <c r="V67" i="20"/>
  <c r="AK67" i="20"/>
  <c r="Y67" i="20"/>
  <c r="V66" i="20"/>
  <c r="AK66" i="20"/>
  <c r="Y66" i="20"/>
  <c r="V65" i="20"/>
  <c r="AK65" i="20"/>
  <c r="Y65" i="20"/>
  <c r="V64" i="20"/>
  <c r="AK64" i="20"/>
  <c r="Y64" i="20"/>
  <c r="V63" i="20"/>
  <c r="AK63" i="20"/>
  <c r="Y63" i="20"/>
  <c r="V62" i="20"/>
  <c r="AK62" i="20"/>
  <c r="Y62" i="20"/>
  <c r="V61" i="20"/>
  <c r="AK61" i="20"/>
  <c r="Y61" i="20"/>
  <c r="V60" i="20"/>
  <c r="AK60" i="20"/>
  <c r="Y60" i="20"/>
  <c r="V59" i="20"/>
  <c r="AK59" i="20"/>
  <c r="Y59" i="20"/>
  <c r="V58" i="20"/>
  <c r="AK58" i="20"/>
  <c r="Y58" i="20"/>
  <c r="V57" i="20"/>
  <c r="AK57" i="20"/>
  <c r="Y57" i="20"/>
  <c r="V56" i="20"/>
  <c r="AK56" i="20"/>
  <c r="Y56" i="20"/>
  <c r="V55" i="20"/>
  <c r="AK55" i="20"/>
  <c r="Y55" i="20"/>
  <c r="V54" i="20"/>
  <c r="AK54" i="20"/>
  <c r="Y54" i="20"/>
  <c r="V53" i="20"/>
  <c r="AK53" i="20"/>
  <c r="Y53" i="20"/>
  <c r="V52" i="20"/>
  <c r="AK52" i="20"/>
  <c r="Y52" i="20"/>
  <c r="V51" i="20"/>
  <c r="AK51" i="20"/>
  <c r="Y51" i="20"/>
  <c r="V50" i="20"/>
  <c r="AK50" i="20"/>
  <c r="Y50" i="20"/>
  <c r="V49" i="20"/>
  <c r="AK49" i="20"/>
  <c r="Y49" i="20"/>
  <c r="V48" i="20"/>
  <c r="AK48" i="20"/>
  <c r="Y48" i="20"/>
  <c r="V47" i="20"/>
  <c r="AK47" i="20"/>
  <c r="Y47" i="20"/>
  <c r="V46" i="20"/>
  <c r="AK46" i="20"/>
  <c r="Y46" i="20"/>
  <c r="V45" i="20"/>
  <c r="AK45" i="20"/>
  <c r="Y45" i="20"/>
  <c r="V44" i="20"/>
  <c r="AK44" i="20"/>
  <c r="Y44" i="20"/>
  <c r="V43" i="20"/>
  <c r="AK43" i="20"/>
  <c r="Y43" i="20"/>
  <c r="V42" i="20"/>
  <c r="AK42" i="20"/>
  <c r="Y42" i="20"/>
  <c r="V41" i="20"/>
  <c r="AK41" i="20"/>
  <c r="Y41" i="20"/>
  <c r="V40" i="20"/>
  <c r="AK40" i="20"/>
  <c r="Y40" i="20"/>
  <c r="V39" i="20"/>
  <c r="AK39" i="20"/>
  <c r="Y39" i="20"/>
  <c r="V38" i="20"/>
  <c r="AK38" i="20"/>
  <c r="Y38" i="20"/>
  <c r="V37" i="20"/>
  <c r="AK37" i="20"/>
  <c r="Y37" i="20"/>
  <c r="V36" i="20"/>
  <c r="AK36" i="20"/>
  <c r="Y36" i="20"/>
  <c r="V35" i="20"/>
  <c r="AK35" i="20"/>
  <c r="Y35" i="20"/>
  <c r="V34" i="20"/>
  <c r="AK34" i="20"/>
  <c r="Y34" i="20"/>
  <c r="V33" i="20"/>
  <c r="AK33" i="20"/>
  <c r="Y33" i="20"/>
  <c r="V32" i="20"/>
  <c r="AK32" i="20"/>
  <c r="Y32" i="20"/>
  <c r="V31" i="20"/>
  <c r="AK31" i="20"/>
  <c r="Y31" i="20"/>
  <c r="V30" i="20"/>
  <c r="AK30" i="20"/>
  <c r="Y30" i="20"/>
  <c r="V29" i="20"/>
  <c r="AK29" i="20"/>
  <c r="Y29" i="20"/>
  <c r="V28" i="20"/>
  <c r="AK28" i="20"/>
  <c r="Y28" i="20"/>
  <c r="V27" i="20"/>
  <c r="AK27" i="20"/>
  <c r="Y27" i="20"/>
  <c r="V26" i="20"/>
  <c r="AK26" i="20"/>
  <c r="Y26" i="20"/>
  <c r="V25" i="20"/>
  <c r="AK25" i="20"/>
  <c r="Y25" i="20"/>
  <c r="V24" i="20"/>
  <c r="AK24" i="20"/>
  <c r="Y24" i="20"/>
  <c r="V23" i="20"/>
  <c r="AK23" i="20"/>
  <c r="Y23" i="20"/>
  <c r="V22" i="20"/>
  <c r="AK22" i="20"/>
  <c r="Y22" i="20"/>
  <c r="V21" i="20"/>
  <c r="AK21" i="20"/>
  <c r="Y21" i="20"/>
  <c r="V20" i="20"/>
  <c r="AK20" i="20"/>
  <c r="Y20" i="20"/>
  <c r="V19" i="20"/>
  <c r="AK19" i="20"/>
  <c r="Y19" i="20"/>
  <c r="V18" i="20"/>
  <c r="AK18" i="20"/>
  <c r="Y18" i="20"/>
  <c r="V17" i="20"/>
  <c r="AK17" i="20"/>
  <c r="Y17" i="20"/>
  <c r="V16" i="20"/>
  <c r="AK16" i="20"/>
  <c r="Y16" i="20"/>
  <c r="V15" i="20"/>
  <c r="AK15" i="20"/>
  <c r="Y15" i="20"/>
  <c r="V14" i="20"/>
  <c r="AK14" i="20"/>
  <c r="Y14" i="20"/>
  <c r="V13" i="20"/>
  <c r="AK13" i="20"/>
  <c r="Y13" i="20"/>
  <c r="V12" i="20"/>
  <c r="AK12" i="20"/>
  <c r="Y12" i="20"/>
  <c r="V11" i="20"/>
  <c r="AK11" i="20"/>
  <c r="Y11" i="20"/>
  <c r="V10" i="20"/>
  <c r="AK10" i="20"/>
  <c r="Y10" i="20"/>
  <c r="V9" i="20"/>
  <c r="AK9" i="20"/>
  <c r="Y9" i="20"/>
  <c r="V8" i="20"/>
  <c r="AK8" i="20"/>
  <c r="Y8" i="20"/>
  <c r="V7" i="20"/>
  <c r="AK7" i="20"/>
  <c r="Y7" i="20"/>
  <c r="V293" i="23"/>
  <c r="AK293" i="23"/>
  <c r="AJ293" i="23"/>
  <c r="AG293" i="23"/>
  <c r="V292" i="23"/>
  <c r="AK292" i="23"/>
  <c r="AJ292" i="23"/>
  <c r="AG292" i="23"/>
  <c r="V291" i="23"/>
  <c r="AK291" i="23"/>
  <c r="AJ291" i="23"/>
  <c r="AG291" i="23"/>
  <c r="V290" i="23"/>
  <c r="AK290" i="23"/>
  <c r="AJ290" i="23"/>
  <c r="AG290" i="23"/>
  <c r="V289" i="23"/>
  <c r="AK289" i="23"/>
  <c r="AJ289" i="23"/>
  <c r="AG289" i="23"/>
  <c r="V288" i="23"/>
  <c r="AK288" i="23"/>
  <c r="AJ288" i="23"/>
  <c r="AG288" i="23"/>
  <c r="V287" i="23"/>
  <c r="AK287" i="23"/>
  <c r="AJ287" i="23"/>
  <c r="AG287" i="23"/>
  <c r="V286" i="23"/>
  <c r="AK286" i="23"/>
  <c r="AJ286" i="23"/>
  <c r="AG286" i="23"/>
  <c r="V285" i="23"/>
  <c r="AK285" i="23"/>
  <c r="AJ285" i="23"/>
  <c r="AG285" i="23"/>
  <c r="V284" i="23"/>
  <c r="AK284" i="23"/>
  <c r="AJ284" i="23"/>
  <c r="AG284" i="23"/>
  <c r="V283" i="23"/>
  <c r="AK283" i="23"/>
  <c r="AJ283" i="23"/>
  <c r="AG283" i="23"/>
  <c r="V282" i="23"/>
  <c r="AK282" i="23"/>
  <c r="AJ282" i="23"/>
  <c r="AG282" i="23"/>
  <c r="V281" i="23"/>
  <c r="AK281" i="23"/>
  <c r="AJ281" i="23"/>
  <c r="AG281" i="23"/>
  <c r="V280" i="23"/>
  <c r="AK280" i="23"/>
  <c r="AJ280" i="23"/>
  <c r="AG280" i="23"/>
  <c r="V279" i="23"/>
  <c r="AK279" i="23"/>
  <c r="AJ279" i="23"/>
  <c r="AG279" i="23"/>
  <c r="V278" i="23"/>
  <c r="AK278" i="23"/>
  <c r="AJ278" i="23"/>
  <c r="AG278" i="23"/>
  <c r="V277" i="23"/>
  <c r="AK277" i="23"/>
  <c r="AJ277" i="23"/>
  <c r="AG277" i="23"/>
  <c r="V276" i="23"/>
  <c r="AK276" i="23"/>
  <c r="AJ276" i="23"/>
  <c r="AG276" i="23"/>
  <c r="V275" i="23"/>
  <c r="AK275" i="23"/>
  <c r="AJ275" i="23"/>
  <c r="AG275" i="23"/>
  <c r="V274" i="23"/>
  <c r="AK274" i="23"/>
  <c r="AJ274" i="23"/>
  <c r="AG274" i="23"/>
  <c r="V273" i="23"/>
  <c r="AK273" i="23"/>
  <c r="AJ273" i="23"/>
  <c r="AG273" i="23"/>
  <c r="V272" i="23"/>
  <c r="AK272" i="23"/>
  <c r="AJ272" i="23"/>
  <c r="AG272" i="23"/>
  <c r="V271" i="23"/>
  <c r="AK271" i="23"/>
  <c r="AJ271" i="23"/>
  <c r="AG271" i="23"/>
  <c r="V270" i="23"/>
  <c r="AK270" i="23"/>
  <c r="AJ270" i="23"/>
  <c r="AG270" i="23"/>
  <c r="V269" i="23"/>
  <c r="AK269" i="23"/>
  <c r="AJ269" i="23"/>
  <c r="AG269" i="23"/>
  <c r="V268" i="23"/>
  <c r="AK268" i="23"/>
  <c r="AJ268" i="23"/>
  <c r="AG268" i="23"/>
  <c r="V267" i="23"/>
  <c r="AK267" i="23"/>
  <c r="AJ267" i="23"/>
  <c r="AG267" i="23"/>
  <c r="V266" i="23"/>
  <c r="AK266" i="23"/>
  <c r="AJ266" i="23"/>
  <c r="AG266" i="23"/>
  <c r="V265" i="23"/>
  <c r="AK265" i="23"/>
  <c r="AJ265" i="23"/>
  <c r="AG265" i="23"/>
  <c r="V264" i="23"/>
  <c r="AK264" i="23"/>
  <c r="AJ264" i="23"/>
  <c r="AG264" i="23"/>
  <c r="V263" i="23"/>
  <c r="AK263" i="23"/>
  <c r="AJ263" i="23"/>
  <c r="AG263" i="23"/>
  <c r="V262" i="23"/>
  <c r="AK262" i="23"/>
  <c r="AJ262" i="23"/>
  <c r="AG262" i="23"/>
  <c r="V261" i="23"/>
  <c r="AK261" i="23"/>
  <c r="AJ261" i="23"/>
  <c r="AG261" i="23"/>
  <c r="V260" i="23"/>
  <c r="AK260" i="23"/>
  <c r="AJ260" i="23"/>
  <c r="AG260" i="23"/>
  <c r="V259" i="23"/>
  <c r="AK259" i="23"/>
  <c r="AJ259" i="23"/>
  <c r="AG259" i="23"/>
  <c r="V258" i="23"/>
  <c r="AK258" i="23"/>
  <c r="AJ258" i="23"/>
  <c r="AG258" i="23"/>
  <c r="V257" i="23"/>
  <c r="AK257" i="23"/>
  <c r="AJ257" i="23"/>
  <c r="AG257" i="23"/>
  <c r="V256" i="23"/>
  <c r="AK256" i="23"/>
  <c r="AJ256" i="23"/>
  <c r="AG256" i="23"/>
  <c r="V255" i="23"/>
  <c r="AK255" i="23"/>
  <c r="AJ255" i="23"/>
  <c r="AG255" i="23"/>
  <c r="V254" i="23"/>
  <c r="AK254" i="23"/>
  <c r="AJ254" i="23"/>
  <c r="AG254" i="23"/>
  <c r="V253" i="23"/>
  <c r="AK253" i="23"/>
  <c r="AJ253" i="23"/>
  <c r="AG253" i="23"/>
  <c r="V252" i="23"/>
  <c r="AK252" i="23"/>
  <c r="AJ252" i="23"/>
  <c r="AG252" i="23"/>
  <c r="V251" i="23"/>
  <c r="AK251" i="23"/>
  <c r="AJ251" i="23"/>
  <c r="AG251" i="23"/>
  <c r="V250" i="23"/>
  <c r="AK250" i="23"/>
  <c r="AJ250" i="23"/>
  <c r="AG250" i="23"/>
  <c r="V249" i="23"/>
  <c r="AK249" i="23"/>
  <c r="AJ249" i="23"/>
  <c r="AG249" i="23"/>
  <c r="V248" i="23"/>
  <c r="AK248" i="23"/>
  <c r="AJ248" i="23"/>
  <c r="AG248" i="23"/>
  <c r="V247" i="23"/>
  <c r="AK247" i="23"/>
  <c r="AJ247" i="23"/>
  <c r="AG247" i="23"/>
  <c r="V246" i="23"/>
  <c r="AK246" i="23"/>
  <c r="AJ246" i="23"/>
  <c r="AG246" i="23"/>
  <c r="V245" i="23"/>
  <c r="AK245" i="23"/>
  <c r="AJ245" i="23"/>
  <c r="AG245" i="23"/>
  <c r="V244" i="23"/>
  <c r="AK244" i="23"/>
  <c r="AJ244" i="23"/>
  <c r="AG244" i="23"/>
  <c r="V243" i="23"/>
  <c r="AK243" i="23"/>
  <c r="AJ243" i="23"/>
  <c r="AG243" i="23"/>
  <c r="V242" i="23"/>
  <c r="AK242" i="23"/>
  <c r="AJ242" i="23"/>
  <c r="AG242" i="23"/>
  <c r="V241" i="23"/>
  <c r="AK241" i="23"/>
  <c r="AJ241" i="23"/>
  <c r="AG241" i="23"/>
  <c r="V240" i="23"/>
  <c r="AK240" i="23"/>
  <c r="AJ240" i="23"/>
  <c r="AG240" i="23"/>
  <c r="V239" i="23"/>
  <c r="AK239" i="23"/>
  <c r="AJ239" i="23"/>
  <c r="AG239" i="23"/>
  <c r="V238" i="23"/>
  <c r="AK238" i="23"/>
  <c r="AJ238" i="23"/>
  <c r="AG238" i="23"/>
  <c r="V237" i="23"/>
  <c r="AK237" i="23"/>
  <c r="AJ237" i="23"/>
  <c r="AG237" i="23"/>
  <c r="V236" i="23"/>
  <c r="AK236" i="23"/>
  <c r="AJ236" i="23"/>
  <c r="AG236" i="23"/>
  <c r="V235" i="23"/>
  <c r="AK235" i="23"/>
  <c r="AJ235" i="23"/>
  <c r="AG235" i="23"/>
  <c r="V234" i="23"/>
  <c r="AK234" i="23"/>
  <c r="AJ234" i="23"/>
  <c r="AG234" i="23"/>
  <c r="V233" i="23"/>
  <c r="AK233" i="23"/>
  <c r="AJ233" i="23"/>
  <c r="AG233" i="23"/>
  <c r="V232" i="23"/>
  <c r="AK232" i="23"/>
  <c r="AJ232" i="23"/>
  <c r="AG232" i="23"/>
  <c r="V231" i="23"/>
  <c r="AK231" i="23"/>
  <c r="AJ231" i="23"/>
  <c r="AG231" i="23"/>
  <c r="V230" i="23"/>
  <c r="AK230" i="23"/>
  <c r="AJ230" i="23"/>
  <c r="AG230" i="23"/>
  <c r="V229" i="23"/>
  <c r="AK229" i="23"/>
  <c r="AJ229" i="23"/>
  <c r="AG229" i="23"/>
  <c r="V228" i="23"/>
  <c r="AK228" i="23"/>
  <c r="AJ228" i="23"/>
  <c r="AG228" i="23"/>
  <c r="V227" i="23"/>
  <c r="AK227" i="23"/>
  <c r="AJ227" i="23"/>
  <c r="AG227" i="23"/>
  <c r="V226" i="23"/>
  <c r="AK226" i="23"/>
  <c r="AJ226" i="23"/>
  <c r="AG226" i="23"/>
  <c r="V225" i="23"/>
  <c r="AK225" i="23"/>
  <c r="AJ225" i="23"/>
  <c r="AG225" i="23"/>
  <c r="V224" i="23"/>
  <c r="AK224" i="23"/>
  <c r="AJ224" i="23"/>
  <c r="AG224" i="23"/>
  <c r="V223" i="23"/>
  <c r="AK223" i="23"/>
  <c r="AJ223" i="23"/>
  <c r="AG223" i="23"/>
  <c r="V222" i="23"/>
  <c r="AK222" i="23"/>
  <c r="AJ222" i="23"/>
  <c r="AG222" i="23"/>
  <c r="V221" i="23"/>
  <c r="AK221" i="23"/>
  <c r="AJ221" i="23"/>
  <c r="AG221" i="23"/>
  <c r="V220" i="23"/>
  <c r="AK220" i="23"/>
  <c r="AJ220" i="23"/>
  <c r="AG220" i="23"/>
  <c r="V219" i="23"/>
  <c r="AK219" i="23"/>
  <c r="AJ219" i="23"/>
  <c r="AG219" i="23"/>
  <c r="V218" i="23"/>
  <c r="AK218" i="23"/>
  <c r="AJ218" i="23"/>
  <c r="AG218" i="23"/>
  <c r="V217" i="23"/>
  <c r="AK217" i="23"/>
  <c r="AJ217" i="23"/>
  <c r="AG217" i="23"/>
  <c r="V216" i="23"/>
  <c r="AK216" i="23"/>
  <c r="AJ216" i="23"/>
  <c r="AG216" i="23"/>
  <c r="V215" i="23"/>
  <c r="AK215" i="23"/>
  <c r="AJ215" i="23"/>
  <c r="AG215" i="23"/>
  <c r="V214" i="23"/>
  <c r="AK214" i="23"/>
  <c r="AJ214" i="23"/>
  <c r="AG214" i="23"/>
  <c r="V213" i="23"/>
  <c r="AK213" i="23"/>
  <c r="AJ213" i="23"/>
  <c r="AG213" i="23"/>
  <c r="V212" i="23"/>
  <c r="AK212" i="23"/>
  <c r="AJ212" i="23"/>
  <c r="AG212" i="23"/>
  <c r="V211" i="23"/>
  <c r="AK211" i="23"/>
  <c r="AJ211" i="23"/>
  <c r="AG211" i="23"/>
  <c r="V210" i="23"/>
  <c r="AK210" i="23"/>
  <c r="AJ210" i="23"/>
  <c r="AG210" i="23"/>
  <c r="V209" i="23"/>
  <c r="AK209" i="23"/>
  <c r="AJ209" i="23"/>
  <c r="AG209" i="23"/>
  <c r="V208" i="23"/>
  <c r="AK208" i="23"/>
  <c r="AJ208" i="23"/>
  <c r="AG208" i="23"/>
  <c r="V207" i="23"/>
  <c r="AK207" i="23"/>
  <c r="AJ207" i="23"/>
  <c r="AG207" i="23"/>
  <c r="V206" i="23"/>
  <c r="AK206" i="23"/>
  <c r="AJ206" i="23"/>
  <c r="AG206" i="23"/>
  <c r="V205" i="23"/>
  <c r="AK205" i="23"/>
  <c r="AJ205" i="23"/>
  <c r="AG205" i="23"/>
  <c r="V204" i="23"/>
  <c r="AK204" i="23"/>
  <c r="AJ204" i="23"/>
  <c r="AG204" i="23"/>
  <c r="V203" i="23"/>
  <c r="AK203" i="23"/>
  <c r="AJ203" i="23"/>
  <c r="AG203" i="23"/>
  <c r="V202" i="23"/>
  <c r="AK202" i="23"/>
  <c r="AJ202" i="23"/>
  <c r="AG202" i="23"/>
  <c r="V201" i="23"/>
  <c r="AK201" i="23"/>
  <c r="AJ201" i="23"/>
  <c r="AG201" i="23"/>
  <c r="V200" i="23"/>
  <c r="AK200" i="23"/>
  <c r="AJ200" i="23"/>
  <c r="AG200" i="23"/>
  <c r="V199" i="23"/>
  <c r="AK199" i="23"/>
  <c r="AJ199" i="23"/>
  <c r="AG199" i="23"/>
  <c r="V198" i="23"/>
  <c r="AK198" i="23"/>
  <c r="AJ198" i="23"/>
  <c r="AG198" i="23"/>
  <c r="V197" i="23"/>
  <c r="AK197" i="23"/>
  <c r="AJ197" i="23"/>
  <c r="AG197" i="23"/>
  <c r="V196" i="23"/>
  <c r="AK196" i="23"/>
  <c r="AJ196" i="23"/>
  <c r="AG196" i="23"/>
  <c r="V195" i="23"/>
  <c r="AK195" i="23"/>
  <c r="AJ195" i="23"/>
  <c r="AG195" i="23"/>
  <c r="V194" i="23"/>
  <c r="AK194" i="23"/>
  <c r="AJ194" i="23"/>
  <c r="AG194" i="23"/>
  <c r="V193" i="23"/>
  <c r="AK193" i="23"/>
  <c r="AJ193" i="23"/>
  <c r="AG193" i="23"/>
  <c r="V192" i="23"/>
  <c r="AK192" i="23"/>
  <c r="AJ192" i="23"/>
  <c r="AG192" i="23"/>
  <c r="V191" i="23"/>
  <c r="AK191" i="23"/>
  <c r="AJ191" i="23"/>
  <c r="AG191" i="23"/>
  <c r="V190" i="23"/>
  <c r="AK190" i="23"/>
  <c r="AJ190" i="23"/>
  <c r="AG190" i="23"/>
  <c r="V189" i="23"/>
  <c r="AK189" i="23"/>
  <c r="AJ189" i="23"/>
  <c r="AG189" i="23"/>
  <c r="V188" i="23"/>
  <c r="AK188" i="23"/>
  <c r="AJ188" i="23"/>
  <c r="AG188" i="23"/>
  <c r="V187" i="23"/>
  <c r="AK187" i="23"/>
  <c r="AJ187" i="23"/>
  <c r="AG187" i="23"/>
  <c r="V186" i="23"/>
  <c r="AK186" i="23"/>
  <c r="AJ186" i="23"/>
  <c r="AG186" i="23"/>
  <c r="V185" i="23"/>
  <c r="AK185" i="23"/>
  <c r="AJ185" i="23"/>
  <c r="AG185" i="23"/>
  <c r="V184" i="23"/>
  <c r="AK184" i="23"/>
  <c r="AJ184" i="23"/>
  <c r="AG184" i="23"/>
  <c r="V183" i="23"/>
  <c r="AK183" i="23"/>
  <c r="AJ183" i="23"/>
  <c r="AG183" i="23"/>
  <c r="V182" i="23"/>
  <c r="AK182" i="23"/>
  <c r="AJ182" i="23"/>
  <c r="AG182" i="23"/>
  <c r="V181" i="23"/>
  <c r="AK181" i="23"/>
  <c r="AJ181" i="23"/>
  <c r="AG181" i="23"/>
  <c r="V180" i="23"/>
  <c r="AK180" i="23"/>
  <c r="AJ180" i="23"/>
  <c r="AG180" i="23"/>
  <c r="V179" i="23"/>
  <c r="AK179" i="23"/>
  <c r="AJ179" i="23"/>
  <c r="AG179" i="23"/>
  <c r="V178" i="23"/>
  <c r="AK178" i="23"/>
  <c r="AJ178" i="23"/>
  <c r="AG178" i="23"/>
  <c r="V177" i="23"/>
  <c r="AK177" i="23"/>
  <c r="AJ177" i="23"/>
  <c r="AG177" i="23"/>
  <c r="V176" i="23"/>
  <c r="AK176" i="23"/>
  <c r="AJ176" i="23"/>
  <c r="AG176" i="23"/>
  <c r="V175" i="23"/>
  <c r="AK175" i="23"/>
  <c r="AJ175" i="23"/>
  <c r="AG175" i="23"/>
  <c r="V174" i="23"/>
  <c r="AK174" i="23"/>
  <c r="AJ174" i="23"/>
  <c r="AG174" i="23"/>
  <c r="V173" i="23"/>
  <c r="AK173" i="23"/>
  <c r="AJ173" i="23"/>
  <c r="AG173" i="23"/>
  <c r="V172" i="23"/>
  <c r="AK172" i="23"/>
  <c r="AJ172" i="23"/>
  <c r="AG172" i="23"/>
  <c r="V171" i="23"/>
  <c r="AK171" i="23"/>
  <c r="AJ171" i="23"/>
  <c r="AG171" i="23"/>
  <c r="V170" i="23"/>
  <c r="AK170" i="23"/>
  <c r="AJ170" i="23"/>
  <c r="AG170" i="23"/>
  <c r="V169" i="23"/>
  <c r="AK169" i="23"/>
  <c r="AJ169" i="23"/>
  <c r="AG169" i="23"/>
  <c r="V168" i="23"/>
  <c r="AK168" i="23"/>
  <c r="AJ168" i="23"/>
  <c r="AG168" i="23"/>
  <c r="V167" i="23"/>
  <c r="AK167" i="23"/>
  <c r="AJ167" i="23"/>
  <c r="AG167" i="23"/>
  <c r="V166" i="23"/>
  <c r="AK166" i="23"/>
  <c r="AJ166" i="23"/>
  <c r="AG166" i="23"/>
  <c r="V165" i="23"/>
  <c r="AK165" i="23"/>
  <c r="AJ165" i="23"/>
  <c r="AG165" i="23"/>
  <c r="V164" i="23"/>
  <c r="AK164" i="23"/>
  <c r="AJ164" i="23"/>
  <c r="AG164" i="23"/>
  <c r="V163" i="23"/>
  <c r="AK163" i="23"/>
  <c r="AJ163" i="23"/>
  <c r="AG163" i="23"/>
  <c r="V162" i="23"/>
  <c r="AK162" i="23"/>
  <c r="AJ162" i="23"/>
  <c r="AG162" i="23"/>
  <c r="V161" i="23"/>
  <c r="AK161" i="23"/>
  <c r="AJ161" i="23"/>
  <c r="AG161" i="23"/>
  <c r="V160" i="23"/>
  <c r="AK160" i="23"/>
  <c r="AJ160" i="23"/>
  <c r="AG160" i="23"/>
  <c r="V159" i="23"/>
  <c r="AK159" i="23"/>
  <c r="AJ159" i="23"/>
  <c r="AG159" i="23"/>
  <c r="V158" i="23"/>
  <c r="AK158" i="23"/>
  <c r="AJ158" i="23"/>
  <c r="AG158" i="23"/>
  <c r="V157" i="23"/>
  <c r="AK157" i="23"/>
  <c r="AJ157" i="23"/>
  <c r="AG157" i="23"/>
  <c r="V156" i="23"/>
  <c r="AK156" i="23"/>
  <c r="AJ156" i="23"/>
  <c r="AG156" i="23"/>
  <c r="V155" i="23"/>
  <c r="AK155" i="23"/>
  <c r="AJ155" i="23"/>
  <c r="AG155" i="23"/>
  <c r="V154" i="23"/>
  <c r="AK154" i="23"/>
  <c r="AJ154" i="23"/>
  <c r="AG154" i="23"/>
  <c r="V153" i="23"/>
  <c r="AK153" i="23"/>
  <c r="AJ153" i="23"/>
  <c r="AG153" i="23"/>
  <c r="V152" i="23"/>
  <c r="AK152" i="23"/>
  <c r="AJ152" i="23"/>
  <c r="AG152" i="23"/>
  <c r="V151" i="23"/>
  <c r="AK151" i="23"/>
  <c r="AJ151" i="23"/>
  <c r="AG151" i="23"/>
  <c r="V150" i="23"/>
  <c r="AK150" i="23"/>
  <c r="AJ150" i="23"/>
  <c r="AG150" i="23"/>
  <c r="V149" i="23"/>
  <c r="AK149" i="23"/>
  <c r="AJ149" i="23"/>
  <c r="AG149" i="23"/>
  <c r="V148" i="23"/>
  <c r="AK148" i="23"/>
  <c r="AJ148" i="23"/>
  <c r="AG148" i="23"/>
  <c r="V147" i="23"/>
  <c r="AK147" i="23"/>
  <c r="AJ147" i="23"/>
  <c r="AG147" i="23"/>
  <c r="V146" i="23"/>
  <c r="AK146" i="23"/>
  <c r="AJ146" i="23"/>
  <c r="AG146" i="23"/>
  <c r="V145" i="23"/>
  <c r="AK145" i="23"/>
  <c r="AJ145" i="23"/>
  <c r="AG145" i="23"/>
  <c r="V144" i="23"/>
  <c r="AK144" i="23"/>
  <c r="AJ144" i="23"/>
  <c r="AG144" i="23"/>
  <c r="V143" i="23"/>
  <c r="AK143" i="23"/>
  <c r="AJ143" i="23"/>
  <c r="AG143" i="23"/>
  <c r="V142" i="23"/>
  <c r="AK142" i="23"/>
  <c r="AJ142" i="23"/>
  <c r="AG142" i="23"/>
  <c r="V141" i="23"/>
  <c r="AK141" i="23"/>
  <c r="AJ141" i="23"/>
  <c r="AG141" i="23"/>
  <c r="V140" i="23"/>
  <c r="AK140" i="23"/>
  <c r="AJ140" i="23"/>
  <c r="AG140" i="23"/>
  <c r="V139" i="23"/>
  <c r="AK139" i="23"/>
  <c r="AJ139" i="23"/>
  <c r="AG139" i="23"/>
  <c r="V138" i="23"/>
  <c r="AK138" i="23"/>
  <c r="AJ138" i="23"/>
  <c r="AG138" i="23"/>
  <c r="V137" i="23"/>
  <c r="AK137" i="23"/>
  <c r="AJ137" i="23"/>
  <c r="AG137" i="23"/>
  <c r="V136" i="23"/>
  <c r="AK136" i="23"/>
  <c r="AJ136" i="23"/>
  <c r="AG136" i="23"/>
  <c r="V135" i="23"/>
  <c r="AK135" i="23"/>
  <c r="AJ135" i="23"/>
  <c r="AG135" i="23"/>
  <c r="V134" i="23"/>
  <c r="AK134" i="23"/>
  <c r="AJ134" i="23"/>
  <c r="AG134" i="23"/>
  <c r="V133" i="23"/>
  <c r="AK133" i="23"/>
  <c r="AJ133" i="23"/>
  <c r="AG133" i="23"/>
  <c r="V132" i="23"/>
  <c r="AK132" i="23"/>
  <c r="AJ132" i="23"/>
  <c r="AG132" i="23"/>
  <c r="V131" i="23"/>
  <c r="AK131" i="23"/>
  <c r="AJ131" i="23"/>
  <c r="AG131" i="23"/>
  <c r="V130" i="23"/>
  <c r="AK130" i="23"/>
  <c r="AJ130" i="23"/>
  <c r="AG130" i="23"/>
  <c r="V129" i="23"/>
  <c r="AK129" i="23"/>
  <c r="AJ129" i="23"/>
  <c r="AG129" i="23"/>
  <c r="V128" i="23"/>
  <c r="AK128" i="23"/>
  <c r="AJ128" i="23"/>
  <c r="AG128" i="23"/>
  <c r="V127" i="23"/>
  <c r="AK127" i="23"/>
  <c r="AJ127" i="23"/>
  <c r="AG127" i="23"/>
  <c r="V126" i="23"/>
  <c r="AK126" i="23"/>
  <c r="AJ126" i="23"/>
  <c r="AG126" i="23"/>
  <c r="V125" i="23"/>
  <c r="AK125" i="23"/>
  <c r="AJ125" i="23"/>
  <c r="AG125" i="23"/>
  <c r="V124" i="23"/>
  <c r="AK124" i="23"/>
  <c r="AJ124" i="23"/>
  <c r="AG124" i="23"/>
  <c r="V123" i="23"/>
  <c r="AK123" i="23"/>
  <c r="AJ123" i="23"/>
  <c r="AG123" i="23"/>
  <c r="V122" i="23"/>
  <c r="AK122" i="23"/>
  <c r="AJ122" i="23"/>
  <c r="AG122" i="23"/>
  <c r="V121" i="23"/>
  <c r="AK121" i="23"/>
  <c r="AJ121" i="23"/>
  <c r="AG121" i="23"/>
  <c r="V120" i="23"/>
  <c r="AK120" i="23"/>
  <c r="AJ120" i="23"/>
  <c r="AG120" i="23"/>
  <c r="V119" i="23"/>
  <c r="AK119" i="23"/>
  <c r="AJ119" i="23"/>
  <c r="AG119" i="23"/>
  <c r="V118" i="23"/>
  <c r="AK118" i="23"/>
  <c r="AJ118" i="23"/>
  <c r="AG118" i="23"/>
  <c r="V117" i="23"/>
  <c r="AK117" i="23"/>
  <c r="AJ117" i="23"/>
  <c r="AG117" i="23"/>
  <c r="V116" i="23"/>
  <c r="AK116" i="23"/>
  <c r="AJ116" i="23"/>
  <c r="AG116" i="23"/>
  <c r="V115" i="23"/>
  <c r="AK115" i="23"/>
  <c r="AJ115" i="23"/>
  <c r="AG115" i="23"/>
  <c r="V114" i="23"/>
  <c r="AK114" i="23"/>
  <c r="AJ114" i="23"/>
  <c r="AG114" i="23"/>
  <c r="V113" i="23"/>
  <c r="AK113" i="23"/>
  <c r="AJ113" i="23"/>
  <c r="AG113" i="23"/>
  <c r="V112" i="23"/>
  <c r="AK112" i="23"/>
  <c r="AJ112" i="23"/>
  <c r="AG112" i="23"/>
  <c r="V111" i="23"/>
  <c r="AK111" i="23"/>
  <c r="AJ111" i="23"/>
  <c r="AG111" i="23"/>
  <c r="V110" i="23"/>
  <c r="AK110" i="23"/>
  <c r="AJ110" i="23"/>
  <c r="AG110" i="23"/>
  <c r="V109" i="23"/>
  <c r="AK109" i="23"/>
  <c r="AJ109" i="23"/>
  <c r="AG109" i="23"/>
  <c r="V108" i="23"/>
  <c r="AK108" i="23"/>
  <c r="AJ108" i="23"/>
  <c r="AG108" i="23"/>
  <c r="V107" i="23"/>
  <c r="AK107" i="23"/>
  <c r="AJ107" i="23"/>
  <c r="AG107" i="23"/>
  <c r="V106" i="23"/>
  <c r="AK106" i="23"/>
  <c r="AJ106" i="23"/>
  <c r="AG106" i="23"/>
  <c r="V105" i="23"/>
  <c r="AK105" i="23"/>
  <c r="AJ105" i="23"/>
  <c r="AG105" i="23"/>
  <c r="V104" i="23"/>
  <c r="AK104" i="23"/>
  <c r="AJ104" i="23"/>
  <c r="AG104" i="23"/>
  <c r="V103" i="23"/>
  <c r="AK103" i="23"/>
  <c r="AJ103" i="23"/>
  <c r="AG103" i="23"/>
  <c r="V102" i="23"/>
  <c r="AK102" i="23"/>
  <c r="AJ102" i="23"/>
  <c r="AG102" i="23"/>
  <c r="V101" i="23"/>
  <c r="AK101" i="23"/>
  <c r="AJ101" i="23"/>
  <c r="AG101" i="23"/>
  <c r="V100" i="23"/>
  <c r="AK100" i="23"/>
  <c r="AJ100" i="23"/>
  <c r="AG100" i="23"/>
  <c r="V99" i="23"/>
  <c r="AK99" i="23"/>
  <c r="AJ99" i="23"/>
  <c r="AG99" i="23"/>
  <c r="V98" i="23"/>
  <c r="AK98" i="23"/>
  <c r="AJ98" i="23"/>
  <c r="AG98" i="23"/>
  <c r="V97" i="23"/>
  <c r="AK97" i="23"/>
  <c r="AJ97" i="23"/>
  <c r="AG97" i="23"/>
  <c r="V96" i="23"/>
  <c r="AK96" i="23"/>
  <c r="AJ96" i="23"/>
  <c r="AG96" i="23"/>
  <c r="V95" i="23"/>
  <c r="AK95" i="23"/>
  <c r="AJ95" i="23"/>
  <c r="AG95" i="23"/>
  <c r="V94" i="23"/>
  <c r="AK94" i="23"/>
  <c r="AJ94" i="23"/>
  <c r="AG94" i="23"/>
  <c r="V93" i="23"/>
  <c r="AK93" i="23"/>
  <c r="AJ93" i="23"/>
  <c r="AG93" i="23"/>
  <c r="V92" i="23"/>
  <c r="AK92" i="23"/>
  <c r="AJ92" i="23"/>
  <c r="AG92" i="23"/>
  <c r="V91" i="23"/>
  <c r="AK91" i="23"/>
  <c r="AJ91" i="23"/>
  <c r="AG91" i="23"/>
  <c r="V90" i="23"/>
  <c r="AK90" i="23"/>
  <c r="AJ90" i="23"/>
  <c r="AG90" i="23"/>
  <c r="V89" i="23"/>
  <c r="AK89" i="23"/>
  <c r="AJ89" i="23"/>
  <c r="AG89" i="23"/>
  <c r="V88" i="23"/>
  <c r="AK88" i="23"/>
  <c r="AJ88" i="23"/>
  <c r="AG88" i="23"/>
  <c r="V87" i="23"/>
  <c r="AK87" i="23"/>
  <c r="AJ87" i="23"/>
  <c r="AG87" i="23"/>
  <c r="V86" i="23"/>
  <c r="AK86" i="23"/>
  <c r="AJ86" i="23"/>
  <c r="AG86" i="23"/>
  <c r="V85" i="23"/>
  <c r="AK85" i="23"/>
  <c r="AJ85" i="23"/>
  <c r="AG85" i="23"/>
  <c r="V84" i="23"/>
  <c r="AK84" i="23"/>
  <c r="AJ84" i="23"/>
  <c r="AG84" i="23"/>
  <c r="V83" i="23"/>
  <c r="AK83" i="23"/>
  <c r="AJ83" i="23"/>
  <c r="AG83" i="23"/>
  <c r="V82" i="23"/>
  <c r="AK82" i="23"/>
  <c r="AJ82" i="23"/>
  <c r="AG82" i="23"/>
  <c r="V81" i="23"/>
  <c r="AK81" i="23"/>
  <c r="AJ81" i="23"/>
  <c r="AG81" i="23"/>
  <c r="V80" i="23"/>
  <c r="AK80" i="23"/>
  <c r="AJ80" i="23"/>
  <c r="AG80" i="23"/>
  <c r="V79" i="23"/>
  <c r="AK79" i="23"/>
  <c r="AJ79" i="23"/>
  <c r="AG79" i="23"/>
  <c r="V78" i="23"/>
  <c r="AK78" i="23"/>
  <c r="AJ78" i="23"/>
  <c r="AG78" i="23"/>
  <c r="V77" i="23"/>
  <c r="AK77" i="23"/>
  <c r="AJ77" i="23"/>
  <c r="AG77" i="23"/>
  <c r="V76" i="23"/>
  <c r="AK76" i="23"/>
  <c r="AJ76" i="23"/>
  <c r="AG76" i="23"/>
  <c r="V75" i="23"/>
  <c r="AK75" i="23"/>
  <c r="AJ75" i="23"/>
  <c r="AG75" i="23"/>
  <c r="V74" i="23"/>
  <c r="AK74" i="23"/>
  <c r="AJ74" i="23"/>
  <c r="AG74" i="23"/>
  <c r="V73" i="23"/>
  <c r="AK73" i="23"/>
  <c r="AJ73" i="23"/>
  <c r="AG73" i="23"/>
  <c r="V72" i="23"/>
  <c r="AK72" i="23"/>
  <c r="AJ72" i="23"/>
  <c r="AG72" i="23"/>
  <c r="V71" i="23"/>
  <c r="AK71" i="23"/>
  <c r="AJ71" i="23"/>
  <c r="AG71" i="23"/>
  <c r="V70" i="23"/>
  <c r="AK70" i="23"/>
  <c r="AJ70" i="23"/>
  <c r="AG70" i="23"/>
  <c r="V69" i="23"/>
  <c r="AK69" i="23"/>
  <c r="AJ69" i="23"/>
  <c r="AG69" i="23"/>
  <c r="V68" i="23"/>
  <c r="AK68" i="23"/>
  <c r="AJ68" i="23"/>
  <c r="AG68" i="23"/>
  <c r="V67" i="23"/>
  <c r="AK67" i="23"/>
  <c r="AJ67" i="23"/>
  <c r="AG67" i="23"/>
  <c r="V66" i="23"/>
  <c r="AK66" i="23"/>
  <c r="AJ66" i="23"/>
  <c r="AG66" i="23"/>
  <c r="V65" i="23"/>
  <c r="AK65" i="23"/>
  <c r="AJ65" i="23"/>
  <c r="AG65" i="23"/>
  <c r="V64" i="23"/>
  <c r="AK64" i="23"/>
  <c r="AJ64" i="23"/>
  <c r="AG64" i="23"/>
  <c r="V63" i="23"/>
  <c r="AK63" i="23"/>
  <c r="AJ63" i="23"/>
  <c r="AG63" i="23"/>
  <c r="V62" i="23"/>
  <c r="AK62" i="23"/>
  <c r="AJ62" i="23"/>
  <c r="AG62" i="23"/>
  <c r="V61" i="23"/>
  <c r="AK61" i="23"/>
  <c r="AJ61" i="23"/>
  <c r="AG61" i="23"/>
  <c r="V60" i="23"/>
  <c r="AK60" i="23"/>
  <c r="AJ60" i="23"/>
  <c r="AG60" i="23"/>
  <c r="V59" i="23"/>
  <c r="AK59" i="23"/>
  <c r="AJ59" i="23"/>
  <c r="AG59" i="23"/>
  <c r="V58" i="23"/>
  <c r="AK58" i="23"/>
  <c r="AJ58" i="23"/>
  <c r="AG58" i="23"/>
  <c r="V57" i="23"/>
  <c r="AK57" i="23"/>
  <c r="AJ57" i="23"/>
  <c r="AG57" i="23"/>
  <c r="V56" i="23"/>
  <c r="AK56" i="23"/>
  <c r="AJ56" i="23"/>
  <c r="AG56" i="23"/>
  <c r="V55" i="23"/>
  <c r="AK55" i="23"/>
  <c r="AJ55" i="23"/>
  <c r="AG55" i="23"/>
  <c r="V54" i="23"/>
  <c r="AK54" i="23"/>
  <c r="AJ54" i="23"/>
  <c r="AG54" i="23"/>
  <c r="V53" i="23"/>
  <c r="AK53" i="23"/>
  <c r="AJ53" i="23"/>
  <c r="AG53" i="23"/>
  <c r="V52" i="23"/>
  <c r="AK52" i="23"/>
  <c r="AJ52" i="23"/>
  <c r="AG52" i="23"/>
  <c r="V51" i="23"/>
  <c r="AK51" i="23"/>
  <c r="AJ51" i="23"/>
  <c r="AG51" i="23"/>
  <c r="V50" i="23"/>
  <c r="AK50" i="23"/>
  <c r="AJ50" i="23"/>
  <c r="AG50" i="23"/>
  <c r="V49" i="23"/>
  <c r="AK49" i="23"/>
  <c r="AJ49" i="23"/>
  <c r="AG49" i="23"/>
  <c r="V48" i="23"/>
  <c r="AK48" i="23"/>
  <c r="AJ48" i="23"/>
  <c r="AG48" i="23"/>
  <c r="V47" i="23"/>
  <c r="AK47" i="23"/>
  <c r="AJ47" i="23"/>
  <c r="AG47" i="23"/>
  <c r="V46" i="23"/>
  <c r="AK46" i="23"/>
  <c r="AJ46" i="23"/>
  <c r="AG46" i="23"/>
  <c r="V45" i="23"/>
  <c r="AK45" i="23"/>
  <c r="AJ45" i="23"/>
  <c r="AG45" i="23"/>
  <c r="V44" i="23"/>
  <c r="AK44" i="23"/>
  <c r="AJ44" i="23"/>
  <c r="AG44" i="23"/>
  <c r="V43" i="23"/>
  <c r="AK43" i="23"/>
  <c r="AJ43" i="23"/>
  <c r="AG43" i="23"/>
  <c r="V42" i="23"/>
  <c r="AK42" i="23"/>
  <c r="AJ42" i="23"/>
  <c r="AG42" i="23"/>
  <c r="V41" i="23"/>
  <c r="AK41" i="23"/>
  <c r="AJ41" i="23"/>
  <c r="AG41" i="23"/>
  <c r="V40" i="23"/>
  <c r="AK40" i="23"/>
  <c r="AJ40" i="23"/>
  <c r="AG40" i="23"/>
  <c r="V39" i="23"/>
  <c r="AK39" i="23"/>
  <c r="AJ39" i="23"/>
  <c r="AG39" i="23"/>
  <c r="V38" i="23"/>
  <c r="AK38" i="23"/>
  <c r="AJ38" i="23"/>
  <c r="AG38" i="23"/>
  <c r="V37" i="23"/>
  <c r="AK37" i="23"/>
  <c r="AJ37" i="23"/>
  <c r="AG37" i="23"/>
  <c r="V36" i="23"/>
  <c r="AK36" i="23"/>
  <c r="AJ36" i="23"/>
  <c r="AG36" i="23"/>
  <c r="V35" i="23"/>
  <c r="AK35" i="23"/>
  <c r="AJ35" i="23"/>
  <c r="AG35" i="23"/>
  <c r="V34" i="23"/>
  <c r="AK34" i="23"/>
  <c r="AJ34" i="23"/>
  <c r="AG34" i="23"/>
  <c r="V33" i="23"/>
  <c r="AK33" i="23"/>
  <c r="AJ33" i="23"/>
  <c r="AG33" i="23"/>
  <c r="V32" i="23"/>
  <c r="AK32" i="23"/>
  <c r="AJ32" i="23"/>
  <c r="AG32" i="23"/>
  <c r="V31" i="23"/>
  <c r="AK31" i="23"/>
  <c r="AJ31" i="23"/>
  <c r="AG31" i="23"/>
  <c r="V30" i="23"/>
  <c r="AK30" i="23"/>
  <c r="AJ30" i="23"/>
  <c r="AG30" i="23"/>
  <c r="V29" i="23"/>
  <c r="AK29" i="23"/>
  <c r="AJ29" i="23"/>
  <c r="AG29" i="23"/>
  <c r="V28" i="23"/>
  <c r="AK28" i="23"/>
  <c r="AJ28" i="23"/>
  <c r="AG28" i="23"/>
  <c r="V27" i="23"/>
  <c r="AK27" i="23"/>
  <c r="AJ27" i="23"/>
  <c r="AG27" i="23"/>
  <c r="V26" i="23"/>
  <c r="AK26" i="23"/>
  <c r="AJ26" i="23"/>
  <c r="AG26" i="23"/>
  <c r="V25" i="23"/>
  <c r="AK25" i="23"/>
  <c r="AJ25" i="23"/>
  <c r="AG25" i="23"/>
  <c r="V24" i="23"/>
  <c r="AK24" i="23"/>
  <c r="AJ24" i="23"/>
  <c r="AG24" i="23"/>
  <c r="V23" i="23"/>
  <c r="AK23" i="23"/>
  <c r="AJ23" i="23"/>
  <c r="AG23" i="23"/>
  <c r="V22" i="23"/>
  <c r="AK22" i="23"/>
  <c r="AJ22" i="23"/>
  <c r="AG22" i="23"/>
  <c r="V21" i="23"/>
  <c r="AK21" i="23"/>
  <c r="AJ21" i="23"/>
  <c r="AG21" i="23"/>
  <c r="V20" i="23"/>
  <c r="AK20" i="23"/>
  <c r="AJ20" i="23"/>
  <c r="AG20" i="23"/>
  <c r="V19" i="23"/>
  <c r="AK19" i="23"/>
  <c r="AJ19" i="23"/>
  <c r="AG19" i="23"/>
  <c r="V18" i="23"/>
  <c r="AK18" i="23"/>
  <c r="AJ18" i="23"/>
  <c r="AG18" i="23"/>
  <c r="V17" i="23"/>
  <c r="AK17" i="23"/>
  <c r="AJ17" i="23"/>
  <c r="AG17" i="23"/>
  <c r="V16" i="23"/>
  <c r="AK16" i="23"/>
  <c r="AJ16" i="23"/>
  <c r="AG16" i="23"/>
  <c r="V15" i="23"/>
  <c r="AK15" i="23"/>
  <c r="AJ15" i="23"/>
  <c r="AG15" i="23"/>
  <c r="V14" i="23"/>
  <c r="AK14" i="23"/>
  <c r="AJ14" i="23"/>
  <c r="AG14" i="23"/>
  <c r="V13" i="23"/>
  <c r="AK13" i="23"/>
  <c r="AJ13" i="23"/>
  <c r="AG13" i="23"/>
  <c r="V12" i="23"/>
  <c r="AK12" i="23"/>
  <c r="AJ12" i="23"/>
  <c r="AG12" i="23"/>
  <c r="V11" i="23"/>
  <c r="AK11" i="23"/>
  <c r="AJ11" i="23"/>
  <c r="AG11" i="23"/>
  <c r="V10" i="23"/>
  <c r="AK10" i="23"/>
  <c r="AJ10" i="23"/>
  <c r="AG10" i="23"/>
  <c r="V9" i="23"/>
  <c r="AK9" i="23"/>
  <c r="AJ9" i="23"/>
  <c r="AG9" i="23"/>
  <c r="V8" i="23"/>
  <c r="AK8" i="23"/>
  <c r="AJ8" i="23"/>
  <c r="AG8" i="23"/>
  <c r="V7" i="23"/>
  <c r="AK7" i="23"/>
  <c r="AJ7" i="23"/>
  <c r="AG7" i="23"/>
  <c r="AK6" i="23"/>
  <c r="AG6" i="23"/>
  <c r="AK293" i="22"/>
  <c r="AJ293" i="22"/>
  <c r="AI293" i="22"/>
  <c r="AG293" i="22"/>
  <c r="V293" i="22"/>
  <c r="P293" i="22"/>
  <c r="L293" i="22"/>
  <c r="AK292" i="22"/>
  <c r="AJ292" i="22"/>
  <c r="AI292" i="22"/>
  <c r="AG292" i="22"/>
  <c r="V292" i="22"/>
  <c r="P292" i="22"/>
  <c r="L292" i="22"/>
  <c r="AK291" i="22"/>
  <c r="AJ291" i="22"/>
  <c r="AI291" i="22"/>
  <c r="AG291" i="22"/>
  <c r="V291" i="22"/>
  <c r="P291" i="22"/>
  <c r="L291" i="22"/>
  <c r="AK290" i="22"/>
  <c r="AJ290" i="22"/>
  <c r="AI290" i="22"/>
  <c r="AG290" i="22"/>
  <c r="V290" i="22"/>
  <c r="P290" i="22"/>
  <c r="L290" i="22"/>
  <c r="AK289" i="22"/>
  <c r="AJ289" i="22"/>
  <c r="AI289" i="22"/>
  <c r="AG289" i="22"/>
  <c r="V289" i="22"/>
  <c r="P289" i="22"/>
  <c r="L289" i="22"/>
  <c r="AK288" i="22"/>
  <c r="AJ288" i="22"/>
  <c r="AI288" i="22"/>
  <c r="AG288" i="22"/>
  <c r="V288" i="22"/>
  <c r="P288" i="22"/>
  <c r="L288" i="22"/>
  <c r="AK287" i="22"/>
  <c r="AJ287" i="22"/>
  <c r="AI287" i="22"/>
  <c r="AG287" i="22"/>
  <c r="V287" i="22"/>
  <c r="P287" i="22"/>
  <c r="L287" i="22"/>
  <c r="AK286" i="22"/>
  <c r="AJ286" i="22"/>
  <c r="AI286" i="22"/>
  <c r="AG286" i="22"/>
  <c r="V286" i="22"/>
  <c r="P286" i="22"/>
  <c r="L286" i="22"/>
  <c r="AK285" i="22"/>
  <c r="AJ285" i="22"/>
  <c r="AI285" i="22"/>
  <c r="AG285" i="22"/>
  <c r="V285" i="22"/>
  <c r="P285" i="22"/>
  <c r="L285" i="22"/>
  <c r="AK284" i="22"/>
  <c r="AJ284" i="22"/>
  <c r="AI284" i="22"/>
  <c r="AG284" i="22"/>
  <c r="V284" i="22"/>
  <c r="P284" i="22"/>
  <c r="L284" i="22"/>
  <c r="AK283" i="22"/>
  <c r="AJ283" i="22"/>
  <c r="AI283" i="22"/>
  <c r="AG283" i="22"/>
  <c r="V283" i="22"/>
  <c r="P283" i="22"/>
  <c r="L283" i="22"/>
  <c r="AK282" i="22"/>
  <c r="AJ282" i="22"/>
  <c r="AI282" i="22"/>
  <c r="AG282" i="22"/>
  <c r="V282" i="22"/>
  <c r="P282" i="22"/>
  <c r="L282" i="22"/>
  <c r="AK281" i="22"/>
  <c r="AJ281" i="22"/>
  <c r="AI281" i="22"/>
  <c r="AG281" i="22"/>
  <c r="V281" i="22"/>
  <c r="P281" i="22"/>
  <c r="L281" i="22"/>
  <c r="AK280" i="22"/>
  <c r="AJ280" i="22"/>
  <c r="AI280" i="22"/>
  <c r="AG280" i="22"/>
  <c r="V280" i="22"/>
  <c r="P280" i="22"/>
  <c r="L280" i="22"/>
  <c r="AK279" i="22"/>
  <c r="AJ279" i="22"/>
  <c r="AI279" i="22"/>
  <c r="AG279" i="22"/>
  <c r="V279" i="22"/>
  <c r="P279" i="22"/>
  <c r="L279" i="22"/>
  <c r="AK278" i="22"/>
  <c r="AJ278" i="22"/>
  <c r="AI278" i="22"/>
  <c r="AG278" i="22"/>
  <c r="V278" i="22"/>
  <c r="P278" i="22"/>
  <c r="L278" i="22"/>
  <c r="AK277" i="22"/>
  <c r="AJ277" i="22"/>
  <c r="AI277" i="22"/>
  <c r="AG277" i="22"/>
  <c r="V277" i="22"/>
  <c r="P277" i="22"/>
  <c r="L277" i="22"/>
  <c r="AK276" i="22"/>
  <c r="AJ276" i="22"/>
  <c r="AI276" i="22"/>
  <c r="AG276" i="22"/>
  <c r="V276" i="22"/>
  <c r="P276" i="22"/>
  <c r="L276" i="22"/>
  <c r="AK275" i="22"/>
  <c r="AJ275" i="22"/>
  <c r="AI275" i="22"/>
  <c r="AG275" i="22"/>
  <c r="V275" i="22"/>
  <c r="P275" i="22"/>
  <c r="L275" i="22"/>
  <c r="AK274" i="22"/>
  <c r="AJ274" i="22"/>
  <c r="AI274" i="22"/>
  <c r="AG274" i="22"/>
  <c r="V274" i="22"/>
  <c r="P274" i="22"/>
  <c r="L274" i="22"/>
  <c r="AK273" i="22"/>
  <c r="AJ273" i="22"/>
  <c r="AI273" i="22"/>
  <c r="AG273" i="22"/>
  <c r="V273" i="22"/>
  <c r="P273" i="22"/>
  <c r="L273" i="22"/>
  <c r="AK272" i="22"/>
  <c r="AJ272" i="22"/>
  <c r="AI272" i="22"/>
  <c r="AG272" i="22"/>
  <c r="V272" i="22"/>
  <c r="P272" i="22"/>
  <c r="L272" i="22"/>
  <c r="AK271" i="22"/>
  <c r="AJ271" i="22"/>
  <c r="AI271" i="22"/>
  <c r="AG271" i="22"/>
  <c r="V271" i="22"/>
  <c r="P271" i="22"/>
  <c r="L271" i="22"/>
  <c r="AK270" i="22"/>
  <c r="AJ270" i="22"/>
  <c r="AI270" i="22"/>
  <c r="AG270" i="22"/>
  <c r="V270" i="22"/>
  <c r="P270" i="22"/>
  <c r="L270" i="22"/>
  <c r="AK269" i="22"/>
  <c r="AJ269" i="22"/>
  <c r="AI269" i="22"/>
  <c r="AG269" i="22"/>
  <c r="V269" i="22"/>
  <c r="P269" i="22"/>
  <c r="L269" i="22"/>
  <c r="AK268" i="22"/>
  <c r="AJ268" i="22"/>
  <c r="AI268" i="22"/>
  <c r="AG268" i="22"/>
  <c r="V268" i="22"/>
  <c r="P268" i="22"/>
  <c r="L268" i="22"/>
  <c r="AK267" i="22"/>
  <c r="AJ267" i="22"/>
  <c r="AI267" i="22"/>
  <c r="AG267" i="22"/>
  <c r="V267" i="22"/>
  <c r="P267" i="22"/>
  <c r="L267" i="22"/>
  <c r="AK266" i="22"/>
  <c r="AJ266" i="22"/>
  <c r="AI266" i="22"/>
  <c r="AG266" i="22"/>
  <c r="V266" i="22"/>
  <c r="P266" i="22"/>
  <c r="L266" i="22"/>
  <c r="AK265" i="22"/>
  <c r="AJ265" i="22"/>
  <c r="AI265" i="22"/>
  <c r="AG265" i="22"/>
  <c r="V265" i="22"/>
  <c r="P265" i="22"/>
  <c r="L265" i="22"/>
  <c r="AK264" i="22"/>
  <c r="AJ264" i="22"/>
  <c r="AI264" i="22"/>
  <c r="AG264" i="22"/>
  <c r="V264" i="22"/>
  <c r="P264" i="22"/>
  <c r="L264" i="22"/>
  <c r="AK263" i="22"/>
  <c r="AJ263" i="22"/>
  <c r="AI263" i="22"/>
  <c r="AG263" i="22"/>
  <c r="V263" i="22"/>
  <c r="P263" i="22"/>
  <c r="L263" i="22"/>
  <c r="AK262" i="22"/>
  <c r="AJ262" i="22"/>
  <c r="AI262" i="22"/>
  <c r="AG262" i="22"/>
  <c r="V262" i="22"/>
  <c r="P262" i="22"/>
  <c r="L262" i="22"/>
  <c r="AK261" i="22"/>
  <c r="AJ261" i="22"/>
  <c r="AI261" i="22"/>
  <c r="AG261" i="22"/>
  <c r="V261" i="22"/>
  <c r="P261" i="22"/>
  <c r="L261" i="22"/>
  <c r="AK260" i="22"/>
  <c r="AJ260" i="22"/>
  <c r="AI260" i="22"/>
  <c r="AG260" i="22"/>
  <c r="V260" i="22"/>
  <c r="P260" i="22"/>
  <c r="L260" i="22"/>
  <c r="AK259" i="22"/>
  <c r="AJ259" i="22"/>
  <c r="AI259" i="22"/>
  <c r="AG259" i="22"/>
  <c r="V259" i="22"/>
  <c r="P259" i="22"/>
  <c r="L259" i="22"/>
  <c r="AK258" i="22"/>
  <c r="AJ258" i="22"/>
  <c r="AI258" i="22"/>
  <c r="AG258" i="22"/>
  <c r="V258" i="22"/>
  <c r="P258" i="22"/>
  <c r="L258" i="22"/>
  <c r="AK257" i="22"/>
  <c r="AJ257" i="22"/>
  <c r="AI257" i="22"/>
  <c r="AG257" i="22"/>
  <c r="V257" i="22"/>
  <c r="P257" i="22"/>
  <c r="L257" i="22"/>
  <c r="AK256" i="22"/>
  <c r="AJ256" i="22"/>
  <c r="AI256" i="22"/>
  <c r="AG256" i="22"/>
  <c r="V256" i="22"/>
  <c r="P256" i="22"/>
  <c r="L256" i="22"/>
  <c r="AK255" i="22"/>
  <c r="AJ255" i="22"/>
  <c r="AI255" i="22"/>
  <c r="AG255" i="22"/>
  <c r="V255" i="22"/>
  <c r="P255" i="22"/>
  <c r="L255" i="22"/>
  <c r="AK254" i="22"/>
  <c r="AJ254" i="22"/>
  <c r="AI254" i="22"/>
  <c r="AG254" i="22"/>
  <c r="V254" i="22"/>
  <c r="P254" i="22"/>
  <c r="L254" i="22"/>
  <c r="AK253" i="22"/>
  <c r="AJ253" i="22"/>
  <c r="AI253" i="22"/>
  <c r="AG253" i="22"/>
  <c r="V253" i="22"/>
  <c r="P253" i="22"/>
  <c r="L253" i="22"/>
  <c r="AK252" i="22"/>
  <c r="AJ252" i="22"/>
  <c r="AI252" i="22"/>
  <c r="AG252" i="22"/>
  <c r="V252" i="22"/>
  <c r="P252" i="22"/>
  <c r="L252" i="22"/>
  <c r="AK251" i="22"/>
  <c r="AJ251" i="22"/>
  <c r="AI251" i="22"/>
  <c r="AG251" i="22"/>
  <c r="V251" i="22"/>
  <c r="P251" i="22"/>
  <c r="L251" i="22"/>
  <c r="AK250" i="22"/>
  <c r="AJ250" i="22"/>
  <c r="AI250" i="22"/>
  <c r="AG250" i="22"/>
  <c r="V250" i="22"/>
  <c r="P250" i="22"/>
  <c r="L250" i="22"/>
  <c r="AK249" i="22"/>
  <c r="AJ249" i="22"/>
  <c r="AI249" i="22"/>
  <c r="AG249" i="22"/>
  <c r="V249" i="22"/>
  <c r="P249" i="22"/>
  <c r="L249" i="22"/>
  <c r="AK248" i="22"/>
  <c r="AJ248" i="22"/>
  <c r="AI248" i="22"/>
  <c r="AG248" i="22"/>
  <c r="V248" i="22"/>
  <c r="P248" i="22"/>
  <c r="L248" i="22"/>
  <c r="AK247" i="22"/>
  <c r="AJ247" i="22"/>
  <c r="AI247" i="22"/>
  <c r="AG247" i="22"/>
  <c r="V247" i="22"/>
  <c r="P247" i="22"/>
  <c r="L247" i="22"/>
  <c r="AK246" i="22"/>
  <c r="AJ246" i="22"/>
  <c r="AI246" i="22"/>
  <c r="AG246" i="22"/>
  <c r="V246" i="22"/>
  <c r="P246" i="22"/>
  <c r="L246" i="22"/>
  <c r="AK245" i="22"/>
  <c r="AJ245" i="22"/>
  <c r="AI245" i="22"/>
  <c r="AG245" i="22"/>
  <c r="V245" i="22"/>
  <c r="P245" i="22"/>
  <c r="L245" i="22"/>
  <c r="AK244" i="22"/>
  <c r="AJ244" i="22"/>
  <c r="AI244" i="22"/>
  <c r="AG244" i="22"/>
  <c r="V244" i="22"/>
  <c r="P244" i="22"/>
  <c r="L244" i="22"/>
  <c r="AK243" i="22"/>
  <c r="AJ243" i="22"/>
  <c r="AI243" i="22"/>
  <c r="AG243" i="22"/>
  <c r="V243" i="22"/>
  <c r="P243" i="22"/>
  <c r="L243" i="22"/>
  <c r="AK242" i="22"/>
  <c r="AJ242" i="22"/>
  <c r="AI242" i="22"/>
  <c r="AG242" i="22"/>
  <c r="V242" i="22"/>
  <c r="P242" i="22"/>
  <c r="L242" i="22"/>
  <c r="AK241" i="22"/>
  <c r="AJ241" i="22"/>
  <c r="AI241" i="22"/>
  <c r="AG241" i="22"/>
  <c r="V241" i="22"/>
  <c r="P241" i="22"/>
  <c r="L241" i="22"/>
  <c r="AK240" i="22"/>
  <c r="AJ240" i="22"/>
  <c r="AI240" i="22"/>
  <c r="AG240" i="22"/>
  <c r="V240" i="22"/>
  <c r="P240" i="22"/>
  <c r="L240" i="22"/>
  <c r="AK239" i="22"/>
  <c r="AJ239" i="22"/>
  <c r="AI239" i="22"/>
  <c r="AG239" i="22"/>
  <c r="V239" i="22"/>
  <c r="P239" i="22"/>
  <c r="L239" i="22"/>
  <c r="AK238" i="22"/>
  <c r="AJ238" i="22"/>
  <c r="AI238" i="22"/>
  <c r="AG238" i="22"/>
  <c r="V238" i="22"/>
  <c r="P238" i="22"/>
  <c r="L238" i="22"/>
  <c r="AK237" i="22"/>
  <c r="AJ237" i="22"/>
  <c r="AI237" i="22"/>
  <c r="AG237" i="22"/>
  <c r="V237" i="22"/>
  <c r="P237" i="22"/>
  <c r="L237" i="22"/>
  <c r="AK236" i="22"/>
  <c r="AJ236" i="22"/>
  <c r="AI236" i="22"/>
  <c r="AG236" i="22"/>
  <c r="V236" i="22"/>
  <c r="P236" i="22"/>
  <c r="L236" i="22"/>
  <c r="AK235" i="22"/>
  <c r="AJ235" i="22"/>
  <c r="AI235" i="22"/>
  <c r="AG235" i="22"/>
  <c r="V235" i="22"/>
  <c r="P235" i="22"/>
  <c r="L235" i="22"/>
  <c r="AK234" i="22"/>
  <c r="AJ234" i="22"/>
  <c r="AI234" i="22"/>
  <c r="AG234" i="22"/>
  <c r="V234" i="22"/>
  <c r="P234" i="22"/>
  <c r="L234" i="22"/>
  <c r="AK233" i="22"/>
  <c r="AJ233" i="22"/>
  <c r="AI233" i="22"/>
  <c r="AG233" i="22"/>
  <c r="V233" i="22"/>
  <c r="P233" i="22"/>
  <c r="L233" i="22"/>
  <c r="AK232" i="22"/>
  <c r="AJ232" i="22"/>
  <c r="AI232" i="22"/>
  <c r="AG232" i="22"/>
  <c r="V232" i="22"/>
  <c r="P232" i="22"/>
  <c r="L232" i="22"/>
  <c r="AK231" i="22"/>
  <c r="AJ231" i="22"/>
  <c r="AI231" i="22"/>
  <c r="AG231" i="22"/>
  <c r="V231" i="22"/>
  <c r="P231" i="22"/>
  <c r="L231" i="22"/>
  <c r="AK230" i="22"/>
  <c r="AJ230" i="22"/>
  <c r="AI230" i="22"/>
  <c r="AG230" i="22"/>
  <c r="V230" i="22"/>
  <c r="P230" i="22"/>
  <c r="L230" i="22"/>
  <c r="AK229" i="22"/>
  <c r="AJ229" i="22"/>
  <c r="AI229" i="22"/>
  <c r="AG229" i="22"/>
  <c r="V229" i="22"/>
  <c r="P229" i="22"/>
  <c r="L229" i="22"/>
  <c r="AK228" i="22"/>
  <c r="AJ228" i="22"/>
  <c r="AI228" i="22"/>
  <c r="AG228" i="22"/>
  <c r="V228" i="22"/>
  <c r="P228" i="22"/>
  <c r="L228" i="22"/>
  <c r="AK227" i="22"/>
  <c r="AJ227" i="22"/>
  <c r="AI227" i="22"/>
  <c r="AG227" i="22"/>
  <c r="V227" i="22"/>
  <c r="P227" i="22"/>
  <c r="L227" i="22"/>
  <c r="AK226" i="22"/>
  <c r="AJ226" i="22"/>
  <c r="AI226" i="22"/>
  <c r="AG226" i="22"/>
  <c r="V226" i="22"/>
  <c r="P226" i="22"/>
  <c r="L226" i="22"/>
  <c r="AK225" i="22"/>
  <c r="AJ225" i="22"/>
  <c r="AI225" i="22"/>
  <c r="AG225" i="22"/>
  <c r="V225" i="22"/>
  <c r="P225" i="22"/>
  <c r="L225" i="22"/>
  <c r="AK224" i="22"/>
  <c r="AJ224" i="22"/>
  <c r="AI224" i="22"/>
  <c r="AG224" i="22"/>
  <c r="V224" i="22"/>
  <c r="P224" i="22"/>
  <c r="L224" i="22"/>
  <c r="AK223" i="22"/>
  <c r="AJ223" i="22"/>
  <c r="AI223" i="22"/>
  <c r="AG223" i="22"/>
  <c r="V223" i="22"/>
  <c r="P223" i="22"/>
  <c r="L223" i="22"/>
  <c r="AK222" i="22"/>
  <c r="AJ222" i="22"/>
  <c r="AI222" i="22"/>
  <c r="AG222" i="22"/>
  <c r="V222" i="22"/>
  <c r="P222" i="22"/>
  <c r="L222" i="22"/>
  <c r="AK221" i="22"/>
  <c r="AJ221" i="22"/>
  <c r="AI221" i="22"/>
  <c r="AG221" i="22"/>
  <c r="V221" i="22"/>
  <c r="P221" i="22"/>
  <c r="L221" i="22"/>
  <c r="AK220" i="22"/>
  <c r="AJ220" i="22"/>
  <c r="AI220" i="22"/>
  <c r="AG220" i="22"/>
  <c r="V220" i="22"/>
  <c r="P220" i="22"/>
  <c r="L220" i="22"/>
  <c r="AK219" i="22"/>
  <c r="AJ219" i="22"/>
  <c r="AI219" i="22"/>
  <c r="AG219" i="22"/>
  <c r="V219" i="22"/>
  <c r="P219" i="22"/>
  <c r="L219" i="22"/>
  <c r="AK218" i="22"/>
  <c r="AJ218" i="22"/>
  <c r="AI218" i="22"/>
  <c r="AG218" i="22"/>
  <c r="V218" i="22"/>
  <c r="P218" i="22"/>
  <c r="L218" i="22"/>
  <c r="AK217" i="22"/>
  <c r="AJ217" i="22"/>
  <c r="AI217" i="22"/>
  <c r="AG217" i="22"/>
  <c r="V217" i="22"/>
  <c r="P217" i="22"/>
  <c r="L217" i="22"/>
  <c r="AK216" i="22"/>
  <c r="AJ216" i="22"/>
  <c r="AI216" i="22"/>
  <c r="AG216" i="22"/>
  <c r="V216" i="22"/>
  <c r="P216" i="22"/>
  <c r="L216" i="22"/>
  <c r="AK215" i="22"/>
  <c r="AJ215" i="22"/>
  <c r="AI215" i="22"/>
  <c r="AG215" i="22"/>
  <c r="V215" i="22"/>
  <c r="P215" i="22"/>
  <c r="L215" i="22"/>
  <c r="AK214" i="22"/>
  <c r="AJ214" i="22"/>
  <c r="AI214" i="22"/>
  <c r="AG214" i="22"/>
  <c r="V214" i="22"/>
  <c r="P214" i="22"/>
  <c r="L214" i="22"/>
  <c r="AK213" i="22"/>
  <c r="AJ213" i="22"/>
  <c r="AI213" i="22"/>
  <c r="AG213" i="22"/>
  <c r="V213" i="22"/>
  <c r="P213" i="22"/>
  <c r="L213" i="22"/>
  <c r="AK212" i="22"/>
  <c r="AJ212" i="22"/>
  <c r="AI212" i="22"/>
  <c r="AG212" i="22"/>
  <c r="V212" i="22"/>
  <c r="P212" i="22"/>
  <c r="L212" i="22"/>
  <c r="AK211" i="22"/>
  <c r="AJ211" i="22"/>
  <c r="AI211" i="22"/>
  <c r="AG211" i="22"/>
  <c r="V211" i="22"/>
  <c r="P211" i="22"/>
  <c r="L211" i="22"/>
  <c r="AK210" i="22"/>
  <c r="AJ210" i="22"/>
  <c r="AI210" i="22"/>
  <c r="AG210" i="22"/>
  <c r="V210" i="22"/>
  <c r="P210" i="22"/>
  <c r="L210" i="22"/>
  <c r="AK209" i="22"/>
  <c r="AJ209" i="22"/>
  <c r="AI209" i="22"/>
  <c r="AG209" i="22"/>
  <c r="V209" i="22"/>
  <c r="P209" i="22"/>
  <c r="L209" i="22"/>
  <c r="AK208" i="22"/>
  <c r="AJ208" i="22"/>
  <c r="AI208" i="22"/>
  <c r="AG208" i="22"/>
  <c r="V208" i="22"/>
  <c r="P208" i="22"/>
  <c r="L208" i="22"/>
  <c r="AK207" i="22"/>
  <c r="AJ207" i="22"/>
  <c r="AI207" i="22"/>
  <c r="AG207" i="22"/>
  <c r="V207" i="22"/>
  <c r="P207" i="22"/>
  <c r="L207" i="22"/>
  <c r="AK206" i="22"/>
  <c r="AJ206" i="22"/>
  <c r="AI206" i="22"/>
  <c r="AG206" i="22"/>
  <c r="V206" i="22"/>
  <c r="P206" i="22"/>
  <c r="L206" i="22"/>
  <c r="AK205" i="22"/>
  <c r="AJ205" i="22"/>
  <c r="AI205" i="22"/>
  <c r="AG205" i="22"/>
  <c r="V205" i="22"/>
  <c r="P205" i="22"/>
  <c r="L205" i="22"/>
  <c r="AK204" i="22"/>
  <c r="AJ204" i="22"/>
  <c r="AI204" i="22"/>
  <c r="AG204" i="22"/>
  <c r="V204" i="22"/>
  <c r="P204" i="22"/>
  <c r="L204" i="22"/>
  <c r="AK203" i="22"/>
  <c r="AJ203" i="22"/>
  <c r="AI203" i="22"/>
  <c r="AG203" i="22"/>
  <c r="V203" i="22"/>
  <c r="P203" i="22"/>
  <c r="L203" i="22"/>
  <c r="AK202" i="22"/>
  <c r="AJ202" i="22"/>
  <c r="AI202" i="22"/>
  <c r="AG202" i="22"/>
  <c r="V202" i="22"/>
  <c r="P202" i="22"/>
  <c r="L202" i="22"/>
  <c r="AK201" i="22"/>
  <c r="AJ201" i="22"/>
  <c r="AI201" i="22"/>
  <c r="AG201" i="22"/>
  <c r="V201" i="22"/>
  <c r="P201" i="22"/>
  <c r="L201" i="22"/>
  <c r="AK200" i="22"/>
  <c r="AJ200" i="22"/>
  <c r="AI200" i="22"/>
  <c r="AG200" i="22"/>
  <c r="V200" i="22"/>
  <c r="P200" i="22"/>
  <c r="L200" i="22"/>
  <c r="AK199" i="22"/>
  <c r="AJ199" i="22"/>
  <c r="AI199" i="22"/>
  <c r="AG199" i="22"/>
  <c r="V199" i="22"/>
  <c r="P199" i="22"/>
  <c r="L199" i="22"/>
  <c r="AK198" i="22"/>
  <c r="AJ198" i="22"/>
  <c r="AI198" i="22"/>
  <c r="AG198" i="22"/>
  <c r="V198" i="22"/>
  <c r="P198" i="22"/>
  <c r="L198" i="22"/>
  <c r="AK197" i="22"/>
  <c r="AJ197" i="22"/>
  <c r="AI197" i="22"/>
  <c r="AG197" i="22"/>
  <c r="V197" i="22"/>
  <c r="P197" i="22"/>
  <c r="L197" i="22"/>
  <c r="AK196" i="22"/>
  <c r="AJ196" i="22"/>
  <c r="AI196" i="22"/>
  <c r="AG196" i="22"/>
  <c r="V196" i="22"/>
  <c r="P196" i="22"/>
  <c r="L196" i="22"/>
  <c r="AK195" i="22"/>
  <c r="AJ195" i="22"/>
  <c r="AI195" i="22"/>
  <c r="AG195" i="22"/>
  <c r="V195" i="22"/>
  <c r="P195" i="22"/>
  <c r="L195" i="22"/>
  <c r="AK194" i="22"/>
  <c r="AJ194" i="22"/>
  <c r="AI194" i="22"/>
  <c r="AG194" i="22"/>
  <c r="V194" i="22"/>
  <c r="P194" i="22"/>
  <c r="L194" i="22"/>
  <c r="AK193" i="22"/>
  <c r="AJ193" i="22"/>
  <c r="AI193" i="22"/>
  <c r="AG193" i="22"/>
  <c r="V193" i="22"/>
  <c r="P193" i="22"/>
  <c r="L193" i="22"/>
  <c r="AK192" i="22"/>
  <c r="AJ192" i="22"/>
  <c r="AI192" i="22"/>
  <c r="AG192" i="22"/>
  <c r="V192" i="22"/>
  <c r="P192" i="22"/>
  <c r="L192" i="22"/>
  <c r="AK191" i="22"/>
  <c r="AJ191" i="22"/>
  <c r="AI191" i="22"/>
  <c r="AG191" i="22"/>
  <c r="V191" i="22"/>
  <c r="P191" i="22"/>
  <c r="L191" i="22"/>
  <c r="AK190" i="22"/>
  <c r="AJ190" i="22"/>
  <c r="AI190" i="22"/>
  <c r="AG190" i="22"/>
  <c r="V190" i="22"/>
  <c r="P190" i="22"/>
  <c r="L190" i="22"/>
  <c r="AK189" i="22"/>
  <c r="AJ189" i="22"/>
  <c r="AI189" i="22"/>
  <c r="AG189" i="22"/>
  <c r="V189" i="22"/>
  <c r="P189" i="22"/>
  <c r="L189" i="22"/>
  <c r="AK188" i="22"/>
  <c r="AJ188" i="22"/>
  <c r="AI188" i="22"/>
  <c r="AG188" i="22"/>
  <c r="V188" i="22"/>
  <c r="P188" i="22"/>
  <c r="L188" i="22"/>
  <c r="AK187" i="22"/>
  <c r="AJ187" i="22"/>
  <c r="AI187" i="22"/>
  <c r="AG187" i="22"/>
  <c r="V187" i="22"/>
  <c r="P187" i="22"/>
  <c r="L187" i="22"/>
  <c r="AK186" i="22"/>
  <c r="AJ186" i="22"/>
  <c r="AI186" i="22"/>
  <c r="AG186" i="22"/>
  <c r="V186" i="22"/>
  <c r="P186" i="22"/>
  <c r="L186" i="22"/>
  <c r="AK185" i="22"/>
  <c r="AJ185" i="22"/>
  <c r="AI185" i="22"/>
  <c r="AG185" i="22"/>
  <c r="V185" i="22"/>
  <c r="P185" i="22"/>
  <c r="L185" i="22"/>
  <c r="AK184" i="22"/>
  <c r="AJ184" i="22"/>
  <c r="AI184" i="22"/>
  <c r="AG184" i="22"/>
  <c r="V184" i="22"/>
  <c r="P184" i="22"/>
  <c r="L184" i="22"/>
  <c r="AK183" i="22"/>
  <c r="AJ183" i="22"/>
  <c r="AI183" i="22"/>
  <c r="AG183" i="22"/>
  <c r="V183" i="22"/>
  <c r="P183" i="22"/>
  <c r="L183" i="22"/>
  <c r="AK182" i="22"/>
  <c r="AJ182" i="22"/>
  <c r="AI182" i="22"/>
  <c r="AG182" i="22"/>
  <c r="V182" i="22"/>
  <c r="P182" i="22"/>
  <c r="L182" i="22"/>
  <c r="AK181" i="22"/>
  <c r="AJ181" i="22"/>
  <c r="AI181" i="22"/>
  <c r="AG181" i="22"/>
  <c r="V181" i="22"/>
  <c r="P181" i="22"/>
  <c r="L181" i="22"/>
  <c r="AK180" i="22"/>
  <c r="AJ180" i="22"/>
  <c r="AI180" i="22"/>
  <c r="AG180" i="22"/>
  <c r="V180" i="22"/>
  <c r="P180" i="22"/>
  <c r="L180" i="22"/>
  <c r="AK179" i="22"/>
  <c r="AJ179" i="22"/>
  <c r="AI179" i="22"/>
  <c r="AG179" i="22"/>
  <c r="V179" i="22"/>
  <c r="P179" i="22"/>
  <c r="L179" i="22"/>
  <c r="AK178" i="22"/>
  <c r="AJ178" i="22"/>
  <c r="AI178" i="22"/>
  <c r="AG178" i="22"/>
  <c r="V178" i="22"/>
  <c r="P178" i="22"/>
  <c r="L178" i="22"/>
  <c r="AK177" i="22"/>
  <c r="AJ177" i="22"/>
  <c r="AI177" i="22"/>
  <c r="AG177" i="22"/>
  <c r="V177" i="22"/>
  <c r="P177" i="22"/>
  <c r="L177" i="22"/>
  <c r="AK176" i="22"/>
  <c r="AJ176" i="22"/>
  <c r="AI176" i="22"/>
  <c r="AG176" i="22"/>
  <c r="V176" i="22"/>
  <c r="P176" i="22"/>
  <c r="L176" i="22"/>
  <c r="AK175" i="22"/>
  <c r="AJ175" i="22"/>
  <c r="AI175" i="22"/>
  <c r="AG175" i="22"/>
  <c r="V175" i="22"/>
  <c r="P175" i="22"/>
  <c r="L175" i="22"/>
  <c r="AK174" i="22"/>
  <c r="AJ174" i="22"/>
  <c r="AI174" i="22"/>
  <c r="AG174" i="22"/>
  <c r="V174" i="22"/>
  <c r="P174" i="22"/>
  <c r="L174" i="22"/>
  <c r="AK173" i="22"/>
  <c r="AJ173" i="22"/>
  <c r="AI173" i="22"/>
  <c r="AG173" i="22"/>
  <c r="V173" i="22"/>
  <c r="P173" i="22"/>
  <c r="L173" i="22"/>
  <c r="AK172" i="22"/>
  <c r="AJ172" i="22"/>
  <c r="AI172" i="22"/>
  <c r="AG172" i="22"/>
  <c r="V172" i="22"/>
  <c r="P172" i="22"/>
  <c r="L172" i="22"/>
  <c r="AK171" i="22"/>
  <c r="AJ171" i="22"/>
  <c r="AI171" i="22"/>
  <c r="AG171" i="22"/>
  <c r="V171" i="22"/>
  <c r="P171" i="22"/>
  <c r="L171" i="22"/>
  <c r="AK170" i="22"/>
  <c r="AJ170" i="22"/>
  <c r="AI170" i="22"/>
  <c r="AG170" i="22"/>
  <c r="V170" i="22"/>
  <c r="P170" i="22"/>
  <c r="L170" i="22"/>
  <c r="AK169" i="22"/>
  <c r="AJ169" i="22"/>
  <c r="AI169" i="22"/>
  <c r="AG169" i="22"/>
  <c r="V169" i="22"/>
  <c r="P169" i="22"/>
  <c r="L169" i="22"/>
  <c r="AK168" i="22"/>
  <c r="AJ168" i="22"/>
  <c r="AI168" i="22"/>
  <c r="AG168" i="22"/>
  <c r="V168" i="22"/>
  <c r="P168" i="22"/>
  <c r="L168" i="22"/>
  <c r="AK167" i="22"/>
  <c r="AJ167" i="22"/>
  <c r="AI167" i="22"/>
  <c r="AG167" i="22"/>
  <c r="V167" i="22"/>
  <c r="P167" i="22"/>
  <c r="L167" i="22"/>
  <c r="AK166" i="22"/>
  <c r="AJ166" i="22"/>
  <c r="AI166" i="22"/>
  <c r="AG166" i="22"/>
  <c r="V166" i="22"/>
  <c r="P166" i="22"/>
  <c r="L166" i="22"/>
  <c r="AK165" i="22"/>
  <c r="AJ165" i="22"/>
  <c r="AI165" i="22"/>
  <c r="AG165" i="22"/>
  <c r="V165" i="22"/>
  <c r="P165" i="22"/>
  <c r="L165" i="22"/>
  <c r="AK164" i="22"/>
  <c r="AJ164" i="22"/>
  <c r="AI164" i="22"/>
  <c r="AG164" i="22"/>
  <c r="V164" i="22"/>
  <c r="P164" i="22"/>
  <c r="L164" i="22"/>
  <c r="AK163" i="22"/>
  <c r="AJ163" i="22"/>
  <c r="AI163" i="22"/>
  <c r="AG163" i="22"/>
  <c r="V163" i="22"/>
  <c r="P163" i="22"/>
  <c r="L163" i="22"/>
  <c r="AK162" i="22"/>
  <c r="AJ162" i="22"/>
  <c r="AI162" i="22"/>
  <c r="AG162" i="22"/>
  <c r="V162" i="22"/>
  <c r="P162" i="22"/>
  <c r="L162" i="22"/>
  <c r="AK161" i="22"/>
  <c r="AJ161" i="22"/>
  <c r="AI161" i="22"/>
  <c r="AG161" i="22"/>
  <c r="V161" i="22"/>
  <c r="P161" i="22"/>
  <c r="L161" i="22"/>
  <c r="AK160" i="22"/>
  <c r="AJ160" i="22"/>
  <c r="AI160" i="22"/>
  <c r="AG160" i="22"/>
  <c r="V160" i="22"/>
  <c r="P160" i="22"/>
  <c r="L160" i="22"/>
  <c r="AK159" i="22"/>
  <c r="AJ159" i="22"/>
  <c r="AI159" i="22"/>
  <c r="AG159" i="22"/>
  <c r="V159" i="22"/>
  <c r="P159" i="22"/>
  <c r="L159" i="22"/>
  <c r="AK158" i="22"/>
  <c r="AJ158" i="22"/>
  <c r="AI158" i="22"/>
  <c r="AG158" i="22"/>
  <c r="V158" i="22"/>
  <c r="P158" i="22"/>
  <c r="L158" i="22"/>
  <c r="AK157" i="22"/>
  <c r="AJ157" i="22"/>
  <c r="AI157" i="22"/>
  <c r="AG157" i="22"/>
  <c r="V157" i="22"/>
  <c r="P157" i="22"/>
  <c r="L157" i="22"/>
  <c r="AK156" i="22"/>
  <c r="AJ156" i="22"/>
  <c r="AI156" i="22"/>
  <c r="AG156" i="22"/>
  <c r="V156" i="22"/>
  <c r="P156" i="22"/>
  <c r="L156" i="22"/>
  <c r="AK155" i="22"/>
  <c r="AJ155" i="22"/>
  <c r="AI155" i="22"/>
  <c r="AG155" i="22"/>
  <c r="V155" i="22"/>
  <c r="P155" i="22"/>
  <c r="L155" i="22"/>
  <c r="AK154" i="22"/>
  <c r="AJ154" i="22"/>
  <c r="AI154" i="22"/>
  <c r="AG154" i="22"/>
  <c r="V154" i="22"/>
  <c r="P154" i="22"/>
  <c r="L154" i="22"/>
  <c r="AK153" i="22"/>
  <c r="AJ153" i="22"/>
  <c r="AI153" i="22"/>
  <c r="AG153" i="22"/>
  <c r="V153" i="22"/>
  <c r="P153" i="22"/>
  <c r="L153" i="22"/>
  <c r="AK152" i="22"/>
  <c r="AJ152" i="22"/>
  <c r="AI152" i="22"/>
  <c r="AG152" i="22"/>
  <c r="V152" i="22"/>
  <c r="P152" i="22"/>
  <c r="L152" i="22"/>
  <c r="AK151" i="22"/>
  <c r="AJ151" i="22"/>
  <c r="AI151" i="22"/>
  <c r="AG151" i="22"/>
  <c r="V151" i="22"/>
  <c r="P151" i="22"/>
  <c r="L151" i="22"/>
  <c r="AK150" i="22"/>
  <c r="AJ150" i="22"/>
  <c r="AI150" i="22"/>
  <c r="AG150" i="22"/>
  <c r="V150" i="22"/>
  <c r="P150" i="22"/>
  <c r="L150" i="22"/>
  <c r="AK149" i="22"/>
  <c r="AJ149" i="22"/>
  <c r="AI149" i="22"/>
  <c r="AG149" i="22"/>
  <c r="V149" i="22"/>
  <c r="P149" i="22"/>
  <c r="L149" i="22"/>
  <c r="AK148" i="22"/>
  <c r="AJ148" i="22"/>
  <c r="AI148" i="22"/>
  <c r="AG148" i="22"/>
  <c r="V148" i="22"/>
  <c r="P148" i="22"/>
  <c r="L148" i="22"/>
  <c r="AK147" i="22"/>
  <c r="AJ147" i="22"/>
  <c r="AI147" i="22"/>
  <c r="AG147" i="22"/>
  <c r="V147" i="22"/>
  <c r="P147" i="22"/>
  <c r="L147" i="22"/>
  <c r="AK146" i="22"/>
  <c r="AJ146" i="22"/>
  <c r="AI146" i="22"/>
  <c r="AG146" i="22"/>
  <c r="V146" i="22"/>
  <c r="P146" i="22"/>
  <c r="L146" i="22"/>
  <c r="AK145" i="22"/>
  <c r="AJ145" i="22"/>
  <c r="AI145" i="22"/>
  <c r="AG145" i="22"/>
  <c r="V145" i="22"/>
  <c r="P145" i="22"/>
  <c r="L145" i="22"/>
  <c r="AK144" i="22"/>
  <c r="AJ144" i="22"/>
  <c r="AI144" i="22"/>
  <c r="AG144" i="22"/>
  <c r="V144" i="22"/>
  <c r="P144" i="22"/>
  <c r="L144" i="22"/>
  <c r="AK143" i="22"/>
  <c r="AJ143" i="22"/>
  <c r="AI143" i="22"/>
  <c r="AG143" i="22"/>
  <c r="V143" i="22"/>
  <c r="P143" i="22"/>
  <c r="L143" i="22"/>
  <c r="AK142" i="22"/>
  <c r="AJ142" i="22"/>
  <c r="AI142" i="22"/>
  <c r="AG142" i="22"/>
  <c r="V142" i="22"/>
  <c r="P142" i="22"/>
  <c r="L142" i="22"/>
  <c r="AK141" i="22"/>
  <c r="AJ141" i="22"/>
  <c r="AI141" i="22"/>
  <c r="AG141" i="22"/>
  <c r="V141" i="22"/>
  <c r="P141" i="22"/>
  <c r="L141" i="22"/>
  <c r="AK140" i="22"/>
  <c r="AJ140" i="22"/>
  <c r="AI140" i="22"/>
  <c r="AG140" i="22"/>
  <c r="V140" i="22"/>
  <c r="P140" i="22"/>
  <c r="L140" i="22"/>
  <c r="AK139" i="22"/>
  <c r="AJ139" i="22"/>
  <c r="AI139" i="22"/>
  <c r="AG139" i="22"/>
  <c r="V139" i="22"/>
  <c r="P139" i="22"/>
  <c r="L139" i="22"/>
  <c r="AK138" i="22"/>
  <c r="AJ138" i="22"/>
  <c r="AI138" i="22"/>
  <c r="AG138" i="22"/>
  <c r="V138" i="22"/>
  <c r="P138" i="22"/>
  <c r="L138" i="22"/>
  <c r="AK137" i="22"/>
  <c r="AJ137" i="22"/>
  <c r="AI137" i="22"/>
  <c r="AG137" i="22"/>
  <c r="V137" i="22"/>
  <c r="P137" i="22"/>
  <c r="L137" i="22"/>
  <c r="AK136" i="22"/>
  <c r="AJ136" i="22"/>
  <c r="AI136" i="22"/>
  <c r="AG136" i="22"/>
  <c r="V136" i="22"/>
  <c r="P136" i="22"/>
  <c r="L136" i="22"/>
  <c r="AK135" i="22"/>
  <c r="AJ135" i="22"/>
  <c r="AI135" i="22"/>
  <c r="AG135" i="22"/>
  <c r="V135" i="22"/>
  <c r="P135" i="22"/>
  <c r="L135" i="22"/>
  <c r="AK134" i="22"/>
  <c r="AJ134" i="22"/>
  <c r="AI134" i="22"/>
  <c r="AG134" i="22"/>
  <c r="V134" i="22"/>
  <c r="P134" i="22"/>
  <c r="L134" i="22"/>
  <c r="AK133" i="22"/>
  <c r="AJ133" i="22"/>
  <c r="AI133" i="22"/>
  <c r="AG133" i="22"/>
  <c r="V133" i="22"/>
  <c r="P133" i="22"/>
  <c r="L133" i="22"/>
  <c r="AK132" i="22"/>
  <c r="AJ132" i="22"/>
  <c r="AI132" i="22"/>
  <c r="AG132" i="22"/>
  <c r="V132" i="22"/>
  <c r="P132" i="22"/>
  <c r="L132" i="22"/>
  <c r="AK131" i="22"/>
  <c r="AJ131" i="22"/>
  <c r="AI131" i="22"/>
  <c r="AG131" i="22"/>
  <c r="V131" i="22"/>
  <c r="P131" i="22"/>
  <c r="L131" i="22"/>
  <c r="AK130" i="22"/>
  <c r="AJ130" i="22"/>
  <c r="AI130" i="22"/>
  <c r="AG130" i="22"/>
  <c r="V130" i="22"/>
  <c r="P130" i="22"/>
  <c r="L130" i="22"/>
  <c r="AK129" i="22"/>
  <c r="AJ129" i="22"/>
  <c r="AI129" i="22"/>
  <c r="AG129" i="22"/>
  <c r="V129" i="22"/>
  <c r="P129" i="22"/>
  <c r="L129" i="22"/>
  <c r="AK128" i="22"/>
  <c r="AJ128" i="22"/>
  <c r="AI128" i="22"/>
  <c r="AG128" i="22"/>
  <c r="V128" i="22"/>
  <c r="P128" i="22"/>
  <c r="L128" i="22"/>
  <c r="AK127" i="22"/>
  <c r="AJ127" i="22"/>
  <c r="AI127" i="22"/>
  <c r="AG127" i="22"/>
  <c r="V127" i="22"/>
  <c r="P127" i="22"/>
  <c r="L127" i="22"/>
  <c r="AK126" i="22"/>
  <c r="AJ126" i="22"/>
  <c r="AI126" i="22"/>
  <c r="AG126" i="22"/>
  <c r="V126" i="22"/>
  <c r="P126" i="22"/>
  <c r="L126" i="22"/>
  <c r="AK125" i="22"/>
  <c r="AJ125" i="22"/>
  <c r="AI125" i="22"/>
  <c r="AG125" i="22"/>
  <c r="V125" i="22"/>
  <c r="P125" i="22"/>
  <c r="L125" i="22"/>
  <c r="AK124" i="22"/>
  <c r="AJ124" i="22"/>
  <c r="AI124" i="22"/>
  <c r="AG124" i="22"/>
  <c r="V124" i="22"/>
  <c r="P124" i="22"/>
  <c r="L124" i="22"/>
  <c r="AK123" i="22"/>
  <c r="AJ123" i="22"/>
  <c r="AI123" i="22"/>
  <c r="AG123" i="22"/>
  <c r="V123" i="22"/>
  <c r="P123" i="22"/>
  <c r="L123" i="22"/>
  <c r="AK122" i="22"/>
  <c r="AJ122" i="22"/>
  <c r="AI122" i="22"/>
  <c r="AG122" i="22"/>
  <c r="V122" i="22"/>
  <c r="P122" i="22"/>
  <c r="L122" i="22"/>
  <c r="AK121" i="22"/>
  <c r="AJ121" i="22"/>
  <c r="AI121" i="22"/>
  <c r="AG121" i="22"/>
  <c r="V121" i="22"/>
  <c r="P121" i="22"/>
  <c r="L121" i="22"/>
  <c r="AK120" i="22"/>
  <c r="AJ120" i="22"/>
  <c r="AI120" i="22"/>
  <c r="AG120" i="22"/>
  <c r="V120" i="22"/>
  <c r="P120" i="22"/>
  <c r="L120" i="22"/>
  <c r="AK119" i="22"/>
  <c r="AJ119" i="22"/>
  <c r="AI119" i="22"/>
  <c r="AG119" i="22"/>
  <c r="V119" i="22"/>
  <c r="P119" i="22"/>
  <c r="L119" i="22"/>
  <c r="AK118" i="22"/>
  <c r="AJ118" i="22"/>
  <c r="AI118" i="22"/>
  <c r="AG118" i="22"/>
  <c r="V118" i="22"/>
  <c r="P118" i="22"/>
  <c r="L118" i="22"/>
  <c r="AK117" i="22"/>
  <c r="AJ117" i="22"/>
  <c r="AI117" i="22"/>
  <c r="AG117" i="22"/>
  <c r="V117" i="22"/>
  <c r="P117" i="22"/>
  <c r="L117" i="22"/>
  <c r="AK116" i="22"/>
  <c r="AJ116" i="22"/>
  <c r="AI116" i="22"/>
  <c r="AG116" i="22"/>
  <c r="V116" i="22"/>
  <c r="P116" i="22"/>
  <c r="L116" i="22"/>
  <c r="AK115" i="22"/>
  <c r="AJ115" i="22"/>
  <c r="AI115" i="22"/>
  <c r="AG115" i="22"/>
  <c r="V115" i="22"/>
  <c r="P115" i="22"/>
  <c r="L115" i="22"/>
  <c r="AK114" i="22"/>
  <c r="AJ114" i="22"/>
  <c r="AI114" i="22"/>
  <c r="AG114" i="22"/>
  <c r="V114" i="22"/>
  <c r="P114" i="22"/>
  <c r="L114" i="22"/>
  <c r="AK113" i="22"/>
  <c r="AJ113" i="22"/>
  <c r="AI113" i="22"/>
  <c r="AG113" i="22"/>
  <c r="V113" i="22"/>
  <c r="P113" i="22"/>
  <c r="L113" i="22"/>
  <c r="AK112" i="22"/>
  <c r="AJ112" i="22"/>
  <c r="AI112" i="22"/>
  <c r="AG112" i="22"/>
  <c r="V112" i="22"/>
  <c r="P112" i="22"/>
  <c r="L112" i="22"/>
  <c r="AK111" i="22"/>
  <c r="AJ111" i="22"/>
  <c r="AI111" i="22"/>
  <c r="AG111" i="22"/>
  <c r="V111" i="22"/>
  <c r="P111" i="22"/>
  <c r="L111" i="22"/>
  <c r="AK110" i="22"/>
  <c r="AJ110" i="22"/>
  <c r="AI110" i="22"/>
  <c r="AG110" i="22"/>
  <c r="V110" i="22"/>
  <c r="P110" i="22"/>
  <c r="L110" i="22"/>
  <c r="AK109" i="22"/>
  <c r="AJ109" i="22"/>
  <c r="AI109" i="22"/>
  <c r="AG109" i="22"/>
  <c r="V109" i="22"/>
  <c r="P109" i="22"/>
  <c r="L109" i="22"/>
  <c r="AK108" i="22"/>
  <c r="AJ108" i="22"/>
  <c r="AI108" i="22"/>
  <c r="AG108" i="22"/>
  <c r="V108" i="22"/>
  <c r="P108" i="22"/>
  <c r="L108" i="22"/>
  <c r="AK107" i="22"/>
  <c r="AJ107" i="22"/>
  <c r="AI107" i="22"/>
  <c r="AG107" i="22"/>
  <c r="V107" i="22"/>
  <c r="P107" i="22"/>
  <c r="L107" i="22"/>
  <c r="AK106" i="22"/>
  <c r="AJ106" i="22"/>
  <c r="AI106" i="22"/>
  <c r="AG106" i="22"/>
  <c r="V106" i="22"/>
  <c r="P106" i="22"/>
  <c r="L106" i="22"/>
  <c r="AK105" i="22"/>
  <c r="AJ105" i="22"/>
  <c r="AI105" i="22"/>
  <c r="AG105" i="22"/>
  <c r="V105" i="22"/>
  <c r="P105" i="22"/>
  <c r="L105" i="22"/>
  <c r="AK104" i="22"/>
  <c r="AJ104" i="22"/>
  <c r="AI104" i="22"/>
  <c r="AG104" i="22"/>
  <c r="V104" i="22"/>
  <c r="P104" i="22"/>
  <c r="L104" i="22"/>
  <c r="AK103" i="22"/>
  <c r="AJ103" i="22"/>
  <c r="AI103" i="22"/>
  <c r="AG103" i="22"/>
  <c r="V103" i="22"/>
  <c r="P103" i="22"/>
  <c r="L103" i="22"/>
  <c r="AK102" i="22"/>
  <c r="AJ102" i="22"/>
  <c r="AI102" i="22"/>
  <c r="AG102" i="22"/>
  <c r="V102" i="22"/>
  <c r="P102" i="22"/>
  <c r="L102" i="22"/>
  <c r="AK101" i="22"/>
  <c r="AJ101" i="22"/>
  <c r="AI101" i="22"/>
  <c r="AG101" i="22"/>
  <c r="V101" i="22"/>
  <c r="P101" i="22"/>
  <c r="L101" i="22"/>
  <c r="AK100" i="22"/>
  <c r="AJ100" i="22"/>
  <c r="AI100" i="22"/>
  <c r="AG100" i="22"/>
  <c r="V100" i="22"/>
  <c r="P100" i="22"/>
  <c r="L100" i="22"/>
  <c r="AK99" i="22"/>
  <c r="AJ99" i="22"/>
  <c r="AI99" i="22"/>
  <c r="AG99" i="22"/>
  <c r="V99" i="22"/>
  <c r="P99" i="22"/>
  <c r="L99" i="22"/>
  <c r="AK98" i="22"/>
  <c r="AJ98" i="22"/>
  <c r="AI98" i="22"/>
  <c r="AG98" i="22"/>
  <c r="V98" i="22"/>
  <c r="P98" i="22"/>
  <c r="L98" i="22"/>
  <c r="AK97" i="22"/>
  <c r="AJ97" i="22"/>
  <c r="AI97" i="22"/>
  <c r="AG97" i="22"/>
  <c r="V97" i="22"/>
  <c r="P97" i="22"/>
  <c r="L97" i="22"/>
  <c r="AK96" i="22"/>
  <c r="AJ96" i="22"/>
  <c r="AI96" i="22"/>
  <c r="AG96" i="22"/>
  <c r="V96" i="22"/>
  <c r="P96" i="22"/>
  <c r="L96" i="22"/>
  <c r="AK95" i="22"/>
  <c r="AJ95" i="22"/>
  <c r="AI95" i="22"/>
  <c r="AG95" i="22"/>
  <c r="V95" i="22"/>
  <c r="P95" i="22"/>
  <c r="L95" i="22"/>
  <c r="AK94" i="22"/>
  <c r="AJ94" i="22"/>
  <c r="AI94" i="22"/>
  <c r="AG94" i="22"/>
  <c r="V94" i="22"/>
  <c r="P94" i="22"/>
  <c r="L94" i="22"/>
  <c r="AK93" i="22"/>
  <c r="AJ93" i="22"/>
  <c r="AI93" i="22"/>
  <c r="AG93" i="22"/>
  <c r="V93" i="22"/>
  <c r="P93" i="22"/>
  <c r="L93" i="22"/>
  <c r="AK92" i="22"/>
  <c r="AJ92" i="22"/>
  <c r="AI92" i="22"/>
  <c r="AG92" i="22"/>
  <c r="V92" i="22"/>
  <c r="P92" i="22"/>
  <c r="L92" i="22"/>
  <c r="AK91" i="22"/>
  <c r="AJ91" i="22"/>
  <c r="AI91" i="22"/>
  <c r="AG91" i="22"/>
  <c r="V91" i="22"/>
  <c r="P91" i="22"/>
  <c r="L91" i="22"/>
  <c r="AK90" i="22"/>
  <c r="AJ90" i="22"/>
  <c r="AI90" i="22"/>
  <c r="AG90" i="22"/>
  <c r="V90" i="22"/>
  <c r="P90" i="22"/>
  <c r="L90" i="22"/>
  <c r="AK89" i="22"/>
  <c r="AJ89" i="22"/>
  <c r="AI89" i="22"/>
  <c r="AG89" i="22"/>
  <c r="V89" i="22"/>
  <c r="P89" i="22"/>
  <c r="L89" i="22"/>
  <c r="AK88" i="22"/>
  <c r="AJ88" i="22"/>
  <c r="AI88" i="22"/>
  <c r="AG88" i="22"/>
  <c r="V88" i="22"/>
  <c r="P88" i="22"/>
  <c r="L88" i="22"/>
  <c r="AK87" i="22"/>
  <c r="AJ87" i="22"/>
  <c r="AI87" i="22"/>
  <c r="AG87" i="22"/>
  <c r="V87" i="22"/>
  <c r="P87" i="22"/>
  <c r="L87" i="22"/>
  <c r="AK86" i="22"/>
  <c r="AJ86" i="22"/>
  <c r="AI86" i="22"/>
  <c r="AG86" i="22"/>
  <c r="V86" i="22"/>
  <c r="P86" i="22"/>
  <c r="L86" i="22"/>
  <c r="AK85" i="22"/>
  <c r="AJ85" i="22"/>
  <c r="AI85" i="22"/>
  <c r="AG85" i="22"/>
  <c r="V85" i="22"/>
  <c r="P85" i="22"/>
  <c r="L85" i="22"/>
  <c r="AK84" i="22"/>
  <c r="AJ84" i="22"/>
  <c r="AI84" i="22"/>
  <c r="AG84" i="22"/>
  <c r="V84" i="22"/>
  <c r="P84" i="22"/>
  <c r="L84" i="22"/>
  <c r="AK83" i="22"/>
  <c r="AJ83" i="22"/>
  <c r="AI83" i="22"/>
  <c r="AG83" i="22"/>
  <c r="V83" i="22"/>
  <c r="P83" i="22"/>
  <c r="L83" i="22"/>
  <c r="AK82" i="22"/>
  <c r="AJ82" i="22"/>
  <c r="AI82" i="22"/>
  <c r="AG82" i="22"/>
  <c r="V82" i="22"/>
  <c r="P82" i="22"/>
  <c r="L82" i="22"/>
  <c r="AK81" i="22"/>
  <c r="AJ81" i="22"/>
  <c r="AI81" i="22"/>
  <c r="AG81" i="22"/>
  <c r="V81" i="22"/>
  <c r="P81" i="22"/>
  <c r="L81" i="22"/>
  <c r="AK80" i="22"/>
  <c r="AJ80" i="22"/>
  <c r="AI80" i="22"/>
  <c r="AG80" i="22"/>
  <c r="V80" i="22"/>
  <c r="P80" i="22"/>
  <c r="L80" i="22"/>
  <c r="AK79" i="22"/>
  <c r="AJ79" i="22"/>
  <c r="AI79" i="22"/>
  <c r="AG79" i="22"/>
  <c r="V79" i="22"/>
  <c r="P79" i="22"/>
  <c r="L79" i="22"/>
  <c r="AK78" i="22"/>
  <c r="AJ78" i="22"/>
  <c r="AI78" i="22"/>
  <c r="AG78" i="22"/>
  <c r="V78" i="22"/>
  <c r="P78" i="22"/>
  <c r="L78" i="22"/>
  <c r="AK77" i="22"/>
  <c r="AJ77" i="22"/>
  <c r="AI77" i="22"/>
  <c r="AG77" i="22"/>
  <c r="V77" i="22"/>
  <c r="P77" i="22"/>
  <c r="L77" i="22"/>
  <c r="AK76" i="22"/>
  <c r="AJ76" i="22"/>
  <c r="AI76" i="22"/>
  <c r="AG76" i="22"/>
  <c r="V76" i="22"/>
  <c r="P76" i="22"/>
  <c r="L76" i="22"/>
  <c r="AK75" i="22"/>
  <c r="AJ75" i="22"/>
  <c r="AI75" i="22"/>
  <c r="AG75" i="22"/>
  <c r="V75" i="22"/>
  <c r="P75" i="22"/>
  <c r="L75" i="22"/>
  <c r="AK74" i="22"/>
  <c r="AJ74" i="22"/>
  <c r="AI74" i="22"/>
  <c r="AG74" i="22"/>
  <c r="V74" i="22"/>
  <c r="P74" i="22"/>
  <c r="L74" i="22"/>
  <c r="AK73" i="22"/>
  <c r="AJ73" i="22"/>
  <c r="AI73" i="22"/>
  <c r="AG73" i="22"/>
  <c r="V73" i="22"/>
  <c r="P73" i="22"/>
  <c r="L73" i="22"/>
  <c r="AK72" i="22"/>
  <c r="AJ72" i="22"/>
  <c r="AI72" i="22"/>
  <c r="AG72" i="22"/>
  <c r="V72" i="22"/>
  <c r="P72" i="22"/>
  <c r="L72" i="22"/>
  <c r="AK71" i="22"/>
  <c r="AJ71" i="22"/>
  <c r="AI71" i="22"/>
  <c r="AG71" i="22"/>
  <c r="V71" i="22"/>
  <c r="P71" i="22"/>
  <c r="L71" i="22"/>
  <c r="AK70" i="22"/>
  <c r="AJ70" i="22"/>
  <c r="AI70" i="22"/>
  <c r="AG70" i="22"/>
  <c r="V70" i="22"/>
  <c r="P70" i="22"/>
  <c r="L70" i="22"/>
  <c r="AK69" i="22"/>
  <c r="AJ69" i="22"/>
  <c r="AI69" i="22"/>
  <c r="AG69" i="22"/>
  <c r="V69" i="22"/>
  <c r="P69" i="22"/>
  <c r="L69" i="22"/>
  <c r="AK68" i="22"/>
  <c r="AJ68" i="22"/>
  <c r="AI68" i="22"/>
  <c r="AG68" i="22"/>
  <c r="V68" i="22"/>
  <c r="P68" i="22"/>
  <c r="L68" i="22"/>
  <c r="AK67" i="22"/>
  <c r="AJ67" i="22"/>
  <c r="AI67" i="22"/>
  <c r="AG67" i="22"/>
  <c r="V67" i="22"/>
  <c r="P67" i="22"/>
  <c r="L67" i="22"/>
  <c r="AK66" i="22"/>
  <c r="AJ66" i="22"/>
  <c r="AI66" i="22"/>
  <c r="AG66" i="22"/>
  <c r="V66" i="22"/>
  <c r="P66" i="22"/>
  <c r="L66" i="22"/>
  <c r="AK65" i="22"/>
  <c r="AJ65" i="22"/>
  <c r="AI65" i="22"/>
  <c r="AG65" i="22"/>
  <c r="V65" i="22"/>
  <c r="P65" i="22"/>
  <c r="L65" i="22"/>
  <c r="AK64" i="22"/>
  <c r="AJ64" i="22"/>
  <c r="AI64" i="22"/>
  <c r="AG64" i="22"/>
  <c r="V64" i="22"/>
  <c r="P64" i="22"/>
  <c r="L64" i="22"/>
  <c r="AK63" i="22"/>
  <c r="AJ63" i="22"/>
  <c r="AI63" i="22"/>
  <c r="AG63" i="22"/>
  <c r="V63" i="22"/>
  <c r="P63" i="22"/>
  <c r="L63" i="22"/>
  <c r="AK62" i="22"/>
  <c r="AJ62" i="22"/>
  <c r="AI62" i="22"/>
  <c r="AG62" i="22"/>
  <c r="V62" i="22"/>
  <c r="P62" i="22"/>
  <c r="L62" i="22"/>
  <c r="AK61" i="22"/>
  <c r="AJ61" i="22"/>
  <c r="AI61" i="22"/>
  <c r="AG61" i="22"/>
  <c r="V61" i="22"/>
  <c r="P61" i="22"/>
  <c r="L61" i="22"/>
  <c r="AK60" i="22"/>
  <c r="AJ60" i="22"/>
  <c r="AI60" i="22"/>
  <c r="AG60" i="22"/>
  <c r="V60" i="22"/>
  <c r="P60" i="22"/>
  <c r="L60" i="22"/>
  <c r="AK59" i="22"/>
  <c r="AJ59" i="22"/>
  <c r="AI59" i="22"/>
  <c r="AG59" i="22"/>
  <c r="V59" i="22"/>
  <c r="P59" i="22"/>
  <c r="L59" i="22"/>
  <c r="AK58" i="22"/>
  <c r="AJ58" i="22"/>
  <c r="AI58" i="22"/>
  <c r="AG58" i="22"/>
  <c r="V58" i="22"/>
  <c r="P58" i="22"/>
  <c r="L58" i="22"/>
  <c r="AK57" i="22"/>
  <c r="AJ57" i="22"/>
  <c r="AI57" i="22"/>
  <c r="AG57" i="22"/>
  <c r="V57" i="22"/>
  <c r="P57" i="22"/>
  <c r="L57" i="22"/>
  <c r="AK56" i="22"/>
  <c r="AJ56" i="22"/>
  <c r="AI56" i="22"/>
  <c r="AG56" i="22"/>
  <c r="V56" i="22"/>
  <c r="P56" i="22"/>
  <c r="L56" i="22"/>
  <c r="AK55" i="22"/>
  <c r="AJ55" i="22"/>
  <c r="AI55" i="22"/>
  <c r="AG55" i="22"/>
  <c r="V55" i="22"/>
  <c r="P55" i="22"/>
  <c r="L55" i="22"/>
  <c r="AK54" i="22"/>
  <c r="AJ54" i="22"/>
  <c r="AI54" i="22"/>
  <c r="AG54" i="22"/>
  <c r="V54" i="22"/>
  <c r="P54" i="22"/>
  <c r="L54" i="22"/>
  <c r="AK53" i="22"/>
  <c r="AJ53" i="22"/>
  <c r="AI53" i="22"/>
  <c r="AG53" i="22"/>
  <c r="V53" i="22"/>
  <c r="P53" i="22"/>
  <c r="L53" i="22"/>
  <c r="AK52" i="22"/>
  <c r="AJ52" i="22"/>
  <c r="AI52" i="22"/>
  <c r="AG52" i="22"/>
  <c r="V52" i="22"/>
  <c r="P52" i="22"/>
  <c r="L52" i="22"/>
  <c r="AK51" i="22"/>
  <c r="AJ51" i="22"/>
  <c r="AI51" i="22"/>
  <c r="AG51" i="22"/>
  <c r="V51" i="22"/>
  <c r="P51" i="22"/>
  <c r="L51" i="22"/>
  <c r="AK50" i="22"/>
  <c r="AJ50" i="22"/>
  <c r="AI50" i="22"/>
  <c r="AG50" i="22"/>
  <c r="V50" i="22"/>
  <c r="P50" i="22"/>
  <c r="L50" i="22"/>
  <c r="AK49" i="22"/>
  <c r="AJ49" i="22"/>
  <c r="AI49" i="22"/>
  <c r="AG49" i="22"/>
  <c r="V49" i="22"/>
  <c r="P49" i="22"/>
  <c r="L49" i="22"/>
  <c r="AK48" i="22"/>
  <c r="AJ48" i="22"/>
  <c r="AI48" i="22"/>
  <c r="AG48" i="22"/>
  <c r="V48" i="22"/>
  <c r="P48" i="22"/>
  <c r="L48" i="22"/>
  <c r="AK47" i="22"/>
  <c r="AJ47" i="22"/>
  <c r="AI47" i="22"/>
  <c r="AG47" i="22"/>
  <c r="V47" i="22"/>
  <c r="P47" i="22"/>
  <c r="L47" i="22"/>
  <c r="AK46" i="22"/>
  <c r="AJ46" i="22"/>
  <c r="AI46" i="22"/>
  <c r="AG46" i="22"/>
  <c r="V46" i="22"/>
  <c r="P46" i="22"/>
  <c r="L46" i="22"/>
  <c r="AK45" i="22"/>
  <c r="AJ45" i="22"/>
  <c r="AI45" i="22"/>
  <c r="AG45" i="22"/>
  <c r="V45" i="22"/>
  <c r="P45" i="22"/>
  <c r="L45" i="22"/>
  <c r="AK44" i="22"/>
  <c r="AJ44" i="22"/>
  <c r="AI44" i="22"/>
  <c r="AG44" i="22"/>
  <c r="V44" i="22"/>
  <c r="P44" i="22"/>
  <c r="L44" i="22"/>
  <c r="AK43" i="22"/>
  <c r="AJ43" i="22"/>
  <c r="AI43" i="22"/>
  <c r="AG43" i="22"/>
  <c r="V43" i="22"/>
  <c r="P43" i="22"/>
  <c r="L43" i="22"/>
  <c r="AK42" i="22"/>
  <c r="AJ42" i="22"/>
  <c r="AI42" i="22"/>
  <c r="AG42" i="22"/>
  <c r="V42" i="22"/>
  <c r="P42" i="22"/>
  <c r="L42" i="22"/>
  <c r="AK41" i="22"/>
  <c r="AJ41" i="22"/>
  <c r="AI41" i="22"/>
  <c r="AG41" i="22"/>
  <c r="V41" i="22"/>
  <c r="P41" i="22"/>
  <c r="L41" i="22"/>
  <c r="AK40" i="22"/>
  <c r="AJ40" i="22"/>
  <c r="AI40" i="22"/>
  <c r="AG40" i="22"/>
  <c r="V40" i="22"/>
  <c r="P40" i="22"/>
  <c r="L40" i="22"/>
  <c r="AK39" i="22"/>
  <c r="AJ39" i="22"/>
  <c r="AI39" i="22"/>
  <c r="AG39" i="22"/>
  <c r="V39" i="22"/>
  <c r="P39" i="22"/>
  <c r="L39" i="22"/>
  <c r="AK38" i="22"/>
  <c r="AJ38" i="22"/>
  <c r="AI38" i="22"/>
  <c r="AG38" i="22"/>
  <c r="V38" i="22"/>
  <c r="P38" i="22"/>
  <c r="L38" i="22"/>
  <c r="AK37" i="22"/>
  <c r="AJ37" i="22"/>
  <c r="AI37" i="22"/>
  <c r="AG37" i="22"/>
  <c r="V37" i="22"/>
  <c r="P37" i="22"/>
  <c r="L37" i="22"/>
  <c r="AK36" i="22"/>
  <c r="AJ36" i="22"/>
  <c r="AI36" i="22"/>
  <c r="AG36" i="22"/>
  <c r="V36" i="22"/>
  <c r="P36" i="22"/>
  <c r="L36" i="22"/>
  <c r="AK35" i="22"/>
  <c r="AJ35" i="22"/>
  <c r="AI35" i="22"/>
  <c r="AG35" i="22"/>
  <c r="V35" i="22"/>
  <c r="P35" i="22"/>
  <c r="L35" i="22"/>
  <c r="AK34" i="22"/>
  <c r="AJ34" i="22"/>
  <c r="AI34" i="22"/>
  <c r="AG34" i="22"/>
  <c r="V34" i="22"/>
  <c r="P34" i="22"/>
  <c r="L34" i="22"/>
  <c r="AK33" i="22"/>
  <c r="AJ33" i="22"/>
  <c r="AI33" i="22"/>
  <c r="AG33" i="22"/>
  <c r="V33" i="22"/>
  <c r="P33" i="22"/>
  <c r="L33" i="22"/>
  <c r="AK32" i="22"/>
  <c r="AJ32" i="22"/>
  <c r="AI32" i="22"/>
  <c r="AG32" i="22"/>
  <c r="V32" i="22"/>
  <c r="P32" i="22"/>
  <c r="L32" i="22"/>
  <c r="AK31" i="22"/>
  <c r="AJ31" i="22"/>
  <c r="AI31" i="22"/>
  <c r="AG31" i="22"/>
  <c r="V31" i="22"/>
  <c r="P31" i="22"/>
  <c r="L31" i="22"/>
  <c r="AK30" i="22"/>
  <c r="AJ30" i="22"/>
  <c r="AI30" i="22"/>
  <c r="AG30" i="22"/>
  <c r="V30" i="22"/>
  <c r="P30" i="22"/>
  <c r="L30" i="22"/>
  <c r="AK29" i="22"/>
  <c r="AJ29" i="22"/>
  <c r="AI29" i="22"/>
  <c r="AG29" i="22"/>
  <c r="V29" i="22"/>
  <c r="P29" i="22"/>
  <c r="L29" i="22"/>
  <c r="AK28" i="22"/>
  <c r="AJ28" i="22"/>
  <c r="AI28" i="22"/>
  <c r="AG28" i="22"/>
  <c r="V28" i="22"/>
  <c r="P28" i="22"/>
  <c r="L28" i="22"/>
  <c r="AK27" i="22"/>
  <c r="AJ27" i="22"/>
  <c r="AI27" i="22"/>
  <c r="AG27" i="22"/>
  <c r="V27" i="22"/>
  <c r="P27" i="22"/>
  <c r="L27" i="22"/>
  <c r="AK26" i="22"/>
  <c r="AJ26" i="22"/>
  <c r="AI26" i="22"/>
  <c r="AG26" i="22"/>
  <c r="V26" i="22"/>
  <c r="P26" i="22"/>
  <c r="L26" i="22"/>
  <c r="AK25" i="22"/>
  <c r="AJ25" i="22"/>
  <c r="AI25" i="22"/>
  <c r="AG25" i="22"/>
  <c r="V25" i="22"/>
  <c r="P25" i="22"/>
  <c r="L25" i="22"/>
  <c r="AK24" i="22"/>
  <c r="AJ24" i="22"/>
  <c r="AI24" i="22"/>
  <c r="AG24" i="22"/>
  <c r="V24" i="22"/>
  <c r="P24" i="22"/>
  <c r="L24" i="22"/>
  <c r="AK23" i="22"/>
  <c r="AJ23" i="22"/>
  <c r="AI23" i="22"/>
  <c r="AG23" i="22"/>
  <c r="V23" i="22"/>
  <c r="P23" i="22"/>
  <c r="L23" i="22"/>
  <c r="AK22" i="22"/>
  <c r="AJ22" i="22"/>
  <c r="AI22" i="22"/>
  <c r="AG22" i="22"/>
  <c r="V22" i="22"/>
  <c r="P22" i="22"/>
  <c r="L22" i="22"/>
  <c r="AK21" i="22"/>
  <c r="AJ21" i="22"/>
  <c r="AI21" i="22"/>
  <c r="AG21" i="22"/>
  <c r="V21" i="22"/>
  <c r="P21" i="22"/>
  <c r="L21" i="22"/>
  <c r="AK20" i="22"/>
  <c r="AJ20" i="22"/>
  <c r="AI20" i="22"/>
  <c r="AG20" i="22"/>
  <c r="V20" i="22"/>
  <c r="P20" i="22"/>
  <c r="L20" i="22"/>
  <c r="AK19" i="22"/>
  <c r="AJ19" i="22"/>
  <c r="AI19" i="22"/>
  <c r="AG19" i="22"/>
  <c r="V19" i="22"/>
  <c r="P19" i="22"/>
  <c r="L19" i="22"/>
  <c r="AK18" i="22"/>
  <c r="AJ18" i="22"/>
  <c r="AI18" i="22"/>
  <c r="AG18" i="22"/>
  <c r="V18" i="22"/>
  <c r="P18" i="22"/>
  <c r="L18" i="22"/>
  <c r="AK17" i="22"/>
  <c r="AJ17" i="22"/>
  <c r="AI17" i="22"/>
  <c r="AG17" i="22"/>
  <c r="V17" i="22"/>
  <c r="P17" i="22"/>
  <c r="L17" i="22"/>
  <c r="AK16" i="22"/>
  <c r="AJ16" i="22"/>
  <c r="AI16" i="22"/>
  <c r="AG16" i="22"/>
  <c r="V16" i="22"/>
  <c r="P16" i="22"/>
  <c r="L16" i="22"/>
  <c r="AK15" i="22"/>
  <c r="AJ15" i="22"/>
  <c r="AI15" i="22"/>
  <c r="AG15" i="22"/>
  <c r="V15" i="22"/>
  <c r="P15" i="22"/>
  <c r="L15" i="22"/>
  <c r="AK14" i="22"/>
  <c r="AJ14" i="22"/>
  <c r="AI14" i="22"/>
  <c r="AG14" i="22"/>
  <c r="V14" i="22"/>
  <c r="P14" i="22"/>
  <c r="L14" i="22"/>
  <c r="AK13" i="22"/>
  <c r="AJ13" i="22"/>
  <c r="AI13" i="22"/>
  <c r="AG13" i="22"/>
  <c r="V13" i="22"/>
  <c r="P13" i="22"/>
  <c r="L13" i="22"/>
  <c r="AK12" i="22"/>
  <c r="AJ12" i="22"/>
  <c r="AI12" i="22"/>
  <c r="AG12" i="22"/>
  <c r="V12" i="22"/>
  <c r="P12" i="22"/>
  <c r="L12" i="22"/>
  <c r="AK11" i="22"/>
  <c r="AJ11" i="22"/>
  <c r="AI11" i="22"/>
  <c r="AG11" i="22"/>
  <c r="V11" i="22"/>
  <c r="P11" i="22"/>
  <c r="L11" i="22"/>
  <c r="AK10" i="22"/>
  <c r="AJ10" i="22"/>
  <c r="AI10" i="22"/>
  <c r="AG10" i="22"/>
  <c r="V10" i="22"/>
  <c r="P10" i="22"/>
  <c r="L10" i="22"/>
  <c r="AK9" i="22"/>
  <c r="AJ9" i="22"/>
  <c r="AI9" i="22"/>
  <c r="AG9" i="22"/>
  <c r="V9" i="22"/>
  <c r="P9" i="22"/>
  <c r="L9" i="22"/>
  <c r="AK8" i="22"/>
  <c r="AJ8" i="22"/>
  <c r="AI8" i="22"/>
  <c r="AG8" i="22"/>
  <c r="V8" i="22"/>
  <c r="P8" i="22"/>
  <c r="L8" i="22"/>
  <c r="AK7" i="22"/>
  <c r="AJ7" i="22"/>
  <c r="AI7" i="22"/>
  <c r="AG7" i="22"/>
  <c r="V7" i="22"/>
  <c r="P7" i="22"/>
  <c r="L7" i="22"/>
  <c r="AK6" i="22"/>
  <c r="AJ6" i="22"/>
  <c r="AI6" i="22"/>
  <c r="AG6" i="22"/>
  <c r="V6" i="22"/>
  <c r="P6" i="22"/>
  <c r="L6" i="22"/>
  <c r="AJ293" i="20"/>
  <c r="AG293" i="20"/>
  <c r="AJ292" i="20"/>
  <c r="AG292" i="20"/>
  <c r="AJ291" i="20"/>
  <c r="AG291" i="20"/>
  <c r="AJ290" i="20"/>
  <c r="AG290" i="20"/>
  <c r="AJ289" i="20"/>
  <c r="AG289" i="20"/>
  <c r="AJ288" i="20"/>
  <c r="AG288" i="20"/>
  <c r="AJ287" i="20"/>
  <c r="AG287" i="20"/>
  <c r="AJ286" i="20"/>
  <c r="AG286" i="20"/>
  <c r="AJ285" i="20"/>
  <c r="AG285" i="20"/>
  <c r="AJ284" i="20"/>
  <c r="AG284" i="20"/>
  <c r="AJ283" i="20"/>
  <c r="AG283" i="20"/>
  <c r="AJ282" i="20"/>
  <c r="AG282" i="20"/>
  <c r="AJ281" i="20"/>
  <c r="AG281" i="20"/>
  <c r="AJ280" i="20"/>
  <c r="AG280" i="20"/>
  <c r="AJ279" i="20"/>
  <c r="AG279" i="20"/>
  <c r="AJ278" i="20"/>
  <c r="AG278" i="20"/>
  <c r="AJ277" i="20"/>
  <c r="AG277" i="20"/>
  <c r="AJ276" i="20"/>
  <c r="AG276" i="20"/>
  <c r="AJ275" i="20"/>
  <c r="AG275" i="20"/>
  <c r="AJ274" i="20"/>
  <c r="AG274" i="20"/>
  <c r="AJ273" i="20"/>
  <c r="AG273" i="20"/>
  <c r="AJ272" i="20"/>
  <c r="AG272" i="20"/>
  <c r="AJ271" i="20"/>
  <c r="AG271" i="20"/>
  <c r="AJ270" i="20"/>
  <c r="AG270" i="20"/>
  <c r="AJ269" i="20"/>
  <c r="AG269" i="20"/>
  <c r="AJ268" i="20"/>
  <c r="AG268" i="20"/>
  <c r="AJ267" i="20"/>
  <c r="AG267" i="20"/>
  <c r="AJ266" i="20"/>
  <c r="AG266" i="20"/>
  <c r="AJ265" i="20"/>
  <c r="AG265" i="20"/>
  <c r="AJ264" i="20"/>
  <c r="AG264" i="20"/>
  <c r="AJ263" i="20"/>
  <c r="AG263" i="20"/>
  <c r="AJ262" i="20"/>
  <c r="AG262" i="20"/>
  <c r="AJ261" i="20"/>
  <c r="AG261" i="20"/>
  <c r="AJ260" i="20"/>
  <c r="AG260" i="20"/>
  <c r="AJ259" i="20"/>
  <c r="AG259" i="20"/>
  <c r="AJ258" i="20"/>
  <c r="AG258" i="20"/>
  <c r="AJ257" i="20"/>
  <c r="AG257" i="20"/>
  <c r="AJ256" i="20"/>
  <c r="AG256" i="20"/>
  <c r="AJ255" i="20"/>
  <c r="AG255" i="20"/>
  <c r="AJ254" i="20"/>
  <c r="AG254" i="20"/>
  <c r="AJ253" i="20"/>
  <c r="AG253" i="20"/>
  <c r="AJ252" i="20"/>
  <c r="AG252" i="20"/>
  <c r="AJ251" i="20"/>
  <c r="AG251" i="20"/>
  <c r="AJ250" i="20"/>
  <c r="AG250" i="20"/>
  <c r="AJ249" i="20"/>
  <c r="AG249" i="20"/>
  <c r="AJ248" i="20"/>
  <c r="AG248" i="20"/>
  <c r="AJ247" i="20"/>
  <c r="AG247" i="20"/>
  <c r="AJ246" i="20"/>
  <c r="AG246" i="20"/>
  <c r="AJ245" i="20"/>
  <c r="AG245" i="20"/>
  <c r="AJ244" i="20"/>
  <c r="AG244" i="20"/>
  <c r="AJ243" i="20"/>
  <c r="AG243" i="20"/>
  <c r="AJ242" i="20"/>
  <c r="AG242" i="20"/>
  <c r="AJ241" i="20"/>
  <c r="AG241" i="20"/>
  <c r="AJ240" i="20"/>
  <c r="AG240" i="20"/>
  <c r="AJ239" i="20"/>
  <c r="AG239" i="20"/>
  <c r="AJ238" i="20"/>
  <c r="AG238" i="20"/>
  <c r="AJ237" i="20"/>
  <c r="AG237" i="20"/>
  <c r="AJ236" i="20"/>
  <c r="AG236" i="20"/>
  <c r="AJ235" i="20"/>
  <c r="AG235" i="20"/>
  <c r="AJ234" i="20"/>
  <c r="AG234" i="20"/>
  <c r="AJ233" i="20"/>
  <c r="AG233" i="20"/>
  <c r="AJ232" i="20"/>
  <c r="AG232" i="20"/>
  <c r="AJ231" i="20"/>
  <c r="AG231" i="20"/>
  <c r="AJ230" i="20"/>
  <c r="AG230" i="20"/>
  <c r="AJ229" i="20"/>
  <c r="AG229" i="20"/>
  <c r="AJ228" i="20"/>
  <c r="AG228" i="20"/>
  <c r="AJ227" i="20"/>
  <c r="AG227" i="20"/>
  <c r="AJ226" i="20"/>
  <c r="AG226" i="20"/>
  <c r="AJ225" i="20"/>
  <c r="AG225" i="20"/>
  <c r="AJ224" i="20"/>
  <c r="AG224" i="20"/>
  <c r="AJ223" i="20"/>
  <c r="AG223" i="20"/>
  <c r="AJ222" i="20"/>
  <c r="AG222" i="20"/>
  <c r="AJ221" i="20"/>
  <c r="AG221" i="20"/>
  <c r="AJ220" i="20"/>
  <c r="AG220" i="20"/>
  <c r="AJ219" i="20"/>
  <c r="AG219" i="20"/>
  <c r="AJ218" i="20"/>
  <c r="AG218" i="20"/>
  <c r="AJ217" i="20"/>
  <c r="AG217" i="20"/>
  <c r="AJ216" i="20"/>
  <c r="AG216" i="20"/>
  <c r="AJ215" i="20"/>
  <c r="AG215" i="20"/>
  <c r="AJ214" i="20"/>
  <c r="AG214" i="20"/>
  <c r="AJ213" i="20"/>
  <c r="AG213" i="20"/>
  <c r="AJ212" i="20"/>
  <c r="AG212" i="20"/>
  <c r="AJ211" i="20"/>
  <c r="AG211" i="20"/>
  <c r="AJ210" i="20"/>
  <c r="AG210" i="20"/>
  <c r="AJ209" i="20"/>
  <c r="AG209" i="20"/>
  <c r="AJ208" i="20"/>
  <c r="AG208" i="20"/>
  <c r="AJ207" i="20"/>
  <c r="AG207" i="20"/>
  <c r="AJ206" i="20"/>
  <c r="AG206" i="20"/>
  <c r="AJ205" i="20"/>
  <c r="AG205" i="20"/>
  <c r="AJ204" i="20"/>
  <c r="AG204" i="20"/>
  <c r="AJ203" i="20"/>
  <c r="AG203" i="20"/>
  <c r="AJ202" i="20"/>
  <c r="AG202" i="20"/>
  <c r="AJ201" i="20"/>
  <c r="AG201" i="20"/>
  <c r="AJ200" i="20"/>
  <c r="AG200" i="20"/>
  <c r="AJ199" i="20"/>
  <c r="AG199" i="20"/>
  <c r="AJ198" i="20"/>
  <c r="AG198" i="20"/>
  <c r="AJ197" i="20"/>
  <c r="AG197" i="20"/>
  <c r="AJ196" i="20"/>
  <c r="AG196" i="20"/>
  <c r="AJ195" i="20"/>
  <c r="AG195" i="20"/>
  <c r="AJ194" i="20"/>
  <c r="AG194" i="20"/>
  <c r="AJ193" i="20"/>
  <c r="AG193" i="20"/>
  <c r="AJ192" i="20"/>
  <c r="AG192" i="20"/>
  <c r="AJ191" i="20"/>
  <c r="AG191" i="20"/>
  <c r="AJ190" i="20"/>
  <c r="AG190" i="20"/>
  <c r="AJ189" i="20"/>
  <c r="AG189" i="20"/>
  <c r="AJ188" i="20"/>
  <c r="AG188" i="20"/>
  <c r="AJ187" i="20"/>
  <c r="AG187" i="20"/>
  <c r="AJ186" i="20"/>
  <c r="AG186" i="20"/>
  <c r="AJ185" i="20"/>
  <c r="AG185" i="20"/>
  <c r="AJ184" i="20"/>
  <c r="AG184" i="20"/>
  <c r="AJ183" i="20"/>
  <c r="AG183" i="20"/>
  <c r="AJ182" i="20"/>
  <c r="AG182" i="20"/>
  <c r="AJ181" i="20"/>
  <c r="AG181" i="20"/>
  <c r="AJ180" i="20"/>
  <c r="AG180" i="20"/>
  <c r="AJ179" i="20"/>
  <c r="AG179" i="20"/>
  <c r="AJ178" i="20"/>
  <c r="AG178" i="20"/>
  <c r="AJ177" i="20"/>
  <c r="AG177" i="20"/>
  <c r="AJ176" i="20"/>
  <c r="AG176" i="20"/>
  <c r="AJ175" i="20"/>
  <c r="AG175" i="20"/>
  <c r="AJ174" i="20"/>
  <c r="AG174" i="20"/>
  <c r="AJ173" i="20"/>
  <c r="AG173" i="20"/>
  <c r="AJ172" i="20"/>
  <c r="AG172" i="20"/>
  <c r="AJ171" i="20"/>
  <c r="AG171" i="20"/>
  <c r="AJ170" i="20"/>
  <c r="AG170" i="20"/>
  <c r="AJ169" i="20"/>
  <c r="AG169" i="20"/>
  <c r="AJ168" i="20"/>
  <c r="AG168" i="20"/>
  <c r="AJ167" i="20"/>
  <c r="AG167" i="20"/>
  <c r="AJ166" i="20"/>
  <c r="AG166" i="20"/>
  <c r="AJ165" i="20"/>
  <c r="AG165" i="20"/>
  <c r="AJ164" i="20"/>
  <c r="AG164" i="20"/>
  <c r="AJ163" i="20"/>
  <c r="AG163" i="20"/>
  <c r="AJ162" i="20"/>
  <c r="AG162" i="20"/>
  <c r="AJ161" i="20"/>
  <c r="AG161" i="20"/>
  <c r="AJ160" i="20"/>
  <c r="AG160" i="20"/>
  <c r="AJ159" i="20"/>
  <c r="AG159" i="20"/>
  <c r="AJ158" i="20"/>
  <c r="AG158" i="20"/>
  <c r="AJ157" i="20"/>
  <c r="AG157" i="20"/>
  <c r="AJ156" i="20"/>
  <c r="AG156" i="20"/>
  <c r="AJ155" i="20"/>
  <c r="AG155" i="20"/>
  <c r="AJ154" i="20"/>
  <c r="AG154" i="20"/>
  <c r="AJ153" i="20"/>
  <c r="AG153" i="20"/>
  <c r="AJ152" i="20"/>
  <c r="AG152" i="20"/>
  <c r="AJ151" i="20"/>
  <c r="AG151" i="20"/>
  <c r="AJ150" i="20"/>
  <c r="AG150" i="20"/>
  <c r="AJ149" i="20"/>
  <c r="AG149" i="20"/>
  <c r="AJ148" i="20"/>
  <c r="AG148" i="20"/>
  <c r="AJ147" i="20"/>
  <c r="AG147" i="20"/>
  <c r="AJ146" i="20"/>
  <c r="AG146" i="20"/>
  <c r="AJ145" i="20"/>
  <c r="AG145" i="20"/>
  <c r="AJ144" i="20"/>
  <c r="AG144" i="20"/>
  <c r="AJ143" i="20"/>
  <c r="AG143" i="20"/>
  <c r="AJ142" i="20"/>
  <c r="AG142" i="20"/>
  <c r="AJ141" i="20"/>
  <c r="AG141" i="20"/>
  <c r="AJ140" i="20"/>
  <c r="AG140" i="20"/>
  <c r="AJ139" i="20"/>
  <c r="AG139" i="20"/>
  <c r="AJ138" i="20"/>
  <c r="AG138" i="20"/>
  <c r="AJ137" i="20"/>
  <c r="AG137" i="20"/>
  <c r="AJ136" i="20"/>
  <c r="AG136" i="20"/>
  <c r="AJ135" i="20"/>
  <c r="AG135" i="20"/>
  <c r="AJ134" i="20"/>
  <c r="AG134" i="20"/>
  <c r="AJ133" i="20"/>
  <c r="AG133" i="20"/>
  <c r="AJ132" i="20"/>
  <c r="AG132" i="20"/>
  <c r="AJ131" i="20"/>
  <c r="AG131" i="20"/>
  <c r="AJ130" i="20"/>
  <c r="AG130" i="20"/>
  <c r="AJ129" i="20"/>
  <c r="AG129" i="20"/>
  <c r="AJ128" i="20"/>
  <c r="AG128" i="20"/>
  <c r="AJ127" i="20"/>
  <c r="AG127" i="20"/>
  <c r="AJ126" i="20"/>
  <c r="AG126" i="20"/>
  <c r="AJ125" i="20"/>
  <c r="AG125" i="20"/>
  <c r="AJ124" i="20"/>
  <c r="AG124" i="20"/>
  <c r="AJ123" i="20"/>
  <c r="AG123" i="20"/>
  <c r="AJ122" i="20"/>
  <c r="AG122" i="20"/>
  <c r="AJ121" i="20"/>
  <c r="AG121" i="20"/>
  <c r="AJ120" i="20"/>
  <c r="AG120" i="20"/>
  <c r="AJ119" i="20"/>
  <c r="AG119" i="20"/>
  <c r="AJ118" i="20"/>
  <c r="AG118" i="20"/>
  <c r="AJ117" i="20"/>
  <c r="AG117" i="20"/>
  <c r="AJ116" i="20"/>
  <c r="AG116" i="20"/>
  <c r="AJ115" i="20"/>
  <c r="AG115" i="20"/>
  <c r="AJ114" i="20"/>
  <c r="AG114" i="20"/>
  <c r="AJ113" i="20"/>
  <c r="AG113" i="20"/>
  <c r="AJ112" i="20"/>
  <c r="AG112" i="20"/>
  <c r="AJ111" i="20"/>
  <c r="AG111" i="20"/>
  <c r="AJ110" i="20"/>
  <c r="AG110" i="20"/>
  <c r="AJ109" i="20"/>
  <c r="AG109" i="20"/>
  <c r="AJ108" i="20"/>
  <c r="AG108" i="20"/>
  <c r="AJ107" i="20"/>
  <c r="AG107" i="20"/>
  <c r="AJ106" i="20"/>
  <c r="AG106" i="20"/>
  <c r="AJ105" i="20"/>
  <c r="AG105" i="20"/>
  <c r="AJ104" i="20"/>
  <c r="AG104" i="20"/>
  <c r="AJ103" i="20"/>
  <c r="AG103" i="20"/>
  <c r="AJ102" i="20"/>
  <c r="AG102" i="20"/>
  <c r="AJ101" i="20"/>
  <c r="AG101" i="20"/>
  <c r="AJ100" i="20"/>
  <c r="AG100" i="20"/>
  <c r="AJ99" i="20"/>
  <c r="AG99" i="20"/>
  <c r="AJ98" i="20"/>
  <c r="AG98" i="20"/>
  <c r="AJ97" i="20"/>
  <c r="AG97" i="20"/>
  <c r="AJ96" i="20"/>
  <c r="AG96" i="20"/>
  <c r="AJ95" i="20"/>
  <c r="AG95" i="20"/>
  <c r="AJ94" i="20"/>
  <c r="AG94" i="20"/>
  <c r="AJ93" i="20"/>
  <c r="AG93" i="20"/>
  <c r="AJ92" i="20"/>
  <c r="AG92" i="20"/>
  <c r="AJ91" i="20"/>
  <c r="AG91" i="20"/>
  <c r="AJ90" i="20"/>
  <c r="AG90" i="20"/>
  <c r="AJ89" i="20"/>
  <c r="AG89" i="20"/>
  <c r="AJ88" i="20"/>
  <c r="AG88" i="20"/>
  <c r="AJ87" i="20"/>
  <c r="AG87" i="20"/>
  <c r="AJ86" i="20"/>
  <c r="AG86" i="20"/>
  <c r="AJ85" i="20"/>
  <c r="AG85" i="20"/>
  <c r="AJ84" i="20"/>
  <c r="AG84" i="20"/>
  <c r="AJ83" i="20"/>
  <c r="AG83" i="20"/>
  <c r="AJ82" i="20"/>
  <c r="AG82" i="20"/>
  <c r="AJ81" i="20"/>
  <c r="AG81" i="20"/>
  <c r="AJ80" i="20"/>
  <c r="AG80" i="20"/>
  <c r="AJ79" i="20"/>
  <c r="AG79" i="20"/>
  <c r="AJ78" i="20"/>
  <c r="AG78" i="20"/>
  <c r="AJ77" i="20"/>
  <c r="AG77" i="20"/>
  <c r="AJ76" i="20"/>
  <c r="AG76" i="20"/>
  <c r="AJ75" i="20"/>
  <c r="AG75" i="20"/>
  <c r="AJ74" i="20"/>
  <c r="AG74" i="20"/>
  <c r="AJ73" i="20"/>
  <c r="AG73" i="20"/>
  <c r="AJ72" i="20"/>
  <c r="AG72" i="20"/>
  <c r="AJ71" i="20"/>
  <c r="AG71" i="20"/>
  <c r="AJ70" i="20"/>
  <c r="AG70" i="20"/>
  <c r="AJ69" i="20"/>
  <c r="AG69" i="20"/>
  <c r="AJ68" i="20"/>
  <c r="AG68" i="20"/>
  <c r="AJ67" i="20"/>
  <c r="AG67" i="20"/>
  <c r="AJ66" i="20"/>
  <c r="AG66" i="20"/>
  <c r="AJ65" i="20"/>
  <c r="AG65" i="20"/>
  <c r="AJ64" i="20"/>
  <c r="AG64" i="20"/>
  <c r="AJ63" i="20"/>
  <c r="AG63" i="20"/>
  <c r="AJ62" i="20"/>
  <c r="AG62" i="20"/>
  <c r="AJ61" i="20"/>
  <c r="AG61" i="20"/>
  <c r="AJ60" i="20"/>
  <c r="AG60" i="20"/>
  <c r="AJ59" i="20"/>
  <c r="AG59" i="20"/>
  <c r="AJ58" i="20"/>
  <c r="AG58" i="20"/>
  <c r="AJ57" i="20"/>
  <c r="AG57" i="20"/>
  <c r="AJ56" i="20"/>
  <c r="AG56" i="20"/>
  <c r="AJ55" i="20"/>
  <c r="AG55" i="20"/>
  <c r="AJ54" i="20"/>
  <c r="AG54" i="20"/>
  <c r="AJ53" i="20"/>
  <c r="AG53" i="20"/>
  <c r="AJ52" i="20"/>
  <c r="AG52" i="20"/>
  <c r="AJ51" i="20"/>
  <c r="AG51" i="20"/>
  <c r="AJ50" i="20"/>
  <c r="AG50" i="20"/>
  <c r="AJ49" i="20"/>
  <c r="AG49" i="20"/>
  <c r="AJ48" i="20"/>
  <c r="AG48" i="20"/>
  <c r="AJ47" i="20"/>
  <c r="AG47" i="20"/>
  <c r="AJ46" i="20"/>
  <c r="AG46" i="20"/>
  <c r="AJ45" i="20"/>
  <c r="AG45" i="20"/>
  <c r="AJ44" i="20"/>
  <c r="AG44" i="20"/>
  <c r="AJ43" i="20"/>
  <c r="AG43" i="20"/>
  <c r="AJ42" i="20"/>
  <c r="AG42" i="20"/>
  <c r="AJ41" i="20"/>
  <c r="AG41" i="20"/>
  <c r="AJ40" i="20"/>
  <c r="AG40" i="20"/>
  <c r="AJ39" i="20"/>
  <c r="AG39" i="20"/>
  <c r="AJ38" i="20"/>
  <c r="AG38" i="20"/>
  <c r="AJ37" i="20"/>
  <c r="AG37" i="20"/>
  <c r="AJ36" i="20"/>
  <c r="AG36" i="20"/>
  <c r="AJ35" i="20"/>
  <c r="AG35" i="20"/>
  <c r="AJ34" i="20"/>
  <c r="AG34" i="20"/>
  <c r="AJ33" i="20"/>
  <c r="AG33" i="20"/>
  <c r="AJ32" i="20"/>
  <c r="AG32" i="20"/>
  <c r="AJ31" i="20"/>
  <c r="AG31" i="20"/>
  <c r="AJ30" i="20"/>
  <c r="AG30" i="20"/>
  <c r="AJ29" i="20"/>
  <c r="AG29" i="20"/>
  <c r="AJ28" i="20"/>
  <c r="AG28" i="20"/>
  <c r="AJ27" i="20"/>
  <c r="AG27" i="20"/>
  <c r="AJ26" i="20"/>
  <c r="AG26" i="20"/>
  <c r="AJ25" i="20"/>
  <c r="AG25" i="20"/>
  <c r="AJ24" i="20"/>
  <c r="AG24" i="20"/>
  <c r="AJ23" i="20"/>
  <c r="AG23" i="20"/>
  <c r="AJ22" i="20"/>
  <c r="AG22" i="20"/>
  <c r="AJ21" i="20"/>
  <c r="AG21" i="20"/>
  <c r="AJ20" i="20"/>
  <c r="AG20" i="20"/>
  <c r="AJ19" i="20"/>
  <c r="AG19" i="20"/>
  <c r="AJ18" i="20"/>
  <c r="AG18" i="20"/>
  <c r="AJ17" i="20"/>
  <c r="AG17" i="20"/>
  <c r="AJ16" i="20"/>
  <c r="AG16" i="20"/>
  <c r="AJ15" i="20"/>
  <c r="AG15" i="20"/>
  <c r="AJ14" i="20"/>
  <c r="AG14" i="20"/>
  <c r="AJ13" i="20"/>
  <c r="AG13" i="20"/>
  <c r="AJ12" i="20"/>
  <c r="AG12" i="20"/>
  <c r="AJ11" i="20"/>
  <c r="AG11" i="20"/>
  <c r="AJ10" i="20"/>
  <c r="AG10" i="20"/>
  <c r="AJ9" i="20"/>
  <c r="AG9" i="20"/>
  <c r="AJ8" i="20"/>
  <c r="AG8" i="20"/>
  <c r="AJ7" i="20"/>
  <c r="AG7" i="20"/>
  <c r="AJ6" i="20"/>
  <c r="AG6" i="20"/>
  <c r="V293" i="27"/>
  <c r="AK293" i="27"/>
  <c r="AJ293" i="27"/>
  <c r="AG293" i="27"/>
  <c r="AA293" i="27"/>
  <c r="P293" i="27"/>
  <c r="V292" i="27"/>
  <c r="AK292" i="27"/>
  <c r="AJ292" i="27"/>
  <c r="AG292" i="27"/>
  <c r="AA292" i="27"/>
  <c r="P292" i="27"/>
  <c r="V291" i="27"/>
  <c r="AK291" i="27"/>
  <c r="AJ291" i="27"/>
  <c r="AG291" i="27"/>
  <c r="AA291" i="27"/>
  <c r="P291" i="27"/>
  <c r="V290" i="27"/>
  <c r="AK290" i="27"/>
  <c r="AJ290" i="27"/>
  <c r="AG290" i="27"/>
  <c r="AA290" i="27"/>
  <c r="P290" i="27"/>
  <c r="V289" i="27"/>
  <c r="AK289" i="27"/>
  <c r="AJ289" i="27"/>
  <c r="AG289" i="27"/>
  <c r="AA289" i="27"/>
  <c r="P289" i="27"/>
  <c r="V288" i="27"/>
  <c r="AK288" i="27"/>
  <c r="AJ288" i="27"/>
  <c r="AG288" i="27"/>
  <c r="AA288" i="27"/>
  <c r="P288" i="27"/>
  <c r="V287" i="27"/>
  <c r="AK287" i="27"/>
  <c r="AJ287" i="27"/>
  <c r="AG287" i="27"/>
  <c r="AA287" i="27"/>
  <c r="P287" i="27"/>
  <c r="V286" i="27"/>
  <c r="AK286" i="27"/>
  <c r="AJ286" i="27"/>
  <c r="AG286" i="27"/>
  <c r="AA286" i="27"/>
  <c r="P286" i="27"/>
  <c r="V285" i="27"/>
  <c r="AK285" i="27"/>
  <c r="AJ285" i="27"/>
  <c r="AG285" i="27"/>
  <c r="AA285" i="27"/>
  <c r="P285" i="27"/>
  <c r="V284" i="27"/>
  <c r="AK284" i="27"/>
  <c r="AJ284" i="27"/>
  <c r="AG284" i="27"/>
  <c r="AA284" i="27"/>
  <c r="P284" i="27"/>
  <c r="V283" i="27"/>
  <c r="AK283" i="27"/>
  <c r="AJ283" i="27"/>
  <c r="AG283" i="27"/>
  <c r="AA283" i="27"/>
  <c r="P283" i="27"/>
  <c r="V282" i="27"/>
  <c r="AK282" i="27"/>
  <c r="AJ282" i="27"/>
  <c r="AG282" i="27"/>
  <c r="AA282" i="27"/>
  <c r="P282" i="27"/>
  <c r="V281" i="27"/>
  <c r="AK281" i="27"/>
  <c r="AJ281" i="27"/>
  <c r="AG281" i="27"/>
  <c r="AA281" i="27"/>
  <c r="P281" i="27"/>
  <c r="V280" i="27"/>
  <c r="AK280" i="27"/>
  <c r="AJ280" i="27"/>
  <c r="AG280" i="27"/>
  <c r="AA280" i="27"/>
  <c r="P280" i="27"/>
  <c r="V279" i="27"/>
  <c r="AK279" i="27"/>
  <c r="AJ279" i="27"/>
  <c r="AG279" i="27"/>
  <c r="AA279" i="27"/>
  <c r="P279" i="27"/>
  <c r="V278" i="27"/>
  <c r="AK278" i="27"/>
  <c r="AJ278" i="27"/>
  <c r="AG278" i="27"/>
  <c r="AA278" i="27"/>
  <c r="P278" i="27"/>
  <c r="V277" i="27"/>
  <c r="AK277" i="27"/>
  <c r="AJ277" i="27"/>
  <c r="AG277" i="27"/>
  <c r="AA277" i="27"/>
  <c r="P277" i="27"/>
  <c r="V276" i="27"/>
  <c r="AK276" i="27"/>
  <c r="AJ276" i="27"/>
  <c r="AG276" i="27"/>
  <c r="AA276" i="27"/>
  <c r="P276" i="27"/>
  <c r="V275" i="27"/>
  <c r="AK275" i="27"/>
  <c r="AJ275" i="27"/>
  <c r="AG275" i="27"/>
  <c r="AA275" i="27"/>
  <c r="P275" i="27"/>
  <c r="V274" i="27"/>
  <c r="AK274" i="27"/>
  <c r="AJ274" i="27"/>
  <c r="AG274" i="27"/>
  <c r="AA274" i="27"/>
  <c r="P274" i="27"/>
  <c r="V273" i="27"/>
  <c r="AK273" i="27"/>
  <c r="AJ273" i="27"/>
  <c r="AG273" i="27"/>
  <c r="AA273" i="27"/>
  <c r="P273" i="27"/>
  <c r="V272" i="27"/>
  <c r="AK272" i="27"/>
  <c r="AJ272" i="27"/>
  <c r="AG272" i="27"/>
  <c r="AA272" i="27"/>
  <c r="P272" i="27"/>
  <c r="V271" i="27"/>
  <c r="AK271" i="27"/>
  <c r="AJ271" i="27"/>
  <c r="AG271" i="27"/>
  <c r="AA271" i="27"/>
  <c r="P271" i="27"/>
  <c r="V270" i="27"/>
  <c r="AK270" i="27"/>
  <c r="AJ270" i="27"/>
  <c r="AG270" i="27"/>
  <c r="AA270" i="27"/>
  <c r="P270" i="27"/>
  <c r="V269" i="27"/>
  <c r="AK269" i="27"/>
  <c r="AJ269" i="27"/>
  <c r="AG269" i="27"/>
  <c r="AA269" i="27"/>
  <c r="P269" i="27"/>
  <c r="V268" i="27"/>
  <c r="AK268" i="27"/>
  <c r="AJ268" i="27"/>
  <c r="AG268" i="27"/>
  <c r="AA268" i="27"/>
  <c r="P268" i="27"/>
  <c r="V267" i="27"/>
  <c r="AK267" i="27"/>
  <c r="AJ267" i="27"/>
  <c r="AG267" i="27"/>
  <c r="AA267" i="27"/>
  <c r="P267" i="27"/>
  <c r="V266" i="27"/>
  <c r="AK266" i="27"/>
  <c r="AJ266" i="27"/>
  <c r="AG266" i="27"/>
  <c r="AA266" i="27"/>
  <c r="P266" i="27"/>
  <c r="V265" i="27"/>
  <c r="AK265" i="27"/>
  <c r="AJ265" i="27"/>
  <c r="AG265" i="27"/>
  <c r="AA265" i="27"/>
  <c r="P265" i="27"/>
  <c r="V264" i="27"/>
  <c r="AK264" i="27"/>
  <c r="AJ264" i="27"/>
  <c r="AG264" i="27"/>
  <c r="AA264" i="27"/>
  <c r="P264" i="27"/>
  <c r="V263" i="27"/>
  <c r="AK263" i="27"/>
  <c r="AJ263" i="27"/>
  <c r="AG263" i="27"/>
  <c r="AA263" i="27"/>
  <c r="P263" i="27"/>
  <c r="V262" i="27"/>
  <c r="AK262" i="27"/>
  <c r="AJ262" i="27"/>
  <c r="AG262" i="27"/>
  <c r="AA262" i="27"/>
  <c r="P262" i="27"/>
  <c r="V261" i="27"/>
  <c r="AK261" i="27"/>
  <c r="AJ261" i="27"/>
  <c r="AG261" i="27"/>
  <c r="AA261" i="27"/>
  <c r="P261" i="27"/>
  <c r="V260" i="27"/>
  <c r="AK260" i="27"/>
  <c r="AJ260" i="27"/>
  <c r="AG260" i="27"/>
  <c r="AA260" i="27"/>
  <c r="P260" i="27"/>
  <c r="V259" i="27"/>
  <c r="AK259" i="27"/>
  <c r="AJ259" i="27"/>
  <c r="AG259" i="27"/>
  <c r="AA259" i="27"/>
  <c r="P259" i="27"/>
  <c r="V258" i="27"/>
  <c r="AK258" i="27"/>
  <c r="AJ258" i="27"/>
  <c r="AG258" i="27"/>
  <c r="AA258" i="27"/>
  <c r="P258" i="27"/>
  <c r="V257" i="27"/>
  <c r="AK257" i="27"/>
  <c r="AJ257" i="27"/>
  <c r="AG257" i="27"/>
  <c r="AA257" i="27"/>
  <c r="P257" i="27"/>
  <c r="V256" i="27"/>
  <c r="AK256" i="27"/>
  <c r="AJ256" i="27"/>
  <c r="AG256" i="27"/>
  <c r="AA256" i="27"/>
  <c r="P256" i="27"/>
  <c r="V255" i="27"/>
  <c r="AK255" i="27"/>
  <c r="AJ255" i="27"/>
  <c r="AG255" i="27"/>
  <c r="AA255" i="27"/>
  <c r="P255" i="27"/>
  <c r="V254" i="27"/>
  <c r="AK254" i="27"/>
  <c r="AJ254" i="27"/>
  <c r="AG254" i="27"/>
  <c r="AA254" i="27"/>
  <c r="P254" i="27"/>
  <c r="V253" i="27"/>
  <c r="AK253" i="27"/>
  <c r="AJ253" i="27"/>
  <c r="AG253" i="27"/>
  <c r="AA253" i="27"/>
  <c r="P253" i="27"/>
  <c r="V252" i="27"/>
  <c r="AK252" i="27"/>
  <c r="AJ252" i="27"/>
  <c r="AG252" i="27"/>
  <c r="AA252" i="27"/>
  <c r="P252" i="27"/>
  <c r="V251" i="27"/>
  <c r="AK251" i="27"/>
  <c r="AJ251" i="27"/>
  <c r="AG251" i="27"/>
  <c r="AA251" i="27"/>
  <c r="P251" i="27"/>
  <c r="V250" i="27"/>
  <c r="AK250" i="27"/>
  <c r="AJ250" i="27"/>
  <c r="AG250" i="27"/>
  <c r="AA250" i="27"/>
  <c r="P250" i="27"/>
  <c r="V249" i="27"/>
  <c r="AK249" i="27"/>
  <c r="AJ249" i="27"/>
  <c r="AG249" i="27"/>
  <c r="AA249" i="27"/>
  <c r="P249" i="27"/>
  <c r="V248" i="27"/>
  <c r="AK248" i="27"/>
  <c r="AJ248" i="27"/>
  <c r="AG248" i="27"/>
  <c r="AA248" i="27"/>
  <c r="P248" i="27"/>
  <c r="V247" i="27"/>
  <c r="AK247" i="27"/>
  <c r="AJ247" i="27"/>
  <c r="AG247" i="27"/>
  <c r="AA247" i="27"/>
  <c r="P247" i="27"/>
  <c r="V246" i="27"/>
  <c r="AK246" i="27"/>
  <c r="AJ246" i="27"/>
  <c r="AG246" i="27"/>
  <c r="AA246" i="27"/>
  <c r="P246" i="27"/>
  <c r="V245" i="27"/>
  <c r="AK245" i="27"/>
  <c r="AJ245" i="27"/>
  <c r="AG245" i="27"/>
  <c r="AA245" i="27"/>
  <c r="P245" i="27"/>
  <c r="V244" i="27"/>
  <c r="AK244" i="27"/>
  <c r="AJ244" i="27"/>
  <c r="AG244" i="27"/>
  <c r="AA244" i="27"/>
  <c r="P244" i="27"/>
  <c r="V243" i="27"/>
  <c r="AK243" i="27"/>
  <c r="AJ243" i="27"/>
  <c r="AG243" i="27"/>
  <c r="AA243" i="27"/>
  <c r="P243" i="27"/>
  <c r="V242" i="27"/>
  <c r="AK242" i="27"/>
  <c r="AJ242" i="27"/>
  <c r="AG242" i="27"/>
  <c r="AA242" i="27"/>
  <c r="P242" i="27"/>
  <c r="V241" i="27"/>
  <c r="AK241" i="27"/>
  <c r="AJ241" i="27"/>
  <c r="AG241" i="27"/>
  <c r="AA241" i="27"/>
  <c r="P241" i="27"/>
  <c r="V240" i="27"/>
  <c r="AK240" i="27"/>
  <c r="AJ240" i="27"/>
  <c r="AG240" i="27"/>
  <c r="AA240" i="27"/>
  <c r="P240" i="27"/>
  <c r="V239" i="27"/>
  <c r="AK239" i="27"/>
  <c r="AJ239" i="27"/>
  <c r="AG239" i="27"/>
  <c r="AA239" i="27"/>
  <c r="P239" i="27"/>
  <c r="V238" i="27"/>
  <c r="AK238" i="27"/>
  <c r="AJ238" i="27"/>
  <c r="AG238" i="27"/>
  <c r="AA238" i="27"/>
  <c r="P238" i="27"/>
  <c r="V237" i="27"/>
  <c r="AK237" i="27"/>
  <c r="AJ237" i="27"/>
  <c r="AG237" i="27"/>
  <c r="AA237" i="27"/>
  <c r="P237" i="27"/>
  <c r="V236" i="27"/>
  <c r="AK236" i="27"/>
  <c r="AJ236" i="27"/>
  <c r="AG236" i="27"/>
  <c r="AA236" i="27"/>
  <c r="P236" i="27"/>
  <c r="V235" i="27"/>
  <c r="AK235" i="27"/>
  <c r="AJ235" i="27"/>
  <c r="AG235" i="27"/>
  <c r="AA235" i="27"/>
  <c r="P235" i="27"/>
  <c r="V234" i="27"/>
  <c r="AK234" i="27"/>
  <c r="AJ234" i="27"/>
  <c r="AG234" i="27"/>
  <c r="AA234" i="27"/>
  <c r="P234" i="27"/>
  <c r="V233" i="27"/>
  <c r="AK233" i="27"/>
  <c r="AJ233" i="27"/>
  <c r="AG233" i="27"/>
  <c r="AA233" i="27"/>
  <c r="P233" i="27"/>
  <c r="V232" i="27"/>
  <c r="AK232" i="27"/>
  <c r="AJ232" i="27"/>
  <c r="AG232" i="27"/>
  <c r="AA232" i="27"/>
  <c r="P232" i="27"/>
  <c r="V231" i="27"/>
  <c r="AK231" i="27"/>
  <c r="AJ231" i="27"/>
  <c r="AG231" i="27"/>
  <c r="AA231" i="27"/>
  <c r="P231" i="27"/>
  <c r="V230" i="27"/>
  <c r="AK230" i="27"/>
  <c r="AJ230" i="27"/>
  <c r="AG230" i="27"/>
  <c r="AA230" i="27"/>
  <c r="P230" i="27"/>
  <c r="V229" i="27"/>
  <c r="AK229" i="27"/>
  <c r="AJ229" i="27"/>
  <c r="AG229" i="27"/>
  <c r="AA229" i="27"/>
  <c r="P229" i="27"/>
  <c r="V228" i="27"/>
  <c r="AK228" i="27"/>
  <c r="AJ228" i="27"/>
  <c r="AG228" i="27"/>
  <c r="AA228" i="27"/>
  <c r="P228" i="27"/>
  <c r="V227" i="27"/>
  <c r="AK227" i="27"/>
  <c r="AJ227" i="27"/>
  <c r="AG227" i="27"/>
  <c r="AA227" i="27"/>
  <c r="P227" i="27"/>
  <c r="V226" i="27"/>
  <c r="AK226" i="27"/>
  <c r="AJ226" i="27"/>
  <c r="AG226" i="27"/>
  <c r="AA226" i="27"/>
  <c r="P226" i="27"/>
  <c r="V225" i="27"/>
  <c r="AK225" i="27"/>
  <c r="AJ225" i="27"/>
  <c r="AG225" i="27"/>
  <c r="AA225" i="27"/>
  <c r="P225" i="27"/>
  <c r="V224" i="27"/>
  <c r="AK224" i="27"/>
  <c r="AJ224" i="27"/>
  <c r="AG224" i="27"/>
  <c r="AA224" i="27"/>
  <c r="P224" i="27"/>
  <c r="V223" i="27"/>
  <c r="AK223" i="27"/>
  <c r="AJ223" i="27"/>
  <c r="AG223" i="27"/>
  <c r="AA223" i="27"/>
  <c r="P223" i="27"/>
  <c r="V222" i="27"/>
  <c r="AK222" i="27"/>
  <c r="AJ222" i="27"/>
  <c r="AG222" i="27"/>
  <c r="AA222" i="27"/>
  <c r="P222" i="27"/>
  <c r="V221" i="27"/>
  <c r="AK221" i="27"/>
  <c r="AJ221" i="27"/>
  <c r="AG221" i="27"/>
  <c r="AA221" i="27"/>
  <c r="P221" i="27"/>
  <c r="V220" i="27"/>
  <c r="AK220" i="27"/>
  <c r="AJ220" i="27"/>
  <c r="AG220" i="27"/>
  <c r="AA220" i="27"/>
  <c r="P220" i="27"/>
  <c r="V219" i="27"/>
  <c r="AK219" i="27"/>
  <c r="AJ219" i="27"/>
  <c r="AG219" i="27"/>
  <c r="AA219" i="27"/>
  <c r="P219" i="27"/>
  <c r="V218" i="27"/>
  <c r="AK218" i="27"/>
  <c r="AJ218" i="27"/>
  <c r="AG218" i="27"/>
  <c r="AA218" i="27"/>
  <c r="P218" i="27"/>
  <c r="V217" i="27"/>
  <c r="AK217" i="27"/>
  <c r="AJ217" i="27"/>
  <c r="AG217" i="27"/>
  <c r="AA217" i="27"/>
  <c r="P217" i="27"/>
  <c r="V216" i="27"/>
  <c r="AK216" i="27"/>
  <c r="AJ216" i="27"/>
  <c r="AG216" i="27"/>
  <c r="AA216" i="27"/>
  <c r="P216" i="27"/>
  <c r="V215" i="27"/>
  <c r="AK215" i="27"/>
  <c r="AJ215" i="27"/>
  <c r="AG215" i="27"/>
  <c r="AA215" i="27"/>
  <c r="P215" i="27"/>
  <c r="V214" i="27"/>
  <c r="AK214" i="27"/>
  <c r="AJ214" i="27"/>
  <c r="AG214" i="27"/>
  <c r="AA214" i="27"/>
  <c r="P214" i="27"/>
  <c r="V213" i="27"/>
  <c r="AK213" i="27"/>
  <c r="AJ213" i="27"/>
  <c r="AG213" i="27"/>
  <c r="AA213" i="27"/>
  <c r="P213" i="27"/>
  <c r="V212" i="27"/>
  <c r="AK212" i="27"/>
  <c r="AJ212" i="27"/>
  <c r="AG212" i="27"/>
  <c r="AA212" i="27"/>
  <c r="P212" i="27"/>
  <c r="V211" i="27"/>
  <c r="AK211" i="27"/>
  <c r="AJ211" i="27"/>
  <c r="AG211" i="27"/>
  <c r="AA211" i="27"/>
  <c r="P211" i="27"/>
  <c r="V210" i="27"/>
  <c r="AK210" i="27"/>
  <c r="AJ210" i="27"/>
  <c r="AG210" i="27"/>
  <c r="AA210" i="27"/>
  <c r="P210" i="27"/>
  <c r="V209" i="27"/>
  <c r="AK209" i="27"/>
  <c r="AJ209" i="27"/>
  <c r="AG209" i="27"/>
  <c r="AA209" i="27"/>
  <c r="P209" i="27"/>
  <c r="V208" i="27"/>
  <c r="AK208" i="27"/>
  <c r="AJ208" i="27"/>
  <c r="AG208" i="27"/>
  <c r="AA208" i="27"/>
  <c r="P208" i="27"/>
  <c r="V207" i="27"/>
  <c r="AK207" i="27"/>
  <c r="AJ207" i="27"/>
  <c r="AG207" i="27"/>
  <c r="AA207" i="27"/>
  <c r="P207" i="27"/>
  <c r="V206" i="27"/>
  <c r="AK206" i="27"/>
  <c r="AJ206" i="27"/>
  <c r="AG206" i="27"/>
  <c r="AA206" i="27"/>
  <c r="P206" i="27"/>
  <c r="V205" i="27"/>
  <c r="AK205" i="27"/>
  <c r="AJ205" i="27"/>
  <c r="AG205" i="27"/>
  <c r="AA205" i="27"/>
  <c r="P205" i="27"/>
  <c r="V204" i="27"/>
  <c r="AK204" i="27"/>
  <c r="AJ204" i="27"/>
  <c r="AG204" i="27"/>
  <c r="AA204" i="27"/>
  <c r="P204" i="27"/>
  <c r="V203" i="27"/>
  <c r="AK203" i="27"/>
  <c r="AJ203" i="27"/>
  <c r="AG203" i="27"/>
  <c r="AA203" i="27"/>
  <c r="P203" i="27"/>
  <c r="V202" i="27"/>
  <c r="AK202" i="27"/>
  <c r="AJ202" i="27"/>
  <c r="AG202" i="27"/>
  <c r="AA202" i="27"/>
  <c r="P202" i="27"/>
  <c r="V201" i="27"/>
  <c r="AK201" i="27"/>
  <c r="AJ201" i="27"/>
  <c r="AG201" i="27"/>
  <c r="AA201" i="27"/>
  <c r="P201" i="27"/>
  <c r="V200" i="27"/>
  <c r="AK200" i="27"/>
  <c r="AJ200" i="27"/>
  <c r="AG200" i="27"/>
  <c r="AA200" i="27"/>
  <c r="P200" i="27"/>
  <c r="V199" i="27"/>
  <c r="AK199" i="27"/>
  <c r="AJ199" i="27"/>
  <c r="AG199" i="27"/>
  <c r="AA199" i="27"/>
  <c r="P199" i="27"/>
  <c r="V198" i="27"/>
  <c r="AK198" i="27"/>
  <c r="AJ198" i="27"/>
  <c r="AG198" i="27"/>
  <c r="AA198" i="27"/>
  <c r="P198" i="27"/>
  <c r="V197" i="27"/>
  <c r="AK197" i="27"/>
  <c r="AJ197" i="27"/>
  <c r="AG197" i="27"/>
  <c r="AA197" i="27"/>
  <c r="P197" i="27"/>
  <c r="V196" i="27"/>
  <c r="AK196" i="27"/>
  <c r="AJ196" i="27"/>
  <c r="AG196" i="27"/>
  <c r="AA196" i="27"/>
  <c r="P196" i="27"/>
  <c r="V195" i="27"/>
  <c r="AK195" i="27"/>
  <c r="AJ195" i="27"/>
  <c r="AG195" i="27"/>
  <c r="AA195" i="27"/>
  <c r="P195" i="27"/>
  <c r="V194" i="27"/>
  <c r="AK194" i="27"/>
  <c r="AJ194" i="27"/>
  <c r="AG194" i="27"/>
  <c r="AA194" i="27"/>
  <c r="P194" i="27"/>
  <c r="V193" i="27"/>
  <c r="AK193" i="27"/>
  <c r="AJ193" i="27"/>
  <c r="AG193" i="27"/>
  <c r="AA193" i="27"/>
  <c r="P193" i="27"/>
  <c r="V192" i="27"/>
  <c r="AK192" i="27"/>
  <c r="AJ192" i="27"/>
  <c r="AG192" i="27"/>
  <c r="AA192" i="27"/>
  <c r="P192" i="27"/>
  <c r="V191" i="27"/>
  <c r="AK191" i="27"/>
  <c r="AJ191" i="27"/>
  <c r="AG191" i="27"/>
  <c r="AA191" i="27"/>
  <c r="P191" i="27"/>
  <c r="V190" i="27"/>
  <c r="AK190" i="27"/>
  <c r="AJ190" i="27"/>
  <c r="AG190" i="27"/>
  <c r="AA190" i="27"/>
  <c r="P190" i="27"/>
  <c r="V189" i="27"/>
  <c r="AK189" i="27"/>
  <c r="AJ189" i="27"/>
  <c r="AG189" i="27"/>
  <c r="AA189" i="27"/>
  <c r="P189" i="27"/>
  <c r="V188" i="27"/>
  <c r="AK188" i="27"/>
  <c r="AJ188" i="27"/>
  <c r="AG188" i="27"/>
  <c r="AA188" i="27"/>
  <c r="P188" i="27"/>
  <c r="V187" i="27"/>
  <c r="AK187" i="27"/>
  <c r="AJ187" i="27"/>
  <c r="AG187" i="27"/>
  <c r="AA187" i="27"/>
  <c r="P187" i="27"/>
  <c r="V186" i="27"/>
  <c r="AK186" i="27"/>
  <c r="AJ186" i="27"/>
  <c r="AG186" i="27"/>
  <c r="AA186" i="27"/>
  <c r="P186" i="27"/>
  <c r="V185" i="27"/>
  <c r="AK185" i="27"/>
  <c r="AJ185" i="27"/>
  <c r="AG185" i="27"/>
  <c r="AA185" i="27"/>
  <c r="P185" i="27"/>
  <c r="V184" i="27"/>
  <c r="AK184" i="27"/>
  <c r="AJ184" i="27"/>
  <c r="AG184" i="27"/>
  <c r="AA184" i="27"/>
  <c r="P184" i="27"/>
  <c r="V183" i="27"/>
  <c r="AK183" i="27"/>
  <c r="AJ183" i="27"/>
  <c r="AG183" i="27"/>
  <c r="AA183" i="27"/>
  <c r="P183" i="27"/>
  <c r="V182" i="27"/>
  <c r="AK182" i="27"/>
  <c r="AJ182" i="27"/>
  <c r="AG182" i="27"/>
  <c r="AA182" i="27"/>
  <c r="P182" i="27"/>
  <c r="V181" i="27"/>
  <c r="AK181" i="27"/>
  <c r="AJ181" i="27"/>
  <c r="AG181" i="27"/>
  <c r="AA181" i="27"/>
  <c r="P181" i="27"/>
  <c r="V180" i="27"/>
  <c r="AK180" i="27"/>
  <c r="AJ180" i="27"/>
  <c r="AG180" i="27"/>
  <c r="AA180" i="27"/>
  <c r="P180" i="27"/>
  <c r="V179" i="27"/>
  <c r="AK179" i="27"/>
  <c r="AJ179" i="27"/>
  <c r="AG179" i="27"/>
  <c r="AA179" i="27"/>
  <c r="P179" i="27"/>
  <c r="V178" i="27"/>
  <c r="AK178" i="27"/>
  <c r="AJ178" i="27"/>
  <c r="AG178" i="27"/>
  <c r="AA178" i="27"/>
  <c r="P178" i="27"/>
  <c r="V177" i="27"/>
  <c r="AK177" i="27"/>
  <c r="AJ177" i="27"/>
  <c r="AG177" i="27"/>
  <c r="AA177" i="27"/>
  <c r="P177" i="27"/>
  <c r="V176" i="27"/>
  <c r="AK176" i="27"/>
  <c r="AJ176" i="27"/>
  <c r="AG176" i="27"/>
  <c r="AA176" i="27"/>
  <c r="P176" i="27"/>
  <c r="V175" i="27"/>
  <c r="AK175" i="27"/>
  <c r="AJ175" i="27"/>
  <c r="AG175" i="27"/>
  <c r="AA175" i="27"/>
  <c r="P175" i="27"/>
  <c r="V174" i="27"/>
  <c r="AK174" i="27"/>
  <c r="AJ174" i="27"/>
  <c r="AG174" i="27"/>
  <c r="AA174" i="27"/>
  <c r="P174" i="27"/>
  <c r="V173" i="27"/>
  <c r="AK173" i="27"/>
  <c r="AJ173" i="27"/>
  <c r="AG173" i="27"/>
  <c r="AA173" i="27"/>
  <c r="P173" i="27"/>
  <c r="V172" i="27"/>
  <c r="AK172" i="27"/>
  <c r="AJ172" i="27"/>
  <c r="AG172" i="27"/>
  <c r="AA172" i="27"/>
  <c r="P172" i="27"/>
  <c r="V171" i="27"/>
  <c r="AK171" i="27"/>
  <c r="AJ171" i="27"/>
  <c r="AG171" i="27"/>
  <c r="AA171" i="27"/>
  <c r="P171" i="27"/>
  <c r="V170" i="27"/>
  <c r="AK170" i="27"/>
  <c r="AJ170" i="27"/>
  <c r="AG170" i="27"/>
  <c r="AA170" i="27"/>
  <c r="P170" i="27"/>
  <c r="V169" i="27"/>
  <c r="AK169" i="27"/>
  <c r="AJ169" i="27"/>
  <c r="AG169" i="27"/>
  <c r="AA169" i="27"/>
  <c r="P169" i="27"/>
  <c r="V168" i="27"/>
  <c r="AK168" i="27"/>
  <c r="AJ168" i="27"/>
  <c r="AG168" i="27"/>
  <c r="AA168" i="27"/>
  <c r="P168" i="27"/>
  <c r="V167" i="27"/>
  <c r="AK167" i="27"/>
  <c r="AJ167" i="27"/>
  <c r="AG167" i="27"/>
  <c r="AA167" i="27"/>
  <c r="P167" i="27"/>
  <c r="V166" i="27"/>
  <c r="AK166" i="27"/>
  <c r="AJ166" i="27"/>
  <c r="AG166" i="27"/>
  <c r="AA166" i="27"/>
  <c r="P166" i="27"/>
  <c r="V165" i="27"/>
  <c r="AK165" i="27"/>
  <c r="AJ165" i="27"/>
  <c r="AG165" i="27"/>
  <c r="AA165" i="27"/>
  <c r="P165" i="27"/>
  <c r="V164" i="27"/>
  <c r="AK164" i="27"/>
  <c r="AJ164" i="27"/>
  <c r="AG164" i="27"/>
  <c r="AA164" i="27"/>
  <c r="P164" i="27"/>
  <c r="V163" i="27"/>
  <c r="AK163" i="27"/>
  <c r="AJ163" i="27"/>
  <c r="AG163" i="27"/>
  <c r="AA163" i="27"/>
  <c r="P163" i="27"/>
  <c r="V162" i="27"/>
  <c r="AK162" i="27"/>
  <c r="AJ162" i="27"/>
  <c r="AG162" i="27"/>
  <c r="AA162" i="27"/>
  <c r="P162" i="27"/>
  <c r="V161" i="27"/>
  <c r="AK161" i="27"/>
  <c r="AJ161" i="27"/>
  <c r="AG161" i="27"/>
  <c r="AA161" i="27"/>
  <c r="P161" i="27"/>
  <c r="V160" i="27"/>
  <c r="AK160" i="27"/>
  <c r="AJ160" i="27"/>
  <c r="AG160" i="27"/>
  <c r="AA160" i="27"/>
  <c r="P160" i="27"/>
  <c r="V159" i="27"/>
  <c r="AK159" i="27"/>
  <c r="AJ159" i="27"/>
  <c r="AG159" i="27"/>
  <c r="AA159" i="27"/>
  <c r="P159" i="27"/>
  <c r="V158" i="27"/>
  <c r="AK158" i="27"/>
  <c r="AJ158" i="27"/>
  <c r="AG158" i="27"/>
  <c r="AA158" i="27"/>
  <c r="P158" i="27"/>
  <c r="V157" i="27"/>
  <c r="AK157" i="27"/>
  <c r="AJ157" i="27"/>
  <c r="AG157" i="27"/>
  <c r="AA157" i="27"/>
  <c r="P157" i="27"/>
  <c r="V156" i="27"/>
  <c r="AK156" i="27"/>
  <c r="AJ156" i="27"/>
  <c r="AG156" i="27"/>
  <c r="AA156" i="27"/>
  <c r="P156" i="27"/>
  <c r="V155" i="27"/>
  <c r="AK155" i="27"/>
  <c r="AJ155" i="27"/>
  <c r="AG155" i="27"/>
  <c r="AA155" i="27"/>
  <c r="P155" i="27"/>
  <c r="V154" i="27"/>
  <c r="AK154" i="27"/>
  <c r="AJ154" i="27"/>
  <c r="AG154" i="27"/>
  <c r="AA154" i="27"/>
  <c r="P154" i="27"/>
  <c r="V153" i="27"/>
  <c r="AK153" i="27"/>
  <c r="AJ153" i="27"/>
  <c r="AG153" i="27"/>
  <c r="AA153" i="27"/>
  <c r="P153" i="27"/>
  <c r="V152" i="27"/>
  <c r="AK152" i="27"/>
  <c r="AJ152" i="27"/>
  <c r="AG152" i="27"/>
  <c r="AA152" i="27"/>
  <c r="P152" i="27"/>
  <c r="V151" i="27"/>
  <c r="AK151" i="27"/>
  <c r="AJ151" i="27"/>
  <c r="AG151" i="27"/>
  <c r="AA151" i="27"/>
  <c r="P151" i="27"/>
  <c r="V150" i="27"/>
  <c r="AK150" i="27"/>
  <c r="AJ150" i="27"/>
  <c r="AG150" i="27"/>
  <c r="AA150" i="27"/>
  <c r="P150" i="27"/>
  <c r="V149" i="27"/>
  <c r="AK149" i="27"/>
  <c r="AJ149" i="27"/>
  <c r="AG149" i="27"/>
  <c r="AA149" i="27"/>
  <c r="P149" i="27"/>
  <c r="V148" i="27"/>
  <c r="AK148" i="27"/>
  <c r="AJ148" i="27"/>
  <c r="AG148" i="27"/>
  <c r="AA148" i="27"/>
  <c r="P148" i="27"/>
  <c r="V147" i="27"/>
  <c r="AK147" i="27"/>
  <c r="AJ147" i="27"/>
  <c r="AG147" i="27"/>
  <c r="AA147" i="27"/>
  <c r="P147" i="27"/>
  <c r="V146" i="27"/>
  <c r="AK146" i="27"/>
  <c r="AJ146" i="27"/>
  <c r="AG146" i="27"/>
  <c r="AA146" i="27"/>
  <c r="P146" i="27"/>
  <c r="V145" i="27"/>
  <c r="AK145" i="27"/>
  <c r="AJ145" i="27"/>
  <c r="AG145" i="27"/>
  <c r="AA145" i="27"/>
  <c r="P145" i="27"/>
  <c r="V144" i="27"/>
  <c r="AK144" i="27"/>
  <c r="AJ144" i="27"/>
  <c r="AG144" i="27"/>
  <c r="AA144" i="27"/>
  <c r="P144" i="27"/>
  <c r="V143" i="27"/>
  <c r="AK143" i="27"/>
  <c r="AJ143" i="27"/>
  <c r="AG143" i="27"/>
  <c r="AA143" i="27"/>
  <c r="P143" i="27"/>
  <c r="V142" i="27"/>
  <c r="AK142" i="27"/>
  <c r="AJ142" i="27"/>
  <c r="AG142" i="27"/>
  <c r="AA142" i="27"/>
  <c r="P142" i="27"/>
  <c r="V141" i="27"/>
  <c r="AK141" i="27"/>
  <c r="AJ141" i="27"/>
  <c r="AG141" i="27"/>
  <c r="AA141" i="27"/>
  <c r="P141" i="27"/>
  <c r="V140" i="27"/>
  <c r="AK140" i="27"/>
  <c r="AJ140" i="27"/>
  <c r="AG140" i="27"/>
  <c r="AA140" i="27"/>
  <c r="P140" i="27"/>
  <c r="V139" i="27"/>
  <c r="AK139" i="27"/>
  <c r="AJ139" i="27"/>
  <c r="AG139" i="27"/>
  <c r="AA139" i="27"/>
  <c r="P139" i="27"/>
  <c r="V138" i="27"/>
  <c r="AK138" i="27"/>
  <c r="AJ138" i="27"/>
  <c r="AG138" i="27"/>
  <c r="AA138" i="27"/>
  <c r="P138" i="27"/>
  <c r="V137" i="27"/>
  <c r="AK137" i="27"/>
  <c r="AJ137" i="27"/>
  <c r="AG137" i="27"/>
  <c r="AA137" i="27"/>
  <c r="P137" i="27"/>
  <c r="V136" i="27"/>
  <c r="AK136" i="27"/>
  <c r="AJ136" i="27"/>
  <c r="AG136" i="27"/>
  <c r="AA136" i="27"/>
  <c r="P136" i="27"/>
  <c r="V135" i="27"/>
  <c r="AK135" i="27"/>
  <c r="AJ135" i="27"/>
  <c r="AG135" i="27"/>
  <c r="AA135" i="27"/>
  <c r="P135" i="27"/>
  <c r="V134" i="27"/>
  <c r="AK134" i="27"/>
  <c r="AJ134" i="27"/>
  <c r="AG134" i="27"/>
  <c r="AA134" i="27"/>
  <c r="P134" i="27"/>
  <c r="V133" i="27"/>
  <c r="AK133" i="27"/>
  <c r="AJ133" i="27"/>
  <c r="AG133" i="27"/>
  <c r="AA133" i="27"/>
  <c r="P133" i="27"/>
  <c r="V132" i="27"/>
  <c r="AK132" i="27"/>
  <c r="AJ132" i="27"/>
  <c r="AG132" i="27"/>
  <c r="AA132" i="27"/>
  <c r="P132" i="27"/>
  <c r="V131" i="27"/>
  <c r="AK131" i="27"/>
  <c r="AJ131" i="27"/>
  <c r="AG131" i="27"/>
  <c r="AA131" i="27"/>
  <c r="P131" i="27"/>
  <c r="V130" i="27"/>
  <c r="AK130" i="27"/>
  <c r="AJ130" i="27"/>
  <c r="AG130" i="27"/>
  <c r="AA130" i="27"/>
  <c r="P130" i="27"/>
  <c r="V129" i="27"/>
  <c r="AK129" i="27"/>
  <c r="AJ129" i="27"/>
  <c r="AG129" i="27"/>
  <c r="AA129" i="27"/>
  <c r="P129" i="27"/>
  <c r="V128" i="27"/>
  <c r="AK128" i="27"/>
  <c r="AJ128" i="27"/>
  <c r="AG128" i="27"/>
  <c r="AA128" i="27"/>
  <c r="P128" i="27"/>
  <c r="V127" i="27"/>
  <c r="AK127" i="27"/>
  <c r="AJ127" i="27"/>
  <c r="AG127" i="27"/>
  <c r="AA127" i="27"/>
  <c r="P127" i="27"/>
  <c r="V126" i="27"/>
  <c r="AK126" i="27"/>
  <c r="AJ126" i="27"/>
  <c r="AG126" i="27"/>
  <c r="AA126" i="27"/>
  <c r="P126" i="27"/>
  <c r="V125" i="27"/>
  <c r="AK125" i="27"/>
  <c r="AJ125" i="27"/>
  <c r="AG125" i="27"/>
  <c r="AA125" i="27"/>
  <c r="P125" i="27"/>
  <c r="V124" i="27"/>
  <c r="AK124" i="27"/>
  <c r="AJ124" i="27"/>
  <c r="AG124" i="27"/>
  <c r="AA124" i="27"/>
  <c r="P124" i="27"/>
  <c r="V123" i="27"/>
  <c r="AK123" i="27"/>
  <c r="AJ123" i="27"/>
  <c r="AG123" i="27"/>
  <c r="AA123" i="27"/>
  <c r="P123" i="27"/>
  <c r="V122" i="27"/>
  <c r="AK122" i="27"/>
  <c r="AJ122" i="27"/>
  <c r="AG122" i="27"/>
  <c r="AA122" i="27"/>
  <c r="P122" i="27"/>
  <c r="V121" i="27"/>
  <c r="AK121" i="27"/>
  <c r="AJ121" i="27"/>
  <c r="AG121" i="27"/>
  <c r="AA121" i="27"/>
  <c r="P121" i="27"/>
  <c r="V120" i="27"/>
  <c r="AK120" i="27"/>
  <c r="AJ120" i="27"/>
  <c r="AG120" i="27"/>
  <c r="AA120" i="27"/>
  <c r="P120" i="27"/>
  <c r="V119" i="27"/>
  <c r="AK119" i="27"/>
  <c r="AJ119" i="27"/>
  <c r="AG119" i="27"/>
  <c r="AA119" i="27"/>
  <c r="P119" i="27"/>
  <c r="V118" i="27"/>
  <c r="AK118" i="27"/>
  <c r="AJ118" i="27"/>
  <c r="AG118" i="27"/>
  <c r="AA118" i="27"/>
  <c r="P118" i="27"/>
  <c r="V117" i="27"/>
  <c r="AK117" i="27"/>
  <c r="AJ117" i="27"/>
  <c r="AG117" i="27"/>
  <c r="AA117" i="27"/>
  <c r="P117" i="27"/>
  <c r="V116" i="27"/>
  <c r="AK116" i="27"/>
  <c r="AJ116" i="27"/>
  <c r="AG116" i="27"/>
  <c r="AA116" i="27"/>
  <c r="P116" i="27"/>
  <c r="V115" i="27"/>
  <c r="AK115" i="27"/>
  <c r="AJ115" i="27"/>
  <c r="AG115" i="27"/>
  <c r="AA115" i="27"/>
  <c r="P115" i="27"/>
  <c r="V114" i="27"/>
  <c r="AK114" i="27"/>
  <c r="AJ114" i="27"/>
  <c r="AG114" i="27"/>
  <c r="AA114" i="27"/>
  <c r="P114" i="27"/>
  <c r="V113" i="27"/>
  <c r="AK113" i="27"/>
  <c r="AJ113" i="27"/>
  <c r="AG113" i="27"/>
  <c r="AA113" i="27"/>
  <c r="P113" i="27"/>
  <c r="V112" i="27"/>
  <c r="AK112" i="27"/>
  <c r="AJ112" i="27"/>
  <c r="AG112" i="27"/>
  <c r="AA112" i="27"/>
  <c r="P112" i="27"/>
  <c r="V111" i="27"/>
  <c r="AK111" i="27"/>
  <c r="AJ111" i="27"/>
  <c r="AG111" i="27"/>
  <c r="AA111" i="27"/>
  <c r="P111" i="27"/>
  <c r="V110" i="27"/>
  <c r="AK110" i="27"/>
  <c r="AJ110" i="27"/>
  <c r="AG110" i="27"/>
  <c r="AA110" i="27"/>
  <c r="P110" i="27"/>
  <c r="V109" i="27"/>
  <c r="AK109" i="27"/>
  <c r="AJ109" i="27"/>
  <c r="AG109" i="27"/>
  <c r="AA109" i="27"/>
  <c r="P109" i="27"/>
  <c r="V108" i="27"/>
  <c r="AK108" i="27"/>
  <c r="AJ108" i="27"/>
  <c r="AG108" i="27"/>
  <c r="AA108" i="27"/>
  <c r="P108" i="27"/>
  <c r="V107" i="27"/>
  <c r="AK107" i="27"/>
  <c r="AJ107" i="27"/>
  <c r="AG107" i="27"/>
  <c r="AA107" i="27"/>
  <c r="P107" i="27"/>
  <c r="V106" i="27"/>
  <c r="AK106" i="27"/>
  <c r="AJ106" i="27"/>
  <c r="AG106" i="27"/>
  <c r="AA106" i="27"/>
  <c r="P106" i="27"/>
  <c r="V105" i="27"/>
  <c r="AK105" i="27"/>
  <c r="AJ105" i="27"/>
  <c r="AG105" i="27"/>
  <c r="AA105" i="27"/>
  <c r="P105" i="27"/>
  <c r="V104" i="27"/>
  <c r="AK104" i="27"/>
  <c r="AJ104" i="27"/>
  <c r="AG104" i="27"/>
  <c r="AA104" i="27"/>
  <c r="P104" i="27"/>
  <c r="V103" i="27"/>
  <c r="AK103" i="27"/>
  <c r="AJ103" i="27"/>
  <c r="AG103" i="27"/>
  <c r="AA103" i="27"/>
  <c r="P103" i="27"/>
  <c r="V102" i="27"/>
  <c r="AK102" i="27"/>
  <c r="AJ102" i="27"/>
  <c r="AG102" i="27"/>
  <c r="AA102" i="27"/>
  <c r="P102" i="27"/>
  <c r="V101" i="27"/>
  <c r="AK101" i="27"/>
  <c r="AJ101" i="27"/>
  <c r="AG101" i="27"/>
  <c r="AA101" i="27"/>
  <c r="P101" i="27"/>
  <c r="V100" i="27"/>
  <c r="AK100" i="27"/>
  <c r="AJ100" i="27"/>
  <c r="AG100" i="27"/>
  <c r="AA100" i="27"/>
  <c r="P100" i="27"/>
  <c r="V99" i="27"/>
  <c r="AK99" i="27"/>
  <c r="AJ99" i="27"/>
  <c r="AG99" i="27"/>
  <c r="AA99" i="27"/>
  <c r="P99" i="27"/>
  <c r="V98" i="27"/>
  <c r="AK98" i="27"/>
  <c r="AJ98" i="27"/>
  <c r="AG98" i="27"/>
  <c r="AA98" i="27"/>
  <c r="P98" i="27"/>
  <c r="V97" i="27"/>
  <c r="AK97" i="27"/>
  <c r="AJ97" i="27"/>
  <c r="AG97" i="27"/>
  <c r="AA97" i="27"/>
  <c r="P97" i="27"/>
  <c r="V96" i="27"/>
  <c r="AK96" i="27"/>
  <c r="AJ96" i="27"/>
  <c r="AG96" i="27"/>
  <c r="AA96" i="27"/>
  <c r="P96" i="27"/>
  <c r="V95" i="27"/>
  <c r="AK95" i="27"/>
  <c r="AJ95" i="27"/>
  <c r="AG95" i="27"/>
  <c r="AA95" i="27"/>
  <c r="P95" i="27"/>
  <c r="V94" i="27"/>
  <c r="AK94" i="27"/>
  <c r="AJ94" i="27"/>
  <c r="AG94" i="27"/>
  <c r="AA94" i="27"/>
  <c r="P94" i="27"/>
  <c r="V93" i="27"/>
  <c r="AK93" i="27"/>
  <c r="AJ93" i="27"/>
  <c r="AG93" i="27"/>
  <c r="AA93" i="27"/>
  <c r="P93" i="27"/>
  <c r="V92" i="27"/>
  <c r="AK92" i="27"/>
  <c r="AJ92" i="27"/>
  <c r="AG92" i="27"/>
  <c r="AA92" i="27"/>
  <c r="P92" i="27"/>
  <c r="V91" i="27"/>
  <c r="AK91" i="27"/>
  <c r="AJ91" i="27"/>
  <c r="AG91" i="27"/>
  <c r="AA91" i="27"/>
  <c r="P91" i="27"/>
  <c r="V90" i="27"/>
  <c r="AK90" i="27"/>
  <c r="AJ90" i="27"/>
  <c r="AG90" i="27"/>
  <c r="AA90" i="27"/>
  <c r="P90" i="27"/>
  <c r="V89" i="27"/>
  <c r="AK89" i="27"/>
  <c r="AJ89" i="27"/>
  <c r="AG89" i="27"/>
  <c r="AA89" i="27"/>
  <c r="P89" i="27"/>
  <c r="V88" i="27"/>
  <c r="AK88" i="27"/>
  <c r="AJ88" i="27"/>
  <c r="AG88" i="27"/>
  <c r="AA88" i="27"/>
  <c r="P88" i="27"/>
  <c r="V87" i="27"/>
  <c r="AK87" i="27"/>
  <c r="AJ87" i="27"/>
  <c r="AG87" i="27"/>
  <c r="AA87" i="27"/>
  <c r="P87" i="27"/>
  <c r="V86" i="27"/>
  <c r="AK86" i="27"/>
  <c r="AJ86" i="27"/>
  <c r="AG86" i="27"/>
  <c r="AA86" i="27"/>
  <c r="P86" i="27"/>
  <c r="V85" i="27"/>
  <c r="AK85" i="27"/>
  <c r="AJ85" i="27"/>
  <c r="AG85" i="27"/>
  <c r="AA85" i="27"/>
  <c r="P85" i="27"/>
  <c r="V84" i="27"/>
  <c r="AK84" i="27"/>
  <c r="AJ84" i="27"/>
  <c r="AG84" i="27"/>
  <c r="AA84" i="27"/>
  <c r="P84" i="27"/>
  <c r="V83" i="27"/>
  <c r="AK83" i="27"/>
  <c r="AJ83" i="27"/>
  <c r="AG83" i="27"/>
  <c r="AA83" i="27"/>
  <c r="P83" i="27"/>
  <c r="V82" i="27"/>
  <c r="AK82" i="27"/>
  <c r="AJ82" i="27"/>
  <c r="AG82" i="27"/>
  <c r="AA82" i="27"/>
  <c r="P82" i="27"/>
  <c r="V81" i="27"/>
  <c r="AK81" i="27"/>
  <c r="AJ81" i="27"/>
  <c r="AG81" i="27"/>
  <c r="AA81" i="27"/>
  <c r="P81" i="27"/>
  <c r="V80" i="27"/>
  <c r="AK80" i="27"/>
  <c r="AJ80" i="27"/>
  <c r="AG80" i="27"/>
  <c r="AA80" i="27"/>
  <c r="P80" i="27"/>
  <c r="V79" i="27"/>
  <c r="AK79" i="27"/>
  <c r="AJ79" i="27"/>
  <c r="AG79" i="27"/>
  <c r="AA79" i="27"/>
  <c r="P79" i="27"/>
  <c r="V78" i="27"/>
  <c r="AK78" i="27"/>
  <c r="AJ78" i="27"/>
  <c r="AG78" i="27"/>
  <c r="AA78" i="27"/>
  <c r="P78" i="27"/>
  <c r="V77" i="27"/>
  <c r="AK77" i="27"/>
  <c r="AJ77" i="27"/>
  <c r="AG77" i="27"/>
  <c r="AA77" i="27"/>
  <c r="P77" i="27"/>
  <c r="V76" i="27"/>
  <c r="AK76" i="27"/>
  <c r="AJ76" i="27"/>
  <c r="AG76" i="27"/>
  <c r="AA76" i="27"/>
  <c r="P76" i="27"/>
  <c r="V75" i="27"/>
  <c r="AK75" i="27"/>
  <c r="AJ75" i="27"/>
  <c r="AG75" i="27"/>
  <c r="AA75" i="27"/>
  <c r="P75" i="27"/>
  <c r="V74" i="27"/>
  <c r="AK74" i="27"/>
  <c r="AJ74" i="27"/>
  <c r="AG74" i="27"/>
  <c r="AA74" i="27"/>
  <c r="P74" i="27"/>
  <c r="V73" i="27"/>
  <c r="AK73" i="27"/>
  <c r="AJ73" i="27"/>
  <c r="AG73" i="27"/>
  <c r="AA73" i="27"/>
  <c r="P73" i="27"/>
  <c r="V72" i="27"/>
  <c r="AK72" i="27"/>
  <c r="AJ72" i="27"/>
  <c r="AG72" i="27"/>
  <c r="AA72" i="27"/>
  <c r="P72" i="27"/>
  <c r="V71" i="27"/>
  <c r="AK71" i="27"/>
  <c r="AJ71" i="27"/>
  <c r="AG71" i="27"/>
  <c r="AA71" i="27"/>
  <c r="P71" i="27"/>
  <c r="V70" i="27"/>
  <c r="AK70" i="27"/>
  <c r="AJ70" i="27"/>
  <c r="AG70" i="27"/>
  <c r="AA70" i="27"/>
  <c r="P70" i="27"/>
  <c r="V69" i="27"/>
  <c r="AK69" i="27"/>
  <c r="AJ69" i="27"/>
  <c r="AG69" i="27"/>
  <c r="AA69" i="27"/>
  <c r="P69" i="27"/>
  <c r="V68" i="27"/>
  <c r="AK68" i="27"/>
  <c r="AJ68" i="27"/>
  <c r="AG68" i="27"/>
  <c r="AA68" i="27"/>
  <c r="P68" i="27"/>
  <c r="V67" i="27"/>
  <c r="AK67" i="27"/>
  <c r="AJ67" i="27"/>
  <c r="AG67" i="27"/>
  <c r="AA67" i="27"/>
  <c r="P67" i="27"/>
  <c r="V66" i="27"/>
  <c r="AK66" i="27"/>
  <c r="AJ66" i="27"/>
  <c r="AG66" i="27"/>
  <c r="AA66" i="27"/>
  <c r="P66" i="27"/>
  <c r="V65" i="27"/>
  <c r="AK65" i="27"/>
  <c r="AJ65" i="27"/>
  <c r="AG65" i="27"/>
  <c r="AA65" i="27"/>
  <c r="P65" i="27"/>
  <c r="V64" i="27"/>
  <c r="AK64" i="27"/>
  <c r="AJ64" i="27"/>
  <c r="AG64" i="27"/>
  <c r="AA64" i="27"/>
  <c r="P64" i="27"/>
  <c r="V63" i="27"/>
  <c r="AK63" i="27"/>
  <c r="AJ63" i="27"/>
  <c r="AG63" i="27"/>
  <c r="AA63" i="27"/>
  <c r="P63" i="27"/>
  <c r="V62" i="27"/>
  <c r="AK62" i="27"/>
  <c r="AJ62" i="27"/>
  <c r="AG62" i="27"/>
  <c r="AA62" i="27"/>
  <c r="P62" i="27"/>
  <c r="V61" i="27"/>
  <c r="AK61" i="27"/>
  <c r="AJ61" i="27"/>
  <c r="AG61" i="27"/>
  <c r="AA61" i="27"/>
  <c r="P61" i="27"/>
  <c r="V60" i="27"/>
  <c r="AK60" i="27"/>
  <c r="AJ60" i="27"/>
  <c r="AG60" i="27"/>
  <c r="AA60" i="27"/>
  <c r="P60" i="27"/>
  <c r="V59" i="27"/>
  <c r="AK59" i="27"/>
  <c r="AJ59" i="27"/>
  <c r="AG59" i="27"/>
  <c r="AA59" i="27"/>
  <c r="P59" i="27"/>
  <c r="V58" i="27"/>
  <c r="AK58" i="27"/>
  <c r="AJ58" i="27"/>
  <c r="AG58" i="27"/>
  <c r="AA58" i="27"/>
  <c r="P58" i="27"/>
  <c r="V57" i="27"/>
  <c r="AK57" i="27"/>
  <c r="AJ57" i="27"/>
  <c r="AG57" i="27"/>
  <c r="AA57" i="27"/>
  <c r="P57" i="27"/>
  <c r="V56" i="27"/>
  <c r="AK56" i="27"/>
  <c r="AJ56" i="27"/>
  <c r="AG56" i="27"/>
  <c r="AA56" i="27"/>
  <c r="P56" i="27"/>
  <c r="V55" i="27"/>
  <c r="AK55" i="27"/>
  <c r="AJ55" i="27"/>
  <c r="AG55" i="27"/>
  <c r="AA55" i="27"/>
  <c r="P55" i="27"/>
  <c r="V54" i="27"/>
  <c r="AK54" i="27"/>
  <c r="AJ54" i="27"/>
  <c r="AG54" i="27"/>
  <c r="AA54" i="27"/>
  <c r="P54" i="27"/>
  <c r="V53" i="27"/>
  <c r="AK53" i="27"/>
  <c r="AJ53" i="27"/>
  <c r="AG53" i="27"/>
  <c r="AA53" i="27"/>
  <c r="P53" i="27"/>
  <c r="V52" i="27"/>
  <c r="AK52" i="27"/>
  <c r="AJ52" i="27"/>
  <c r="AG52" i="27"/>
  <c r="AA52" i="27"/>
  <c r="P52" i="27"/>
  <c r="V51" i="27"/>
  <c r="AK51" i="27"/>
  <c r="AJ51" i="27"/>
  <c r="AG51" i="27"/>
  <c r="AA51" i="27"/>
  <c r="P51" i="27"/>
  <c r="V50" i="27"/>
  <c r="AK50" i="27"/>
  <c r="AJ50" i="27"/>
  <c r="AG50" i="27"/>
  <c r="AA50" i="27"/>
  <c r="P50" i="27"/>
  <c r="V49" i="27"/>
  <c r="AK49" i="27"/>
  <c r="AJ49" i="27"/>
  <c r="AG49" i="27"/>
  <c r="AA49" i="27"/>
  <c r="P49" i="27"/>
  <c r="V48" i="27"/>
  <c r="AK48" i="27"/>
  <c r="AJ48" i="27"/>
  <c r="AG48" i="27"/>
  <c r="AA48" i="27"/>
  <c r="P48" i="27"/>
  <c r="V47" i="27"/>
  <c r="AK47" i="27"/>
  <c r="AJ47" i="27"/>
  <c r="AG47" i="27"/>
  <c r="AA47" i="27"/>
  <c r="P47" i="27"/>
  <c r="V46" i="27"/>
  <c r="AK46" i="27"/>
  <c r="AJ46" i="27"/>
  <c r="AG46" i="27"/>
  <c r="AA46" i="27"/>
  <c r="P46" i="27"/>
  <c r="V45" i="27"/>
  <c r="AK45" i="27"/>
  <c r="AJ45" i="27"/>
  <c r="AG45" i="27"/>
  <c r="AA45" i="27"/>
  <c r="P45" i="27"/>
  <c r="V44" i="27"/>
  <c r="AK44" i="27"/>
  <c r="AJ44" i="27"/>
  <c r="AG44" i="27"/>
  <c r="AA44" i="27"/>
  <c r="P44" i="27"/>
  <c r="V43" i="27"/>
  <c r="AK43" i="27"/>
  <c r="AJ43" i="27"/>
  <c r="AG43" i="27"/>
  <c r="AA43" i="27"/>
  <c r="P43" i="27"/>
  <c r="V42" i="27"/>
  <c r="AK42" i="27"/>
  <c r="AJ42" i="27"/>
  <c r="AG42" i="27"/>
  <c r="AA42" i="27"/>
  <c r="P42" i="27"/>
  <c r="V41" i="27"/>
  <c r="AK41" i="27"/>
  <c r="AJ41" i="27"/>
  <c r="AG41" i="27"/>
  <c r="AA41" i="27"/>
  <c r="P41" i="27"/>
  <c r="V40" i="27"/>
  <c r="AK40" i="27"/>
  <c r="AJ40" i="27"/>
  <c r="AG40" i="27"/>
  <c r="AA40" i="27"/>
  <c r="P40" i="27"/>
  <c r="V39" i="27"/>
  <c r="AK39" i="27"/>
  <c r="AJ39" i="27"/>
  <c r="AG39" i="27"/>
  <c r="AA39" i="27"/>
  <c r="P39" i="27"/>
  <c r="V38" i="27"/>
  <c r="AK38" i="27"/>
  <c r="AJ38" i="27"/>
  <c r="AG38" i="27"/>
  <c r="AA38" i="27"/>
  <c r="P38" i="27"/>
  <c r="V37" i="27"/>
  <c r="AK37" i="27"/>
  <c r="AJ37" i="27"/>
  <c r="AG37" i="27"/>
  <c r="AA37" i="27"/>
  <c r="P37" i="27"/>
  <c r="V36" i="27"/>
  <c r="AK36" i="27"/>
  <c r="AJ36" i="27"/>
  <c r="AG36" i="27"/>
  <c r="AA36" i="27"/>
  <c r="P36" i="27"/>
  <c r="V35" i="27"/>
  <c r="AK35" i="27"/>
  <c r="AJ35" i="27"/>
  <c r="AG35" i="27"/>
  <c r="AA35" i="27"/>
  <c r="P35" i="27"/>
  <c r="V34" i="27"/>
  <c r="AK34" i="27"/>
  <c r="AJ34" i="27"/>
  <c r="AG34" i="27"/>
  <c r="AA34" i="27"/>
  <c r="P34" i="27"/>
  <c r="V33" i="27"/>
  <c r="AK33" i="27"/>
  <c r="AJ33" i="27"/>
  <c r="AG33" i="27"/>
  <c r="AA33" i="27"/>
  <c r="P33" i="27"/>
  <c r="V32" i="27"/>
  <c r="AK32" i="27"/>
  <c r="AJ32" i="27"/>
  <c r="AG32" i="27"/>
  <c r="AA32" i="27"/>
  <c r="P32" i="27"/>
  <c r="V31" i="27"/>
  <c r="AK31" i="27"/>
  <c r="AJ31" i="27"/>
  <c r="AG31" i="27"/>
  <c r="AA31" i="27"/>
  <c r="P31" i="27"/>
  <c r="V30" i="27"/>
  <c r="AK30" i="27"/>
  <c r="AJ30" i="27"/>
  <c r="AG30" i="27"/>
  <c r="AA30" i="27"/>
  <c r="P30" i="27"/>
  <c r="V29" i="27"/>
  <c r="AK29" i="27"/>
  <c r="AJ29" i="27"/>
  <c r="AG29" i="27"/>
  <c r="AA29" i="27"/>
  <c r="P29" i="27"/>
  <c r="V28" i="27"/>
  <c r="AK28" i="27"/>
  <c r="AJ28" i="27"/>
  <c r="AG28" i="27"/>
  <c r="AA28" i="27"/>
  <c r="P28" i="27"/>
  <c r="V27" i="27"/>
  <c r="AK27" i="27"/>
  <c r="AJ27" i="27"/>
  <c r="AG27" i="27"/>
  <c r="AA27" i="27"/>
  <c r="P27" i="27"/>
  <c r="V26" i="27"/>
  <c r="AK26" i="27"/>
  <c r="AJ26" i="27"/>
  <c r="AG26" i="27"/>
  <c r="AA26" i="27"/>
  <c r="P26" i="27"/>
  <c r="V25" i="27"/>
  <c r="AK25" i="27"/>
  <c r="AJ25" i="27"/>
  <c r="AG25" i="27"/>
  <c r="AA25" i="27"/>
  <c r="P25" i="27"/>
  <c r="V24" i="27"/>
  <c r="AK24" i="27"/>
  <c r="AJ24" i="27"/>
  <c r="AG24" i="27"/>
  <c r="AA24" i="27"/>
  <c r="P24" i="27"/>
  <c r="V23" i="27"/>
  <c r="AK23" i="27"/>
  <c r="AJ23" i="27"/>
  <c r="AG23" i="27"/>
  <c r="AA23" i="27"/>
  <c r="P23" i="27"/>
  <c r="V22" i="27"/>
  <c r="AK22" i="27"/>
  <c r="AJ22" i="27"/>
  <c r="AG22" i="27"/>
  <c r="AA22" i="27"/>
  <c r="P22" i="27"/>
  <c r="V21" i="27"/>
  <c r="AK21" i="27"/>
  <c r="AJ21" i="27"/>
  <c r="AG21" i="27"/>
  <c r="AA21" i="27"/>
  <c r="P21" i="27"/>
  <c r="V20" i="27"/>
  <c r="AK20" i="27"/>
  <c r="AJ20" i="27"/>
  <c r="AG20" i="27"/>
  <c r="AA20" i="27"/>
  <c r="P20" i="27"/>
  <c r="V19" i="27"/>
  <c r="AK19" i="27"/>
  <c r="AJ19" i="27"/>
  <c r="AG19" i="27"/>
  <c r="AA19" i="27"/>
  <c r="P19" i="27"/>
  <c r="V18" i="27"/>
  <c r="AK18" i="27"/>
  <c r="AJ18" i="27"/>
  <c r="AG18" i="27"/>
  <c r="AA18" i="27"/>
  <c r="P18" i="27"/>
  <c r="V17" i="27"/>
  <c r="AK17" i="27"/>
  <c r="AJ17" i="27"/>
  <c r="AG17" i="27"/>
  <c r="AA17" i="27"/>
  <c r="P17" i="27"/>
  <c r="V16" i="27"/>
  <c r="AK16" i="27"/>
  <c r="AJ16" i="27"/>
  <c r="AG16" i="27"/>
  <c r="AA16" i="27"/>
  <c r="P16" i="27"/>
  <c r="V15" i="27"/>
  <c r="AK15" i="27"/>
  <c r="AJ15" i="27"/>
  <c r="AG15" i="27"/>
  <c r="AA15" i="27"/>
  <c r="P15" i="27"/>
  <c r="V14" i="27"/>
  <c r="AK14" i="27"/>
  <c r="AJ14" i="27"/>
  <c r="AG14" i="27"/>
  <c r="AA14" i="27"/>
  <c r="P14" i="27"/>
  <c r="V13" i="27"/>
  <c r="AK13" i="27"/>
  <c r="AJ13" i="27"/>
  <c r="AG13" i="27"/>
  <c r="AA13" i="27"/>
  <c r="P13" i="27"/>
  <c r="V12" i="27"/>
  <c r="AK12" i="27"/>
  <c r="AJ12" i="27"/>
  <c r="AG12" i="27"/>
  <c r="AA12" i="27"/>
  <c r="P12" i="27"/>
  <c r="V11" i="27"/>
  <c r="AK11" i="27"/>
  <c r="AJ11" i="27"/>
  <c r="AG11" i="27"/>
  <c r="AA11" i="27"/>
  <c r="P11" i="27"/>
  <c r="V10" i="27"/>
  <c r="AK10" i="27"/>
  <c r="AJ10" i="27"/>
  <c r="AG10" i="27"/>
  <c r="AA10" i="27"/>
  <c r="P10" i="27"/>
  <c r="V9" i="27"/>
  <c r="AK9" i="27"/>
  <c r="AJ9" i="27"/>
  <c r="AG9" i="27"/>
  <c r="AA9" i="27"/>
  <c r="P9" i="27"/>
  <c r="V8" i="27"/>
  <c r="AK8" i="27"/>
  <c r="AJ8" i="27"/>
  <c r="AG8" i="27"/>
  <c r="AA8" i="27"/>
  <c r="P8" i="27"/>
  <c r="V7" i="27"/>
  <c r="AK7" i="27"/>
  <c r="AJ7" i="27"/>
  <c r="AG7" i="27"/>
  <c r="AA7" i="27"/>
  <c r="P7" i="27"/>
  <c r="V6" i="27"/>
  <c r="AK6" i="27"/>
  <c r="AJ6" i="27"/>
  <c r="AG6" i="27"/>
  <c r="AA6" i="27"/>
  <c r="P6" i="27"/>
</calcChain>
</file>

<file path=xl/sharedStrings.xml><?xml version="1.0" encoding="utf-8"?>
<sst xmlns="http://schemas.openxmlformats.org/spreadsheetml/2006/main" count="4557" uniqueCount="1693">
  <si>
    <t>Directory PropSection</t>
  </si>
  <si>
    <t>Directory Files</t>
  </si>
  <si>
    <t>C:\PropSection\PropSection v1.0.4</t>
  </si>
  <si>
    <t>Name of file</t>
  </si>
  <si>
    <t>Accept result?</t>
  </si>
  <si>
    <t>Yes</t>
  </si>
  <si>
    <t>S_1_690_M-1-I-1-1_GMNIA_N__1</t>
  </si>
  <si>
    <t>S_1_690_M-1-I-1-2_GMNIA_N__2</t>
  </si>
  <si>
    <t>S_1_690_M-1-I-1-3_GMNIA_N__3</t>
  </si>
  <si>
    <t>S_1_690_M-1-I-1-4_GMNIA_N__4</t>
  </si>
  <si>
    <t>S_1_690_M-1-I-1-5_GMNIA_N__5</t>
  </si>
  <si>
    <t>S_1_690_M-1-I-1-6_GMNIA_N__6</t>
  </si>
  <si>
    <t>S_1_690_M-1-I-1-7_GMNIA_N__7</t>
  </si>
  <si>
    <t>S_1_690_M-1-I-1-8_GMNIA_N__8</t>
  </si>
  <si>
    <t>S_1_690_M-1-I-2-1_GMNIA_N__9</t>
  </si>
  <si>
    <t>S_1_690_M-1-I-2-2_GMNIA_N__10</t>
  </si>
  <si>
    <t xml:space="preserve">Upper flange width (b1) </t>
  </si>
  <si>
    <t xml:space="preserve">Lower flange width (b2) </t>
  </si>
  <si>
    <t>Height (h)</t>
  </si>
  <si>
    <t>Upper flange thickness (tf1)</t>
  </si>
  <si>
    <t>Lower flange thickness (tf2)</t>
  </si>
  <si>
    <t xml:space="preserve">Web thicknesss (tw)
</t>
  </si>
  <si>
    <t xml:space="preserve">Upper radius (r1)
</t>
  </si>
  <si>
    <t xml:space="preserve">Lower radius (r2)
</t>
  </si>
  <si>
    <t>Length (L)</t>
  </si>
  <si>
    <t>ID of element</t>
  </si>
  <si>
    <t>Geometry</t>
  </si>
  <si>
    <t>Loading</t>
  </si>
  <si>
    <t>Fy</t>
  </si>
  <si>
    <t>Young's modulus</t>
  </si>
  <si>
    <t>Other parameters</t>
  </si>
  <si>
    <t>A (mm2)</t>
  </si>
  <si>
    <t>Iy (mm4)</t>
  </si>
  <si>
    <t>Wel.y  (mm3)</t>
  </si>
  <si>
    <t>Wpl.y  (mm3)</t>
  </si>
  <si>
    <t>Rpl</t>
  </si>
  <si>
    <t>h/b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</si>
  <si>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</si>
  <si>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</si>
  <si>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</si>
  <si>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</si>
  <si>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</si>
  <si>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</si>
  <si>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</si>
  <si>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</si>
  <si>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</si>
  <si>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</si>
  <si>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</si>
  <si>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</si>
  <si>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</si>
  <si>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</si>
  <si>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</si>
  <si>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</si>
  <si>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</si>
  <si>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</si>
  <si>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</si>
  <si>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</si>
  <si>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</si>
  <si>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</si>
  <si>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</si>
  <si>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</si>
  <si>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</si>
  <si>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</si>
  <si>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</si>
  <si>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</si>
  <si>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</si>
  <si>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</si>
  <si>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</si>
  <si>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</si>
  <si>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</si>
  <si>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</si>
  <si>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</si>
  <si>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</si>
  <si>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</si>
  <si>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</si>
  <si>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</si>
  <si>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</si>
  <si>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</si>
  <si>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</si>
  <si>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</si>
  <si>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</si>
  <si>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</si>
  <si>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</si>
  <si>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</si>
  <si>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</si>
  <si>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</si>
  <si>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</si>
  <si>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</si>
  <si>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</si>
  <si>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</si>
  <si>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</si>
  <si>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</si>
  <si>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</si>
  <si>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</si>
  <si>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</si>
  <si>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</si>
  <si>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</si>
  <si>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</si>
  <si>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</si>
  <si>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</si>
  <si>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</si>
  <si>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</si>
  <si>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</si>
  <si>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</si>
  <si>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</si>
  <si>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</si>
  <si>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</si>
  <si>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</si>
  <si>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</si>
  <si>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</si>
  <si>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</si>
  <si>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</si>
  <si>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</si>
  <si>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</si>
  <si>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</si>
  <si>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</si>
  <si>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</si>
  <si>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</si>
  <si>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</si>
  <si>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</si>
  <si>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</si>
  <si>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</si>
  <si>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</si>
  <si>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</si>
  <si>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</si>
  <si>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</si>
  <si>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</si>
  <si>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</si>
  <si>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</si>
  <si>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</si>
  <si>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</si>
  <si>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</si>
  <si>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</si>
  <si>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S_1_690_M-1-I-2-3_GMNIA_N__11</t>
  </si>
  <si>
    <t>S_1_690_M-1-I-2-4_GMNIA_N__12</t>
  </si>
  <si>
    <t>S_1_690_M-1-I-2-5_GMNIA_N__13</t>
  </si>
  <si>
    <t>S_1_690_M-1-I-2-6_GMNIA_N__14</t>
  </si>
  <si>
    <t>S_1_690_M-1-I-2-7_GMNIA_N__15</t>
  </si>
  <si>
    <t>S_1_690_M-1-I-2-8_GMNIA_N__16</t>
  </si>
  <si>
    <t>S_1_690_M-1-I-3-1_GMNIA_N__17</t>
  </si>
  <si>
    <t>S_1_690_M-1-I-3-2_GMNIA_N__18</t>
  </si>
  <si>
    <t>S_1_690_M-1-I-3-3_GMNIA_N__19</t>
  </si>
  <si>
    <t>S_1_690_M-1-I-3-4_GMNIA_N__20</t>
  </si>
  <si>
    <t>S_1_690_M-1-I-3-5_GMNIA_N__21</t>
  </si>
  <si>
    <t>S_1_690_M-1-I-3-6_GMNIA_N__22</t>
  </si>
  <si>
    <t>S_1_690_M-1-I-3-7_GMNIA_N__23</t>
  </si>
  <si>
    <t>S_1_690_M-1-I-3-8_GMNIA_N__24</t>
  </si>
  <si>
    <t>S_1_690_M-1-I-4-1_GMNIA_N__25</t>
  </si>
  <si>
    <t>S_1_690_M-1-I-4-2_GMNIA_N__26</t>
  </si>
  <si>
    <t>S_1_690_M-1-I-4-3_GMNIA_N__27</t>
  </si>
  <si>
    <t>S_1_690_M-1-I-4-4_GMNIA_N__28</t>
  </si>
  <si>
    <t>S_1_690_M-1-I-4-5_GMNIA_N__29</t>
  </si>
  <si>
    <t>S_1_690_M-1-I-4-6_GMNIA_N__30</t>
  </si>
  <si>
    <t>S_1_690_M-1-I-4-7_GMNIA_N__31</t>
  </si>
  <si>
    <t>S_1_690_M-1-I-4-8_GMNIA_N__32</t>
  </si>
  <si>
    <t>S_1_690_M-1-I-5-1_GMNIA_N__33</t>
  </si>
  <si>
    <t>S_1_690_M-1-I-5-2_GMNIA_N__34</t>
  </si>
  <si>
    <t>S_1_690_M-1-I-5-3_GMNIA_N__35</t>
  </si>
  <si>
    <t>S_1_690_M-1-I-5-4_GMNIA_N__36</t>
  </si>
  <si>
    <t>S_1_690_M-1-I-5-5_GMNIA_N__37</t>
  </si>
  <si>
    <t>S_1_690_M-1-I-5-6_GMNIA_N__38</t>
  </si>
  <si>
    <t>S_1_690_M-1-I-5-7_GMNIA_N__39</t>
  </si>
  <si>
    <t>S_1_690_M-1-I-5-8_GMNIA_N__40</t>
  </si>
  <si>
    <t>S_1_690_M-1-I-6-1_GMNIA_N__41</t>
  </si>
  <si>
    <t>S_1_690_M-1-I-6-2_GMNIA_N__42</t>
  </si>
  <si>
    <t>S_1_690_M-1-I-6-3_GMNIA_N__43</t>
  </si>
  <si>
    <t>S_1_690_M-1-I-6-4_GMNIA_N__44</t>
  </si>
  <si>
    <t>S_1_690_M-1-I-6-5_GMNIA_N__45</t>
  </si>
  <si>
    <t>S_1_690_M-1-I-6-6_GMNIA_N__46</t>
  </si>
  <si>
    <t>S_1_690_M-1-I-6-7_GMNIA_N__47</t>
  </si>
  <si>
    <t>S_1_690_M-1-I-6-8_GMNIA_N__48</t>
  </si>
  <si>
    <t>S_1_690_M-1-H-1-1_GMNIA_N__49</t>
  </si>
  <si>
    <t>S_1_690_M-1-H-1-2_GMNIA_N__50</t>
  </si>
  <si>
    <t>S_1_690_M-1-H-1-3_GMNIA_N__51</t>
  </si>
  <si>
    <t>S_1_690_M-1-H-1-4_GMNIA_N__52</t>
  </si>
  <si>
    <t>S_1_690_M-1-H-1-5_GMNIA_N__53</t>
  </si>
  <si>
    <t>S_1_690_M-1-H-1-6_GMNIA_N__54</t>
  </si>
  <si>
    <t>S_1_690_M-1-H-1-7_GMNIA_N__55</t>
  </si>
  <si>
    <t>S_1_690_M-1-H-1-8_GMNIA_N__56</t>
  </si>
  <si>
    <t>S_1_690_M-1-H-2-1_GMNIA_N__57</t>
  </si>
  <si>
    <t>S_1_690_M-1-H-2-2_GMNIA_N__58</t>
  </si>
  <si>
    <t>S_1_690_M-1-H-2-3_GMNIA_N__59</t>
  </si>
  <si>
    <t>S_1_690_M-1-H-2-4_GMNIA_N__60</t>
  </si>
  <si>
    <t>S_1_690_M-1-H-2-5_GMNIA_N__61</t>
  </si>
  <si>
    <t>S_1_690_M-1-H-2-6_GMNIA_N__62</t>
  </si>
  <si>
    <t>S_1_690_M-1-H-2-7_GMNIA_N__63</t>
  </si>
  <si>
    <t>S_1_690_M-1-H-2-8_GMNIA_N__64</t>
  </si>
  <si>
    <t>S_1_690_M-1-H-3-1_GMNIA_N__65</t>
  </si>
  <si>
    <t>S_1_690_M-1-H-3-2_GMNIA_N__66</t>
  </si>
  <si>
    <t>S_1_690_M-1-H-3-3_GMNIA_N__67</t>
  </si>
  <si>
    <t>S_1_690_M-1-H-3-4_GMNIA_N__68</t>
  </si>
  <si>
    <t>S_1_690_M-1-H-3-5_GMNIA_N__69</t>
  </si>
  <si>
    <t>S_1_690_M-1-H-3-6_GMNIA_N__70</t>
  </si>
  <si>
    <t>S_1_690_M-1-H-3-7_GMNIA_N__71</t>
  </si>
  <si>
    <t>S_1_690_M-1-H-3-8_GMNIA_N__72</t>
  </si>
  <si>
    <t>S_1_690_M-1-H-4-1_GMNIA_N__73</t>
  </si>
  <si>
    <t>S_1_690_M-1-H-4-2_GMNIA_N__74</t>
  </si>
  <si>
    <t>S_1_690_M-1-H-4-3_GMNIA_N__75</t>
  </si>
  <si>
    <t>S_1_690_M-1-H-4-4_GMNIA_N__76</t>
  </si>
  <si>
    <t>S_1_690_M-1-H-4-5_GMNIA_N__77</t>
  </si>
  <si>
    <t>S_1_690_M-1-H-4-6_GMNIA_N__78</t>
  </si>
  <si>
    <t>S_1_690_M-1-H-4-7_GMNIA_N__79</t>
  </si>
  <si>
    <t>S_1_690_M-1-H-4-8_GMNIA_N__80</t>
  </si>
  <si>
    <t>S_1_690_M-1-H-5-1_GMNIA_N__81</t>
  </si>
  <si>
    <t>S_1_690_M-1-H-5-2_GMNIA_N__82</t>
  </si>
  <si>
    <t>S_1_690_M-1-H-5-3_GMNIA_N__83</t>
  </si>
  <si>
    <t>S_1_690_M-1-H-5-4_GMNIA_N__84</t>
  </si>
  <si>
    <t>S_1_690_M-1-H-5-5_GMNIA_N__85</t>
  </si>
  <si>
    <t>S_1_690_M-1-H-5-6_GMNIA_N__86</t>
  </si>
  <si>
    <t>S_1_690_M-1-H-5-7_GMNIA_N__87</t>
  </si>
  <si>
    <t>S_1_690_M-1-H-5-8_GMNIA_N__88</t>
  </si>
  <si>
    <t>S_1_690_M-1-H-6-1_GMNIA_N__89</t>
  </si>
  <si>
    <t>S_1_690_M-1-H-6-2_GMNIA_N__90</t>
  </si>
  <si>
    <t>S_1_690_M-1-H-6-3_GMNIA_N__91</t>
  </si>
  <si>
    <t>S_1_690_M-1-H-6-4_GMNIA_N__92</t>
  </si>
  <si>
    <t>S_1_690_M-1-H-6-5_GMNIA_N__93</t>
  </si>
  <si>
    <t>S_1_690_M-1-H-6-6_GMNIA_N__94</t>
  </si>
  <si>
    <t>S_1_690_M-1-H-6-7_GMNIA_N__95</t>
  </si>
  <si>
    <t>No (Not reached peak)</t>
  </si>
  <si>
    <t>Yes (Passing peak load too roughly)</t>
  </si>
  <si>
    <t>Ix  (mm4)</t>
  </si>
  <si>
    <t>Wel.x  (mm3)</t>
  </si>
  <si>
    <t>Wpl.x  (mm3)</t>
  </si>
  <si>
    <t>R_cr_G</t>
  </si>
  <si>
    <t>Ultimate load [KN]</t>
  </si>
  <si>
    <t>Ultimate load EN3 [KN]</t>
  </si>
  <si>
    <t>S_1_690_M-1-H-6-8_GMNIA_N__96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</si>
  <si>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</si>
  <si>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</si>
  <si>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</si>
  <si>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</si>
  <si>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</si>
  <si>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</si>
  <si>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</si>
  <si>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</si>
  <si>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</si>
  <si>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</si>
  <si>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</si>
  <si>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</si>
  <si>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</si>
  <si>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</si>
  <si>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</si>
  <si>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</si>
  <si>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</si>
  <si>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</si>
  <si>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</si>
  <si>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</si>
  <si>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</si>
  <si>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</si>
  <si>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</si>
  <si>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</si>
  <si>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</si>
  <si>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</si>
  <si>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</si>
  <si>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</si>
  <si>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</si>
  <si>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</si>
  <si>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</si>
  <si>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</si>
  <si>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</si>
  <si>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</si>
  <si>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</si>
  <si>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</si>
  <si>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</si>
  <si>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</si>
  <si>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</si>
  <si>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</si>
  <si>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</si>
  <si>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</si>
  <si>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</si>
  <si>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</si>
  <si>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</si>
  <si>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</si>
  <si>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</si>
  <si>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</si>
  <si>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</si>
  <si>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</si>
  <si>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</si>
  <si>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</si>
  <si>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</si>
  <si>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</si>
  <si>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</si>
  <si>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</si>
  <si>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</si>
  <si>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</si>
  <si>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</si>
  <si>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</si>
  <si>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</si>
  <si>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</si>
  <si>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</si>
  <si>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</si>
  <si>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</si>
  <si>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</si>
  <si>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</si>
  <si>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</si>
  <si>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</si>
  <si>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</si>
  <si>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</si>
  <si>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</si>
  <si>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</si>
  <si>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</si>
  <si>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</si>
  <si>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</si>
  <si>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</si>
  <si>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</si>
  <si>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</si>
  <si>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</si>
  <si>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</si>
  <si>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</si>
  <si>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</si>
  <si>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</si>
  <si>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</si>
  <si>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</si>
  <si>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</si>
  <si>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</si>
  <si>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</si>
  <si>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</si>
  <si>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</si>
  <si>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</si>
  <si>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</si>
  <si>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</si>
  <si>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</si>
  <si>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</si>
  <si>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S_1_460_M-2-I-1-1_GMNIA_N__97</t>
  </si>
  <si>
    <t>S_1_460_M-2-I-1-2_GMNIA_N__98</t>
  </si>
  <si>
    <t>S_1_460_M-2-I-1-3_GMNIA_N__99</t>
  </si>
  <si>
    <t>S_1_460_M-2-I-1-4_GMNIA_N__100</t>
  </si>
  <si>
    <t>S_1_460_M-2-I-1-5_GMNIA_N__101</t>
  </si>
  <si>
    <t>S_1_460_M-2-I-1-6_GMNIA_N__102</t>
  </si>
  <si>
    <t>S_1_460_M-2-I-1-7_GMNIA_N__103</t>
  </si>
  <si>
    <t>S_1_460_M-2-I-1-8_GMNIA_N__104</t>
  </si>
  <si>
    <t>S_1_460_M-2-I-2-1_GMNIA_N__105</t>
  </si>
  <si>
    <t>S_1_460_M-2-I-2-2_GMNIA_N__106</t>
  </si>
  <si>
    <t>S_1_460_M-2-I-2-3_GMNIA_N__107</t>
  </si>
  <si>
    <t>S_1_460_M-2-I-2-4_GMNIA_N__108</t>
  </si>
  <si>
    <t>S_1_460_M-2-I-2-5_GMNIA_N__109</t>
  </si>
  <si>
    <t>S_1_460_M-2-I-2-6_GMNIA_N__110</t>
  </si>
  <si>
    <t>S_1_460_M-2-I-2-7_GMNIA_N__111</t>
  </si>
  <si>
    <t>S_1_460_M-2-I-2-8_GMNIA_N__112</t>
  </si>
  <si>
    <t>S_1_460_M-2-I-3-1_GMNIA_N__113</t>
  </si>
  <si>
    <t>S_1_460_M-2-I-3-2_GMNIA_N__114</t>
  </si>
  <si>
    <t>S_1_460_M-2-I-3-3_GMNIA_N__115</t>
  </si>
  <si>
    <t>S_1_460_M-2-I-3-4_GMNIA_N__116</t>
  </si>
  <si>
    <t>S_1_460_M-2-I-3-5_GMNIA_N__117</t>
  </si>
  <si>
    <t>S_1_460_M-2-I-3-6_GMNIA_N__118</t>
  </si>
  <si>
    <t>S_1_460_M-2-I-3-7_GMNIA_N__119</t>
  </si>
  <si>
    <t>S_1_460_M-2-I-3-8_GMNIA_N__120</t>
  </si>
  <si>
    <t>S_1_460_M-2-I-4-1_GMNIA_N__121</t>
  </si>
  <si>
    <t>S_1_460_M-2-I-4-2_GMNIA_N__122</t>
  </si>
  <si>
    <t>S_1_460_M-2-I-4-3_GMNIA_N__123</t>
  </si>
  <si>
    <t>S_1_460_M-2-I-4-4_GMNIA_N__124</t>
  </si>
  <si>
    <t>S_1_460_M-2-I-4-5_GMNIA_N__125</t>
  </si>
  <si>
    <t>S_1_460_M-2-I-4-6_GMNIA_N__126</t>
  </si>
  <si>
    <t>S_1_460_M-2-I-4-7_GMNIA_N__127</t>
  </si>
  <si>
    <t>S_1_460_M-2-I-4-8_GMNIA_N__128</t>
  </si>
  <si>
    <t>S_1_460_M-2-I-5-1_GMNIA_N__129</t>
  </si>
  <si>
    <t>S_1_460_M-2-I-5-2_GMNIA_N__130</t>
  </si>
  <si>
    <t>S_1_460_M-2-I-5-3_GMNIA_N__131</t>
  </si>
  <si>
    <t>S_1_460_M-2-I-5-4_GMNIA_N__132</t>
  </si>
  <si>
    <t>S_1_460_M-2-I-5-5_GMNIA_N__133</t>
  </si>
  <si>
    <t>S_1_460_M-2-I-5-6_GMNIA_N__134</t>
  </si>
  <si>
    <t>S_1_460_M-2-I-5-7_GMNIA_N__135</t>
  </si>
  <si>
    <t>S_1_460_M-2-I-5-8_GMNIA_N__136</t>
  </si>
  <si>
    <t>S_1_460_M-2-I-6-1_GMNIA_N__137</t>
  </si>
  <si>
    <t>S_1_460_M-2-I-6-2_GMNIA_N__138</t>
  </si>
  <si>
    <t>S_1_460_M-2-I-6-3_GMNIA_N__139</t>
  </si>
  <si>
    <t>S_1_460_M-2-I-6-4_GMNIA_N__140</t>
  </si>
  <si>
    <t>S_1_460_M-2-I-6-5_GMNIA_N__141</t>
  </si>
  <si>
    <t>S_1_460_M-2-I-6-6_GMNIA_N__142</t>
  </si>
  <si>
    <t>S_1_460_M-2-I-6-7_GMNIA_N__143</t>
  </si>
  <si>
    <t>S_1_460_M-2-I-6-8_GMNIA_N__144</t>
  </si>
  <si>
    <t>S_1_460_M-2-H-1-1_GMNIA_N__145</t>
  </si>
  <si>
    <t>S_1_460_M-2-H-1-2_GMNIA_N__146</t>
  </si>
  <si>
    <t>S_1_460_M-2-H-1-3_GMNIA_N__147</t>
  </si>
  <si>
    <t>S_1_460_M-2-H-1-4_GMNIA_N__148</t>
  </si>
  <si>
    <t>S_1_460_M-2-H-1-5_GMNIA_N__149</t>
  </si>
  <si>
    <t>S_1_460_M-2-H-1-6_GMNIA_N__150</t>
  </si>
  <si>
    <t>S_1_460_M-2-H-1-7_GMNIA_N__151</t>
  </si>
  <si>
    <t>S_1_460_M-2-H-1-8_GMNIA_N__152</t>
  </si>
  <si>
    <t>S_1_460_M-2-H-2-1_GMNIA_N__153</t>
  </si>
  <si>
    <t>S_1_460_M-2-H-2-2_GMNIA_N__154</t>
  </si>
  <si>
    <t>S_1_460_M-2-H-2-3_GMNIA_N__155</t>
  </si>
  <si>
    <t>S_1_460_M-2-H-2-4_GMNIA_N__156</t>
  </si>
  <si>
    <t>S_1_460_M-2-H-2-5_GMNIA_N__157</t>
  </si>
  <si>
    <t>S_1_460_M-2-H-2-6_GMNIA_N__158</t>
  </si>
  <si>
    <t>S_1_460_M-2-H-2-7_GMNIA_N__159</t>
  </si>
  <si>
    <t>S_1_460_M-2-H-2-8_GMNIA_N__160</t>
  </si>
  <si>
    <t>S_1_460_M-2-H-3-1_GMNIA_N__161</t>
  </si>
  <si>
    <t>S_1_460_M-2-H-3-2_GMNIA_N__162</t>
  </si>
  <si>
    <t>S_1_460_M-2-H-3-3_GMNIA_N__163</t>
  </si>
  <si>
    <t>S_1_460_M-2-H-3-4_GMNIA_N__164</t>
  </si>
  <si>
    <t>S_1_460_M-2-H-3-5_GMNIA_N__165</t>
  </si>
  <si>
    <t>S_1_460_M-2-H-3-6_GMNIA_N__166</t>
  </si>
  <si>
    <t>S_1_460_M-2-H-3-7_GMNIA_N__167</t>
  </si>
  <si>
    <t>S_1_460_M-2-H-3-8_GMNIA_N__168</t>
  </si>
  <si>
    <t>S_1_460_M-2-H-4-1_GMNIA_N__169</t>
  </si>
  <si>
    <t>S_1_460_M-2-H-4-2_GMNIA_N__170</t>
  </si>
  <si>
    <t>S_1_460_M-2-H-4-3_GMNIA_N__171</t>
  </si>
  <si>
    <t>S_1_460_M-2-H-4-4_GMNIA_N__172</t>
  </si>
  <si>
    <t>S_1_460_M-2-H-4-5_GMNIA_N__173</t>
  </si>
  <si>
    <t>S_1_460_M-2-H-4-6_GMNIA_N__174</t>
  </si>
  <si>
    <t>S_1_460_M-2-H-4-7_GMNIA_N__175</t>
  </si>
  <si>
    <t>S_1_460_M-2-H-4-8_GMNIA_N__176</t>
  </si>
  <si>
    <t>S_1_460_M-2-H-5-1_GMNIA_N__177</t>
  </si>
  <si>
    <t>S_1_460_M-2-H-5-2_GMNIA_N__178</t>
  </si>
  <si>
    <t>S_1_460_M-2-H-5-3_GMNIA_N__179</t>
  </si>
  <si>
    <t>S_1_460_M-2-H-5-4_GMNIA_N__180</t>
  </si>
  <si>
    <t>S_1_460_M-2-H-5-5_GMNIA_N__181</t>
  </si>
  <si>
    <t>S_1_460_M-2-H-5-6_GMNIA_N__182</t>
  </si>
  <si>
    <t>S_1_460_M-2-H-5-7_GMNIA_N__183</t>
  </si>
  <si>
    <t>S_1_460_M-2-H-5-8_GMNIA_N__184</t>
  </si>
  <si>
    <t>S_1_460_M-2-H-6-1_GMNIA_N__185</t>
  </si>
  <si>
    <t>S_1_460_M-2-H-6-2_GMNIA_N__186</t>
  </si>
  <si>
    <t>S_1_460_M-2-H-6-3_GMNIA_N__187</t>
  </si>
  <si>
    <t>S_1_460_M-2-H-6-4_GMNIA_N__188</t>
  </si>
  <si>
    <t>S_1_460_M-2-H-6-5_GMNIA_N__189</t>
  </si>
  <si>
    <t>S_1_460_M-2-H-6-6_GMNIA_N__190</t>
  </si>
  <si>
    <t>S_1_460_M-2-H-6-7_GMNIA_N__191</t>
  </si>
  <si>
    <t>S_1_460_M-2-H-6-8_GMNIA_N__192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</si>
  <si>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</si>
  <si>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</si>
  <si>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</si>
  <si>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</si>
  <si>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</si>
  <si>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</si>
  <si>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</si>
  <si>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</si>
  <si>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</si>
  <si>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</si>
  <si>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</si>
  <si>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</si>
  <si>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</si>
  <si>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</si>
  <si>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</si>
  <si>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</si>
  <si>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</si>
  <si>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</si>
  <si>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</si>
  <si>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</si>
  <si>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</si>
  <si>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</si>
  <si>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</si>
  <si>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</si>
  <si>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</si>
  <si>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</si>
  <si>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</si>
  <si>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</si>
  <si>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</si>
  <si>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</si>
  <si>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</si>
  <si>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</si>
  <si>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</si>
  <si>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</si>
  <si>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</si>
  <si>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</si>
  <si>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</si>
  <si>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</si>
  <si>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</si>
  <si>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</si>
  <si>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</si>
  <si>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</si>
  <si>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</si>
  <si>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</si>
  <si>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</si>
  <si>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</si>
  <si>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</si>
  <si>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</si>
  <si>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</si>
  <si>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</si>
  <si>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</si>
  <si>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</si>
  <si>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</si>
  <si>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</si>
  <si>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</si>
  <si>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</si>
  <si>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</si>
  <si>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</si>
  <si>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</si>
  <si>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</si>
  <si>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</si>
  <si>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</si>
  <si>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</si>
  <si>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</si>
  <si>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</si>
  <si>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</si>
  <si>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</si>
  <si>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</si>
  <si>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</si>
  <si>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</si>
  <si>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</si>
  <si>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</si>
  <si>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</si>
  <si>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</si>
  <si>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</si>
  <si>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</si>
  <si>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</si>
  <si>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</si>
  <si>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</si>
  <si>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</si>
  <si>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</si>
  <si>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</si>
  <si>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</si>
  <si>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</si>
  <si>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</si>
  <si>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</si>
  <si>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</si>
  <si>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</si>
  <si>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</si>
  <si>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</si>
  <si>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</si>
  <si>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</si>
  <si>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</si>
  <si>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</si>
  <si>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</si>
  <si>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</si>
  <si>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FE results (ABAQUS)</t>
  </si>
  <si>
    <t>Rb,G/Rpl</t>
  </si>
  <si>
    <r>
      <t>λ</t>
    </r>
    <r>
      <rPr>
        <b/>
        <vertAlign val="subscript"/>
        <sz val="10"/>
        <color theme="1"/>
        <rFont val="Times New Roman"/>
        <family val="1"/>
      </rPr>
      <t>G</t>
    </r>
  </si>
  <si>
    <r>
      <t>N</t>
    </r>
    <r>
      <rPr>
        <b/>
        <vertAlign val="subscript"/>
        <sz val="10"/>
        <color theme="1"/>
        <rFont val="Times New Roman"/>
        <family val="1"/>
      </rPr>
      <t>ini</t>
    </r>
  </si>
  <si>
    <r>
      <t>Rb</t>
    </r>
    <r>
      <rPr>
        <b/>
        <vertAlign val="subscript"/>
        <sz val="10"/>
        <color theme="1"/>
        <rFont val="Times New Roman"/>
        <family val="1"/>
      </rPr>
      <t>L+G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</si>
  <si>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</si>
  <si>
    <r>
      <t>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</si>
  <si>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</si>
  <si>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  <r>
      <rPr>
        <b/>
        <sz val="10"/>
        <color theme="1"/>
        <rFont val="Times New Roman"/>
        <family val="1"/>
      </rPr>
      <t>·f</t>
    </r>
    <r>
      <rPr>
        <b/>
        <vertAlign val="subscript"/>
        <sz val="10"/>
        <color theme="1"/>
        <rFont val="Times New Roman"/>
        <family val="1"/>
      </rPr>
      <t>L/G</t>
    </r>
  </si>
  <si>
    <r>
      <t>λ</t>
    </r>
    <r>
      <rPr>
        <b/>
        <vertAlign val="subscript"/>
        <sz val="10"/>
        <color theme="1"/>
        <rFont val="Times New Roman"/>
        <family val="1"/>
      </rPr>
      <t>L</t>
    </r>
  </si>
  <si>
    <r>
      <t>λ</t>
    </r>
    <r>
      <rPr>
        <b/>
        <vertAlign val="subscript"/>
        <sz val="10"/>
        <color theme="1"/>
        <rFont val="Times New Roman"/>
        <family val="1"/>
      </rPr>
      <t>L+G</t>
    </r>
  </si>
  <si>
    <r>
      <t>R</t>
    </r>
    <r>
      <rPr>
        <b/>
        <vertAlign val="subscript"/>
        <sz val="10"/>
        <color theme="1"/>
        <rFont val="Times New Roman"/>
        <family val="1"/>
      </rPr>
      <t>bL+G</t>
    </r>
    <r>
      <rPr>
        <b/>
        <sz val="10"/>
        <color theme="1"/>
        <rFont val="Times New Roman"/>
        <family val="1"/>
      </rPr>
      <t>/Rpl</t>
    </r>
  </si>
  <si>
    <r>
      <t>Rb</t>
    </r>
    <r>
      <rPr>
        <b/>
        <vertAlign val="subscript"/>
        <sz val="10"/>
        <color theme="1"/>
        <rFont val="Times New Roman"/>
        <family val="1"/>
      </rPr>
      <t>G</t>
    </r>
  </si>
  <si>
    <t>S_1_355_M-3-I-1-1_GMNIA_N__193</t>
  </si>
  <si>
    <t>S_1_355_M-3-I-1-2_GMNIA_N__194</t>
  </si>
  <si>
    <t>S_1_355_M-3-I-1-3_GMNIA_N__195</t>
  </si>
  <si>
    <t>S_1_355_M-3-I-1-4_GMNIA_N__196</t>
  </si>
  <si>
    <t>S_1_355_M-3-I-1-5_GMNIA_N__197</t>
  </si>
  <si>
    <t>S_1_355_M-3-I-1-6_GMNIA_N__198</t>
  </si>
  <si>
    <t>S_1_355_M-3-I-1-7_GMNIA_N__199</t>
  </si>
  <si>
    <t>S_1_355_M-3-I-1-8_GMNIA_N__200</t>
  </si>
  <si>
    <t>S_1_355_M-3-I-2-1_GMNIA_N__201</t>
  </si>
  <si>
    <t>S_1_355_M-3-I-2-2_GMNIA_N__202</t>
  </si>
  <si>
    <t>S_1_355_M-3-I-2-3_GMNIA_N__203</t>
  </si>
  <si>
    <t>S_1_355_M-3-I-2-4_GMNIA_N__204</t>
  </si>
  <si>
    <t>S_1_355_M-3-I-2-5_GMNIA_N__205</t>
  </si>
  <si>
    <t>S_1_355_M-3-I-2-6_GMNIA_N__206</t>
  </si>
  <si>
    <t>S_1_355_M-3-I-2-7_GMNIA_N__207</t>
  </si>
  <si>
    <t>S_1_355_M-3-I-2-8_GMNIA_N__208</t>
  </si>
  <si>
    <t>S_1_355_M-3-I-3-1_GMNIA_N__209</t>
  </si>
  <si>
    <t>S_1_355_M-3-I-3-2_GMNIA_N__210</t>
  </si>
  <si>
    <t>S_1_355_M-3-I-3-3_GMNIA_N__211</t>
  </si>
  <si>
    <t>S_1_355_M-3-I-3-4_GMNIA_N__212</t>
  </si>
  <si>
    <t>S_1_355_M-3-I-3-5_GMNIA_N__213</t>
  </si>
  <si>
    <t>S_1_355_M-3-I-3-6_GMNIA_N__214</t>
  </si>
  <si>
    <t>S_1_355_M-3-I-3-7_GMNIA_N__215</t>
  </si>
  <si>
    <t>S_1_355_M-3-I-3-8_GMNIA_N__216</t>
  </si>
  <si>
    <t>S_1_355_M-3-I-4-1_GMNIA_N__217</t>
  </si>
  <si>
    <t>S_1_355_M-3-I-4-2_GMNIA_N__218</t>
  </si>
  <si>
    <t>S_1_355_M-3-I-4-3_GMNIA_N__219</t>
  </si>
  <si>
    <t>S_1_355_M-3-I-4-4_GMNIA_N__220</t>
  </si>
  <si>
    <t>S_1_355_M-3-I-4-5_GMNIA_N__221</t>
  </si>
  <si>
    <t>S_1_355_M-3-I-4-6_GMNIA_N__222</t>
  </si>
  <si>
    <t>S_1_355_M-3-I-4-7_GMNIA_N__223</t>
  </si>
  <si>
    <t>S_1_355_M-3-I-4-8_GMNIA_N__224</t>
  </si>
  <si>
    <t>S_1_355_M-3-I-5-1_GMNIA_N__225</t>
  </si>
  <si>
    <t>S_1_355_M-3-I-5-2_GMNIA_N__226</t>
  </si>
  <si>
    <t>S_1_355_M-3-I-5-3_GMNIA_N__227</t>
  </si>
  <si>
    <t>S_1_355_M-3-I-5-4_GMNIA_N__228</t>
  </si>
  <si>
    <t>S_1_355_M-3-I-5-5_GMNIA_N__229</t>
  </si>
  <si>
    <t>S_1_355_M-3-I-5-6_GMNIA_N__230</t>
  </si>
  <si>
    <t>S_1_355_M-3-I-5-7_GMNIA_N__231</t>
  </si>
  <si>
    <t>S_1_355_M-3-I-5-8_GMNIA_N__232</t>
  </si>
  <si>
    <t>S_1_355_M-3-I-6-1_GMNIA_N__233</t>
  </si>
  <si>
    <t>S_1_355_M-3-I-6-2_GMNIA_N__234</t>
  </si>
  <si>
    <t>S_1_355_M-3-I-6-3_GMNIA_N__235</t>
  </si>
  <si>
    <t>S_1_355_M-3-I-6-4_GMNIA_N__236</t>
  </si>
  <si>
    <t>S_1_355_M-3-I-6-5_GMNIA_N__237</t>
  </si>
  <si>
    <t>S_1_355_M-3-I-6-6_GMNIA_N__238</t>
  </si>
  <si>
    <t>S_1_355_M-3-I-6-7_GMNIA_N__239</t>
  </si>
  <si>
    <t>S_1_355_M-3-I-6-8_GMNIA_N__240</t>
  </si>
  <si>
    <t>S_1_355_M-3-H-1-1_GMNIA_N__241</t>
  </si>
  <si>
    <t>S_1_355_M-3-H-1-2_GMNIA_N__242</t>
  </si>
  <si>
    <t>S_1_355_M-3-H-1-3_GMNIA_N__243</t>
  </si>
  <si>
    <t>S_1_355_M-3-H-1-4_GMNIA_N__244</t>
  </si>
  <si>
    <t>S_1_355_M-3-H-1-5_GMNIA_N__245</t>
  </si>
  <si>
    <t>S_1_355_M-3-H-1-6_GMNIA_N__246</t>
  </si>
  <si>
    <t>S_1_355_M-3-H-1-7_GMNIA_N__247</t>
  </si>
  <si>
    <t>S_1_355_M-3-H-1-8_GMNIA_N__248</t>
  </si>
  <si>
    <t>S_1_355_M-3-H-2-1_GMNIA_N__249</t>
  </si>
  <si>
    <t>S_1_355_M-3-H-2-2_GMNIA_N__250</t>
  </si>
  <si>
    <t>S_1_355_M-3-H-2-3_GMNIA_N__251</t>
  </si>
  <si>
    <t>S_1_355_M-3-H-2-4_GMNIA_N__252</t>
  </si>
  <si>
    <t>S_1_355_M-3-H-2-5_GMNIA_N__253</t>
  </si>
  <si>
    <t>S_1_355_M-3-H-2-6_GMNIA_N__254</t>
  </si>
  <si>
    <t>S_1_355_M-3-H-2-7_GMNIA_N__255</t>
  </si>
  <si>
    <t>S_1_355_M-3-H-2-8_GMNIA_N__256</t>
  </si>
  <si>
    <t>S_1_355_M-3-H-3-1_GMNIA_N__257</t>
  </si>
  <si>
    <t>S_1_355_M-3-H-3-2_GMNIA_N__258</t>
  </si>
  <si>
    <t>S_1_355_M-3-H-3-3_GMNIA_N__259</t>
  </si>
  <si>
    <t>S_1_355_M-3-H-3-4_GMNIA_N__260</t>
  </si>
  <si>
    <t>S_1_355_M-3-H-3-5_GMNIA_N__261</t>
  </si>
  <si>
    <t>S_1_355_M-3-H-3-6_GMNIA_N__262</t>
  </si>
  <si>
    <t>S_1_355_M-3-H-3-7_GMNIA_N__263</t>
  </si>
  <si>
    <t>S_1_355_M-3-H-3-8_GMNIA_N__264</t>
  </si>
  <si>
    <t>S_1_355_M-3-H-4-1_GMNIA_N__265</t>
  </si>
  <si>
    <t>S_1_355_M-3-H-4-2_GMNIA_N__266</t>
  </si>
  <si>
    <t>S_1_355_M-3-H-4-3_GMNIA_N__267</t>
  </si>
  <si>
    <t>S_1_355_M-3-H-4-4_GMNIA_N__268</t>
  </si>
  <si>
    <t>S_1_355_M-3-H-4-5_GMNIA_N__269</t>
  </si>
  <si>
    <t>S_1_355_M-3-H-4-6_GMNIA_N__270</t>
  </si>
  <si>
    <t>S_1_355_M-3-H-4-7_GMNIA_N__271</t>
  </si>
  <si>
    <t>S_1_355_M-3-H-4-8_GMNIA_N__272</t>
  </si>
  <si>
    <t>S_1_355_M-3-H-5-1_GMNIA_N__273</t>
  </si>
  <si>
    <t>S_1_355_M-3-H-5-2_GMNIA_N__274</t>
  </si>
  <si>
    <t>S_1_355_M-3-H-5-3_GMNIA_N__275</t>
  </si>
  <si>
    <t>S_1_355_M-3-H-5-4_GMNIA_N__276</t>
  </si>
  <si>
    <t>S_1_355_M-3-H-5-5_GMNIA_N__277</t>
  </si>
  <si>
    <t>S_1_355_M-3-H-5-6_GMNIA_N__278</t>
  </si>
  <si>
    <t>S_1_355_M-3-H-5-7_GMNIA_N__279</t>
  </si>
  <si>
    <t>S_1_355_M-3-H-5-8_GMNIA_N__280</t>
  </si>
  <si>
    <t>S_1_355_M-3-H-6-1_GMNIA_N__281</t>
  </si>
  <si>
    <t>S_1_355_M-3-H-6-2_GMNIA_N__282</t>
  </si>
  <si>
    <t>S_1_355_M-3-H-6-3_GMNIA_N__283</t>
  </si>
  <si>
    <t>S_1_355_M-3-H-6-4_GMNIA_N__284</t>
  </si>
  <si>
    <t>S_1_355_M-3-H-6-5_GMNIA_N__285</t>
  </si>
  <si>
    <t>S_1_355_M-3-H-6-6_GMNIA_N__286</t>
  </si>
  <si>
    <t>S_1_355_M-3-H-6-7_GMNIA_N__287</t>
  </si>
  <si>
    <t>S_1_355_M-3-H-6-8_GMNIA_N__288</t>
  </si>
  <si>
    <t>S_2_690_M-1-I-1-1_20_GMNIA_N__1</t>
  </si>
  <si>
    <t>S_2_690_M-1-I-1-2_20_GMNIA_N__2</t>
  </si>
  <si>
    <t>S_2_690_M-1-I-1-3_20_GMNIA_N__3</t>
  </si>
  <si>
    <t>S_2_690_M-1-I-1-4_20_GMNIA_N__4</t>
  </si>
  <si>
    <t>S_2_690_M-1-I-1-5_20_GMNIA_N__5</t>
  </si>
  <si>
    <t>S_2_690_M-1-I-1-6_20_GMNIA_N__6</t>
  </si>
  <si>
    <t>S_2_690_M-1-I-1-7_20_GMNIA_N__7</t>
  </si>
  <si>
    <t>S_2_690_M-1-I-1-8_20_GMNIA_N__8</t>
  </si>
  <si>
    <t>S_2_690_M-1-I-2-1_20_GMNIA_N__9</t>
  </si>
  <si>
    <t>S_2_690_M-1-I-2-2_20_GMNIA_N__10</t>
  </si>
  <si>
    <t>S_2_690_M-1-I-2-3_20_GMNIA_N__11</t>
  </si>
  <si>
    <t>S_2_690_M-1-I-2-4_20_GMNIA_N__12</t>
  </si>
  <si>
    <t>S_2_690_M-1-I-2-5_20_GMNIA_N__13</t>
  </si>
  <si>
    <t>S_2_690_M-1-I-2-6_20_GMNIA_N__14</t>
  </si>
  <si>
    <t>S_2_690_M-1-I-2-7_20_GMNIA_N__15</t>
  </si>
  <si>
    <t>S_2_690_M-1-I-2-8_20_GMNIA_N__16</t>
  </si>
  <si>
    <t>S_2_690_M-1-I-3-1_20_GMNIA_N__17</t>
  </si>
  <si>
    <t>S_2_690_M-1-I-3-2_20_GMNIA_N__18</t>
  </si>
  <si>
    <t>S_2_690_M-1-I-3-3_20_GMNIA_N__19</t>
  </si>
  <si>
    <t>S_2_690_M-1-I-3-4_20_GMNIA_N__20</t>
  </si>
  <si>
    <t>S_2_690_M-1-I-3-5_20_GMNIA_N__21</t>
  </si>
  <si>
    <t>S_2_690_M-1-I-3-6_20_GMNIA_N__22</t>
  </si>
  <si>
    <t>S_2_690_M-1-I-3-7_20_GMNIA_N__23</t>
  </si>
  <si>
    <t>S_2_690_M-1-I-3-8_20_GMNIA_N__24</t>
  </si>
  <si>
    <t>S_2_690_M-1-I-4-1_20_GMNIA_N__25</t>
  </si>
  <si>
    <t>S_2_690_M-1-I-4-2_20_GMNIA_N__26</t>
  </si>
  <si>
    <t>S_2_690_M-1-I-4-3_20_GMNIA_N__27</t>
  </si>
  <si>
    <t>S_2_690_M-1-I-4-4_20_GMNIA_N__28</t>
  </si>
  <si>
    <t>S_2_690_M-1-I-4-5_20_GMNIA_N__29</t>
  </si>
  <si>
    <t>S_2_690_M-1-I-4-6_20_GMNIA_N__30</t>
  </si>
  <si>
    <t>S_2_690_M-1-I-4-7_20_GMNIA_N__31</t>
  </si>
  <si>
    <t>S_2_690_M-1-I-4-8_20_GMNIA_N__32</t>
  </si>
  <si>
    <t>S_2_690_M-1-I-5-1_20_GMNIA_N__33</t>
  </si>
  <si>
    <t>S_2_690_M-1-I-5-2_20_GMNIA_N__34</t>
  </si>
  <si>
    <t>S_2_690_M-1-I-5-3_20_GMNIA_N__35</t>
  </si>
  <si>
    <t>S_2_690_M-1-I-5-4_20_GMNIA_N__36</t>
  </si>
  <si>
    <t>S_2_690_M-1-I-5-5_20_GMNIA_N__37</t>
  </si>
  <si>
    <t>S_2_690_M-1-I-5-6_20_GMNIA_N__38</t>
  </si>
  <si>
    <t>S_2_690_M-1-I-5-7_20_GMNIA_N__39</t>
  </si>
  <si>
    <t>S_2_690_M-1-I-5-8_20_GMNIA_N__40</t>
  </si>
  <si>
    <t>S_2_690_M-1-I-6-1_20_GMNIA_N__41</t>
  </si>
  <si>
    <t>S_2_690_M-1-I-6-2_20_GMNIA_N__42</t>
  </si>
  <si>
    <t>S_2_690_M-1-I-6-3_20_GMNIA_N__43</t>
  </si>
  <si>
    <t>S_2_690_M-1-I-6-4_20_GMNIA_N__44</t>
  </si>
  <si>
    <t>S_2_690_M-1-I-6-5_20_GMNIA_N__45</t>
  </si>
  <si>
    <t>S_2_690_M-1-I-6-6_20_GMNIA_N__46</t>
  </si>
  <si>
    <t>S_2_690_M-1-I-6-7_20_GMNIA_N__47</t>
  </si>
  <si>
    <t>S_2_690_M-1-I-6-8_20_GMNIA_N__48</t>
  </si>
  <si>
    <t>S_2_690_M-1-H-1-1_20_GMNIA_N__49</t>
  </si>
  <si>
    <t>S_2_690_M-1-H-1-2_20_GMNIA_N__50</t>
  </si>
  <si>
    <t>S_2_690_M-1-H-1-3_20_GMNIA_N__51</t>
  </si>
  <si>
    <t>S_2_690_M-1-H-1-4_20_GMNIA_N__52</t>
  </si>
  <si>
    <t>S_2_690_M-1-H-1-5_20_GMNIA_N__53</t>
  </si>
  <si>
    <t>S_2_690_M-1-H-1-6_20_GMNIA_N__54</t>
  </si>
  <si>
    <t>S_2_690_M-1-H-1-7_20_GMNIA_N__55</t>
  </si>
  <si>
    <t>S_2_690_M-1-H-1-8_20_GMNIA_N__56</t>
  </si>
  <si>
    <t>S_2_690_M-1-H-2-1_20_GMNIA_N__57</t>
  </si>
  <si>
    <t>S_2_690_M-1-H-2-2_20_GMNIA_N__58</t>
  </si>
  <si>
    <t>S_2_690_M-1-H-2-3_20_GMNIA_N__59</t>
  </si>
  <si>
    <t>S_2_690_M-1-H-2-4_20_GMNIA_N__60</t>
  </si>
  <si>
    <t>S_2_690_M-1-H-2-5_20_GMNIA_N__61</t>
  </si>
  <si>
    <t>S_2_690_M-1-H-2-6_20_GMNIA_N__62</t>
  </si>
  <si>
    <t>S_2_690_M-1-H-2-7_20_GMNIA_N__63</t>
  </si>
  <si>
    <t>S_2_690_M-1-H-2-8_20_GMNIA_N__64</t>
  </si>
  <si>
    <t>S_2_690_M-1-H-3-1_20_GMNIA_N__65</t>
  </si>
  <si>
    <t>S_2_690_M-1-H-3-2_20_GMNIA_N__66</t>
  </si>
  <si>
    <t>S_2_690_M-1-H-3-3_20_GMNIA_N__67</t>
  </si>
  <si>
    <t>S_2_690_M-1-H-3-4_20_GMNIA_N__68</t>
  </si>
  <si>
    <t>S_2_690_M-1-H-3-5_20_GMNIA_N__69</t>
  </si>
  <si>
    <t>S_2_690_M-1-H-3-6_20_GMNIA_N__70</t>
  </si>
  <si>
    <t>S_2_690_M-1-H-3-7_20_GMNIA_N__71</t>
  </si>
  <si>
    <t>S_2_690_M-1-H-3-8_20_GMNIA_N__72</t>
  </si>
  <si>
    <t>S_2_690_M-1-H-4-1_20_GMNIA_N__73</t>
  </si>
  <si>
    <t>S_2_690_M-1-H-4-2_20_GMNIA_N__74</t>
  </si>
  <si>
    <t>S_2_690_M-1-H-4-3_20_GMNIA_N__75</t>
  </si>
  <si>
    <t>S_2_690_M-1-H-4-4_20_GMNIA_N__76</t>
  </si>
  <si>
    <t>S_2_690_M-1-H-4-5_20_GMNIA_N__77</t>
  </si>
  <si>
    <t>S_2_690_M-1-H-4-6_20_GMNIA_N__78</t>
  </si>
  <si>
    <t>S_2_690_M-1-H-4-7_20_GMNIA_N__79</t>
  </si>
  <si>
    <t>S_2_690_M-1-H-4-8_20_GMNIA_N__80</t>
  </si>
  <si>
    <t>S_2_690_M-1-H-5-1_20_GMNIA_N__81</t>
  </si>
  <si>
    <t>S_2_690_M-1-H-5-2_20_GMNIA_N__82</t>
  </si>
  <si>
    <t>S_2_690_M-1-H-5-3_20_GMNIA_N__83</t>
  </si>
  <si>
    <t>S_2_690_M-1-H-5-4_20_GMNIA_N__84</t>
  </si>
  <si>
    <t>S_2_690_M-1-H-5-5_20_GMNIA_N__85</t>
  </si>
  <si>
    <t>S_2_690_M-1-H-5-6_20_GMNIA_N__86</t>
  </si>
  <si>
    <t>S_2_690_M-1-H-5-7_20_GMNIA_N__87</t>
  </si>
  <si>
    <t>S_2_690_M-1-H-5-8_20_GMNIA_N__88</t>
  </si>
  <si>
    <t>S_2_690_M-1-H-6-1_20_GMNIA_N__89</t>
  </si>
  <si>
    <t>S_2_690_M-1-H-6-2_20_GMNIA_N__90</t>
  </si>
  <si>
    <t>S_2_690_M-1-H-6-3_20_GMNIA_N__91</t>
  </si>
  <si>
    <t>S_2_690_M-1-H-6-4_20_GMNIA_N__92</t>
  </si>
  <si>
    <t>S_2_690_M-1-H-6-5_20_GMNIA_N__93</t>
  </si>
  <si>
    <t>S_2_690_M-1-H-6-6_20_GMNIA_N__94</t>
  </si>
  <si>
    <t>S_2_690_M-1-H-6-7_20_GMNIA_N__95</t>
  </si>
  <si>
    <t>S_2_690_M-1-H-6-8_20_GMNIA_N__96</t>
  </si>
  <si>
    <t>S_2_460_M-2-I-1-1_20_GMNIA_N__97</t>
  </si>
  <si>
    <t>S_2_460_M-2-I-1-2_20_GMNIA_N__98</t>
  </si>
  <si>
    <t>S_2_460_M-2-I-1-3_20_GMNIA_N__99</t>
  </si>
  <si>
    <t>S_2_460_M-2-I-1-4_20_GMNIA_N__100</t>
  </si>
  <si>
    <t>S_2_460_M-2-I-1-5_20_GMNIA_N__101</t>
  </si>
  <si>
    <t>S_2_460_M-2-I-1-6_20_GMNIA_N__102</t>
  </si>
  <si>
    <t>S_2_460_M-2-I-1-7_20_GMNIA_N__103</t>
  </si>
  <si>
    <t>S_2_460_M-2-I-1-8_20_GMNIA_N__104</t>
  </si>
  <si>
    <t>S_2_460_M-2-I-2-1_20_GMNIA_N__105</t>
  </si>
  <si>
    <t>S_2_460_M-2-I-2-2_20_GMNIA_N__106</t>
  </si>
  <si>
    <t>S_2_460_M-2-I-2-3_20_GMNIA_N__107</t>
  </si>
  <si>
    <t>S_2_460_M-2-I-2-4_20_GMNIA_N__108</t>
  </si>
  <si>
    <t>S_2_460_M-2-I-2-5_20_GMNIA_N__109</t>
  </si>
  <si>
    <t>S_2_460_M-2-I-2-6_20_GMNIA_N__110</t>
  </si>
  <si>
    <t>S_2_460_M-2-I-2-7_20_GMNIA_N__111</t>
  </si>
  <si>
    <t>S_2_460_M-2-I-2-8_20_GMNIA_N__112</t>
  </si>
  <si>
    <t>S_2_460_M-2-I-3-1_20_GMNIA_N__113</t>
  </si>
  <si>
    <t>S_2_460_M-2-I-3-2_20_GMNIA_N__114</t>
  </si>
  <si>
    <t>S_2_460_M-2-I-3-3_20_GMNIA_N__115</t>
  </si>
  <si>
    <t>S_2_460_M-2-I-3-4_20_GMNIA_N__116</t>
  </si>
  <si>
    <t>S_2_460_M-2-I-3-5_20_GMNIA_N__117</t>
  </si>
  <si>
    <t>S_2_460_M-2-I-3-6_20_GMNIA_N__118</t>
  </si>
  <si>
    <t>S_2_460_M-2-I-3-7_20_GMNIA_N__119</t>
  </si>
  <si>
    <t>S_2_460_M-2-I-3-8_20_GMNIA_N__120</t>
  </si>
  <si>
    <t>S_2_460_M-2-I-4-1_20_GMNIA_N__121</t>
  </si>
  <si>
    <t>S_2_460_M-2-I-4-2_20_GMNIA_N__122</t>
  </si>
  <si>
    <t>S_2_460_M-2-I-4-3_20_GMNIA_N__123</t>
  </si>
  <si>
    <t>S_2_460_M-2-I-4-4_20_GMNIA_N__124</t>
  </si>
  <si>
    <t>S_2_460_M-2-I-4-5_20_GMNIA_N__125</t>
  </si>
  <si>
    <t>S_2_460_M-2-I-4-6_20_GMNIA_N__126</t>
  </si>
  <si>
    <t>S_2_460_M-2-I-4-7_20_GMNIA_N__127</t>
  </si>
  <si>
    <t>S_2_460_M-2-I-4-8_20_GMNIA_N__128</t>
  </si>
  <si>
    <t>S_2_460_M-2-I-5-1_20_GMNIA_N__129</t>
  </si>
  <si>
    <t>S_2_460_M-2-I-5-2_20_GMNIA_N__130</t>
  </si>
  <si>
    <t>S_2_460_M-2-I-5-3_20_GMNIA_N__131</t>
  </si>
  <si>
    <t>S_2_460_M-2-I-5-4_20_GMNIA_N__132</t>
  </si>
  <si>
    <t>S_2_460_M-2-I-5-5_20_GMNIA_N__133</t>
  </si>
  <si>
    <t>S_2_460_M-2-I-5-6_20_GMNIA_N__134</t>
  </si>
  <si>
    <t>S_2_460_M-2-I-5-7_20_GMNIA_N__135</t>
  </si>
  <si>
    <t>S_2_460_M-2-I-5-8_20_GMNIA_N__136</t>
  </si>
  <si>
    <t>S_2_460_M-2-I-6-1_20_GMNIA_N__137</t>
  </si>
  <si>
    <t>S_2_460_M-2-I-6-2_20_GMNIA_N__138</t>
  </si>
  <si>
    <t>S_2_460_M-2-I-6-3_20_GMNIA_N__139</t>
  </si>
  <si>
    <t>S_2_460_M-2-I-6-4_20_GMNIA_N__140</t>
  </si>
  <si>
    <t>S_2_460_M-2-I-6-5_20_GMNIA_N__141</t>
  </si>
  <si>
    <t>S_2_460_M-2-I-6-6_20_GMNIA_N__142</t>
  </si>
  <si>
    <t>S_2_460_M-2-I-6-7_20_GMNIA_N__143</t>
  </si>
  <si>
    <t>S_2_460_M-2-I-6-8_20_GMNIA_N__144</t>
  </si>
  <si>
    <t>S_2_460_M-2-H-1-1_20_GMNIA_N__145</t>
  </si>
  <si>
    <t>S_2_460_M-2-H-1-2_20_GMNIA_N__146</t>
  </si>
  <si>
    <t>S_2_460_M-2-H-1-3_20_GMNIA_N__147</t>
  </si>
  <si>
    <t>S_2_460_M-2-H-1-4_20_GMNIA_N__148</t>
  </si>
  <si>
    <t>S_2_460_M-2-H-1-5_20_GMNIA_N__149</t>
  </si>
  <si>
    <t>S_2_460_M-2-H-1-6_20_GMNIA_N__150</t>
  </si>
  <si>
    <t>S_2_460_M-2-H-1-7_20_GMNIA_N__151</t>
  </si>
  <si>
    <t>S_2_460_M-2-H-1-8_20_GMNIA_N__152</t>
  </si>
  <si>
    <t>S_2_460_M-2-H-2-1_20_GMNIA_N__153</t>
  </si>
  <si>
    <t>S_2_460_M-2-H-2-2_20_GMNIA_N__154</t>
  </si>
  <si>
    <t>S_2_460_M-2-H-2-3_20_GMNIA_N__155</t>
  </si>
  <si>
    <t>S_2_460_M-2-H-2-4_20_GMNIA_N__156</t>
  </si>
  <si>
    <t>S_2_460_M-2-H-2-5_20_GMNIA_N__157</t>
  </si>
  <si>
    <t>S_2_460_M-2-H-2-6_20_GMNIA_N__158</t>
  </si>
  <si>
    <t>S_2_460_M-2-H-2-7_20_GMNIA_N__159</t>
  </si>
  <si>
    <t>S_2_460_M-2-H-2-8_20_GMNIA_N__160</t>
  </si>
  <si>
    <t>S_2_460_M-2-H-3-1_20_GMNIA_N__161</t>
  </si>
  <si>
    <t>S_2_460_M-2-H-3-2_20_GMNIA_N__162</t>
  </si>
  <si>
    <t>S_2_460_M-2-H-3-3_20_GMNIA_N__163</t>
  </si>
  <si>
    <t>S_2_460_M-2-H-3-4_20_GMNIA_N__164</t>
  </si>
  <si>
    <t>S_2_460_M-2-H-3-5_20_GMNIA_N__165</t>
  </si>
  <si>
    <t>S_2_460_M-2-H-3-6_20_GMNIA_N__166</t>
  </si>
  <si>
    <t>S_2_460_M-2-H-3-7_20_GMNIA_N__167</t>
  </si>
  <si>
    <t>S_2_460_M-2-H-3-8_20_GMNIA_N__168</t>
  </si>
  <si>
    <t>S_2_460_M-2-H-4-1_20_GMNIA_N__169</t>
  </si>
  <si>
    <t>S_2_460_M-2-H-4-2_20_GMNIA_N__170</t>
  </si>
  <si>
    <t>S_2_460_M-2-H-4-3_20_GMNIA_N__171</t>
  </si>
  <si>
    <t>S_2_460_M-2-H-4-4_20_GMNIA_N__172</t>
  </si>
  <si>
    <t>S_2_460_M-2-H-4-5_20_GMNIA_N__173</t>
  </si>
  <si>
    <t>S_2_460_M-2-H-4-6_20_GMNIA_N__174</t>
  </si>
  <si>
    <t>S_2_460_M-2-H-4-7_20_GMNIA_N__175</t>
  </si>
  <si>
    <t>S_2_460_M-2-H-4-8_20_GMNIA_N__176</t>
  </si>
  <si>
    <t>S_2_460_M-2-H-5-1_20_GMNIA_N__177</t>
  </si>
  <si>
    <t>S_2_460_M-2-H-5-2_20_GMNIA_N__178</t>
  </si>
  <si>
    <t>S_2_460_M-2-H-5-3_20_GMNIA_N__179</t>
  </si>
  <si>
    <t>S_2_460_M-2-H-5-4_20_GMNIA_N__180</t>
  </si>
  <si>
    <t>S_2_460_M-2-H-5-5_20_GMNIA_N__181</t>
  </si>
  <si>
    <t>S_2_460_M-2-H-5-6_20_GMNIA_N__182</t>
  </si>
  <si>
    <t>S_2_460_M-2-H-5-7_20_GMNIA_N__183</t>
  </si>
  <si>
    <t>S_2_460_M-2-H-5-8_20_GMNIA_N__184</t>
  </si>
  <si>
    <t>S_2_460_M-2-H-6-1_20_GMNIA_N__185</t>
  </si>
  <si>
    <t>S_2_460_M-2-H-6-2_20_GMNIA_N__186</t>
  </si>
  <si>
    <t>S_2_460_M-2-H-6-3_20_GMNIA_N__187</t>
  </si>
  <si>
    <t>S_2_460_M-2-H-6-4_20_GMNIA_N__188</t>
  </si>
  <si>
    <t>S_2_460_M-2-H-6-5_20_GMNIA_N__189</t>
  </si>
  <si>
    <t>S_2_460_M-2-H-6-6_20_GMNIA_N__190</t>
  </si>
  <si>
    <t>S_2_460_M-2-H-6-7_20_GMNIA_N__191</t>
  </si>
  <si>
    <t>S_2_460_M-2-H-6-8_20_GMNIA_N__192</t>
  </si>
  <si>
    <t>C:\Kokou\Kokou_Case_study_1_Steel_Column\H_R_Validations_results\Parametric_study_HR_355</t>
  </si>
  <si>
    <t>S_2_355_M-3-I-1-1_20_GMNIA_N__193</t>
  </si>
  <si>
    <t>S_2_355_M-3-I-1-2_20_GMNIA_N__194</t>
  </si>
  <si>
    <t>S_2_355_M-3-I-1-3_20_GMNIA_N__195</t>
  </si>
  <si>
    <t>S_2_355_M-3-I-1-4_20_GMNIA_N__196</t>
  </si>
  <si>
    <t>S_2_355_M-3-I-1-5_20_GMNIA_N__197</t>
  </si>
  <si>
    <t>S_2_355_M-3-I-1-6_20_GMNIA_N__198</t>
  </si>
  <si>
    <t>S_2_355_M-3-I-1-7_20_GMNIA_N__199</t>
  </si>
  <si>
    <t>S_2_355_M-3-I-1-8_20_GMNIA_N__200</t>
  </si>
  <si>
    <t>S_2_355_M-3-I-2-1_20_GMNIA_N__201</t>
  </si>
  <si>
    <t>S_2_355_M-3-I-2-2_20_GMNIA_N__202</t>
  </si>
  <si>
    <t>S_2_355_M-3-I-2-3_20_GMNIA_N__203</t>
  </si>
  <si>
    <t>S_2_355_M-3-I-2-4_20_GMNIA_N__204</t>
  </si>
  <si>
    <t>S_2_355_M-3-I-2-5_20_GMNIA_N__205</t>
  </si>
  <si>
    <t>S_2_355_M-3-I-2-6_20_GMNIA_N__206</t>
  </si>
  <si>
    <t>S_2_355_M-3-I-2-7_20_GMNIA_N__207</t>
  </si>
  <si>
    <t>S_2_355_M-3-I-2-8_20_GMNIA_N__208</t>
  </si>
  <si>
    <t>S_2_355_M-3-I-3-1_20_GMNIA_N__209</t>
  </si>
  <si>
    <t>S_2_355_M-3-I-3-2_20_GMNIA_N__210</t>
  </si>
  <si>
    <t>S_2_355_M-3-I-3-3_20_GMNIA_N__211</t>
  </si>
  <si>
    <t>S_2_355_M-3-I-3-4_20_GMNIA_N__212</t>
  </si>
  <si>
    <t>S_2_355_M-3-I-3-5_20_GMNIA_N__213</t>
  </si>
  <si>
    <t>S_2_355_M-3-I-3-6_20_GMNIA_N__214</t>
  </si>
  <si>
    <t>S_2_355_M-3-I-3-7_20_GMNIA_N__215</t>
  </si>
  <si>
    <t>S_2_355_M-3-I-3-8_20_GMNIA_N__216</t>
  </si>
  <si>
    <t>S_2_355_M-3-I-4-1_20_GMNIA_N__217</t>
  </si>
  <si>
    <t>S_2_355_M-3-I-4-2_20_GMNIA_N__218</t>
  </si>
  <si>
    <t>S_2_355_M-3-I-4-3_20_GMNIA_N__219</t>
  </si>
  <si>
    <t>S_2_355_M-3-I-4-4_20_GMNIA_N__220</t>
  </si>
  <si>
    <t>S_2_355_M-3-I-4-5_20_GMNIA_N__221</t>
  </si>
  <si>
    <t>S_2_355_M-3-I-4-6_20_GMNIA_N__222</t>
  </si>
  <si>
    <t>S_2_355_M-3-I-4-7_20_GMNIA_N__223</t>
  </si>
  <si>
    <t>S_2_355_M-3-I-4-8_20_GMNIA_N__224</t>
  </si>
  <si>
    <t>S_2_355_M-3-I-5-1_20_GMNIA_N__225</t>
  </si>
  <si>
    <t>S_2_355_M-3-I-5-2_20_GMNIA_N__226</t>
  </si>
  <si>
    <t>S_2_355_M-3-I-5-3_20_GMNIA_N__227</t>
  </si>
  <si>
    <t>S_2_355_M-3-I-5-4_20_GMNIA_N__228</t>
  </si>
  <si>
    <t>S_2_355_M-3-I-5-5_20_GMNIA_N__229</t>
  </si>
  <si>
    <t>S_2_355_M-3-I-5-6_20_GMNIA_N__230</t>
  </si>
  <si>
    <t>S_2_355_M-3-I-5-7_20_GMNIA_N__231</t>
  </si>
  <si>
    <t>S_2_355_M-3-I-5-8_20_GMNIA_N__232</t>
  </si>
  <si>
    <t>S_2_355_M-3-I-6-1_20_GMNIA_N__233</t>
  </si>
  <si>
    <t>S_2_355_M-3-I-6-2_20_GMNIA_N__234</t>
  </si>
  <si>
    <t>S_2_355_M-3-I-6-3_20_GMNIA_N__235</t>
  </si>
  <si>
    <t>S_2_355_M-3-I-6-4_20_GMNIA_N__236</t>
  </si>
  <si>
    <t>S_2_355_M-3-I-6-5_20_GMNIA_N__237</t>
  </si>
  <si>
    <t>S_2_355_M-3-I-6-6_20_GMNIA_N__238</t>
  </si>
  <si>
    <t>S_2_355_M-3-I-6-7_20_GMNIA_N__239</t>
  </si>
  <si>
    <t>S_2_355_M-3-I-6-8_20_GMNIA_N__240</t>
  </si>
  <si>
    <t>S_2_355_M-3-H-1-1_20_GMNIA_N__241</t>
  </si>
  <si>
    <t>S_2_355_M-3-H-1-2_20_GMNIA_N__242</t>
  </si>
  <si>
    <t>S_2_355_M-3-H-1-3_20_GMNIA_N__243</t>
  </si>
  <si>
    <t>S_2_355_M-3-H-1-4_20_GMNIA_N__244</t>
  </si>
  <si>
    <t>S_2_355_M-3-H-1-5_20_GMNIA_N__245</t>
  </si>
  <si>
    <t>S_2_355_M-3-H-1-6_20_GMNIA_N__246</t>
  </si>
  <si>
    <t>S_2_355_M-3-H-1-7_20_GMNIA_N__247</t>
  </si>
  <si>
    <t>S_2_355_M-3-H-1-8_20_GMNIA_N__248</t>
  </si>
  <si>
    <t>S_2_355_M-3-H-2-1_20_GMNIA_N__249</t>
  </si>
  <si>
    <t>S_2_355_M-3-H-2-2_20_GMNIA_N__250</t>
  </si>
  <si>
    <t>S_2_355_M-3-H-2-3_20_GMNIA_N__251</t>
  </si>
  <si>
    <t>S_2_355_M-3-H-2-4_20_GMNIA_N__252</t>
  </si>
  <si>
    <t>S_2_355_M-3-H-2-5_20_GMNIA_N__253</t>
  </si>
  <si>
    <t>S_2_355_M-3-H-2-6_20_GMNIA_N__254</t>
  </si>
  <si>
    <t>S_2_355_M-3-H-2-7_20_GMNIA_N__255</t>
  </si>
  <si>
    <t>S_2_355_M-3-H-2-8_20_GMNIA_N__256</t>
  </si>
  <si>
    <t>S_2_355_M-3-H-3-1_20_GMNIA_N__257</t>
  </si>
  <si>
    <t>S_2_355_M-3-H-3-2_20_GMNIA_N__258</t>
  </si>
  <si>
    <t>S_2_355_M-3-H-3-3_20_GMNIA_N__259</t>
  </si>
  <si>
    <t>S_2_355_M-3-H-3-4_20_GMNIA_N__260</t>
  </si>
  <si>
    <t>S_2_355_M-3-H-3-5_20_GMNIA_N__261</t>
  </si>
  <si>
    <t>S_2_355_M-3-H-3-6_20_GMNIA_N__262</t>
  </si>
  <si>
    <t>S_2_355_M-3-H-3-7_20_GMNIA_N__263</t>
  </si>
  <si>
    <t>S_2_355_M-3-H-3-8_20_GMNIA_N__264</t>
  </si>
  <si>
    <t>S_2_355_M-3-H-4-1_20_GMNIA_N__265</t>
  </si>
  <si>
    <t>S_2_355_M-3-H-4-2_20_GMNIA_N__266</t>
  </si>
  <si>
    <t>S_2_355_M-3-H-4-3_20_GMNIA_N__267</t>
  </si>
  <si>
    <t>S_2_355_M-3-H-4-4_20_GMNIA_N__268</t>
  </si>
  <si>
    <t>S_2_355_M-3-H-4-5_20_GMNIA_N__269</t>
  </si>
  <si>
    <t>S_2_355_M-3-H-4-6_20_GMNIA_N__270</t>
  </si>
  <si>
    <t>S_2_355_M-3-H-4-7_20_GMNIA_N__271</t>
  </si>
  <si>
    <t>S_2_355_M-3-H-4-8_20_GMNIA_N__272</t>
  </si>
  <si>
    <t>S_2_355_M-3-H-5-1_20_GMNIA_N__273</t>
  </si>
  <si>
    <t>S_2_355_M-3-H-5-2_20_GMNIA_N__274</t>
  </si>
  <si>
    <t>S_2_355_M-3-H-5-3_20_GMNIA_N__275</t>
  </si>
  <si>
    <t>S_2_355_M-3-H-5-4_20_GMNIA_N__276</t>
  </si>
  <si>
    <t>S_2_355_M-3-H-5-5_20_GMNIA_N__277</t>
  </si>
  <si>
    <t>S_2_355_M-3-H-5-6_20_GMNIA_N__278</t>
  </si>
  <si>
    <t>S_2_355_M-3-H-5-7_20_GMNIA_N__279</t>
  </si>
  <si>
    <t>S_2_355_M-3-H-5-8_20_GMNIA_N__280</t>
  </si>
  <si>
    <t>S_2_355_M-3-H-6-1_20_GMNIA_N__281</t>
  </si>
  <si>
    <t>S_2_355_M-3-H-6-2_20_GMNIA_N__282</t>
  </si>
  <si>
    <t>S_2_355_M-3-H-6-3_20_GMNIA_N__283</t>
  </si>
  <si>
    <t>S_2_355_M-3-H-6-4_20_GMNIA_N__284</t>
  </si>
  <si>
    <t>S_2_355_M-3-H-6-5_20_GMNIA_N__285</t>
  </si>
  <si>
    <t>S_2_355_M-3-H-6-6_20_GMNIA_N__286</t>
  </si>
  <si>
    <t>S_2_355_M-3-H-6-7_20_GMNIA_N__287</t>
  </si>
  <si>
    <t>S_2_355_M-3-H-6-8_20_GMNIA_N__288</t>
  </si>
  <si>
    <t>R_cr_L</t>
  </si>
  <si>
    <t>Rb,L</t>
  </si>
  <si>
    <t>C:\Kokou\Kokou_Case_study_1_Steel_Column\Validations_results\Parametric_study_CS_690</t>
  </si>
  <si>
    <t>Name</t>
  </si>
  <si>
    <t>accep</t>
  </si>
  <si>
    <t>R_cr_G_Abaqus</t>
  </si>
  <si>
    <t>RcrG/RcrGAbaqus</t>
  </si>
  <si>
    <t>Rcr Euler</t>
  </si>
  <si>
    <t>C:\Kokou\Kokou_Case_study_1_Steel_Column\Validations_results\Parametric_study_355_beam</t>
  </si>
  <si>
    <t>b/t</t>
  </si>
  <si>
    <t>S_2_690_HEB-100-1_20_GMNIA_N__1</t>
  </si>
  <si>
    <t>S_2_690_HEB-100-2_20_GMNIA_N__2</t>
  </si>
  <si>
    <t>S_2_690_HEB-100-3_20_GMNIA_N__3</t>
  </si>
  <si>
    <t>S_2_690_HEB-100-4_20_GMNIA_N__4</t>
  </si>
  <si>
    <t>S_2_690_HEB-100-5_20_GMNIA_N__5</t>
  </si>
  <si>
    <t>S_2_690_HEB-100-6_20_GMNIA_N__6</t>
  </si>
  <si>
    <t>S_2_690_HEB-100-7_20_GMNIA_N__7</t>
  </si>
  <si>
    <t>S_2_690_HEB-100-8_20_GMNIA_N__8</t>
  </si>
  <si>
    <t>S_2_690_HEB-140-1_20_GMNIA_N__9</t>
  </si>
  <si>
    <t>S_2_690_HEB-140-2_20_GMNIA_N__10</t>
  </si>
  <si>
    <t>S_2_690_HEB-140-3_20_GMNIA_N__11</t>
  </si>
  <si>
    <t>S_2_690_HEB-140-4_20_GMNIA_N__12</t>
  </si>
  <si>
    <t>S_2_690_HEB-140-5_20_GMNIA_N__13</t>
  </si>
  <si>
    <t>S_2_690_HEB-140-6_20_GMNIA_N__14</t>
  </si>
  <si>
    <t>S_2_690_HEB-140-7_20_GMNIA_N__15</t>
  </si>
  <si>
    <t>S_2_690_HEB-140-8_20_GMNIA_N__16</t>
  </si>
  <si>
    <t>S_2_690_HEB-180-1_20_GMNIA_N__17</t>
  </si>
  <si>
    <t>S_2_690_HEB-180-2_20_GMNIA_N__18</t>
  </si>
  <si>
    <t>S_2_690_HEB-180-3_20_GMNIA_N__19</t>
  </si>
  <si>
    <t>S_2_690_HEB-180-4_20_GMNIA_N__20</t>
  </si>
  <si>
    <t>S_2_690_HEB-180-5_20_GMNIA_N__21</t>
  </si>
  <si>
    <t>S_2_690_HEB-180-6_20_GMNIA_N__22</t>
  </si>
  <si>
    <t>S_2_690_HEB-180-7_20_GMNIA_N__23</t>
  </si>
  <si>
    <t>S_2_690_HEB-180-8_20_GMNIA_N__24</t>
  </si>
  <si>
    <t>S_2_690_HEB-220-1_20_GMNIA_N__25</t>
  </si>
  <si>
    <t>S_2_690_HEB-220-2_20_GMNIA_N__26</t>
  </si>
  <si>
    <t>S_2_690_HEB-220-3_20_GMNIA_N__27</t>
  </si>
  <si>
    <t>S_2_690_HEB-220-4_20_GMNIA_N__28</t>
  </si>
  <si>
    <t>S_2_690_HEB-220-5_20_GMNIA_N__29</t>
  </si>
  <si>
    <t>S_2_690_HEB-220-6_20_GMNIA_N__30</t>
  </si>
  <si>
    <t>S_2_690_HEB-220-7_20_GMNIA_N__31</t>
  </si>
  <si>
    <t>S_2_690_HEB-220-8_20_GMNIA_N__32</t>
  </si>
  <si>
    <t>S_2_690_HEB-260-1_20_GMNIA_N__33</t>
  </si>
  <si>
    <t>S_2_690_HEB-260-2_20_GMNIA_N__34</t>
  </si>
  <si>
    <t>S_2_690_HEB-260-3_20_GMNIA_N__35</t>
  </si>
  <si>
    <t>S_2_690_HEB-260-4_20_GMNIA_N__36</t>
  </si>
  <si>
    <t>S_2_690_HEB-260-5_20_GMNIA_N__37</t>
  </si>
  <si>
    <t>S_2_690_HEB-260-6_20_GMNIA_N__38</t>
  </si>
  <si>
    <t>S_2_690_HEB-260-7_20_GMNIA_N__39</t>
  </si>
  <si>
    <t>S_2_690_HEB-260-8_20_GMNIA_N__40</t>
  </si>
  <si>
    <t>S_2_690_HEB-300-1_20_GMNIA_N__41</t>
  </si>
  <si>
    <t>S_2_690_HEB-300-2_20_GMNIA_N__42</t>
  </si>
  <si>
    <t>S_2_690_HEB-300-3_20_GMNIA_N__43</t>
  </si>
  <si>
    <t>S_2_690_HEB-300-4_20_GMNIA_N__44</t>
  </si>
  <si>
    <t>S_2_690_HEB-300-5_20_GMNIA_N__45</t>
  </si>
  <si>
    <t>S_2_690_HEB-300-6_20_GMNIA_N__46</t>
  </si>
  <si>
    <t>S_2_690_HEB-300-7_20_GMNIA_N__47</t>
  </si>
  <si>
    <t>S_2_690_HEB-300-8_20_GMNIA_N__48</t>
  </si>
  <si>
    <t>S_2_690_HEB-340-1_20_GMNIA_N__49</t>
  </si>
  <si>
    <t>S_2_690_HEB-340-2_20_GMNIA_N__50</t>
  </si>
  <si>
    <t>S_2_690_HEB-340-3_20_GMNIA_N__51</t>
  </si>
  <si>
    <t>S_2_690_HEB-340-4_20_GMNIA_N__52</t>
  </si>
  <si>
    <t>S_2_690_HEB-340-5_20_GMNIA_N__53</t>
  </si>
  <si>
    <t>S_2_690_HEB-340-6_20_GMNIA_N__54</t>
  </si>
  <si>
    <t>S_2_690_HEB-340-7_20_GMNIA_N__55</t>
  </si>
  <si>
    <t>S_2_690_HEB-340-8_20_GMNIA_N__56</t>
  </si>
  <si>
    <t>S_2_690_HEB-400-1_20_GMNIA_N__57</t>
  </si>
  <si>
    <t>S_2_690_HEB-400-2_20_GMNIA_N__58</t>
  </si>
  <si>
    <t>S_2_690_HEB-400-3_20_GMNIA_N__59</t>
  </si>
  <si>
    <t>S_2_690_HEB-400-4_20_GMNIA_N__60</t>
  </si>
  <si>
    <t>S_2_690_HEB-400-5_20_GMNIA_N__61</t>
  </si>
  <si>
    <t>S_2_690_HEB-400-6_20_GMNIA_N__62</t>
  </si>
  <si>
    <t>S_2_690_HEB-400-7_20_GMNIA_N__63</t>
  </si>
  <si>
    <t>S_2_690_HEB-400-8_20_GMNIA_N__64</t>
  </si>
  <si>
    <t>S_2_690_HEB-500-1_20_GMNIA_N__65</t>
  </si>
  <si>
    <t>S_2_690_HEB-500-2_20_GMNIA_N__66</t>
  </si>
  <si>
    <t>S_2_690_HEB-500-3_20_GMNIA_N__67</t>
  </si>
  <si>
    <t>S_2_690_HEB-500-4_20_GMNIA_N__68</t>
  </si>
  <si>
    <t>S_2_690_HEB-500-5_20_GMNIA_N__69</t>
  </si>
  <si>
    <t>S_2_690_HEB-500-6_20_GMNIA_N__70</t>
  </si>
  <si>
    <t>S_2_690_HEB-500-7_20_GMNIA_N__71</t>
  </si>
  <si>
    <t>S_2_690_HEB-500-8_20_GMNIA_N__72</t>
  </si>
  <si>
    <t>S_2_690_HEB-600-1_20_GMNIA_N__73</t>
  </si>
  <si>
    <t>S_2_690_HEB-600-2_20_GMNIA_N__74</t>
  </si>
  <si>
    <t>S_2_690_HEB-600-3_20_GMNIA_N__75</t>
  </si>
  <si>
    <t>S_2_690_HEB-600-4_20_GMNIA_N__76</t>
  </si>
  <si>
    <t>S_2_690_HEB-600-5_20_GMNIA_N__77</t>
  </si>
  <si>
    <t>S_2_690_HEB-600-6_20_GMNIA_N__78</t>
  </si>
  <si>
    <t>S_2_690_HEB-600-7_20_GMNIA_N__79</t>
  </si>
  <si>
    <t>S_2_690_HEB-600-8_20_GMNIA_N__80</t>
  </si>
  <si>
    <t>S_2_690_HEB-700-1_20_GMNIA_N__81</t>
  </si>
  <si>
    <t>S_2_690_HEB-700-2_20_GMNIA_N__82</t>
  </si>
  <si>
    <t>S_2_690_HEB-700-3_20_GMNIA_N__83</t>
  </si>
  <si>
    <t>S_2_690_HEB-700-4_20_GMNIA_N__84</t>
  </si>
  <si>
    <t>S_2_690_HEB-700-5_20_GMNIA_N__85</t>
  </si>
  <si>
    <t>S_2_690_HEB-700-6_20_GMNIA_N__86</t>
  </si>
  <si>
    <t>S_2_690_HEB-700-7_20_GMNIA_N__87</t>
  </si>
  <si>
    <t>S_2_690_HEB-700-8_20_GMNIA_N__88</t>
  </si>
  <si>
    <t>S_2_690_HEB-900-1_20_GMNIA_N__89</t>
  </si>
  <si>
    <t>S_2_690_HEB-900-2_20_GMNIA_N__90</t>
  </si>
  <si>
    <t>S_2_690_HEB-900-3_20_GMNIA_N__91</t>
  </si>
  <si>
    <t>S_2_690_HEB-900-4_20_GMNIA_N__92</t>
  </si>
  <si>
    <t>S_2_690_HEB-900-5_20_GMNIA_N__93</t>
  </si>
  <si>
    <t>S_2_690_HEB-900-6_20_GMNIA_N__94</t>
  </si>
  <si>
    <t>S_2_690_HEB-900-7_20_GMNIA_N__95</t>
  </si>
  <si>
    <t>S_2_690_HEB-900-8_20_GMNIA_N__96</t>
  </si>
  <si>
    <t>HEB-100-1</t>
  </si>
  <si>
    <t>HEB-100-2</t>
  </si>
  <si>
    <t>HEB-100-3</t>
  </si>
  <si>
    <t>HEB-100-4</t>
  </si>
  <si>
    <t>HEB-100-5</t>
  </si>
  <si>
    <t>HEB-100-6</t>
  </si>
  <si>
    <t>HEB-100-7</t>
  </si>
  <si>
    <t>HEB-100-8</t>
  </si>
  <si>
    <t>HEB-140-1</t>
  </si>
  <si>
    <t>HEB-140-2</t>
  </si>
  <si>
    <t>HEB-140-3</t>
  </si>
  <si>
    <t>HEB-140-4</t>
  </si>
  <si>
    <t>HEB-140-5</t>
  </si>
  <si>
    <t>HEB-140-6</t>
  </si>
  <si>
    <t>HEB-140-7</t>
  </si>
  <si>
    <t>HEB-140-8</t>
  </si>
  <si>
    <t>HEB-180-1</t>
  </si>
  <si>
    <t>HEB-180-2</t>
  </si>
  <si>
    <t>HEB-180-3</t>
  </si>
  <si>
    <t>HEB-180-4</t>
  </si>
  <si>
    <t>HEB-180-5</t>
  </si>
  <si>
    <t>HEB-180-6</t>
  </si>
  <si>
    <t>HEB-180-7</t>
  </si>
  <si>
    <t>HEB-180-8</t>
  </si>
  <si>
    <t>HEB-220-1</t>
  </si>
  <si>
    <t>HEB-220-2</t>
  </si>
  <si>
    <t>HEB-220-3</t>
  </si>
  <si>
    <t>HEB-220-4</t>
  </si>
  <si>
    <t>HEB-220-5</t>
  </si>
  <si>
    <t>HEB-220-6</t>
  </si>
  <si>
    <t>HEB-220-7</t>
  </si>
  <si>
    <t>HEB-220-8</t>
  </si>
  <si>
    <t>HEB-260-1</t>
  </si>
  <si>
    <t>HEB-260-2</t>
  </si>
  <si>
    <t>HEB-260-3</t>
  </si>
  <si>
    <t>HEB-260-4</t>
  </si>
  <si>
    <t>HEB-260-5</t>
  </si>
  <si>
    <t>HEB-260-6</t>
  </si>
  <si>
    <t>HEB-260-7</t>
  </si>
  <si>
    <t>HEB-260-8</t>
  </si>
  <si>
    <t>HEB-300-1</t>
  </si>
  <si>
    <t>HEB-300-2</t>
  </si>
  <si>
    <t>HEB-300-3</t>
  </si>
  <si>
    <t>HEB-300-4</t>
  </si>
  <si>
    <t>HEB-300-5</t>
  </si>
  <si>
    <t>HEB-300-6</t>
  </si>
  <si>
    <t>HEB-300-7</t>
  </si>
  <si>
    <t>HEB-300-8</t>
  </si>
  <si>
    <t>HEB-340-1</t>
  </si>
  <si>
    <t>HEB-340-2</t>
  </si>
  <si>
    <t>HEB-340-3</t>
  </si>
  <si>
    <t>HEB-340-4</t>
  </si>
  <si>
    <t>HEB-340-5</t>
  </si>
  <si>
    <t>HEB-340-6</t>
  </si>
  <si>
    <t>HEB-340-7</t>
  </si>
  <si>
    <t>HEB-340-8</t>
  </si>
  <si>
    <t>HEB-400-1</t>
  </si>
  <si>
    <t>HEB-400-2</t>
  </si>
  <si>
    <t>HEB-400-3</t>
  </si>
  <si>
    <t>HEB-400-4</t>
  </si>
  <si>
    <t>HEB-400-5</t>
  </si>
  <si>
    <t>HEB-400-6</t>
  </si>
  <si>
    <t>HEB-400-7</t>
  </si>
  <si>
    <t>HEB-400-8</t>
  </si>
  <si>
    <t>HEB-500-1</t>
  </si>
  <si>
    <t>HEB-500-2</t>
  </si>
  <si>
    <t>HEB-500-3</t>
  </si>
  <si>
    <t>HEB-500-4</t>
  </si>
  <si>
    <t>HEB-500-5</t>
  </si>
  <si>
    <t>HEB-500-6</t>
  </si>
  <si>
    <t>HEB-500-7</t>
  </si>
  <si>
    <t>HEB-500-8</t>
  </si>
  <si>
    <t>HEB-600-1</t>
  </si>
  <si>
    <t>HEB-600-2</t>
  </si>
  <si>
    <t>HEB-600-3</t>
  </si>
  <si>
    <t>HEB-600-4</t>
  </si>
  <si>
    <t>HEB-600-5</t>
  </si>
  <si>
    <t>HEB-600-6</t>
  </si>
  <si>
    <t>HEB-600-7</t>
  </si>
  <si>
    <t>HEB-600-8</t>
  </si>
  <si>
    <t>HEB-700-1</t>
  </si>
  <si>
    <t>HEB-700-2</t>
  </si>
  <si>
    <t>HEB-700-3</t>
  </si>
  <si>
    <t>HEB-700-4</t>
  </si>
  <si>
    <t>HEB-700-5</t>
  </si>
  <si>
    <t>HEB-700-6</t>
  </si>
  <si>
    <t>HEB-700-7</t>
  </si>
  <si>
    <t>HEB-700-8</t>
  </si>
  <si>
    <t>HEB-900-1</t>
  </si>
  <si>
    <t>HEB-900-2</t>
  </si>
  <si>
    <t>HEB-900-3</t>
  </si>
  <si>
    <t>HEB-900-4</t>
  </si>
  <si>
    <t>HEB-900-5</t>
  </si>
  <si>
    <t>HEB-900-6</t>
  </si>
  <si>
    <t>HEB-900-7</t>
  </si>
  <si>
    <t>HEB-900-8</t>
  </si>
  <si>
    <t>R_cr_G_Eu</t>
  </si>
  <si>
    <t>S_2_460_HEB-100-1_20_GMNIA_N__97</t>
  </si>
  <si>
    <t>S_2_460_HEB-100-2_20_GMNIA_N__98</t>
  </si>
  <si>
    <t>S_2_460_HEB-100-3_20_GMNIA_N__99</t>
  </si>
  <si>
    <t>S_2_460_HEB-100-4_20_GMNIA_N__100</t>
  </si>
  <si>
    <t>S_2_460_HEB-100-5_20_GMNIA_N__101</t>
  </si>
  <si>
    <t>S_2_460_HEB-100-6_20_GMNIA_N__102</t>
  </si>
  <si>
    <t>S_2_460_HEB-100-7_20_GMNIA_N__103</t>
  </si>
  <si>
    <t>S_2_460_HEB-100-8_20_GMNIA_N__104</t>
  </si>
  <si>
    <t>S_2_460_HEB-140-1_20_GMNIA_N__105</t>
  </si>
  <si>
    <t>S_2_460_HEB-140-2_20_GMNIA_N__106</t>
  </si>
  <si>
    <t>S_2_460_HEB-140-3_20_GMNIA_N__107</t>
  </si>
  <si>
    <t>S_2_460_HEB-140-4_20_GMNIA_N__108</t>
  </si>
  <si>
    <t>S_2_460_HEB-140-5_20_GMNIA_N__109</t>
  </si>
  <si>
    <t>S_2_460_HEB-140-6_20_GMNIA_N__110</t>
  </si>
  <si>
    <t>S_2_460_HEB-140-7_20_GMNIA_N__111</t>
  </si>
  <si>
    <t>S_2_460_HEB-140-8_20_GMNIA_N__112</t>
  </si>
  <si>
    <t>S_2_460_HEB-180-1_20_GMNIA_N__113</t>
  </si>
  <si>
    <t>S_2_460_HEB-180-2_20_GMNIA_N__114</t>
  </si>
  <si>
    <t>S_2_460_HEB-180-3_20_GMNIA_N__115</t>
  </si>
  <si>
    <t>S_2_460_HEB-180-4_20_GMNIA_N__116</t>
  </si>
  <si>
    <t>S_2_460_HEB-180-5_20_GMNIA_N__117</t>
  </si>
  <si>
    <t>S_2_460_HEB-180-6_20_GMNIA_N__118</t>
  </si>
  <si>
    <t>S_2_460_HEB-180-7_20_GMNIA_N__119</t>
  </si>
  <si>
    <t>S_2_460_HEB-180-8_20_GMNIA_N__120</t>
  </si>
  <si>
    <t>S_2_460_HEB-220-2_20_GMNIA_N__122</t>
  </si>
  <si>
    <t>S_2_460_HEB-220-3_20_GMNIA_N__123</t>
  </si>
  <si>
    <t>S_2_460_HEB-220-4_20_GMNIA_N__124</t>
  </si>
  <si>
    <t>S_2_460_HEB-220-5_20_GMNIA_N__125</t>
  </si>
  <si>
    <t>S_2_460_HEB-220-6_20_GMNIA_N__126</t>
  </si>
  <si>
    <t>S_2_460_HEB-220-7_20_GMNIA_N__127</t>
  </si>
  <si>
    <t>S_2_460_HEB-220-8_20_GMNIA_N__128</t>
  </si>
  <si>
    <t>S_2_460_HEB-260-1_20_GMNIA_N__129</t>
  </si>
  <si>
    <t>S_2_460_HEB-260-2_20_GMNIA_N__130</t>
  </si>
  <si>
    <t>S_2_460_HEB-260-3_20_GMNIA_N__131</t>
  </si>
  <si>
    <t>S_2_460_HEB-260-4_20_GMNIA_N__132</t>
  </si>
  <si>
    <t>S_2_460_HEB-260-5_20_GMNIA_N__133</t>
  </si>
  <si>
    <t>S_2_460_HEB-260-6_20_GMNIA_N__134</t>
  </si>
  <si>
    <t>S_2_460_HEB-260-7_20_GMNIA_N__135</t>
  </si>
  <si>
    <t>S_2_460_HEB-260-8_20_GMNIA_N__136</t>
  </si>
  <si>
    <t>S_2_460_HEB-300-1_20_GMNIA_N__137</t>
  </si>
  <si>
    <t>S_2_460_HEB-300-2_20_GMNIA_N__138</t>
  </si>
  <si>
    <t>S_2_460_HEB-300-3_20_GMNIA_N__139</t>
  </si>
  <si>
    <t>S_2_460_HEB-300-4_20_GMNIA_N__140</t>
  </si>
  <si>
    <t>S_2_460_HEB-300-5_20_GMNIA_N__141</t>
  </si>
  <si>
    <t>S_2_460_HEB-300-6_20_GMNIA_N__142</t>
  </si>
  <si>
    <t>S_2_460_HEB-300-7_20_GMNIA_N__143</t>
  </si>
  <si>
    <t>S_2_460_HEB-300-8_20_GMNIA_N__144</t>
  </si>
  <si>
    <t>S_2_460_HEB-340-1_20_GMNIA_N__145</t>
  </si>
  <si>
    <t>S_2_460_HEB-340-2_20_GMNIA_N__146</t>
  </si>
  <si>
    <t>S_2_460_HEB-340-3_20_GMNIA_N__147</t>
  </si>
  <si>
    <t>S_2_460_HEB-340-4_20_GMNIA_N__148</t>
  </si>
  <si>
    <t>S_2_460_HEB-340-5_20_GMNIA_N__149</t>
  </si>
  <si>
    <t>S_2_460_HEB-340-6_20_GMNIA_N__150</t>
  </si>
  <si>
    <t>S_2_460_HEB-340-7_20_GMNIA_N__151</t>
  </si>
  <si>
    <t>S_2_460_HEB-340-8_20_GMNIA_N__152</t>
  </si>
  <si>
    <t>S_2_460_HEB-400-1_20_GMNIA_N__153</t>
  </si>
  <si>
    <t>S_2_460_HEB-400-2_20_GMNIA_N__154</t>
  </si>
  <si>
    <t>S_2_460_HEB-400-3_20_GMNIA_N__155</t>
  </si>
  <si>
    <t>S_2_460_HEB-400-4_20_GMNIA_N__156</t>
  </si>
  <si>
    <t>S_2_460_HEB-400-5_20_GMNIA_N__157</t>
  </si>
  <si>
    <t>S_2_460_HEB-400-6_20_GMNIA_N__158</t>
  </si>
  <si>
    <t>S_2_460_HEB-400-7_20_GMNIA_N__159</t>
  </si>
  <si>
    <t>S_2_460_HEB-400-8_20_GMNIA_N__160</t>
  </si>
  <si>
    <t>S_2_460_HEB-500-1_20_GMNIA_N__161</t>
  </si>
  <si>
    <t>S_2_460_HEB-500-2_20_GMNIA_N__162</t>
  </si>
  <si>
    <t>S_2_460_HEB-500-3_20_GMNIA_N__163</t>
  </si>
  <si>
    <t>S_2_460_HEB-500-4_20_GMNIA_N__164</t>
  </si>
  <si>
    <t>S_2_460_HEB-500-5_20_GMNIA_N__165</t>
  </si>
  <si>
    <t>S_2_460_HEB-500-6_20_GMNIA_N__166</t>
  </si>
  <si>
    <t>S_2_460_HEB-500-7_20_GMNIA_N__167</t>
  </si>
  <si>
    <t>S_2_460_HEB-500-8_20_GMNIA_N__168</t>
  </si>
  <si>
    <t>S_2_460_HEB-600-1_20_GMNIA_N__169</t>
  </si>
  <si>
    <t>S_2_460_HEB-600-2_20_GMNIA_N__170</t>
  </si>
  <si>
    <t>S_2_460_HEB-600-3_20_GMNIA_N__171</t>
  </si>
  <si>
    <t>S_2_460_HEB-600-4_20_GMNIA_N__172</t>
  </si>
  <si>
    <t>S_2_460_HEB-600-5_20_GMNIA_N__173</t>
  </si>
  <si>
    <t>S_2_460_HEB-600-6_20_GMNIA_N__174</t>
  </si>
  <si>
    <t>S_2_460_HEB-600-7_20_GMNIA_N__175</t>
  </si>
  <si>
    <t>S_2_460_HEB-600-8_20_GMNIA_N__176</t>
  </si>
  <si>
    <t>S_2_460_HEB-700-1_20_GMNIA_N__177</t>
  </si>
  <si>
    <t>S_2_460_HEB-700-2_20_GMNIA_N__178</t>
  </si>
  <si>
    <t>S_2_460_HEB-700-3_20_GMNIA_N__179</t>
  </si>
  <si>
    <t>S_2_460_HEB-700-4_20_GMNIA_N__180</t>
  </si>
  <si>
    <t>S_2_460_HEB-700-5_20_GMNIA_N__181</t>
  </si>
  <si>
    <t>S_2_460_HEB-700-6_20_GMNIA_N__182</t>
  </si>
  <si>
    <t>S_2_460_HEB-700-7_20_GMNIA_N__183</t>
  </si>
  <si>
    <t>S_2_460_HEB-700-8_20_GMNIA_N__184</t>
  </si>
  <si>
    <t>S_2_460_HEB-900-1_20_GMNIA_N__185</t>
  </si>
  <si>
    <t>S_2_460_HEB-900-2_20_GMNIA_N__186</t>
  </si>
  <si>
    <t>S_2_460_HEB-900-3_20_GMNIA_N__187</t>
  </si>
  <si>
    <t>S_2_460_HEB-900-4_20_GMNIA_N__188</t>
  </si>
  <si>
    <t>S_2_460_HEB-900-5_20_GMNIA_N__189</t>
  </si>
  <si>
    <t>S_2_460_HEB-900-6_20_GMNIA_N__190</t>
  </si>
  <si>
    <t>S_2_460_HEB-900-7_20_GMNIA_N__191</t>
  </si>
  <si>
    <t>S_2_460_HEB-900-8_20_GMNIA_N__192</t>
  </si>
  <si>
    <t>C:\Kokou\Kokou_Case_study_1_Steel_Column\H_R_Validations_results\Parametric_study_HR_355_HEB_beam</t>
  </si>
  <si>
    <t>S_2_355_HEB-100-1_20_GMNIA_N__193</t>
  </si>
  <si>
    <t>S_2_355_HEB-100-2_20_GMNIA_N__194</t>
  </si>
  <si>
    <t>S_2_355_HEB-100-3_20_GMNIA_N__195</t>
  </si>
  <si>
    <t>S_2_355_HEB-100-4_20_GMNIA_N__196</t>
  </si>
  <si>
    <t>S_2_355_HEB-100-5_20_GMNIA_N__197</t>
  </si>
  <si>
    <t>S_2_355_HEB-100-6_20_GMNIA_N__198</t>
  </si>
  <si>
    <t>S_2_355_HEB-100-7_20_GMNIA_N__199</t>
  </si>
  <si>
    <t>S_2_355_HEB-100-8_20_GMNIA_N__200</t>
  </si>
  <si>
    <t>S_2_355_HEB-140-1_20_GMNIA_N__201</t>
  </si>
  <si>
    <t>S_2_355_HEB-140-2_20_GMNIA_N__202</t>
  </si>
  <si>
    <t>S_2_355_HEB-140-3_20_GMNIA_N__203</t>
  </si>
  <si>
    <t>S_2_355_HEB-140-4_20_GMNIA_N__204</t>
  </si>
  <si>
    <t>S_2_355_HEB-140-5_20_GMNIA_N__205</t>
  </si>
  <si>
    <t>S_2_355_HEB-140-6_20_GMNIA_N__206</t>
  </si>
  <si>
    <t>S_2_355_HEB-140-7_20_GMNIA_N__207</t>
  </si>
  <si>
    <t>S_2_355_HEB-140-8_20_GMNIA_N__208</t>
  </si>
  <si>
    <t>S_2_355_HEB-180-1_20_GMNIA_N__209</t>
  </si>
  <si>
    <t>S_2_355_HEB-180-2_20_GMNIA_N__210</t>
  </si>
  <si>
    <t>S_2_355_HEB-180-3_20_GMNIA_N__211</t>
  </si>
  <si>
    <t>S_2_355_HEB-180-4_20_GMNIA_N__212</t>
  </si>
  <si>
    <t>S_2_355_HEB-180-5_20_GMNIA_N__213</t>
  </si>
  <si>
    <t>S_2_355_HEB-180-6_20_GMNIA_N__214</t>
  </si>
  <si>
    <t>S_2_355_HEB-180-7_20_GMNIA_N__215</t>
  </si>
  <si>
    <t>S_2_355_HEB-180-8_20_GMNIA_N__216</t>
  </si>
  <si>
    <t>S_2_355_HEB-220-1_20_GMNIA_N__217</t>
  </si>
  <si>
    <t>S_2_355_HEB-220-2_20_GMNIA_N__218</t>
  </si>
  <si>
    <t>S_2_355_HEB-220-3_20_GMNIA_N__219</t>
  </si>
  <si>
    <t>S_2_355_HEB-220-4_20_GMNIA_N__220</t>
  </si>
  <si>
    <t>S_2_355_HEB-220-5_20_GMNIA_N__221</t>
  </si>
  <si>
    <t>S_2_355_HEB-220-6_20_GMNIA_N__222</t>
  </si>
  <si>
    <t>S_2_355_HEB-220-7_20_GMNIA_N__223</t>
  </si>
  <si>
    <t>S_2_355_HEB-220-8_20_GMNIA_N__224</t>
  </si>
  <si>
    <t>S_2_355_HEB-260-1_20_GMNIA_N__225</t>
  </si>
  <si>
    <t>S_2_355_HEB-260-2_20_GMNIA_N__226</t>
  </si>
  <si>
    <t>S_2_355_HEB-260-3_20_GMNIA_N__227</t>
  </si>
  <si>
    <t>S_2_355_HEB-260-4_20_GMNIA_N__228</t>
  </si>
  <si>
    <t>S_2_355_HEB-260-5_20_GMNIA_N__229</t>
  </si>
  <si>
    <t>S_2_355_HEB-260-6_20_GMNIA_N__230</t>
  </si>
  <si>
    <t>S_2_355_HEB-260-7_20_GMNIA_N__231</t>
  </si>
  <si>
    <t>S_2_355_HEB-260-8_20_GMNIA_N__232</t>
  </si>
  <si>
    <t>S_2_355_HEB-300-1_20_GMNIA_N__233</t>
  </si>
  <si>
    <t>S_2_355_HEB-300-2_20_GMNIA_N__234</t>
  </si>
  <si>
    <t>S_2_355_HEB-300-3_20_GMNIA_N__235</t>
  </si>
  <si>
    <t>S_2_355_HEB-300-4_20_GMNIA_N__236</t>
  </si>
  <si>
    <t>S_2_355_HEB-300-5_20_GMNIA_N__237</t>
  </si>
  <si>
    <t>S_2_355_HEB-300-6_20_GMNIA_N__238</t>
  </si>
  <si>
    <t>S_2_355_HEB-300-7_20_GMNIA_N__239</t>
  </si>
  <si>
    <t>S_2_355_HEB-300-8_20_GMNIA_N__240</t>
  </si>
  <si>
    <t>S_2_355_HEB-340-1_20_GMNIA_N__241</t>
  </si>
  <si>
    <t>S_2_355_HEB-340-2_20_GMNIA_N__242</t>
  </si>
  <si>
    <t>S_2_355_HEB-340-3_20_GMNIA_N__243</t>
  </si>
  <si>
    <t>S_2_355_HEB-340-4_20_GMNIA_N__244</t>
  </si>
  <si>
    <t>S_2_355_HEB-340-5_20_GMNIA_N__245</t>
  </si>
  <si>
    <t>S_2_355_HEB-340-6_20_GMNIA_N__246</t>
  </si>
  <si>
    <t>S_2_355_HEB-340-7_20_GMNIA_N__247</t>
  </si>
  <si>
    <t>S_2_355_HEB-340-8_20_GMNIA_N__248</t>
  </si>
  <si>
    <t>S_2_355_HEB-400-1_20_GMNIA_N__249</t>
  </si>
  <si>
    <t>S_2_355_HEB-400-2_20_GMNIA_N__250</t>
  </si>
  <si>
    <t>S_2_355_HEB-400-3_20_GMNIA_N__251</t>
  </si>
  <si>
    <t>S_2_355_HEB-400-4_20_GMNIA_N__252</t>
  </si>
  <si>
    <t>S_2_355_HEB-400-5_20_GMNIA_N__253</t>
  </si>
  <si>
    <t>S_2_355_HEB-400-6_20_GMNIA_N__254</t>
  </si>
  <si>
    <t>S_2_355_HEB-400-7_20_GMNIA_N__255</t>
  </si>
  <si>
    <t>S_2_355_HEB-400-8_20_GMNIA_N__256</t>
  </si>
  <si>
    <t>S_2_355_HEB-500-1_20_GMNIA_N__257</t>
  </si>
  <si>
    <t>S_2_355_HEB-500-2_20_GMNIA_N__258</t>
  </si>
  <si>
    <t>S_2_355_HEB-500-3_20_GMNIA_N__259</t>
  </si>
  <si>
    <t>S_2_355_HEB-500-4_20_GMNIA_N__260</t>
  </si>
  <si>
    <t>S_2_355_HEB-500-5_20_GMNIA_N__261</t>
  </si>
  <si>
    <t>S_2_355_HEB-500-6_20_GMNIA_N__262</t>
  </si>
  <si>
    <t>S_2_355_HEB-500-7_20_GMNIA_N__263</t>
  </si>
  <si>
    <t>S_2_355_HEB-500-8_20_GMNIA_N__264</t>
  </si>
  <si>
    <t>S_2_355_HEB-600-1_20_GMNIA_N__265</t>
  </si>
  <si>
    <t>S_2_355_HEB-600-2_20_GMNIA_N__266</t>
  </si>
  <si>
    <t>S_2_355_HEB-600-3_20_GMNIA_N__267</t>
  </si>
  <si>
    <t>S_2_355_HEB-600-4_20_GMNIA_N__268</t>
  </si>
  <si>
    <t>S_2_355_HEB-600-5_20_GMNIA_N__269</t>
  </si>
  <si>
    <t>S_2_355_HEB-600-6_20_GMNIA_N__270</t>
  </si>
  <si>
    <t>S_2_355_HEB-600-7_20_GMNIA_N__271</t>
  </si>
  <si>
    <t>S_2_355_HEB-600-8_20_GMNIA_N__272</t>
  </si>
  <si>
    <t>S_2_355_HEB-700-1_20_GMNIA_N__273</t>
  </si>
  <si>
    <t>S_2_355_HEB-700-2_20_GMNIA_N__274</t>
  </si>
  <si>
    <t>S_2_355_HEB-700-3_20_GMNIA_N__275</t>
  </si>
  <si>
    <t>S_2_355_HEB-700-4_20_GMNIA_N__276</t>
  </si>
  <si>
    <t>S_2_355_HEB-700-5_20_GMNIA_N__277</t>
  </si>
  <si>
    <t>S_2_355_HEB-700-6_20_GMNIA_N__278</t>
  </si>
  <si>
    <t>S_2_355_HEB-700-7_20_GMNIA_N__279</t>
  </si>
  <si>
    <t>S_2_355_HEB-700-8_20_GMNIA_N__280</t>
  </si>
  <si>
    <t>S_2_355_HEB-900-1_20_GMNIA_N__281</t>
  </si>
  <si>
    <t>S_2_355_HEB-900-2_20_GMNIA_N__282</t>
  </si>
  <si>
    <t>S_2_355_HEB-900-3_20_GMNIA_N__283</t>
  </si>
  <si>
    <t>S_2_355_HEB-900-4_20_GMNIA_N__284</t>
  </si>
  <si>
    <t>S_2_355_HEB-900-5_20_GMNIA_N__285</t>
  </si>
  <si>
    <t>S_2_355_HEB-900-6_20_GMNIA_N__286</t>
  </si>
  <si>
    <t>S_2_355_HEB-900-7_20_GMNIA_N__287</t>
  </si>
  <si>
    <t>S_2_355_HEB-900-8_20_GMNIA_N__288</t>
  </si>
  <si>
    <t>IPE-80-1</t>
  </si>
  <si>
    <t>IPE-80-2</t>
  </si>
  <si>
    <t>IPE-80-3</t>
  </si>
  <si>
    <t>IPE-80-4</t>
  </si>
  <si>
    <t>IPE-80-5</t>
  </si>
  <si>
    <t>IPE-80-6</t>
  </si>
  <si>
    <t>IPE-80-7</t>
  </si>
  <si>
    <t>IPE-80-8</t>
  </si>
  <si>
    <t>IPE-100-1</t>
  </si>
  <si>
    <t>IPE-100-2</t>
  </si>
  <si>
    <t>IPE-100-3</t>
  </si>
  <si>
    <t>IPE-100-4</t>
  </si>
  <si>
    <t>IPE-100-5</t>
  </si>
  <si>
    <t>IPE-100-6</t>
  </si>
  <si>
    <t>IPE-100-7</t>
  </si>
  <si>
    <t>IPE-100-8</t>
  </si>
  <si>
    <t>IPE-120-1</t>
  </si>
  <si>
    <t>IPE-120-2</t>
  </si>
  <si>
    <t>IPE-120-3</t>
  </si>
  <si>
    <t>IPE-120-4</t>
  </si>
  <si>
    <t>IPE-120-5</t>
  </si>
  <si>
    <t>IPE-120-6</t>
  </si>
  <si>
    <t>IPE-120-7</t>
  </si>
  <si>
    <t>IPE-120-8</t>
  </si>
  <si>
    <t>IPE-160-1</t>
  </si>
  <si>
    <t>IPE-160-2</t>
  </si>
  <si>
    <t>IPE-160-3</t>
  </si>
  <si>
    <t>IPE-160-4</t>
  </si>
  <si>
    <t>IPE-160-5</t>
  </si>
  <si>
    <t>IPE-160-6</t>
  </si>
  <si>
    <t>IPE-160-7</t>
  </si>
  <si>
    <t>IPE-160-8</t>
  </si>
  <si>
    <t>IPE-200-1</t>
  </si>
  <si>
    <t>IPE-200-2</t>
  </si>
  <si>
    <t>IPE-200-3</t>
  </si>
  <si>
    <t>IPE-200-4</t>
  </si>
  <si>
    <t>IPE-200-5</t>
  </si>
  <si>
    <t>IPE-200-6</t>
  </si>
  <si>
    <t>IPE-200-7</t>
  </si>
  <si>
    <t>IPE-200-8</t>
  </si>
  <si>
    <t>IPE-240-1</t>
  </si>
  <si>
    <t>IPE-240-2</t>
  </si>
  <si>
    <t>IPE-240-3</t>
  </si>
  <si>
    <t>IPE-240-4</t>
  </si>
  <si>
    <t>IPE-240-5</t>
  </si>
  <si>
    <t>IPE-240-6</t>
  </si>
  <si>
    <t>IPE-240-7</t>
  </si>
  <si>
    <t>IPE-240-8</t>
  </si>
  <si>
    <t>IPE-300-1</t>
  </si>
  <si>
    <t>IPE-300-2</t>
  </si>
  <si>
    <t>IPE-300-3</t>
  </si>
  <si>
    <t>IPE-300-4</t>
  </si>
  <si>
    <t>IPE-300-5</t>
  </si>
  <si>
    <t>IPE-300-6</t>
  </si>
  <si>
    <t>IPE-300-7</t>
  </si>
  <si>
    <t>IPE-300-8</t>
  </si>
  <si>
    <t>IPE-360-1</t>
  </si>
  <si>
    <t>IPE-360-2</t>
  </si>
  <si>
    <t>IPE-360-3</t>
  </si>
  <si>
    <t>IPE-360-4</t>
  </si>
  <si>
    <t>IPE-360-5</t>
  </si>
  <si>
    <t>IPE-360-6</t>
  </si>
  <si>
    <t>IPE-360-7</t>
  </si>
  <si>
    <t>IPE-360-8</t>
  </si>
  <si>
    <t>IPE-450-1</t>
  </si>
  <si>
    <t>IPE-450-2</t>
  </si>
  <si>
    <t>IPE-450-3</t>
  </si>
  <si>
    <t>IPE-450-4</t>
  </si>
  <si>
    <t>IPE-450-5</t>
  </si>
  <si>
    <t>IPE-450-6</t>
  </si>
  <si>
    <t>IPE-450-7</t>
  </si>
  <si>
    <t>IPE-450-8</t>
  </si>
  <si>
    <t>IPE-500-1</t>
  </si>
  <si>
    <t>IPE-500-2</t>
  </si>
  <si>
    <t>IPE-500-3</t>
  </si>
  <si>
    <t>IPE-500-4</t>
  </si>
  <si>
    <t>IPE-500-5</t>
  </si>
  <si>
    <t>IPE-500-6</t>
  </si>
  <si>
    <t>IPE-500-7</t>
  </si>
  <si>
    <t>IPE-500-8</t>
  </si>
  <si>
    <t>IPE-550-1</t>
  </si>
  <si>
    <t>IPE-550-2</t>
  </si>
  <si>
    <t>IPE-550-3</t>
  </si>
  <si>
    <t>IPE-550-4</t>
  </si>
  <si>
    <t>IPE-550-5</t>
  </si>
  <si>
    <t>IPE-550-6</t>
  </si>
  <si>
    <t>IPE-550-7</t>
  </si>
  <si>
    <t>IPE-550-8</t>
  </si>
  <si>
    <t>IPE-600-1</t>
  </si>
  <si>
    <t>IPE-600-2</t>
  </si>
  <si>
    <t>IPE-600-3</t>
  </si>
  <si>
    <t>IPE-600-4</t>
  </si>
  <si>
    <t>IPE-600-5</t>
  </si>
  <si>
    <t>IPE-600-6</t>
  </si>
  <si>
    <t>IPE-600-7</t>
  </si>
  <si>
    <t>IPE-600-8</t>
  </si>
  <si>
    <t>S_2_690_IPE-80-1_20_GMNIA_N__1</t>
  </si>
  <si>
    <t>S_2_690_IPE-80-2_20_GMNIA_N__2</t>
  </si>
  <si>
    <t>S_2_690_IPE-80-3_20_GMNIA_N__3</t>
  </si>
  <si>
    <t>S_2_690_IPE-80-4_20_GMNIA_N__4</t>
  </si>
  <si>
    <t>S_2_690_IPE-80-5_20_GMNIA_N__5</t>
  </si>
  <si>
    <t>S_2_690_IPE-80-6_20_GMNIA_N__6</t>
  </si>
  <si>
    <t>S_2_690_IPE-80-7_20_GMNIA_N__7</t>
  </si>
  <si>
    <t>S_2_690_IPE-80-8_20_GMNIA_N__8</t>
  </si>
  <si>
    <t>S_2_690_IPE-100-1_20_GMNIA_N__9</t>
  </si>
  <si>
    <t>S_2_690_IPE-100-2_20_GMNIA_N__10</t>
  </si>
  <si>
    <t>S_2_690_IPE-100-3_20_GMNIA_N__11</t>
  </si>
  <si>
    <t>S_2_690_IPE-100-4_20_GMNIA_N__12</t>
  </si>
  <si>
    <t>S_2_690_IPE-100-5_20_GMNIA_N__13</t>
  </si>
  <si>
    <t>S_2_690_IPE-100-6_20_GMNIA_N__14</t>
  </si>
  <si>
    <t>S_2_690_IPE-100-7_20_GMNIA_N__15</t>
  </si>
  <si>
    <t>S_2_690_IPE-100-8_20_GMNIA_N__16</t>
  </si>
  <si>
    <t>S_2_690_IPE-120-1_20_GMNIA_N__17</t>
  </si>
  <si>
    <t>S_2_690_IPE-120-2_20_GMNIA_N__18</t>
  </si>
  <si>
    <t>S_2_690_IPE-120-3_20_GMNIA_N__19</t>
  </si>
  <si>
    <t>S_2_690_IPE-120-4_20_GMNIA_N__20</t>
  </si>
  <si>
    <t>S_2_690_IPE-120-5_20_GMNIA_N__21</t>
  </si>
  <si>
    <t>S_2_690_IPE-120-6_20_GMNIA_N__22</t>
  </si>
  <si>
    <t>S_2_690_IPE-120-7_20_GMNIA_N__23</t>
  </si>
  <si>
    <t>S_2_690_IPE-120-8_20_GMNIA_N__24</t>
  </si>
  <si>
    <t>S_2_690_IPE-160-1_20_GMNIA_N__25</t>
  </si>
  <si>
    <t>S_2_690_IPE-160-2_20_GMNIA_N__26</t>
  </si>
  <si>
    <t>S_2_690_IPE-160-3_20_GMNIA_N__27</t>
  </si>
  <si>
    <t>S_2_690_IPE-160-4_20_GMNIA_N__28</t>
  </si>
  <si>
    <t>S_2_690_IPE-160-5_20_GMNIA_N__29</t>
  </si>
  <si>
    <t>S_2_690_IPE-160-6_20_GMNIA_N__30</t>
  </si>
  <si>
    <t>S_2_690_IPE-160-7_20_GMNIA_N__31</t>
  </si>
  <si>
    <t>S_2_690_IPE-160-8_20_GMNIA_N__32</t>
  </si>
  <si>
    <t>S_2_690_IPE-200-1_20_GMNIA_N__33</t>
  </si>
  <si>
    <t>S_2_690_IPE-200-2_20_GMNIA_N__34</t>
  </si>
  <si>
    <t>S_2_690_IPE-200-3_20_GMNIA_N__35</t>
  </si>
  <si>
    <t>S_2_690_IPE-200-4_20_GMNIA_N__36</t>
  </si>
  <si>
    <t>S_2_690_IPE-200-5_20_GMNIA_N__37</t>
  </si>
  <si>
    <t>S_2_690_IPE-200-6_20_GMNIA_N__38</t>
  </si>
  <si>
    <t>S_2_690_IPE-200-7_20_GMNIA_N__39</t>
  </si>
  <si>
    <t>S_2_690_IPE-200-8_20_GMNIA_N__40</t>
  </si>
  <si>
    <t>S_2_690_IPE-240-1_20_GMNIA_N__41</t>
  </si>
  <si>
    <t>S_2_690_IPE-240-2_20_GMNIA_N__42</t>
  </si>
  <si>
    <t>S_2_690_IPE-240-3_20_GMNIA_N__43</t>
  </si>
  <si>
    <t>S_2_690_IPE-240-4_20_GMNIA_N__44</t>
  </si>
  <si>
    <t>S_2_690_IPE-240-5_20_GMNIA_N__45</t>
  </si>
  <si>
    <t>S_2_690_IPE-240-6_20_GMNIA_N__46</t>
  </si>
  <si>
    <t>S_2_690_IPE-240-7_20_GMNIA_N__47</t>
  </si>
  <si>
    <t>S_2_690_IPE-240-8_20_GMNIA_N__48</t>
  </si>
  <si>
    <t>S_2_690_IPE-300-1_20_GMNIA_N__49</t>
  </si>
  <si>
    <t>S_2_690_IPE-300-2_20_GMNIA_N__50</t>
  </si>
  <si>
    <t>S_2_690_IPE-300-3_20_GMNIA_N__51</t>
  </si>
  <si>
    <t>S_2_690_IPE-300-4_20_GMNIA_N__52</t>
  </si>
  <si>
    <t>S_2_690_IPE-300-5_20_GMNIA_N__53</t>
  </si>
  <si>
    <t>S_2_690_IPE-300-6_20_GMNIA_N__54</t>
  </si>
  <si>
    <t>S_2_690_IPE-300-7_20_GMNIA_N__55</t>
  </si>
  <si>
    <t>S_2_690_IPE-300-8_20_GMNIA_N__56</t>
  </si>
  <si>
    <t>S_2_690_IPE-360-1_20_GMNIA_N__57</t>
  </si>
  <si>
    <t>S_2_690_IPE-360-2_20_GMNIA_N__58</t>
  </si>
  <si>
    <t>S_2_690_IPE-360-3_20_GMNIA_N__59</t>
  </si>
  <si>
    <t>S_2_690_IPE-360-4_20_GMNIA_N__60</t>
  </si>
  <si>
    <t>S_2_690_IPE-360-5_20_GMNIA_N__61</t>
  </si>
  <si>
    <t>S_2_690_IPE-360-6_20_GMNIA_N__62</t>
  </si>
  <si>
    <t>S_2_690_IPE-360-7_20_GMNIA_N__63</t>
  </si>
  <si>
    <t>S_2_690_IPE-360-8_20_GMNIA_N__64</t>
  </si>
  <si>
    <t>S_2_690_IPE-450-1_20_GMNIA_N__65</t>
  </si>
  <si>
    <t>S_2_690_IPE-450-2_20_GMNIA_N__66</t>
  </si>
  <si>
    <t>S_2_690_IPE-450-3_20_GMNIA_N__67</t>
  </si>
  <si>
    <t>S_2_690_IPE-450-4_20_GMNIA_N__68</t>
  </si>
  <si>
    <t>S_2_690_IPE-450-5_20_GMNIA_N__69</t>
  </si>
  <si>
    <t>S_2_690_IPE-450-6_20_GMNIA_N__70</t>
  </si>
  <si>
    <t>S_2_690_IPE-450-7_20_GMNIA_N__71</t>
  </si>
  <si>
    <t>S_2_690_IPE-450-8_20_GMNIA_N__72</t>
  </si>
  <si>
    <t>S_2_690_IPE-500-1_20_GMNIA_N__73</t>
  </si>
  <si>
    <t>S_2_690_IPE-500-2_20_GMNIA_N__74</t>
  </si>
  <si>
    <t>S_2_690_IPE-500-3_20_GMNIA_N__75</t>
  </si>
  <si>
    <t>S_2_690_IPE-500-4_20_GMNIA_N__76</t>
  </si>
  <si>
    <t>S_2_690_IPE-500-5_20_GMNIA_N__77</t>
  </si>
  <si>
    <t>S_2_690_IPE-500-6_20_GMNIA_N__78</t>
  </si>
  <si>
    <t>S_2_690_IPE-500-7_20_GMNIA_N__79</t>
  </si>
  <si>
    <t>S_2_690_IPE-500-8_20_GMNIA_N__80</t>
  </si>
  <si>
    <t>S_2_690_IPE-550-1_20_GMNIA_N__81</t>
  </si>
  <si>
    <t>S_2_690_IPE-550-2_20_GMNIA_N__82</t>
  </si>
  <si>
    <t>S_2_690_IPE-550-3_20_GMNIA_N__83</t>
  </si>
  <si>
    <t>S_2_690_IPE-550-4_20_GMNIA_N__84</t>
  </si>
  <si>
    <t>S_2_690_IPE-550-5_20_GMNIA_N__85</t>
  </si>
  <si>
    <t>S_2_690_IPE-550-6_20_GMNIA_N__86</t>
  </si>
  <si>
    <t>S_2_690_IPE-550-7_20_GMNIA_N__87</t>
  </si>
  <si>
    <t>S_2_690_IPE-550-8_20_GMNIA_N__88</t>
  </si>
  <si>
    <t>S_2_690_IPE-600-1_20_GMNIA_N__89</t>
  </si>
  <si>
    <t>S_2_690_IPE-600-2_20_GMNIA_N__90</t>
  </si>
  <si>
    <t>S_2_690_IPE-600-3_20_GMNIA_N__91</t>
  </si>
  <si>
    <t>S_2_690_IPE-600-4_20_GMNIA_N__92</t>
  </si>
  <si>
    <t>S_2_690_IPE-600-5_20_GMNIA_N__93</t>
  </si>
  <si>
    <t>S_2_690_IPE-600-6_20_GMNIA_N__94</t>
  </si>
  <si>
    <t>S_2_690_IPE-600-7_20_GMNIA_N__95</t>
  </si>
  <si>
    <t>S_2_690_IPE-600-8_20_GMNIA_N__96</t>
  </si>
  <si>
    <t>S_2_460_IPE-80-1_20_GMNIA_N__97</t>
  </si>
  <si>
    <t>S_2_460_IPE-80-2_20_GMNIA_N__98</t>
  </si>
  <si>
    <t>S_2_460_IPE-80-3_20_GMNIA_N__99</t>
  </si>
  <si>
    <t>S_2_460_IPE-80-4_20_GMNIA_N__100</t>
  </si>
  <si>
    <t>S_2_460_IPE-80-5_20_GMNIA_N__101</t>
  </si>
  <si>
    <t>S_2_460_IPE-80-6_20_GMNIA_N__102</t>
  </si>
  <si>
    <t>S_2_460_IPE-80-7_20_GMNIA_N__103</t>
  </si>
  <si>
    <t>S_2_460_IPE-80-8_20_GMNIA_N__104</t>
  </si>
  <si>
    <t>S_2_460_IPE-100-1_20_GMNIA_N__105</t>
  </si>
  <si>
    <t>S_2_460_IPE-100-2_20_GMNIA_N__106</t>
  </si>
  <si>
    <t>S_2_460_IPE-100-3_20_GMNIA_N__107</t>
  </si>
  <si>
    <t>S_2_460_IPE-100-4_20_GMNIA_N__108</t>
  </si>
  <si>
    <t>S_2_460_IPE-100-5_20_GMNIA_N__109</t>
  </si>
  <si>
    <t>S_2_460_IPE-100-6_20_GMNIA_N__110</t>
  </si>
  <si>
    <t>S_2_460_IPE-100-7_20_GMNIA_N__111</t>
  </si>
  <si>
    <t>S_2_460_IPE-100-8_20_GMNIA_N__112</t>
  </si>
  <si>
    <t>S_2_460_IPE-120-1_20_GMNIA_N__113</t>
  </si>
  <si>
    <t>S_2_460_IPE-120-2_20_GMNIA_N__114</t>
  </si>
  <si>
    <t>S_2_460_IPE-120-3_20_GMNIA_N__115</t>
  </si>
  <si>
    <t>S_2_460_IPE-120-4_20_GMNIA_N__116</t>
  </si>
  <si>
    <t>S_2_460_IPE-120-5_20_GMNIA_N__117</t>
  </si>
  <si>
    <t>S_2_460_IPE-120-6_20_GMNIA_N__118</t>
  </si>
  <si>
    <t>S_2_460_IPE-120-7_20_GMNIA_N__119</t>
  </si>
  <si>
    <t>S_2_460_IPE-120-8_20_GMNIA_N__120</t>
  </si>
  <si>
    <t>S_2_460_IPE-160-1_20_GMNIA_N__121</t>
  </si>
  <si>
    <t>S_2_460_IPE-160-2_20_GMNIA_N__122</t>
  </si>
  <si>
    <t>S_2_460_IPE-160-3_20_GMNIA_N__123</t>
  </si>
  <si>
    <t>S_2_460_IPE-160-4_20_GMNIA_N__124</t>
  </si>
  <si>
    <t>S_2_460_IPE-160-5_20_GMNIA_N__125</t>
  </si>
  <si>
    <t>S_2_460_IPE-160-6_20_GMNIA_N__126</t>
  </si>
  <si>
    <t>S_2_460_IPE-160-7_20_GMNIA_N__127</t>
  </si>
  <si>
    <t>S_2_460_IPE-160-8_20_GMNIA_N__128</t>
  </si>
  <si>
    <t>S_2_460_IPE-200-1_20_GMNIA_N__129</t>
  </si>
  <si>
    <t>S_2_460_IPE-200-2_20_GMNIA_N__130</t>
  </si>
  <si>
    <t>S_2_460_IPE-200-3_20_GMNIA_N__131</t>
  </si>
  <si>
    <t>S_2_460_IPE-200-4_20_GMNIA_N__132</t>
  </si>
  <si>
    <t>S_2_460_IPE-200-5_20_GMNIA_N__133</t>
  </si>
  <si>
    <t>S_2_460_IPE-200-6_20_GMNIA_N__134</t>
  </si>
  <si>
    <t>S_2_460_IPE-200-7_20_GMNIA_N__135</t>
  </si>
  <si>
    <t>S_2_460_IPE-200-8_20_GMNIA_N__136</t>
  </si>
  <si>
    <t>S_2_460_IPE-240-1_20_GMNIA_N__137</t>
  </si>
  <si>
    <t>S_2_460_IPE-240-2_20_GMNIA_N__138</t>
  </si>
  <si>
    <t>S_2_460_IPE-240-3_20_GMNIA_N__139</t>
  </si>
  <si>
    <t>S_2_460_IPE-240-4_20_GMNIA_N__140</t>
  </si>
  <si>
    <t>S_2_460_IPE-240-5_20_GMNIA_N__141</t>
  </si>
  <si>
    <t>S_2_460_IPE-240-6_20_GMNIA_N__142</t>
  </si>
  <si>
    <t>S_2_460_IPE-240-7_20_GMNIA_N__143</t>
  </si>
  <si>
    <t>S_2_460_IPE-240-8_20_GMNIA_N__144</t>
  </si>
  <si>
    <t>S_2_460_IPE-300-1_20_GMNIA_N__145</t>
  </si>
  <si>
    <t>S_2_460_IPE-300-2_20_GMNIA_N__146</t>
  </si>
  <si>
    <t>S_2_460_IPE-300-3_20_GMNIA_N__147</t>
  </si>
  <si>
    <t>S_2_460_IPE-300-4_20_GMNIA_N__148</t>
  </si>
  <si>
    <t>S_2_460_IPE-300-5_20_GMNIA_N__149</t>
  </si>
  <si>
    <t>S_2_460_IPE-300-6_20_GMNIA_N__150</t>
  </si>
  <si>
    <t>S_2_460_IPE-300-7_20_GMNIA_N__151</t>
  </si>
  <si>
    <t>S_2_460_IPE-300-8_20_GMNIA_N__152</t>
  </si>
  <si>
    <t>S_2_460_IPE-360-1_20_GMNIA_N__153</t>
  </si>
  <si>
    <t>S_2_460_IPE-360-2_20_GMNIA_N__154</t>
  </si>
  <si>
    <t>S_2_460_IPE-360-3_20_GMNIA_N__155</t>
  </si>
  <si>
    <t>S_2_460_IPE-360-4_20_GMNIA_N__156</t>
  </si>
  <si>
    <t>S_2_460_IPE-360-5_20_GMNIA_N__157</t>
  </si>
  <si>
    <t>S_2_460_IPE-360-6_20_GMNIA_N__158</t>
  </si>
  <si>
    <t>S_2_460_IPE-360-7_20_GMNIA_N__159</t>
  </si>
  <si>
    <t>S_2_460_IPE-360-8_20_GMNIA_N__160</t>
  </si>
  <si>
    <t>S_2_460_IPE-450-1_20_GMNIA_N__161</t>
  </si>
  <si>
    <t>S_2_460_IPE-450-2_20_GMNIA_N__162</t>
  </si>
  <si>
    <t>S_2_460_IPE-450-3_20_GMNIA_N__163</t>
  </si>
  <si>
    <t>S_2_460_IPE-450-4_20_GMNIA_N__164</t>
  </si>
  <si>
    <t>S_2_460_IPE-450-5_20_GMNIA_N__165</t>
  </si>
  <si>
    <t>S_2_460_IPE-450-6_20_GMNIA_N__166</t>
  </si>
  <si>
    <t>S_2_460_IPE-450-7_20_GMNIA_N__167</t>
  </si>
  <si>
    <t>S_2_460_IPE-450-8_20_GMNIA_N__168</t>
  </si>
  <si>
    <t>S_2_460_IPE-500-1_20_GMNIA_N__169</t>
  </si>
  <si>
    <t>S_2_460_IPE-500-2_20_GMNIA_N__170</t>
  </si>
  <si>
    <t>S_2_460_IPE-500-3_20_GMNIA_N__171</t>
  </si>
  <si>
    <t>S_2_460_IPE-500-4_20_GMNIA_N__172</t>
  </si>
  <si>
    <t>S_2_460_IPE-500-5_20_GMNIA_N__173</t>
  </si>
  <si>
    <t>S_2_460_IPE-500-6_20_GMNIA_N__174</t>
  </si>
  <si>
    <t>S_2_460_IPE-500-7_20_GMNIA_N__175</t>
  </si>
  <si>
    <t>S_2_460_IPE-500-8_20_GMNIA_N__176</t>
  </si>
  <si>
    <t>S_2_460_IPE-550-1_20_GMNIA_N__177</t>
  </si>
  <si>
    <t>S_2_460_IPE-550-2_20_GMNIA_N__178</t>
  </si>
  <si>
    <t>S_2_460_IPE-550-3_20_GMNIA_N__179</t>
  </si>
  <si>
    <t>S_2_460_IPE-550-4_20_GMNIA_N__180</t>
  </si>
  <si>
    <t>S_2_460_IPE-550-5_20_GMNIA_N__181</t>
  </si>
  <si>
    <t>S_2_460_IPE-550-6_20_GMNIA_N__182</t>
  </si>
  <si>
    <t>S_2_460_IPE-550-7_20_GMNIA_N__183</t>
  </si>
  <si>
    <t>S_2_460_IPE-550-8_20_GMNIA_N__184</t>
  </si>
  <si>
    <t>S_2_460_IPE-600-1_20_GMNIA_N__185</t>
  </si>
  <si>
    <t>S_2_460_IPE-600-2_20_GMNIA_N__186</t>
  </si>
  <si>
    <t>S_2_460_IPE-600-3_20_GMNIA_N__187</t>
  </si>
  <si>
    <t>S_2_460_IPE-600-4_20_GMNIA_N__188</t>
  </si>
  <si>
    <t>S_2_460_IPE-600-5_20_GMNIA_N__189</t>
  </si>
  <si>
    <t>S_2_460_IPE-600-6_20_GMNIA_N__190</t>
  </si>
  <si>
    <t>S_2_460_IPE-600-7_20_GMNIA_N__191</t>
  </si>
  <si>
    <t>S_2_460_IPE-600-8_20_GMNIA_N__192</t>
  </si>
  <si>
    <t>C:\Kokou\Kokou_Case_study_1_Steel_Column\H_R_Validations_results\Parametric_study_HR_355_IPE_beam</t>
  </si>
  <si>
    <t>S_2_355_IPE-80-1_20_GMNIA_N__193</t>
  </si>
  <si>
    <t>S_2_355_IPE-80-2_20_GMNIA_N__194</t>
  </si>
  <si>
    <t>S_2_355_IPE-80-3_20_GMNIA_N__195</t>
  </si>
  <si>
    <t>S_2_355_IPE-80-4_20_GMNIA_N__196</t>
  </si>
  <si>
    <t>S_2_355_IPE-80-5_20_GMNIA_N__197</t>
  </si>
  <si>
    <t>S_2_355_IPE-80-6_20_GMNIA_N__198</t>
  </si>
  <si>
    <t>S_2_355_IPE-80-7_20_GMNIA_N__199</t>
  </si>
  <si>
    <t>S_2_355_IPE-80-8_20_GMNIA_N__200</t>
  </si>
  <si>
    <t>S_2_355_IPE-100-1_20_GMNIA_N__201</t>
  </si>
  <si>
    <t>S_2_355_IPE-100-2_20_GMNIA_N__202</t>
  </si>
  <si>
    <t>S_2_355_IPE-100-3_20_GMNIA_N__203</t>
  </si>
  <si>
    <t>S_2_355_IPE-100-4_20_GMNIA_N__204</t>
  </si>
  <si>
    <t>S_2_355_IPE-100-5_20_GMNIA_N__205</t>
  </si>
  <si>
    <t>S_2_355_IPE-100-6_20_GMNIA_N__206</t>
  </si>
  <si>
    <t>S_2_355_IPE-100-7_20_GMNIA_N__207</t>
  </si>
  <si>
    <t>S_2_355_IPE-100-8_20_GMNIA_N__208</t>
  </si>
  <si>
    <t>S_2_355_IPE-120-1_20_GMNIA_N__209</t>
  </si>
  <si>
    <t>S_2_355_IPE-120-2_20_GMNIA_N__210</t>
  </si>
  <si>
    <t>S_2_355_IPE-120-3_20_GMNIA_N__211</t>
  </si>
  <si>
    <t>S_2_355_IPE-120-4_20_GMNIA_N__212</t>
  </si>
  <si>
    <t>S_2_355_IPE-120-5_20_GMNIA_N__213</t>
  </si>
  <si>
    <t>S_2_355_IPE-120-6_20_GMNIA_N__214</t>
  </si>
  <si>
    <t>S_2_355_IPE-120-7_20_GMNIA_N__215</t>
  </si>
  <si>
    <t>S_2_355_IPE-120-8_20_GMNIA_N__216</t>
  </si>
  <si>
    <t>S_2_355_IPE-160-1_20_GMNIA_N__217</t>
  </si>
  <si>
    <t>S_2_355_IPE-160-2_20_GMNIA_N__218</t>
  </si>
  <si>
    <t>S_2_355_IPE-160-3_20_GMNIA_N__219</t>
  </si>
  <si>
    <t>S_2_355_IPE-160-4_20_GMNIA_N__220</t>
  </si>
  <si>
    <t>S_2_355_IPE-160-5_20_GMNIA_N__221</t>
  </si>
  <si>
    <t>S_2_355_IPE-160-6_20_GMNIA_N__222</t>
  </si>
  <si>
    <t>S_2_355_IPE-160-7_20_GMNIA_N__223</t>
  </si>
  <si>
    <t>S_2_355_IPE-160-8_20_GMNIA_N__224</t>
  </si>
  <si>
    <t>S_2_355_IPE-200-1_20_GMNIA_N__225</t>
  </si>
  <si>
    <t>S_2_355_IPE-200-2_20_GMNIA_N__226</t>
  </si>
  <si>
    <t>S_2_355_IPE-200-3_20_GMNIA_N__227</t>
  </si>
  <si>
    <t>S_2_355_IPE-200-4_20_GMNIA_N__228</t>
  </si>
  <si>
    <t>S_2_355_IPE-200-5_20_GMNIA_N__229</t>
  </si>
  <si>
    <t>S_2_355_IPE-200-6_20_GMNIA_N__230</t>
  </si>
  <si>
    <t>S_2_355_IPE-200-7_20_GMNIA_N__231</t>
  </si>
  <si>
    <t>S_2_355_IPE-200-8_20_GMNIA_N__232</t>
  </si>
  <si>
    <t>S_2_355_IPE-240-1_20_GMNIA_N__233</t>
  </si>
  <si>
    <t>S_2_355_IPE-240-2_20_GMNIA_N__234</t>
  </si>
  <si>
    <t>S_2_355_IPE-240-3_20_GMNIA_N__235</t>
  </si>
  <si>
    <t>S_2_355_IPE-240-4_20_GMNIA_N__236</t>
  </si>
  <si>
    <t>S_2_355_IPE-240-5_20_GMNIA_N__237</t>
  </si>
  <si>
    <t>S_2_355_IPE-240-6_20_GMNIA_N__238</t>
  </si>
  <si>
    <t>S_2_355_IPE-240-7_20_GMNIA_N__239</t>
  </si>
  <si>
    <t>S_2_355_IPE-240-8_20_GMNIA_N__240</t>
  </si>
  <si>
    <t>S_2_355_IPE-300-1_20_GMNIA_N__241</t>
  </si>
  <si>
    <t>S_2_355_IPE-300-2_20_GMNIA_N__242</t>
  </si>
  <si>
    <t>S_2_355_IPE-300-3_20_GMNIA_N__243</t>
  </si>
  <si>
    <t>S_2_355_IPE-300-4_20_GMNIA_N__244</t>
  </si>
  <si>
    <t>S_2_355_IPE-300-5_20_GMNIA_N__245</t>
  </si>
  <si>
    <t>S_2_355_IPE-300-6_20_GMNIA_N__246</t>
  </si>
  <si>
    <t>S_2_355_IPE-300-7_20_GMNIA_N__247</t>
  </si>
  <si>
    <t>S_2_355_IPE-300-8_20_GMNIA_N__248</t>
  </si>
  <si>
    <t>S_2_355_IPE-360-1_20_GMNIA_N__249</t>
  </si>
  <si>
    <t>S_2_355_IPE-360-2_20_GMNIA_N__250</t>
  </si>
  <si>
    <t>S_2_355_IPE-360-3_20_GMNIA_N__251</t>
  </si>
  <si>
    <t>S_2_355_IPE-360-4_20_GMNIA_N__252</t>
  </si>
  <si>
    <t>S_2_355_IPE-360-5_20_GMNIA_N__253</t>
  </si>
  <si>
    <t>S_2_355_IPE-360-6_20_GMNIA_N__254</t>
  </si>
  <si>
    <t>S_2_355_IPE-360-7_20_GMNIA_N__255</t>
  </si>
  <si>
    <t>S_2_355_IPE-360-8_20_GMNIA_N__256</t>
  </si>
  <si>
    <t>S_2_355_IPE-450-1_20_GMNIA_N__257</t>
  </si>
  <si>
    <t>S_2_355_IPE-450-2_20_GMNIA_N__258</t>
  </si>
  <si>
    <t>S_2_355_IPE-450-3_20_GMNIA_N__259</t>
  </si>
  <si>
    <t>S_2_355_IPE-450-4_20_GMNIA_N__260</t>
  </si>
  <si>
    <t>S_2_355_IPE-450-5_20_GMNIA_N__261</t>
  </si>
  <si>
    <t>S_2_355_IPE-450-6_20_GMNIA_N__262</t>
  </si>
  <si>
    <t>S_2_355_IPE-450-7_20_GMNIA_N__263</t>
  </si>
  <si>
    <t>S_2_355_IPE-450-8_20_GMNIA_N__264</t>
  </si>
  <si>
    <t>S_2_355_IPE-500-1_20_GMNIA_N__265</t>
  </si>
  <si>
    <t>S_2_355_IPE-500-2_20_GMNIA_N__266</t>
  </si>
  <si>
    <t>S_2_355_IPE-500-3_20_GMNIA_N__267</t>
  </si>
  <si>
    <t>S_2_355_IPE-500-4_20_GMNIA_N__268</t>
  </si>
  <si>
    <t>S_2_355_IPE-500-5_20_GMNIA_N__269</t>
  </si>
  <si>
    <t>S_2_355_IPE-500-6_20_GMNIA_N__270</t>
  </si>
  <si>
    <t>S_2_355_IPE-500-7_20_GMNIA_N__271</t>
  </si>
  <si>
    <t>S_2_355_IPE-500-8_20_GMNIA_N__272</t>
  </si>
  <si>
    <t>S_2_355_IPE-550-1_20_GMNIA_N__273</t>
  </si>
  <si>
    <t>S_2_355_IPE-550-2_20_GMNIA_N__274</t>
  </si>
  <si>
    <t>S_2_355_IPE-550-3_20_GMNIA_N__275</t>
  </si>
  <si>
    <t>S_2_355_IPE-550-4_20_GMNIA_N__276</t>
  </si>
  <si>
    <t>S_2_355_IPE-550-5_20_GMNIA_N__277</t>
  </si>
  <si>
    <t>S_2_355_IPE-550-6_20_GMNIA_N__278</t>
  </si>
  <si>
    <t>S_2_355_IPE-550-7_20_GMNIA_N__279</t>
  </si>
  <si>
    <t>S_2_355_IPE-550-8_20_GMNIA_N__280</t>
  </si>
  <si>
    <t>S_2_355_IPE-600-1_20_GMNIA_N__281</t>
  </si>
  <si>
    <t>S_2_355_IPE-600-2_20_GMNIA_N__282</t>
  </si>
  <si>
    <t>S_2_355_IPE-600-3_20_GMNIA_N__283</t>
  </si>
  <si>
    <t>S_2_355_IPE-600-4_20_GMNIA_N__284</t>
  </si>
  <si>
    <t>S_2_355_IPE-600-5_20_GMNIA_N__285</t>
  </si>
  <si>
    <t>S_2_355_IPE-600-6_20_GMNIA_N__286</t>
  </si>
  <si>
    <t>S_2_355_IPE-600-7_20_GMNIA_N__287</t>
  </si>
  <si>
    <t>S_2_355_IPE-600-8_20_GMNIA_N__288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</si>
</sst>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"/>
    <numFmt numFmtId="165" formatCode="0.00000"/>
    <numFmt numFmtId="166" formatCode="0.000"/>
    <numFmt numFmtId="167" formatCode="0.0E+0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rgb="FF00FF00"/>
      <name val="Times New Roman"/>
      <family val="1"/>
    </font>
    <font>
      <sz val="10"/>
      <color rgb="FFFFA50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sz val="11"/>
      <color rgb="FF000000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5" fillId="0" borderId="0"/>
    <xf numFmtId="0" fontId="1" fillId="0" borderId="0">
      <alignment vertical="center"/>
    </xf>
    <xf numFmtId="0" fontId="6" fillId="0" borderId="0"/>
  </cellStyleXfs>
  <cellXfs count="84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0" borderId="5" xfId="0" applyNumberFormat="1" applyFont="1" applyBorder="1" applyAlignment="1">
      <alignment horizontal="left" vertical="center"/>
    </xf>
    <xf numFmtId="2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165" fontId="2" fillId="0" borderId="8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165" fontId="2" fillId="0" borderId="9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65" fontId="2" fillId="3" borderId="4" xfId="0" applyNumberFormat="1" applyFont="1" applyFill="1" applyBorder="1" applyAlignment="1">
      <alignment horizontal="center"/>
    </xf>
    <xf numFmtId="2" fontId="2" fillId="3" borderId="4" xfId="0" applyNumberFormat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165" fontId="2" fillId="3" borderId="7" xfId="0" applyNumberFormat="1" applyFont="1" applyFill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5" borderId="0" xfId="0" applyFill="1"/>
    <xf numFmtId="11" fontId="2" fillId="0" borderId="4" xfId="0" applyNumberFormat="1" applyFont="1" applyBorder="1" applyAlignment="1">
      <alignment horizontal="center"/>
    </xf>
    <xf numFmtId="11" fontId="2" fillId="0" borderId="8" xfId="0" applyNumberFormat="1" applyFont="1" applyBorder="1" applyAlignment="1">
      <alignment horizontal="center"/>
    </xf>
    <xf numFmtId="11" fontId="2" fillId="0" borderId="9" xfId="0" applyNumberFormat="1" applyFont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2" fillId="5" borderId="4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11" fontId="2" fillId="6" borderId="4" xfId="0" applyNumberFormat="1" applyFont="1" applyFill="1" applyBorder="1" applyAlignment="1">
      <alignment horizontal="center"/>
    </xf>
    <xf numFmtId="2" fontId="2" fillId="6" borderId="4" xfId="0" applyNumberFormat="1" applyFont="1" applyFill="1" applyBorder="1" applyAlignment="1">
      <alignment horizontal="center"/>
    </xf>
    <xf numFmtId="167" fontId="2" fillId="0" borderId="7" xfId="0" applyNumberFormat="1" applyFont="1" applyBorder="1" applyAlignment="1">
      <alignment horizontal="center"/>
    </xf>
    <xf numFmtId="167" fontId="2" fillId="0" borderId="4" xfId="0" applyNumberFormat="1" applyFont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0" fontId="9" fillId="0" borderId="0" xfId="0" applyFont="1" applyAlignment="1">
      <alignment vertical="center" wrapText="1"/>
    </xf>
    <xf numFmtId="0" fontId="3" fillId="0" borderId="7" xfId="0" applyFont="1" applyBorder="1" applyAlignment="1">
      <alignment horizontal="center"/>
    </xf>
    <xf numFmtId="0" fontId="9" fillId="3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9" fillId="3" borderId="4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 vertical="center"/>
    </xf>
  </cellXfs>
  <cellStyles count="7">
    <cellStyle name="Normal" xfId="0" builtinId="0"/>
    <cellStyle name="Normal 2" xfId="4" xr:uid="{CAA0AD8B-AC78-44F0-82C7-9536C0780267}"/>
    <cellStyle name="Normal 3" xfId="6" xr:uid="{D504C872-9196-4AF1-8156-81CFB42AE9EE}"/>
    <cellStyle name="Normal 8" xfId="3" xr:uid="{E485EDBE-0F4F-4730-8A6B-FEE0E2CB10C8}"/>
    <cellStyle name="常规 2" xfId="5" xr:uid="{BA5C2954-D001-4DD2-84C9-9CA10A9D2E84}"/>
    <cellStyle name="常规 5" xfId="1" xr:uid="{4B6826EB-1E75-424E-9A36-EDD29FA29C79}"/>
    <cellStyle name="常规 5 4" xfId="2" xr:uid="{403824AC-E140-45EF-A3FB-1F044271A0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Global'!$AJ$6:$AJ$280</c:f>
              <c:numCache>
                <c:formatCode>0.00</c:formatCode>
                <c:ptCount val="275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</c:numCache>
            </c:numRef>
          </c:xVal>
          <c:yVal>
            <c:numRef>
              <c:f>'Local and Global'!$AK$6:$AK$280</c:f>
              <c:numCache>
                <c:formatCode>General</c:formatCode>
                <c:ptCount val="275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  <c:pt idx="96">
                  <c:v>0.96804214293957991</c:v>
                </c:pt>
                <c:pt idx="97">
                  <c:v>0.89753140164716572</c:v>
                </c:pt>
                <c:pt idx="98">
                  <c:v>0.80332669366065546</c:v>
                </c:pt>
                <c:pt idx="99">
                  <c:v>0.67594368153279871</c:v>
                </c:pt>
                <c:pt idx="100">
                  <c:v>0.48007465654922549</c:v>
                </c:pt>
                <c:pt idx="101">
                  <c:v>0.3232830812365477</c:v>
                </c:pt>
                <c:pt idx="102">
                  <c:v>0.22838629909960437</c:v>
                </c:pt>
                <c:pt idx="103">
                  <c:v>0.14742839634226584</c:v>
                </c:pt>
                <c:pt idx="104">
                  <c:v>0.96617908722058854</c:v>
                </c:pt>
                <c:pt idx="105">
                  <c:v>0.88648949158092072</c:v>
                </c:pt>
                <c:pt idx="106">
                  <c:v>0.78638826329230516</c:v>
                </c:pt>
                <c:pt idx="107">
                  <c:v>0.66780323789253915</c:v>
                </c:pt>
                <c:pt idx="108">
                  <c:v>0.47933460134502287</c:v>
                </c:pt>
                <c:pt idx="109">
                  <c:v>0.32232837290945737</c:v>
                </c:pt>
                <c:pt idx="110">
                  <c:v>0.22687642188847831</c:v>
                </c:pt>
                <c:pt idx="111">
                  <c:v>0.14602530597999819</c:v>
                </c:pt>
                <c:pt idx="112">
                  <c:v>0.95547957426572383</c:v>
                </c:pt>
                <c:pt idx="113">
                  <c:v>0.876869099889245</c:v>
                </c:pt>
                <c:pt idx="114">
                  <c:v>0.77459035630829698</c:v>
                </c:pt>
                <c:pt idx="115">
                  <c:v>0.66258127697786784</c:v>
                </c:pt>
                <c:pt idx="116">
                  <c:v>0.47817982331875941</c:v>
                </c:pt>
                <c:pt idx="117">
                  <c:v>0.32146985469634293</c:v>
                </c:pt>
                <c:pt idx="118">
                  <c:v>0.22575434871038458</c:v>
                </c:pt>
                <c:pt idx="119">
                  <c:v>0.1450914250629898</c:v>
                </c:pt>
                <c:pt idx="120">
                  <c:v>0.87197486291631587</c:v>
                </c:pt>
                <c:pt idx="121">
                  <c:v>0.82533896973889365</c:v>
                </c:pt>
                <c:pt idx="122">
                  <c:v>0.74401646950701517</c:v>
                </c:pt>
                <c:pt idx="123">
                  <c:v>0.65065760359749558</c:v>
                </c:pt>
                <c:pt idx="124">
                  <c:v>0.47552082451275196</c:v>
                </c:pt>
                <c:pt idx="125">
                  <c:v>0.3202965262797931</c:v>
                </c:pt>
                <c:pt idx="126">
                  <c:v>0.2242150266206249</c:v>
                </c:pt>
                <c:pt idx="127">
                  <c:v>0.14375248351889267</c:v>
                </c:pt>
                <c:pt idx="128">
                  <c:v>0.84214820630849885</c:v>
                </c:pt>
                <c:pt idx="129">
                  <c:v>0.77127311884635952</c:v>
                </c:pt>
                <c:pt idx="130">
                  <c:v>0.68685998899150003</c:v>
                </c:pt>
                <c:pt idx="131">
                  <c:v>0.61999183894186261</c:v>
                </c:pt>
                <c:pt idx="132">
                  <c:v>0.46991000009878514</c:v>
                </c:pt>
                <c:pt idx="133">
                  <c:v>0.3194089494099942</c:v>
                </c:pt>
                <c:pt idx="134">
                  <c:v>0.22313710543899543</c:v>
                </c:pt>
                <c:pt idx="135">
                  <c:v>0.14281190599303636</c:v>
                </c:pt>
                <c:pt idx="136">
                  <c:v>0.83429001933191183</c:v>
                </c:pt>
                <c:pt idx="137">
                  <c:v>0.75035708660069422</c:v>
                </c:pt>
                <c:pt idx="138">
                  <c:v>0.6532754165518635</c:v>
                </c:pt>
                <c:pt idx="139">
                  <c:v>0.59244179267847674</c:v>
                </c:pt>
                <c:pt idx="140">
                  <c:v>0.45841808535268447</c:v>
                </c:pt>
                <c:pt idx="141">
                  <c:v>0.31797980649286534</c:v>
                </c:pt>
                <c:pt idx="142">
                  <c:v>0.22225528700252004</c:v>
                </c:pt>
                <c:pt idx="143">
                  <c:v>0.14210806849162533</c:v>
                </c:pt>
                <c:pt idx="144">
                  <c:v>0.96768077738131708</c:v>
                </c:pt>
                <c:pt idx="145">
                  <c:v>0.84603944490528948</c:v>
                </c:pt>
                <c:pt idx="146">
                  <c:v>0.72280182450005703</c:v>
                </c:pt>
                <c:pt idx="147">
                  <c:v>0.63836878910057748</c:v>
                </c:pt>
                <c:pt idx="148">
                  <c:v>0.47013115112568854</c:v>
                </c:pt>
                <c:pt idx="149">
                  <c:v>0.31769962002314373</c:v>
                </c:pt>
                <c:pt idx="150">
                  <c:v>0.22129339261482678</c:v>
                </c:pt>
                <c:pt idx="151">
                  <c:v>0.14138838993390715</c:v>
                </c:pt>
                <c:pt idx="152">
                  <c:v>0.94591423108621175</c:v>
                </c:pt>
                <c:pt idx="153">
                  <c:v>0.83793521887825884</c:v>
                </c:pt>
                <c:pt idx="154">
                  <c:v>0.7180030639493763</c:v>
                </c:pt>
                <c:pt idx="155">
                  <c:v>0.63049628526181056</c:v>
                </c:pt>
                <c:pt idx="156">
                  <c:v>0.46630732030661948</c:v>
                </c:pt>
                <c:pt idx="157">
                  <c:v>0.31674828445822606</c:v>
                </c:pt>
                <c:pt idx="158">
                  <c:v>0.22084685837111298</c:v>
                </c:pt>
                <c:pt idx="159">
                  <c:v>0.14114244197977477</c:v>
                </c:pt>
                <c:pt idx="160">
                  <c:v>0.8987697578534749</c:v>
                </c:pt>
                <c:pt idx="161">
                  <c:v>0.81418255337284462</c:v>
                </c:pt>
                <c:pt idx="162">
                  <c:v>0.70889867775684001</c:v>
                </c:pt>
                <c:pt idx="163">
                  <c:v>0.62107370724962374</c:v>
                </c:pt>
                <c:pt idx="164">
                  <c:v>0.46174862878572814</c:v>
                </c:pt>
                <c:pt idx="165">
                  <c:v>0.31540587515664947</c:v>
                </c:pt>
                <c:pt idx="166">
                  <c:v>0.2201968062739815</c:v>
                </c:pt>
                <c:pt idx="167">
                  <c:v>0.14078706188573706</c:v>
                </c:pt>
                <c:pt idx="168">
                  <c:v>0.76882393621245448</c:v>
                </c:pt>
                <c:pt idx="169">
                  <c:v>0.71930080268573648</c:v>
                </c:pt>
                <c:pt idx="170">
                  <c:v>0.6547952292060002</c:v>
                </c:pt>
                <c:pt idx="171">
                  <c:v>0.58142668121190033</c:v>
                </c:pt>
                <c:pt idx="172">
                  <c:v>0.44314884566709856</c:v>
                </c:pt>
                <c:pt idx="173">
                  <c:v>0.30953478216528746</c:v>
                </c:pt>
                <c:pt idx="174">
                  <c:v>0.21754338055644534</c:v>
                </c:pt>
                <c:pt idx="175">
                  <c:v>0.13938816042524188</c:v>
                </c:pt>
                <c:pt idx="176">
                  <c:v>0.63591515487458539</c:v>
                </c:pt>
                <c:pt idx="177">
                  <c:v>0.58317844083225578</c:v>
                </c:pt>
                <c:pt idx="178">
                  <c:v>0.51318542713236692</c:v>
                </c:pt>
                <c:pt idx="179">
                  <c:v>0.45622141713069797</c:v>
                </c:pt>
                <c:pt idx="180">
                  <c:v>0.36688458832315107</c:v>
                </c:pt>
                <c:pt idx="181">
                  <c:v>0.27427346812951198</c:v>
                </c:pt>
                <c:pt idx="182">
                  <c:v>0.20223235234045558</c:v>
                </c:pt>
                <c:pt idx="183">
                  <c:v>0.13235910547456078</c:v>
                </c:pt>
                <c:pt idx="184">
                  <c:v>0.55556600283484436</c:v>
                </c:pt>
                <c:pt idx="185">
                  <c:v>0.511589224860314</c:v>
                </c:pt>
                <c:pt idx="186">
                  <c:v>0.42883440785018712</c:v>
                </c:pt>
                <c:pt idx="187">
                  <c:v>0.35783579519435199</c:v>
                </c:pt>
                <c:pt idx="188">
                  <c:v>0.27631958779302651</c:v>
                </c:pt>
                <c:pt idx="189">
                  <c:v>0.20902520869531482</c:v>
                </c:pt>
                <c:pt idx="190">
                  <c:v>0.15977238092246965</c:v>
                </c:pt>
                <c:pt idx="191">
                  <c:v>0.10987337444075379</c:v>
                </c:pt>
                <c:pt idx="192">
                  <c:v>0.96277481345722415</c:v>
                </c:pt>
                <c:pt idx="193">
                  <c:v>0.88962125925173186</c:v>
                </c:pt>
                <c:pt idx="194">
                  <c:v>0.79071257574530585</c:v>
                </c:pt>
                <c:pt idx="195">
                  <c:v>0.66307113385159822</c:v>
                </c:pt>
                <c:pt idx="196">
                  <c:v>0.47253515420107511</c:v>
                </c:pt>
                <c:pt idx="197">
                  <c:v>0.31938649450645706</c:v>
                </c:pt>
                <c:pt idx="198">
                  <c:v>0.22615822536239261</c:v>
                </c:pt>
                <c:pt idx="199">
                  <c:v>0.14623792702745625</c:v>
                </c:pt>
                <c:pt idx="200">
                  <c:v>0.95927547923794909</c:v>
                </c:pt>
                <c:pt idx="201">
                  <c:v>0.8771329564597492</c:v>
                </c:pt>
                <c:pt idx="202">
                  <c:v>0.77231011039200015</c:v>
                </c:pt>
                <c:pt idx="203">
                  <c:v>0.65374352845270578</c:v>
                </c:pt>
                <c:pt idx="204">
                  <c:v>0.47082804997521166</c:v>
                </c:pt>
                <c:pt idx="205">
                  <c:v>0.31776363592707213</c:v>
                </c:pt>
                <c:pt idx="206">
                  <c:v>0.22411075786748946</c:v>
                </c:pt>
                <c:pt idx="207">
                  <c:v>0.14447434652837393</c:v>
                </c:pt>
                <c:pt idx="208">
                  <c:v>0.94478617244871221</c:v>
                </c:pt>
                <c:pt idx="209">
                  <c:v>0.86552630376362349</c:v>
                </c:pt>
                <c:pt idx="210">
                  <c:v>0.75803290457829386</c:v>
                </c:pt>
                <c:pt idx="211">
                  <c:v>0.64768130537274193</c:v>
                </c:pt>
                <c:pt idx="212">
                  <c:v>0.4694650758585065</c:v>
                </c:pt>
                <c:pt idx="213">
                  <c:v>0.31695844401916351</c:v>
                </c:pt>
                <c:pt idx="214">
                  <c:v>0.22296363934092039</c:v>
                </c:pt>
                <c:pt idx="215">
                  <c:v>0.14347398502436942</c:v>
                </c:pt>
                <c:pt idx="216">
                  <c:v>0.87961794557236572</c:v>
                </c:pt>
                <c:pt idx="217">
                  <c:v>0.81979736891040977</c:v>
                </c:pt>
                <c:pt idx="218">
                  <c:v>0.72974523092561139</c:v>
                </c:pt>
                <c:pt idx="219">
                  <c:v>0.6370464434807882</c:v>
                </c:pt>
                <c:pt idx="220">
                  <c:v>0.46737145089803844</c:v>
                </c:pt>
                <c:pt idx="221">
                  <c:v>0.31615463541360556</c:v>
                </c:pt>
                <c:pt idx="222">
                  <c:v>0.22181120576289773</c:v>
                </c:pt>
                <c:pt idx="223">
                  <c:v>0.14244687122578295</c:v>
                </c:pt>
                <c:pt idx="224">
                  <c:v>0.8524742971247018</c:v>
                </c:pt>
                <c:pt idx="225">
                  <c:v>0.77316308840647741</c:v>
                </c:pt>
                <c:pt idx="226">
                  <c:v>0.67903260501023066</c:v>
                </c:pt>
                <c:pt idx="227">
                  <c:v>0.60941981529457911</c:v>
                </c:pt>
                <c:pt idx="228">
                  <c:v>0.46193430096107835</c:v>
                </c:pt>
                <c:pt idx="229">
                  <c:v>0.31550869511762986</c:v>
                </c:pt>
                <c:pt idx="230">
                  <c:v>0.2209539755226613</c:v>
                </c:pt>
                <c:pt idx="231">
                  <c:v>0.1416682518939576</c:v>
                </c:pt>
                <c:pt idx="232">
                  <c:v>0.84412958747083766</c:v>
                </c:pt>
                <c:pt idx="233">
                  <c:v>0.75623074377465371</c:v>
                </c:pt>
                <c:pt idx="234">
                  <c:v>0.65193715675825936</c:v>
                </c:pt>
                <c:pt idx="235">
                  <c:v>0.58785447822203862</c:v>
                </c:pt>
                <c:pt idx="236">
                  <c:v>0.4528154361035191</c:v>
                </c:pt>
                <c:pt idx="237">
                  <c:v>0.31431371325571988</c:v>
                </c:pt>
                <c:pt idx="238">
                  <c:v>0.22024338028910667</c:v>
                </c:pt>
                <c:pt idx="239">
                  <c:v>0.14110190005818943</c:v>
                </c:pt>
                <c:pt idx="240">
                  <c:v>0.95636836900528988</c:v>
                </c:pt>
                <c:pt idx="241">
                  <c:v>0.84143531393989879</c:v>
                </c:pt>
                <c:pt idx="242">
                  <c:v>0.71604117338011763</c:v>
                </c:pt>
                <c:pt idx="243">
                  <c:v>0.6277604900244822</c:v>
                </c:pt>
                <c:pt idx="244">
                  <c:v>0.46293844650471278</c:v>
                </c:pt>
                <c:pt idx="245">
                  <c:v>0.31406046461196097</c:v>
                </c:pt>
                <c:pt idx="246">
                  <c:v>0.21949991842643002</c:v>
                </c:pt>
                <c:pt idx="247">
                  <c:v>0.14058979895530202</c:v>
                </c:pt>
                <c:pt idx="248">
                  <c:v>0.94010269793559587</c:v>
                </c:pt>
                <c:pt idx="249">
                  <c:v>0.83278232187507362</c:v>
                </c:pt>
                <c:pt idx="250">
                  <c:v>0.71088021637314225</c:v>
                </c:pt>
                <c:pt idx="251">
                  <c:v>0.61961028111055483</c:v>
                </c:pt>
                <c:pt idx="252">
                  <c:v>0.45860976153522504</c:v>
                </c:pt>
                <c:pt idx="253">
                  <c:v>0.3127654075370499</c:v>
                </c:pt>
                <c:pt idx="254">
                  <c:v>0.21885884048954646</c:v>
                </c:pt>
                <c:pt idx="255">
                  <c:v>0.14023469096031249</c:v>
                </c:pt>
                <c:pt idx="256">
                  <c:v>0.89148357187529759</c:v>
                </c:pt>
                <c:pt idx="257">
                  <c:v>0.80810408362107533</c:v>
                </c:pt>
                <c:pt idx="258">
                  <c:v>0.70095252080710058</c:v>
                </c:pt>
                <c:pt idx="259">
                  <c:v>0.60937078600581429</c:v>
                </c:pt>
                <c:pt idx="260">
                  <c:v>0.4534052482143105</c:v>
                </c:pt>
                <c:pt idx="261">
                  <c:v>0.31103986169254466</c:v>
                </c:pt>
                <c:pt idx="262">
                  <c:v>0.21799229099353098</c:v>
                </c:pt>
                <c:pt idx="263">
                  <c:v>0.13976468437027434</c:v>
                </c:pt>
                <c:pt idx="264">
                  <c:v>0.76590020587482521</c:v>
                </c:pt>
                <c:pt idx="265">
                  <c:v>0.71396906653938164</c:v>
                </c:pt>
                <c:pt idx="266">
                  <c:v>0.64570693732215789</c:v>
                </c:pt>
                <c:pt idx="267">
                  <c:v>0.56846073108465445</c:v>
                </c:pt>
                <c:pt idx="268">
                  <c:v>0.433230104926558</c:v>
                </c:pt>
                <c:pt idx="269">
                  <c:v>0.30408028352934829</c:v>
                </c:pt>
                <c:pt idx="270">
                  <c:v>0.21467334678782057</c:v>
                </c:pt>
                <c:pt idx="271">
                  <c:v>0.13802867358225332</c:v>
                </c:pt>
                <c:pt idx="272">
                  <c:v>0.63725462842268221</c:v>
                </c:pt>
                <c:pt idx="273">
                  <c:v>0.58350457565958491</c:v>
                </c:pt>
                <c:pt idx="274">
                  <c:v>0.51249205871494385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D-4DD7-8A56-528EA0C9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F-4444-B92C-63F418980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0.96804214293957991</c:v>
                </c:pt>
                <c:pt idx="1">
                  <c:v>0.89753140164716572</c:v>
                </c:pt>
                <c:pt idx="2">
                  <c:v>0.80332669366065546</c:v>
                </c:pt>
                <c:pt idx="3">
                  <c:v>0.67594368153279871</c:v>
                </c:pt>
                <c:pt idx="4">
                  <c:v>0.48007465654922549</c:v>
                </c:pt>
                <c:pt idx="5">
                  <c:v>0.3232830812365477</c:v>
                </c:pt>
                <c:pt idx="6">
                  <c:v>0.22838629909960437</c:v>
                </c:pt>
                <c:pt idx="7">
                  <c:v>0.14742839634226584</c:v>
                </c:pt>
                <c:pt idx="8">
                  <c:v>0.96617908722058854</c:v>
                </c:pt>
                <c:pt idx="9">
                  <c:v>0.88648949158092072</c:v>
                </c:pt>
                <c:pt idx="10">
                  <c:v>0.78638826329230516</c:v>
                </c:pt>
                <c:pt idx="11">
                  <c:v>0.66780323789253915</c:v>
                </c:pt>
                <c:pt idx="12">
                  <c:v>0.47933460134502287</c:v>
                </c:pt>
                <c:pt idx="13">
                  <c:v>0.32232837290945737</c:v>
                </c:pt>
                <c:pt idx="14">
                  <c:v>0.22687642188847831</c:v>
                </c:pt>
                <c:pt idx="15">
                  <c:v>0.14602530597999819</c:v>
                </c:pt>
                <c:pt idx="16">
                  <c:v>0.95547957426572383</c:v>
                </c:pt>
                <c:pt idx="17">
                  <c:v>0.876869099889245</c:v>
                </c:pt>
                <c:pt idx="18">
                  <c:v>0.77459035630829698</c:v>
                </c:pt>
                <c:pt idx="19">
                  <c:v>0.66258127697786784</c:v>
                </c:pt>
                <c:pt idx="20">
                  <c:v>0.47817982331875941</c:v>
                </c:pt>
                <c:pt idx="21">
                  <c:v>0.32146985469634293</c:v>
                </c:pt>
                <c:pt idx="22">
                  <c:v>0.22575434871038458</c:v>
                </c:pt>
                <c:pt idx="23">
                  <c:v>0.1450914250629898</c:v>
                </c:pt>
                <c:pt idx="24">
                  <c:v>0.87197486291631587</c:v>
                </c:pt>
                <c:pt idx="25">
                  <c:v>0.82533896973889365</c:v>
                </c:pt>
                <c:pt idx="26">
                  <c:v>0.74401646950701517</c:v>
                </c:pt>
                <c:pt idx="27">
                  <c:v>0.65065760359749558</c:v>
                </c:pt>
                <c:pt idx="28">
                  <c:v>0.47552082451275196</c:v>
                </c:pt>
                <c:pt idx="29">
                  <c:v>0.3202965262797931</c:v>
                </c:pt>
                <c:pt idx="30">
                  <c:v>0.2242150266206249</c:v>
                </c:pt>
                <c:pt idx="31">
                  <c:v>0.14375248351889267</c:v>
                </c:pt>
                <c:pt idx="32">
                  <c:v>0.84214820630849885</c:v>
                </c:pt>
                <c:pt idx="33">
                  <c:v>0.77127311884635952</c:v>
                </c:pt>
                <c:pt idx="34">
                  <c:v>0.68685998899150003</c:v>
                </c:pt>
                <c:pt idx="35">
                  <c:v>0.61999183894186261</c:v>
                </c:pt>
                <c:pt idx="36">
                  <c:v>0.46991000009878514</c:v>
                </c:pt>
                <c:pt idx="37">
                  <c:v>0.3194089494099942</c:v>
                </c:pt>
                <c:pt idx="38">
                  <c:v>0.22313710543899543</c:v>
                </c:pt>
                <c:pt idx="39">
                  <c:v>0.14281190599303636</c:v>
                </c:pt>
                <c:pt idx="40">
                  <c:v>0.83429001933191183</c:v>
                </c:pt>
                <c:pt idx="41">
                  <c:v>0.75035708660069422</c:v>
                </c:pt>
                <c:pt idx="42">
                  <c:v>0.6532754165518635</c:v>
                </c:pt>
                <c:pt idx="43">
                  <c:v>0.59244179267847674</c:v>
                </c:pt>
                <c:pt idx="44">
                  <c:v>0.45841808535268447</c:v>
                </c:pt>
                <c:pt idx="45">
                  <c:v>0.31797980649286534</c:v>
                </c:pt>
                <c:pt idx="46">
                  <c:v>0.22225528700252004</c:v>
                </c:pt>
                <c:pt idx="47">
                  <c:v>0.14210806849162533</c:v>
                </c:pt>
                <c:pt idx="48">
                  <c:v>0.96768077738131708</c:v>
                </c:pt>
                <c:pt idx="49">
                  <c:v>0.84603944490528948</c:v>
                </c:pt>
                <c:pt idx="50">
                  <c:v>0.72280182450005703</c:v>
                </c:pt>
                <c:pt idx="51">
                  <c:v>0.63836878910057748</c:v>
                </c:pt>
                <c:pt idx="52">
                  <c:v>0.47013115112568854</c:v>
                </c:pt>
                <c:pt idx="53">
                  <c:v>0.31769962002314373</c:v>
                </c:pt>
                <c:pt idx="54">
                  <c:v>0.22129339261482678</c:v>
                </c:pt>
                <c:pt idx="55">
                  <c:v>0.14138838993390715</c:v>
                </c:pt>
                <c:pt idx="56">
                  <c:v>0.94591423108621175</c:v>
                </c:pt>
                <c:pt idx="57">
                  <c:v>0.83793521887825884</c:v>
                </c:pt>
                <c:pt idx="58">
                  <c:v>0.7180030639493763</c:v>
                </c:pt>
                <c:pt idx="59">
                  <c:v>0.63049628526181056</c:v>
                </c:pt>
                <c:pt idx="60">
                  <c:v>0.46630732030661948</c:v>
                </c:pt>
                <c:pt idx="61">
                  <c:v>0.31674828445822606</c:v>
                </c:pt>
                <c:pt idx="62">
                  <c:v>0.22084685837111298</c:v>
                </c:pt>
                <c:pt idx="63">
                  <c:v>0.14114244197977477</c:v>
                </c:pt>
                <c:pt idx="64">
                  <c:v>0.8987697578534749</c:v>
                </c:pt>
                <c:pt idx="65">
                  <c:v>0.81418255337284462</c:v>
                </c:pt>
                <c:pt idx="66">
                  <c:v>0.70889867775684001</c:v>
                </c:pt>
                <c:pt idx="67">
                  <c:v>0.62107370724962374</c:v>
                </c:pt>
                <c:pt idx="68">
                  <c:v>0.46174862878572814</c:v>
                </c:pt>
                <c:pt idx="69">
                  <c:v>0.31540587515664947</c:v>
                </c:pt>
                <c:pt idx="70">
                  <c:v>0.2201968062739815</c:v>
                </c:pt>
                <c:pt idx="71">
                  <c:v>0.14078706188573706</c:v>
                </c:pt>
                <c:pt idx="72">
                  <c:v>0.76882393621245448</c:v>
                </c:pt>
                <c:pt idx="73">
                  <c:v>0.71930080268573648</c:v>
                </c:pt>
                <c:pt idx="74">
                  <c:v>0.6547952292060002</c:v>
                </c:pt>
                <c:pt idx="75">
                  <c:v>0.58142668121190033</c:v>
                </c:pt>
                <c:pt idx="76">
                  <c:v>0.44314884566709856</c:v>
                </c:pt>
                <c:pt idx="77">
                  <c:v>0.30953478216528746</c:v>
                </c:pt>
                <c:pt idx="78">
                  <c:v>0.21754338055644534</c:v>
                </c:pt>
                <c:pt idx="79">
                  <c:v>0.13938816042524188</c:v>
                </c:pt>
                <c:pt idx="80">
                  <c:v>0.63591515487458539</c:v>
                </c:pt>
                <c:pt idx="81">
                  <c:v>0.58317844083225578</c:v>
                </c:pt>
                <c:pt idx="82">
                  <c:v>0.51318542713236692</c:v>
                </c:pt>
                <c:pt idx="83">
                  <c:v>0.45622141713069797</c:v>
                </c:pt>
                <c:pt idx="84">
                  <c:v>0.36688458832315107</c:v>
                </c:pt>
                <c:pt idx="85">
                  <c:v>0.27427346812951198</c:v>
                </c:pt>
                <c:pt idx="86">
                  <c:v>0.20223235234045558</c:v>
                </c:pt>
                <c:pt idx="87">
                  <c:v>0.13235910547456078</c:v>
                </c:pt>
                <c:pt idx="88">
                  <c:v>0.55556600283484436</c:v>
                </c:pt>
                <c:pt idx="89">
                  <c:v>0.511589224860314</c:v>
                </c:pt>
                <c:pt idx="90">
                  <c:v>0.42883440785018712</c:v>
                </c:pt>
                <c:pt idx="91">
                  <c:v>0.35783579519435199</c:v>
                </c:pt>
                <c:pt idx="92">
                  <c:v>0.27631958779302651</c:v>
                </c:pt>
                <c:pt idx="93">
                  <c:v>0.20902520869531482</c:v>
                </c:pt>
                <c:pt idx="94">
                  <c:v>0.15977238092246965</c:v>
                </c:pt>
                <c:pt idx="95">
                  <c:v>0.10987337444075379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2-40A8-B558-935F3BF2B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  <c:pt idx="8">
                  <c:v>0.95927547923794909</c:v>
                </c:pt>
                <c:pt idx="9">
                  <c:v>0.8771329564597492</c:v>
                </c:pt>
                <c:pt idx="10">
                  <c:v>0.77231011039200015</c:v>
                </c:pt>
                <c:pt idx="11">
                  <c:v>0.65374352845270578</c:v>
                </c:pt>
                <c:pt idx="12">
                  <c:v>0.47082804997521166</c:v>
                </c:pt>
                <c:pt idx="13">
                  <c:v>0.31776363592707213</c:v>
                </c:pt>
                <c:pt idx="14">
                  <c:v>0.22411075786748946</c:v>
                </c:pt>
                <c:pt idx="15">
                  <c:v>0.14447434652837393</c:v>
                </c:pt>
                <c:pt idx="16">
                  <c:v>0.94478617244871221</c:v>
                </c:pt>
                <c:pt idx="17">
                  <c:v>0.86552630376362349</c:v>
                </c:pt>
                <c:pt idx="18">
                  <c:v>0.75803290457829386</c:v>
                </c:pt>
                <c:pt idx="19">
                  <c:v>0.64768130537274193</c:v>
                </c:pt>
                <c:pt idx="20">
                  <c:v>0.4694650758585065</c:v>
                </c:pt>
                <c:pt idx="21">
                  <c:v>0.31695844401916351</c:v>
                </c:pt>
                <c:pt idx="22">
                  <c:v>0.22296363934092039</c:v>
                </c:pt>
                <c:pt idx="23">
                  <c:v>0.14347398502436942</c:v>
                </c:pt>
                <c:pt idx="24">
                  <c:v>0.87961794557236572</c:v>
                </c:pt>
                <c:pt idx="25">
                  <c:v>0.81979736891040977</c:v>
                </c:pt>
                <c:pt idx="26">
                  <c:v>0.72974523092561139</c:v>
                </c:pt>
                <c:pt idx="27">
                  <c:v>0.6370464434807882</c:v>
                </c:pt>
                <c:pt idx="28">
                  <c:v>0.46737145089803844</c:v>
                </c:pt>
                <c:pt idx="29">
                  <c:v>0.31615463541360556</c:v>
                </c:pt>
                <c:pt idx="30">
                  <c:v>0.22181120576289773</c:v>
                </c:pt>
                <c:pt idx="31">
                  <c:v>0.14244687122578295</c:v>
                </c:pt>
                <c:pt idx="32">
                  <c:v>0.8524742971247018</c:v>
                </c:pt>
                <c:pt idx="33">
                  <c:v>0.77316308840647741</c:v>
                </c:pt>
                <c:pt idx="34">
                  <c:v>0.67903260501023066</c:v>
                </c:pt>
                <c:pt idx="35">
                  <c:v>0.60941981529457911</c:v>
                </c:pt>
                <c:pt idx="36">
                  <c:v>0.46193430096107835</c:v>
                </c:pt>
                <c:pt idx="37">
                  <c:v>0.31550869511762986</c:v>
                </c:pt>
                <c:pt idx="38">
                  <c:v>0.2209539755226613</c:v>
                </c:pt>
                <c:pt idx="39">
                  <c:v>0.1416682518939576</c:v>
                </c:pt>
                <c:pt idx="40">
                  <c:v>0.84412958747083766</c:v>
                </c:pt>
                <c:pt idx="41">
                  <c:v>0.75623074377465371</c:v>
                </c:pt>
                <c:pt idx="42">
                  <c:v>0.65193715675825936</c:v>
                </c:pt>
                <c:pt idx="43">
                  <c:v>0.58785447822203862</c:v>
                </c:pt>
                <c:pt idx="44">
                  <c:v>0.4528154361035191</c:v>
                </c:pt>
                <c:pt idx="45">
                  <c:v>0.31431371325571988</c:v>
                </c:pt>
                <c:pt idx="46">
                  <c:v>0.22024338028910667</c:v>
                </c:pt>
                <c:pt idx="47">
                  <c:v>0.14110190005818943</c:v>
                </c:pt>
                <c:pt idx="48">
                  <c:v>0.95636836900528988</c:v>
                </c:pt>
                <c:pt idx="49">
                  <c:v>0.84143531393989879</c:v>
                </c:pt>
                <c:pt idx="50">
                  <c:v>0.71604117338011763</c:v>
                </c:pt>
                <c:pt idx="51">
                  <c:v>0.6277604900244822</c:v>
                </c:pt>
                <c:pt idx="52">
                  <c:v>0.46293844650471278</c:v>
                </c:pt>
                <c:pt idx="53">
                  <c:v>0.31406046461196097</c:v>
                </c:pt>
                <c:pt idx="54">
                  <c:v>0.21949991842643002</c:v>
                </c:pt>
                <c:pt idx="55">
                  <c:v>0.14058979895530202</c:v>
                </c:pt>
                <c:pt idx="56">
                  <c:v>0.94010269793559587</c:v>
                </c:pt>
                <c:pt idx="57">
                  <c:v>0.83278232187507362</c:v>
                </c:pt>
                <c:pt idx="58">
                  <c:v>0.71088021637314225</c:v>
                </c:pt>
                <c:pt idx="59">
                  <c:v>0.61961028111055483</c:v>
                </c:pt>
                <c:pt idx="60">
                  <c:v>0.45860976153522504</c:v>
                </c:pt>
                <c:pt idx="61">
                  <c:v>0.3127654075370499</c:v>
                </c:pt>
                <c:pt idx="62">
                  <c:v>0.21885884048954646</c:v>
                </c:pt>
                <c:pt idx="63">
                  <c:v>0.14023469096031249</c:v>
                </c:pt>
                <c:pt idx="64">
                  <c:v>0.89148357187529759</c:v>
                </c:pt>
                <c:pt idx="65">
                  <c:v>0.80810408362107533</c:v>
                </c:pt>
                <c:pt idx="66">
                  <c:v>0.70095252080710058</c:v>
                </c:pt>
                <c:pt idx="67">
                  <c:v>0.60937078600581429</c:v>
                </c:pt>
                <c:pt idx="68">
                  <c:v>0.4534052482143105</c:v>
                </c:pt>
                <c:pt idx="69">
                  <c:v>0.31103986169254466</c:v>
                </c:pt>
                <c:pt idx="70">
                  <c:v>0.21799229099353098</c:v>
                </c:pt>
                <c:pt idx="71">
                  <c:v>0.13976468437027434</c:v>
                </c:pt>
                <c:pt idx="72">
                  <c:v>0.76590020587482521</c:v>
                </c:pt>
                <c:pt idx="73">
                  <c:v>0.71396906653938164</c:v>
                </c:pt>
                <c:pt idx="74">
                  <c:v>0.64570693732215789</c:v>
                </c:pt>
                <c:pt idx="75">
                  <c:v>0.56846073108465445</c:v>
                </c:pt>
                <c:pt idx="76">
                  <c:v>0.433230104926558</c:v>
                </c:pt>
                <c:pt idx="77">
                  <c:v>0.30408028352934829</c:v>
                </c:pt>
                <c:pt idx="78">
                  <c:v>0.21467334678782057</c:v>
                </c:pt>
                <c:pt idx="79">
                  <c:v>0.13802867358225332</c:v>
                </c:pt>
                <c:pt idx="80">
                  <c:v>0.63725462842268221</c:v>
                </c:pt>
                <c:pt idx="81">
                  <c:v>0.58350457565958491</c:v>
                </c:pt>
                <c:pt idx="82">
                  <c:v>0.51249205871494385</c:v>
                </c:pt>
                <c:pt idx="83">
                  <c:v>0.45163764551246238</c:v>
                </c:pt>
                <c:pt idx="84">
                  <c:v>0.36073801282792956</c:v>
                </c:pt>
                <c:pt idx="85">
                  <c:v>0.26944188351214443</c:v>
                </c:pt>
                <c:pt idx="86">
                  <c:v>0.19834896071105723</c:v>
                </c:pt>
                <c:pt idx="87">
                  <c:v>0.13023891851688174</c:v>
                </c:pt>
                <c:pt idx="88">
                  <c:v>0.5533814948765583</c:v>
                </c:pt>
                <c:pt idx="89">
                  <c:v>0.50911544182318935</c:v>
                </c:pt>
                <c:pt idx="90">
                  <c:v>0.42742525837736906</c:v>
                </c:pt>
                <c:pt idx="91">
                  <c:v>0.35458900030024287</c:v>
                </c:pt>
                <c:pt idx="92">
                  <c:v>0.27312885607260023</c:v>
                </c:pt>
                <c:pt idx="93">
                  <c:v>0.20601338415427406</c:v>
                </c:pt>
                <c:pt idx="94">
                  <c:v>0.15665776445952059</c:v>
                </c:pt>
                <c:pt idx="95">
                  <c:v>0.10747649779219498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B-4E13-B291-DDE3E20C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Global'!$AJ$198:$AJ$205</c:f>
              <c:numCache>
                <c:formatCode>0.00</c:formatCode>
                <c:ptCount val="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</c:numCache>
            </c:numRef>
          </c:xVal>
          <c:yVal>
            <c:numRef>
              <c:f>'Local and Global'!$AK$198:$AK$205</c:f>
              <c:numCache>
                <c:formatCode>General</c:formatCode>
                <c:ptCount val="8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DB-4A71-B074-D623F9D9DBFF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Global'!$AJ$206:$AJ$213</c:f>
              <c:numCache>
                <c:formatCode>0.00</c:formatCode>
                <c:ptCount val="8"/>
                <c:pt idx="0">
                  <c:v>0.30704525084377782</c:v>
                </c:pt>
                <c:pt idx="1">
                  <c:v>0.50044074130654048</c:v>
                </c:pt>
                <c:pt idx="2">
                  <c:v>0.7473384293120533</c:v>
                </c:pt>
                <c:pt idx="3">
                  <c:v>0.99393171325219842</c:v>
                </c:pt>
                <c:pt idx="4">
                  <c:v>1.3200647234734655</c:v>
                </c:pt>
                <c:pt idx="5">
                  <c:v>1.6563992761146846</c:v>
                </c:pt>
                <c:pt idx="6">
                  <c:v>1.9830022409539199</c:v>
                </c:pt>
                <c:pt idx="7">
                  <c:v>2.4780339892129897</c:v>
                </c:pt>
              </c:numCache>
            </c:numRef>
          </c:xVal>
          <c:yVal>
            <c:numRef>
              <c:f>'Local and Global'!$AK$206:$AK$213</c:f>
              <c:numCache>
                <c:formatCode>General</c:formatCode>
                <c:ptCount val="8"/>
                <c:pt idx="0">
                  <c:v>0.95927547923794909</c:v>
                </c:pt>
                <c:pt idx="1">
                  <c:v>0.8771329564597492</c:v>
                </c:pt>
                <c:pt idx="2">
                  <c:v>0.77231011039200015</c:v>
                </c:pt>
                <c:pt idx="3">
                  <c:v>0.65374352845270578</c:v>
                </c:pt>
                <c:pt idx="4">
                  <c:v>0.47082804997521166</c:v>
                </c:pt>
                <c:pt idx="5">
                  <c:v>0.31776363592707213</c:v>
                </c:pt>
                <c:pt idx="6">
                  <c:v>0.22411075786748946</c:v>
                </c:pt>
                <c:pt idx="7">
                  <c:v>0.14447434652837393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DB-4A71-B074-D623F9D9DBFF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Global'!$AJ$214:$AJ$221</c:f>
              <c:numCache>
                <c:formatCode>0.00</c:formatCode>
                <c:ptCount val="8"/>
                <c:pt idx="0">
                  <c:v>0.30917943203396603</c:v>
                </c:pt>
                <c:pt idx="1">
                  <c:v>0.50214006483243423</c:v>
                </c:pt>
                <c:pt idx="2">
                  <c:v>0.74897554458221072</c:v>
                </c:pt>
                <c:pt idx="3">
                  <c:v>0.99571319208183118</c:v>
                </c:pt>
                <c:pt idx="4">
                  <c:v>1.3220810455484713</c:v>
                </c:pt>
                <c:pt idx="5">
                  <c:v>1.6587605022145755</c:v>
                </c:pt>
                <c:pt idx="6">
                  <c:v>1.9856975815924538</c:v>
                </c:pt>
                <c:pt idx="7">
                  <c:v>2.4812754483473265</c:v>
                </c:pt>
              </c:numCache>
            </c:numRef>
          </c:xVal>
          <c:yVal>
            <c:numRef>
              <c:f>'Local and Global'!$AK$214:$AK$221</c:f>
              <c:numCache>
                <c:formatCode>General</c:formatCode>
                <c:ptCount val="8"/>
                <c:pt idx="0">
                  <c:v>0.94478617244871221</c:v>
                </c:pt>
                <c:pt idx="1">
                  <c:v>0.86552630376362349</c:v>
                </c:pt>
                <c:pt idx="2">
                  <c:v>0.75803290457829386</c:v>
                </c:pt>
                <c:pt idx="3">
                  <c:v>0.64768130537274193</c:v>
                </c:pt>
                <c:pt idx="4">
                  <c:v>0.4694650758585065</c:v>
                </c:pt>
                <c:pt idx="5">
                  <c:v>0.31695844401916351</c:v>
                </c:pt>
                <c:pt idx="6">
                  <c:v>0.22296363934092039</c:v>
                </c:pt>
                <c:pt idx="7">
                  <c:v>0.14347398502436942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DB-4A71-B074-D623F9D9DBFF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'Local and Global'!$AJ$222:$AJ$229</c:f>
              <c:numCache>
                <c:formatCode>0.00</c:formatCode>
                <c:ptCount val="8"/>
                <c:pt idx="0">
                  <c:v>0.31272057602946074</c:v>
                </c:pt>
                <c:pt idx="1">
                  <c:v>0.50603687442836875</c:v>
                </c:pt>
                <c:pt idx="2">
                  <c:v>0.75115226646170019</c:v>
                </c:pt>
                <c:pt idx="3">
                  <c:v>0.99781717814619431</c:v>
                </c:pt>
                <c:pt idx="4">
                  <c:v>1.3243060050567508</c:v>
                </c:pt>
                <c:pt idx="5">
                  <c:v>1.661210186723272</c:v>
                </c:pt>
                <c:pt idx="6">
                  <c:v>1.9884106239273363</c:v>
                </c:pt>
                <c:pt idx="7">
                  <c:v>2.4844384016483527</c:v>
                </c:pt>
              </c:numCache>
            </c:numRef>
          </c:xVal>
          <c:yVal>
            <c:numRef>
              <c:f>'Local and Global'!$AK$222:$AK$229</c:f>
              <c:numCache>
                <c:formatCode>General</c:formatCode>
                <c:ptCount val="8"/>
                <c:pt idx="0">
                  <c:v>0.87961794557236572</c:v>
                </c:pt>
                <c:pt idx="1">
                  <c:v>0.81979736891040977</c:v>
                </c:pt>
                <c:pt idx="2">
                  <c:v>0.72974523092561139</c:v>
                </c:pt>
                <c:pt idx="3">
                  <c:v>0.6370464434807882</c:v>
                </c:pt>
                <c:pt idx="4">
                  <c:v>0.46737145089803844</c:v>
                </c:pt>
                <c:pt idx="5">
                  <c:v>0.31615463541360556</c:v>
                </c:pt>
                <c:pt idx="6">
                  <c:v>0.22181120576289773</c:v>
                </c:pt>
                <c:pt idx="7">
                  <c:v>0.14244687122578295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DB-4A71-B074-D623F9D9DBFF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'Local and Global'!$AJ$230:$AJ$237</c:f>
              <c:numCache>
                <c:formatCode>0.00</c:formatCode>
                <c:ptCount val="8"/>
                <c:pt idx="0">
                  <c:v>0.31738019081119417</c:v>
                </c:pt>
                <c:pt idx="1">
                  <c:v>0.50915842853660875</c:v>
                </c:pt>
                <c:pt idx="2">
                  <c:v>0.75354925137820961</c:v>
                </c:pt>
                <c:pt idx="3">
                  <c:v>0.9999222008365759</c:v>
                </c:pt>
                <c:pt idx="4">
                  <c:v>1.3263034231432058</c:v>
                </c:pt>
                <c:pt idx="5">
                  <c:v>1.6632185534961623</c:v>
                </c:pt>
                <c:pt idx="6">
                  <c:v>1.9905177488324695</c:v>
                </c:pt>
                <c:pt idx="7">
                  <c:v>2.486747499142711</c:v>
                </c:pt>
              </c:numCache>
            </c:numRef>
          </c:xVal>
          <c:yVal>
            <c:numRef>
              <c:f>'Local and Global'!$AK$230:$AK$237</c:f>
              <c:numCache>
                <c:formatCode>General</c:formatCode>
                <c:ptCount val="8"/>
                <c:pt idx="0">
                  <c:v>0.8524742971247018</c:v>
                </c:pt>
                <c:pt idx="1">
                  <c:v>0.77316308840647741</c:v>
                </c:pt>
                <c:pt idx="2">
                  <c:v>0.67903260501023066</c:v>
                </c:pt>
                <c:pt idx="3">
                  <c:v>0.60941981529457911</c:v>
                </c:pt>
                <c:pt idx="4">
                  <c:v>0.46193430096107835</c:v>
                </c:pt>
                <c:pt idx="5">
                  <c:v>0.31550869511762986</c:v>
                </c:pt>
                <c:pt idx="6">
                  <c:v>0.2209539755226613</c:v>
                </c:pt>
                <c:pt idx="7">
                  <c:v>0.1416682518939576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DB-4A71-B074-D623F9D9DBFF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'Local and Global'!$AJ$238:$AJ$245</c:f>
              <c:numCache>
                <c:formatCode>0.00</c:formatCode>
                <c:ptCount val="8"/>
                <c:pt idx="0">
                  <c:v>0.32269432002556259</c:v>
                </c:pt>
                <c:pt idx="1">
                  <c:v>0.51260848905539846</c:v>
                </c:pt>
                <c:pt idx="2">
                  <c:v>0.7560599062343788</c:v>
                </c:pt>
                <c:pt idx="3">
                  <c:v>1.0019801143753875</c:v>
                </c:pt>
                <c:pt idx="4">
                  <c:v>1.3281068121084192</c:v>
                </c:pt>
                <c:pt idx="5">
                  <c:v>1.6648822458909962</c:v>
                </c:pt>
                <c:pt idx="6">
                  <c:v>1.9921622950614859</c:v>
                </c:pt>
                <c:pt idx="7">
                  <c:v>2.4883941298426664</c:v>
                </c:pt>
              </c:numCache>
            </c:numRef>
          </c:xVal>
          <c:yVal>
            <c:numRef>
              <c:f>'Local and Global'!$AK$238:$AK$245</c:f>
              <c:numCache>
                <c:formatCode>General</c:formatCode>
                <c:ptCount val="8"/>
                <c:pt idx="0">
                  <c:v>0.84412958747083766</c:v>
                </c:pt>
                <c:pt idx="1">
                  <c:v>0.75623074377465371</c:v>
                </c:pt>
                <c:pt idx="2">
                  <c:v>0.65193715675825936</c:v>
                </c:pt>
                <c:pt idx="3">
                  <c:v>0.58785447822203862</c:v>
                </c:pt>
                <c:pt idx="4">
                  <c:v>0.4528154361035191</c:v>
                </c:pt>
                <c:pt idx="5">
                  <c:v>0.31431371325571988</c:v>
                </c:pt>
                <c:pt idx="6">
                  <c:v>0.22024338028910667</c:v>
                </c:pt>
                <c:pt idx="7">
                  <c:v>0.14110190005818943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DB-4A71-B074-D623F9D9D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1-4511-9870-CE180752F852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0.96804214293957991</c:v>
                </c:pt>
                <c:pt idx="1">
                  <c:v>0.89753140164716572</c:v>
                </c:pt>
                <c:pt idx="2">
                  <c:v>0.80332669366065546</c:v>
                </c:pt>
                <c:pt idx="3">
                  <c:v>0.67594368153279871</c:v>
                </c:pt>
                <c:pt idx="4">
                  <c:v>0.48007465654922549</c:v>
                </c:pt>
                <c:pt idx="5">
                  <c:v>0.3232830812365477</c:v>
                </c:pt>
                <c:pt idx="6">
                  <c:v>0.22838629909960437</c:v>
                </c:pt>
                <c:pt idx="7">
                  <c:v>0.14742839634226584</c:v>
                </c:pt>
                <c:pt idx="8">
                  <c:v>0.96617908722058854</c:v>
                </c:pt>
                <c:pt idx="9">
                  <c:v>0.88648949158092072</c:v>
                </c:pt>
                <c:pt idx="10">
                  <c:v>0.78638826329230516</c:v>
                </c:pt>
                <c:pt idx="11">
                  <c:v>0.66780323789253915</c:v>
                </c:pt>
                <c:pt idx="12">
                  <c:v>0.47933460134502287</c:v>
                </c:pt>
                <c:pt idx="13">
                  <c:v>0.32232837290945737</c:v>
                </c:pt>
                <c:pt idx="14">
                  <c:v>0.22687642188847831</c:v>
                </c:pt>
                <c:pt idx="15">
                  <c:v>0.14602530597999819</c:v>
                </c:pt>
                <c:pt idx="16">
                  <c:v>0.95547957426572383</c:v>
                </c:pt>
                <c:pt idx="17">
                  <c:v>0.876869099889245</c:v>
                </c:pt>
                <c:pt idx="18">
                  <c:v>0.77459035630829698</c:v>
                </c:pt>
                <c:pt idx="19">
                  <c:v>0.66258127697786784</c:v>
                </c:pt>
                <c:pt idx="20">
                  <c:v>0.47817982331875941</c:v>
                </c:pt>
                <c:pt idx="21">
                  <c:v>0.32146985469634293</c:v>
                </c:pt>
                <c:pt idx="22">
                  <c:v>0.22575434871038458</c:v>
                </c:pt>
                <c:pt idx="23">
                  <c:v>0.1450914250629898</c:v>
                </c:pt>
                <c:pt idx="24">
                  <c:v>0.87197486291631587</c:v>
                </c:pt>
                <c:pt idx="25">
                  <c:v>0.82533896973889365</c:v>
                </c:pt>
                <c:pt idx="26">
                  <c:v>0.74401646950701517</c:v>
                </c:pt>
                <c:pt idx="27">
                  <c:v>0.65065760359749558</c:v>
                </c:pt>
                <c:pt idx="28">
                  <c:v>0.47552082451275196</c:v>
                </c:pt>
                <c:pt idx="29">
                  <c:v>0.3202965262797931</c:v>
                </c:pt>
                <c:pt idx="30">
                  <c:v>0.2242150266206249</c:v>
                </c:pt>
                <c:pt idx="31">
                  <c:v>0.14375248351889267</c:v>
                </c:pt>
                <c:pt idx="32">
                  <c:v>0.84214820630849885</c:v>
                </c:pt>
                <c:pt idx="33">
                  <c:v>0.77127311884635952</c:v>
                </c:pt>
                <c:pt idx="34">
                  <c:v>0.68685998899150003</c:v>
                </c:pt>
                <c:pt idx="35">
                  <c:v>0.61999183894186261</c:v>
                </c:pt>
                <c:pt idx="36">
                  <c:v>0.46991000009878514</c:v>
                </c:pt>
                <c:pt idx="37">
                  <c:v>0.3194089494099942</c:v>
                </c:pt>
                <c:pt idx="38">
                  <c:v>0.22313710543899543</c:v>
                </c:pt>
                <c:pt idx="39">
                  <c:v>0.14281190599303636</c:v>
                </c:pt>
                <c:pt idx="40">
                  <c:v>0.83429001933191183</c:v>
                </c:pt>
                <c:pt idx="41">
                  <c:v>0.75035708660069422</c:v>
                </c:pt>
                <c:pt idx="42">
                  <c:v>0.6532754165518635</c:v>
                </c:pt>
                <c:pt idx="43">
                  <c:v>0.59244179267847674</c:v>
                </c:pt>
                <c:pt idx="44">
                  <c:v>0.45841808535268447</c:v>
                </c:pt>
                <c:pt idx="45">
                  <c:v>0.31797980649286534</c:v>
                </c:pt>
                <c:pt idx="46">
                  <c:v>0.22225528700252004</c:v>
                </c:pt>
                <c:pt idx="47">
                  <c:v>0.14210806849162533</c:v>
                </c:pt>
                <c:pt idx="48">
                  <c:v>0.96768077738131708</c:v>
                </c:pt>
                <c:pt idx="49">
                  <c:v>0.84603944490528948</c:v>
                </c:pt>
                <c:pt idx="50">
                  <c:v>0.72280182450005703</c:v>
                </c:pt>
                <c:pt idx="51">
                  <c:v>0.63836878910057748</c:v>
                </c:pt>
                <c:pt idx="52">
                  <c:v>0.47013115112568854</c:v>
                </c:pt>
                <c:pt idx="53">
                  <c:v>0.31769962002314373</c:v>
                </c:pt>
                <c:pt idx="54">
                  <c:v>0.22129339261482678</c:v>
                </c:pt>
                <c:pt idx="55">
                  <c:v>0.14138838993390715</c:v>
                </c:pt>
                <c:pt idx="56">
                  <c:v>0.94591423108621175</c:v>
                </c:pt>
                <c:pt idx="57">
                  <c:v>0.83793521887825884</c:v>
                </c:pt>
                <c:pt idx="58">
                  <c:v>0.7180030639493763</c:v>
                </c:pt>
                <c:pt idx="59">
                  <c:v>0.63049628526181056</c:v>
                </c:pt>
                <c:pt idx="60">
                  <c:v>0.46630732030661948</c:v>
                </c:pt>
                <c:pt idx="61">
                  <c:v>0.31674828445822606</c:v>
                </c:pt>
                <c:pt idx="62">
                  <c:v>0.22084685837111298</c:v>
                </c:pt>
                <c:pt idx="63">
                  <c:v>0.14114244197977477</c:v>
                </c:pt>
                <c:pt idx="64">
                  <c:v>0.8987697578534749</c:v>
                </c:pt>
                <c:pt idx="65">
                  <c:v>0.81418255337284462</c:v>
                </c:pt>
                <c:pt idx="66">
                  <c:v>0.70889867775684001</c:v>
                </c:pt>
                <c:pt idx="67">
                  <c:v>0.62107370724962374</c:v>
                </c:pt>
                <c:pt idx="68">
                  <c:v>0.46174862878572814</c:v>
                </c:pt>
                <c:pt idx="69">
                  <c:v>0.31540587515664947</c:v>
                </c:pt>
                <c:pt idx="70">
                  <c:v>0.2201968062739815</c:v>
                </c:pt>
                <c:pt idx="71">
                  <c:v>0.14078706188573706</c:v>
                </c:pt>
                <c:pt idx="72">
                  <c:v>0.76882393621245448</c:v>
                </c:pt>
                <c:pt idx="73">
                  <c:v>0.71930080268573648</c:v>
                </c:pt>
                <c:pt idx="74">
                  <c:v>0.6547952292060002</c:v>
                </c:pt>
                <c:pt idx="75">
                  <c:v>0.58142668121190033</c:v>
                </c:pt>
                <c:pt idx="76">
                  <c:v>0.44314884566709856</c:v>
                </c:pt>
                <c:pt idx="77">
                  <c:v>0.30953478216528746</c:v>
                </c:pt>
                <c:pt idx="78">
                  <c:v>0.21754338055644534</c:v>
                </c:pt>
                <c:pt idx="79">
                  <c:v>0.13938816042524188</c:v>
                </c:pt>
                <c:pt idx="80">
                  <c:v>0.63591515487458539</c:v>
                </c:pt>
                <c:pt idx="81">
                  <c:v>0.58317844083225578</c:v>
                </c:pt>
                <c:pt idx="82">
                  <c:v>0.51318542713236692</c:v>
                </c:pt>
                <c:pt idx="83">
                  <c:v>0.45622141713069797</c:v>
                </c:pt>
                <c:pt idx="84">
                  <c:v>0.36688458832315107</c:v>
                </c:pt>
                <c:pt idx="85">
                  <c:v>0.27427346812951198</c:v>
                </c:pt>
                <c:pt idx="86">
                  <c:v>0.20223235234045558</c:v>
                </c:pt>
                <c:pt idx="87">
                  <c:v>0.13235910547456078</c:v>
                </c:pt>
                <c:pt idx="88">
                  <c:v>0.55556600283484436</c:v>
                </c:pt>
                <c:pt idx="89">
                  <c:v>0.511589224860314</c:v>
                </c:pt>
                <c:pt idx="90">
                  <c:v>0.42883440785018712</c:v>
                </c:pt>
                <c:pt idx="91">
                  <c:v>0.35783579519435199</c:v>
                </c:pt>
                <c:pt idx="92">
                  <c:v>0.27631958779302651</c:v>
                </c:pt>
                <c:pt idx="93">
                  <c:v>0.20902520869531482</c:v>
                </c:pt>
                <c:pt idx="94">
                  <c:v>0.15977238092246965</c:v>
                </c:pt>
                <c:pt idx="95">
                  <c:v>0.10987337444075379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1-4511-9870-CE180752F852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  <c:pt idx="8">
                  <c:v>0.95927547923794909</c:v>
                </c:pt>
                <c:pt idx="9">
                  <c:v>0.8771329564597492</c:v>
                </c:pt>
                <c:pt idx="10">
                  <c:v>0.77231011039200015</c:v>
                </c:pt>
                <c:pt idx="11">
                  <c:v>0.65374352845270578</c:v>
                </c:pt>
                <c:pt idx="12">
                  <c:v>0.47082804997521166</c:v>
                </c:pt>
                <c:pt idx="13">
                  <c:v>0.31776363592707213</c:v>
                </c:pt>
                <c:pt idx="14">
                  <c:v>0.22411075786748946</c:v>
                </c:pt>
                <c:pt idx="15">
                  <c:v>0.14447434652837393</c:v>
                </c:pt>
                <c:pt idx="16">
                  <c:v>0.94478617244871221</c:v>
                </c:pt>
                <c:pt idx="17">
                  <c:v>0.86552630376362349</c:v>
                </c:pt>
                <c:pt idx="18">
                  <c:v>0.75803290457829386</c:v>
                </c:pt>
                <c:pt idx="19">
                  <c:v>0.64768130537274193</c:v>
                </c:pt>
                <c:pt idx="20">
                  <c:v>0.4694650758585065</c:v>
                </c:pt>
                <c:pt idx="21">
                  <c:v>0.31695844401916351</c:v>
                </c:pt>
                <c:pt idx="22">
                  <c:v>0.22296363934092039</c:v>
                </c:pt>
                <c:pt idx="23">
                  <c:v>0.14347398502436942</c:v>
                </c:pt>
                <c:pt idx="24">
                  <c:v>0.87961794557236572</c:v>
                </c:pt>
                <c:pt idx="25">
                  <c:v>0.81979736891040977</c:v>
                </c:pt>
                <c:pt idx="26">
                  <c:v>0.72974523092561139</c:v>
                </c:pt>
                <c:pt idx="27">
                  <c:v>0.6370464434807882</c:v>
                </c:pt>
                <c:pt idx="28">
                  <c:v>0.46737145089803844</c:v>
                </c:pt>
                <c:pt idx="29">
                  <c:v>0.31615463541360556</c:v>
                </c:pt>
                <c:pt idx="30">
                  <c:v>0.22181120576289773</c:v>
                </c:pt>
                <c:pt idx="31">
                  <c:v>0.14244687122578295</c:v>
                </c:pt>
                <c:pt idx="32">
                  <c:v>0.8524742971247018</c:v>
                </c:pt>
                <c:pt idx="33">
                  <c:v>0.77316308840647741</c:v>
                </c:pt>
                <c:pt idx="34">
                  <c:v>0.67903260501023066</c:v>
                </c:pt>
                <c:pt idx="35">
                  <c:v>0.60941981529457911</c:v>
                </c:pt>
                <c:pt idx="36">
                  <c:v>0.46193430096107835</c:v>
                </c:pt>
                <c:pt idx="37">
                  <c:v>0.31550869511762986</c:v>
                </c:pt>
                <c:pt idx="38">
                  <c:v>0.2209539755226613</c:v>
                </c:pt>
                <c:pt idx="39">
                  <c:v>0.1416682518939576</c:v>
                </c:pt>
                <c:pt idx="40">
                  <c:v>0.84412958747083766</c:v>
                </c:pt>
                <c:pt idx="41">
                  <c:v>0.75623074377465371</c:v>
                </c:pt>
                <c:pt idx="42">
                  <c:v>0.65193715675825936</c:v>
                </c:pt>
                <c:pt idx="43">
                  <c:v>0.58785447822203862</c:v>
                </c:pt>
                <c:pt idx="44">
                  <c:v>0.4528154361035191</c:v>
                </c:pt>
                <c:pt idx="45">
                  <c:v>0.31431371325571988</c:v>
                </c:pt>
                <c:pt idx="46">
                  <c:v>0.22024338028910667</c:v>
                </c:pt>
                <c:pt idx="47">
                  <c:v>0.14110190005818943</c:v>
                </c:pt>
                <c:pt idx="48">
                  <c:v>0.95636836900528988</c:v>
                </c:pt>
                <c:pt idx="49">
                  <c:v>0.84143531393989879</c:v>
                </c:pt>
                <c:pt idx="50">
                  <c:v>0.71604117338011763</c:v>
                </c:pt>
                <c:pt idx="51">
                  <c:v>0.6277604900244822</c:v>
                </c:pt>
                <c:pt idx="52">
                  <c:v>0.46293844650471278</c:v>
                </c:pt>
                <c:pt idx="53">
                  <c:v>0.31406046461196097</c:v>
                </c:pt>
                <c:pt idx="54">
                  <c:v>0.21949991842643002</c:v>
                </c:pt>
                <c:pt idx="55">
                  <c:v>0.14058979895530202</c:v>
                </c:pt>
                <c:pt idx="56">
                  <c:v>0.94010269793559587</c:v>
                </c:pt>
                <c:pt idx="57">
                  <c:v>0.83278232187507362</c:v>
                </c:pt>
                <c:pt idx="58">
                  <c:v>0.71088021637314225</c:v>
                </c:pt>
                <c:pt idx="59">
                  <c:v>0.61961028111055483</c:v>
                </c:pt>
                <c:pt idx="60">
                  <c:v>0.45860976153522504</c:v>
                </c:pt>
                <c:pt idx="61">
                  <c:v>0.3127654075370499</c:v>
                </c:pt>
                <c:pt idx="62">
                  <c:v>0.21885884048954646</c:v>
                </c:pt>
                <c:pt idx="63">
                  <c:v>0.14023469096031249</c:v>
                </c:pt>
                <c:pt idx="64">
                  <c:v>0.89148357187529759</c:v>
                </c:pt>
                <c:pt idx="65">
                  <c:v>0.80810408362107533</c:v>
                </c:pt>
                <c:pt idx="66">
                  <c:v>0.70095252080710058</c:v>
                </c:pt>
                <c:pt idx="67">
                  <c:v>0.60937078600581429</c:v>
                </c:pt>
                <c:pt idx="68">
                  <c:v>0.4534052482143105</c:v>
                </c:pt>
                <c:pt idx="69">
                  <c:v>0.31103986169254466</c:v>
                </c:pt>
                <c:pt idx="70">
                  <c:v>0.21799229099353098</c:v>
                </c:pt>
                <c:pt idx="71">
                  <c:v>0.13976468437027434</c:v>
                </c:pt>
                <c:pt idx="72">
                  <c:v>0.76590020587482521</c:v>
                </c:pt>
                <c:pt idx="73">
                  <c:v>0.71396906653938164</c:v>
                </c:pt>
                <c:pt idx="74">
                  <c:v>0.64570693732215789</c:v>
                </c:pt>
                <c:pt idx="75">
                  <c:v>0.56846073108465445</c:v>
                </c:pt>
                <c:pt idx="76">
                  <c:v>0.433230104926558</c:v>
                </c:pt>
                <c:pt idx="77">
                  <c:v>0.30408028352934829</c:v>
                </c:pt>
                <c:pt idx="78">
                  <c:v>0.21467334678782057</c:v>
                </c:pt>
                <c:pt idx="79">
                  <c:v>0.13802867358225332</c:v>
                </c:pt>
                <c:pt idx="80">
                  <c:v>0.63725462842268221</c:v>
                </c:pt>
                <c:pt idx="81">
                  <c:v>0.58350457565958491</c:v>
                </c:pt>
                <c:pt idx="82">
                  <c:v>0.51249205871494385</c:v>
                </c:pt>
                <c:pt idx="83">
                  <c:v>0.45163764551246238</c:v>
                </c:pt>
                <c:pt idx="84">
                  <c:v>0.36073801282792956</c:v>
                </c:pt>
                <c:pt idx="85">
                  <c:v>0.26944188351214443</c:v>
                </c:pt>
                <c:pt idx="86">
                  <c:v>0.19834896071105723</c:v>
                </c:pt>
                <c:pt idx="87">
                  <c:v>0.13023891851688174</c:v>
                </c:pt>
                <c:pt idx="88">
                  <c:v>0.5533814948765583</c:v>
                </c:pt>
                <c:pt idx="89">
                  <c:v>0.50911544182318935</c:v>
                </c:pt>
                <c:pt idx="90">
                  <c:v>0.42742525837736906</c:v>
                </c:pt>
                <c:pt idx="91">
                  <c:v>0.35458900030024287</c:v>
                </c:pt>
                <c:pt idx="92">
                  <c:v>0.27312885607260023</c:v>
                </c:pt>
                <c:pt idx="93">
                  <c:v>0.20601338415427406</c:v>
                </c:pt>
                <c:pt idx="94">
                  <c:v>0.15665776445952059</c:v>
                </c:pt>
                <c:pt idx="95">
                  <c:v>0.10747649779219498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1-4511-9870-CE180752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Only'!$AJ$6:$AJ$293</c:f>
              <c:numCache>
                <c:formatCode>0.00</c:formatCode>
                <c:ptCount val="28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  <c:pt idx="275">
                  <c:v>0.996684221353626</c:v>
                </c:pt>
                <c:pt idx="276">
                  <c:v>1.319893560855026</c:v>
                </c:pt>
                <c:pt idx="277">
                  <c:v>1.6538625211345108</c:v>
                </c:pt>
                <c:pt idx="278">
                  <c:v>1.9784724917442247</c:v>
                </c:pt>
                <c:pt idx="279">
                  <c:v>2.4708513230146343</c:v>
                </c:pt>
                <c:pt idx="280">
                  <c:v>0.32497305605842575</c:v>
                </c:pt>
                <c:pt idx="281">
                  <c:v>0.5088492829533886</c:v>
                </c:pt>
                <c:pt idx="282">
                  <c:v>0.75105398508946919</c:v>
                </c:pt>
                <c:pt idx="283">
                  <c:v>0.99375241103514267</c:v>
                </c:pt>
                <c:pt idx="284">
                  <c:v>1.3159432493904302</c:v>
                </c:pt>
                <c:pt idx="285">
                  <c:v>1.6489053985654751</c:v>
                </c:pt>
                <c:pt idx="286">
                  <c:v>1.9725492990945419</c:v>
                </c:pt>
                <c:pt idx="287">
                  <c:v>2.4634766304028339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  <c:pt idx="96">
                  <c:v>1.0342561228675173</c:v>
                </c:pt>
                <c:pt idx="97">
                  <c:v>0.97112411863602754</c:v>
                </c:pt>
                <c:pt idx="98">
                  <c:v>0.77641714242138793</c:v>
                </c:pt>
                <c:pt idx="99">
                  <c:v>0.64329076239163363</c:v>
                </c:pt>
                <c:pt idx="100">
                  <c:v>0.47177605894865532</c:v>
                </c:pt>
                <c:pt idx="101">
                  <c:v>0.31844779558636532</c:v>
                </c:pt>
                <c:pt idx="102">
                  <c:v>0.21703588858337444</c:v>
                </c:pt>
                <c:pt idx="103">
                  <c:v>0.13551845436494306</c:v>
                </c:pt>
                <c:pt idx="104">
                  <c:v>1.0430050345373978</c:v>
                </c:pt>
                <c:pt idx="105">
                  <c:v>0.96122457110158099</c:v>
                </c:pt>
                <c:pt idx="106">
                  <c:v>0.76522125627441562</c:v>
                </c:pt>
                <c:pt idx="107">
                  <c:v>0.64194711842614227</c:v>
                </c:pt>
                <c:pt idx="108">
                  <c:v>0.47300217167198</c:v>
                </c:pt>
                <c:pt idx="109">
                  <c:v>0.32015751910484086</c:v>
                </c:pt>
                <c:pt idx="110">
                  <c:v>0.21880934610468344</c:v>
                </c:pt>
                <c:pt idx="111">
                  <c:v>0.13724092339823712</c:v>
                </c:pt>
                <c:pt idx="112">
                  <c:v>1.0464735744070213</c:v>
                </c:pt>
                <c:pt idx="113">
                  <c:v>0.95247034978361766</c:v>
                </c:pt>
                <c:pt idx="114">
                  <c:v>0.75832494066121614</c:v>
                </c:pt>
                <c:pt idx="115">
                  <c:v>0.64136759626135853</c:v>
                </c:pt>
                <c:pt idx="116">
                  <c:v>0.47372175964547708</c:v>
                </c:pt>
                <c:pt idx="117">
                  <c:v>0.32063612950995346</c:v>
                </c:pt>
                <c:pt idx="118">
                  <c:v>0.21948796240643015</c:v>
                </c:pt>
                <c:pt idx="119">
                  <c:v>0.13791582147034726</c:v>
                </c:pt>
                <c:pt idx="120">
                  <c:v>1.0501815110758572</c:v>
                </c:pt>
                <c:pt idx="121">
                  <c:v>0.93315635092060634</c:v>
                </c:pt>
                <c:pt idx="122">
                  <c:v>0.74708768451375263</c:v>
                </c:pt>
                <c:pt idx="123">
                  <c:v>0.64129094622961635</c:v>
                </c:pt>
                <c:pt idx="124">
                  <c:v>0.47527514681913197</c:v>
                </c:pt>
                <c:pt idx="125">
                  <c:v>0.32145121735813253</c:v>
                </c:pt>
                <c:pt idx="126">
                  <c:v>0.22063122022846759</c:v>
                </c:pt>
                <c:pt idx="127">
                  <c:v>0.13890496794901122</c:v>
                </c:pt>
                <c:pt idx="128">
                  <c:v>1.0508303235893854</c:v>
                </c:pt>
                <c:pt idx="129">
                  <c:v>0.92151291058284557</c:v>
                </c:pt>
                <c:pt idx="130">
                  <c:v>0.73725695324548057</c:v>
                </c:pt>
                <c:pt idx="131">
                  <c:v>0.64167052526860724</c:v>
                </c:pt>
                <c:pt idx="132">
                  <c:v>0.47651172451092111</c:v>
                </c:pt>
                <c:pt idx="133">
                  <c:v>0.32204665704309271</c:v>
                </c:pt>
                <c:pt idx="134">
                  <c:v>0.2215232069598497</c:v>
                </c:pt>
                <c:pt idx="135">
                  <c:v>0.13961224759109089</c:v>
                </c:pt>
                <c:pt idx="136">
                  <c:v>1.0491400605201944</c:v>
                </c:pt>
                <c:pt idx="137">
                  <c:v>0.91315176456013381</c:v>
                </c:pt>
                <c:pt idx="138">
                  <c:v>0.72912524002809043</c:v>
                </c:pt>
                <c:pt idx="139">
                  <c:v>0.64209403393041364</c:v>
                </c:pt>
                <c:pt idx="140">
                  <c:v>0.47719076863611143</c:v>
                </c:pt>
                <c:pt idx="141">
                  <c:v>0.32235343053849291</c:v>
                </c:pt>
                <c:pt idx="142">
                  <c:v>0.22206046985182673</c:v>
                </c:pt>
                <c:pt idx="143">
                  <c:v>0.14008731708452532</c:v>
                </c:pt>
                <c:pt idx="144">
                  <c:v>1.0373737966508072</c:v>
                </c:pt>
                <c:pt idx="145">
                  <c:v>0.89757181492528182</c:v>
                </c:pt>
                <c:pt idx="146">
                  <c:v>0.72664014969127388</c:v>
                </c:pt>
                <c:pt idx="147">
                  <c:v>0.63983347104147981</c:v>
                </c:pt>
                <c:pt idx="148">
                  <c:v>0.47514263574619214</c:v>
                </c:pt>
                <c:pt idx="149">
                  <c:v>0.32150277985406228</c:v>
                </c:pt>
                <c:pt idx="150">
                  <c:v>0.22198468243400152</c:v>
                </c:pt>
                <c:pt idx="151">
                  <c:v>0.14018034427182094</c:v>
                </c:pt>
                <c:pt idx="152">
                  <c:v>1.052692807246741</c:v>
                </c:pt>
                <c:pt idx="153">
                  <c:v>0.91096067310484707</c:v>
                </c:pt>
                <c:pt idx="154">
                  <c:v>0.73616161824993753</c:v>
                </c:pt>
                <c:pt idx="155">
                  <c:v>0.64381528019984369</c:v>
                </c:pt>
                <c:pt idx="156">
                  <c:v>0.47805840680464651</c:v>
                </c:pt>
                <c:pt idx="157">
                  <c:v>0.32312976277204741</c:v>
                </c:pt>
                <c:pt idx="158">
                  <c:v>0.22303341717159339</c:v>
                </c:pt>
                <c:pt idx="159">
                  <c:v>0.14085932228438136</c:v>
                </c:pt>
                <c:pt idx="160">
                  <c:v>1.0602401138100108</c:v>
                </c:pt>
                <c:pt idx="161">
                  <c:v>0.91783542219735803</c:v>
                </c:pt>
                <c:pt idx="162">
                  <c:v>0.73913351076695888</c:v>
                </c:pt>
                <c:pt idx="163">
                  <c:v>0.64597188661141325</c:v>
                </c:pt>
                <c:pt idx="164">
                  <c:v>0.47946643056901578</c:v>
                </c:pt>
                <c:pt idx="165">
                  <c:v>0.32392993325107705</c:v>
                </c:pt>
                <c:pt idx="166">
                  <c:v>0.22356692540724152</c:v>
                </c:pt>
                <c:pt idx="167">
                  <c:v>0.14120844793845241</c:v>
                </c:pt>
                <c:pt idx="168">
                  <c:v>1.0709058813045895</c:v>
                </c:pt>
                <c:pt idx="169">
                  <c:v>0.92778806518565438</c:v>
                </c:pt>
                <c:pt idx="170">
                  <c:v>0.74888336677359191</c:v>
                </c:pt>
                <c:pt idx="171">
                  <c:v>0.64970763025475764</c:v>
                </c:pt>
                <c:pt idx="172">
                  <c:v>0.48188069188911942</c:v>
                </c:pt>
                <c:pt idx="173">
                  <c:v>0.32530234305870798</c:v>
                </c:pt>
                <c:pt idx="174">
                  <c:v>0.22476275911281812</c:v>
                </c:pt>
                <c:pt idx="175">
                  <c:v>0.14222069741048743</c:v>
                </c:pt>
                <c:pt idx="176">
                  <c:v>1.0827793318677359</c:v>
                </c:pt>
                <c:pt idx="177">
                  <c:v>0.93999740040149626</c:v>
                </c:pt>
                <c:pt idx="178">
                  <c:v>0.75847091346817441</c:v>
                </c:pt>
                <c:pt idx="179">
                  <c:v>0.65505472765898354</c:v>
                </c:pt>
                <c:pt idx="180">
                  <c:v>0.48498533439690605</c:v>
                </c:pt>
                <c:pt idx="181">
                  <c:v>0.3272587934960538</c:v>
                </c:pt>
                <c:pt idx="182">
                  <c:v>0.22628952874651626</c:v>
                </c:pt>
                <c:pt idx="183">
                  <c:v>0.14355833865005313</c:v>
                </c:pt>
                <c:pt idx="184">
                  <c:v>1.0945120392511181</c:v>
                </c:pt>
                <c:pt idx="185">
                  <c:v>0.95013614629140053</c:v>
                </c:pt>
                <c:pt idx="186">
                  <c:v>0.76669364856205557</c:v>
                </c:pt>
                <c:pt idx="187">
                  <c:v>0.66056752543678032</c:v>
                </c:pt>
                <c:pt idx="188">
                  <c:v>0.48838156464439203</c:v>
                </c:pt>
                <c:pt idx="189">
                  <c:v>0.32930021213463773</c:v>
                </c:pt>
                <c:pt idx="190">
                  <c:v>0.2278226296861105</c:v>
                </c:pt>
                <c:pt idx="191">
                  <c:v>0.14488034863165641</c:v>
                </c:pt>
                <c:pt idx="192">
                  <c:v>1.0278495397304894</c:v>
                </c:pt>
                <c:pt idx="193">
                  <c:v>0.95349032107375142</c:v>
                </c:pt>
                <c:pt idx="194">
                  <c:v>0.76564567703417596</c:v>
                </c:pt>
                <c:pt idx="195">
                  <c:v>0.63197316835115258</c:v>
                </c:pt>
                <c:pt idx="196">
                  <c:v>0.46369295258593263</c:v>
                </c:pt>
                <c:pt idx="197">
                  <c:v>0.31388784818849391</c:v>
                </c:pt>
                <c:pt idx="198">
                  <c:v>0.21450469997867838</c:v>
                </c:pt>
                <c:pt idx="199">
                  <c:v>0.13478710492539284</c:v>
                </c:pt>
                <c:pt idx="200">
                  <c:v>1.0349399542058766</c:v>
                </c:pt>
                <c:pt idx="201">
                  <c:v>0.93943244401445813</c:v>
                </c:pt>
                <c:pt idx="202">
                  <c:v>0.75309799081917272</c:v>
                </c:pt>
                <c:pt idx="203">
                  <c:v>0.62989425595362591</c:v>
                </c:pt>
                <c:pt idx="204">
                  <c:v>0.46430990293817687</c:v>
                </c:pt>
                <c:pt idx="205">
                  <c:v>0.31506589939862262</c:v>
                </c:pt>
                <c:pt idx="206">
                  <c:v>0.21622069891515375</c:v>
                </c:pt>
                <c:pt idx="207">
                  <c:v>0.13613670483509133</c:v>
                </c:pt>
                <c:pt idx="208">
                  <c:v>1.0384845694776474</c:v>
                </c:pt>
                <c:pt idx="209">
                  <c:v>0.92622337420250556</c:v>
                </c:pt>
                <c:pt idx="210">
                  <c:v>0.74498113642165154</c:v>
                </c:pt>
                <c:pt idx="211">
                  <c:v>0.62940600700094462</c:v>
                </c:pt>
                <c:pt idx="212">
                  <c:v>0.46541017183236666</c:v>
                </c:pt>
                <c:pt idx="213">
                  <c:v>0.3158594590403121</c:v>
                </c:pt>
                <c:pt idx="214">
                  <c:v>0.21732011309476224</c:v>
                </c:pt>
                <c:pt idx="215">
                  <c:v>0.13693312902948671</c:v>
                </c:pt>
                <c:pt idx="216">
                  <c:v>1.0401521182681595</c:v>
                </c:pt>
                <c:pt idx="217">
                  <c:v>0.90012546458063891</c:v>
                </c:pt>
                <c:pt idx="218">
                  <c:v>0.73490382196519699</c:v>
                </c:pt>
                <c:pt idx="219">
                  <c:v>0.6294781863608494</c:v>
                </c:pt>
                <c:pt idx="220">
                  <c:v>0.46695256425095027</c:v>
                </c:pt>
                <c:pt idx="221">
                  <c:v>0.31683259602557429</c:v>
                </c:pt>
                <c:pt idx="222">
                  <c:v>0.21847320950179702</c:v>
                </c:pt>
                <c:pt idx="223">
                  <c:v>0.13780962507666408</c:v>
                </c:pt>
                <c:pt idx="224">
                  <c:v>1.0394518925535841</c:v>
                </c:pt>
                <c:pt idx="225">
                  <c:v>0.89209824652194047</c:v>
                </c:pt>
                <c:pt idx="226">
                  <c:v>0.72591609464594531</c:v>
                </c:pt>
                <c:pt idx="227">
                  <c:v>0.62996911893039886</c:v>
                </c:pt>
                <c:pt idx="228">
                  <c:v>0.46817202849470868</c:v>
                </c:pt>
                <c:pt idx="229">
                  <c:v>0.31759420986378423</c:v>
                </c:pt>
                <c:pt idx="230">
                  <c:v>0.21932919165605053</c:v>
                </c:pt>
                <c:pt idx="231">
                  <c:v>0.13848031759419263</c:v>
                </c:pt>
                <c:pt idx="232">
                  <c:v>1.0368070172849957</c:v>
                </c:pt>
                <c:pt idx="233">
                  <c:v>0.88581416696088411</c:v>
                </c:pt>
                <c:pt idx="234">
                  <c:v>0.7187784351189529</c:v>
                </c:pt>
                <c:pt idx="235">
                  <c:v>0.63039124723948359</c:v>
                </c:pt>
                <c:pt idx="236">
                  <c:v>0.46897721407136911</c:v>
                </c:pt>
                <c:pt idx="237">
                  <c:v>0.31799573593096814</c:v>
                </c:pt>
                <c:pt idx="238">
                  <c:v>0.21983671558733181</c:v>
                </c:pt>
                <c:pt idx="239">
                  <c:v>0.13890558200452324</c:v>
                </c:pt>
                <c:pt idx="240">
                  <c:v>1.0306984270344468</c:v>
                </c:pt>
                <c:pt idx="241">
                  <c:v>0.89259958871547285</c:v>
                </c:pt>
                <c:pt idx="242">
                  <c:v>0.71231104270957135</c:v>
                </c:pt>
                <c:pt idx="243">
                  <c:v>0.62955619816959352</c:v>
                </c:pt>
                <c:pt idx="244">
                  <c:v>0.46814615704069201</c:v>
                </c:pt>
                <c:pt idx="245">
                  <c:v>0.31777874125261935</c:v>
                </c:pt>
                <c:pt idx="246">
                  <c:v>0.22003024833538348</c:v>
                </c:pt>
                <c:pt idx="247">
                  <c:v>0.13910061592530087</c:v>
                </c:pt>
                <c:pt idx="248">
                  <c:v>1.0454576271979752</c:v>
                </c:pt>
                <c:pt idx="249">
                  <c:v>0.9051172434789837</c:v>
                </c:pt>
                <c:pt idx="250">
                  <c:v>0.71920430404312896</c:v>
                </c:pt>
                <c:pt idx="251">
                  <c:v>0.63310737889110569</c:v>
                </c:pt>
                <c:pt idx="252">
                  <c:v>0.47072855197583785</c:v>
                </c:pt>
                <c:pt idx="253">
                  <c:v>0.31923789684563336</c:v>
                </c:pt>
                <c:pt idx="254">
                  <c:v>0.22096067231417854</c:v>
                </c:pt>
                <c:pt idx="255">
                  <c:v>0.13970758415981646</c:v>
                </c:pt>
                <c:pt idx="256">
                  <c:v>1.053288599352685</c:v>
                </c:pt>
                <c:pt idx="257">
                  <c:v>0.91194433021190213</c:v>
                </c:pt>
                <c:pt idx="258">
                  <c:v>0.72044057568973163</c:v>
                </c:pt>
                <c:pt idx="259">
                  <c:v>0.63527557974415028</c:v>
                </c:pt>
                <c:pt idx="260">
                  <c:v>0.47210608972841256</c:v>
                </c:pt>
                <c:pt idx="261">
                  <c:v>0.32006335593959662</c:v>
                </c:pt>
                <c:pt idx="262">
                  <c:v>0.22151658610488908</c:v>
                </c:pt>
                <c:pt idx="263">
                  <c:v>0.14006719641792192</c:v>
                </c:pt>
                <c:pt idx="264">
                  <c:v>1.0649118764913132</c:v>
                </c:pt>
                <c:pt idx="265">
                  <c:v>0.92250297033307327</c:v>
                </c:pt>
                <c:pt idx="266">
                  <c:v>0.73064844519795458</c:v>
                </c:pt>
                <c:pt idx="267">
                  <c:v>0.63910264669890404</c:v>
                </c:pt>
                <c:pt idx="268">
                  <c:v>0.47441278526592945</c:v>
                </c:pt>
                <c:pt idx="269">
                  <c:v>0.32147360946721149</c:v>
                </c:pt>
                <c:pt idx="270">
                  <c:v>0.22293994669292644</c:v>
                </c:pt>
                <c:pt idx="271">
                  <c:v>0.14121680135942624</c:v>
                </c:pt>
                <c:pt idx="272">
                  <c:v>1.0770212055268493</c:v>
                </c:pt>
                <c:pt idx="273">
                  <c:v>0.93410870660293366</c:v>
                </c:pt>
                <c:pt idx="274">
                  <c:v>0.73984920662510834</c:v>
                </c:pt>
                <c:pt idx="275">
                  <c:v>0.64421778557840015</c:v>
                </c:pt>
                <c:pt idx="276">
                  <c:v>0.47748191570466308</c:v>
                </c:pt>
                <c:pt idx="277">
                  <c:v>0.32338933967916061</c:v>
                </c:pt>
                <c:pt idx="278">
                  <c:v>0.22440157212238021</c:v>
                </c:pt>
                <c:pt idx="279">
                  <c:v>0.14270551471333229</c:v>
                </c:pt>
                <c:pt idx="280">
                  <c:v>1.0867006329976439</c:v>
                </c:pt>
                <c:pt idx="281">
                  <c:v>0.94421176025296727</c:v>
                </c:pt>
                <c:pt idx="282">
                  <c:v>0.74887332369404225</c:v>
                </c:pt>
                <c:pt idx="283">
                  <c:v>0.64977325946735742</c:v>
                </c:pt>
                <c:pt idx="284">
                  <c:v>0.48087824825304271</c:v>
                </c:pt>
                <c:pt idx="285">
                  <c:v>0.32552504804908489</c:v>
                </c:pt>
                <c:pt idx="286">
                  <c:v>0.22599402732963558</c:v>
                </c:pt>
                <c:pt idx="28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F-42E1-9435-55E2E9DE1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Only'!$AJ$54:$AJ$101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Only'!$AK$54:$AK$101</c:f>
              <c:numCache>
                <c:formatCode>General</c:formatCode>
                <c:ptCount val="48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7-451F-AB16-DC9CA2B34DD9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  <c:extLst xmlns:c15="http://schemas.microsoft.com/office/drawing/2012/chart"/>
            </c:numRef>
          </c:xVal>
          <c:yVal>
            <c:numRef>
              <c:f>'Global Only'!$AK$6:$AK$53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B5E-49F7-AF28-F51AB0F521B4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Only'!$AJ$102:$AJ$149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Only'!$AK$102:$AK$149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F-4624-8441-98638F5D3887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Only'!$AJ$150:$AJ$197</c:f>
              <c:numCache>
                <c:formatCode>0.00</c:formatCode>
                <c:ptCount val="48"/>
                <c:pt idx="0">
                  <c:v>0.3394836199677923</c:v>
                </c:pt>
                <c:pt idx="1">
                  <c:v>0.52213673169121644</c:v>
                </c:pt>
                <c:pt idx="2">
                  <c:v>0.76152477313490263</c:v>
                </c:pt>
                <c:pt idx="3">
                  <c:v>1.0077986078026393</c:v>
                </c:pt>
                <c:pt idx="4">
                  <c:v>1.3325917387352266</c:v>
                </c:pt>
                <c:pt idx="5">
                  <c:v>1.6685721301739631</c:v>
                </c:pt>
                <c:pt idx="6">
                  <c:v>1.995298203672984</c:v>
                </c:pt>
                <c:pt idx="7">
                  <c:v>2.4910595173775918</c:v>
                </c:pt>
                <c:pt idx="8">
                  <c:v>0.3379943822430444</c:v>
                </c:pt>
                <c:pt idx="9">
                  <c:v>0.52025540178971752</c:v>
                </c:pt>
                <c:pt idx="10">
                  <c:v>0.75907785244125403</c:v>
                </c:pt>
                <c:pt idx="11">
                  <c:v>1.005424083618413</c:v>
                </c:pt>
                <c:pt idx="12">
                  <c:v>1.3295951150332381</c:v>
                </c:pt>
                <c:pt idx="13">
                  <c:v>1.6649091188806759</c:v>
                </c:pt>
                <c:pt idx="14">
                  <c:v>1.9909957767822142</c:v>
                </c:pt>
                <c:pt idx="15">
                  <c:v>2.4857419168738839</c:v>
                </c:pt>
                <c:pt idx="16">
                  <c:v>0.33730122553581526</c:v>
                </c:pt>
                <c:pt idx="17">
                  <c:v>0.519373175307005</c:v>
                </c:pt>
                <c:pt idx="18">
                  <c:v>0.75789439944360204</c:v>
                </c:pt>
                <c:pt idx="19">
                  <c:v>1.0042580680140989</c:v>
                </c:pt>
                <c:pt idx="20">
                  <c:v>1.328097188311</c:v>
                </c:pt>
                <c:pt idx="21">
                  <c:v>1.6630777054149786</c:v>
                </c:pt>
                <c:pt idx="22">
                  <c:v>1.9888369214111419</c:v>
                </c:pt>
                <c:pt idx="23">
                  <c:v>2.4830594480876407</c:v>
                </c:pt>
                <c:pt idx="24">
                  <c:v>0.33626638258822239</c:v>
                </c:pt>
                <c:pt idx="25">
                  <c:v>0.51796015706479059</c:v>
                </c:pt>
                <c:pt idx="26">
                  <c:v>0.75593676547737587</c:v>
                </c:pt>
                <c:pt idx="27">
                  <c:v>1.0022588123407918</c:v>
                </c:pt>
                <c:pt idx="28">
                  <c:v>1.3255147003838914</c:v>
                </c:pt>
                <c:pt idx="29">
                  <c:v>1.6598659853686402</c:v>
                </c:pt>
                <c:pt idx="30">
                  <c:v>1.9850120992672451</c:v>
                </c:pt>
                <c:pt idx="31">
                  <c:v>2.4783369095091596</c:v>
                </c:pt>
                <c:pt idx="32">
                  <c:v>0.30385003993294407</c:v>
                </c:pt>
                <c:pt idx="33">
                  <c:v>0.51615594604593384</c:v>
                </c:pt>
                <c:pt idx="34">
                  <c:v>0.75337112316390009</c:v>
                </c:pt>
                <c:pt idx="35">
                  <c:v>0.99946550922426292</c:v>
                </c:pt>
                <c:pt idx="36">
                  <c:v>1.3218603090413346</c:v>
                </c:pt>
                <c:pt idx="37">
                  <c:v>1.6552924569813499</c:v>
                </c:pt>
                <c:pt idx="38">
                  <c:v>1.9795851657045125</c:v>
                </c:pt>
                <c:pt idx="39">
                  <c:v>2.4716106054094023</c:v>
                </c:pt>
                <c:pt idx="40">
                  <c:v>0.30134414270188614</c:v>
                </c:pt>
                <c:pt idx="41">
                  <c:v>0.51443666005993438</c:v>
                </c:pt>
                <c:pt idx="42">
                  <c:v>0.75092446922439027</c:v>
                </c:pt>
                <c:pt idx="43">
                  <c:v>0.99656294694919034</c:v>
                </c:pt>
                <c:pt idx="44">
                  <c:v>1.3180135948436238</c:v>
                </c:pt>
                <c:pt idx="45">
                  <c:v>1.6505633026418189</c:v>
                </c:pt>
                <c:pt idx="46">
                  <c:v>1.9738835268282688</c:v>
                </c:pt>
                <c:pt idx="47">
                  <c:v>2.4644423773291781</c:v>
                </c:pt>
              </c:numCache>
            </c:numRef>
          </c:xVal>
          <c:yVal>
            <c:numRef>
              <c:f>'Global Only'!$AK$150:$AK$197</c:f>
              <c:numCache>
                <c:formatCode>General</c:formatCode>
                <c:ptCount val="48"/>
                <c:pt idx="0">
                  <c:v>1.0373737966508072</c:v>
                </c:pt>
                <c:pt idx="1">
                  <c:v>0.89757181492528182</c:v>
                </c:pt>
                <c:pt idx="2">
                  <c:v>0.72664014969127388</c:v>
                </c:pt>
                <c:pt idx="3">
                  <c:v>0.63983347104147981</c:v>
                </c:pt>
                <c:pt idx="4">
                  <c:v>0.47514263574619214</c:v>
                </c:pt>
                <c:pt idx="5">
                  <c:v>0.32150277985406228</c:v>
                </c:pt>
                <c:pt idx="6">
                  <c:v>0.22198468243400152</c:v>
                </c:pt>
                <c:pt idx="7">
                  <c:v>0.14018034427182094</c:v>
                </c:pt>
                <c:pt idx="8">
                  <c:v>1.052692807246741</c:v>
                </c:pt>
                <c:pt idx="9">
                  <c:v>0.91096067310484707</c:v>
                </c:pt>
                <c:pt idx="10">
                  <c:v>0.73616161824993753</c:v>
                </c:pt>
                <c:pt idx="11">
                  <c:v>0.64381528019984369</c:v>
                </c:pt>
                <c:pt idx="12">
                  <c:v>0.47805840680464651</c:v>
                </c:pt>
                <c:pt idx="13">
                  <c:v>0.32312976277204741</c:v>
                </c:pt>
                <c:pt idx="14">
                  <c:v>0.22303341717159339</c:v>
                </c:pt>
                <c:pt idx="15">
                  <c:v>0.14085932228438136</c:v>
                </c:pt>
                <c:pt idx="16">
                  <c:v>1.0602401138100108</c:v>
                </c:pt>
                <c:pt idx="17">
                  <c:v>0.91783542219735803</c:v>
                </c:pt>
                <c:pt idx="18">
                  <c:v>0.73913351076695888</c:v>
                </c:pt>
                <c:pt idx="19">
                  <c:v>0.64597188661141325</c:v>
                </c:pt>
                <c:pt idx="20">
                  <c:v>0.47946643056901578</c:v>
                </c:pt>
                <c:pt idx="21">
                  <c:v>0.32392993325107705</c:v>
                </c:pt>
                <c:pt idx="22">
                  <c:v>0.22356692540724152</c:v>
                </c:pt>
                <c:pt idx="23">
                  <c:v>0.14120844793845241</c:v>
                </c:pt>
                <c:pt idx="24">
                  <c:v>1.0709058813045895</c:v>
                </c:pt>
                <c:pt idx="25">
                  <c:v>0.92778806518565438</c:v>
                </c:pt>
                <c:pt idx="26">
                  <c:v>0.74888336677359191</c:v>
                </c:pt>
                <c:pt idx="27">
                  <c:v>0.64970763025475764</c:v>
                </c:pt>
                <c:pt idx="28">
                  <c:v>0.48188069188911942</c:v>
                </c:pt>
                <c:pt idx="29">
                  <c:v>0.32530234305870798</c:v>
                </c:pt>
                <c:pt idx="30">
                  <c:v>0.22476275911281812</c:v>
                </c:pt>
                <c:pt idx="31">
                  <c:v>0.14222069741048743</c:v>
                </c:pt>
                <c:pt idx="32">
                  <c:v>1.0827793318677359</c:v>
                </c:pt>
                <c:pt idx="33">
                  <c:v>0.93999740040149626</c:v>
                </c:pt>
                <c:pt idx="34">
                  <c:v>0.75847091346817441</c:v>
                </c:pt>
                <c:pt idx="35">
                  <c:v>0.65505472765898354</c:v>
                </c:pt>
                <c:pt idx="36">
                  <c:v>0.48498533439690605</c:v>
                </c:pt>
                <c:pt idx="37">
                  <c:v>0.3272587934960538</c:v>
                </c:pt>
                <c:pt idx="38">
                  <c:v>0.22628952874651626</c:v>
                </c:pt>
                <c:pt idx="39">
                  <c:v>0.14355833865005313</c:v>
                </c:pt>
                <c:pt idx="40">
                  <c:v>1.0945120392511181</c:v>
                </c:pt>
                <c:pt idx="41">
                  <c:v>0.95013614629140053</c:v>
                </c:pt>
                <c:pt idx="42">
                  <c:v>0.76669364856205557</c:v>
                </c:pt>
                <c:pt idx="43">
                  <c:v>0.66056752543678032</c:v>
                </c:pt>
                <c:pt idx="44">
                  <c:v>0.48838156464439203</c:v>
                </c:pt>
                <c:pt idx="45">
                  <c:v>0.32930021213463773</c:v>
                </c:pt>
                <c:pt idx="46">
                  <c:v>0.2278226296861105</c:v>
                </c:pt>
                <c:pt idx="47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F-4624-8441-98638F5D3887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F-4624-8441-98638F5D3887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0F-4624-8441-98638F5D3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37-4820-AA3F-B2CE279F6A92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37-4820-AA3F-B2CE279F6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'Global Only'!$AK$198:$AK$293</c:f>
              <c:numCache>
                <c:formatCode>General</c:formatCode>
                <c:ptCount val="96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  <c:pt idx="48">
                  <c:v>1.0306984270344468</c:v>
                </c:pt>
                <c:pt idx="49">
                  <c:v>0.89259958871547285</c:v>
                </c:pt>
                <c:pt idx="50">
                  <c:v>0.71231104270957135</c:v>
                </c:pt>
                <c:pt idx="51">
                  <c:v>0.62955619816959352</c:v>
                </c:pt>
                <c:pt idx="52">
                  <c:v>0.46814615704069201</c:v>
                </c:pt>
                <c:pt idx="53">
                  <c:v>0.31777874125261935</c:v>
                </c:pt>
                <c:pt idx="54">
                  <c:v>0.22003024833538348</c:v>
                </c:pt>
                <c:pt idx="55">
                  <c:v>0.13910061592530087</c:v>
                </c:pt>
                <c:pt idx="56">
                  <c:v>1.0454576271979752</c:v>
                </c:pt>
                <c:pt idx="57">
                  <c:v>0.9051172434789837</c:v>
                </c:pt>
                <c:pt idx="58">
                  <c:v>0.71920430404312896</c:v>
                </c:pt>
                <c:pt idx="59">
                  <c:v>0.63310737889110569</c:v>
                </c:pt>
                <c:pt idx="60">
                  <c:v>0.47072855197583785</c:v>
                </c:pt>
                <c:pt idx="61">
                  <c:v>0.31923789684563336</c:v>
                </c:pt>
                <c:pt idx="62">
                  <c:v>0.22096067231417854</c:v>
                </c:pt>
                <c:pt idx="63">
                  <c:v>0.13970758415981646</c:v>
                </c:pt>
                <c:pt idx="64">
                  <c:v>1.053288599352685</c:v>
                </c:pt>
                <c:pt idx="65">
                  <c:v>0.91194433021190213</c:v>
                </c:pt>
                <c:pt idx="66">
                  <c:v>0.72044057568973163</c:v>
                </c:pt>
                <c:pt idx="67">
                  <c:v>0.63527557974415028</c:v>
                </c:pt>
                <c:pt idx="68">
                  <c:v>0.47210608972841256</c:v>
                </c:pt>
                <c:pt idx="69">
                  <c:v>0.32006335593959662</c:v>
                </c:pt>
                <c:pt idx="70">
                  <c:v>0.22151658610488908</c:v>
                </c:pt>
                <c:pt idx="71">
                  <c:v>0.14006719641792192</c:v>
                </c:pt>
                <c:pt idx="72">
                  <c:v>1.0649118764913132</c:v>
                </c:pt>
                <c:pt idx="73">
                  <c:v>0.92250297033307327</c:v>
                </c:pt>
                <c:pt idx="74">
                  <c:v>0.73064844519795458</c:v>
                </c:pt>
                <c:pt idx="75">
                  <c:v>0.63910264669890404</c:v>
                </c:pt>
                <c:pt idx="76">
                  <c:v>0.47441278526592945</c:v>
                </c:pt>
                <c:pt idx="77">
                  <c:v>0.32147360946721149</c:v>
                </c:pt>
                <c:pt idx="78">
                  <c:v>0.22293994669292644</c:v>
                </c:pt>
                <c:pt idx="79">
                  <c:v>0.14121680135942624</c:v>
                </c:pt>
                <c:pt idx="80">
                  <c:v>1.0770212055268493</c:v>
                </c:pt>
                <c:pt idx="81">
                  <c:v>0.93410870660293366</c:v>
                </c:pt>
                <c:pt idx="82">
                  <c:v>0.73984920662510834</c:v>
                </c:pt>
                <c:pt idx="83">
                  <c:v>0.64421778557840015</c:v>
                </c:pt>
                <c:pt idx="84">
                  <c:v>0.47748191570466308</c:v>
                </c:pt>
                <c:pt idx="85">
                  <c:v>0.32338933967916061</c:v>
                </c:pt>
                <c:pt idx="86">
                  <c:v>0.22440157212238021</c:v>
                </c:pt>
                <c:pt idx="87">
                  <c:v>0.14270551471333229</c:v>
                </c:pt>
                <c:pt idx="88">
                  <c:v>1.0867006329976439</c:v>
                </c:pt>
                <c:pt idx="89">
                  <c:v>0.94421176025296727</c:v>
                </c:pt>
                <c:pt idx="90">
                  <c:v>0.74887332369404225</c:v>
                </c:pt>
                <c:pt idx="91">
                  <c:v>0.64977325946735742</c:v>
                </c:pt>
                <c:pt idx="92">
                  <c:v>0.48087824825304271</c:v>
                </c:pt>
                <c:pt idx="93">
                  <c:v>0.32552504804908489</c:v>
                </c:pt>
                <c:pt idx="94">
                  <c:v>0.22599402732963558</c:v>
                </c:pt>
                <c:pt idx="95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23-4F67-8926-08FCADC72367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23-4F67-8926-08FCADC72367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'Global Only'!$AK$6:$AK$101</c:f>
              <c:numCache>
                <c:formatCode>General</c:formatCode>
                <c:ptCount val="96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F67-8926-08FCADC72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</c:numCache>
            </c:numRef>
          </c:xVal>
          <c:yVal>
            <c:numRef>
              <c:f>'HR_Local and Global'!$AK$6:$AK$280</c:f>
              <c:numCache>
                <c:formatCode>General</c:formatCode>
                <c:ptCount val="275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  <c:pt idx="96">
                  <c:v>1.021292029847618</c:v>
                </c:pt>
                <c:pt idx="97">
                  <c:v>0.99568861311053336</c:v>
                </c:pt>
                <c:pt idx="98">
                  <c:v>0.93110113208449119</c:v>
                </c:pt>
                <c:pt idx="99">
                  <c:v>0.77757500466357143</c:v>
                </c:pt>
                <c:pt idx="100">
                  <c:v>0.52009752485199545</c:v>
                </c:pt>
                <c:pt idx="101">
                  <c:v>0.34713135506738357</c:v>
                </c:pt>
                <c:pt idx="102">
                  <c:v>0.24736870772372185</c:v>
                </c:pt>
                <c:pt idx="103">
                  <c:v>0.16104084640153443</c:v>
                </c:pt>
                <c:pt idx="104">
                  <c:v>1.0274443523144854</c:v>
                </c:pt>
                <c:pt idx="105">
                  <c:v>0.99965730041692358</c:v>
                </c:pt>
                <c:pt idx="106">
                  <c:v>0.93517602531044153</c:v>
                </c:pt>
                <c:pt idx="107">
                  <c:v>0.78315996142709154</c:v>
                </c:pt>
                <c:pt idx="108">
                  <c:v>0.52584444943794872</c:v>
                </c:pt>
                <c:pt idx="109">
                  <c:v>0.35107298767543449</c:v>
                </c:pt>
                <c:pt idx="110">
                  <c:v>0.25013691758659595</c:v>
                </c:pt>
                <c:pt idx="111">
                  <c:v>0.16282200103868444</c:v>
                </c:pt>
                <c:pt idx="112">
                  <c:v>1.0294809522970338</c:v>
                </c:pt>
                <c:pt idx="113">
                  <c:v>1.0008182194928839</c:v>
                </c:pt>
                <c:pt idx="114">
                  <c:v>0.93516215458756846</c:v>
                </c:pt>
                <c:pt idx="115">
                  <c:v>0.7852703516820696</c:v>
                </c:pt>
                <c:pt idx="116">
                  <c:v>0.52805118685900088</c:v>
                </c:pt>
                <c:pt idx="117">
                  <c:v>0.35244042550891691</c:v>
                </c:pt>
                <c:pt idx="118">
                  <c:v>0.25107075161579284</c:v>
                </c:pt>
                <c:pt idx="119">
                  <c:v>0.16338063070020184</c:v>
                </c:pt>
                <c:pt idx="120">
                  <c:v>1.0179094847530452</c:v>
                </c:pt>
                <c:pt idx="121">
                  <c:v>0.99155495234320967</c:v>
                </c:pt>
                <c:pt idx="122">
                  <c:v>0.92911055635112183</c:v>
                </c:pt>
                <c:pt idx="123">
                  <c:v>0.78729589437562641</c:v>
                </c:pt>
                <c:pt idx="124">
                  <c:v>0.53119460473509017</c:v>
                </c:pt>
                <c:pt idx="125">
                  <c:v>0.35448703423973843</c:v>
                </c:pt>
                <c:pt idx="126">
                  <c:v>0.2524642158394324</c:v>
                </c:pt>
                <c:pt idx="127">
                  <c:v>0.16397029534291466</c:v>
                </c:pt>
                <c:pt idx="128">
                  <c:v>0.97923306804051669</c:v>
                </c:pt>
                <c:pt idx="129">
                  <c:v>0.95491856216804438</c:v>
                </c:pt>
                <c:pt idx="130">
                  <c:v>0.90105999163758532</c:v>
                </c:pt>
                <c:pt idx="131">
                  <c:v>0.77941895530989802</c:v>
                </c:pt>
                <c:pt idx="132">
                  <c:v>0.53254424190049987</c:v>
                </c:pt>
                <c:pt idx="133">
                  <c:v>0.35568164733595142</c:v>
                </c:pt>
                <c:pt idx="134">
                  <c:v>0.25331845537154296</c:v>
                </c:pt>
                <c:pt idx="135">
                  <c:v>0.16426399223812976</c:v>
                </c:pt>
                <c:pt idx="136">
                  <c:v>0.96191790041258973</c:v>
                </c:pt>
                <c:pt idx="137">
                  <c:v>0.93774081351711525</c:v>
                </c:pt>
                <c:pt idx="138">
                  <c:v>0.88052537718955093</c:v>
                </c:pt>
                <c:pt idx="139">
                  <c:v>0.76240779058647734</c:v>
                </c:pt>
                <c:pt idx="140">
                  <c:v>0.53019985224265687</c:v>
                </c:pt>
                <c:pt idx="141">
                  <c:v>0.35563919915486764</c:v>
                </c:pt>
                <c:pt idx="142">
                  <c:v>0.25351800213888637</c:v>
                </c:pt>
                <c:pt idx="143">
                  <c:v>0.16438283350758534</c:v>
                </c:pt>
                <c:pt idx="144">
                  <c:v>1.0152952605410923</c:v>
                </c:pt>
                <c:pt idx="145">
                  <c:v>0.98301424893376066</c:v>
                </c:pt>
                <c:pt idx="146">
                  <c:v>0.90066962986529342</c:v>
                </c:pt>
                <c:pt idx="147">
                  <c:v>0.74362254048789245</c:v>
                </c:pt>
                <c:pt idx="148">
                  <c:v>0.5043610218256892</c:v>
                </c:pt>
                <c:pt idx="149">
                  <c:v>0.33857124034304925</c:v>
                </c:pt>
                <c:pt idx="150">
                  <c:v>0.24179182693432497</c:v>
                </c:pt>
                <c:pt idx="151">
                  <c:v>0.15760206859176834</c:v>
                </c:pt>
                <c:pt idx="152">
                  <c:v>1.0121115476522611</c:v>
                </c:pt>
                <c:pt idx="153">
                  <c:v>0.98005414614464215</c:v>
                </c:pt>
                <c:pt idx="154">
                  <c:v>0.89830962544498916</c:v>
                </c:pt>
                <c:pt idx="155">
                  <c:v>0.74312116853404164</c:v>
                </c:pt>
                <c:pt idx="156">
                  <c:v>0.50492668648625116</c:v>
                </c:pt>
                <c:pt idx="157">
                  <c:v>0.33923297716601486</c:v>
                </c:pt>
                <c:pt idx="158">
                  <c:v>0.24234114106914645</c:v>
                </c:pt>
                <c:pt idx="159">
                  <c:v>0.15799681841355873</c:v>
                </c:pt>
                <c:pt idx="160">
                  <c:v>1.0073088598105915</c:v>
                </c:pt>
                <c:pt idx="161">
                  <c:v>0.97479629066161111</c:v>
                </c:pt>
                <c:pt idx="162">
                  <c:v>0.89401366441793728</c:v>
                </c:pt>
                <c:pt idx="163">
                  <c:v>0.74137639413464074</c:v>
                </c:pt>
                <c:pt idx="164">
                  <c:v>0.50518693524643332</c:v>
                </c:pt>
                <c:pt idx="165">
                  <c:v>0.33981663965591563</c:v>
                </c:pt>
                <c:pt idx="166">
                  <c:v>0.24287251841589236</c:v>
                </c:pt>
                <c:pt idx="167">
                  <c:v>0.15840708572594669</c:v>
                </c:pt>
                <c:pt idx="168">
                  <c:v>0.96307507942255144</c:v>
                </c:pt>
                <c:pt idx="169">
                  <c:v>0.93247009724322838</c:v>
                </c:pt>
                <c:pt idx="170">
                  <c:v>0.86127870954899011</c:v>
                </c:pt>
                <c:pt idx="171">
                  <c:v>0.72418375368751686</c:v>
                </c:pt>
                <c:pt idx="172">
                  <c:v>0.50149485514173764</c:v>
                </c:pt>
                <c:pt idx="173">
                  <c:v>0.33939663771230377</c:v>
                </c:pt>
                <c:pt idx="174">
                  <c:v>0.24315882071064693</c:v>
                </c:pt>
                <c:pt idx="175">
                  <c:v>0.1588775033255683</c:v>
                </c:pt>
                <c:pt idx="176">
                  <c:v>0.83014507843100571</c:v>
                </c:pt>
                <c:pt idx="177">
                  <c:v>0.80388537215119293</c:v>
                </c:pt>
                <c:pt idx="178">
                  <c:v>0.74709586109478165</c:v>
                </c:pt>
                <c:pt idx="179">
                  <c:v>0.64816075855018951</c:v>
                </c:pt>
                <c:pt idx="180">
                  <c:v>0.47450021403716142</c:v>
                </c:pt>
                <c:pt idx="181">
                  <c:v>0.33002501098463155</c:v>
                </c:pt>
                <c:pt idx="182">
                  <c:v>0.23917160525081779</c:v>
                </c:pt>
                <c:pt idx="183">
                  <c:v>0.15749909015740823</c:v>
                </c:pt>
                <c:pt idx="184">
                  <c:v>0.72690608642677668</c:v>
                </c:pt>
                <c:pt idx="185">
                  <c:v>0.70095088124643823</c:v>
                </c:pt>
                <c:pt idx="186">
                  <c:v>0.64369150735114078</c:v>
                </c:pt>
                <c:pt idx="187">
                  <c:v>0.55306220980265053</c:v>
                </c:pt>
                <c:pt idx="188">
                  <c:v>0.41638825229991799</c:v>
                </c:pt>
                <c:pt idx="189">
                  <c:v>0.30090288617511024</c:v>
                </c:pt>
                <c:pt idx="190">
                  <c:v>0.22343621355243948</c:v>
                </c:pt>
                <c:pt idx="191">
                  <c:v>0.15029226098412349</c:v>
                </c:pt>
                <c:pt idx="192">
                  <c:v>1.292421804298914</c:v>
                </c:pt>
                <c:pt idx="193">
                  <c:v>1.2246921338855057</c:v>
                </c:pt>
                <c:pt idx="194">
                  <c:v>1.0819648193238509</c:v>
                </c:pt>
                <c:pt idx="195">
                  <c:v>0.8519571586433019</c:v>
                </c:pt>
                <c:pt idx="196">
                  <c:v>0.54923926745599161</c:v>
                </c:pt>
                <c:pt idx="197">
                  <c:v>0.36076824346237879</c:v>
                </c:pt>
                <c:pt idx="198">
                  <c:v>0.25497029464770971</c:v>
                </c:pt>
                <c:pt idx="199">
                  <c:v>0.16487056912167708</c:v>
                </c:pt>
                <c:pt idx="200">
                  <c:v>1.3789470131340424</c:v>
                </c:pt>
                <c:pt idx="201">
                  <c:v>1.3849547612920619</c:v>
                </c:pt>
                <c:pt idx="202">
                  <c:v>1.3754067321996317</c:v>
                </c:pt>
                <c:pt idx="203">
                  <c:v>1.2534123183505459</c:v>
                </c:pt>
                <c:pt idx="204">
                  <c:v>0.93708648066620981</c:v>
                </c:pt>
                <c:pt idx="205">
                  <c:v>0.66901107774007651</c:v>
                </c:pt>
                <c:pt idx="206">
                  <c:v>0.49409124566307971</c:v>
                </c:pt>
                <c:pt idx="207">
                  <c:v>0.33108625931404845</c:v>
                </c:pt>
                <c:pt idx="208">
                  <c:v>1.3822982945518276</c:v>
                </c:pt>
                <c:pt idx="209">
                  <c:v>1.3876523025584035</c:v>
                </c:pt>
                <c:pt idx="210">
                  <c:v>1.3801602854265769</c:v>
                </c:pt>
                <c:pt idx="211">
                  <c:v>1.2635338116682364</c:v>
                </c:pt>
                <c:pt idx="212">
                  <c:v>0.94940895316219809</c:v>
                </c:pt>
                <c:pt idx="213">
                  <c:v>0.6791940672802883</c:v>
                </c:pt>
                <c:pt idx="214">
                  <c:v>0.50218579771501803</c:v>
                </c:pt>
                <c:pt idx="215">
                  <c:v>0.33672591950829855</c:v>
                </c:pt>
                <c:pt idx="216">
                  <c:v>1.3578770966754341</c:v>
                </c:pt>
                <c:pt idx="217">
                  <c:v>1.3620183098468637</c:v>
                </c:pt>
                <c:pt idx="218">
                  <c:v>1.3490357840354166</c:v>
                </c:pt>
                <c:pt idx="219">
                  <c:v>1.2327918161845135</c:v>
                </c:pt>
                <c:pt idx="220">
                  <c:v>0.91989957499661346</c:v>
                </c:pt>
                <c:pt idx="221">
                  <c:v>0.65408756808738577</c:v>
                </c:pt>
                <c:pt idx="222">
                  <c:v>0.4818886449292219</c:v>
                </c:pt>
                <c:pt idx="223">
                  <c:v>0.32205821132151191</c:v>
                </c:pt>
                <c:pt idx="224">
                  <c:v>1.3158016777308872</c:v>
                </c:pt>
                <c:pt idx="225">
                  <c:v>1.3199610601866907</c:v>
                </c:pt>
                <c:pt idx="226">
                  <c:v>1.3142598137577908</c:v>
                </c:pt>
                <c:pt idx="227">
                  <c:v>1.2218445169050971</c:v>
                </c:pt>
                <c:pt idx="228">
                  <c:v>0.92092628196537007</c:v>
                </c:pt>
                <c:pt idx="229">
                  <c:v>0.65407993533793984</c:v>
                </c:pt>
                <c:pt idx="230">
                  <c:v>0.48123486492074763</c:v>
                </c:pt>
                <c:pt idx="231">
                  <c:v>0.32061208077308367</c:v>
                </c:pt>
                <c:pt idx="232">
                  <c:v>1.2997725876580448</c:v>
                </c:pt>
                <c:pt idx="233">
                  <c:v>1.2993831799866753</c:v>
                </c:pt>
                <c:pt idx="234">
                  <c:v>1.2904185478619763</c:v>
                </c:pt>
                <c:pt idx="235">
                  <c:v>1.2011969115716112</c:v>
                </c:pt>
                <c:pt idx="236">
                  <c:v>0.9161764839028792</c:v>
                </c:pt>
                <c:pt idx="237">
                  <c:v>0.65219608950706776</c:v>
                </c:pt>
                <c:pt idx="238">
                  <c:v>0.47980617922367119</c:v>
                </c:pt>
                <c:pt idx="239">
                  <c:v>0.31939116268621287</c:v>
                </c:pt>
                <c:pt idx="240">
                  <c:v>1.2793819936244188</c:v>
                </c:pt>
                <c:pt idx="241">
                  <c:v>1.2015395524098686</c:v>
                </c:pt>
                <c:pt idx="242">
                  <c:v>1.0333812132079887</c:v>
                </c:pt>
                <c:pt idx="243">
                  <c:v>0.80409777654204462</c:v>
                </c:pt>
                <c:pt idx="244">
                  <c:v>0.5260728291587129</c:v>
                </c:pt>
                <c:pt idx="245">
                  <c:v>0.34823143650897476</c:v>
                </c:pt>
                <c:pt idx="246">
                  <c:v>0.24690933032824117</c:v>
                </c:pt>
                <c:pt idx="247">
                  <c:v>0.15999864582068826</c:v>
                </c:pt>
                <c:pt idx="248">
                  <c:v>1.2793064204329445</c:v>
                </c:pt>
                <c:pt idx="249">
                  <c:v>1.2016109467250962</c:v>
                </c:pt>
                <c:pt idx="250">
                  <c:v>1.0346609537905427</c:v>
                </c:pt>
                <c:pt idx="251">
                  <c:v>0.80648000328265701</c:v>
                </c:pt>
                <c:pt idx="252">
                  <c:v>0.52839957429936235</c:v>
                </c:pt>
                <c:pt idx="253">
                  <c:v>0.34992249557174443</c:v>
                </c:pt>
                <c:pt idx="254">
                  <c:v>0.24816436545733617</c:v>
                </c:pt>
                <c:pt idx="255">
                  <c:v>0.16084249721788257</c:v>
                </c:pt>
                <c:pt idx="256">
                  <c:v>1.2784575624089582</c:v>
                </c:pt>
                <c:pt idx="257">
                  <c:v>1.2121017234520437</c:v>
                </c:pt>
                <c:pt idx="258">
                  <c:v>1.0619762831306643</c:v>
                </c:pt>
                <c:pt idx="259">
                  <c:v>0.84256084666445952</c:v>
                </c:pt>
                <c:pt idx="260">
                  <c:v>0.55995380552902363</c:v>
                </c:pt>
                <c:pt idx="261">
                  <c:v>0.37326889967445914</c:v>
                </c:pt>
                <c:pt idx="262">
                  <c:v>0.26559138258957921</c:v>
                </c:pt>
                <c:pt idx="263">
                  <c:v>0.17259272225666553</c:v>
                </c:pt>
                <c:pt idx="264">
                  <c:v>1.2323692404346125</c:v>
                </c:pt>
                <c:pt idx="265">
                  <c:v>1.1810881720527409</c:v>
                </c:pt>
                <c:pt idx="266">
                  <c:v>1.0710792771842519</c:v>
                </c:pt>
                <c:pt idx="267">
                  <c:v>0.88215301171682126</c:v>
                </c:pt>
                <c:pt idx="268">
                  <c:v>0.60679592369751367</c:v>
                </c:pt>
                <c:pt idx="269">
                  <c:v>0.41065355297446393</c:v>
                </c:pt>
                <c:pt idx="270">
                  <c:v>0.29425885371854349</c:v>
                </c:pt>
                <c:pt idx="271">
                  <c:v>0.19228313474086708</c:v>
                </c:pt>
                <c:pt idx="272">
                  <c:v>1.0709958246539557</c:v>
                </c:pt>
                <c:pt idx="273">
                  <c:v>1.0360908610788533</c:v>
                </c:pt>
                <c:pt idx="274">
                  <c:v>0.95061001705351211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0-4A4D-B348-CAD87B117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6-46C5-90A2-67F685F3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D0-4EC9-94F8-F66BF905E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Global'!$AJ$206:$AJ$245</c:f>
              <c:numCache>
                <c:formatCode>0.00</c:formatCode>
                <c:ptCount val="40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0.74999999999999989</c:v>
                </c:pt>
                <c:pt idx="27">
                  <c:v>0.99999999999999989</c:v>
                </c:pt>
                <c:pt idx="28">
                  <c:v>1.3299999999999998</c:v>
                </c:pt>
                <c:pt idx="29">
                  <c:v>1.6699999999999995</c:v>
                </c:pt>
                <c:pt idx="30">
                  <c:v>1.9999999999999998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</c:numCache>
            </c:numRef>
          </c:xVal>
          <c:yVal>
            <c:numRef>
              <c:f>'HR_Local and Global'!$AK$206:$AK$245</c:f>
              <c:numCache>
                <c:formatCode>General</c:formatCode>
                <c:ptCount val="40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  <c:pt idx="8">
                  <c:v>1.3822982945518276</c:v>
                </c:pt>
                <c:pt idx="9">
                  <c:v>1.3876523025584035</c:v>
                </c:pt>
                <c:pt idx="10">
                  <c:v>1.3801602854265769</c:v>
                </c:pt>
                <c:pt idx="11">
                  <c:v>1.2635338116682364</c:v>
                </c:pt>
                <c:pt idx="12">
                  <c:v>0.94940895316219809</c:v>
                </c:pt>
                <c:pt idx="13">
                  <c:v>0.6791940672802883</c:v>
                </c:pt>
                <c:pt idx="14">
                  <c:v>0.50218579771501803</c:v>
                </c:pt>
                <c:pt idx="15">
                  <c:v>0.33672591950829855</c:v>
                </c:pt>
                <c:pt idx="16">
                  <c:v>1.3578770966754341</c:v>
                </c:pt>
                <c:pt idx="17">
                  <c:v>1.3620183098468637</c:v>
                </c:pt>
                <c:pt idx="18">
                  <c:v>1.3490357840354166</c:v>
                </c:pt>
                <c:pt idx="19">
                  <c:v>1.2327918161845135</c:v>
                </c:pt>
                <c:pt idx="20">
                  <c:v>0.91989957499661346</c:v>
                </c:pt>
                <c:pt idx="21">
                  <c:v>0.65408756808738577</c:v>
                </c:pt>
                <c:pt idx="22">
                  <c:v>0.4818886449292219</c:v>
                </c:pt>
                <c:pt idx="23">
                  <c:v>0.32205821132151191</c:v>
                </c:pt>
                <c:pt idx="24">
                  <c:v>1.3158016777308872</c:v>
                </c:pt>
                <c:pt idx="25">
                  <c:v>1.3199610601866907</c:v>
                </c:pt>
                <c:pt idx="26">
                  <c:v>1.3142598137577908</c:v>
                </c:pt>
                <c:pt idx="27">
                  <c:v>1.2218445169050971</c:v>
                </c:pt>
                <c:pt idx="28">
                  <c:v>0.92092628196537007</c:v>
                </c:pt>
                <c:pt idx="29">
                  <c:v>0.65407993533793984</c:v>
                </c:pt>
                <c:pt idx="30">
                  <c:v>0.48123486492074763</c:v>
                </c:pt>
                <c:pt idx="31">
                  <c:v>0.32061208077308367</c:v>
                </c:pt>
                <c:pt idx="32">
                  <c:v>1.2997725876580448</c:v>
                </c:pt>
                <c:pt idx="33">
                  <c:v>1.2993831799866753</c:v>
                </c:pt>
                <c:pt idx="34">
                  <c:v>1.2904185478619763</c:v>
                </c:pt>
                <c:pt idx="35">
                  <c:v>1.2011969115716112</c:v>
                </c:pt>
                <c:pt idx="36">
                  <c:v>0.9161764839028792</c:v>
                </c:pt>
                <c:pt idx="37">
                  <c:v>0.65219608950706776</c:v>
                </c:pt>
                <c:pt idx="38">
                  <c:v>0.47980617922367119</c:v>
                </c:pt>
                <c:pt idx="39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7-4428-9512-46097AECF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'HR_Local and Global'!$AK$198:$AK$205</c:f>
              <c:numCache>
                <c:formatCode>General</c:formatCode>
                <c:ptCount val="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C-47CE-9994-1B8AB0062BC2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Global'!$AK$206:$AK$213</c:f>
              <c:numCache>
                <c:formatCode>General</c:formatCode>
                <c:ptCount val="8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C-47CE-9994-1B8AB0062BC2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Global'!$AJ$214:$AJ$221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Global'!$AK$214:$AK$221</c:f>
              <c:numCache>
                <c:formatCode>General</c:formatCode>
                <c:ptCount val="8"/>
                <c:pt idx="0">
                  <c:v>1.3822982945518276</c:v>
                </c:pt>
                <c:pt idx="1">
                  <c:v>1.3876523025584035</c:v>
                </c:pt>
                <c:pt idx="2">
                  <c:v>1.3801602854265769</c:v>
                </c:pt>
                <c:pt idx="3">
                  <c:v>1.2635338116682364</c:v>
                </c:pt>
                <c:pt idx="4">
                  <c:v>0.94940895316219809</c:v>
                </c:pt>
                <c:pt idx="5">
                  <c:v>0.6791940672802883</c:v>
                </c:pt>
                <c:pt idx="6">
                  <c:v>0.50218579771501803</c:v>
                </c:pt>
                <c:pt idx="7">
                  <c:v>0.33672591950829855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CC-47CE-9994-1B8AB0062BC2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1.3300000000000003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Global'!$AK$222:$AK$229</c:f>
              <c:numCache>
                <c:formatCode>General</c:formatCode>
                <c:ptCount val="8"/>
                <c:pt idx="0">
                  <c:v>1.3578770966754341</c:v>
                </c:pt>
                <c:pt idx="1">
                  <c:v>1.3620183098468637</c:v>
                </c:pt>
                <c:pt idx="2">
                  <c:v>1.3490357840354166</c:v>
                </c:pt>
                <c:pt idx="3">
                  <c:v>1.2327918161845135</c:v>
                </c:pt>
                <c:pt idx="4">
                  <c:v>0.91989957499661346</c:v>
                </c:pt>
                <c:pt idx="5">
                  <c:v>0.65408756808738577</c:v>
                </c:pt>
                <c:pt idx="6">
                  <c:v>0.4818886449292219</c:v>
                </c:pt>
                <c:pt idx="7">
                  <c:v>0.32205821132151191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CC-47CE-9994-1B8AB0062BC2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0.99999999999999989</c:v>
                </c:pt>
                <c:pt idx="4">
                  <c:v>1.3299999999999998</c:v>
                </c:pt>
                <c:pt idx="5">
                  <c:v>1.6699999999999995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Global'!$AK$230:$AK$237</c:f>
              <c:numCache>
                <c:formatCode>General</c:formatCode>
                <c:ptCount val="8"/>
                <c:pt idx="0">
                  <c:v>1.3158016777308872</c:v>
                </c:pt>
                <c:pt idx="1">
                  <c:v>1.3199610601866907</c:v>
                </c:pt>
                <c:pt idx="2">
                  <c:v>1.3142598137577908</c:v>
                </c:pt>
                <c:pt idx="3">
                  <c:v>1.2218445169050971</c:v>
                </c:pt>
                <c:pt idx="4">
                  <c:v>0.92092628196537007</c:v>
                </c:pt>
                <c:pt idx="5">
                  <c:v>0.65407993533793984</c:v>
                </c:pt>
                <c:pt idx="6">
                  <c:v>0.48123486492074763</c:v>
                </c:pt>
                <c:pt idx="7">
                  <c:v>0.32061208077308367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CC-47CE-9994-1B8AB0062BC2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'HR_Local and Global'!$AJ$238:$AJ$245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Global'!$AK$238:$AK$245</c:f>
              <c:numCache>
                <c:formatCode>General</c:formatCode>
                <c:ptCount val="8"/>
                <c:pt idx="0">
                  <c:v>1.2997725876580448</c:v>
                </c:pt>
                <c:pt idx="1">
                  <c:v>1.2993831799866753</c:v>
                </c:pt>
                <c:pt idx="2">
                  <c:v>1.2904185478619763</c:v>
                </c:pt>
                <c:pt idx="3">
                  <c:v>1.2011969115716112</c:v>
                </c:pt>
                <c:pt idx="4">
                  <c:v>0.9161764839028792</c:v>
                </c:pt>
                <c:pt idx="5">
                  <c:v>0.65219608950706776</c:v>
                </c:pt>
                <c:pt idx="6">
                  <c:v>0.47980617922367119</c:v>
                </c:pt>
                <c:pt idx="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CC-47CE-9994-1B8AB0062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1.6699999999999997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0.99999999999999989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'HR_Local and Global'!$AK$246:$AK$293</c:f>
              <c:numCache>
                <c:formatCode>General</c:formatCode>
                <c:ptCount val="48"/>
                <c:pt idx="0">
                  <c:v>1.2793819936244188</c:v>
                </c:pt>
                <c:pt idx="1">
                  <c:v>1.2015395524098686</c:v>
                </c:pt>
                <c:pt idx="2">
                  <c:v>1.0333812132079887</c:v>
                </c:pt>
                <c:pt idx="3">
                  <c:v>0.80409777654204462</c:v>
                </c:pt>
                <c:pt idx="4">
                  <c:v>0.5260728291587129</c:v>
                </c:pt>
                <c:pt idx="5">
                  <c:v>0.34823143650897476</c:v>
                </c:pt>
                <c:pt idx="6">
                  <c:v>0.24690933032824117</c:v>
                </c:pt>
                <c:pt idx="7">
                  <c:v>0.15999864582068826</c:v>
                </c:pt>
                <c:pt idx="8">
                  <c:v>1.2793064204329445</c:v>
                </c:pt>
                <c:pt idx="9">
                  <c:v>1.2016109467250962</c:v>
                </c:pt>
                <c:pt idx="10">
                  <c:v>1.0346609537905427</c:v>
                </c:pt>
                <c:pt idx="11">
                  <c:v>0.80648000328265701</c:v>
                </c:pt>
                <c:pt idx="12">
                  <c:v>0.52839957429936235</c:v>
                </c:pt>
                <c:pt idx="13">
                  <c:v>0.34992249557174443</c:v>
                </c:pt>
                <c:pt idx="14">
                  <c:v>0.24816436545733617</c:v>
                </c:pt>
                <c:pt idx="15">
                  <c:v>0.16084249721788257</c:v>
                </c:pt>
                <c:pt idx="16">
                  <c:v>1.2784575624089582</c:v>
                </c:pt>
                <c:pt idx="17">
                  <c:v>1.2121017234520437</c:v>
                </c:pt>
                <c:pt idx="18">
                  <c:v>1.0619762831306643</c:v>
                </c:pt>
                <c:pt idx="19">
                  <c:v>0.84256084666445952</c:v>
                </c:pt>
                <c:pt idx="20">
                  <c:v>0.55995380552902363</c:v>
                </c:pt>
                <c:pt idx="21">
                  <c:v>0.37326889967445914</c:v>
                </c:pt>
                <c:pt idx="22">
                  <c:v>0.26559138258957921</c:v>
                </c:pt>
                <c:pt idx="23">
                  <c:v>0.17259272225666553</c:v>
                </c:pt>
                <c:pt idx="24">
                  <c:v>1.2323692404346125</c:v>
                </c:pt>
                <c:pt idx="25">
                  <c:v>1.1810881720527409</c:v>
                </c:pt>
                <c:pt idx="26">
                  <c:v>1.0710792771842519</c:v>
                </c:pt>
                <c:pt idx="27">
                  <c:v>0.88215301171682126</c:v>
                </c:pt>
                <c:pt idx="28">
                  <c:v>0.60679592369751367</c:v>
                </c:pt>
                <c:pt idx="29">
                  <c:v>0.41065355297446393</c:v>
                </c:pt>
                <c:pt idx="30">
                  <c:v>0.29425885371854349</c:v>
                </c:pt>
                <c:pt idx="31">
                  <c:v>0.19228313474086708</c:v>
                </c:pt>
                <c:pt idx="32">
                  <c:v>1.0709958246539557</c:v>
                </c:pt>
                <c:pt idx="33">
                  <c:v>1.0360908610788533</c:v>
                </c:pt>
                <c:pt idx="34">
                  <c:v>0.95061001705351211</c:v>
                </c:pt>
                <c:pt idx="35">
                  <c:v>0.81077571641479274</c:v>
                </c:pt>
                <c:pt idx="36">
                  <c:v>0.58881610922473626</c:v>
                </c:pt>
                <c:pt idx="37">
                  <c:v>0.40970096505763809</c:v>
                </c:pt>
                <c:pt idx="38">
                  <c:v>0.29725448473018951</c:v>
                </c:pt>
                <c:pt idx="39">
                  <c:v>0.19601025500036656</c:v>
                </c:pt>
                <c:pt idx="40">
                  <c:v>0.95205424078282674</c:v>
                </c:pt>
                <c:pt idx="41">
                  <c:v>0.91424913080689763</c:v>
                </c:pt>
                <c:pt idx="42">
                  <c:v>0.83245480621135792</c:v>
                </c:pt>
                <c:pt idx="43">
                  <c:v>0.70699675792458172</c:v>
                </c:pt>
                <c:pt idx="44">
                  <c:v>0.52661956635372731</c:v>
                </c:pt>
                <c:pt idx="45">
                  <c:v>0.37923918864279171</c:v>
                </c:pt>
                <c:pt idx="46">
                  <c:v>0.28127033329271411</c:v>
                </c:pt>
                <c:pt idx="47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E-4D2E-8658-D7AB2F07D4B7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'HR_Local and Global'!$AK$198:$AK$245</c:f>
              <c:numCache>
                <c:formatCode>General</c:formatCode>
                <c:ptCount val="4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AE-4D2E-8658-D7AB2F07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66495"/>
        <c:axId val="1305766975"/>
      </c:scatterChart>
      <c:valAx>
        <c:axId val="13057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975"/>
        <c:crosses val="autoZero"/>
        <c:crossBetween val="midCat"/>
      </c:valAx>
      <c:valAx>
        <c:axId val="13057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H-R 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35-4EEC-8D59-37D599843D7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35-4EEC-8D59-37D599843D7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'HR_Local and Global'!$AK$198:$AK$293</c:f>
              <c:numCache>
                <c:formatCode>General</c:formatCode>
                <c:ptCount val="96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  <c:pt idx="48">
                  <c:v>1.2793819936244188</c:v>
                </c:pt>
                <c:pt idx="49">
                  <c:v>1.2015395524098686</c:v>
                </c:pt>
                <c:pt idx="50">
                  <c:v>1.0333812132079887</c:v>
                </c:pt>
                <c:pt idx="51">
                  <c:v>0.80409777654204462</c:v>
                </c:pt>
                <c:pt idx="52">
                  <c:v>0.5260728291587129</c:v>
                </c:pt>
                <c:pt idx="53">
                  <c:v>0.34823143650897476</c:v>
                </c:pt>
                <c:pt idx="54">
                  <c:v>0.24690933032824117</c:v>
                </c:pt>
                <c:pt idx="55">
                  <c:v>0.15999864582068826</c:v>
                </c:pt>
                <c:pt idx="56">
                  <c:v>1.2793064204329445</c:v>
                </c:pt>
                <c:pt idx="57">
                  <c:v>1.2016109467250962</c:v>
                </c:pt>
                <c:pt idx="58">
                  <c:v>1.0346609537905427</c:v>
                </c:pt>
                <c:pt idx="59">
                  <c:v>0.80648000328265701</c:v>
                </c:pt>
                <c:pt idx="60">
                  <c:v>0.52839957429936235</c:v>
                </c:pt>
                <c:pt idx="61">
                  <c:v>0.34992249557174443</c:v>
                </c:pt>
                <c:pt idx="62">
                  <c:v>0.24816436545733617</c:v>
                </c:pt>
                <c:pt idx="63">
                  <c:v>0.16084249721788257</c:v>
                </c:pt>
                <c:pt idx="64">
                  <c:v>1.2784575624089582</c:v>
                </c:pt>
                <c:pt idx="65">
                  <c:v>1.2121017234520437</c:v>
                </c:pt>
                <c:pt idx="66">
                  <c:v>1.0619762831306643</c:v>
                </c:pt>
                <c:pt idx="67">
                  <c:v>0.84256084666445952</c:v>
                </c:pt>
                <c:pt idx="68">
                  <c:v>0.55995380552902363</c:v>
                </c:pt>
                <c:pt idx="69">
                  <c:v>0.37326889967445914</c:v>
                </c:pt>
                <c:pt idx="70">
                  <c:v>0.26559138258957921</c:v>
                </c:pt>
                <c:pt idx="71">
                  <c:v>0.17259272225666553</c:v>
                </c:pt>
                <c:pt idx="72">
                  <c:v>1.2323692404346125</c:v>
                </c:pt>
                <c:pt idx="73">
                  <c:v>1.1810881720527409</c:v>
                </c:pt>
                <c:pt idx="74">
                  <c:v>1.0710792771842519</c:v>
                </c:pt>
                <c:pt idx="75">
                  <c:v>0.88215301171682126</c:v>
                </c:pt>
                <c:pt idx="76">
                  <c:v>0.60679592369751367</c:v>
                </c:pt>
                <c:pt idx="77">
                  <c:v>0.41065355297446393</c:v>
                </c:pt>
                <c:pt idx="78">
                  <c:v>0.29425885371854349</c:v>
                </c:pt>
                <c:pt idx="79">
                  <c:v>0.19228313474086708</c:v>
                </c:pt>
                <c:pt idx="80">
                  <c:v>1.0709958246539557</c:v>
                </c:pt>
                <c:pt idx="81">
                  <c:v>1.0360908610788533</c:v>
                </c:pt>
                <c:pt idx="82">
                  <c:v>0.95061001705351211</c:v>
                </c:pt>
                <c:pt idx="83">
                  <c:v>0.81077571641479274</c:v>
                </c:pt>
                <c:pt idx="84">
                  <c:v>0.58881610922473626</c:v>
                </c:pt>
                <c:pt idx="85">
                  <c:v>0.40970096505763809</c:v>
                </c:pt>
                <c:pt idx="86">
                  <c:v>0.29725448473018951</c:v>
                </c:pt>
                <c:pt idx="87">
                  <c:v>0.19601025500036656</c:v>
                </c:pt>
                <c:pt idx="88">
                  <c:v>0.95205424078282674</c:v>
                </c:pt>
                <c:pt idx="89">
                  <c:v>0.91424913080689763</c:v>
                </c:pt>
                <c:pt idx="90">
                  <c:v>0.83245480621135792</c:v>
                </c:pt>
                <c:pt idx="91">
                  <c:v>0.70699675792458172</c:v>
                </c:pt>
                <c:pt idx="92">
                  <c:v>0.52661956635372731</c:v>
                </c:pt>
                <c:pt idx="93">
                  <c:v>0.37923918864279171</c:v>
                </c:pt>
                <c:pt idx="94">
                  <c:v>0.28127033329271411</c:v>
                </c:pt>
                <c:pt idx="95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35-4EEC-8D59-37D599843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HEB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'HEB_HR_Global Only'!$AJ$6:$AJ$101</c:f>
              <c:numCache>
                <c:formatCode>0.00</c:formatCode>
                <c:ptCount val="96"/>
                <c:pt idx="0">
                  <c:v>0.30043282782211023</c:v>
                </c:pt>
                <c:pt idx="1">
                  <c:v>0.50072137970351716</c:v>
                </c:pt>
                <c:pt idx="2">
                  <c:v>0.75108206955527557</c:v>
                </c:pt>
                <c:pt idx="3">
                  <c:v>1.0014427594070341</c:v>
                </c:pt>
                <c:pt idx="4">
                  <c:v>1.3319188700113558</c:v>
                </c:pt>
                <c:pt idx="5">
                  <c:v>1.6724094082097469</c:v>
                </c:pt>
                <c:pt idx="6">
                  <c:v>2.0028855188140682</c:v>
                </c:pt>
                <c:pt idx="7">
                  <c:v>2.5036068985175857</c:v>
                </c:pt>
                <c:pt idx="8">
                  <c:v>0.30023759943100203</c:v>
                </c:pt>
                <c:pt idx="9">
                  <c:v>0.50039599905166998</c:v>
                </c:pt>
                <c:pt idx="10">
                  <c:v>0.75059399857750508</c:v>
                </c:pt>
                <c:pt idx="11">
                  <c:v>1.00079199810334</c:v>
                </c:pt>
                <c:pt idx="12">
                  <c:v>1.3310533574774421</c:v>
                </c:pt>
                <c:pt idx="13">
                  <c:v>1.6713226368325775</c:v>
                </c:pt>
                <c:pt idx="14">
                  <c:v>2.0015839962066799</c:v>
                </c:pt>
                <c:pt idx="15">
                  <c:v>2.5019799952583499</c:v>
                </c:pt>
                <c:pt idx="16">
                  <c:v>0.30012064951855283</c:v>
                </c:pt>
                <c:pt idx="17">
                  <c:v>0.50020108253092133</c:v>
                </c:pt>
                <c:pt idx="18">
                  <c:v>0.75030162379638188</c:v>
                </c:pt>
                <c:pt idx="19">
                  <c:v>1.0004021650618424</c:v>
                </c:pt>
                <c:pt idx="20">
                  <c:v>1.3305348795322507</c:v>
                </c:pt>
                <c:pt idx="21">
                  <c:v>1.670671615653277</c:v>
                </c:pt>
                <c:pt idx="22">
                  <c:v>2.0008043301236849</c:v>
                </c:pt>
                <c:pt idx="23">
                  <c:v>2.5010054126546066</c:v>
                </c:pt>
                <c:pt idx="24">
                  <c:v>0.3000828006981579</c:v>
                </c:pt>
                <c:pt idx="25">
                  <c:v>0.50013800116359652</c:v>
                </c:pt>
                <c:pt idx="26">
                  <c:v>0.75020700174539479</c:v>
                </c:pt>
                <c:pt idx="27">
                  <c:v>1.000276002327193</c:v>
                </c:pt>
                <c:pt idx="28">
                  <c:v>1.3303670830951668</c:v>
                </c:pt>
                <c:pt idx="29">
                  <c:v>1.6704609238864121</c:v>
                </c:pt>
                <c:pt idx="30">
                  <c:v>2.0005520046543861</c:v>
                </c:pt>
                <c:pt idx="31">
                  <c:v>2.5006900058179822</c:v>
                </c:pt>
                <c:pt idx="32">
                  <c:v>0.30005493405215333</c:v>
                </c:pt>
                <c:pt idx="33">
                  <c:v>0.50009155675358885</c:v>
                </c:pt>
                <c:pt idx="34">
                  <c:v>0.75013733513038316</c:v>
                </c:pt>
                <c:pt idx="35">
                  <c:v>1.0001831135071775</c:v>
                </c:pt>
                <c:pt idx="36">
                  <c:v>1.3302435409645466</c:v>
                </c:pt>
                <c:pt idx="37">
                  <c:v>1.6703057995569865</c:v>
                </c:pt>
                <c:pt idx="38">
                  <c:v>2.0003662270143554</c:v>
                </c:pt>
                <c:pt idx="39">
                  <c:v>2.5004577837679443</c:v>
                </c:pt>
                <c:pt idx="40">
                  <c:v>0.30001794684021788</c:v>
                </c:pt>
                <c:pt idx="41">
                  <c:v>0.50002991140036313</c:v>
                </c:pt>
                <c:pt idx="42">
                  <c:v>0.75004486710054463</c:v>
                </c:pt>
                <c:pt idx="43">
                  <c:v>1.0000598228007265</c:v>
                </c:pt>
                <c:pt idx="44">
                  <c:v>1.3300795643249663</c:v>
                </c:pt>
                <c:pt idx="45">
                  <c:v>1.6700999040772129</c:v>
                </c:pt>
                <c:pt idx="46">
                  <c:v>2.0001196456014525</c:v>
                </c:pt>
                <c:pt idx="47">
                  <c:v>2.5001495570018153</c:v>
                </c:pt>
                <c:pt idx="48">
                  <c:v>0.29997103931219959</c:v>
                </c:pt>
                <c:pt idx="49">
                  <c:v>0.49995173218699923</c:v>
                </c:pt>
                <c:pt idx="50">
                  <c:v>0.74992759828049904</c:v>
                </c:pt>
                <c:pt idx="51">
                  <c:v>0.9999034643739988</c:v>
                </c:pt>
                <c:pt idx="52">
                  <c:v>1.3298716076174186</c:v>
                </c:pt>
                <c:pt idx="53">
                  <c:v>1.669838785504578</c:v>
                </c:pt>
                <c:pt idx="54">
                  <c:v>1.9998069287479976</c:v>
                </c:pt>
                <c:pt idx="55">
                  <c:v>2.4997586609349969</c:v>
                </c:pt>
                <c:pt idx="56">
                  <c:v>0.2998435678446128</c:v>
                </c:pt>
                <c:pt idx="57">
                  <c:v>0.49973927974102139</c:v>
                </c:pt>
                <c:pt idx="58">
                  <c:v>0.74960891961153198</c:v>
                </c:pt>
                <c:pt idx="59">
                  <c:v>0.99947855948204256</c:v>
                </c:pt>
                <c:pt idx="60">
                  <c:v>1.3293064841111166</c:v>
                </c:pt>
                <c:pt idx="61">
                  <c:v>1.6691291943350111</c:v>
                </c:pt>
                <c:pt idx="62">
                  <c:v>1.9989571189640851</c:v>
                </c:pt>
                <c:pt idx="63">
                  <c:v>2.4986963987051065</c:v>
                </c:pt>
                <c:pt idx="64">
                  <c:v>0.29971966972608888</c:v>
                </c:pt>
                <c:pt idx="65">
                  <c:v>0.4995327828768148</c:v>
                </c:pt>
                <c:pt idx="66">
                  <c:v>0.74929917431522208</c:v>
                </c:pt>
                <c:pt idx="67">
                  <c:v>0.99906556575362937</c:v>
                </c:pt>
                <c:pt idx="68">
                  <c:v>1.3287572024523269</c:v>
                </c:pt>
                <c:pt idx="69">
                  <c:v>1.6684394948085608</c:v>
                </c:pt>
                <c:pt idx="70">
                  <c:v>1.9981311315072585</c:v>
                </c:pt>
                <c:pt idx="71">
                  <c:v>2.4976639143840735</c:v>
                </c:pt>
                <c:pt idx="72">
                  <c:v>0.29955220492491946</c:v>
                </c:pt>
                <c:pt idx="73">
                  <c:v>0.49925367487486577</c:v>
                </c:pt>
                <c:pt idx="74">
                  <c:v>0.74888051231229857</c:v>
                </c:pt>
                <c:pt idx="75">
                  <c:v>0.99850734974973165</c:v>
                </c:pt>
                <c:pt idx="76">
                  <c:v>1.3280147751671429</c:v>
                </c:pt>
                <c:pt idx="77">
                  <c:v>1.6675072740820513</c:v>
                </c:pt>
                <c:pt idx="78">
                  <c:v>1.9970146994994631</c:v>
                </c:pt>
                <c:pt idx="79">
                  <c:v>2.4962683743743286</c:v>
                </c:pt>
                <c:pt idx="80">
                  <c:v>0.2993717793402591</c:v>
                </c:pt>
                <c:pt idx="81">
                  <c:v>0.49895296556709862</c:v>
                </c:pt>
                <c:pt idx="82">
                  <c:v>0.74842944835064795</c:v>
                </c:pt>
                <c:pt idx="83">
                  <c:v>0.99790593113419734</c:v>
                </c:pt>
                <c:pt idx="84">
                  <c:v>1.3272148884084827</c:v>
                </c:pt>
                <c:pt idx="85">
                  <c:v>1.6665029049941091</c:v>
                </c:pt>
                <c:pt idx="86">
                  <c:v>1.9958118622683947</c:v>
                </c:pt>
                <c:pt idx="87">
                  <c:v>2.494764827835493</c:v>
                </c:pt>
                <c:pt idx="88">
                  <c:v>0.29913273928922168</c:v>
                </c:pt>
                <c:pt idx="89">
                  <c:v>0.49855456548203614</c:v>
                </c:pt>
                <c:pt idx="90">
                  <c:v>0.74783184822305426</c:v>
                </c:pt>
                <c:pt idx="91">
                  <c:v>0.99710913096407228</c:v>
                </c:pt>
                <c:pt idx="92">
                  <c:v>1.3261551441822164</c:v>
                </c:pt>
                <c:pt idx="93">
                  <c:v>1.6651722487100005</c:v>
                </c:pt>
                <c:pt idx="94">
                  <c:v>1.9942182619281448</c:v>
                </c:pt>
                <c:pt idx="95">
                  <c:v>2.4927728274101808</c:v>
                </c:pt>
              </c:numCache>
            </c:numRef>
          </c:xVal>
          <c:yVal>
            <c:numRef>
              <c:f>'HEB_HR_Global Only'!$AK$6:$AK$101</c:f>
              <c:numCache>
                <c:formatCode>General</c:formatCode>
                <c:ptCount val="96"/>
                <c:pt idx="0">
                  <c:v>1.0930559392503032</c:v>
                </c:pt>
                <c:pt idx="1">
                  <c:v>1.0594470034448169</c:v>
                </c:pt>
                <c:pt idx="2">
                  <c:v>0.98570124896334188</c:v>
                </c:pt>
                <c:pt idx="3">
                  <c:v>0.81659081166015146</c:v>
                </c:pt>
                <c:pt idx="4">
                  <c:v>0.53742078577687669</c:v>
                </c:pt>
                <c:pt idx="5">
                  <c:v>0.35211625677168412</c:v>
                </c:pt>
                <c:pt idx="6">
                  <c:v>0.24495058623421787</c:v>
                </c:pt>
                <c:pt idx="7">
                  <c:v>0.15666289236565056</c:v>
                </c:pt>
                <c:pt idx="8">
                  <c:v>1.0630651554082322</c:v>
                </c:pt>
                <c:pt idx="9">
                  <c:v>1.0302096246709214</c:v>
                </c:pt>
                <c:pt idx="10">
                  <c:v>0.95935283867897336</c:v>
                </c:pt>
                <c:pt idx="11">
                  <c:v>0.7961162449514404</c:v>
                </c:pt>
                <c:pt idx="12">
                  <c:v>0.52503265074851579</c:v>
                </c:pt>
                <c:pt idx="13">
                  <c:v>0.34477624483988012</c:v>
                </c:pt>
                <c:pt idx="14">
                  <c:v>0.23987022681885684</c:v>
                </c:pt>
                <c:pt idx="15">
                  <c:v>0.15341929563556395</c:v>
                </c:pt>
                <c:pt idx="16">
                  <c:v>1.0584591383931439</c:v>
                </c:pt>
                <c:pt idx="17">
                  <c:v>1.0266291730036294</c:v>
                </c:pt>
                <c:pt idx="18">
                  <c:v>0.9563267302904469</c:v>
                </c:pt>
                <c:pt idx="19">
                  <c:v>0.79445957873329276</c:v>
                </c:pt>
                <c:pt idx="20">
                  <c:v>0.52457833385679009</c:v>
                </c:pt>
                <c:pt idx="21">
                  <c:v>0.34462063984003488</c:v>
                </c:pt>
                <c:pt idx="22">
                  <c:v>0.23972155559412212</c:v>
                </c:pt>
                <c:pt idx="23">
                  <c:v>0.15330692164009416</c:v>
                </c:pt>
                <c:pt idx="24">
                  <c:v>1.0557356253722932</c:v>
                </c:pt>
                <c:pt idx="25">
                  <c:v>1.024426863230681</c:v>
                </c:pt>
                <c:pt idx="26">
                  <c:v>0.95437188656664373</c:v>
                </c:pt>
                <c:pt idx="27">
                  <c:v>0.7932119676181556</c:v>
                </c:pt>
                <c:pt idx="28">
                  <c:v>0.5242026162975727</c:v>
                </c:pt>
                <c:pt idx="29">
                  <c:v>0.34443249181982688</c:v>
                </c:pt>
                <c:pt idx="30">
                  <c:v>0.23960700957155359</c:v>
                </c:pt>
                <c:pt idx="31">
                  <c:v>0.15324389094571311</c:v>
                </c:pt>
                <c:pt idx="32">
                  <c:v>1.068199788003974</c:v>
                </c:pt>
                <c:pt idx="33">
                  <c:v>1.0370908670060237</c:v>
                </c:pt>
                <c:pt idx="34">
                  <c:v>0.96576938968185044</c:v>
                </c:pt>
                <c:pt idx="35">
                  <c:v>0.80244941786661184</c:v>
                </c:pt>
                <c:pt idx="36">
                  <c:v>0.53028176054895748</c:v>
                </c:pt>
                <c:pt idx="37">
                  <c:v>0.34810406658920928</c:v>
                </c:pt>
                <c:pt idx="38">
                  <c:v>0.24219146640297626</c:v>
                </c:pt>
                <c:pt idx="39">
                  <c:v>0.15491675949599443</c:v>
                </c:pt>
                <c:pt idx="40">
                  <c:v>1.0658159533243912</c:v>
                </c:pt>
                <c:pt idx="41">
                  <c:v>1.0350538579421233</c:v>
                </c:pt>
                <c:pt idx="42">
                  <c:v>0.96412588222024287</c:v>
                </c:pt>
                <c:pt idx="43">
                  <c:v>0.80157086898814311</c:v>
                </c:pt>
                <c:pt idx="44">
                  <c:v>0.53004639207823034</c:v>
                </c:pt>
                <c:pt idx="45">
                  <c:v>0.34801693053935362</c:v>
                </c:pt>
                <c:pt idx="46">
                  <c:v>0.24212685963298938</c:v>
                </c:pt>
                <c:pt idx="47">
                  <c:v>0.15486945751400008</c:v>
                </c:pt>
                <c:pt idx="48">
                  <c:v>1.0528705023416387</c:v>
                </c:pt>
                <c:pt idx="49">
                  <c:v>1.0231672084482002</c:v>
                </c:pt>
                <c:pt idx="50">
                  <c:v>0.95365618370840166</c:v>
                </c:pt>
                <c:pt idx="51">
                  <c:v>0.78992000192263101</c:v>
                </c:pt>
                <c:pt idx="52">
                  <c:v>0.52605148807033653</c:v>
                </c:pt>
                <c:pt idx="53">
                  <c:v>0.34568695966171137</c:v>
                </c:pt>
                <c:pt idx="54">
                  <c:v>0.24040950904558789</c:v>
                </c:pt>
                <c:pt idx="55">
                  <c:v>0.1537153180489283</c:v>
                </c:pt>
                <c:pt idx="56">
                  <c:v>1.0399820457971136</c:v>
                </c:pt>
                <c:pt idx="57">
                  <c:v>1.0143573633109397</c:v>
                </c:pt>
                <c:pt idx="58">
                  <c:v>0.95113859384153177</c:v>
                </c:pt>
                <c:pt idx="59">
                  <c:v>0.79512734568132182</c:v>
                </c:pt>
                <c:pt idx="60">
                  <c:v>0.52643022681413931</c:v>
                </c:pt>
                <c:pt idx="61">
                  <c:v>0.3438454100293194</c:v>
                </c:pt>
                <c:pt idx="62">
                  <c:v>0.23897819327027969</c:v>
                </c:pt>
                <c:pt idx="63">
                  <c:v>0.15272667816423446</c:v>
                </c:pt>
                <c:pt idx="64">
                  <c:v>1.027616482126279</c:v>
                </c:pt>
                <c:pt idx="65">
                  <c:v>1.0030863431210035</c:v>
                </c:pt>
                <c:pt idx="66">
                  <c:v>0.94191722193657912</c:v>
                </c:pt>
                <c:pt idx="67">
                  <c:v>0.78828690752498598</c:v>
                </c:pt>
                <c:pt idx="68">
                  <c:v>0.52242205358080906</c:v>
                </c:pt>
                <c:pt idx="69">
                  <c:v>0.34157517586836134</c:v>
                </c:pt>
                <c:pt idx="70">
                  <c:v>0.23728680203021638</c:v>
                </c:pt>
                <c:pt idx="71">
                  <c:v>0.15158337413110426</c:v>
                </c:pt>
                <c:pt idx="72">
                  <c:v>1.0207584712699989</c:v>
                </c:pt>
                <c:pt idx="73">
                  <c:v>0.9969383416641947</c:v>
                </c:pt>
                <c:pt idx="74">
                  <c:v>0.93383023622864592</c:v>
                </c:pt>
                <c:pt idx="75">
                  <c:v>0.78495647132418012</c:v>
                </c:pt>
                <c:pt idx="76">
                  <c:v>0.52046719253422002</c:v>
                </c:pt>
                <c:pt idx="77">
                  <c:v>0.34067155163275886</c:v>
                </c:pt>
                <c:pt idx="78">
                  <c:v>0.23655383520588044</c:v>
                </c:pt>
                <c:pt idx="79">
                  <c:v>0.15105673969162892</c:v>
                </c:pt>
                <c:pt idx="80">
                  <c:v>1.0149296576784561</c:v>
                </c:pt>
                <c:pt idx="81">
                  <c:v>0.99178162554181792</c:v>
                </c:pt>
                <c:pt idx="82">
                  <c:v>0.93032103210338035</c:v>
                </c:pt>
                <c:pt idx="83">
                  <c:v>0.78220400227230125</c:v>
                </c:pt>
                <c:pt idx="84">
                  <c:v>0.51867227379624725</c:v>
                </c:pt>
                <c:pt idx="85">
                  <c:v>0.33976749199239697</c:v>
                </c:pt>
                <c:pt idx="86">
                  <c:v>0.23583878287059343</c:v>
                </c:pt>
                <c:pt idx="87">
                  <c:v>0.15055767146976631</c:v>
                </c:pt>
                <c:pt idx="88">
                  <c:v>1.0137120597873144</c:v>
                </c:pt>
                <c:pt idx="89">
                  <c:v>0.9902258890966078</c:v>
                </c:pt>
                <c:pt idx="90">
                  <c:v>0.93066663371968561</c:v>
                </c:pt>
                <c:pt idx="91">
                  <c:v>0.78180475026847684</c:v>
                </c:pt>
                <c:pt idx="92">
                  <c:v>0.51885036389458339</c:v>
                </c:pt>
                <c:pt idx="93">
                  <c:v>0.34315866818706497</c:v>
                </c:pt>
                <c:pt idx="94">
                  <c:v>0.23864660139536878</c:v>
                </c:pt>
                <c:pt idx="95">
                  <c:v>0.1524351824790732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198-46D3-B017-ECCB8C09E5BA}"/>
            </c:ext>
          </c:extLst>
        </c:ser>
        <c:ser>
          <c:idx val="2"/>
          <c:order val="1"/>
          <c:tx>
            <c:v>HEB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'HEB_HR_Global Only'!$AJ$102:$AJ$197</c:f>
              <c:numCache>
                <c:formatCode>0.00</c:formatCode>
                <c:ptCount val="96"/>
                <c:pt idx="0">
                  <c:v>0.30043282782211028</c:v>
                </c:pt>
                <c:pt idx="1">
                  <c:v>0.50072137970351716</c:v>
                </c:pt>
                <c:pt idx="2">
                  <c:v>0.75108206955527568</c:v>
                </c:pt>
                <c:pt idx="3">
                  <c:v>1.0014427594070341</c:v>
                </c:pt>
                <c:pt idx="4">
                  <c:v>1.3319188700113558</c:v>
                </c:pt>
                <c:pt idx="5">
                  <c:v>1.6724094082097472</c:v>
                </c:pt>
                <c:pt idx="6">
                  <c:v>2.0028855188140682</c:v>
                </c:pt>
                <c:pt idx="7">
                  <c:v>2.5036068985175852</c:v>
                </c:pt>
                <c:pt idx="8">
                  <c:v>0.30023759943100203</c:v>
                </c:pt>
                <c:pt idx="9">
                  <c:v>0.50039599905167009</c:v>
                </c:pt>
                <c:pt idx="10">
                  <c:v>0.75059399857750508</c:v>
                </c:pt>
                <c:pt idx="11">
                  <c:v>1.00079199810334</c:v>
                </c:pt>
                <c:pt idx="12">
                  <c:v>1.3310533574774424</c:v>
                </c:pt>
                <c:pt idx="13">
                  <c:v>1.671322636832578</c:v>
                </c:pt>
                <c:pt idx="14">
                  <c:v>2.0015839962066804</c:v>
                </c:pt>
                <c:pt idx="15">
                  <c:v>2.5019799952583499</c:v>
                </c:pt>
                <c:pt idx="16">
                  <c:v>0.30012064951855277</c:v>
                </c:pt>
                <c:pt idx="17">
                  <c:v>0.50020108253092133</c:v>
                </c:pt>
                <c:pt idx="18">
                  <c:v>0.75030162379638188</c:v>
                </c:pt>
                <c:pt idx="19">
                  <c:v>1.0004021650618424</c:v>
                </c:pt>
                <c:pt idx="20">
                  <c:v>1.3305348795322507</c:v>
                </c:pt>
                <c:pt idx="21">
                  <c:v>1.6706716156532768</c:v>
                </c:pt>
                <c:pt idx="22">
                  <c:v>2.0008043301236853</c:v>
                </c:pt>
                <c:pt idx="23">
                  <c:v>2.5010054126546062</c:v>
                </c:pt>
                <c:pt idx="24">
                  <c:v>0.30008280069815785</c:v>
                </c:pt>
                <c:pt idx="25">
                  <c:v>0.50013800116359652</c:v>
                </c:pt>
                <c:pt idx="26">
                  <c:v>0.75020700174539467</c:v>
                </c:pt>
                <c:pt idx="27">
                  <c:v>1.000276002327193</c:v>
                </c:pt>
                <c:pt idx="28">
                  <c:v>1.3303670830951666</c:v>
                </c:pt>
                <c:pt idx="29">
                  <c:v>1.6704609238864119</c:v>
                </c:pt>
                <c:pt idx="30">
                  <c:v>2.0005520046543861</c:v>
                </c:pt>
                <c:pt idx="31">
                  <c:v>2.5006900058179822</c:v>
                </c:pt>
                <c:pt idx="32">
                  <c:v>0.30005493405215333</c:v>
                </c:pt>
                <c:pt idx="33">
                  <c:v>0.50009155675358885</c:v>
                </c:pt>
                <c:pt idx="34">
                  <c:v>0.75013733513038316</c:v>
                </c:pt>
                <c:pt idx="35">
                  <c:v>1.0001831135071777</c:v>
                </c:pt>
                <c:pt idx="36">
                  <c:v>1.3302435409645463</c:v>
                </c:pt>
                <c:pt idx="37">
                  <c:v>1.6703057995569863</c:v>
                </c:pt>
                <c:pt idx="38">
                  <c:v>2.0003662270143554</c:v>
                </c:pt>
                <c:pt idx="39">
                  <c:v>2.5004577837679438</c:v>
                </c:pt>
                <c:pt idx="40">
                  <c:v>0.30001794684021788</c:v>
                </c:pt>
                <c:pt idx="41">
                  <c:v>0.50002991140036313</c:v>
                </c:pt>
                <c:pt idx="42">
                  <c:v>0.75004486710054474</c:v>
                </c:pt>
                <c:pt idx="43">
                  <c:v>1.0000598228007263</c:v>
                </c:pt>
                <c:pt idx="44">
                  <c:v>1.3300795643249661</c:v>
                </c:pt>
                <c:pt idx="45">
                  <c:v>1.6700999040772129</c:v>
                </c:pt>
                <c:pt idx="46">
                  <c:v>2.0001196456014525</c:v>
                </c:pt>
                <c:pt idx="47">
                  <c:v>2.5001495570018153</c:v>
                </c:pt>
                <c:pt idx="48">
                  <c:v>0.29997103931219965</c:v>
                </c:pt>
                <c:pt idx="49">
                  <c:v>0.49995173218699929</c:v>
                </c:pt>
                <c:pt idx="50">
                  <c:v>0.74992759828049915</c:v>
                </c:pt>
                <c:pt idx="51">
                  <c:v>0.9999034643739988</c:v>
                </c:pt>
                <c:pt idx="52">
                  <c:v>1.3298716076174184</c:v>
                </c:pt>
                <c:pt idx="53">
                  <c:v>1.669838785504578</c:v>
                </c:pt>
                <c:pt idx="54">
                  <c:v>1.9998069287479976</c:v>
                </c:pt>
                <c:pt idx="55">
                  <c:v>2.4997586609349973</c:v>
                </c:pt>
                <c:pt idx="56">
                  <c:v>0.2998435678446128</c:v>
                </c:pt>
                <c:pt idx="57">
                  <c:v>0.49973927974102145</c:v>
                </c:pt>
                <c:pt idx="58">
                  <c:v>0.74960891961153187</c:v>
                </c:pt>
                <c:pt idx="59">
                  <c:v>0.99947855948204267</c:v>
                </c:pt>
                <c:pt idx="60">
                  <c:v>1.3293064841111168</c:v>
                </c:pt>
                <c:pt idx="61">
                  <c:v>1.6691291943350108</c:v>
                </c:pt>
                <c:pt idx="62">
                  <c:v>1.9989571189640853</c:v>
                </c:pt>
                <c:pt idx="63">
                  <c:v>2.4986963987051061</c:v>
                </c:pt>
                <c:pt idx="64">
                  <c:v>0.29971966972608888</c:v>
                </c:pt>
                <c:pt idx="65">
                  <c:v>0.4995327828768148</c:v>
                </c:pt>
                <c:pt idx="66">
                  <c:v>0.74929917431522208</c:v>
                </c:pt>
                <c:pt idx="67">
                  <c:v>0.99906556575362948</c:v>
                </c:pt>
                <c:pt idx="68">
                  <c:v>1.3287572024523275</c:v>
                </c:pt>
                <c:pt idx="69">
                  <c:v>1.6684394948085612</c:v>
                </c:pt>
                <c:pt idx="70">
                  <c:v>1.9981311315072587</c:v>
                </c:pt>
                <c:pt idx="71">
                  <c:v>2.497663914384074</c:v>
                </c:pt>
                <c:pt idx="72">
                  <c:v>0.29955220492491946</c:v>
                </c:pt>
                <c:pt idx="73">
                  <c:v>0.49925367487486583</c:v>
                </c:pt>
                <c:pt idx="74">
                  <c:v>0.74888051231229857</c:v>
                </c:pt>
                <c:pt idx="75">
                  <c:v>0.99850734974973165</c:v>
                </c:pt>
                <c:pt idx="76">
                  <c:v>1.3280147751671432</c:v>
                </c:pt>
                <c:pt idx="77">
                  <c:v>1.6675072740820518</c:v>
                </c:pt>
                <c:pt idx="78">
                  <c:v>1.9970146994994633</c:v>
                </c:pt>
                <c:pt idx="79">
                  <c:v>2.496268374374329</c:v>
                </c:pt>
                <c:pt idx="80">
                  <c:v>0.2993717793402591</c:v>
                </c:pt>
                <c:pt idx="81">
                  <c:v>0.49895296556709862</c:v>
                </c:pt>
                <c:pt idx="82">
                  <c:v>0.74842944835064795</c:v>
                </c:pt>
                <c:pt idx="83">
                  <c:v>0.99790593113419723</c:v>
                </c:pt>
                <c:pt idx="84">
                  <c:v>1.3272148884084825</c:v>
                </c:pt>
                <c:pt idx="85">
                  <c:v>1.6665029049941094</c:v>
                </c:pt>
                <c:pt idx="86">
                  <c:v>1.9958118622683947</c:v>
                </c:pt>
                <c:pt idx="87">
                  <c:v>2.494764827835493</c:v>
                </c:pt>
                <c:pt idx="88">
                  <c:v>0.29913273928922163</c:v>
                </c:pt>
                <c:pt idx="89">
                  <c:v>0.49855456548203625</c:v>
                </c:pt>
                <c:pt idx="90">
                  <c:v>0.74783184822305426</c:v>
                </c:pt>
                <c:pt idx="91">
                  <c:v>0.99710913096407239</c:v>
                </c:pt>
                <c:pt idx="92">
                  <c:v>1.3261551441822161</c:v>
                </c:pt>
                <c:pt idx="93">
                  <c:v>1.6651722487100005</c:v>
                </c:pt>
                <c:pt idx="94">
                  <c:v>1.9942182619281448</c:v>
                </c:pt>
                <c:pt idx="95">
                  <c:v>2.4927728274101804</c:v>
                </c:pt>
              </c:numCache>
            </c:numRef>
          </c:xVal>
          <c:yVal>
            <c:numRef>
              <c:f>'HEB_HR_Global Only'!$AK$102:$AK$197</c:f>
              <c:numCache>
                <c:formatCode>General</c:formatCode>
                <c:ptCount val="96"/>
                <c:pt idx="0">
                  <c:v>1.0819140331503621</c:v>
                </c:pt>
                <c:pt idx="1">
                  <c:v>1.0435192710995482</c:v>
                </c:pt>
                <c:pt idx="2">
                  <c:v>0.95685838356644515</c:v>
                </c:pt>
                <c:pt idx="3">
                  <c:v>0.77885343446959576</c:v>
                </c:pt>
                <c:pt idx="4">
                  <c:v>0.52350822272032904</c:v>
                </c:pt>
                <c:pt idx="5">
                  <c:v>0.34819447934848974</c:v>
                </c:pt>
                <c:pt idx="6">
                  <c:v>0.2431741027333158</c:v>
                </c:pt>
                <c:pt idx="7">
                  <c:v>0.15595671094794464</c:v>
                </c:pt>
                <c:pt idx="8">
                  <c:v>1.0518177718810198</c:v>
                </c:pt>
                <c:pt idx="9">
                  <c:v>1.0141405993731387</c:v>
                </c:pt>
                <c:pt idx="10">
                  <c:v>0.92984938092642455</c:v>
                </c:pt>
                <c:pt idx="11">
                  <c:v>0.75923282731564301</c:v>
                </c:pt>
                <c:pt idx="12">
                  <c:v>0.5113514645524051</c:v>
                </c:pt>
                <c:pt idx="13">
                  <c:v>0.34092654090390623</c:v>
                </c:pt>
                <c:pt idx="14">
                  <c:v>0.23821140212376421</c:v>
                </c:pt>
                <c:pt idx="15">
                  <c:v>0.15276855203836429</c:v>
                </c:pt>
                <c:pt idx="16">
                  <c:v>1.0476547866545591</c:v>
                </c:pt>
                <c:pt idx="17">
                  <c:v>1.0106382927001292</c:v>
                </c:pt>
                <c:pt idx="18">
                  <c:v>0.92718121979927903</c:v>
                </c:pt>
                <c:pt idx="19">
                  <c:v>0.75804397101300525</c:v>
                </c:pt>
                <c:pt idx="20">
                  <c:v>0.5108696422027037</c:v>
                </c:pt>
                <c:pt idx="21">
                  <c:v>0.34073982872615288</c:v>
                </c:pt>
                <c:pt idx="22">
                  <c:v>0.23808860720171676</c:v>
                </c:pt>
                <c:pt idx="23">
                  <c:v>0.15267612527163921</c:v>
                </c:pt>
                <c:pt idx="24">
                  <c:v>1.0453171378531838</c:v>
                </c:pt>
                <c:pt idx="25">
                  <c:v>1.0086385831367903</c:v>
                </c:pt>
                <c:pt idx="26">
                  <c:v>0.92548718037714195</c:v>
                </c:pt>
                <c:pt idx="27">
                  <c:v>0.75729061163036959</c:v>
                </c:pt>
                <c:pt idx="28">
                  <c:v>0.51061546716749773</c:v>
                </c:pt>
                <c:pt idx="29">
                  <c:v>0.34063585051087869</c:v>
                </c:pt>
                <c:pt idx="30">
                  <c:v>0.23803931558876243</c:v>
                </c:pt>
                <c:pt idx="31">
                  <c:v>0.1526470943732986</c:v>
                </c:pt>
                <c:pt idx="32">
                  <c:v>1.0577841630553135</c:v>
                </c:pt>
                <c:pt idx="33">
                  <c:v>1.0210468381047237</c:v>
                </c:pt>
                <c:pt idx="34">
                  <c:v>0.93680021087840126</c:v>
                </c:pt>
                <c:pt idx="35">
                  <c:v>0.76656453804229008</c:v>
                </c:pt>
                <c:pt idx="36">
                  <c:v>0.5167933343178307</c:v>
                </c:pt>
                <c:pt idx="37">
                  <c:v>0.34445744621712865</c:v>
                </c:pt>
                <c:pt idx="38">
                  <c:v>0.2406480369158</c:v>
                </c:pt>
                <c:pt idx="39">
                  <c:v>0.15433865764559829</c:v>
                </c:pt>
                <c:pt idx="40">
                  <c:v>1.0553682184939361</c:v>
                </c:pt>
                <c:pt idx="41">
                  <c:v>1.0191778303158379</c:v>
                </c:pt>
                <c:pt idx="42">
                  <c:v>0.9351674994316086</c:v>
                </c:pt>
                <c:pt idx="43">
                  <c:v>0.76599881355775246</c:v>
                </c:pt>
                <c:pt idx="44">
                  <c:v>0.51654541437354318</c:v>
                </c:pt>
                <c:pt idx="45">
                  <c:v>0.34437869600548454</c:v>
                </c:pt>
                <c:pt idx="46">
                  <c:v>0.24059825725781772</c:v>
                </c:pt>
                <c:pt idx="47">
                  <c:v>0.15430023398940149</c:v>
                </c:pt>
                <c:pt idx="48">
                  <c:v>1.0431730249253885</c:v>
                </c:pt>
                <c:pt idx="49">
                  <c:v>1.0088582720461445</c:v>
                </c:pt>
                <c:pt idx="50">
                  <c:v>0.92566967359351737</c:v>
                </c:pt>
                <c:pt idx="51">
                  <c:v>0.75935099839290332</c:v>
                </c:pt>
                <c:pt idx="52">
                  <c:v>0.51242982191888664</c:v>
                </c:pt>
                <c:pt idx="53">
                  <c:v>0.34193900002600386</c:v>
                </c:pt>
                <c:pt idx="54">
                  <c:v>0.23889736765974201</c:v>
                </c:pt>
                <c:pt idx="55">
                  <c:v>0.15317238744298295</c:v>
                </c:pt>
                <c:pt idx="56">
                  <c:v>1.0305097964255476</c:v>
                </c:pt>
                <c:pt idx="57">
                  <c:v>1.0001607087494071</c:v>
                </c:pt>
                <c:pt idx="58">
                  <c:v>0.92462833499392005</c:v>
                </c:pt>
                <c:pt idx="59">
                  <c:v>0.76937442980747517</c:v>
                </c:pt>
                <c:pt idx="60">
                  <c:v>0.51552827620721264</c:v>
                </c:pt>
                <c:pt idx="61">
                  <c:v>0.34056940692266968</c:v>
                </c:pt>
                <c:pt idx="62">
                  <c:v>0.23744640897491537</c:v>
                </c:pt>
                <c:pt idx="63">
                  <c:v>0.1521881349816874</c:v>
                </c:pt>
                <c:pt idx="64">
                  <c:v>1.0190129433295707</c:v>
                </c:pt>
                <c:pt idx="65">
                  <c:v>0.98912940410791217</c:v>
                </c:pt>
                <c:pt idx="66">
                  <c:v>0.91638931051011285</c:v>
                </c:pt>
                <c:pt idx="67">
                  <c:v>0.76297406627275532</c:v>
                </c:pt>
                <c:pt idx="68">
                  <c:v>0.51142985819797593</c:v>
                </c:pt>
                <c:pt idx="69">
                  <c:v>0.3382651974030611</c:v>
                </c:pt>
                <c:pt idx="70">
                  <c:v>0.23576521720086432</c:v>
                </c:pt>
                <c:pt idx="71">
                  <c:v>0.15106930269434912</c:v>
                </c:pt>
                <c:pt idx="72">
                  <c:v>1.012582293774456</c:v>
                </c:pt>
                <c:pt idx="73">
                  <c:v>0.98449706886324517</c:v>
                </c:pt>
                <c:pt idx="74">
                  <c:v>0.91223566632953934</c:v>
                </c:pt>
                <c:pt idx="75">
                  <c:v>0.75948594983251183</c:v>
                </c:pt>
                <c:pt idx="76">
                  <c:v>0.50916469152679067</c:v>
                </c:pt>
                <c:pt idx="77">
                  <c:v>0.3392427897160839</c:v>
                </c:pt>
                <c:pt idx="78">
                  <c:v>0.23784728230321481</c:v>
                </c:pt>
                <c:pt idx="79">
                  <c:v>0.15244523293787032</c:v>
                </c:pt>
                <c:pt idx="80">
                  <c:v>1.0055074210709216</c:v>
                </c:pt>
                <c:pt idx="81">
                  <c:v>0.97890598020802322</c:v>
                </c:pt>
                <c:pt idx="82">
                  <c:v>0.90963746561127357</c:v>
                </c:pt>
                <c:pt idx="83">
                  <c:v>0.75720977841018311</c:v>
                </c:pt>
                <c:pt idx="84">
                  <c:v>0.50723128592900568</c:v>
                </c:pt>
                <c:pt idx="85">
                  <c:v>0.33802918796700238</c:v>
                </c:pt>
                <c:pt idx="86">
                  <c:v>0.23952096263568987</c:v>
                </c:pt>
                <c:pt idx="87">
                  <c:v>0.15356273934142989</c:v>
                </c:pt>
                <c:pt idx="88">
                  <c:v>1.0056971572855147</c:v>
                </c:pt>
                <c:pt idx="89">
                  <c:v>0.97553390684870589</c:v>
                </c:pt>
                <c:pt idx="90">
                  <c:v>0.9090287966579802</c:v>
                </c:pt>
                <c:pt idx="91">
                  <c:v>0.75697959669559278</c:v>
                </c:pt>
                <c:pt idx="92">
                  <c:v>0.50712247686641199</c:v>
                </c:pt>
                <c:pt idx="93">
                  <c:v>0.33797841511828491</c:v>
                </c:pt>
                <c:pt idx="94">
                  <c:v>0.24061038751558428</c:v>
                </c:pt>
                <c:pt idx="95">
                  <c:v>0.15648039412872394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DE0-4B3A-9219-6CC4FF52FAA3}"/>
            </c:ext>
          </c:extLst>
        </c:ser>
        <c:ser>
          <c:idx val="4"/>
          <c:order val="2"/>
          <c:tx>
            <c:v>HEB-355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'HEB_HR_Global Only'!$AJ$198:$AJ$293</c:f>
              <c:numCache>
                <c:formatCode>0.00</c:formatCode>
                <c:ptCount val="96"/>
                <c:pt idx="0">
                  <c:v>0.30043282782211023</c:v>
                </c:pt>
                <c:pt idx="1">
                  <c:v>0.50072137970351704</c:v>
                </c:pt>
                <c:pt idx="2">
                  <c:v>0.75108206955527557</c:v>
                </c:pt>
                <c:pt idx="3">
                  <c:v>1.0014427594070341</c:v>
                </c:pt>
                <c:pt idx="4">
                  <c:v>1.3319188700113553</c:v>
                </c:pt>
                <c:pt idx="5">
                  <c:v>1.6724094082097469</c:v>
                </c:pt>
                <c:pt idx="6">
                  <c:v>2.0028855188140682</c:v>
                </c:pt>
                <c:pt idx="7">
                  <c:v>2.5036068985175852</c:v>
                </c:pt>
                <c:pt idx="8">
                  <c:v>0.30023759943100198</c:v>
                </c:pt>
                <c:pt idx="9">
                  <c:v>0.50039599905166998</c:v>
                </c:pt>
                <c:pt idx="10">
                  <c:v>0.75059399857750497</c:v>
                </c:pt>
                <c:pt idx="11">
                  <c:v>1.00079199810334</c:v>
                </c:pt>
                <c:pt idx="12">
                  <c:v>1.3310533574774421</c:v>
                </c:pt>
                <c:pt idx="13">
                  <c:v>1.6713226368325778</c:v>
                </c:pt>
                <c:pt idx="14">
                  <c:v>2.0015839962066799</c:v>
                </c:pt>
                <c:pt idx="15">
                  <c:v>2.5019799952583499</c:v>
                </c:pt>
                <c:pt idx="16">
                  <c:v>0.30012064951855283</c:v>
                </c:pt>
                <c:pt idx="17">
                  <c:v>0.50020108253092133</c:v>
                </c:pt>
                <c:pt idx="18">
                  <c:v>0.75030162379638188</c:v>
                </c:pt>
                <c:pt idx="19">
                  <c:v>1.0004021650618427</c:v>
                </c:pt>
                <c:pt idx="20">
                  <c:v>1.3305348795322505</c:v>
                </c:pt>
                <c:pt idx="21">
                  <c:v>1.670671615653277</c:v>
                </c:pt>
                <c:pt idx="22">
                  <c:v>2.0008043301236853</c:v>
                </c:pt>
                <c:pt idx="23">
                  <c:v>2.5010054126546066</c:v>
                </c:pt>
                <c:pt idx="24">
                  <c:v>0.30008280069815785</c:v>
                </c:pt>
                <c:pt idx="25">
                  <c:v>0.50013800116359641</c:v>
                </c:pt>
                <c:pt idx="26">
                  <c:v>0.75020700174539456</c:v>
                </c:pt>
                <c:pt idx="27">
                  <c:v>1.0002760023271928</c:v>
                </c:pt>
                <c:pt idx="28">
                  <c:v>1.3303670830951666</c:v>
                </c:pt>
                <c:pt idx="29">
                  <c:v>1.6704609238864119</c:v>
                </c:pt>
                <c:pt idx="30">
                  <c:v>2.0005520046543857</c:v>
                </c:pt>
                <c:pt idx="31">
                  <c:v>2.5006900058179817</c:v>
                </c:pt>
                <c:pt idx="32">
                  <c:v>0.30005493405215328</c:v>
                </c:pt>
                <c:pt idx="33">
                  <c:v>0.50009155675358874</c:v>
                </c:pt>
                <c:pt idx="34">
                  <c:v>0.75013733513038316</c:v>
                </c:pt>
                <c:pt idx="35">
                  <c:v>1.0001831135071775</c:v>
                </c:pt>
                <c:pt idx="36">
                  <c:v>1.3302435409645461</c:v>
                </c:pt>
                <c:pt idx="37">
                  <c:v>1.6703057995569863</c:v>
                </c:pt>
                <c:pt idx="38">
                  <c:v>2.000366227014355</c:v>
                </c:pt>
                <c:pt idx="39">
                  <c:v>2.5004577837679438</c:v>
                </c:pt>
                <c:pt idx="40">
                  <c:v>0.30001794684021782</c:v>
                </c:pt>
                <c:pt idx="41">
                  <c:v>0.50002991140036301</c:v>
                </c:pt>
                <c:pt idx="42">
                  <c:v>0.75004486710054474</c:v>
                </c:pt>
                <c:pt idx="43">
                  <c:v>1.0000598228007263</c:v>
                </c:pt>
                <c:pt idx="44">
                  <c:v>1.3300795643249659</c:v>
                </c:pt>
                <c:pt idx="45">
                  <c:v>1.6700999040772124</c:v>
                </c:pt>
                <c:pt idx="46">
                  <c:v>2.0001196456014525</c:v>
                </c:pt>
                <c:pt idx="47">
                  <c:v>2.5001495570018153</c:v>
                </c:pt>
                <c:pt idx="48">
                  <c:v>0.29997103931219959</c:v>
                </c:pt>
                <c:pt idx="49">
                  <c:v>0.49995173218699923</c:v>
                </c:pt>
                <c:pt idx="50">
                  <c:v>0.74992759828049915</c:v>
                </c:pt>
                <c:pt idx="51">
                  <c:v>0.9999034643739988</c:v>
                </c:pt>
                <c:pt idx="52">
                  <c:v>1.3298716076174186</c:v>
                </c:pt>
                <c:pt idx="53">
                  <c:v>1.6698387855045778</c:v>
                </c:pt>
                <c:pt idx="54">
                  <c:v>1.9998069287479976</c:v>
                </c:pt>
                <c:pt idx="55">
                  <c:v>2.4997586609349973</c:v>
                </c:pt>
                <c:pt idx="56">
                  <c:v>0.2998435678446128</c:v>
                </c:pt>
                <c:pt idx="57">
                  <c:v>0.49973927974102134</c:v>
                </c:pt>
                <c:pt idx="58">
                  <c:v>0.74960891961153187</c:v>
                </c:pt>
                <c:pt idx="59">
                  <c:v>0.99947855948204256</c:v>
                </c:pt>
                <c:pt idx="60">
                  <c:v>1.3293064841111166</c:v>
                </c:pt>
                <c:pt idx="61">
                  <c:v>1.6691291943350108</c:v>
                </c:pt>
                <c:pt idx="62">
                  <c:v>1.9989571189640851</c:v>
                </c:pt>
                <c:pt idx="63">
                  <c:v>2.4986963987051065</c:v>
                </c:pt>
                <c:pt idx="64">
                  <c:v>0.29971966972608882</c:v>
                </c:pt>
                <c:pt idx="65">
                  <c:v>0.49953278287681468</c:v>
                </c:pt>
                <c:pt idx="66">
                  <c:v>0.74929917431522197</c:v>
                </c:pt>
                <c:pt idx="67">
                  <c:v>0.99906556575362926</c:v>
                </c:pt>
                <c:pt idx="68">
                  <c:v>1.3287572024523271</c:v>
                </c:pt>
                <c:pt idx="69">
                  <c:v>1.6684394948085608</c:v>
                </c:pt>
                <c:pt idx="70">
                  <c:v>1.9981311315072585</c:v>
                </c:pt>
                <c:pt idx="71">
                  <c:v>2.4976639143840731</c:v>
                </c:pt>
                <c:pt idx="72">
                  <c:v>0.29955220492491952</c:v>
                </c:pt>
                <c:pt idx="73">
                  <c:v>0.49925367487486583</c:v>
                </c:pt>
                <c:pt idx="74">
                  <c:v>0.74888051231229857</c:v>
                </c:pt>
                <c:pt idx="75">
                  <c:v>0.99850734974973177</c:v>
                </c:pt>
                <c:pt idx="76">
                  <c:v>1.3280147751671432</c:v>
                </c:pt>
                <c:pt idx="77">
                  <c:v>1.6675072740820518</c:v>
                </c:pt>
                <c:pt idx="78">
                  <c:v>1.9970146994994635</c:v>
                </c:pt>
                <c:pt idx="79">
                  <c:v>2.496268374374329</c:v>
                </c:pt>
                <c:pt idx="80">
                  <c:v>0.2993717793402591</c:v>
                </c:pt>
                <c:pt idx="81">
                  <c:v>0.49895296556709862</c:v>
                </c:pt>
                <c:pt idx="82">
                  <c:v>0.74842944835064795</c:v>
                </c:pt>
                <c:pt idx="83">
                  <c:v>0.99790593113419723</c:v>
                </c:pt>
                <c:pt idx="84">
                  <c:v>1.3272148884084825</c:v>
                </c:pt>
                <c:pt idx="85">
                  <c:v>1.6665029049941091</c:v>
                </c:pt>
                <c:pt idx="86">
                  <c:v>1.9958118622683945</c:v>
                </c:pt>
                <c:pt idx="87">
                  <c:v>2.494764827835493</c:v>
                </c:pt>
                <c:pt idx="88">
                  <c:v>0.29913273928922168</c:v>
                </c:pt>
                <c:pt idx="89">
                  <c:v>0.49855456548203619</c:v>
                </c:pt>
                <c:pt idx="90">
                  <c:v>0.74783184822305426</c:v>
                </c:pt>
                <c:pt idx="91">
                  <c:v>0.99710913096407239</c:v>
                </c:pt>
                <c:pt idx="92">
                  <c:v>1.3261551441822164</c:v>
                </c:pt>
                <c:pt idx="93">
                  <c:v>1.6651722487100007</c:v>
                </c:pt>
                <c:pt idx="94">
                  <c:v>1.9942182619281446</c:v>
                </c:pt>
                <c:pt idx="95">
                  <c:v>2.4927728274101808</c:v>
                </c:pt>
              </c:numCache>
            </c:numRef>
          </c:xVal>
          <c:yVal>
            <c:numRef>
              <c:f>'HEB_HR_Global Only'!$AK$198:$AK$293</c:f>
              <c:numCache>
                <c:formatCode>General</c:formatCode>
                <c:ptCount val="96"/>
                <c:pt idx="0">
                  <c:v>1.0747649964417503</c:v>
                </c:pt>
                <c:pt idx="1">
                  <c:v>1.0323724452739798</c:v>
                </c:pt>
                <c:pt idx="2">
                  <c:v>0.93578730447886815</c:v>
                </c:pt>
                <c:pt idx="3">
                  <c:v>0.75553832065413273</c:v>
                </c:pt>
                <c:pt idx="4">
                  <c:v>0.5115024683060978</c:v>
                </c:pt>
                <c:pt idx="5">
                  <c:v>0.34418685059842424</c:v>
                </c:pt>
                <c:pt idx="6">
                  <c:v>0.2424068107221436</c:v>
                </c:pt>
                <c:pt idx="7">
                  <c:v>0.15563706315814058</c:v>
                </c:pt>
                <c:pt idx="8">
                  <c:v>1.0450337201765891</c:v>
                </c:pt>
                <c:pt idx="9">
                  <c:v>1.004129922431823</c:v>
                </c:pt>
                <c:pt idx="10">
                  <c:v>0.9023582730475771</c:v>
                </c:pt>
                <c:pt idx="11">
                  <c:v>0.73629524311311012</c:v>
                </c:pt>
                <c:pt idx="12">
                  <c:v>0.49950139412318045</c:v>
                </c:pt>
                <c:pt idx="13">
                  <c:v>0.33665404570378105</c:v>
                </c:pt>
                <c:pt idx="14">
                  <c:v>0.23749875037499488</c:v>
                </c:pt>
                <c:pt idx="15">
                  <c:v>0.15248028078692527</c:v>
                </c:pt>
                <c:pt idx="16">
                  <c:v>1.0408697921776799</c:v>
                </c:pt>
                <c:pt idx="17">
                  <c:v>1.0005907999015073</c:v>
                </c:pt>
                <c:pt idx="18">
                  <c:v>0.90034634437407779</c:v>
                </c:pt>
                <c:pt idx="19">
                  <c:v>0.73523822158994201</c:v>
                </c:pt>
                <c:pt idx="20">
                  <c:v>0.49903036557282499</c:v>
                </c:pt>
                <c:pt idx="21">
                  <c:v>0.33640739714713935</c:v>
                </c:pt>
                <c:pt idx="22">
                  <c:v>0.23739922568699837</c:v>
                </c:pt>
                <c:pt idx="23">
                  <c:v>0.15240307737363309</c:v>
                </c:pt>
                <c:pt idx="24">
                  <c:v>1.0387589292306123</c:v>
                </c:pt>
                <c:pt idx="25">
                  <c:v>0.99844060437788418</c:v>
                </c:pt>
                <c:pt idx="26">
                  <c:v>0.89907251785153874</c:v>
                </c:pt>
                <c:pt idx="27">
                  <c:v>0.7346012843090296</c:v>
                </c:pt>
                <c:pt idx="28">
                  <c:v>0.49884776120991392</c:v>
                </c:pt>
                <c:pt idx="29">
                  <c:v>0.33633920011099749</c:v>
                </c:pt>
                <c:pt idx="30">
                  <c:v>0.23737972694292728</c:v>
                </c:pt>
                <c:pt idx="31">
                  <c:v>0.15239297214202749</c:v>
                </c:pt>
                <c:pt idx="32">
                  <c:v>1.0512890861642512</c:v>
                </c:pt>
                <c:pt idx="33">
                  <c:v>1.0101926872690719</c:v>
                </c:pt>
                <c:pt idx="34">
                  <c:v>0.91001860024192183</c:v>
                </c:pt>
                <c:pt idx="35">
                  <c:v>0.74373464434541936</c:v>
                </c:pt>
                <c:pt idx="36">
                  <c:v>0.50501108386075722</c:v>
                </c:pt>
                <c:pt idx="37">
                  <c:v>0.34033680252134862</c:v>
                </c:pt>
                <c:pt idx="38">
                  <c:v>0.24000604532295799</c:v>
                </c:pt>
                <c:pt idx="39">
                  <c:v>0.15409787505671635</c:v>
                </c:pt>
                <c:pt idx="40">
                  <c:v>1.0490177917972971</c:v>
                </c:pt>
                <c:pt idx="41">
                  <c:v>1.0082606875148081</c:v>
                </c:pt>
                <c:pt idx="42">
                  <c:v>0.9089354386265821</c:v>
                </c:pt>
                <c:pt idx="43">
                  <c:v>0.74320143797546145</c:v>
                </c:pt>
                <c:pt idx="44">
                  <c:v>0.50478902838670137</c:v>
                </c:pt>
                <c:pt idx="45">
                  <c:v>0.34023320043496302</c:v>
                </c:pt>
                <c:pt idx="46">
                  <c:v>0.23996516064706722</c:v>
                </c:pt>
                <c:pt idx="47">
                  <c:v>0.15406709853535555</c:v>
                </c:pt>
                <c:pt idx="48">
                  <c:v>1.0374244927455463</c:v>
                </c:pt>
                <c:pt idx="49">
                  <c:v>0.99801630034740496</c:v>
                </c:pt>
                <c:pt idx="50">
                  <c:v>0.90055107354268904</c:v>
                </c:pt>
                <c:pt idx="51">
                  <c:v>0.73685484857283012</c:v>
                </c:pt>
                <c:pt idx="52">
                  <c:v>0.50076061222940882</c:v>
                </c:pt>
                <c:pt idx="53">
                  <c:v>0.33765966897241051</c:v>
                </c:pt>
                <c:pt idx="54">
                  <c:v>0.23828312920629444</c:v>
                </c:pt>
                <c:pt idx="55">
                  <c:v>0.15295551330937956</c:v>
                </c:pt>
                <c:pt idx="56">
                  <c:v>1.0249923178360856</c:v>
                </c:pt>
                <c:pt idx="57">
                  <c:v>0.99106101792101087</c:v>
                </c:pt>
                <c:pt idx="58">
                  <c:v>0.90834415761872755</c:v>
                </c:pt>
                <c:pt idx="59">
                  <c:v>0.75074695254457702</c:v>
                </c:pt>
                <c:pt idx="60">
                  <c:v>0.50661340147480471</c:v>
                </c:pt>
                <c:pt idx="61">
                  <c:v>0.33853895585042548</c:v>
                </c:pt>
                <c:pt idx="62">
                  <c:v>0.23682796277865831</c:v>
                </c:pt>
                <c:pt idx="63">
                  <c:v>0.15197859813871983</c:v>
                </c:pt>
                <c:pt idx="64">
                  <c:v>1.0136050808083437</c:v>
                </c:pt>
                <c:pt idx="65">
                  <c:v>0.9811377782415287</c:v>
                </c:pt>
                <c:pt idx="66">
                  <c:v>0.89985303526429927</c:v>
                </c:pt>
                <c:pt idx="67">
                  <c:v>0.7446902955233905</c:v>
                </c:pt>
                <c:pt idx="68">
                  <c:v>0.50261496305443532</c:v>
                </c:pt>
                <c:pt idx="69">
                  <c:v>0.33615986336233716</c:v>
                </c:pt>
                <c:pt idx="70">
                  <c:v>0.23515757488849107</c:v>
                </c:pt>
                <c:pt idx="71">
                  <c:v>0.15087513099392505</c:v>
                </c:pt>
                <c:pt idx="72">
                  <c:v>1.0075594217921311</c:v>
                </c:pt>
                <c:pt idx="73">
                  <c:v>0.9712111143653982</c:v>
                </c:pt>
                <c:pt idx="74">
                  <c:v>0.89668553248702032</c:v>
                </c:pt>
                <c:pt idx="75">
                  <c:v>0.74128040286636265</c:v>
                </c:pt>
                <c:pt idx="76">
                  <c:v>0.50026591406759369</c:v>
                </c:pt>
                <c:pt idx="77">
                  <c:v>0.334773683123127</c:v>
                </c:pt>
                <c:pt idx="78">
                  <c:v>0.2343726205117144</c:v>
                </c:pt>
                <c:pt idx="79">
                  <c:v>0.15034154307941494</c:v>
                </c:pt>
                <c:pt idx="80">
                  <c:v>1.0021712071294775</c:v>
                </c:pt>
                <c:pt idx="81">
                  <c:v>0.96584423524066321</c:v>
                </c:pt>
                <c:pt idx="82">
                  <c:v>0.89358343679844587</c:v>
                </c:pt>
                <c:pt idx="83">
                  <c:v>0.73942587815350846</c:v>
                </c:pt>
                <c:pt idx="84">
                  <c:v>0.49834874948581226</c:v>
                </c:pt>
                <c:pt idx="85">
                  <c:v>0.33400636419537677</c:v>
                </c:pt>
                <c:pt idx="86">
                  <c:v>0.23842987110674316</c:v>
                </c:pt>
                <c:pt idx="87">
                  <c:v>0.15537910507371222</c:v>
                </c:pt>
                <c:pt idx="88">
                  <c:v>1.0012384239439767</c:v>
                </c:pt>
                <c:pt idx="89">
                  <c:v>0.96560386296178158</c:v>
                </c:pt>
                <c:pt idx="90">
                  <c:v>0.89556867812641594</c:v>
                </c:pt>
                <c:pt idx="91">
                  <c:v>0.73960855748356369</c:v>
                </c:pt>
                <c:pt idx="92">
                  <c:v>0.49817792774592284</c:v>
                </c:pt>
                <c:pt idx="93">
                  <c:v>0.33381763047376856</c:v>
                </c:pt>
                <c:pt idx="94">
                  <c:v>0.23836323734115186</c:v>
                </c:pt>
                <c:pt idx="95">
                  <c:v>0.15538593627180808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E0-4B3A-9219-6CC4FF52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'HEB_HR_Global Only'!$AJ$198:$AJ$293</c:f>
              <c:numCache>
                <c:formatCode>0.00</c:formatCode>
                <c:ptCount val="96"/>
                <c:pt idx="0">
                  <c:v>0.30043282782211023</c:v>
                </c:pt>
                <c:pt idx="1">
                  <c:v>0.50072137970351704</c:v>
                </c:pt>
                <c:pt idx="2">
                  <c:v>0.75108206955527557</c:v>
                </c:pt>
                <c:pt idx="3">
                  <c:v>1.0014427594070341</c:v>
                </c:pt>
                <c:pt idx="4">
                  <c:v>1.3319188700113553</c:v>
                </c:pt>
                <c:pt idx="5">
                  <c:v>1.6724094082097469</c:v>
                </c:pt>
                <c:pt idx="6">
                  <c:v>2.0028855188140682</c:v>
                </c:pt>
                <c:pt idx="7">
                  <c:v>2.5036068985175852</c:v>
                </c:pt>
                <c:pt idx="8">
                  <c:v>0.30023759943100198</c:v>
                </c:pt>
                <c:pt idx="9">
                  <c:v>0.50039599905166998</c:v>
                </c:pt>
                <c:pt idx="10">
                  <c:v>0.75059399857750497</c:v>
                </c:pt>
                <c:pt idx="11">
                  <c:v>1.00079199810334</c:v>
                </c:pt>
                <c:pt idx="12">
                  <c:v>1.3310533574774421</c:v>
                </c:pt>
                <c:pt idx="13">
                  <c:v>1.6713226368325778</c:v>
                </c:pt>
                <c:pt idx="14">
                  <c:v>2.0015839962066799</c:v>
                </c:pt>
                <c:pt idx="15">
                  <c:v>2.5019799952583499</c:v>
                </c:pt>
                <c:pt idx="16">
                  <c:v>0.30012064951855283</c:v>
                </c:pt>
                <c:pt idx="17">
                  <c:v>0.50020108253092133</c:v>
                </c:pt>
                <c:pt idx="18">
                  <c:v>0.75030162379638188</c:v>
                </c:pt>
                <c:pt idx="19">
                  <c:v>1.0004021650618427</c:v>
                </c:pt>
                <c:pt idx="20">
                  <c:v>1.3305348795322505</c:v>
                </c:pt>
                <c:pt idx="21">
                  <c:v>1.670671615653277</c:v>
                </c:pt>
                <c:pt idx="22">
                  <c:v>2.0008043301236853</c:v>
                </c:pt>
                <c:pt idx="23">
                  <c:v>2.5010054126546066</c:v>
                </c:pt>
                <c:pt idx="24">
                  <c:v>0.30008280069815785</c:v>
                </c:pt>
                <c:pt idx="25">
                  <c:v>0.50013800116359641</c:v>
                </c:pt>
                <c:pt idx="26">
                  <c:v>0.75020700174539456</c:v>
                </c:pt>
                <c:pt idx="27">
                  <c:v>1.0002760023271928</c:v>
                </c:pt>
                <c:pt idx="28">
                  <c:v>1.3303670830951666</c:v>
                </c:pt>
                <c:pt idx="29">
                  <c:v>1.6704609238864119</c:v>
                </c:pt>
                <c:pt idx="30">
                  <c:v>2.0005520046543857</c:v>
                </c:pt>
                <c:pt idx="31">
                  <c:v>2.5006900058179817</c:v>
                </c:pt>
                <c:pt idx="32">
                  <c:v>0.30005493405215328</c:v>
                </c:pt>
                <c:pt idx="33">
                  <c:v>0.50009155675358874</c:v>
                </c:pt>
                <c:pt idx="34">
                  <c:v>0.75013733513038316</c:v>
                </c:pt>
                <c:pt idx="35">
                  <c:v>1.0001831135071775</c:v>
                </c:pt>
                <c:pt idx="36">
                  <c:v>1.3302435409645461</c:v>
                </c:pt>
                <c:pt idx="37">
                  <c:v>1.6703057995569863</c:v>
                </c:pt>
                <c:pt idx="38">
                  <c:v>2.000366227014355</c:v>
                </c:pt>
                <c:pt idx="39">
                  <c:v>2.5004577837679438</c:v>
                </c:pt>
                <c:pt idx="40">
                  <c:v>0.30001794684021782</c:v>
                </c:pt>
                <c:pt idx="41">
                  <c:v>0.50002991140036301</c:v>
                </c:pt>
                <c:pt idx="42">
                  <c:v>0.75004486710054474</c:v>
                </c:pt>
                <c:pt idx="43">
                  <c:v>1.0000598228007263</c:v>
                </c:pt>
                <c:pt idx="44">
                  <c:v>1.3300795643249659</c:v>
                </c:pt>
                <c:pt idx="45">
                  <c:v>1.6700999040772124</c:v>
                </c:pt>
                <c:pt idx="46">
                  <c:v>2.0001196456014525</c:v>
                </c:pt>
                <c:pt idx="47">
                  <c:v>2.5001495570018153</c:v>
                </c:pt>
                <c:pt idx="48">
                  <c:v>0.29997103931219959</c:v>
                </c:pt>
                <c:pt idx="49">
                  <c:v>0.49995173218699923</c:v>
                </c:pt>
                <c:pt idx="50">
                  <c:v>0.74992759828049915</c:v>
                </c:pt>
                <c:pt idx="51">
                  <c:v>0.9999034643739988</c:v>
                </c:pt>
                <c:pt idx="52">
                  <c:v>1.3298716076174186</c:v>
                </c:pt>
                <c:pt idx="53">
                  <c:v>1.6698387855045778</c:v>
                </c:pt>
                <c:pt idx="54">
                  <c:v>1.9998069287479976</c:v>
                </c:pt>
                <c:pt idx="55">
                  <c:v>2.4997586609349973</c:v>
                </c:pt>
                <c:pt idx="56">
                  <c:v>0.2998435678446128</c:v>
                </c:pt>
                <c:pt idx="57">
                  <c:v>0.49973927974102134</c:v>
                </c:pt>
                <c:pt idx="58">
                  <c:v>0.74960891961153187</c:v>
                </c:pt>
                <c:pt idx="59">
                  <c:v>0.99947855948204256</c:v>
                </c:pt>
                <c:pt idx="60">
                  <c:v>1.3293064841111166</c:v>
                </c:pt>
                <c:pt idx="61">
                  <c:v>1.6691291943350108</c:v>
                </c:pt>
                <c:pt idx="62">
                  <c:v>1.9989571189640851</c:v>
                </c:pt>
                <c:pt idx="63">
                  <c:v>2.4986963987051065</c:v>
                </c:pt>
                <c:pt idx="64">
                  <c:v>0.29971966972608882</c:v>
                </c:pt>
                <c:pt idx="65">
                  <c:v>0.49953278287681468</c:v>
                </c:pt>
                <c:pt idx="66">
                  <c:v>0.74929917431522197</c:v>
                </c:pt>
                <c:pt idx="67">
                  <c:v>0.99906556575362926</c:v>
                </c:pt>
                <c:pt idx="68">
                  <c:v>1.3287572024523271</c:v>
                </c:pt>
                <c:pt idx="69">
                  <c:v>1.6684394948085608</c:v>
                </c:pt>
                <c:pt idx="70">
                  <c:v>1.9981311315072585</c:v>
                </c:pt>
                <c:pt idx="71">
                  <c:v>2.4976639143840731</c:v>
                </c:pt>
                <c:pt idx="72">
                  <c:v>0.29955220492491952</c:v>
                </c:pt>
                <c:pt idx="73">
                  <c:v>0.49925367487486583</c:v>
                </c:pt>
                <c:pt idx="74">
                  <c:v>0.74888051231229857</c:v>
                </c:pt>
                <c:pt idx="75">
                  <c:v>0.99850734974973177</c:v>
                </c:pt>
                <c:pt idx="76">
                  <c:v>1.3280147751671432</c:v>
                </c:pt>
                <c:pt idx="77">
                  <c:v>1.6675072740820518</c:v>
                </c:pt>
                <c:pt idx="78">
                  <c:v>1.9970146994994635</c:v>
                </c:pt>
                <c:pt idx="79">
                  <c:v>2.496268374374329</c:v>
                </c:pt>
                <c:pt idx="80">
                  <c:v>0.2993717793402591</c:v>
                </c:pt>
                <c:pt idx="81">
                  <c:v>0.49895296556709862</c:v>
                </c:pt>
                <c:pt idx="82">
                  <c:v>0.74842944835064795</c:v>
                </c:pt>
                <c:pt idx="83">
                  <c:v>0.99790593113419723</c:v>
                </c:pt>
                <c:pt idx="84">
                  <c:v>1.3272148884084825</c:v>
                </c:pt>
                <c:pt idx="85">
                  <c:v>1.6665029049941091</c:v>
                </c:pt>
                <c:pt idx="86">
                  <c:v>1.9958118622683945</c:v>
                </c:pt>
                <c:pt idx="87">
                  <c:v>2.494764827835493</c:v>
                </c:pt>
                <c:pt idx="88">
                  <c:v>0.29913273928922168</c:v>
                </c:pt>
                <c:pt idx="89">
                  <c:v>0.49855456548203619</c:v>
                </c:pt>
                <c:pt idx="90">
                  <c:v>0.74783184822305426</c:v>
                </c:pt>
                <c:pt idx="91">
                  <c:v>0.99710913096407239</c:v>
                </c:pt>
                <c:pt idx="92">
                  <c:v>1.3261551441822164</c:v>
                </c:pt>
                <c:pt idx="93">
                  <c:v>1.6651722487100007</c:v>
                </c:pt>
                <c:pt idx="94">
                  <c:v>1.9942182619281446</c:v>
                </c:pt>
                <c:pt idx="95">
                  <c:v>2.4927728274101808</c:v>
                </c:pt>
              </c:numCache>
            </c:numRef>
          </c:xVal>
          <c:yVal>
            <c:numRef>
              <c:f>'HEB_HR_Global Only'!$AK$198:$AK$293</c:f>
              <c:numCache>
                <c:formatCode>General</c:formatCode>
                <c:ptCount val="96"/>
                <c:pt idx="0">
                  <c:v>1.0747649964417503</c:v>
                </c:pt>
                <c:pt idx="1">
                  <c:v>1.0323724452739798</c:v>
                </c:pt>
                <c:pt idx="2">
                  <c:v>0.93578730447886815</c:v>
                </c:pt>
                <c:pt idx="3">
                  <c:v>0.75553832065413273</c:v>
                </c:pt>
                <c:pt idx="4">
                  <c:v>0.5115024683060978</c:v>
                </c:pt>
                <c:pt idx="5">
                  <c:v>0.34418685059842424</c:v>
                </c:pt>
                <c:pt idx="6">
                  <c:v>0.2424068107221436</c:v>
                </c:pt>
                <c:pt idx="7">
                  <c:v>0.15563706315814058</c:v>
                </c:pt>
                <c:pt idx="8">
                  <c:v>1.0450337201765891</c:v>
                </c:pt>
                <c:pt idx="9">
                  <c:v>1.004129922431823</c:v>
                </c:pt>
                <c:pt idx="10">
                  <c:v>0.9023582730475771</c:v>
                </c:pt>
                <c:pt idx="11">
                  <c:v>0.73629524311311012</c:v>
                </c:pt>
                <c:pt idx="12">
                  <c:v>0.49950139412318045</c:v>
                </c:pt>
                <c:pt idx="13">
                  <c:v>0.33665404570378105</c:v>
                </c:pt>
                <c:pt idx="14">
                  <c:v>0.23749875037499488</c:v>
                </c:pt>
                <c:pt idx="15">
                  <c:v>0.15248028078692527</c:v>
                </c:pt>
                <c:pt idx="16">
                  <c:v>1.0408697921776799</c:v>
                </c:pt>
                <c:pt idx="17">
                  <c:v>1.0005907999015073</c:v>
                </c:pt>
                <c:pt idx="18">
                  <c:v>0.90034634437407779</c:v>
                </c:pt>
                <c:pt idx="19">
                  <c:v>0.73523822158994201</c:v>
                </c:pt>
                <c:pt idx="20">
                  <c:v>0.49903036557282499</c:v>
                </c:pt>
                <c:pt idx="21">
                  <c:v>0.33640739714713935</c:v>
                </c:pt>
                <c:pt idx="22">
                  <c:v>0.23739922568699837</c:v>
                </c:pt>
                <c:pt idx="23">
                  <c:v>0.15240307737363309</c:v>
                </c:pt>
                <c:pt idx="24">
                  <c:v>1.0387589292306123</c:v>
                </c:pt>
                <c:pt idx="25">
                  <c:v>0.99844060437788418</c:v>
                </c:pt>
                <c:pt idx="26">
                  <c:v>0.89907251785153874</c:v>
                </c:pt>
                <c:pt idx="27">
                  <c:v>0.7346012843090296</c:v>
                </c:pt>
                <c:pt idx="28">
                  <c:v>0.49884776120991392</c:v>
                </c:pt>
                <c:pt idx="29">
                  <c:v>0.33633920011099749</c:v>
                </c:pt>
                <c:pt idx="30">
                  <c:v>0.23737972694292728</c:v>
                </c:pt>
                <c:pt idx="31">
                  <c:v>0.15239297214202749</c:v>
                </c:pt>
                <c:pt idx="32">
                  <c:v>1.0512890861642512</c:v>
                </c:pt>
                <c:pt idx="33">
                  <c:v>1.0101926872690719</c:v>
                </c:pt>
                <c:pt idx="34">
                  <c:v>0.91001860024192183</c:v>
                </c:pt>
                <c:pt idx="35">
                  <c:v>0.74373464434541936</c:v>
                </c:pt>
                <c:pt idx="36">
                  <c:v>0.50501108386075722</c:v>
                </c:pt>
                <c:pt idx="37">
                  <c:v>0.34033680252134862</c:v>
                </c:pt>
                <c:pt idx="38">
                  <c:v>0.24000604532295799</c:v>
                </c:pt>
                <c:pt idx="39">
                  <c:v>0.15409787505671635</c:v>
                </c:pt>
                <c:pt idx="40">
                  <c:v>1.0490177917972971</c:v>
                </c:pt>
                <c:pt idx="41">
                  <c:v>1.0082606875148081</c:v>
                </c:pt>
                <c:pt idx="42">
                  <c:v>0.9089354386265821</c:v>
                </c:pt>
                <c:pt idx="43">
                  <c:v>0.74320143797546145</c:v>
                </c:pt>
                <c:pt idx="44">
                  <c:v>0.50478902838670137</c:v>
                </c:pt>
                <c:pt idx="45">
                  <c:v>0.34023320043496302</c:v>
                </c:pt>
                <c:pt idx="46">
                  <c:v>0.23996516064706722</c:v>
                </c:pt>
                <c:pt idx="47">
                  <c:v>0.15406709853535555</c:v>
                </c:pt>
                <c:pt idx="48">
                  <c:v>1.0374244927455463</c:v>
                </c:pt>
                <c:pt idx="49">
                  <c:v>0.99801630034740496</c:v>
                </c:pt>
                <c:pt idx="50">
                  <c:v>0.90055107354268904</c:v>
                </c:pt>
                <c:pt idx="51">
                  <c:v>0.73685484857283012</c:v>
                </c:pt>
                <c:pt idx="52">
                  <c:v>0.50076061222940882</c:v>
                </c:pt>
                <c:pt idx="53">
                  <c:v>0.33765966897241051</c:v>
                </c:pt>
                <c:pt idx="54">
                  <c:v>0.23828312920629444</c:v>
                </c:pt>
                <c:pt idx="55">
                  <c:v>0.15295551330937956</c:v>
                </c:pt>
                <c:pt idx="56">
                  <c:v>1.0249923178360856</c:v>
                </c:pt>
                <c:pt idx="57">
                  <c:v>0.99106101792101087</c:v>
                </c:pt>
                <c:pt idx="58">
                  <c:v>0.90834415761872755</c:v>
                </c:pt>
                <c:pt idx="59">
                  <c:v>0.75074695254457702</c:v>
                </c:pt>
                <c:pt idx="60">
                  <c:v>0.50661340147480471</c:v>
                </c:pt>
                <c:pt idx="61">
                  <c:v>0.33853895585042548</c:v>
                </c:pt>
                <c:pt idx="62">
                  <c:v>0.23682796277865831</c:v>
                </c:pt>
                <c:pt idx="63">
                  <c:v>0.15197859813871983</c:v>
                </c:pt>
                <c:pt idx="64">
                  <c:v>1.0136050808083437</c:v>
                </c:pt>
                <c:pt idx="65">
                  <c:v>0.9811377782415287</c:v>
                </c:pt>
                <c:pt idx="66">
                  <c:v>0.89985303526429927</c:v>
                </c:pt>
                <c:pt idx="67">
                  <c:v>0.7446902955233905</c:v>
                </c:pt>
                <c:pt idx="68">
                  <c:v>0.50261496305443532</c:v>
                </c:pt>
                <c:pt idx="69">
                  <c:v>0.33615986336233716</c:v>
                </c:pt>
                <c:pt idx="70">
                  <c:v>0.23515757488849107</c:v>
                </c:pt>
                <c:pt idx="71">
                  <c:v>0.15087513099392505</c:v>
                </c:pt>
                <c:pt idx="72">
                  <c:v>1.0075594217921311</c:v>
                </c:pt>
                <c:pt idx="73">
                  <c:v>0.9712111143653982</c:v>
                </c:pt>
                <c:pt idx="74">
                  <c:v>0.89668553248702032</c:v>
                </c:pt>
                <c:pt idx="75">
                  <c:v>0.74128040286636265</c:v>
                </c:pt>
                <c:pt idx="76">
                  <c:v>0.50026591406759369</c:v>
                </c:pt>
                <c:pt idx="77">
                  <c:v>0.334773683123127</c:v>
                </c:pt>
                <c:pt idx="78">
                  <c:v>0.2343726205117144</c:v>
                </c:pt>
                <c:pt idx="79">
                  <c:v>0.15034154307941494</c:v>
                </c:pt>
                <c:pt idx="80">
                  <c:v>1.0021712071294775</c:v>
                </c:pt>
                <c:pt idx="81">
                  <c:v>0.96584423524066321</c:v>
                </c:pt>
                <c:pt idx="82">
                  <c:v>0.89358343679844587</c:v>
                </c:pt>
                <c:pt idx="83">
                  <c:v>0.73942587815350846</c:v>
                </c:pt>
                <c:pt idx="84">
                  <c:v>0.49834874948581226</c:v>
                </c:pt>
                <c:pt idx="85">
                  <c:v>0.33400636419537677</c:v>
                </c:pt>
                <c:pt idx="86">
                  <c:v>0.23842987110674316</c:v>
                </c:pt>
                <c:pt idx="87">
                  <c:v>0.15537910507371222</c:v>
                </c:pt>
                <c:pt idx="88">
                  <c:v>1.0012384239439767</c:v>
                </c:pt>
                <c:pt idx="89">
                  <c:v>0.96560386296178158</c:v>
                </c:pt>
                <c:pt idx="90">
                  <c:v>0.89556867812641594</c:v>
                </c:pt>
                <c:pt idx="91">
                  <c:v>0.73960855748356369</c:v>
                </c:pt>
                <c:pt idx="92">
                  <c:v>0.49817792774592284</c:v>
                </c:pt>
                <c:pt idx="93">
                  <c:v>0.33381763047376856</c:v>
                </c:pt>
                <c:pt idx="94">
                  <c:v>0.23836323734115186</c:v>
                </c:pt>
                <c:pt idx="95">
                  <c:v>0.15538593627180808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B-4AE4-8585-040958C4B60C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'HEB_HR_Global Only'!$AJ$6:$AJ$101</c:f>
              <c:numCache>
                <c:formatCode>0.00</c:formatCode>
                <c:ptCount val="96"/>
                <c:pt idx="0">
                  <c:v>0.30043282782211023</c:v>
                </c:pt>
                <c:pt idx="1">
                  <c:v>0.50072137970351716</c:v>
                </c:pt>
                <c:pt idx="2">
                  <c:v>0.75108206955527557</c:v>
                </c:pt>
                <c:pt idx="3">
                  <c:v>1.0014427594070341</c:v>
                </c:pt>
                <c:pt idx="4">
                  <c:v>1.3319188700113558</c:v>
                </c:pt>
                <c:pt idx="5">
                  <c:v>1.6724094082097469</c:v>
                </c:pt>
                <c:pt idx="6">
                  <c:v>2.0028855188140682</c:v>
                </c:pt>
                <c:pt idx="7">
                  <c:v>2.5036068985175857</c:v>
                </c:pt>
                <c:pt idx="8">
                  <c:v>0.30023759943100203</c:v>
                </c:pt>
                <c:pt idx="9">
                  <c:v>0.50039599905166998</c:v>
                </c:pt>
                <c:pt idx="10">
                  <c:v>0.75059399857750508</c:v>
                </c:pt>
                <c:pt idx="11">
                  <c:v>1.00079199810334</c:v>
                </c:pt>
                <c:pt idx="12">
                  <c:v>1.3310533574774421</c:v>
                </c:pt>
                <c:pt idx="13">
                  <c:v>1.6713226368325775</c:v>
                </c:pt>
                <c:pt idx="14">
                  <c:v>2.0015839962066799</c:v>
                </c:pt>
                <c:pt idx="15">
                  <c:v>2.5019799952583499</c:v>
                </c:pt>
                <c:pt idx="16">
                  <c:v>0.30012064951855283</c:v>
                </c:pt>
                <c:pt idx="17">
                  <c:v>0.50020108253092133</c:v>
                </c:pt>
                <c:pt idx="18">
                  <c:v>0.75030162379638188</c:v>
                </c:pt>
                <c:pt idx="19">
                  <c:v>1.0004021650618424</c:v>
                </c:pt>
                <c:pt idx="20">
                  <c:v>1.3305348795322507</c:v>
                </c:pt>
                <c:pt idx="21">
                  <c:v>1.670671615653277</c:v>
                </c:pt>
                <c:pt idx="22">
                  <c:v>2.0008043301236849</c:v>
                </c:pt>
                <c:pt idx="23">
                  <c:v>2.5010054126546066</c:v>
                </c:pt>
                <c:pt idx="24">
                  <c:v>0.3000828006981579</c:v>
                </c:pt>
                <c:pt idx="25">
                  <c:v>0.50013800116359652</c:v>
                </c:pt>
                <c:pt idx="26">
                  <c:v>0.75020700174539479</c:v>
                </c:pt>
                <c:pt idx="27">
                  <c:v>1.000276002327193</c:v>
                </c:pt>
                <c:pt idx="28">
                  <c:v>1.3303670830951668</c:v>
                </c:pt>
                <c:pt idx="29">
                  <c:v>1.6704609238864121</c:v>
                </c:pt>
                <c:pt idx="30">
                  <c:v>2.0005520046543861</c:v>
                </c:pt>
                <c:pt idx="31">
                  <c:v>2.5006900058179822</c:v>
                </c:pt>
                <c:pt idx="32">
                  <c:v>0.30005493405215333</c:v>
                </c:pt>
                <c:pt idx="33">
                  <c:v>0.50009155675358885</c:v>
                </c:pt>
                <c:pt idx="34">
                  <c:v>0.75013733513038316</c:v>
                </c:pt>
                <c:pt idx="35">
                  <c:v>1.0001831135071775</c:v>
                </c:pt>
                <c:pt idx="36">
                  <c:v>1.3302435409645466</c:v>
                </c:pt>
                <c:pt idx="37">
                  <c:v>1.6703057995569865</c:v>
                </c:pt>
                <c:pt idx="38">
                  <c:v>2.0003662270143554</c:v>
                </c:pt>
                <c:pt idx="39">
                  <c:v>2.5004577837679443</c:v>
                </c:pt>
                <c:pt idx="40">
                  <c:v>0.30001794684021788</c:v>
                </c:pt>
                <c:pt idx="41">
                  <c:v>0.50002991140036313</c:v>
                </c:pt>
                <c:pt idx="42">
                  <c:v>0.75004486710054463</c:v>
                </c:pt>
                <c:pt idx="43">
                  <c:v>1.0000598228007265</c:v>
                </c:pt>
                <c:pt idx="44">
                  <c:v>1.3300795643249663</c:v>
                </c:pt>
                <c:pt idx="45">
                  <c:v>1.6700999040772129</c:v>
                </c:pt>
                <c:pt idx="46">
                  <c:v>2.0001196456014525</c:v>
                </c:pt>
                <c:pt idx="47">
                  <c:v>2.5001495570018153</c:v>
                </c:pt>
                <c:pt idx="48">
                  <c:v>0.29997103931219959</c:v>
                </c:pt>
                <c:pt idx="49">
                  <c:v>0.49995173218699923</c:v>
                </c:pt>
                <c:pt idx="50">
                  <c:v>0.74992759828049904</c:v>
                </c:pt>
                <c:pt idx="51">
                  <c:v>0.9999034643739988</c:v>
                </c:pt>
                <c:pt idx="52">
                  <c:v>1.3298716076174186</c:v>
                </c:pt>
                <c:pt idx="53">
                  <c:v>1.669838785504578</c:v>
                </c:pt>
                <c:pt idx="54">
                  <c:v>1.9998069287479976</c:v>
                </c:pt>
                <c:pt idx="55">
                  <c:v>2.4997586609349969</c:v>
                </c:pt>
                <c:pt idx="56">
                  <c:v>0.2998435678446128</c:v>
                </c:pt>
                <c:pt idx="57">
                  <c:v>0.49973927974102139</c:v>
                </c:pt>
                <c:pt idx="58">
                  <c:v>0.74960891961153198</c:v>
                </c:pt>
                <c:pt idx="59">
                  <c:v>0.99947855948204256</c:v>
                </c:pt>
                <c:pt idx="60">
                  <c:v>1.3293064841111166</c:v>
                </c:pt>
                <c:pt idx="61">
                  <c:v>1.6691291943350111</c:v>
                </c:pt>
                <c:pt idx="62">
                  <c:v>1.9989571189640851</c:v>
                </c:pt>
                <c:pt idx="63">
                  <c:v>2.4986963987051065</c:v>
                </c:pt>
                <c:pt idx="64">
                  <c:v>0.29971966972608888</c:v>
                </c:pt>
                <c:pt idx="65">
                  <c:v>0.4995327828768148</c:v>
                </c:pt>
                <c:pt idx="66">
                  <c:v>0.74929917431522208</c:v>
                </c:pt>
                <c:pt idx="67">
                  <c:v>0.99906556575362937</c:v>
                </c:pt>
                <c:pt idx="68">
                  <c:v>1.3287572024523269</c:v>
                </c:pt>
                <c:pt idx="69">
                  <c:v>1.6684394948085608</c:v>
                </c:pt>
                <c:pt idx="70">
                  <c:v>1.9981311315072585</c:v>
                </c:pt>
                <c:pt idx="71">
                  <c:v>2.4976639143840735</c:v>
                </c:pt>
                <c:pt idx="72">
                  <c:v>0.29955220492491946</c:v>
                </c:pt>
                <c:pt idx="73">
                  <c:v>0.49925367487486577</c:v>
                </c:pt>
                <c:pt idx="74">
                  <c:v>0.74888051231229857</c:v>
                </c:pt>
                <c:pt idx="75">
                  <c:v>0.99850734974973165</c:v>
                </c:pt>
                <c:pt idx="76">
                  <c:v>1.3280147751671429</c:v>
                </c:pt>
                <c:pt idx="77">
                  <c:v>1.6675072740820513</c:v>
                </c:pt>
                <c:pt idx="78">
                  <c:v>1.9970146994994631</c:v>
                </c:pt>
                <c:pt idx="79">
                  <c:v>2.4962683743743286</c:v>
                </c:pt>
                <c:pt idx="80">
                  <c:v>0.2993717793402591</c:v>
                </c:pt>
                <c:pt idx="81">
                  <c:v>0.49895296556709862</c:v>
                </c:pt>
                <c:pt idx="82">
                  <c:v>0.74842944835064795</c:v>
                </c:pt>
                <c:pt idx="83">
                  <c:v>0.99790593113419734</c:v>
                </c:pt>
                <c:pt idx="84">
                  <c:v>1.3272148884084827</c:v>
                </c:pt>
                <c:pt idx="85">
                  <c:v>1.6665029049941091</c:v>
                </c:pt>
                <c:pt idx="86">
                  <c:v>1.9958118622683947</c:v>
                </c:pt>
                <c:pt idx="87">
                  <c:v>2.494764827835493</c:v>
                </c:pt>
                <c:pt idx="88">
                  <c:v>0.29913273928922168</c:v>
                </c:pt>
                <c:pt idx="89">
                  <c:v>0.49855456548203614</c:v>
                </c:pt>
                <c:pt idx="90">
                  <c:v>0.74783184822305426</c:v>
                </c:pt>
                <c:pt idx="91">
                  <c:v>0.99710913096407228</c:v>
                </c:pt>
                <c:pt idx="92">
                  <c:v>1.3261551441822164</c:v>
                </c:pt>
                <c:pt idx="93">
                  <c:v>1.6651722487100005</c:v>
                </c:pt>
                <c:pt idx="94">
                  <c:v>1.9942182619281448</c:v>
                </c:pt>
                <c:pt idx="95">
                  <c:v>2.4927728274101808</c:v>
                </c:pt>
              </c:numCache>
            </c:numRef>
          </c:xVal>
          <c:yVal>
            <c:numRef>
              <c:f>'HEB_HR_Global Only'!$AK$6:$AK$101</c:f>
              <c:numCache>
                <c:formatCode>General</c:formatCode>
                <c:ptCount val="96"/>
                <c:pt idx="0">
                  <c:v>1.0930559392503032</c:v>
                </c:pt>
                <c:pt idx="1">
                  <c:v>1.0594470034448169</c:v>
                </c:pt>
                <c:pt idx="2">
                  <c:v>0.98570124896334188</c:v>
                </c:pt>
                <c:pt idx="3">
                  <c:v>0.81659081166015146</c:v>
                </c:pt>
                <c:pt idx="4">
                  <c:v>0.53742078577687669</c:v>
                </c:pt>
                <c:pt idx="5">
                  <c:v>0.35211625677168412</c:v>
                </c:pt>
                <c:pt idx="6">
                  <c:v>0.24495058623421787</c:v>
                </c:pt>
                <c:pt idx="7">
                  <c:v>0.15666289236565056</c:v>
                </c:pt>
                <c:pt idx="8">
                  <c:v>1.0630651554082322</c:v>
                </c:pt>
                <c:pt idx="9">
                  <c:v>1.0302096246709214</c:v>
                </c:pt>
                <c:pt idx="10">
                  <c:v>0.95935283867897336</c:v>
                </c:pt>
                <c:pt idx="11">
                  <c:v>0.7961162449514404</c:v>
                </c:pt>
                <c:pt idx="12">
                  <c:v>0.52503265074851579</c:v>
                </c:pt>
                <c:pt idx="13">
                  <c:v>0.34477624483988012</c:v>
                </c:pt>
                <c:pt idx="14">
                  <c:v>0.23987022681885684</c:v>
                </c:pt>
                <c:pt idx="15">
                  <c:v>0.15341929563556395</c:v>
                </c:pt>
                <c:pt idx="16">
                  <c:v>1.0584591383931439</c:v>
                </c:pt>
                <c:pt idx="17">
                  <c:v>1.0266291730036294</c:v>
                </c:pt>
                <c:pt idx="18">
                  <c:v>0.9563267302904469</c:v>
                </c:pt>
                <c:pt idx="19">
                  <c:v>0.79445957873329276</c:v>
                </c:pt>
                <c:pt idx="20">
                  <c:v>0.52457833385679009</c:v>
                </c:pt>
                <c:pt idx="21">
                  <c:v>0.34462063984003488</c:v>
                </c:pt>
                <c:pt idx="22">
                  <c:v>0.23972155559412212</c:v>
                </c:pt>
                <c:pt idx="23">
                  <c:v>0.15330692164009416</c:v>
                </c:pt>
                <c:pt idx="24">
                  <c:v>1.0557356253722932</c:v>
                </c:pt>
                <c:pt idx="25">
                  <c:v>1.024426863230681</c:v>
                </c:pt>
                <c:pt idx="26">
                  <c:v>0.95437188656664373</c:v>
                </c:pt>
                <c:pt idx="27">
                  <c:v>0.7932119676181556</c:v>
                </c:pt>
                <c:pt idx="28">
                  <c:v>0.5242026162975727</c:v>
                </c:pt>
                <c:pt idx="29">
                  <c:v>0.34443249181982688</c:v>
                </c:pt>
                <c:pt idx="30">
                  <c:v>0.23960700957155359</c:v>
                </c:pt>
                <c:pt idx="31">
                  <c:v>0.15324389094571311</c:v>
                </c:pt>
                <c:pt idx="32">
                  <c:v>1.068199788003974</c:v>
                </c:pt>
                <c:pt idx="33">
                  <c:v>1.0370908670060237</c:v>
                </c:pt>
                <c:pt idx="34">
                  <c:v>0.96576938968185044</c:v>
                </c:pt>
                <c:pt idx="35">
                  <c:v>0.80244941786661184</c:v>
                </c:pt>
                <c:pt idx="36">
                  <c:v>0.53028176054895748</c:v>
                </c:pt>
                <c:pt idx="37">
                  <c:v>0.34810406658920928</c:v>
                </c:pt>
                <c:pt idx="38">
                  <c:v>0.24219146640297626</c:v>
                </c:pt>
                <c:pt idx="39">
                  <c:v>0.15491675949599443</c:v>
                </c:pt>
                <c:pt idx="40">
                  <c:v>1.0658159533243912</c:v>
                </c:pt>
                <c:pt idx="41">
                  <c:v>1.0350538579421233</c:v>
                </c:pt>
                <c:pt idx="42">
                  <c:v>0.96412588222024287</c:v>
                </c:pt>
                <c:pt idx="43">
                  <c:v>0.80157086898814311</c:v>
                </c:pt>
                <c:pt idx="44">
                  <c:v>0.53004639207823034</c:v>
                </c:pt>
                <c:pt idx="45">
                  <c:v>0.34801693053935362</c:v>
                </c:pt>
                <c:pt idx="46">
                  <c:v>0.24212685963298938</c:v>
                </c:pt>
                <c:pt idx="47">
                  <c:v>0.15486945751400008</c:v>
                </c:pt>
                <c:pt idx="48">
                  <c:v>1.0528705023416387</c:v>
                </c:pt>
                <c:pt idx="49">
                  <c:v>1.0231672084482002</c:v>
                </c:pt>
                <c:pt idx="50">
                  <c:v>0.95365618370840166</c:v>
                </c:pt>
                <c:pt idx="51">
                  <c:v>0.78992000192263101</c:v>
                </c:pt>
                <c:pt idx="52">
                  <c:v>0.52605148807033653</c:v>
                </c:pt>
                <c:pt idx="53">
                  <c:v>0.34568695966171137</c:v>
                </c:pt>
                <c:pt idx="54">
                  <c:v>0.24040950904558789</c:v>
                </c:pt>
                <c:pt idx="55">
                  <c:v>0.1537153180489283</c:v>
                </c:pt>
                <c:pt idx="56">
                  <c:v>1.0399820457971136</c:v>
                </c:pt>
                <c:pt idx="57">
                  <c:v>1.0143573633109397</c:v>
                </c:pt>
                <c:pt idx="58">
                  <c:v>0.95113859384153177</c:v>
                </c:pt>
                <c:pt idx="59">
                  <c:v>0.79512734568132182</c:v>
                </c:pt>
                <c:pt idx="60">
                  <c:v>0.52643022681413931</c:v>
                </c:pt>
                <c:pt idx="61">
                  <c:v>0.3438454100293194</c:v>
                </c:pt>
                <c:pt idx="62">
                  <c:v>0.23897819327027969</c:v>
                </c:pt>
                <c:pt idx="63">
                  <c:v>0.15272667816423446</c:v>
                </c:pt>
                <c:pt idx="64">
                  <c:v>1.027616482126279</c:v>
                </c:pt>
                <c:pt idx="65">
                  <c:v>1.0030863431210035</c:v>
                </c:pt>
                <c:pt idx="66">
                  <c:v>0.94191722193657912</c:v>
                </c:pt>
                <c:pt idx="67">
                  <c:v>0.78828690752498598</c:v>
                </c:pt>
                <c:pt idx="68">
                  <c:v>0.52242205358080906</c:v>
                </c:pt>
                <c:pt idx="69">
                  <c:v>0.34157517586836134</c:v>
                </c:pt>
                <c:pt idx="70">
                  <c:v>0.23728680203021638</c:v>
                </c:pt>
                <c:pt idx="71">
                  <c:v>0.15158337413110426</c:v>
                </c:pt>
                <c:pt idx="72">
                  <c:v>1.0207584712699989</c:v>
                </c:pt>
                <c:pt idx="73">
                  <c:v>0.9969383416641947</c:v>
                </c:pt>
                <c:pt idx="74">
                  <c:v>0.93383023622864592</c:v>
                </c:pt>
                <c:pt idx="75">
                  <c:v>0.78495647132418012</c:v>
                </c:pt>
                <c:pt idx="76">
                  <c:v>0.52046719253422002</c:v>
                </c:pt>
                <c:pt idx="77">
                  <c:v>0.34067155163275886</c:v>
                </c:pt>
                <c:pt idx="78">
                  <c:v>0.23655383520588044</c:v>
                </c:pt>
                <c:pt idx="79">
                  <c:v>0.15105673969162892</c:v>
                </c:pt>
                <c:pt idx="80">
                  <c:v>1.0149296576784561</c:v>
                </c:pt>
                <c:pt idx="81">
                  <c:v>0.99178162554181792</c:v>
                </c:pt>
                <c:pt idx="82">
                  <c:v>0.93032103210338035</c:v>
                </c:pt>
                <c:pt idx="83">
                  <c:v>0.78220400227230125</c:v>
                </c:pt>
                <c:pt idx="84">
                  <c:v>0.51867227379624725</c:v>
                </c:pt>
                <c:pt idx="85">
                  <c:v>0.33976749199239697</c:v>
                </c:pt>
                <c:pt idx="86">
                  <c:v>0.23583878287059343</c:v>
                </c:pt>
                <c:pt idx="87">
                  <c:v>0.15055767146976631</c:v>
                </c:pt>
                <c:pt idx="88">
                  <c:v>1.0137120597873144</c:v>
                </c:pt>
                <c:pt idx="89">
                  <c:v>0.9902258890966078</c:v>
                </c:pt>
                <c:pt idx="90">
                  <c:v>0.93066663371968561</c:v>
                </c:pt>
                <c:pt idx="91">
                  <c:v>0.78180475026847684</c:v>
                </c:pt>
                <c:pt idx="92">
                  <c:v>0.51885036389458339</c:v>
                </c:pt>
                <c:pt idx="93">
                  <c:v>0.34315866818706497</c:v>
                </c:pt>
                <c:pt idx="94">
                  <c:v>0.23864660139536878</c:v>
                </c:pt>
                <c:pt idx="95">
                  <c:v>0.1524351824790732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0B-4AE4-8585-040958C4B60C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'HEB_HR_Global Only'!$AJ$102:$AJ$197</c:f>
              <c:numCache>
                <c:formatCode>0.00</c:formatCode>
                <c:ptCount val="96"/>
                <c:pt idx="0">
                  <c:v>0.30043282782211028</c:v>
                </c:pt>
                <c:pt idx="1">
                  <c:v>0.50072137970351716</c:v>
                </c:pt>
                <c:pt idx="2">
                  <c:v>0.75108206955527568</c:v>
                </c:pt>
                <c:pt idx="3">
                  <c:v>1.0014427594070341</c:v>
                </c:pt>
                <c:pt idx="4">
                  <c:v>1.3319188700113558</c:v>
                </c:pt>
                <c:pt idx="5">
                  <c:v>1.6724094082097472</c:v>
                </c:pt>
                <c:pt idx="6">
                  <c:v>2.0028855188140682</c:v>
                </c:pt>
                <c:pt idx="7">
                  <c:v>2.5036068985175852</c:v>
                </c:pt>
                <c:pt idx="8">
                  <c:v>0.30023759943100203</c:v>
                </c:pt>
                <c:pt idx="9">
                  <c:v>0.50039599905167009</c:v>
                </c:pt>
                <c:pt idx="10">
                  <c:v>0.75059399857750508</c:v>
                </c:pt>
                <c:pt idx="11">
                  <c:v>1.00079199810334</c:v>
                </c:pt>
                <c:pt idx="12">
                  <c:v>1.3310533574774424</c:v>
                </c:pt>
                <c:pt idx="13">
                  <c:v>1.671322636832578</c:v>
                </c:pt>
                <c:pt idx="14">
                  <c:v>2.0015839962066804</c:v>
                </c:pt>
                <c:pt idx="15">
                  <c:v>2.5019799952583499</c:v>
                </c:pt>
                <c:pt idx="16">
                  <c:v>0.30012064951855277</c:v>
                </c:pt>
                <c:pt idx="17">
                  <c:v>0.50020108253092133</c:v>
                </c:pt>
                <c:pt idx="18">
                  <c:v>0.75030162379638188</c:v>
                </c:pt>
                <c:pt idx="19">
                  <c:v>1.0004021650618424</c:v>
                </c:pt>
                <c:pt idx="20">
                  <c:v>1.3305348795322507</c:v>
                </c:pt>
                <c:pt idx="21">
                  <c:v>1.6706716156532768</c:v>
                </c:pt>
                <c:pt idx="22">
                  <c:v>2.0008043301236853</c:v>
                </c:pt>
                <c:pt idx="23">
                  <c:v>2.5010054126546062</c:v>
                </c:pt>
                <c:pt idx="24">
                  <c:v>0.30008280069815785</c:v>
                </c:pt>
                <c:pt idx="25">
                  <c:v>0.50013800116359652</c:v>
                </c:pt>
                <c:pt idx="26">
                  <c:v>0.75020700174539467</c:v>
                </c:pt>
                <c:pt idx="27">
                  <c:v>1.000276002327193</c:v>
                </c:pt>
                <c:pt idx="28">
                  <c:v>1.3303670830951666</c:v>
                </c:pt>
                <c:pt idx="29">
                  <c:v>1.6704609238864119</c:v>
                </c:pt>
                <c:pt idx="30">
                  <c:v>2.0005520046543861</c:v>
                </c:pt>
                <c:pt idx="31">
                  <c:v>2.5006900058179822</c:v>
                </c:pt>
                <c:pt idx="32">
                  <c:v>0.30005493405215333</c:v>
                </c:pt>
                <c:pt idx="33">
                  <c:v>0.50009155675358885</c:v>
                </c:pt>
                <c:pt idx="34">
                  <c:v>0.75013733513038316</c:v>
                </c:pt>
                <c:pt idx="35">
                  <c:v>1.0001831135071777</c:v>
                </c:pt>
                <c:pt idx="36">
                  <c:v>1.3302435409645463</c:v>
                </c:pt>
                <c:pt idx="37">
                  <c:v>1.6703057995569863</c:v>
                </c:pt>
                <c:pt idx="38">
                  <c:v>2.0003662270143554</c:v>
                </c:pt>
                <c:pt idx="39">
                  <c:v>2.5004577837679438</c:v>
                </c:pt>
                <c:pt idx="40">
                  <c:v>0.30001794684021788</c:v>
                </c:pt>
                <c:pt idx="41">
                  <c:v>0.50002991140036313</c:v>
                </c:pt>
                <c:pt idx="42">
                  <c:v>0.75004486710054474</c:v>
                </c:pt>
                <c:pt idx="43">
                  <c:v>1.0000598228007263</c:v>
                </c:pt>
                <c:pt idx="44">
                  <c:v>1.3300795643249661</c:v>
                </c:pt>
                <c:pt idx="45">
                  <c:v>1.6700999040772129</c:v>
                </c:pt>
                <c:pt idx="46">
                  <c:v>2.0001196456014525</c:v>
                </c:pt>
                <c:pt idx="47">
                  <c:v>2.5001495570018153</c:v>
                </c:pt>
                <c:pt idx="48">
                  <c:v>0.29997103931219965</c:v>
                </c:pt>
                <c:pt idx="49">
                  <c:v>0.49995173218699929</c:v>
                </c:pt>
                <c:pt idx="50">
                  <c:v>0.74992759828049915</c:v>
                </c:pt>
                <c:pt idx="51">
                  <c:v>0.9999034643739988</c:v>
                </c:pt>
                <c:pt idx="52">
                  <c:v>1.3298716076174184</c:v>
                </c:pt>
                <c:pt idx="53">
                  <c:v>1.669838785504578</c:v>
                </c:pt>
                <c:pt idx="54">
                  <c:v>1.9998069287479976</c:v>
                </c:pt>
                <c:pt idx="55">
                  <c:v>2.4997586609349973</c:v>
                </c:pt>
                <c:pt idx="56">
                  <c:v>0.2998435678446128</c:v>
                </c:pt>
                <c:pt idx="57">
                  <c:v>0.49973927974102145</c:v>
                </c:pt>
                <c:pt idx="58">
                  <c:v>0.74960891961153187</c:v>
                </c:pt>
                <c:pt idx="59">
                  <c:v>0.99947855948204267</c:v>
                </c:pt>
                <c:pt idx="60">
                  <c:v>1.3293064841111168</c:v>
                </c:pt>
                <c:pt idx="61">
                  <c:v>1.6691291943350108</c:v>
                </c:pt>
                <c:pt idx="62">
                  <c:v>1.9989571189640853</c:v>
                </c:pt>
                <c:pt idx="63">
                  <c:v>2.4986963987051061</c:v>
                </c:pt>
                <c:pt idx="64">
                  <c:v>0.29971966972608888</c:v>
                </c:pt>
                <c:pt idx="65">
                  <c:v>0.4995327828768148</c:v>
                </c:pt>
                <c:pt idx="66">
                  <c:v>0.74929917431522208</c:v>
                </c:pt>
                <c:pt idx="67">
                  <c:v>0.99906556575362948</c:v>
                </c:pt>
                <c:pt idx="68">
                  <c:v>1.3287572024523275</c:v>
                </c:pt>
                <c:pt idx="69">
                  <c:v>1.6684394948085612</c:v>
                </c:pt>
                <c:pt idx="70">
                  <c:v>1.9981311315072587</c:v>
                </c:pt>
                <c:pt idx="71">
                  <c:v>2.497663914384074</c:v>
                </c:pt>
                <c:pt idx="72">
                  <c:v>0.29955220492491946</c:v>
                </c:pt>
                <c:pt idx="73">
                  <c:v>0.49925367487486583</c:v>
                </c:pt>
                <c:pt idx="74">
                  <c:v>0.74888051231229857</c:v>
                </c:pt>
                <c:pt idx="75">
                  <c:v>0.99850734974973165</c:v>
                </c:pt>
                <c:pt idx="76">
                  <c:v>1.3280147751671432</c:v>
                </c:pt>
                <c:pt idx="77">
                  <c:v>1.6675072740820518</c:v>
                </c:pt>
                <c:pt idx="78">
                  <c:v>1.9970146994994633</c:v>
                </c:pt>
                <c:pt idx="79">
                  <c:v>2.496268374374329</c:v>
                </c:pt>
                <c:pt idx="80">
                  <c:v>0.2993717793402591</c:v>
                </c:pt>
                <c:pt idx="81">
                  <c:v>0.49895296556709862</c:v>
                </c:pt>
                <c:pt idx="82">
                  <c:v>0.74842944835064795</c:v>
                </c:pt>
                <c:pt idx="83">
                  <c:v>0.99790593113419723</c:v>
                </c:pt>
                <c:pt idx="84">
                  <c:v>1.3272148884084825</c:v>
                </c:pt>
                <c:pt idx="85">
                  <c:v>1.6665029049941094</c:v>
                </c:pt>
                <c:pt idx="86">
                  <c:v>1.9958118622683947</c:v>
                </c:pt>
                <c:pt idx="87">
                  <c:v>2.494764827835493</c:v>
                </c:pt>
                <c:pt idx="88">
                  <c:v>0.29913273928922163</c:v>
                </c:pt>
                <c:pt idx="89">
                  <c:v>0.49855456548203625</c:v>
                </c:pt>
                <c:pt idx="90">
                  <c:v>0.74783184822305426</c:v>
                </c:pt>
                <c:pt idx="91">
                  <c:v>0.99710913096407239</c:v>
                </c:pt>
                <c:pt idx="92">
                  <c:v>1.3261551441822161</c:v>
                </c:pt>
                <c:pt idx="93">
                  <c:v>1.6651722487100005</c:v>
                </c:pt>
                <c:pt idx="94">
                  <c:v>1.9942182619281448</c:v>
                </c:pt>
                <c:pt idx="95">
                  <c:v>2.4927728274101804</c:v>
                </c:pt>
              </c:numCache>
            </c:numRef>
          </c:xVal>
          <c:yVal>
            <c:numRef>
              <c:f>'HEB_HR_Global Only'!$AK$102:$AK$197</c:f>
              <c:numCache>
                <c:formatCode>General</c:formatCode>
                <c:ptCount val="96"/>
                <c:pt idx="0">
                  <c:v>1.0819140331503621</c:v>
                </c:pt>
                <c:pt idx="1">
                  <c:v>1.0435192710995482</c:v>
                </c:pt>
                <c:pt idx="2">
                  <c:v>0.95685838356644515</c:v>
                </c:pt>
                <c:pt idx="3">
                  <c:v>0.77885343446959576</c:v>
                </c:pt>
                <c:pt idx="4">
                  <c:v>0.52350822272032904</c:v>
                </c:pt>
                <c:pt idx="5">
                  <c:v>0.34819447934848974</c:v>
                </c:pt>
                <c:pt idx="6">
                  <c:v>0.2431741027333158</c:v>
                </c:pt>
                <c:pt idx="7">
                  <c:v>0.15595671094794464</c:v>
                </c:pt>
                <c:pt idx="8">
                  <c:v>1.0518177718810198</c:v>
                </c:pt>
                <c:pt idx="9">
                  <c:v>1.0141405993731387</c:v>
                </c:pt>
                <c:pt idx="10">
                  <c:v>0.92984938092642455</c:v>
                </c:pt>
                <c:pt idx="11">
                  <c:v>0.75923282731564301</c:v>
                </c:pt>
                <c:pt idx="12">
                  <c:v>0.5113514645524051</c:v>
                </c:pt>
                <c:pt idx="13">
                  <c:v>0.34092654090390623</c:v>
                </c:pt>
                <c:pt idx="14">
                  <c:v>0.23821140212376421</c:v>
                </c:pt>
                <c:pt idx="15">
                  <c:v>0.15276855203836429</c:v>
                </c:pt>
                <c:pt idx="16">
                  <c:v>1.0476547866545591</c:v>
                </c:pt>
                <c:pt idx="17">
                  <c:v>1.0106382927001292</c:v>
                </c:pt>
                <c:pt idx="18">
                  <c:v>0.92718121979927903</c:v>
                </c:pt>
                <c:pt idx="19">
                  <c:v>0.75804397101300525</c:v>
                </c:pt>
                <c:pt idx="20">
                  <c:v>0.5108696422027037</c:v>
                </c:pt>
                <c:pt idx="21">
                  <c:v>0.34073982872615288</c:v>
                </c:pt>
                <c:pt idx="22">
                  <c:v>0.23808860720171676</c:v>
                </c:pt>
                <c:pt idx="23">
                  <c:v>0.15267612527163921</c:v>
                </c:pt>
                <c:pt idx="24">
                  <c:v>1.0453171378531838</c:v>
                </c:pt>
                <c:pt idx="25">
                  <c:v>1.0086385831367903</c:v>
                </c:pt>
                <c:pt idx="26">
                  <c:v>0.92548718037714195</c:v>
                </c:pt>
                <c:pt idx="27">
                  <c:v>0.75729061163036959</c:v>
                </c:pt>
                <c:pt idx="28">
                  <c:v>0.51061546716749773</c:v>
                </c:pt>
                <c:pt idx="29">
                  <c:v>0.34063585051087869</c:v>
                </c:pt>
                <c:pt idx="30">
                  <c:v>0.23803931558876243</c:v>
                </c:pt>
                <c:pt idx="31">
                  <c:v>0.1526470943732986</c:v>
                </c:pt>
                <c:pt idx="32">
                  <c:v>1.0577841630553135</c:v>
                </c:pt>
                <c:pt idx="33">
                  <c:v>1.0210468381047237</c:v>
                </c:pt>
                <c:pt idx="34">
                  <c:v>0.93680021087840126</c:v>
                </c:pt>
                <c:pt idx="35">
                  <c:v>0.76656453804229008</c:v>
                </c:pt>
                <c:pt idx="36">
                  <c:v>0.5167933343178307</c:v>
                </c:pt>
                <c:pt idx="37">
                  <c:v>0.34445744621712865</c:v>
                </c:pt>
                <c:pt idx="38">
                  <c:v>0.2406480369158</c:v>
                </c:pt>
                <c:pt idx="39">
                  <c:v>0.15433865764559829</c:v>
                </c:pt>
                <c:pt idx="40">
                  <c:v>1.0553682184939361</c:v>
                </c:pt>
                <c:pt idx="41">
                  <c:v>1.0191778303158379</c:v>
                </c:pt>
                <c:pt idx="42">
                  <c:v>0.9351674994316086</c:v>
                </c:pt>
                <c:pt idx="43">
                  <c:v>0.76599881355775246</c:v>
                </c:pt>
                <c:pt idx="44">
                  <c:v>0.51654541437354318</c:v>
                </c:pt>
                <c:pt idx="45">
                  <c:v>0.34437869600548454</c:v>
                </c:pt>
                <c:pt idx="46">
                  <c:v>0.24059825725781772</c:v>
                </c:pt>
                <c:pt idx="47">
                  <c:v>0.15430023398940149</c:v>
                </c:pt>
                <c:pt idx="48">
                  <c:v>1.0431730249253885</c:v>
                </c:pt>
                <c:pt idx="49">
                  <c:v>1.0088582720461445</c:v>
                </c:pt>
                <c:pt idx="50">
                  <c:v>0.92566967359351737</c:v>
                </c:pt>
                <c:pt idx="51">
                  <c:v>0.75935099839290332</c:v>
                </c:pt>
                <c:pt idx="52">
                  <c:v>0.51242982191888664</c:v>
                </c:pt>
                <c:pt idx="53">
                  <c:v>0.34193900002600386</c:v>
                </c:pt>
                <c:pt idx="54">
                  <c:v>0.23889736765974201</c:v>
                </c:pt>
                <c:pt idx="55">
                  <c:v>0.15317238744298295</c:v>
                </c:pt>
                <c:pt idx="56">
                  <c:v>1.0305097964255476</c:v>
                </c:pt>
                <c:pt idx="57">
                  <c:v>1.0001607087494071</c:v>
                </c:pt>
                <c:pt idx="58">
                  <c:v>0.92462833499392005</c:v>
                </c:pt>
                <c:pt idx="59">
                  <c:v>0.76937442980747517</c:v>
                </c:pt>
                <c:pt idx="60">
                  <c:v>0.51552827620721264</c:v>
                </c:pt>
                <c:pt idx="61">
                  <c:v>0.34056940692266968</c:v>
                </c:pt>
                <c:pt idx="62">
                  <c:v>0.23744640897491537</c:v>
                </c:pt>
                <c:pt idx="63">
                  <c:v>0.1521881349816874</c:v>
                </c:pt>
                <c:pt idx="64">
                  <c:v>1.0190129433295707</c:v>
                </c:pt>
                <c:pt idx="65">
                  <c:v>0.98912940410791217</c:v>
                </c:pt>
                <c:pt idx="66">
                  <c:v>0.91638931051011285</c:v>
                </c:pt>
                <c:pt idx="67">
                  <c:v>0.76297406627275532</c:v>
                </c:pt>
                <c:pt idx="68">
                  <c:v>0.51142985819797593</c:v>
                </c:pt>
                <c:pt idx="69">
                  <c:v>0.3382651974030611</c:v>
                </c:pt>
                <c:pt idx="70">
                  <c:v>0.23576521720086432</c:v>
                </c:pt>
                <c:pt idx="71">
                  <c:v>0.15106930269434912</c:v>
                </c:pt>
                <c:pt idx="72">
                  <c:v>1.012582293774456</c:v>
                </c:pt>
                <c:pt idx="73">
                  <c:v>0.98449706886324517</c:v>
                </c:pt>
                <c:pt idx="74">
                  <c:v>0.91223566632953934</c:v>
                </c:pt>
                <c:pt idx="75">
                  <c:v>0.75948594983251183</c:v>
                </c:pt>
                <c:pt idx="76">
                  <c:v>0.50916469152679067</c:v>
                </c:pt>
                <c:pt idx="77">
                  <c:v>0.3392427897160839</c:v>
                </c:pt>
                <c:pt idx="78">
                  <c:v>0.23784728230321481</c:v>
                </c:pt>
                <c:pt idx="79">
                  <c:v>0.15244523293787032</c:v>
                </c:pt>
                <c:pt idx="80">
                  <c:v>1.0055074210709216</c:v>
                </c:pt>
                <c:pt idx="81">
                  <c:v>0.97890598020802322</c:v>
                </c:pt>
                <c:pt idx="82">
                  <c:v>0.90963746561127357</c:v>
                </c:pt>
                <c:pt idx="83">
                  <c:v>0.75720977841018311</c:v>
                </c:pt>
                <c:pt idx="84">
                  <c:v>0.50723128592900568</c:v>
                </c:pt>
                <c:pt idx="85">
                  <c:v>0.33802918796700238</c:v>
                </c:pt>
                <c:pt idx="86">
                  <c:v>0.23952096263568987</c:v>
                </c:pt>
                <c:pt idx="87">
                  <c:v>0.15356273934142989</c:v>
                </c:pt>
                <c:pt idx="88">
                  <c:v>1.0056971572855147</c:v>
                </c:pt>
                <c:pt idx="89">
                  <c:v>0.97553390684870589</c:v>
                </c:pt>
                <c:pt idx="90">
                  <c:v>0.9090287966579802</c:v>
                </c:pt>
                <c:pt idx="91">
                  <c:v>0.75697959669559278</c:v>
                </c:pt>
                <c:pt idx="92">
                  <c:v>0.50712247686641199</c:v>
                </c:pt>
                <c:pt idx="93">
                  <c:v>0.33797841511828491</c:v>
                </c:pt>
                <c:pt idx="94">
                  <c:v>0.24061038751558428</c:v>
                </c:pt>
                <c:pt idx="95">
                  <c:v>0.15648039412872394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B-4AE4-8585-040958C4B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IPE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'IPE_HR_Global Only'!$AJ$6:$AJ$101</c:f>
              <c:numCache>
                <c:formatCode>0.00</c:formatCode>
                <c:ptCount val="96"/>
                <c:pt idx="0">
                  <c:v>0.29924751051933657</c:v>
                </c:pt>
                <c:pt idx="1">
                  <c:v>0.498745850865561</c:v>
                </c:pt>
                <c:pt idx="2">
                  <c:v>0.74811877629834156</c:v>
                </c:pt>
                <c:pt idx="3">
                  <c:v>0.99749170173112212</c:v>
                </c:pt>
                <c:pt idx="4">
                  <c:v>1.3266639633023927</c:v>
                </c:pt>
                <c:pt idx="5">
                  <c:v>1.6658111418909738</c:v>
                </c:pt>
                <c:pt idx="6">
                  <c:v>1.9949834034622442</c:v>
                </c:pt>
                <c:pt idx="7">
                  <c:v>2.4937292543278056</c:v>
                </c:pt>
                <c:pt idx="8">
                  <c:v>0.29922814760714123</c:v>
                </c:pt>
                <c:pt idx="9">
                  <c:v>0.4987135793452353</c:v>
                </c:pt>
                <c:pt idx="10">
                  <c:v>0.74807036901785295</c:v>
                </c:pt>
                <c:pt idx="11">
                  <c:v>0.99742715869047061</c:v>
                </c:pt>
                <c:pt idx="12">
                  <c:v>1.3265781210583261</c:v>
                </c:pt>
                <c:pt idx="13">
                  <c:v>1.6657033550130858</c:v>
                </c:pt>
                <c:pt idx="14">
                  <c:v>1.9948543173809412</c:v>
                </c:pt>
                <c:pt idx="15">
                  <c:v>2.4935678967261765</c:v>
                </c:pt>
                <c:pt idx="16">
                  <c:v>0.29925223117973881</c:v>
                </c:pt>
                <c:pt idx="17">
                  <c:v>0.49875371863289808</c:v>
                </c:pt>
                <c:pt idx="18">
                  <c:v>0.7481305779493469</c:v>
                </c:pt>
                <c:pt idx="19">
                  <c:v>0.99750743726579594</c:v>
                </c:pt>
                <c:pt idx="20">
                  <c:v>1.3266848915635086</c:v>
                </c:pt>
                <c:pt idx="21">
                  <c:v>1.665837420233879</c:v>
                </c:pt>
                <c:pt idx="22">
                  <c:v>1.9950148745315921</c:v>
                </c:pt>
                <c:pt idx="23">
                  <c:v>2.4937685931644897</c:v>
                </c:pt>
                <c:pt idx="24">
                  <c:v>0.29929050726081385</c:v>
                </c:pt>
                <c:pt idx="25">
                  <c:v>0.49881751210135639</c:v>
                </c:pt>
                <c:pt idx="26">
                  <c:v>0.74822626815203441</c:v>
                </c:pt>
                <c:pt idx="27">
                  <c:v>0.99763502420271255</c:v>
                </c:pt>
                <c:pt idx="28">
                  <c:v>1.3268545821896078</c:v>
                </c:pt>
                <c:pt idx="29">
                  <c:v>1.6660504904185298</c:v>
                </c:pt>
                <c:pt idx="30">
                  <c:v>1.9952700484054251</c:v>
                </c:pt>
                <c:pt idx="31">
                  <c:v>2.4940875605067814</c:v>
                </c:pt>
                <c:pt idx="32">
                  <c:v>0.29932592879729519</c:v>
                </c:pt>
                <c:pt idx="33">
                  <c:v>0.49887654799549197</c:v>
                </c:pt>
                <c:pt idx="34">
                  <c:v>0.74831482199323773</c:v>
                </c:pt>
                <c:pt idx="35">
                  <c:v>0.99775309599098361</c:v>
                </c:pt>
                <c:pt idx="36">
                  <c:v>1.3270116176680082</c:v>
                </c:pt>
                <c:pt idx="37">
                  <c:v>1.6662476703049425</c:v>
                </c:pt>
                <c:pt idx="38">
                  <c:v>1.9955061919819672</c:v>
                </c:pt>
                <c:pt idx="39">
                  <c:v>2.4943827399774592</c:v>
                </c:pt>
                <c:pt idx="40">
                  <c:v>0.29938873038742086</c:v>
                </c:pt>
                <c:pt idx="41">
                  <c:v>0.49898121731236816</c:v>
                </c:pt>
                <c:pt idx="42">
                  <c:v>0.74847182596855233</c:v>
                </c:pt>
                <c:pt idx="43">
                  <c:v>0.99796243462473644</c:v>
                </c:pt>
                <c:pt idx="44">
                  <c:v>1.3272900380508996</c:v>
                </c:pt>
                <c:pt idx="45">
                  <c:v>1.6665972658233097</c:v>
                </c:pt>
                <c:pt idx="46">
                  <c:v>1.9959248692494729</c:v>
                </c:pt>
                <c:pt idx="47">
                  <c:v>2.4949060865618411</c:v>
                </c:pt>
                <c:pt idx="48">
                  <c:v>0.29939275678022886</c:v>
                </c:pt>
                <c:pt idx="49">
                  <c:v>0.49898792796704811</c:v>
                </c:pt>
                <c:pt idx="50">
                  <c:v>0.74848189195057235</c:v>
                </c:pt>
                <c:pt idx="51">
                  <c:v>0.99797585593409655</c:v>
                </c:pt>
                <c:pt idx="52">
                  <c:v>1.3273078883923486</c:v>
                </c:pt>
                <c:pt idx="53">
                  <c:v>1.6666196794099413</c:v>
                </c:pt>
                <c:pt idx="54">
                  <c:v>1.9959517118681931</c:v>
                </c:pt>
                <c:pt idx="55">
                  <c:v>2.4949396398352417</c:v>
                </c:pt>
                <c:pt idx="56">
                  <c:v>0.29939218103412951</c:v>
                </c:pt>
                <c:pt idx="57">
                  <c:v>0.49898696839021595</c:v>
                </c:pt>
                <c:pt idx="58">
                  <c:v>0.74848045258532392</c:v>
                </c:pt>
                <c:pt idx="59">
                  <c:v>0.99797393678043189</c:v>
                </c:pt>
                <c:pt idx="60">
                  <c:v>1.3273053359179745</c:v>
                </c:pt>
                <c:pt idx="61">
                  <c:v>1.6666164744233212</c:v>
                </c:pt>
                <c:pt idx="62">
                  <c:v>1.9959478735608638</c:v>
                </c:pt>
                <c:pt idx="63">
                  <c:v>2.4949348419510797</c:v>
                </c:pt>
                <c:pt idx="64">
                  <c:v>0.29929005941332387</c:v>
                </c:pt>
                <c:pt idx="65">
                  <c:v>0.49881676568887312</c:v>
                </c:pt>
                <c:pt idx="66">
                  <c:v>0.74822514853330968</c:v>
                </c:pt>
                <c:pt idx="67">
                  <c:v>0.99763353137774624</c:v>
                </c:pt>
                <c:pt idx="68">
                  <c:v>1.3268525967324025</c:v>
                </c:pt>
                <c:pt idx="69">
                  <c:v>1.666047997400836</c:v>
                </c:pt>
                <c:pt idx="70">
                  <c:v>1.9952670627554925</c:v>
                </c:pt>
                <c:pt idx="71">
                  <c:v>2.4940838284443654</c:v>
                </c:pt>
                <c:pt idx="72">
                  <c:v>0.2992478664070331</c:v>
                </c:pt>
                <c:pt idx="73">
                  <c:v>0.4987464440117218</c:v>
                </c:pt>
                <c:pt idx="74">
                  <c:v>0.74811966601758262</c:v>
                </c:pt>
                <c:pt idx="75">
                  <c:v>0.9974928880234436</c:v>
                </c:pt>
                <c:pt idx="76">
                  <c:v>1.3266655410711803</c:v>
                </c:pt>
                <c:pt idx="77">
                  <c:v>1.6658131229991509</c:v>
                </c:pt>
                <c:pt idx="78">
                  <c:v>1.9949857760468874</c:v>
                </c:pt>
                <c:pt idx="79">
                  <c:v>2.4937322200586092</c:v>
                </c:pt>
                <c:pt idx="80">
                  <c:v>0.29919297056730504</c:v>
                </c:pt>
                <c:pt idx="81">
                  <c:v>0.49865495094550838</c:v>
                </c:pt>
                <c:pt idx="82">
                  <c:v>0.74798242641826262</c:v>
                </c:pt>
                <c:pt idx="83">
                  <c:v>0.99730990189101676</c:v>
                </c:pt>
                <c:pt idx="84">
                  <c:v>1.3264221695150524</c:v>
                </c:pt>
                <c:pt idx="85">
                  <c:v>1.6655075361579978</c:v>
                </c:pt>
                <c:pt idx="86">
                  <c:v>1.9946198037820335</c:v>
                </c:pt>
                <c:pt idx="87">
                  <c:v>2.4932747547275418</c:v>
                </c:pt>
                <c:pt idx="88">
                  <c:v>0.29916133483161483</c:v>
                </c:pt>
                <c:pt idx="89">
                  <c:v>0.49860222471935822</c:v>
                </c:pt>
                <c:pt idx="90">
                  <c:v>0.74790333707903744</c:v>
                </c:pt>
                <c:pt idx="91">
                  <c:v>0.99720444943871644</c:v>
                </c:pt>
                <c:pt idx="92">
                  <c:v>1.326281917753493</c:v>
                </c:pt>
                <c:pt idx="93">
                  <c:v>1.6653314305626563</c:v>
                </c:pt>
                <c:pt idx="94">
                  <c:v>1.9944088988774331</c:v>
                </c:pt>
                <c:pt idx="95">
                  <c:v>2.4930111235967911</c:v>
                </c:pt>
              </c:numCache>
            </c:numRef>
          </c:xVal>
          <c:yVal>
            <c:numRef>
              <c:f>'IPE_HR_Global Only'!$AK$6:$AK$101</c:f>
              <c:numCache>
                <c:formatCode>General</c:formatCode>
                <c:ptCount val="96"/>
                <c:pt idx="0">
                  <c:v>1.0700407711814643</c:v>
                </c:pt>
                <c:pt idx="1">
                  <c:v>1.0373999331771029</c:v>
                </c:pt>
                <c:pt idx="2">
                  <c:v>0.97508970332601241</c:v>
                </c:pt>
                <c:pt idx="3">
                  <c:v>0.80991369465576613</c:v>
                </c:pt>
                <c:pt idx="4">
                  <c:v>0.53508352285094851</c:v>
                </c:pt>
                <c:pt idx="5">
                  <c:v>0.34935589121173921</c:v>
                </c:pt>
                <c:pt idx="6">
                  <c:v>0.24250708381767508</c:v>
                </c:pt>
                <c:pt idx="7">
                  <c:v>0.15481557732985049</c:v>
                </c:pt>
                <c:pt idx="8">
                  <c:v>1.0838105686435437</c:v>
                </c:pt>
                <c:pt idx="9">
                  <c:v>1.0514376805671015</c:v>
                </c:pt>
                <c:pt idx="10">
                  <c:v>0.98898120231785513</c:v>
                </c:pt>
                <c:pt idx="11">
                  <c:v>0.82192337205719901</c:v>
                </c:pt>
                <c:pt idx="12">
                  <c:v>0.54359596407161148</c:v>
                </c:pt>
                <c:pt idx="13">
                  <c:v>0.35482864805729125</c:v>
                </c:pt>
                <c:pt idx="14">
                  <c:v>0.24624864341765729</c:v>
                </c:pt>
                <c:pt idx="15">
                  <c:v>0.15719116998425287</c:v>
                </c:pt>
                <c:pt idx="16">
                  <c:v>1.0696304952497122</c:v>
                </c:pt>
                <c:pt idx="17">
                  <c:v>1.0381317242441253</c:v>
                </c:pt>
                <c:pt idx="18">
                  <c:v>0.96768024051405388</c:v>
                </c:pt>
                <c:pt idx="19">
                  <c:v>0.81151396190459835</c:v>
                </c:pt>
                <c:pt idx="20">
                  <c:v>0.53669258050000335</c:v>
                </c:pt>
                <c:pt idx="21">
                  <c:v>0.3506246016489295</c:v>
                </c:pt>
                <c:pt idx="22">
                  <c:v>0.24333930951964156</c:v>
                </c:pt>
                <c:pt idx="23">
                  <c:v>0.15533631590779431</c:v>
                </c:pt>
                <c:pt idx="24">
                  <c:v>1.0684213783767629</c:v>
                </c:pt>
                <c:pt idx="25">
                  <c:v>1.0382987916892372</c:v>
                </c:pt>
                <c:pt idx="26">
                  <c:v>0.96789143757352458</c:v>
                </c:pt>
                <c:pt idx="27">
                  <c:v>0.81231253722920371</c:v>
                </c:pt>
                <c:pt idx="28">
                  <c:v>0.53771138511117811</c:v>
                </c:pt>
                <c:pt idx="29">
                  <c:v>0.35137855378865118</c:v>
                </c:pt>
                <c:pt idx="30">
                  <c:v>0.243867208699733</c:v>
                </c:pt>
                <c:pt idx="31">
                  <c:v>0.15566543871520477</c:v>
                </c:pt>
                <c:pt idx="32">
                  <c:v>1.0759404306174205</c:v>
                </c:pt>
                <c:pt idx="33">
                  <c:v>1.0455441275701407</c:v>
                </c:pt>
                <c:pt idx="34">
                  <c:v>0.97587411337882557</c:v>
                </c:pt>
                <c:pt idx="35">
                  <c:v>0.81976940309723645</c:v>
                </c:pt>
                <c:pt idx="36">
                  <c:v>0.54317628743188984</c:v>
                </c:pt>
                <c:pt idx="37">
                  <c:v>0.35484342535611896</c:v>
                </c:pt>
                <c:pt idx="38">
                  <c:v>0.24626149244733789</c:v>
                </c:pt>
                <c:pt idx="39">
                  <c:v>0.15719423633242299</c:v>
                </c:pt>
                <c:pt idx="40">
                  <c:v>1.0793984866744055</c:v>
                </c:pt>
                <c:pt idx="41">
                  <c:v>1.0500898427997134</c:v>
                </c:pt>
                <c:pt idx="42">
                  <c:v>0.98058081214606874</c:v>
                </c:pt>
                <c:pt idx="43">
                  <c:v>0.82413790602591575</c:v>
                </c:pt>
                <c:pt idx="44">
                  <c:v>0.54634675609898853</c:v>
                </c:pt>
                <c:pt idx="45">
                  <c:v>0.35679343272781988</c:v>
                </c:pt>
                <c:pt idx="46">
                  <c:v>0.24762377746801026</c:v>
                </c:pt>
                <c:pt idx="47">
                  <c:v>0.15807381567472856</c:v>
                </c:pt>
                <c:pt idx="48">
                  <c:v>1.0591616776628119</c:v>
                </c:pt>
                <c:pt idx="49">
                  <c:v>1.0315001721185078</c:v>
                </c:pt>
                <c:pt idx="50">
                  <c:v>0.96329082686971301</c:v>
                </c:pt>
                <c:pt idx="51">
                  <c:v>0.80946047300063118</c:v>
                </c:pt>
                <c:pt idx="52">
                  <c:v>0.53659369098126652</c:v>
                </c:pt>
                <c:pt idx="53">
                  <c:v>0.35092873777357197</c:v>
                </c:pt>
                <c:pt idx="54">
                  <c:v>0.24354768148195449</c:v>
                </c:pt>
                <c:pt idx="55">
                  <c:v>0.15546148169725868</c:v>
                </c:pt>
                <c:pt idx="56">
                  <c:v>1.0574112487830436</c:v>
                </c:pt>
                <c:pt idx="57">
                  <c:v>1.031390027917896</c:v>
                </c:pt>
                <c:pt idx="58">
                  <c:v>0.96303973417398558</c:v>
                </c:pt>
                <c:pt idx="59">
                  <c:v>0.80965359041572937</c:v>
                </c:pt>
                <c:pt idx="60">
                  <c:v>0.53708973322508158</c:v>
                </c:pt>
                <c:pt idx="61">
                  <c:v>0.35131554161767092</c:v>
                </c:pt>
                <c:pt idx="62">
                  <c:v>0.24381141252184374</c:v>
                </c:pt>
                <c:pt idx="63">
                  <c:v>0.15563254169877899</c:v>
                </c:pt>
                <c:pt idx="64">
                  <c:v>1.0532110348162658</c:v>
                </c:pt>
                <c:pt idx="65">
                  <c:v>1.0278761670036556</c:v>
                </c:pt>
                <c:pt idx="66">
                  <c:v>0.96206283480213783</c:v>
                </c:pt>
                <c:pt idx="67">
                  <c:v>0.80882501614074465</c:v>
                </c:pt>
                <c:pt idx="68">
                  <c:v>0.53677277131308632</c:v>
                </c:pt>
                <c:pt idx="69">
                  <c:v>0.35142686378357701</c:v>
                </c:pt>
                <c:pt idx="70">
                  <c:v>0.24383328538842727</c:v>
                </c:pt>
                <c:pt idx="71">
                  <c:v>0.15561447944659831</c:v>
                </c:pt>
                <c:pt idx="72">
                  <c:v>1.0437438285598992</c:v>
                </c:pt>
                <c:pt idx="73">
                  <c:v>1.0192913638220986</c:v>
                </c:pt>
                <c:pt idx="74">
                  <c:v>0.95459637900255889</c:v>
                </c:pt>
                <c:pt idx="75">
                  <c:v>0.80200347717198572</c:v>
                </c:pt>
                <c:pt idx="76">
                  <c:v>0.5321479888102999</c:v>
                </c:pt>
                <c:pt idx="77">
                  <c:v>0.34869142822222848</c:v>
                </c:pt>
                <c:pt idx="78">
                  <c:v>0.24193133048237014</c:v>
                </c:pt>
                <c:pt idx="79">
                  <c:v>0.15439065354969728</c:v>
                </c:pt>
                <c:pt idx="80">
                  <c:v>1.0469695371190908</c:v>
                </c:pt>
                <c:pt idx="81">
                  <c:v>1.022504320797698</c:v>
                </c:pt>
                <c:pt idx="82">
                  <c:v>0.95828205717779413</c:v>
                </c:pt>
                <c:pt idx="83">
                  <c:v>0.80540141463624859</c:v>
                </c:pt>
                <c:pt idx="84">
                  <c:v>0.53486061069644519</c:v>
                </c:pt>
                <c:pt idx="85">
                  <c:v>0.35060259001465283</c:v>
                </c:pt>
                <c:pt idx="86">
                  <c:v>0.2432213969634566</c:v>
                </c:pt>
                <c:pt idx="87">
                  <c:v>0.15520067957869485</c:v>
                </c:pt>
                <c:pt idx="88">
                  <c:v>1.0381913528198428</c:v>
                </c:pt>
                <c:pt idx="89">
                  <c:v>1.0145170829376449</c:v>
                </c:pt>
                <c:pt idx="90">
                  <c:v>0.95112208149060773</c:v>
                </c:pt>
                <c:pt idx="91">
                  <c:v>0.79897999622628368</c:v>
                </c:pt>
                <c:pt idx="92">
                  <c:v>0.53041773783565338</c:v>
                </c:pt>
                <c:pt idx="93">
                  <c:v>0.34788931338270529</c:v>
                </c:pt>
                <c:pt idx="94">
                  <c:v>0.24134420524518502</c:v>
                </c:pt>
                <c:pt idx="95">
                  <c:v>0.15400077719811289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BE0-4A02-B94B-E00F1CEE1218}"/>
            </c:ext>
          </c:extLst>
        </c:ser>
        <c:ser>
          <c:idx val="3"/>
          <c:order val="1"/>
          <c:tx>
            <c:v>IPE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'IPE_HR_Global Only'!$AJ$102:$AJ$197</c:f>
              <c:numCache>
                <c:formatCode>0.00</c:formatCode>
                <c:ptCount val="96"/>
                <c:pt idx="0">
                  <c:v>0.29924751051933662</c:v>
                </c:pt>
                <c:pt idx="1">
                  <c:v>0.49874585086556106</c:v>
                </c:pt>
                <c:pt idx="2">
                  <c:v>0.74811877629834156</c:v>
                </c:pt>
                <c:pt idx="3">
                  <c:v>0.99749170173112212</c:v>
                </c:pt>
                <c:pt idx="4">
                  <c:v>1.3266639633023924</c:v>
                </c:pt>
                <c:pt idx="5">
                  <c:v>1.6658111418909736</c:v>
                </c:pt>
                <c:pt idx="6">
                  <c:v>1.994983403462244</c:v>
                </c:pt>
                <c:pt idx="7">
                  <c:v>2.4937292543278051</c:v>
                </c:pt>
                <c:pt idx="8">
                  <c:v>0.29922814760714123</c:v>
                </c:pt>
                <c:pt idx="9">
                  <c:v>0.4987135793452353</c:v>
                </c:pt>
                <c:pt idx="10">
                  <c:v>0.74807036901785307</c:v>
                </c:pt>
                <c:pt idx="11">
                  <c:v>0.99742715869047061</c:v>
                </c:pt>
                <c:pt idx="12">
                  <c:v>1.3265781210583261</c:v>
                </c:pt>
                <c:pt idx="13">
                  <c:v>1.6657033550130858</c:v>
                </c:pt>
                <c:pt idx="14">
                  <c:v>1.9948543173809412</c:v>
                </c:pt>
                <c:pt idx="15">
                  <c:v>2.493567896726177</c:v>
                </c:pt>
                <c:pt idx="16">
                  <c:v>0.29925223117973887</c:v>
                </c:pt>
                <c:pt idx="17">
                  <c:v>0.49875371863289814</c:v>
                </c:pt>
                <c:pt idx="18">
                  <c:v>0.74813057794934712</c:v>
                </c:pt>
                <c:pt idx="19">
                  <c:v>0.99750743726579594</c:v>
                </c:pt>
                <c:pt idx="20">
                  <c:v>1.3266848915635088</c:v>
                </c:pt>
                <c:pt idx="21">
                  <c:v>1.665837420233879</c:v>
                </c:pt>
                <c:pt idx="22">
                  <c:v>1.9950148745315921</c:v>
                </c:pt>
                <c:pt idx="23">
                  <c:v>2.4937685931644897</c:v>
                </c:pt>
                <c:pt idx="24">
                  <c:v>0.2992905072608138</c:v>
                </c:pt>
                <c:pt idx="25">
                  <c:v>0.49881751210135639</c:v>
                </c:pt>
                <c:pt idx="26">
                  <c:v>0.7482262681520343</c:v>
                </c:pt>
                <c:pt idx="27">
                  <c:v>0.99763502420271255</c:v>
                </c:pt>
                <c:pt idx="28">
                  <c:v>1.3268545821896076</c:v>
                </c:pt>
                <c:pt idx="29">
                  <c:v>1.6660504904185298</c:v>
                </c:pt>
                <c:pt idx="30">
                  <c:v>1.9952700484054251</c:v>
                </c:pt>
                <c:pt idx="31">
                  <c:v>2.4940875605067814</c:v>
                </c:pt>
                <c:pt idx="32">
                  <c:v>0.29932592879729519</c:v>
                </c:pt>
                <c:pt idx="33">
                  <c:v>0.49887654799549208</c:v>
                </c:pt>
                <c:pt idx="34">
                  <c:v>0.74831482199323773</c:v>
                </c:pt>
                <c:pt idx="35">
                  <c:v>0.99775309599098372</c:v>
                </c:pt>
                <c:pt idx="36">
                  <c:v>1.3270116176680082</c:v>
                </c:pt>
                <c:pt idx="37">
                  <c:v>1.6662476703049425</c:v>
                </c:pt>
                <c:pt idx="38">
                  <c:v>1.9955061919819674</c:v>
                </c:pt>
                <c:pt idx="39">
                  <c:v>2.4943827399774592</c:v>
                </c:pt>
                <c:pt idx="40">
                  <c:v>0.29938873038742092</c:v>
                </c:pt>
                <c:pt idx="41">
                  <c:v>0.49898121731236827</c:v>
                </c:pt>
                <c:pt idx="42">
                  <c:v>0.74847182596855255</c:v>
                </c:pt>
                <c:pt idx="43">
                  <c:v>0.99796243462473655</c:v>
                </c:pt>
                <c:pt idx="44">
                  <c:v>1.3272900380508998</c:v>
                </c:pt>
                <c:pt idx="45">
                  <c:v>1.6665972658233101</c:v>
                </c:pt>
                <c:pt idx="46">
                  <c:v>1.9959248692494731</c:v>
                </c:pt>
                <c:pt idx="47">
                  <c:v>2.4949060865618415</c:v>
                </c:pt>
                <c:pt idx="48">
                  <c:v>0.29939275678022892</c:v>
                </c:pt>
                <c:pt idx="49">
                  <c:v>0.49898792796704822</c:v>
                </c:pt>
                <c:pt idx="50">
                  <c:v>0.74848189195057258</c:v>
                </c:pt>
                <c:pt idx="51">
                  <c:v>0.99797585593409666</c:v>
                </c:pt>
                <c:pt idx="52">
                  <c:v>1.3273078883923486</c:v>
                </c:pt>
                <c:pt idx="53">
                  <c:v>1.6666196794099413</c:v>
                </c:pt>
                <c:pt idx="54">
                  <c:v>1.9959517118681933</c:v>
                </c:pt>
                <c:pt idx="55">
                  <c:v>2.4949396398352413</c:v>
                </c:pt>
                <c:pt idx="56">
                  <c:v>0.29939218103412957</c:v>
                </c:pt>
                <c:pt idx="57">
                  <c:v>0.49898696839021606</c:v>
                </c:pt>
                <c:pt idx="58">
                  <c:v>0.74848045258532403</c:v>
                </c:pt>
                <c:pt idx="59">
                  <c:v>0.99797393678043211</c:v>
                </c:pt>
                <c:pt idx="60">
                  <c:v>1.3273053359179747</c:v>
                </c:pt>
                <c:pt idx="61">
                  <c:v>1.6666164744233214</c:v>
                </c:pt>
                <c:pt idx="62">
                  <c:v>1.995947873560864</c:v>
                </c:pt>
                <c:pt idx="63">
                  <c:v>2.4949348419510802</c:v>
                </c:pt>
                <c:pt idx="64">
                  <c:v>0.29929005941332393</c:v>
                </c:pt>
                <c:pt idx="65">
                  <c:v>0.49881676568887329</c:v>
                </c:pt>
                <c:pt idx="66">
                  <c:v>0.74822514853330979</c:v>
                </c:pt>
                <c:pt idx="67">
                  <c:v>0.99763353137774657</c:v>
                </c:pt>
                <c:pt idx="68">
                  <c:v>1.326852596732403</c:v>
                </c:pt>
                <c:pt idx="69">
                  <c:v>1.6660479974008362</c:v>
                </c:pt>
                <c:pt idx="70">
                  <c:v>1.9952670627554929</c:v>
                </c:pt>
                <c:pt idx="71">
                  <c:v>2.4940838284443663</c:v>
                </c:pt>
                <c:pt idx="72">
                  <c:v>0.29924786640703316</c:v>
                </c:pt>
                <c:pt idx="73">
                  <c:v>0.49874644401172186</c:v>
                </c:pt>
                <c:pt idx="74">
                  <c:v>0.74811966601758284</c:v>
                </c:pt>
                <c:pt idx="75">
                  <c:v>0.99749288802344371</c:v>
                </c:pt>
                <c:pt idx="76">
                  <c:v>1.3266655410711803</c:v>
                </c:pt>
                <c:pt idx="77">
                  <c:v>1.6658131229991511</c:v>
                </c:pt>
                <c:pt idx="78">
                  <c:v>1.9949857760468874</c:v>
                </c:pt>
                <c:pt idx="79">
                  <c:v>2.4937322200586092</c:v>
                </c:pt>
                <c:pt idx="80">
                  <c:v>0.29919297056730509</c:v>
                </c:pt>
                <c:pt idx="81">
                  <c:v>0.49865495094550844</c:v>
                </c:pt>
                <c:pt idx="82">
                  <c:v>0.74798242641826262</c:v>
                </c:pt>
                <c:pt idx="83">
                  <c:v>0.99730990189101687</c:v>
                </c:pt>
                <c:pt idx="84">
                  <c:v>1.3264221695150524</c:v>
                </c:pt>
                <c:pt idx="85">
                  <c:v>1.6655075361579981</c:v>
                </c:pt>
                <c:pt idx="86">
                  <c:v>1.9946198037820337</c:v>
                </c:pt>
                <c:pt idx="87">
                  <c:v>2.4932747547275422</c:v>
                </c:pt>
                <c:pt idx="88">
                  <c:v>0.29916133483161483</c:v>
                </c:pt>
                <c:pt idx="89">
                  <c:v>0.49860222471935822</c:v>
                </c:pt>
                <c:pt idx="90">
                  <c:v>0.74790333707903744</c:v>
                </c:pt>
                <c:pt idx="91">
                  <c:v>0.99720444943871644</c:v>
                </c:pt>
                <c:pt idx="92">
                  <c:v>1.326281917753493</c:v>
                </c:pt>
                <c:pt idx="93">
                  <c:v>1.6653314305626565</c:v>
                </c:pt>
                <c:pt idx="94">
                  <c:v>1.9944088988774327</c:v>
                </c:pt>
                <c:pt idx="95">
                  <c:v>2.4930111235967911</c:v>
                </c:pt>
              </c:numCache>
            </c:numRef>
          </c:xVal>
          <c:yVal>
            <c:numRef>
              <c:f>'IPE_HR_Global Only'!$AK$102:$AK$197</c:f>
              <c:numCache>
                <c:formatCode>General</c:formatCode>
                <c:ptCount val="96"/>
                <c:pt idx="0">
                  <c:v>1.0576121053087031</c:v>
                </c:pt>
                <c:pt idx="1">
                  <c:v>1.0228116322530407</c:v>
                </c:pt>
                <c:pt idx="2">
                  <c:v>0.94401170841480853</c:v>
                </c:pt>
                <c:pt idx="3">
                  <c:v>0.78209999778622363</c:v>
                </c:pt>
                <c:pt idx="4">
                  <c:v>0.52228776947755184</c:v>
                </c:pt>
                <c:pt idx="5">
                  <c:v>0.34501209949285433</c:v>
                </c:pt>
                <c:pt idx="6">
                  <c:v>0.2403733102056389</c:v>
                </c:pt>
                <c:pt idx="7">
                  <c:v>0.15396284573736513</c:v>
                </c:pt>
                <c:pt idx="8">
                  <c:v>1.0714991456708247</c:v>
                </c:pt>
                <c:pt idx="9">
                  <c:v>1.0370089927673902</c:v>
                </c:pt>
                <c:pt idx="10">
                  <c:v>0.95706490707199521</c:v>
                </c:pt>
                <c:pt idx="11">
                  <c:v>0.7939935127509693</c:v>
                </c:pt>
                <c:pt idx="12">
                  <c:v>0.53072069244902786</c:v>
                </c:pt>
                <c:pt idx="13">
                  <c:v>0.35044546933330084</c:v>
                </c:pt>
                <c:pt idx="14">
                  <c:v>0.24410533188397224</c:v>
                </c:pt>
                <c:pt idx="15">
                  <c:v>0.15635368771413172</c:v>
                </c:pt>
                <c:pt idx="16">
                  <c:v>1.0576488882211292</c:v>
                </c:pt>
                <c:pt idx="17">
                  <c:v>1.0238007811752861</c:v>
                </c:pt>
                <c:pt idx="18">
                  <c:v>0.94544392477390882</c:v>
                </c:pt>
                <c:pt idx="19">
                  <c:v>0.78378814336326319</c:v>
                </c:pt>
                <c:pt idx="20">
                  <c:v>0.52396039962910901</c:v>
                </c:pt>
                <c:pt idx="21">
                  <c:v>0.34636225458525871</c:v>
                </c:pt>
                <c:pt idx="22">
                  <c:v>0.24126492580578271</c:v>
                </c:pt>
                <c:pt idx="23">
                  <c:v>0.15452837235845773</c:v>
                </c:pt>
                <c:pt idx="24">
                  <c:v>1.0568083917735016</c:v>
                </c:pt>
                <c:pt idx="25">
                  <c:v>1.0238178710320294</c:v>
                </c:pt>
                <c:pt idx="26">
                  <c:v>0.94604371512804553</c:v>
                </c:pt>
                <c:pt idx="27">
                  <c:v>0.78477187497086565</c:v>
                </c:pt>
                <c:pt idx="28">
                  <c:v>0.52503328095801083</c:v>
                </c:pt>
                <c:pt idx="29">
                  <c:v>0.34717823521768182</c:v>
                </c:pt>
                <c:pt idx="30">
                  <c:v>0.24182988957948823</c:v>
                </c:pt>
                <c:pt idx="31">
                  <c:v>0.15489034633458285</c:v>
                </c:pt>
                <c:pt idx="32">
                  <c:v>1.0640425741589947</c:v>
                </c:pt>
                <c:pt idx="33">
                  <c:v>1.0319067292692592</c:v>
                </c:pt>
                <c:pt idx="34">
                  <c:v>0.95371923456752439</c:v>
                </c:pt>
                <c:pt idx="35">
                  <c:v>0.79223831173654924</c:v>
                </c:pt>
                <c:pt idx="36">
                  <c:v>0.53048027417547272</c:v>
                </c:pt>
                <c:pt idx="37">
                  <c:v>0.35063945302465088</c:v>
                </c:pt>
                <c:pt idx="38">
                  <c:v>0.24423638093849601</c:v>
                </c:pt>
                <c:pt idx="39">
                  <c:v>0.15643131100103214</c:v>
                </c:pt>
                <c:pt idx="40">
                  <c:v>1.0683929309051026</c:v>
                </c:pt>
                <c:pt idx="41">
                  <c:v>1.0364745960219908</c:v>
                </c:pt>
                <c:pt idx="42">
                  <c:v>0.95833149138005702</c:v>
                </c:pt>
                <c:pt idx="43">
                  <c:v>0.79661375740567053</c:v>
                </c:pt>
                <c:pt idx="44">
                  <c:v>0.53378678832638438</c:v>
                </c:pt>
                <c:pt idx="45">
                  <c:v>0.35308780624753899</c:v>
                </c:pt>
                <c:pt idx="46">
                  <c:v>0.24598111180724561</c:v>
                </c:pt>
                <c:pt idx="47">
                  <c:v>0.1575657256639259</c:v>
                </c:pt>
                <c:pt idx="48">
                  <c:v>1.0483665871953478</c:v>
                </c:pt>
                <c:pt idx="49">
                  <c:v>1.0174188742320007</c:v>
                </c:pt>
                <c:pt idx="50">
                  <c:v>0.94174019408185938</c:v>
                </c:pt>
                <c:pt idx="51">
                  <c:v>0.78253385116893681</c:v>
                </c:pt>
                <c:pt idx="52">
                  <c:v>0.52413258884118685</c:v>
                </c:pt>
                <c:pt idx="53">
                  <c:v>0.34686994014694167</c:v>
                </c:pt>
                <c:pt idx="54">
                  <c:v>0.24161029128058262</c:v>
                </c:pt>
                <c:pt idx="55">
                  <c:v>0.15474566925453934</c:v>
                </c:pt>
                <c:pt idx="56">
                  <c:v>1.0470880264172369</c:v>
                </c:pt>
                <c:pt idx="57">
                  <c:v>1.0167183225021257</c:v>
                </c:pt>
                <c:pt idx="58">
                  <c:v>0.94177370617842615</c:v>
                </c:pt>
                <c:pt idx="59">
                  <c:v>0.78288349501051624</c:v>
                </c:pt>
                <c:pt idx="60">
                  <c:v>0.52472364076134403</c:v>
                </c:pt>
                <c:pt idx="61">
                  <c:v>0.34733546924487041</c:v>
                </c:pt>
                <c:pt idx="62">
                  <c:v>0.24193015162275533</c:v>
                </c:pt>
                <c:pt idx="63">
                  <c:v>0.15494872876117888</c:v>
                </c:pt>
                <c:pt idx="64">
                  <c:v>1.0430393315722704</c:v>
                </c:pt>
                <c:pt idx="65">
                  <c:v>1.0136163662090052</c:v>
                </c:pt>
                <c:pt idx="66">
                  <c:v>0.94013091342304633</c:v>
                </c:pt>
                <c:pt idx="67">
                  <c:v>0.78240855013994215</c:v>
                </c:pt>
                <c:pt idx="68">
                  <c:v>0.52448410087875263</c:v>
                </c:pt>
                <c:pt idx="69">
                  <c:v>0.34742105617563646</c:v>
                </c:pt>
                <c:pt idx="70">
                  <c:v>0.24195463123431882</c:v>
                </c:pt>
                <c:pt idx="71">
                  <c:v>0.15494180244079819</c:v>
                </c:pt>
                <c:pt idx="72">
                  <c:v>1.0340762670806285</c:v>
                </c:pt>
                <c:pt idx="73">
                  <c:v>1.0049341778199976</c:v>
                </c:pt>
                <c:pt idx="74">
                  <c:v>0.9323379638541347</c:v>
                </c:pt>
                <c:pt idx="75">
                  <c:v>0.77591212456496728</c:v>
                </c:pt>
                <c:pt idx="76">
                  <c:v>0.5199461096617819</c:v>
                </c:pt>
                <c:pt idx="77">
                  <c:v>0.34476098076227868</c:v>
                </c:pt>
                <c:pt idx="78">
                  <c:v>0.24008502406459495</c:v>
                </c:pt>
                <c:pt idx="79">
                  <c:v>0.15374270564806289</c:v>
                </c:pt>
                <c:pt idx="80">
                  <c:v>1.0374743479996333</c:v>
                </c:pt>
                <c:pt idx="81">
                  <c:v>1.0086024660582598</c:v>
                </c:pt>
                <c:pt idx="82">
                  <c:v>0.93625128277458913</c:v>
                </c:pt>
                <c:pt idx="83">
                  <c:v>0.7793516743874418</c:v>
                </c:pt>
                <c:pt idx="84">
                  <c:v>0.52257881470809386</c:v>
                </c:pt>
                <c:pt idx="85">
                  <c:v>0.34660545680169375</c:v>
                </c:pt>
                <c:pt idx="86">
                  <c:v>0.24136153621895504</c:v>
                </c:pt>
                <c:pt idx="87">
                  <c:v>0.15455021039304848</c:v>
                </c:pt>
                <c:pt idx="88">
                  <c:v>1.0291291936437028</c:v>
                </c:pt>
                <c:pt idx="89">
                  <c:v>1.0003891366458777</c:v>
                </c:pt>
                <c:pt idx="90">
                  <c:v>0.92917371574028262</c:v>
                </c:pt>
                <c:pt idx="91">
                  <c:v>0.77322979061669272</c:v>
                </c:pt>
                <c:pt idx="92">
                  <c:v>0.51824519192449214</c:v>
                </c:pt>
                <c:pt idx="93">
                  <c:v>0.34476573840896507</c:v>
                </c:pt>
                <c:pt idx="94">
                  <c:v>0.24016042611643562</c:v>
                </c:pt>
                <c:pt idx="95">
                  <c:v>0.15379382180294335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BE0-4A02-B94B-E00F1CEE1218}"/>
            </c:ext>
          </c:extLst>
        </c:ser>
        <c:ser>
          <c:idx val="5"/>
          <c:order val="2"/>
          <c:tx>
            <c:v>IPE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'IPE_HR_Global Only'!$AJ$198:$AJ$293</c:f>
              <c:numCache>
                <c:formatCode>0.00</c:formatCode>
                <c:ptCount val="96"/>
                <c:pt idx="0">
                  <c:v>0.29924751051933657</c:v>
                </c:pt>
                <c:pt idx="1">
                  <c:v>0.49874585086556095</c:v>
                </c:pt>
                <c:pt idx="2">
                  <c:v>0.74811877629834156</c:v>
                </c:pt>
                <c:pt idx="3">
                  <c:v>0.997491701731122</c:v>
                </c:pt>
                <c:pt idx="4">
                  <c:v>1.3266639633023924</c:v>
                </c:pt>
                <c:pt idx="5">
                  <c:v>1.6658111418909736</c:v>
                </c:pt>
                <c:pt idx="6">
                  <c:v>1.9949834034622438</c:v>
                </c:pt>
                <c:pt idx="7">
                  <c:v>2.4937292543278051</c:v>
                </c:pt>
                <c:pt idx="8">
                  <c:v>0.29922814760714123</c:v>
                </c:pt>
                <c:pt idx="9">
                  <c:v>0.49871357934523536</c:v>
                </c:pt>
                <c:pt idx="10">
                  <c:v>0.74807036901785307</c:v>
                </c:pt>
                <c:pt idx="11">
                  <c:v>0.99742715869047072</c:v>
                </c:pt>
                <c:pt idx="12">
                  <c:v>1.3265781210583263</c:v>
                </c:pt>
                <c:pt idx="13">
                  <c:v>1.6657033550130862</c:v>
                </c:pt>
                <c:pt idx="14">
                  <c:v>1.9948543173809417</c:v>
                </c:pt>
                <c:pt idx="15">
                  <c:v>2.493567896726177</c:v>
                </c:pt>
                <c:pt idx="16">
                  <c:v>0.29925223117973881</c:v>
                </c:pt>
                <c:pt idx="17">
                  <c:v>0.49875371863289802</c:v>
                </c:pt>
                <c:pt idx="18">
                  <c:v>0.7481305779493469</c:v>
                </c:pt>
                <c:pt idx="19">
                  <c:v>0.99750743726579583</c:v>
                </c:pt>
                <c:pt idx="20">
                  <c:v>1.3266848915635086</c:v>
                </c:pt>
                <c:pt idx="21">
                  <c:v>1.6658374202338788</c:v>
                </c:pt>
                <c:pt idx="22">
                  <c:v>1.9950148745315917</c:v>
                </c:pt>
                <c:pt idx="23">
                  <c:v>2.4937685931644893</c:v>
                </c:pt>
                <c:pt idx="24">
                  <c:v>0.2992905072608138</c:v>
                </c:pt>
                <c:pt idx="25">
                  <c:v>0.49881751210135633</c:v>
                </c:pt>
                <c:pt idx="26">
                  <c:v>0.74822626815203441</c:v>
                </c:pt>
                <c:pt idx="27">
                  <c:v>0.99763502420271244</c:v>
                </c:pt>
                <c:pt idx="28">
                  <c:v>1.3268545821896078</c:v>
                </c:pt>
                <c:pt idx="29">
                  <c:v>1.6660504904185296</c:v>
                </c:pt>
                <c:pt idx="30">
                  <c:v>1.9952700484054249</c:v>
                </c:pt>
                <c:pt idx="31">
                  <c:v>2.4940875605067814</c:v>
                </c:pt>
                <c:pt idx="32">
                  <c:v>0.29932592879729519</c:v>
                </c:pt>
                <c:pt idx="33">
                  <c:v>0.49887654799549203</c:v>
                </c:pt>
                <c:pt idx="34">
                  <c:v>0.74831482199323762</c:v>
                </c:pt>
                <c:pt idx="35">
                  <c:v>0.99775309599098361</c:v>
                </c:pt>
                <c:pt idx="36">
                  <c:v>1.3270116176680082</c:v>
                </c:pt>
                <c:pt idx="37">
                  <c:v>1.6662476703049425</c:v>
                </c:pt>
                <c:pt idx="38">
                  <c:v>1.9955061919819672</c:v>
                </c:pt>
                <c:pt idx="39">
                  <c:v>2.4943827399774592</c:v>
                </c:pt>
                <c:pt idx="40">
                  <c:v>0.29938873038742098</c:v>
                </c:pt>
                <c:pt idx="41">
                  <c:v>0.49898121731236822</c:v>
                </c:pt>
                <c:pt idx="42">
                  <c:v>0.74847182596855255</c:v>
                </c:pt>
                <c:pt idx="43">
                  <c:v>0.99796243462473666</c:v>
                </c:pt>
                <c:pt idx="44">
                  <c:v>1.3272900380509001</c:v>
                </c:pt>
                <c:pt idx="45">
                  <c:v>1.6665972658233099</c:v>
                </c:pt>
                <c:pt idx="46">
                  <c:v>1.9959248692494731</c:v>
                </c:pt>
                <c:pt idx="47">
                  <c:v>2.4949060865618411</c:v>
                </c:pt>
                <c:pt idx="48">
                  <c:v>0.29939275678022886</c:v>
                </c:pt>
                <c:pt idx="49">
                  <c:v>0.49898792796704822</c:v>
                </c:pt>
                <c:pt idx="50">
                  <c:v>0.74848189195057258</c:v>
                </c:pt>
                <c:pt idx="51">
                  <c:v>0.99797585593409677</c:v>
                </c:pt>
                <c:pt idx="52">
                  <c:v>1.3273078883923484</c:v>
                </c:pt>
                <c:pt idx="53">
                  <c:v>1.6666196794099415</c:v>
                </c:pt>
                <c:pt idx="54">
                  <c:v>1.9959517118681935</c:v>
                </c:pt>
                <c:pt idx="55">
                  <c:v>2.4949396398352417</c:v>
                </c:pt>
                <c:pt idx="56">
                  <c:v>0.29939218103412962</c:v>
                </c:pt>
                <c:pt idx="57">
                  <c:v>0.49898696839021595</c:v>
                </c:pt>
                <c:pt idx="58">
                  <c:v>0.74848045258532392</c:v>
                </c:pt>
                <c:pt idx="59">
                  <c:v>0.997973936780432</c:v>
                </c:pt>
                <c:pt idx="60">
                  <c:v>1.3273053359179745</c:v>
                </c:pt>
                <c:pt idx="61">
                  <c:v>1.6666164744233212</c:v>
                </c:pt>
                <c:pt idx="62">
                  <c:v>1.995947873560864</c:v>
                </c:pt>
                <c:pt idx="63">
                  <c:v>2.4949348419510797</c:v>
                </c:pt>
                <c:pt idx="64">
                  <c:v>0.29929005941332393</c:v>
                </c:pt>
                <c:pt idx="65">
                  <c:v>0.49881676568887312</c:v>
                </c:pt>
                <c:pt idx="66">
                  <c:v>0.74822514853330968</c:v>
                </c:pt>
                <c:pt idx="67">
                  <c:v>0.99763353137774624</c:v>
                </c:pt>
                <c:pt idx="68">
                  <c:v>1.3268525967324027</c:v>
                </c:pt>
                <c:pt idx="69">
                  <c:v>1.6660479974008364</c:v>
                </c:pt>
                <c:pt idx="70">
                  <c:v>1.9952670627554925</c:v>
                </c:pt>
                <c:pt idx="71">
                  <c:v>2.4940838284443654</c:v>
                </c:pt>
                <c:pt idx="72">
                  <c:v>0.2992478664070331</c:v>
                </c:pt>
                <c:pt idx="73">
                  <c:v>0.4987464440117218</c:v>
                </c:pt>
                <c:pt idx="74">
                  <c:v>0.74811966601758262</c:v>
                </c:pt>
                <c:pt idx="75">
                  <c:v>0.9974928880234436</c:v>
                </c:pt>
                <c:pt idx="76">
                  <c:v>1.3266655410711798</c:v>
                </c:pt>
                <c:pt idx="77">
                  <c:v>1.6658131229991506</c:v>
                </c:pt>
                <c:pt idx="78">
                  <c:v>1.994985776046887</c:v>
                </c:pt>
                <c:pt idx="79">
                  <c:v>2.4937322200586087</c:v>
                </c:pt>
                <c:pt idx="80">
                  <c:v>0.29919297056730504</c:v>
                </c:pt>
                <c:pt idx="81">
                  <c:v>0.49865495094550832</c:v>
                </c:pt>
                <c:pt idx="82">
                  <c:v>0.74798242641826251</c:v>
                </c:pt>
                <c:pt idx="83">
                  <c:v>0.99730990189101676</c:v>
                </c:pt>
                <c:pt idx="84">
                  <c:v>1.3264221695150522</c:v>
                </c:pt>
                <c:pt idx="85">
                  <c:v>1.6655075361579976</c:v>
                </c:pt>
                <c:pt idx="86">
                  <c:v>1.9946198037820333</c:v>
                </c:pt>
                <c:pt idx="87">
                  <c:v>2.4932747547275418</c:v>
                </c:pt>
                <c:pt idx="88">
                  <c:v>0.29916133483161483</c:v>
                </c:pt>
                <c:pt idx="89">
                  <c:v>0.49860222471935828</c:v>
                </c:pt>
                <c:pt idx="90">
                  <c:v>0.74790333707903744</c:v>
                </c:pt>
                <c:pt idx="91">
                  <c:v>0.99720444943871656</c:v>
                </c:pt>
                <c:pt idx="92">
                  <c:v>1.326281917753493</c:v>
                </c:pt>
                <c:pt idx="93">
                  <c:v>1.6653314305626563</c:v>
                </c:pt>
                <c:pt idx="94">
                  <c:v>1.9944088988774331</c:v>
                </c:pt>
                <c:pt idx="95">
                  <c:v>2.4930111235967911</c:v>
                </c:pt>
              </c:numCache>
            </c:numRef>
          </c:xVal>
          <c:yVal>
            <c:numRef>
              <c:f>'IPE_HR_Global Only'!$AK$198:$AK$293</c:f>
              <c:numCache>
                <c:formatCode>General</c:formatCode>
                <c:ptCount val="96"/>
                <c:pt idx="0">
                  <c:v>1.0492303504066263</c:v>
                </c:pt>
                <c:pt idx="1">
                  <c:v>1.0125824601673368</c:v>
                </c:pt>
                <c:pt idx="2">
                  <c:v>0.9268117821584434</c:v>
                </c:pt>
                <c:pt idx="3">
                  <c:v>0.76272252622467263</c:v>
                </c:pt>
                <c:pt idx="4">
                  <c:v>0.51254246504589318</c:v>
                </c:pt>
                <c:pt idx="5">
                  <c:v>0.34228901537603507</c:v>
                </c:pt>
                <c:pt idx="6">
                  <c:v>0.23944346976006642</c:v>
                </c:pt>
                <c:pt idx="7">
                  <c:v>0.15358385391848278</c:v>
                </c:pt>
                <c:pt idx="8">
                  <c:v>1.0639538621273983</c:v>
                </c:pt>
                <c:pt idx="9">
                  <c:v>1.02655219423805</c:v>
                </c:pt>
                <c:pt idx="10">
                  <c:v>0.94078637691354061</c:v>
                </c:pt>
                <c:pt idx="11">
                  <c:v>0.77459844695063096</c:v>
                </c:pt>
                <c:pt idx="12">
                  <c:v>0.5208669859987457</c:v>
                </c:pt>
                <c:pt idx="13">
                  <c:v>0.3478217825248705</c:v>
                </c:pt>
                <c:pt idx="14">
                  <c:v>0.24318426647782534</c:v>
                </c:pt>
                <c:pt idx="15">
                  <c:v>0.15598578711423297</c:v>
                </c:pt>
                <c:pt idx="16">
                  <c:v>1.0502911091597136</c:v>
                </c:pt>
                <c:pt idx="17">
                  <c:v>1.013706177092252</c:v>
                </c:pt>
                <c:pt idx="18">
                  <c:v>0.92838412248430413</c:v>
                </c:pt>
                <c:pt idx="19">
                  <c:v>0.76459810808160389</c:v>
                </c:pt>
                <c:pt idx="20">
                  <c:v>0.51421232364983083</c:v>
                </c:pt>
                <c:pt idx="21">
                  <c:v>0.34362381715932167</c:v>
                </c:pt>
                <c:pt idx="22">
                  <c:v>0.24036626393767896</c:v>
                </c:pt>
                <c:pt idx="23">
                  <c:v>0.15417274383605381</c:v>
                </c:pt>
                <c:pt idx="24">
                  <c:v>1.0497565094410903</c:v>
                </c:pt>
                <c:pt idx="25">
                  <c:v>1.0139456977685797</c:v>
                </c:pt>
                <c:pt idx="26">
                  <c:v>0.92910181359124722</c:v>
                </c:pt>
                <c:pt idx="27">
                  <c:v>0.76575696491606526</c:v>
                </c:pt>
                <c:pt idx="28">
                  <c:v>0.51535427552328017</c:v>
                </c:pt>
                <c:pt idx="29">
                  <c:v>0.34446703259838252</c:v>
                </c:pt>
                <c:pt idx="30">
                  <c:v>0.24096688912061565</c:v>
                </c:pt>
                <c:pt idx="31">
                  <c:v>0.15455869444388073</c:v>
                </c:pt>
                <c:pt idx="32">
                  <c:v>1.0572487488649696</c:v>
                </c:pt>
                <c:pt idx="33">
                  <c:v>1.0212993378812627</c:v>
                </c:pt>
                <c:pt idx="34">
                  <c:v>0.93728029890945486</c:v>
                </c:pt>
                <c:pt idx="35">
                  <c:v>0.77313575528466549</c:v>
                </c:pt>
                <c:pt idx="36">
                  <c:v>0.52076484345178087</c:v>
                </c:pt>
                <c:pt idx="37">
                  <c:v>0.34802230703839393</c:v>
                </c:pt>
                <c:pt idx="38">
                  <c:v>0.24339460444624628</c:v>
                </c:pt>
                <c:pt idx="39">
                  <c:v>0.15611327045576684</c:v>
                </c:pt>
                <c:pt idx="40">
                  <c:v>1.0616946374081269</c:v>
                </c:pt>
                <c:pt idx="41">
                  <c:v>1.0260906465792958</c:v>
                </c:pt>
                <c:pt idx="42">
                  <c:v>0.94214103671834482</c:v>
                </c:pt>
                <c:pt idx="43">
                  <c:v>0.77747673393709249</c:v>
                </c:pt>
                <c:pt idx="44">
                  <c:v>0.52408817671630059</c:v>
                </c:pt>
                <c:pt idx="45">
                  <c:v>0.35015342768682683</c:v>
                </c:pt>
                <c:pt idx="46">
                  <c:v>0.24481381923687023</c:v>
                </c:pt>
                <c:pt idx="47">
                  <c:v>0.15703074984019791</c:v>
                </c:pt>
                <c:pt idx="48">
                  <c:v>1.0419253472778953</c:v>
                </c:pt>
                <c:pt idx="49">
                  <c:v>1.0084127305736379</c:v>
                </c:pt>
                <c:pt idx="50">
                  <c:v>0.92464420500846767</c:v>
                </c:pt>
                <c:pt idx="51">
                  <c:v>0.76369129756305387</c:v>
                </c:pt>
                <c:pt idx="52">
                  <c:v>0.51460101688016491</c:v>
                </c:pt>
                <c:pt idx="53">
                  <c:v>0.34413493957431257</c:v>
                </c:pt>
                <c:pt idx="54">
                  <c:v>0.24080815538882555</c:v>
                </c:pt>
                <c:pt idx="55">
                  <c:v>0.15445024275394853</c:v>
                </c:pt>
                <c:pt idx="56">
                  <c:v>1.0409053197025524</c:v>
                </c:pt>
                <c:pt idx="57">
                  <c:v>1.0017902183509344</c:v>
                </c:pt>
                <c:pt idx="58">
                  <c:v>0.92486322947145072</c:v>
                </c:pt>
                <c:pt idx="59">
                  <c:v>0.76421969773681075</c:v>
                </c:pt>
                <c:pt idx="60">
                  <c:v>0.51523017906879887</c:v>
                </c:pt>
                <c:pt idx="61">
                  <c:v>0.34459790867157597</c:v>
                </c:pt>
                <c:pt idx="62">
                  <c:v>0.24115112728568791</c:v>
                </c:pt>
                <c:pt idx="63">
                  <c:v>0.1546726668005548</c:v>
                </c:pt>
                <c:pt idx="64">
                  <c:v>1.0373846157696023</c:v>
                </c:pt>
                <c:pt idx="65">
                  <c:v>0.99922253187850796</c:v>
                </c:pt>
                <c:pt idx="66">
                  <c:v>0.92527019205322736</c:v>
                </c:pt>
                <c:pt idx="67">
                  <c:v>0.76421931134390897</c:v>
                </c:pt>
                <c:pt idx="68">
                  <c:v>0.51518125613869248</c:v>
                </c:pt>
                <c:pt idx="69">
                  <c:v>0.34514922416414595</c:v>
                </c:pt>
                <c:pt idx="70">
                  <c:v>0.24205815249016641</c:v>
                </c:pt>
                <c:pt idx="71">
                  <c:v>0.15525134083633252</c:v>
                </c:pt>
                <c:pt idx="72">
                  <c:v>1.0285841537422313</c:v>
                </c:pt>
                <c:pt idx="73">
                  <c:v>0.99093368375486734</c:v>
                </c:pt>
                <c:pt idx="74">
                  <c:v>0.91748434032895088</c:v>
                </c:pt>
                <c:pt idx="75">
                  <c:v>0.75795227444721902</c:v>
                </c:pt>
                <c:pt idx="76">
                  <c:v>0.51074907644933998</c:v>
                </c:pt>
                <c:pt idx="77">
                  <c:v>0.34217839598909044</c:v>
                </c:pt>
                <c:pt idx="78">
                  <c:v>0.24084232705985875</c:v>
                </c:pt>
                <c:pt idx="79">
                  <c:v>0.15447321835144309</c:v>
                </c:pt>
                <c:pt idx="80">
                  <c:v>1.0318385601804216</c:v>
                </c:pt>
                <c:pt idx="81">
                  <c:v>0.99442560374954403</c:v>
                </c:pt>
                <c:pt idx="82">
                  <c:v>0.92178381936742537</c:v>
                </c:pt>
                <c:pt idx="83">
                  <c:v>0.76150518169979631</c:v>
                </c:pt>
                <c:pt idx="84">
                  <c:v>0.513355327171366</c:v>
                </c:pt>
                <c:pt idx="85">
                  <c:v>0.34392745914127892</c:v>
                </c:pt>
                <c:pt idx="86">
                  <c:v>0.24359244475790154</c:v>
                </c:pt>
                <c:pt idx="87">
                  <c:v>0.15625973591632669</c:v>
                </c:pt>
                <c:pt idx="88">
                  <c:v>1.0237724779056157</c:v>
                </c:pt>
                <c:pt idx="89">
                  <c:v>0.98665498720109834</c:v>
                </c:pt>
                <c:pt idx="90">
                  <c:v>0.91470375511533231</c:v>
                </c:pt>
                <c:pt idx="91">
                  <c:v>0.75549243640276109</c:v>
                </c:pt>
                <c:pt idx="92">
                  <c:v>0.50909833617772804</c:v>
                </c:pt>
                <c:pt idx="93">
                  <c:v>0.34108127225601359</c:v>
                </c:pt>
                <c:pt idx="94">
                  <c:v>0.24311823183396783</c:v>
                </c:pt>
                <c:pt idx="95">
                  <c:v>0.15598461021748639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BE0-4A02-B94B-E00F1CEE1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'IPE_HR_Global Only'!$AJ$198:$AJ$293</c:f>
              <c:numCache>
                <c:formatCode>0.00</c:formatCode>
                <c:ptCount val="96"/>
                <c:pt idx="0">
                  <c:v>0.29924751051933657</c:v>
                </c:pt>
                <c:pt idx="1">
                  <c:v>0.49874585086556095</c:v>
                </c:pt>
                <c:pt idx="2">
                  <c:v>0.74811877629834156</c:v>
                </c:pt>
                <c:pt idx="3">
                  <c:v>0.997491701731122</c:v>
                </c:pt>
                <c:pt idx="4">
                  <c:v>1.3266639633023924</c:v>
                </c:pt>
                <c:pt idx="5">
                  <c:v>1.6658111418909736</c:v>
                </c:pt>
                <c:pt idx="6">
                  <c:v>1.9949834034622438</c:v>
                </c:pt>
                <c:pt idx="7">
                  <c:v>2.4937292543278051</c:v>
                </c:pt>
                <c:pt idx="8">
                  <c:v>0.29922814760714123</c:v>
                </c:pt>
                <c:pt idx="9">
                  <c:v>0.49871357934523536</c:v>
                </c:pt>
                <c:pt idx="10">
                  <c:v>0.74807036901785307</c:v>
                </c:pt>
                <c:pt idx="11">
                  <c:v>0.99742715869047072</c:v>
                </c:pt>
                <c:pt idx="12">
                  <c:v>1.3265781210583263</c:v>
                </c:pt>
                <c:pt idx="13">
                  <c:v>1.6657033550130862</c:v>
                </c:pt>
                <c:pt idx="14">
                  <c:v>1.9948543173809417</c:v>
                </c:pt>
                <c:pt idx="15">
                  <c:v>2.493567896726177</c:v>
                </c:pt>
                <c:pt idx="16">
                  <c:v>0.29925223117973881</c:v>
                </c:pt>
                <c:pt idx="17">
                  <c:v>0.49875371863289802</c:v>
                </c:pt>
                <c:pt idx="18">
                  <c:v>0.7481305779493469</c:v>
                </c:pt>
                <c:pt idx="19">
                  <c:v>0.99750743726579583</c:v>
                </c:pt>
                <c:pt idx="20">
                  <c:v>1.3266848915635086</c:v>
                </c:pt>
                <c:pt idx="21">
                  <c:v>1.6658374202338788</c:v>
                </c:pt>
                <c:pt idx="22">
                  <c:v>1.9950148745315917</c:v>
                </c:pt>
                <c:pt idx="23">
                  <c:v>2.4937685931644893</c:v>
                </c:pt>
                <c:pt idx="24">
                  <c:v>0.2992905072608138</c:v>
                </c:pt>
                <c:pt idx="25">
                  <c:v>0.49881751210135633</c:v>
                </c:pt>
                <c:pt idx="26">
                  <c:v>0.74822626815203441</c:v>
                </c:pt>
                <c:pt idx="27">
                  <c:v>0.99763502420271244</c:v>
                </c:pt>
                <c:pt idx="28">
                  <c:v>1.3268545821896078</c:v>
                </c:pt>
                <c:pt idx="29">
                  <c:v>1.6660504904185296</c:v>
                </c:pt>
                <c:pt idx="30">
                  <c:v>1.9952700484054249</c:v>
                </c:pt>
                <c:pt idx="31">
                  <c:v>2.4940875605067814</c:v>
                </c:pt>
                <c:pt idx="32">
                  <c:v>0.29932592879729519</c:v>
                </c:pt>
                <c:pt idx="33">
                  <c:v>0.49887654799549203</c:v>
                </c:pt>
                <c:pt idx="34">
                  <c:v>0.74831482199323762</c:v>
                </c:pt>
                <c:pt idx="35">
                  <c:v>0.99775309599098361</c:v>
                </c:pt>
                <c:pt idx="36">
                  <c:v>1.3270116176680082</c:v>
                </c:pt>
                <c:pt idx="37">
                  <c:v>1.6662476703049425</c:v>
                </c:pt>
                <c:pt idx="38">
                  <c:v>1.9955061919819672</c:v>
                </c:pt>
                <c:pt idx="39">
                  <c:v>2.4943827399774592</c:v>
                </c:pt>
                <c:pt idx="40">
                  <c:v>0.29938873038742098</c:v>
                </c:pt>
                <c:pt idx="41">
                  <c:v>0.49898121731236822</c:v>
                </c:pt>
                <c:pt idx="42">
                  <c:v>0.74847182596855255</c:v>
                </c:pt>
                <c:pt idx="43">
                  <c:v>0.99796243462473666</c:v>
                </c:pt>
                <c:pt idx="44">
                  <c:v>1.3272900380509001</c:v>
                </c:pt>
                <c:pt idx="45">
                  <c:v>1.6665972658233099</c:v>
                </c:pt>
                <c:pt idx="46">
                  <c:v>1.9959248692494731</c:v>
                </c:pt>
                <c:pt idx="47">
                  <c:v>2.4949060865618411</c:v>
                </c:pt>
                <c:pt idx="48">
                  <c:v>0.29939275678022886</c:v>
                </c:pt>
                <c:pt idx="49">
                  <c:v>0.49898792796704822</c:v>
                </c:pt>
                <c:pt idx="50">
                  <c:v>0.74848189195057258</c:v>
                </c:pt>
                <c:pt idx="51">
                  <c:v>0.99797585593409677</c:v>
                </c:pt>
                <c:pt idx="52">
                  <c:v>1.3273078883923484</c:v>
                </c:pt>
                <c:pt idx="53">
                  <c:v>1.6666196794099415</c:v>
                </c:pt>
                <c:pt idx="54">
                  <c:v>1.9959517118681935</c:v>
                </c:pt>
                <c:pt idx="55">
                  <c:v>2.4949396398352417</c:v>
                </c:pt>
                <c:pt idx="56">
                  <c:v>0.29939218103412962</c:v>
                </c:pt>
                <c:pt idx="57">
                  <c:v>0.49898696839021595</c:v>
                </c:pt>
                <c:pt idx="58">
                  <c:v>0.74848045258532392</c:v>
                </c:pt>
                <c:pt idx="59">
                  <c:v>0.997973936780432</c:v>
                </c:pt>
                <c:pt idx="60">
                  <c:v>1.3273053359179745</c:v>
                </c:pt>
                <c:pt idx="61">
                  <c:v>1.6666164744233212</c:v>
                </c:pt>
                <c:pt idx="62">
                  <c:v>1.995947873560864</c:v>
                </c:pt>
                <c:pt idx="63">
                  <c:v>2.4949348419510797</c:v>
                </c:pt>
                <c:pt idx="64">
                  <c:v>0.29929005941332393</c:v>
                </c:pt>
                <c:pt idx="65">
                  <c:v>0.49881676568887312</c:v>
                </c:pt>
                <c:pt idx="66">
                  <c:v>0.74822514853330968</c:v>
                </c:pt>
                <c:pt idx="67">
                  <c:v>0.99763353137774624</c:v>
                </c:pt>
                <c:pt idx="68">
                  <c:v>1.3268525967324027</c:v>
                </c:pt>
                <c:pt idx="69">
                  <c:v>1.6660479974008364</c:v>
                </c:pt>
                <c:pt idx="70">
                  <c:v>1.9952670627554925</c:v>
                </c:pt>
                <c:pt idx="71">
                  <c:v>2.4940838284443654</c:v>
                </c:pt>
                <c:pt idx="72">
                  <c:v>0.2992478664070331</c:v>
                </c:pt>
                <c:pt idx="73">
                  <c:v>0.4987464440117218</c:v>
                </c:pt>
                <c:pt idx="74">
                  <c:v>0.74811966601758262</c:v>
                </c:pt>
                <c:pt idx="75">
                  <c:v>0.9974928880234436</c:v>
                </c:pt>
                <c:pt idx="76">
                  <c:v>1.3266655410711798</c:v>
                </c:pt>
                <c:pt idx="77">
                  <c:v>1.6658131229991506</c:v>
                </c:pt>
                <c:pt idx="78">
                  <c:v>1.994985776046887</c:v>
                </c:pt>
                <c:pt idx="79">
                  <c:v>2.4937322200586087</c:v>
                </c:pt>
                <c:pt idx="80">
                  <c:v>0.29919297056730504</c:v>
                </c:pt>
                <c:pt idx="81">
                  <c:v>0.49865495094550832</c:v>
                </c:pt>
                <c:pt idx="82">
                  <c:v>0.74798242641826251</c:v>
                </c:pt>
                <c:pt idx="83">
                  <c:v>0.99730990189101676</c:v>
                </c:pt>
                <c:pt idx="84">
                  <c:v>1.3264221695150522</c:v>
                </c:pt>
                <c:pt idx="85">
                  <c:v>1.6655075361579976</c:v>
                </c:pt>
                <c:pt idx="86">
                  <c:v>1.9946198037820333</c:v>
                </c:pt>
                <c:pt idx="87">
                  <c:v>2.4932747547275418</c:v>
                </c:pt>
                <c:pt idx="88">
                  <c:v>0.29916133483161483</c:v>
                </c:pt>
                <c:pt idx="89">
                  <c:v>0.49860222471935828</c:v>
                </c:pt>
                <c:pt idx="90">
                  <c:v>0.74790333707903744</c:v>
                </c:pt>
                <c:pt idx="91">
                  <c:v>0.99720444943871656</c:v>
                </c:pt>
                <c:pt idx="92">
                  <c:v>1.326281917753493</c:v>
                </c:pt>
                <c:pt idx="93">
                  <c:v>1.6653314305626563</c:v>
                </c:pt>
                <c:pt idx="94">
                  <c:v>1.9944088988774331</c:v>
                </c:pt>
                <c:pt idx="95">
                  <c:v>2.4930111235967911</c:v>
                </c:pt>
              </c:numCache>
            </c:numRef>
          </c:xVal>
          <c:yVal>
            <c:numRef>
              <c:f>'IPE_HR_Global Only'!$AK$198:$AK$293</c:f>
              <c:numCache>
                <c:formatCode>General</c:formatCode>
                <c:ptCount val="96"/>
                <c:pt idx="0">
                  <c:v>1.0492303504066263</c:v>
                </c:pt>
                <c:pt idx="1">
                  <c:v>1.0125824601673368</c:v>
                </c:pt>
                <c:pt idx="2">
                  <c:v>0.9268117821584434</c:v>
                </c:pt>
                <c:pt idx="3">
                  <c:v>0.76272252622467263</c:v>
                </c:pt>
                <c:pt idx="4">
                  <c:v>0.51254246504589318</c:v>
                </c:pt>
                <c:pt idx="5">
                  <c:v>0.34228901537603507</c:v>
                </c:pt>
                <c:pt idx="6">
                  <c:v>0.23944346976006642</c:v>
                </c:pt>
                <c:pt idx="7">
                  <c:v>0.15358385391848278</c:v>
                </c:pt>
                <c:pt idx="8">
                  <c:v>1.0639538621273983</c:v>
                </c:pt>
                <c:pt idx="9">
                  <c:v>1.02655219423805</c:v>
                </c:pt>
                <c:pt idx="10">
                  <c:v>0.94078637691354061</c:v>
                </c:pt>
                <c:pt idx="11">
                  <c:v>0.77459844695063096</c:v>
                </c:pt>
                <c:pt idx="12">
                  <c:v>0.5208669859987457</c:v>
                </c:pt>
                <c:pt idx="13">
                  <c:v>0.3478217825248705</c:v>
                </c:pt>
                <c:pt idx="14">
                  <c:v>0.24318426647782534</c:v>
                </c:pt>
                <c:pt idx="15">
                  <c:v>0.15598578711423297</c:v>
                </c:pt>
                <c:pt idx="16">
                  <c:v>1.0502911091597136</c:v>
                </c:pt>
                <c:pt idx="17">
                  <c:v>1.013706177092252</c:v>
                </c:pt>
                <c:pt idx="18">
                  <c:v>0.92838412248430413</c:v>
                </c:pt>
                <c:pt idx="19">
                  <c:v>0.76459810808160389</c:v>
                </c:pt>
                <c:pt idx="20">
                  <c:v>0.51421232364983083</c:v>
                </c:pt>
                <c:pt idx="21">
                  <c:v>0.34362381715932167</c:v>
                </c:pt>
                <c:pt idx="22">
                  <c:v>0.24036626393767896</c:v>
                </c:pt>
                <c:pt idx="23">
                  <c:v>0.15417274383605381</c:v>
                </c:pt>
                <c:pt idx="24">
                  <c:v>1.0497565094410903</c:v>
                </c:pt>
                <c:pt idx="25">
                  <c:v>1.0139456977685797</c:v>
                </c:pt>
                <c:pt idx="26">
                  <c:v>0.92910181359124722</c:v>
                </c:pt>
                <c:pt idx="27">
                  <c:v>0.76575696491606526</c:v>
                </c:pt>
                <c:pt idx="28">
                  <c:v>0.51535427552328017</c:v>
                </c:pt>
                <c:pt idx="29">
                  <c:v>0.34446703259838252</c:v>
                </c:pt>
                <c:pt idx="30">
                  <c:v>0.24096688912061565</c:v>
                </c:pt>
                <c:pt idx="31">
                  <c:v>0.15455869444388073</c:v>
                </c:pt>
                <c:pt idx="32">
                  <c:v>1.0572487488649696</c:v>
                </c:pt>
                <c:pt idx="33">
                  <c:v>1.0212993378812627</c:v>
                </c:pt>
                <c:pt idx="34">
                  <c:v>0.93728029890945486</c:v>
                </c:pt>
                <c:pt idx="35">
                  <c:v>0.77313575528466549</c:v>
                </c:pt>
                <c:pt idx="36">
                  <c:v>0.52076484345178087</c:v>
                </c:pt>
                <c:pt idx="37">
                  <c:v>0.34802230703839393</c:v>
                </c:pt>
                <c:pt idx="38">
                  <c:v>0.24339460444624628</c:v>
                </c:pt>
                <c:pt idx="39">
                  <c:v>0.15611327045576684</c:v>
                </c:pt>
                <c:pt idx="40">
                  <c:v>1.0616946374081269</c:v>
                </c:pt>
                <c:pt idx="41">
                  <c:v>1.0260906465792958</c:v>
                </c:pt>
                <c:pt idx="42">
                  <c:v>0.94214103671834482</c:v>
                </c:pt>
                <c:pt idx="43">
                  <c:v>0.77747673393709249</c:v>
                </c:pt>
                <c:pt idx="44">
                  <c:v>0.52408817671630059</c:v>
                </c:pt>
                <c:pt idx="45">
                  <c:v>0.35015342768682683</c:v>
                </c:pt>
                <c:pt idx="46">
                  <c:v>0.24481381923687023</c:v>
                </c:pt>
                <c:pt idx="47">
                  <c:v>0.15703074984019791</c:v>
                </c:pt>
                <c:pt idx="48">
                  <c:v>1.0419253472778953</c:v>
                </c:pt>
                <c:pt idx="49">
                  <c:v>1.0084127305736379</c:v>
                </c:pt>
                <c:pt idx="50">
                  <c:v>0.92464420500846767</c:v>
                </c:pt>
                <c:pt idx="51">
                  <c:v>0.76369129756305387</c:v>
                </c:pt>
                <c:pt idx="52">
                  <c:v>0.51460101688016491</c:v>
                </c:pt>
                <c:pt idx="53">
                  <c:v>0.34413493957431257</c:v>
                </c:pt>
                <c:pt idx="54">
                  <c:v>0.24080815538882555</c:v>
                </c:pt>
                <c:pt idx="55">
                  <c:v>0.15445024275394853</c:v>
                </c:pt>
                <c:pt idx="56">
                  <c:v>1.0409053197025524</c:v>
                </c:pt>
                <c:pt idx="57">
                  <c:v>1.0017902183509344</c:v>
                </c:pt>
                <c:pt idx="58">
                  <c:v>0.92486322947145072</c:v>
                </c:pt>
                <c:pt idx="59">
                  <c:v>0.76421969773681075</c:v>
                </c:pt>
                <c:pt idx="60">
                  <c:v>0.51523017906879887</c:v>
                </c:pt>
                <c:pt idx="61">
                  <c:v>0.34459790867157597</c:v>
                </c:pt>
                <c:pt idx="62">
                  <c:v>0.24115112728568791</c:v>
                </c:pt>
                <c:pt idx="63">
                  <c:v>0.1546726668005548</c:v>
                </c:pt>
                <c:pt idx="64">
                  <c:v>1.0373846157696023</c:v>
                </c:pt>
                <c:pt idx="65">
                  <c:v>0.99922253187850796</c:v>
                </c:pt>
                <c:pt idx="66">
                  <c:v>0.92527019205322736</c:v>
                </c:pt>
                <c:pt idx="67">
                  <c:v>0.76421931134390897</c:v>
                </c:pt>
                <c:pt idx="68">
                  <c:v>0.51518125613869248</c:v>
                </c:pt>
                <c:pt idx="69">
                  <c:v>0.34514922416414595</c:v>
                </c:pt>
                <c:pt idx="70">
                  <c:v>0.24205815249016641</c:v>
                </c:pt>
                <c:pt idx="71">
                  <c:v>0.15525134083633252</c:v>
                </c:pt>
                <c:pt idx="72">
                  <c:v>1.0285841537422313</c:v>
                </c:pt>
                <c:pt idx="73">
                  <c:v>0.99093368375486734</c:v>
                </c:pt>
                <c:pt idx="74">
                  <c:v>0.91748434032895088</c:v>
                </c:pt>
                <c:pt idx="75">
                  <c:v>0.75795227444721902</c:v>
                </c:pt>
                <c:pt idx="76">
                  <c:v>0.51074907644933998</c:v>
                </c:pt>
                <c:pt idx="77">
                  <c:v>0.34217839598909044</c:v>
                </c:pt>
                <c:pt idx="78">
                  <c:v>0.24084232705985875</c:v>
                </c:pt>
                <c:pt idx="79">
                  <c:v>0.15447321835144309</c:v>
                </c:pt>
                <c:pt idx="80">
                  <c:v>1.0318385601804216</c:v>
                </c:pt>
                <c:pt idx="81">
                  <c:v>0.99442560374954403</c:v>
                </c:pt>
                <c:pt idx="82">
                  <c:v>0.92178381936742537</c:v>
                </c:pt>
                <c:pt idx="83">
                  <c:v>0.76150518169979631</c:v>
                </c:pt>
                <c:pt idx="84">
                  <c:v>0.513355327171366</c:v>
                </c:pt>
                <c:pt idx="85">
                  <c:v>0.34392745914127892</c:v>
                </c:pt>
                <c:pt idx="86">
                  <c:v>0.24359244475790154</c:v>
                </c:pt>
                <c:pt idx="87">
                  <c:v>0.15625973591632669</c:v>
                </c:pt>
                <c:pt idx="88">
                  <c:v>1.0237724779056157</c:v>
                </c:pt>
                <c:pt idx="89">
                  <c:v>0.98665498720109834</c:v>
                </c:pt>
                <c:pt idx="90">
                  <c:v>0.91470375511533231</c:v>
                </c:pt>
                <c:pt idx="91">
                  <c:v>0.75549243640276109</c:v>
                </c:pt>
                <c:pt idx="92">
                  <c:v>0.50909833617772804</c:v>
                </c:pt>
                <c:pt idx="93">
                  <c:v>0.34108127225601359</c:v>
                </c:pt>
                <c:pt idx="94">
                  <c:v>0.24311823183396783</c:v>
                </c:pt>
                <c:pt idx="95">
                  <c:v>0.15598461021748639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8-4FD2-AE9A-CB5201808841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'IPE_HR_Global Only'!$AJ$6:$AJ$101</c:f>
              <c:numCache>
                <c:formatCode>0.00</c:formatCode>
                <c:ptCount val="96"/>
                <c:pt idx="0">
                  <c:v>0.29924751051933657</c:v>
                </c:pt>
                <c:pt idx="1">
                  <c:v>0.498745850865561</c:v>
                </c:pt>
                <c:pt idx="2">
                  <c:v>0.74811877629834156</c:v>
                </c:pt>
                <c:pt idx="3">
                  <c:v>0.99749170173112212</c:v>
                </c:pt>
                <c:pt idx="4">
                  <c:v>1.3266639633023927</c:v>
                </c:pt>
                <c:pt idx="5">
                  <c:v>1.6658111418909738</c:v>
                </c:pt>
                <c:pt idx="6">
                  <c:v>1.9949834034622442</c:v>
                </c:pt>
                <c:pt idx="7">
                  <c:v>2.4937292543278056</c:v>
                </c:pt>
                <c:pt idx="8">
                  <c:v>0.29922814760714123</c:v>
                </c:pt>
                <c:pt idx="9">
                  <c:v>0.4987135793452353</c:v>
                </c:pt>
                <c:pt idx="10">
                  <c:v>0.74807036901785295</c:v>
                </c:pt>
                <c:pt idx="11">
                  <c:v>0.99742715869047061</c:v>
                </c:pt>
                <c:pt idx="12">
                  <c:v>1.3265781210583261</c:v>
                </c:pt>
                <c:pt idx="13">
                  <c:v>1.6657033550130858</c:v>
                </c:pt>
                <c:pt idx="14">
                  <c:v>1.9948543173809412</c:v>
                </c:pt>
                <c:pt idx="15">
                  <c:v>2.4935678967261765</c:v>
                </c:pt>
                <c:pt idx="16">
                  <c:v>0.29925223117973881</c:v>
                </c:pt>
                <c:pt idx="17">
                  <c:v>0.49875371863289808</c:v>
                </c:pt>
                <c:pt idx="18">
                  <c:v>0.7481305779493469</c:v>
                </c:pt>
                <c:pt idx="19">
                  <c:v>0.99750743726579594</c:v>
                </c:pt>
                <c:pt idx="20">
                  <c:v>1.3266848915635086</c:v>
                </c:pt>
                <c:pt idx="21">
                  <c:v>1.665837420233879</c:v>
                </c:pt>
                <c:pt idx="22">
                  <c:v>1.9950148745315921</c:v>
                </c:pt>
                <c:pt idx="23">
                  <c:v>2.4937685931644897</c:v>
                </c:pt>
                <c:pt idx="24">
                  <c:v>0.29929050726081385</c:v>
                </c:pt>
                <c:pt idx="25">
                  <c:v>0.49881751210135639</c:v>
                </c:pt>
                <c:pt idx="26">
                  <c:v>0.74822626815203441</c:v>
                </c:pt>
                <c:pt idx="27">
                  <c:v>0.99763502420271255</c:v>
                </c:pt>
                <c:pt idx="28">
                  <c:v>1.3268545821896078</c:v>
                </c:pt>
                <c:pt idx="29">
                  <c:v>1.6660504904185298</c:v>
                </c:pt>
                <c:pt idx="30">
                  <c:v>1.9952700484054251</c:v>
                </c:pt>
                <c:pt idx="31">
                  <c:v>2.4940875605067814</c:v>
                </c:pt>
                <c:pt idx="32">
                  <c:v>0.29932592879729519</c:v>
                </c:pt>
                <c:pt idx="33">
                  <c:v>0.49887654799549197</c:v>
                </c:pt>
                <c:pt idx="34">
                  <c:v>0.74831482199323773</c:v>
                </c:pt>
                <c:pt idx="35">
                  <c:v>0.99775309599098361</c:v>
                </c:pt>
                <c:pt idx="36">
                  <c:v>1.3270116176680082</c:v>
                </c:pt>
                <c:pt idx="37">
                  <c:v>1.6662476703049425</c:v>
                </c:pt>
                <c:pt idx="38">
                  <c:v>1.9955061919819672</c:v>
                </c:pt>
                <c:pt idx="39">
                  <c:v>2.4943827399774592</c:v>
                </c:pt>
                <c:pt idx="40">
                  <c:v>0.29938873038742086</c:v>
                </c:pt>
                <c:pt idx="41">
                  <c:v>0.49898121731236816</c:v>
                </c:pt>
                <c:pt idx="42">
                  <c:v>0.74847182596855233</c:v>
                </c:pt>
                <c:pt idx="43">
                  <c:v>0.99796243462473644</c:v>
                </c:pt>
                <c:pt idx="44">
                  <c:v>1.3272900380508996</c:v>
                </c:pt>
                <c:pt idx="45">
                  <c:v>1.6665972658233097</c:v>
                </c:pt>
                <c:pt idx="46">
                  <c:v>1.9959248692494729</c:v>
                </c:pt>
                <c:pt idx="47">
                  <c:v>2.4949060865618411</c:v>
                </c:pt>
                <c:pt idx="48">
                  <c:v>0.29939275678022886</c:v>
                </c:pt>
                <c:pt idx="49">
                  <c:v>0.49898792796704811</c:v>
                </c:pt>
                <c:pt idx="50">
                  <c:v>0.74848189195057235</c:v>
                </c:pt>
                <c:pt idx="51">
                  <c:v>0.99797585593409655</c:v>
                </c:pt>
                <c:pt idx="52">
                  <c:v>1.3273078883923486</c:v>
                </c:pt>
                <c:pt idx="53">
                  <c:v>1.6666196794099413</c:v>
                </c:pt>
                <c:pt idx="54">
                  <c:v>1.9959517118681931</c:v>
                </c:pt>
                <c:pt idx="55">
                  <c:v>2.4949396398352417</c:v>
                </c:pt>
                <c:pt idx="56">
                  <c:v>0.29939218103412951</c:v>
                </c:pt>
                <c:pt idx="57">
                  <c:v>0.49898696839021595</c:v>
                </c:pt>
                <c:pt idx="58">
                  <c:v>0.74848045258532392</c:v>
                </c:pt>
                <c:pt idx="59">
                  <c:v>0.99797393678043189</c:v>
                </c:pt>
                <c:pt idx="60">
                  <c:v>1.3273053359179745</c:v>
                </c:pt>
                <c:pt idx="61">
                  <c:v>1.6666164744233212</c:v>
                </c:pt>
                <c:pt idx="62">
                  <c:v>1.9959478735608638</c:v>
                </c:pt>
                <c:pt idx="63">
                  <c:v>2.4949348419510797</c:v>
                </c:pt>
                <c:pt idx="64">
                  <c:v>0.29929005941332387</c:v>
                </c:pt>
                <c:pt idx="65">
                  <c:v>0.49881676568887312</c:v>
                </c:pt>
                <c:pt idx="66">
                  <c:v>0.74822514853330968</c:v>
                </c:pt>
                <c:pt idx="67">
                  <c:v>0.99763353137774624</c:v>
                </c:pt>
                <c:pt idx="68">
                  <c:v>1.3268525967324025</c:v>
                </c:pt>
                <c:pt idx="69">
                  <c:v>1.666047997400836</c:v>
                </c:pt>
                <c:pt idx="70">
                  <c:v>1.9952670627554925</c:v>
                </c:pt>
                <c:pt idx="71">
                  <c:v>2.4940838284443654</c:v>
                </c:pt>
                <c:pt idx="72">
                  <c:v>0.2992478664070331</c:v>
                </c:pt>
                <c:pt idx="73">
                  <c:v>0.4987464440117218</c:v>
                </c:pt>
                <c:pt idx="74">
                  <c:v>0.74811966601758262</c:v>
                </c:pt>
                <c:pt idx="75">
                  <c:v>0.9974928880234436</c:v>
                </c:pt>
                <c:pt idx="76">
                  <c:v>1.3266655410711803</c:v>
                </c:pt>
                <c:pt idx="77">
                  <c:v>1.6658131229991509</c:v>
                </c:pt>
                <c:pt idx="78">
                  <c:v>1.9949857760468874</c:v>
                </c:pt>
                <c:pt idx="79">
                  <c:v>2.4937322200586092</c:v>
                </c:pt>
                <c:pt idx="80">
                  <c:v>0.29919297056730504</c:v>
                </c:pt>
                <c:pt idx="81">
                  <c:v>0.49865495094550838</c:v>
                </c:pt>
                <c:pt idx="82">
                  <c:v>0.74798242641826262</c:v>
                </c:pt>
                <c:pt idx="83">
                  <c:v>0.99730990189101676</c:v>
                </c:pt>
                <c:pt idx="84">
                  <c:v>1.3264221695150524</c:v>
                </c:pt>
                <c:pt idx="85">
                  <c:v>1.6655075361579978</c:v>
                </c:pt>
                <c:pt idx="86">
                  <c:v>1.9946198037820335</c:v>
                </c:pt>
                <c:pt idx="87">
                  <c:v>2.4932747547275418</c:v>
                </c:pt>
                <c:pt idx="88">
                  <c:v>0.29916133483161483</c:v>
                </c:pt>
                <c:pt idx="89">
                  <c:v>0.49860222471935822</c:v>
                </c:pt>
                <c:pt idx="90">
                  <c:v>0.74790333707903744</c:v>
                </c:pt>
                <c:pt idx="91">
                  <c:v>0.99720444943871644</c:v>
                </c:pt>
                <c:pt idx="92">
                  <c:v>1.326281917753493</c:v>
                </c:pt>
                <c:pt idx="93">
                  <c:v>1.6653314305626563</c:v>
                </c:pt>
                <c:pt idx="94">
                  <c:v>1.9944088988774331</c:v>
                </c:pt>
                <c:pt idx="95">
                  <c:v>2.4930111235967911</c:v>
                </c:pt>
              </c:numCache>
            </c:numRef>
          </c:xVal>
          <c:yVal>
            <c:numRef>
              <c:f>'IPE_HR_Global Only'!$AK$6:$AK$101</c:f>
              <c:numCache>
                <c:formatCode>General</c:formatCode>
                <c:ptCount val="96"/>
                <c:pt idx="0">
                  <c:v>1.0700407711814643</c:v>
                </c:pt>
                <c:pt idx="1">
                  <c:v>1.0373999331771029</c:v>
                </c:pt>
                <c:pt idx="2">
                  <c:v>0.97508970332601241</c:v>
                </c:pt>
                <c:pt idx="3">
                  <c:v>0.80991369465576613</c:v>
                </c:pt>
                <c:pt idx="4">
                  <c:v>0.53508352285094851</c:v>
                </c:pt>
                <c:pt idx="5">
                  <c:v>0.34935589121173921</c:v>
                </c:pt>
                <c:pt idx="6">
                  <c:v>0.24250708381767508</c:v>
                </c:pt>
                <c:pt idx="7">
                  <c:v>0.15481557732985049</c:v>
                </c:pt>
                <c:pt idx="8">
                  <c:v>1.0838105686435437</c:v>
                </c:pt>
                <c:pt idx="9">
                  <c:v>1.0514376805671015</c:v>
                </c:pt>
                <c:pt idx="10">
                  <c:v>0.98898120231785513</c:v>
                </c:pt>
                <c:pt idx="11">
                  <c:v>0.82192337205719901</c:v>
                </c:pt>
                <c:pt idx="12">
                  <c:v>0.54359596407161148</c:v>
                </c:pt>
                <c:pt idx="13">
                  <c:v>0.35482864805729125</c:v>
                </c:pt>
                <c:pt idx="14">
                  <c:v>0.24624864341765729</c:v>
                </c:pt>
                <c:pt idx="15">
                  <c:v>0.15719116998425287</c:v>
                </c:pt>
                <c:pt idx="16">
                  <c:v>1.0696304952497122</c:v>
                </c:pt>
                <c:pt idx="17">
                  <c:v>1.0381317242441253</c:v>
                </c:pt>
                <c:pt idx="18">
                  <c:v>0.96768024051405388</c:v>
                </c:pt>
                <c:pt idx="19">
                  <c:v>0.81151396190459835</c:v>
                </c:pt>
                <c:pt idx="20">
                  <c:v>0.53669258050000335</c:v>
                </c:pt>
                <c:pt idx="21">
                  <c:v>0.3506246016489295</c:v>
                </c:pt>
                <c:pt idx="22">
                  <c:v>0.24333930951964156</c:v>
                </c:pt>
                <c:pt idx="23">
                  <c:v>0.15533631590779431</c:v>
                </c:pt>
                <c:pt idx="24">
                  <c:v>1.0684213783767629</c:v>
                </c:pt>
                <c:pt idx="25">
                  <c:v>1.0382987916892372</c:v>
                </c:pt>
                <c:pt idx="26">
                  <c:v>0.96789143757352458</c:v>
                </c:pt>
                <c:pt idx="27">
                  <c:v>0.81231253722920371</c:v>
                </c:pt>
                <c:pt idx="28">
                  <c:v>0.53771138511117811</c:v>
                </c:pt>
                <c:pt idx="29">
                  <c:v>0.35137855378865118</c:v>
                </c:pt>
                <c:pt idx="30">
                  <c:v>0.243867208699733</c:v>
                </c:pt>
                <c:pt idx="31">
                  <c:v>0.15566543871520477</c:v>
                </c:pt>
                <c:pt idx="32">
                  <c:v>1.0759404306174205</c:v>
                </c:pt>
                <c:pt idx="33">
                  <c:v>1.0455441275701407</c:v>
                </c:pt>
                <c:pt idx="34">
                  <c:v>0.97587411337882557</c:v>
                </c:pt>
                <c:pt idx="35">
                  <c:v>0.81976940309723645</c:v>
                </c:pt>
                <c:pt idx="36">
                  <c:v>0.54317628743188984</c:v>
                </c:pt>
                <c:pt idx="37">
                  <c:v>0.35484342535611896</c:v>
                </c:pt>
                <c:pt idx="38">
                  <c:v>0.24626149244733789</c:v>
                </c:pt>
                <c:pt idx="39">
                  <c:v>0.15719423633242299</c:v>
                </c:pt>
                <c:pt idx="40">
                  <c:v>1.0793984866744055</c:v>
                </c:pt>
                <c:pt idx="41">
                  <c:v>1.0500898427997134</c:v>
                </c:pt>
                <c:pt idx="42">
                  <c:v>0.98058081214606874</c:v>
                </c:pt>
                <c:pt idx="43">
                  <c:v>0.82413790602591575</c:v>
                </c:pt>
                <c:pt idx="44">
                  <c:v>0.54634675609898853</c:v>
                </c:pt>
                <c:pt idx="45">
                  <c:v>0.35679343272781988</c:v>
                </c:pt>
                <c:pt idx="46">
                  <c:v>0.24762377746801026</c:v>
                </c:pt>
                <c:pt idx="47">
                  <c:v>0.15807381567472856</c:v>
                </c:pt>
                <c:pt idx="48">
                  <c:v>1.0591616776628119</c:v>
                </c:pt>
                <c:pt idx="49">
                  <c:v>1.0315001721185078</c:v>
                </c:pt>
                <c:pt idx="50">
                  <c:v>0.96329082686971301</c:v>
                </c:pt>
                <c:pt idx="51">
                  <c:v>0.80946047300063118</c:v>
                </c:pt>
                <c:pt idx="52">
                  <c:v>0.53659369098126652</c:v>
                </c:pt>
                <c:pt idx="53">
                  <c:v>0.35092873777357197</c:v>
                </c:pt>
                <c:pt idx="54">
                  <c:v>0.24354768148195449</c:v>
                </c:pt>
                <c:pt idx="55">
                  <c:v>0.15546148169725868</c:v>
                </c:pt>
                <c:pt idx="56">
                  <c:v>1.0574112487830436</c:v>
                </c:pt>
                <c:pt idx="57">
                  <c:v>1.031390027917896</c:v>
                </c:pt>
                <c:pt idx="58">
                  <c:v>0.96303973417398558</c:v>
                </c:pt>
                <c:pt idx="59">
                  <c:v>0.80965359041572937</c:v>
                </c:pt>
                <c:pt idx="60">
                  <c:v>0.53708973322508158</c:v>
                </c:pt>
                <c:pt idx="61">
                  <c:v>0.35131554161767092</c:v>
                </c:pt>
                <c:pt idx="62">
                  <c:v>0.24381141252184374</c:v>
                </c:pt>
                <c:pt idx="63">
                  <c:v>0.15563254169877899</c:v>
                </c:pt>
                <c:pt idx="64">
                  <c:v>1.0532110348162658</c:v>
                </c:pt>
                <c:pt idx="65">
                  <c:v>1.0278761670036556</c:v>
                </c:pt>
                <c:pt idx="66">
                  <c:v>0.96206283480213783</c:v>
                </c:pt>
                <c:pt idx="67">
                  <c:v>0.80882501614074465</c:v>
                </c:pt>
                <c:pt idx="68">
                  <c:v>0.53677277131308632</c:v>
                </c:pt>
                <c:pt idx="69">
                  <c:v>0.35142686378357701</c:v>
                </c:pt>
                <c:pt idx="70">
                  <c:v>0.24383328538842727</c:v>
                </c:pt>
                <c:pt idx="71">
                  <c:v>0.15561447944659831</c:v>
                </c:pt>
                <c:pt idx="72">
                  <c:v>1.0437438285598992</c:v>
                </c:pt>
                <c:pt idx="73">
                  <c:v>1.0192913638220986</c:v>
                </c:pt>
                <c:pt idx="74">
                  <c:v>0.95459637900255889</c:v>
                </c:pt>
                <c:pt idx="75">
                  <c:v>0.80200347717198572</c:v>
                </c:pt>
                <c:pt idx="76">
                  <c:v>0.5321479888102999</c:v>
                </c:pt>
                <c:pt idx="77">
                  <c:v>0.34869142822222848</c:v>
                </c:pt>
                <c:pt idx="78">
                  <c:v>0.24193133048237014</c:v>
                </c:pt>
                <c:pt idx="79">
                  <c:v>0.15439065354969728</c:v>
                </c:pt>
                <c:pt idx="80">
                  <c:v>1.0469695371190908</c:v>
                </c:pt>
                <c:pt idx="81">
                  <c:v>1.022504320797698</c:v>
                </c:pt>
                <c:pt idx="82">
                  <c:v>0.95828205717779413</c:v>
                </c:pt>
                <c:pt idx="83">
                  <c:v>0.80540141463624859</c:v>
                </c:pt>
                <c:pt idx="84">
                  <c:v>0.53486061069644519</c:v>
                </c:pt>
                <c:pt idx="85">
                  <c:v>0.35060259001465283</c:v>
                </c:pt>
                <c:pt idx="86">
                  <c:v>0.2432213969634566</c:v>
                </c:pt>
                <c:pt idx="87">
                  <c:v>0.15520067957869485</c:v>
                </c:pt>
                <c:pt idx="88">
                  <c:v>1.0381913528198428</c:v>
                </c:pt>
                <c:pt idx="89">
                  <c:v>1.0145170829376449</c:v>
                </c:pt>
                <c:pt idx="90">
                  <c:v>0.95112208149060773</c:v>
                </c:pt>
                <c:pt idx="91">
                  <c:v>0.79897999622628368</c:v>
                </c:pt>
                <c:pt idx="92">
                  <c:v>0.53041773783565338</c:v>
                </c:pt>
                <c:pt idx="93">
                  <c:v>0.34788931338270529</c:v>
                </c:pt>
                <c:pt idx="94">
                  <c:v>0.24134420524518502</c:v>
                </c:pt>
                <c:pt idx="95">
                  <c:v>0.15400077719811289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18-4FD2-AE9A-CB5201808841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'IPE_HR_Global Only'!$AJ$102:$AJ$197</c:f>
              <c:numCache>
                <c:formatCode>0.00</c:formatCode>
                <c:ptCount val="96"/>
                <c:pt idx="0">
                  <c:v>0.29924751051933662</c:v>
                </c:pt>
                <c:pt idx="1">
                  <c:v>0.49874585086556106</c:v>
                </c:pt>
                <c:pt idx="2">
                  <c:v>0.74811877629834156</c:v>
                </c:pt>
                <c:pt idx="3">
                  <c:v>0.99749170173112212</c:v>
                </c:pt>
                <c:pt idx="4">
                  <c:v>1.3266639633023924</c:v>
                </c:pt>
                <c:pt idx="5">
                  <c:v>1.6658111418909736</c:v>
                </c:pt>
                <c:pt idx="6">
                  <c:v>1.994983403462244</c:v>
                </c:pt>
                <c:pt idx="7">
                  <c:v>2.4937292543278051</c:v>
                </c:pt>
                <c:pt idx="8">
                  <c:v>0.29922814760714123</c:v>
                </c:pt>
                <c:pt idx="9">
                  <c:v>0.4987135793452353</c:v>
                </c:pt>
                <c:pt idx="10">
                  <c:v>0.74807036901785307</c:v>
                </c:pt>
                <c:pt idx="11">
                  <c:v>0.99742715869047061</c:v>
                </c:pt>
                <c:pt idx="12">
                  <c:v>1.3265781210583261</c:v>
                </c:pt>
                <c:pt idx="13">
                  <c:v>1.6657033550130858</c:v>
                </c:pt>
                <c:pt idx="14">
                  <c:v>1.9948543173809412</c:v>
                </c:pt>
                <c:pt idx="15">
                  <c:v>2.493567896726177</c:v>
                </c:pt>
                <c:pt idx="16">
                  <c:v>0.29925223117973887</c:v>
                </c:pt>
                <c:pt idx="17">
                  <c:v>0.49875371863289814</c:v>
                </c:pt>
                <c:pt idx="18">
                  <c:v>0.74813057794934712</c:v>
                </c:pt>
                <c:pt idx="19">
                  <c:v>0.99750743726579594</c:v>
                </c:pt>
                <c:pt idx="20">
                  <c:v>1.3266848915635088</c:v>
                </c:pt>
                <c:pt idx="21">
                  <c:v>1.665837420233879</c:v>
                </c:pt>
                <c:pt idx="22">
                  <c:v>1.9950148745315921</c:v>
                </c:pt>
                <c:pt idx="23">
                  <c:v>2.4937685931644897</c:v>
                </c:pt>
                <c:pt idx="24">
                  <c:v>0.2992905072608138</c:v>
                </c:pt>
                <c:pt idx="25">
                  <c:v>0.49881751210135639</c:v>
                </c:pt>
                <c:pt idx="26">
                  <c:v>0.7482262681520343</c:v>
                </c:pt>
                <c:pt idx="27">
                  <c:v>0.99763502420271255</c:v>
                </c:pt>
                <c:pt idx="28">
                  <c:v>1.3268545821896076</c:v>
                </c:pt>
                <c:pt idx="29">
                  <c:v>1.6660504904185298</c:v>
                </c:pt>
                <c:pt idx="30">
                  <c:v>1.9952700484054251</c:v>
                </c:pt>
                <c:pt idx="31">
                  <c:v>2.4940875605067814</c:v>
                </c:pt>
                <c:pt idx="32">
                  <c:v>0.29932592879729519</c:v>
                </c:pt>
                <c:pt idx="33">
                  <c:v>0.49887654799549208</c:v>
                </c:pt>
                <c:pt idx="34">
                  <c:v>0.74831482199323773</c:v>
                </c:pt>
                <c:pt idx="35">
                  <c:v>0.99775309599098372</c:v>
                </c:pt>
                <c:pt idx="36">
                  <c:v>1.3270116176680082</c:v>
                </c:pt>
                <c:pt idx="37">
                  <c:v>1.6662476703049425</c:v>
                </c:pt>
                <c:pt idx="38">
                  <c:v>1.9955061919819674</c:v>
                </c:pt>
                <c:pt idx="39">
                  <c:v>2.4943827399774592</c:v>
                </c:pt>
                <c:pt idx="40">
                  <c:v>0.29938873038742092</c:v>
                </c:pt>
                <c:pt idx="41">
                  <c:v>0.49898121731236827</c:v>
                </c:pt>
                <c:pt idx="42">
                  <c:v>0.74847182596855255</c:v>
                </c:pt>
                <c:pt idx="43">
                  <c:v>0.99796243462473655</c:v>
                </c:pt>
                <c:pt idx="44">
                  <c:v>1.3272900380508998</c:v>
                </c:pt>
                <c:pt idx="45">
                  <c:v>1.6665972658233101</c:v>
                </c:pt>
                <c:pt idx="46">
                  <c:v>1.9959248692494731</c:v>
                </c:pt>
                <c:pt idx="47">
                  <c:v>2.4949060865618415</c:v>
                </c:pt>
                <c:pt idx="48">
                  <c:v>0.29939275678022892</c:v>
                </c:pt>
                <c:pt idx="49">
                  <c:v>0.49898792796704822</c:v>
                </c:pt>
                <c:pt idx="50">
                  <c:v>0.74848189195057258</c:v>
                </c:pt>
                <c:pt idx="51">
                  <c:v>0.99797585593409666</c:v>
                </c:pt>
                <c:pt idx="52">
                  <c:v>1.3273078883923486</c:v>
                </c:pt>
                <c:pt idx="53">
                  <c:v>1.6666196794099413</c:v>
                </c:pt>
                <c:pt idx="54">
                  <c:v>1.9959517118681933</c:v>
                </c:pt>
                <c:pt idx="55">
                  <c:v>2.4949396398352413</c:v>
                </c:pt>
                <c:pt idx="56">
                  <c:v>0.29939218103412957</c:v>
                </c:pt>
                <c:pt idx="57">
                  <c:v>0.49898696839021606</c:v>
                </c:pt>
                <c:pt idx="58">
                  <c:v>0.74848045258532403</c:v>
                </c:pt>
                <c:pt idx="59">
                  <c:v>0.99797393678043211</c:v>
                </c:pt>
                <c:pt idx="60">
                  <c:v>1.3273053359179747</c:v>
                </c:pt>
                <c:pt idx="61">
                  <c:v>1.6666164744233214</c:v>
                </c:pt>
                <c:pt idx="62">
                  <c:v>1.995947873560864</c:v>
                </c:pt>
                <c:pt idx="63">
                  <c:v>2.4949348419510802</c:v>
                </c:pt>
                <c:pt idx="64">
                  <c:v>0.29929005941332393</c:v>
                </c:pt>
                <c:pt idx="65">
                  <c:v>0.49881676568887329</c:v>
                </c:pt>
                <c:pt idx="66">
                  <c:v>0.74822514853330979</c:v>
                </c:pt>
                <c:pt idx="67">
                  <c:v>0.99763353137774657</c:v>
                </c:pt>
                <c:pt idx="68">
                  <c:v>1.326852596732403</c:v>
                </c:pt>
                <c:pt idx="69">
                  <c:v>1.6660479974008362</c:v>
                </c:pt>
                <c:pt idx="70">
                  <c:v>1.9952670627554929</c:v>
                </c:pt>
                <c:pt idx="71">
                  <c:v>2.4940838284443663</c:v>
                </c:pt>
                <c:pt idx="72">
                  <c:v>0.29924786640703316</c:v>
                </c:pt>
                <c:pt idx="73">
                  <c:v>0.49874644401172186</c:v>
                </c:pt>
                <c:pt idx="74">
                  <c:v>0.74811966601758284</c:v>
                </c:pt>
                <c:pt idx="75">
                  <c:v>0.99749288802344371</c:v>
                </c:pt>
                <c:pt idx="76">
                  <c:v>1.3266655410711803</c:v>
                </c:pt>
                <c:pt idx="77">
                  <c:v>1.6658131229991511</c:v>
                </c:pt>
                <c:pt idx="78">
                  <c:v>1.9949857760468874</c:v>
                </c:pt>
                <c:pt idx="79">
                  <c:v>2.4937322200586092</c:v>
                </c:pt>
                <c:pt idx="80">
                  <c:v>0.29919297056730509</c:v>
                </c:pt>
                <c:pt idx="81">
                  <c:v>0.49865495094550844</c:v>
                </c:pt>
                <c:pt idx="82">
                  <c:v>0.74798242641826262</c:v>
                </c:pt>
                <c:pt idx="83">
                  <c:v>0.99730990189101687</c:v>
                </c:pt>
                <c:pt idx="84">
                  <c:v>1.3264221695150524</c:v>
                </c:pt>
                <c:pt idx="85">
                  <c:v>1.6655075361579981</c:v>
                </c:pt>
                <c:pt idx="86">
                  <c:v>1.9946198037820337</c:v>
                </c:pt>
                <c:pt idx="87">
                  <c:v>2.4932747547275422</c:v>
                </c:pt>
                <c:pt idx="88">
                  <c:v>0.29916133483161483</c:v>
                </c:pt>
                <c:pt idx="89">
                  <c:v>0.49860222471935822</c:v>
                </c:pt>
                <c:pt idx="90">
                  <c:v>0.74790333707903744</c:v>
                </c:pt>
                <c:pt idx="91">
                  <c:v>0.99720444943871644</c:v>
                </c:pt>
                <c:pt idx="92">
                  <c:v>1.326281917753493</c:v>
                </c:pt>
                <c:pt idx="93">
                  <c:v>1.6653314305626565</c:v>
                </c:pt>
                <c:pt idx="94">
                  <c:v>1.9944088988774327</c:v>
                </c:pt>
                <c:pt idx="95">
                  <c:v>2.4930111235967911</c:v>
                </c:pt>
              </c:numCache>
            </c:numRef>
          </c:xVal>
          <c:yVal>
            <c:numRef>
              <c:f>'IPE_HR_Global Only'!$AK$102:$AK$197</c:f>
              <c:numCache>
                <c:formatCode>General</c:formatCode>
                <c:ptCount val="96"/>
                <c:pt idx="0">
                  <c:v>1.0576121053087031</c:v>
                </c:pt>
                <c:pt idx="1">
                  <c:v>1.0228116322530407</c:v>
                </c:pt>
                <c:pt idx="2">
                  <c:v>0.94401170841480853</c:v>
                </c:pt>
                <c:pt idx="3">
                  <c:v>0.78209999778622363</c:v>
                </c:pt>
                <c:pt idx="4">
                  <c:v>0.52228776947755184</c:v>
                </c:pt>
                <c:pt idx="5">
                  <c:v>0.34501209949285433</c:v>
                </c:pt>
                <c:pt idx="6">
                  <c:v>0.2403733102056389</c:v>
                </c:pt>
                <c:pt idx="7">
                  <c:v>0.15396284573736513</c:v>
                </c:pt>
                <c:pt idx="8">
                  <c:v>1.0714991456708247</c:v>
                </c:pt>
                <c:pt idx="9">
                  <c:v>1.0370089927673902</c:v>
                </c:pt>
                <c:pt idx="10">
                  <c:v>0.95706490707199521</c:v>
                </c:pt>
                <c:pt idx="11">
                  <c:v>0.7939935127509693</c:v>
                </c:pt>
                <c:pt idx="12">
                  <c:v>0.53072069244902786</c:v>
                </c:pt>
                <c:pt idx="13">
                  <c:v>0.35044546933330084</c:v>
                </c:pt>
                <c:pt idx="14">
                  <c:v>0.24410533188397224</c:v>
                </c:pt>
                <c:pt idx="15">
                  <c:v>0.15635368771413172</c:v>
                </c:pt>
                <c:pt idx="16">
                  <c:v>1.0576488882211292</c:v>
                </c:pt>
                <c:pt idx="17">
                  <c:v>1.0238007811752861</c:v>
                </c:pt>
                <c:pt idx="18">
                  <c:v>0.94544392477390882</c:v>
                </c:pt>
                <c:pt idx="19">
                  <c:v>0.78378814336326319</c:v>
                </c:pt>
                <c:pt idx="20">
                  <c:v>0.52396039962910901</c:v>
                </c:pt>
                <c:pt idx="21">
                  <c:v>0.34636225458525871</c:v>
                </c:pt>
                <c:pt idx="22">
                  <c:v>0.24126492580578271</c:v>
                </c:pt>
                <c:pt idx="23">
                  <c:v>0.15452837235845773</c:v>
                </c:pt>
                <c:pt idx="24">
                  <c:v>1.0568083917735016</c:v>
                </c:pt>
                <c:pt idx="25">
                  <c:v>1.0238178710320294</c:v>
                </c:pt>
                <c:pt idx="26">
                  <c:v>0.94604371512804553</c:v>
                </c:pt>
                <c:pt idx="27">
                  <c:v>0.78477187497086565</c:v>
                </c:pt>
                <c:pt idx="28">
                  <c:v>0.52503328095801083</c:v>
                </c:pt>
                <c:pt idx="29">
                  <c:v>0.34717823521768182</c:v>
                </c:pt>
                <c:pt idx="30">
                  <c:v>0.24182988957948823</c:v>
                </c:pt>
                <c:pt idx="31">
                  <c:v>0.15489034633458285</c:v>
                </c:pt>
                <c:pt idx="32">
                  <c:v>1.0640425741589947</c:v>
                </c:pt>
                <c:pt idx="33">
                  <c:v>1.0319067292692592</c:v>
                </c:pt>
                <c:pt idx="34">
                  <c:v>0.95371923456752439</c:v>
                </c:pt>
                <c:pt idx="35">
                  <c:v>0.79223831173654924</c:v>
                </c:pt>
                <c:pt idx="36">
                  <c:v>0.53048027417547272</c:v>
                </c:pt>
                <c:pt idx="37">
                  <c:v>0.35063945302465088</c:v>
                </c:pt>
                <c:pt idx="38">
                  <c:v>0.24423638093849601</c:v>
                </c:pt>
                <c:pt idx="39">
                  <c:v>0.15643131100103214</c:v>
                </c:pt>
                <c:pt idx="40">
                  <c:v>1.0683929309051026</c:v>
                </c:pt>
                <c:pt idx="41">
                  <c:v>1.0364745960219908</c:v>
                </c:pt>
                <c:pt idx="42">
                  <c:v>0.95833149138005702</c:v>
                </c:pt>
                <c:pt idx="43">
                  <c:v>0.79661375740567053</c:v>
                </c:pt>
                <c:pt idx="44">
                  <c:v>0.53378678832638438</c:v>
                </c:pt>
                <c:pt idx="45">
                  <c:v>0.35308780624753899</c:v>
                </c:pt>
                <c:pt idx="46">
                  <c:v>0.24598111180724561</c:v>
                </c:pt>
                <c:pt idx="47">
                  <c:v>0.1575657256639259</c:v>
                </c:pt>
                <c:pt idx="48">
                  <c:v>1.0483665871953478</c:v>
                </c:pt>
                <c:pt idx="49">
                  <c:v>1.0174188742320007</c:v>
                </c:pt>
                <c:pt idx="50">
                  <c:v>0.94174019408185938</c:v>
                </c:pt>
                <c:pt idx="51">
                  <c:v>0.78253385116893681</c:v>
                </c:pt>
                <c:pt idx="52">
                  <c:v>0.52413258884118685</c:v>
                </c:pt>
                <c:pt idx="53">
                  <c:v>0.34686994014694167</c:v>
                </c:pt>
                <c:pt idx="54">
                  <c:v>0.24161029128058262</c:v>
                </c:pt>
                <c:pt idx="55">
                  <c:v>0.15474566925453934</c:v>
                </c:pt>
                <c:pt idx="56">
                  <c:v>1.0470880264172369</c:v>
                </c:pt>
                <c:pt idx="57">
                  <c:v>1.0167183225021257</c:v>
                </c:pt>
                <c:pt idx="58">
                  <c:v>0.94177370617842615</c:v>
                </c:pt>
                <c:pt idx="59">
                  <c:v>0.78288349501051624</c:v>
                </c:pt>
                <c:pt idx="60">
                  <c:v>0.52472364076134403</c:v>
                </c:pt>
                <c:pt idx="61">
                  <c:v>0.34733546924487041</c:v>
                </c:pt>
                <c:pt idx="62">
                  <c:v>0.24193015162275533</c:v>
                </c:pt>
                <c:pt idx="63">
                  <c:v>0.15494872876117888</c:v>
                </c:pt>
                <c:pt idx="64">
                  <c:v>1.0430393315722704</c:v>
                </c:pt>
                <c:pt idx="65">
                  <c:v>1.0136163662090052</c:v>
                </c:pt>
                <c:pt idx="66">
                  <c:v>0.94013091342304633</c:v>
                </c:pt>
                <c:pt idx="67">
                  <c:v>0.78240855013994215</c:v>
                </c:pt>
                <c:pt idx="68">
                  <c:v>0.52448410087875263</c:v>
                </c:pt>
                <c:pt idx="69">
                  <c:v>0.34742105617563646</c:v>
                </c:pt>
                <c:pt idx="70">
                  <c:v>0.24195463123431882</c:v>
                </c:pt>
                <c:pt idx="71">
                  <c:v>0.15494180244079819</c:v>
                </c:pt>
                <c:pt idx="72">
                  <c:v>1.0340762670806285</c:v>
                </c:pt>
                <c:pt idx="73">
                  <c:v>1.0049341778199976</c:v>
                </c:pt>
                <c:pt idx="74">
                  <c:v>0.9323379638541347</c:v>
                </c:pt>
                <c:pt idx="75">
                  <c:v>0.77591212456496728</c:v>
                </c:pt>
                <c:pt idx="76">
                  <c:v>0.5199461096617819</c:v>
                </c:pt>
                <c:pt idx="77">
                  <c:v>0.34476098076227868</c:v>
                </c:pt>
                <c:pt idx="78">
                  <c:v>0.24008502406459495</c:v>
                </c:pt>
                <c:pt idx="79">
                  <c:v>0.15374270564806289</c:v>
                </c:pt>
                <c:pt idx="80">
                  <c:v>1.0374743479996333</c:v>
                </c:pt>
                <c:pt idx="81">
                  <c:v>1.0086024660582598</c:v>
                </c:pt>
                <c:pt idx="82">
                  <c:v>0.93625128277458913</c:v>
                </c:pt>
                <c:pt idx="83">
                  <c:v>0.7793516743874418</c:v>
                </c:pt>
                <c:pt idx="84">
                  <c:v>0.52257881470809386</c:v>
                </c:pt>
                <c:pt idx="85">
                  <c:v>0.34660545680169375</c:v>
                </c:pt>
                <c:pt idx="86">
                  <c:v>0.24136153621895504</c:v>
                </c:pt>
                <c:pt idx="87">
                  <c:v>0.15455021039304848</c:v>
                </c:pt>
                <c:pt idx="88">
                  <c:v>1.0291291936437028</c:v>
                </c:pt>
                <c:pt idx="89">
                  <c:v>1.0003891366458777</c:v>
                </c:pt>
                <c:pt idx="90">
                  <c:v>0.92917371574028262</c:v>
                </c:pt>
                <c:pt idx="91">
                  <c:v>0.77322979061669272</c:v>
                </c:pt>
                <c:pt idx="92">
                  <c:v>0.51824519192449214</c:v>
                </c:pt>
                <c:pt idx="93">
                  <c:v>0.34476573840896507</c:v>
                </c:pt>
                <c:pt idx="94">
                  <c:v>0.24016042611643562</c:v>
                </c:pt>
                <c:pt idx="95">
                  <c:v>0.15379382180294335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18-4FD2-AE9A-CB5201808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146590-2A83-4504-8F4D-55DBFEF3E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238125</xdr:colOff>
      <xdr:row>7</xdr:row>
      <xdr:rowOff>4762</xdr:rowOff>
    </xdr:from>
    <xdr:to>
      <xdr:col>53</xdr:col>
      <xdr:colOff>542925</xdr:colOff>
      <xdr:row>23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6CD6DE-7DAD-4DC0-BEEF-6C29E447A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466725</xdr:colOff>
      <xdr:row>102</xdr:row>
      <xdr:rowOff>104775</xdr:rowOff>
    </xdr:from>
    <xdr:to>
      <xdr:col>46</xdr:col>
      <xdr:colOff>161925</xdr:colOff>
      <xdr:row>119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267881-991A-4C2B-9DDE-0776CC495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593725</xdr:colOff>
      <xdr:row>189</xdr:row>
      <xdr:rowOff>73025</xdr:rowOff>
    </xdr:from>
    <xdr:to>
      <xdr:col>44</xdr:col>
      <xdr:colOff>285750</xdr:colOff>
      <xdr:row>206</xdr:row>
      <xdr:rowOff>149225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BECD37-EFFE-48C6-A62C-94C48BF85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0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8A9CCF-BA15-48FE-9C1B-0718DC17E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476251</xdr:colOff>
      <xdr:row>30</xdr:row>
      <xdr:rowOff>95250</xdr:rowOff>
    </xdr:from>
    <xdr:to>
      <xdr:col>60</xdr:col>
      <xdr:colOff>47625</xdr:colOff>
      <xdr:row>60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FCE64F-89BB-4A33-8E6F-CF6796ABD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777049</xdr:colOff>
      <xdr:row>294</xdr:row>
      <xdr:rowOff>145676</xdr:rowOff>
    </xdr:from>
    <xdr:to>
      <xdr:col>44</xdr:col>
      <xdr:colOff>78442</xdr:colOff>
      <xdr:row>318</xdr:row>
      <xdr:rowOff>100853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C9B56-8D3F-434F-A32A-EBD862337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537882</xdr:colOff>
      <xdr:row>249</xdr:row>
      <xdr:rowOff>33620</xdr:rowOff>
    </xdr:from>
    <xdr:to>
      <xdr:col>52</xdr:col>
      <xdr:colOff>560292</xdr:colOff>
      <xdr:row>285</xdr:row>
      <xdr:rowOff>89648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126F7C-C4B0-40FB-8549-C886534A2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504825</xdr:colOff>
      <xdr:row>101</xdr:row>
      <xdr:rowOff>149225</xdr:rowOff>
    </xdr:from>
    <xdr:to>
      <xdr:col>70</xdr:col>
      <xdr:colOff>419100</xdr:colOff>
      <xdr:row>133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28D670-C245-466D-B8A1-0E5073523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61</xdr:col>
      <xdr:colOff>148467</xdr:colOff>
      <xdr:row>53</xdr:row>
      <xdr:rowOff>163558</xdr:rowOff>
    </xdr:from>
    <xdr:to>
      <xdr:col>64</xdr:col>
      <xdr:colOff>129417</xdr:colOff>
      <xdr:row>61</xdr:row>
      <xdr:rowOff>81511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BBD35F-671D-43CC-94B1-93CE8805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E7F4A6-91C4-4BF4-8A8C-A50C9AEB5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466725</xdr:colOff>
      <xdr:row>21</xdr:row>
      <xdr:rowOff>128587</xdr:rowOff>
    </xdr:from>
    <xdr:to>
      <xdr:col>45</xdr:col>
      <xdr:colOff>161925</xdr:colOff>
      <xdr:row>38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1F6AC-355B-4954-A58F-EBB34EC5C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9CAFA0-D053-451D-96BD-CF2205D38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38100</xdr:colOff>
      <xdr:row>192</xdr:row>
      <xdr:rowOff>66675</xdr:rowOff>
    </xdr:from>
    <xdr:to>
      <xdr:col>46</xdr:col>
      <xdr:colOff>342900</xdr:colOff>
      <xdr:row>209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C136AC-D8C4-4426-B777-311F1D4D2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9525</xdr:rowOff>
        </xdr:from>
        <xdr:to>
          <xdr:col>22</xdr:col>
          <xdr:colOff>104775</xdr:colOff>
          <xdr:row>2</xdr:row>
          <xdr:rowOff>57150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4E9724-D580-4B6A-B59F-87703763A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419100</xdr:colOff>
      <xdr:row>239</xdr:row>
      <xdr:rowOff>76200</xdr:rowOff>
    </xdr:from>
    <xdr:to>
      <xdr:col>48</xdr:col>
      <xdr:colOff>228600</xdr:colOff>
      <xdr:row>262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AD3C73-B2A9-49BA-9D8F-5BF473732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39</xdr:col>
      <xdr:colOff>161925</xdr:colOff>
      <xdr:row>68</xdr:row>
      <xdr:rowOff>85725</xdr:rowOff>
    </xdr:from>
    <xdr:to>
      <xdr:col>52</xdr:col>
      <xdr:colOff>342899</xdr:colOff>
      <xdr:row>98</xdr:row>
      <xdr:rowOff>85724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FAF825A-1ECF-432E-9536-EF6529779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713318</xdr:colOff>
      <xdr:row>299</xdr:row>
      <xdr:rowOff>46567</xdr:rowOff>
    </xdr:from>
    <xdr:to>
      <xdr:col>34</xdr:col>
      <xdr:colOff>397933</xdr:colOff>
      <xdr:row>332</xdr:row>
      <xdr:rowOff>154516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05040C-D980-47DD-B1C7-B4297442F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3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54</xdr:col>
      <xdr:colOff>533399</xdr:colOff>
      <xdr:row>0</xdr:row>
      <xdr:rowOff>152400</xdr:rowOff>
    </xdr:from>
    <xdr:to>
      <xdr:col>57</xdr:col>
      <xdr:colOff>288924</xdr:colOff>
      <xdr:row>4</xdr:row>
      <xdr:rowOff>247649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79FDF5B-08F6-44EA-B8C1-97BB670C4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609600</xdr:colOff>
      <xdr:row>289</xdr:row>
      <xdr:rowOff>133350</xdr:rowOff>
    </xdr:from>
    <xdr:to>
      <xdr:col>32</xdr:col>
      <xdr:colOff>790576</xdr:colOff>
      <xdr:row>321</xdr:row>
      <xdr:rowOff>95248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5C8DED-5481-472B-B7A7-672D38CEB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4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54</xdr:col>
      <xdr:colOff>533399</xdr:colOff>
      <xdr:row>0</xdr:row>
      <xdr:rowOff>152400</xdr:rowOff>
    </xdr:from>
    <xdr:to>
      <xdr:col>57</xdr:col>
      <xdr:colOff>288924</xdr:colOff>
      <xdr:row>4</xdr:row>
      <xdr:rowOff>247649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16E1A4-F98E-4196-A892-2A069F1E34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30A9-FF2C-4ED5-8D3F-AFE71EC31F2A}">
  <sheetPr codeName="Sheet9"/>
  <dimension ref="A1:AO297"/>
  <sheetViews>
    <sheetView topLeftCell="U1" zoomScaleNormal="100" workbookViewId="0">
      <pane ySplit="5" topLeftCell="A6" activePane="bottomLeft" state="frozen"/>
      <selection pane="bottomLeft" activeCell="Y293" sqref="Y6:Y29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1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1" s="1" customFormat="1" ht="14.65" customHeight="1">
      <c r="I2" s="78" t="s">
        <v>0</v>
      </c>
      <c r="J2" s="7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1" s="1" customFormat="1" ht="15.4" customHeight="1">
      <c r="I3" s="80" t="s">
        <v>1</v>
      </c>
      <c r="J3" s="81"/>
      <c r="K3" s="13" t="s">
        <v>915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1" ht="29.25" customHeight="1">
      <c r="A4" s="25"/>
      <c r="B4" s="77" t="s">
        <v>26</v>
      </c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26" t="s">
        <v>27</v>
      </c>
      <c r="T4" s="82" t="s">
        <v>30</v>
      </c>
      <c r="U4" s="82"/>
      <c r="V4" s="82" t="s">
        <v>515</v>
      </c>
      <c r="W4" s="82"/>
      <c r="X4" s="82"/>
      <c r="Y4" s="82"/>
      <c r="Z4" s="82"/>
      <c r="AA4" s="82"/>
      <c r="AB4" s="82"/>
      <c r="AC4" s="82"/>
      <c r="AD4" s="82"/>
      <c r="AE4" s="77" t="s">
        <v>3</v>
      </c>
      <c r="AF4" s="77" t="s">
        <v>4</v>
      </c>
      <c r="AG4" s="77" t="s">
        <v>224</v>
      </c>
      <c r="AH4" s="77" t="s">
        <v>225</v>
      </c>
      <c r="AI4" s="77" t="s">
        <v>223</v>
      </c>
      <c r="AJ4" s="77" t="s">
        <v>525</v>
      </c>
      <c r="AK4" s="77" t="s">
        <v>526</v>
      </c>
      <c r="AL4" s="77" t="s">
        <v>913</v>
      </c>
    </row>
    <row r="5" spans="1:41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77"/>
      <c r="AF5" s="77"/>
      <c r="AG5" s="77"/>
      <c r="AH5" s="77"/>
      <c r="AI5" s="77"/>
      <c r="AJ5" s="77"/>
      <c r="AK5" s="77"/>
      <c r="AL5" s="77"/>
      <c r="AM5" s="5" t="s">
        <v>916</v>
      </c>
      <c r="AN5" s="5" t="s">
        <v>914</v>
      </c>
      <c r="AO5" s="5" t="s">
        <v>917</v>
      </c>
    </row>
    <row r="6" spans="1:4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'Global Only'!L6</f>
        <v>18387.5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3.7125599999999999</v>
      </c>
      <c r="X6" s="15"/>
      <c r="Y6" s="15">
        <f>AK6</f>
        <v>0.98091958706781424</v>
      </c>
      <c r="Z6" s="15"/>
      <c r="AA6" s="16">
        <f>AK6</f>
        <v>0.98091958706781424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12445.294645974509</v>
      </c>
      <c r="AH6" s="17">
        <v>11732.748093205439</v>
      </c>
      <c r="AI6" s="15">
        <f>'Global Only'!AI6</f>
        <v>39.33</v>
      </c>
      <c r="AJ6" s="17">
        <f>(V6/AI6)^0.5</f>
        <v>0.31021162167392519</v>
      </c>
      <c r="AK6" s="15">
        <f>W6/V6</f>
        <v>0.98091958706781424</v>
      </c>
      <c r="AL6" s="56">
        <v>26.521000000000001</v>
      </c>
    </row>
    <row r="7" spans="1:4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>'Global Only'!L7</f>
        <v>18387.5</v>
      </c>
      <c r="M7" s="15"/>
      <c r="N7" s="15"/>
      <c r="O7" s="15"/>
      <c r="P7" s="15">
        <f t="shared" ref="P7:P70" si="0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4.0071899999999996</v>
      </c>
      <c r="X7" s="15"/>
      <c r="Y7" s="15">
        <f t="shared" ref="Y7:Y70" si="2">AK7</f>
        <v>0.94034879182222209</v>
      </c>
      <c r="Z7" s="15"/>
      <c r="AA7" s="16">
        <f t="shared" ref="AA7:AA70" si="3">AK7</f>
        <v>0.94034879182222209</v>
      </c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4">W7*S7</f>
        <v>11930.557752645465</v>
      </c>
      <c r="AH7" s="17">
        <v>10420.507171923251</v>
      </c>
      <c r="AI7" s="15">
        <f>'Global Only'!AI7</f>
        <v>16.951000000000001</v>
      </c>
      <c r="AJ7" s="17">
        <f t="shared" ref="AJ7:AJ70" si="5">(V7/AI7)^0.5</f>
        <v>0.5013924846573633</v>
      </c>
      <c r="AK7" s="15">
        <f t="shared" ref="AK7:AK70" si="6">W7/V7</f>
        <v>0.94034879182222209</v>
      </c>
      <c r="AL7" s="5">
        <v>26.521000000000001</v>
      </c>
    </row>
    <row r="8" spans="1:4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>'Global Only'!L8</f>
        <v>18387.5</v>
      </c>
      <c r="M8" s="15"/>
      <c r="N8" s="15"/>
      <c r="O8" s="15"/>
      <c r="P8" s="15">
        <f t="shared" si="0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4.5187799999999996</v>
      </c>
      <c r="X8" s="15"/>
      <c r="Y8" s="15">
        <f t="shared" si="2"/>
        <v>0.87240145173565675</v>
      </c>
      <c r="Z8" s="15"/>
      <c r="AA8" s="16">
        <f t="shared" si="3"/>
        <v>0.87240145173565675</v>
      </c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4"/>
        <v>11068.484368714679</v>
      </c>
      <c r="AH8" s="17">
        <v>8573.0430095072952</v>
      </c>
      <c r="AI8" s="15">
        <f>'Global Only'!AI8</f>
        <v>9.3440999999999992</v>
      </c>
      <c r="AJ8" s="17">
        <f t="shared" si="5"/>
        <v>0.74453251753853744</v>
      </c>
      <c r="AK8" s="15">
        <f t="shared" si="6"/>
        <v>0.87240145173565675</v>
      </c>
      <c r="AL8" s="5">
        <v>26.521000000000001</v>
      </c>
    </row>
    <row r="9" spans="1:4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>'Global Only'!L9</f>
        <v>18387.5</v>
      </c>
      <c r="M9" s="15"/>
      <c r="N9" s="15"/>
      <c r="O9" s="15"/>
      <c r="P9" s="15">
        <f t="shared" si="0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4.9148500000000004</v>
      </c>
      <c r="X9" s="15"/>
      <c r="Y9" s="15">
        <f t="shared" si="2"/>
        <v>0.73872206289589315</v>
      </c>
      <c r="Z9" s="15"/>
      <c r="AA9" s="16">
        <f t="shared" si="3"/>
        <v>0.73872206289589315</v>
      </c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4"/>
        <v>9372.443832733783</v>
      </c>
      <c r="AH9" s="17">
        <v>6674.3752941734201</v>
      </c>
      <c r="AI9" s="15">
        <f>'Global Only'!AI9</f>
        <v>6.7995999999999999</v>
      </c>
      <c r="AJ9" s="17">
        <f t="shared" si="5"/>
        <v>0.98917450951524921</v>
      </c>
      <c r="AK9" s="15">
        <f t="shared" si="6"/>
        <v>0.73872206289589315</v>
      </c>
      <c r="AL9" s="5">
        <v>26.521000000000001</v>
      </c>
    </row>
    <row r="10" spans="1:4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>'Global Only'!L10</f>
        <v>18387.5</v>
      </c>
      <c r="M10" s="15"/>
      <c r="N10" s="15"/>
      <c r="O10" s="15"/>
      <c r="P10" s="15">
        <f t="shared" si="0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4.8433799999999998</v>
      </c>
      <c r="X10" s="15"/>
      <c r="Y10" s="15">
        <f t="shared" si="2"/>
        <v>0.50747654459530345</v>
      </c>
      <c r="Z10" s="15"/>
      <c r="AA10" s="16">
        <f t="shared" si="3"/>
        <v>0.50747654459530345</v>
      </c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4"/>
        <v>6438.5452249848386</v>
      </c>
      <c r="AH10" s="17">
        <v>4652.7235706153424</v>
      </c>
      <c r="AI10" s="15">
        <f>'Global Only'!AI10</f>
        <v>5.5365000000000002</v>
      </c>
      <c r="AJ10" s="17">
        <f t="shared" si="5"/>
        <v>1.3129513463657247</v>
      </c>
      <c r="AK10" s="15">
        <f t="shared" si="6"/>
        <v>0.50747654459530345</v>
      </c>
      <c r="AL10" s="5">
        <v>26.521000000000001</v>
      </c>
    </row>
    <row r="11" spans="1:4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>'Global Only'!L11</f>
        <v>18387.5</v>
      </c>
      <c r="M11" s="15"/>
      <c r="N11" s="15"/>
      <c r="O11" s="15"/>
      <c r="P11" s="15">
        <f t="shared" si="0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4.59415</v>
      </c>
      <c r="X11" s="15"/>
      <c r="Y11" s="15">
        <f t="shared" si="2"/>
        <v>0.33928945021046358</v>
      </c>
      <c r="Z11" s="15"/>
      <c r="AA11" s="16">
        <f t="shared" si="3"/>
        <v>0.33928945021046358</v>
      </c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4"/>
        <v>4304.6924883639804</v>
      </c>
      <c r="AH11" s="17">
        <v>3279.480145244263</v>
      </c>
      <c r="AI11" s="15">
        <f>'Global Only'!AI11</f>
        <v>4.9916</v>
      </c>
      <c r="AJ11" s="17">
        <f t="shared" si="5"/>
        <v>1.6470148670899953</v>
      </c>
      <c r="AK11" s="15">
        <f t="shared" si="6"/>
        <v>0.33928945021046358</v>
      </c>
      <c r="AL11" s="5">
        <v>26.521000000000001</v>
      </c>
    </row>
    <row r="12" spans="1:4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>'Global Only'!L12</f>
        <v>18387.5</v>
      </c>
      <c r="M12" s="15"/>
      <c r="N12" s="15"/>
      <c r="O12" s="15"/>
      <c r="P12" s="15">
        <f t="shared" si="0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4.4222900000000003</v>
      </c>
      <c r="X12" s="15"/>
      <c r="Y12" s="15">
        <f t="shared" si="2"/>
        <v>0.2415105151325854</v>
      </c>
      <c r="Z12" s="15"/>
      <c r="AA12" s="16">
        <f t="shared" si="3"/>
        <v>0.2415105151325854</v>
      </c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4"/>
        <v>3064.1344719302856</v>
      </c>
      <c r="AH12" s="17">
        <v>2425.0943858851406</v>
      </c>
      <c r="AI12" s="15">
        <f>'Global Only'!AI12</f>
        <v>4.7111999999999998</v>
      </c>
      <c r="AJ12" s="17">
        <f t="shared" si="5"/>
        <v>1.9714683833733562</v>
      </c>
      <c r="AK12" s="15">
        <f t="shared" si="6"/>
        <v>0.2415105151325854</v>
      </c>
      <c r="AL12" s="5">
        <v>26.521000000000001</v>
      </c>
    </row>
    <row r="13" spans="1:4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>'Global Only'!L13</f>
        <v>18387.5</v>
      </c>
      <c r="M13" s="15"/>
      <c r="N13" s="15"/>
      <c r="O13" s="15"/>
      <c r="P13" s="15">
        <f t="shared" si="0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4.2349899999999998</v>
      </c>
      <c r="X13" s="15"/>
      <c r="Y13" s="15">
        <f t="shared" si="2"/>
        <v>0.15616515987156834</v>
      </c>
      <c r="Z13" s="15"/>
      <c r="AA13" s="16">
        <f t="shared" si="3"/>
        <v>0.15616515987156834</v>
      </c>
      <c r="AB13" s="15">
        <v>0.35247653168269572</v>
      </c>
      <c r="AC13" s="17">
        <v>2.5</v>
      </c>
      <c r="AD13" s="15"/>
      <c r="AE13" s="15" t="s">
        <v>13</v>
      </c>
      <c r="AF13" s="22" t="s">
        <v>5</v>
      </c>
      <c r="AG13" s="17">
        <f t="shared" si="4"/>
        <v>1981.3259452255395</v>
      </c>
      <c r="AH13" s="17">
        <v>1637.4633253654408</v>
      </c>
      <c r="AI13" s="15">
        <f>'Global Only'!AI13</f>
        <v>4.4691999999999998</v>
      </c>
      <c r="AJ13" s="17">
        <f t="shared" si="5"/>
        <v>2.4633108767085972</v>
      </c>
      <c r="AK13" s="15">
        <f t="shared" si="6"/>
        <v>0.15616515987156834</v>
      </c>
      <c r="AL13" s="5">
        <v>26.521000000000001</v>
      </c>
    </row>
    <row r="14" spans="1:4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>'Global Only'!L14</f>
        <v>14136</v>
      </c>
      <c r="M14" s="15"/>
      <c r="N14" s="15"/>
      <c r="O14" s="15"/>
      <c r="P14" s="15">
        <f t="shared" si="0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3.7740197461207057</v>
      </c>
      <c r="W14" s="15">
        <v>3.69326</v>
      </c>
      <c r="X14" s="15"/>
      <c r="Y14" s="15">
        <f t="shared" si="2"/>
        <v>0.97860113312769015</v>
      </c>
      <c r="Z14" s="15"/>
      <c r="AA14" s="16">
        <f t="shared" si="3"/>
        <v>0.97860113312769015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4"/>
        <v>9545.1188763461887</v>
      </c>
      <c r="AH14" s="23">
        <v>9045.6442457914309</v>
      </c>
      <c r="AI14" s="15">
        <f>'Global Only'!AI14</f>
        <v>38.518000000000001</v>
      </c>
      <c r="AJ14" s="17">
        <f t="shared" si="5"/>
        <v>0.31301865401950174</v>
      </c>
      <c r="AK14" s="15">
        <f t="shared" si="6"/>
        <v>0.97860113312769015</v>
      </c>
      <c r="AL14" s="56">
        <v>15.672000000000001</v>
      </c>
    </row>
    <row r="15" spans="1:4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>'Global Only'!L15</f>
        <v>14136</v>
      </c>
      <c r="M15" s="15"/>
      <c r="N15" s="15"/>
      <c r="O15" s="15"/>
      <c r="P15" s="15">
        <f t="shared" si="0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4.2492771464447774</v>
      </c>
      <c r="W15" s="15">
        <v>3.97132</v>
      </c>
      <c r="X15" s="15"/>
      <c r="Y15" s="15">
        <f t="shared" si="2"/>
        <v>0.93458719286471237</v>
      </c>
      <c r="Z15" s="15"/>
      <c r="AA15" s="16">
        <f t="shared" si="3"/>
        <v>0.93458719286471237</v>
      </c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4"/>
        <v>9115.8139452515461</v>
      </c>
      <c r="AH15" s="17">
        <v>8033.9405558807684</v>
      </c>
      <c r="AI15" s="15">
        <f>'Global Only'!AI15</f>
        <v>16.736999999999998</v>
      </c>
      <c r="AJ15" s="17">
        <f t="shared" si="5"/>
        <v>0.50387025423514742</v>
      </c>
      <c r="AK15" s="15">
        <f t="shared" si="6"/>
        <v>0.93458719286471237</v>
      </c>
      <c r="AL15" s="5">
        <v>15.672000000000001</v>
      </c>
    </row>
    <row r="16" spans="1:4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>'Global Only'!L16</f>
        <v>14136</v>
      </c>
      <c r="M16" s="15"/>
      <c r="N16" s="15"/>
      <c r="O16" s="15"/>
      <c r="P16" s="15">
        <f t="shared" si="0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5.1649831840237317</v>
      </c>
      <c r="W16" s="15">
        <v>4.4564399999999997</v>
      </c>
      <c r="X16" s="15"/>
      <c r="Y16" s="15">
        <f t="shared" si="2"/>
        <v>0.86281791076970205</v>
      </c>
      <c r="Z16" s="15"/>
      <c r="AA16" s="16">
        <f t="shared" si="3"/>
        <v>0.86281791076970205</v>
      </c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4"/>
        <v>8415.7878507819496</v>
      </c>
      <c r="AH16" s="17">
        <v>6609.5936392584281</v>
      </c>
      <c r="AI16" s="15">
        <f>'Global Only'!AI16</f>
        <v>9.2507000000000001</v>
      </c>
      <c r="AJ16" s="17">
        <f t="shared" si="5"/>
        <v>0.74721771131911685</v>
      </c>
      <c r="AK16" s="15">
        <f t="shared" si="6"/>
        <v>0.86281791076970205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>'Global Only'!L17</f>
        <v>14136</v>
      </c>
      <c r="M17" s="15"/>
      <c r="N17" s="15"/>
      <c r="O17" s="15"/>
      <c r="P17" s="15">
        <f t="shared" si="0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4.8750400000000003</v>
      </c>
      <c r="X17" s="15"/>
      <c r="Y17" s="15">
        <f t="shared" si="2"/>
        <v>0.73482663907935641</v>
      </c>
      <c r="Z17" s="15"/>
      <c r="AA17" s="16">
        <f t="shared" si="3"/>
        <v>0.73482663907935641</v>
      </c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4"/>
        <v>7167.3814653177897</v>
      </c>
      <c r="AH17" s="17">
        <v>5145.7701123708239</v>
      </c>
      <c r="AI17" s="15">
        <f>'Global Only'!AI17</f>
        <v>6.7378999999999998</v>
      </c>
      <c r="AJ17" s="17">
        <f t="shared" si="5"/>
        <v>0.99228029052843447</v>
      </c>
      <c r="AK17" s="15">
        <f t="shared" si="6"/>
        <v>0.73482663907935641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>'Global Only'!L18</f>
        <v>14136</v>
      </c>
      <c r="M18" s="15"/>
      <c r="N18" s="15"/>
      <c r="O18" s="15"/>
      <c r="P18" s="15">
        <f t="shared" si="0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4.8126300000000004</v>
      </c>
      <c r="X18" s="15"/>
      <c r="Y18" s="15">
        <f t="shared" si="2"/>
        <v>0.50569168232881234</v>
      </c>
      <c r="Z18" s="15"/>
      <c r="AA18" s="16">
        <f t="shared" si="3"/>
        <v>0.50569168232881234</v>
      </c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4"/>
        <v>4932.4357587660634</v>
      </c>
      <c r="AH18" s="17">
        <v>3587.129107303329</v>
      </c>
      <c r="AI18" s="15">
        <f>'Global Only'!AI18</f>
        <v>5.4893000000000001</v>
      </c>
      <c r="AJ18" s="17">
        <f t="shared" si="5"/>
        <v>1.3167091349710243</v>
      </c>
      <c r="AK18" s="15">
        <f t="shared" si="6"/>
        <v>0.50569168232881234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>'Global Only'!L19</f>
        <v>14136</v>
      </c>
      <c r="M19" s="15"/>
      <c r="N19" s="15"/>
      <c r="O19" s="15"/>
      <c r="P19" s="15">
        <f t="shared" si="0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4.5620900000000004</v>
      </c>
      <c r="X19" s="15"/>
      <c r="Y19" s="15">
        <f t="shared" si="2"/>
        <v>0.3378819097572075</v>
      </c>
      <c r="Z19" s="15"/>
      <c r="AA19" s="16">
        <f t="shared" si="3"/>
        <v>0.3378819097572075</v>
      </c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4"/>
        <v>3295.6460866662405</v>
      </c>
      <c r="AH19" s="17">
        <v>2528.3940701151973</v>
      </c>
      <c r="AI19" s="15">
        <f>'Global Only'!AI19</f>
        <v>4.9505999999999997</v>
      </c>
      <c r="AJ19" s="17">
        <f t="shared" si="5"/>
        <v>1.6514694167873953</v>
      </c>
      <c r="AK19" s="15">
        <f t="shared" si="6"/>
        <v>0.3378819097572075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>'Global Only'!L20</f>
        <v>14136</v>
      </c>
      <c r="M20" s="15"/>
      <c r="N20" s="15"/>
      <c r="O20" s="15"/>
      <c r="P20" s="15">
        <f t="shared" si="0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4.3897899999999996</v>
      </c>
      <c r="X20" s="15"/>
      <c r="Y20" s="15">
        <f t="shared" si="2"/>
        <v>0.2404188285211673</v>
      </c>
      <c r="Z20" s="15"/>
      <c r="AA20" s="16">
        <f t="shared" si="3"/>
        <v>0.2404188285211673</v>
      </c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4"/>
        <v>2345.0067863829022</v>
      </c>
      <c r="AH20" s="17">
        <v>1869.6848260031022</v>
      </c>
      <c r="AI20" s="15">
        <f>'Global Only'!AI20</f>
        <v>4.6730999999999998</v>
      </c>
      <c r="AJ20" s="17">
        <f t="shared" si="5"/>
        <v>1.9766742135973967</v>
      </c>
      <c r="AK20" s="15">
        <f t="shared" si="6"/>
        <v>0.2404188285211673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>'Global Only'!L21</f>
        <v>14136</v>
      </c>
      <c r="M21" s="15"/>
      <c r="N21" s="15"/>
      <c r="O21" s="15"/>
      <c r="P21" s="15">
        <f t="shared" si="0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4.2003300000000001</v>
      </c>
      <c r="X21" s="15"/>
      <c r="Y21" s="15">
        <f t="shared" si="2"/>
        <v>0.15532847541488992</v>
      </c>
      <c r="Z21" s="15"/>
      <c r="AA21" s="16">
        <f t="shared" si="3"/>
        <v>0.15532847541488992</v>
      </c>
      <c r="AB21" s="15">
        <v>0.50090177114795964</v>
      </c>
      <c r="AC21" s="17">
        <v>2.5</v>
      </c>
      <c r="AD21" s="15"/>
      <c r="AE21" s="15" t="s">
        <v>138</v>
      </c>
      <c r="AF21" s="22" t="s">
        <v>5</v>
      </c>
      <c r="AG21" s="17">
        <f t="shared" si="4"/>
        <v>1515.0490966407699</v>
      </c>
      <c r="AH21" s="17">
        <v>1262.4417220177211</v>
      </c>
      <c r="AI21" s="15">
        <f>'Global Only'!AI21</f>
        <v>4.4336000000000002</v>
      </c>
      <c r="AJ21" s="17">
        <f t="shared" si="5"/>
        <v>2.4696642329825638</v>
      </c>
      <c r="AK21" s="15">
        <f t="shared" si="6"/>
        <v>0.15532847541488992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>'Global Only'!L22</f>
        <v>12319.45</v>
      </c>
      <c r="M22" s="15"/>
      <c r="N22" s="15"/>
      <c r="O22" s="15"/>
      <c r="P22" s="15">
        <f t="shared" si="0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3.7671926214505396</v>
      </c>
      <c r="W22" s="15">
        <v>3.6704699999999999</v>
      </c>
      <c r="X22" s="15"/>
      <c r="Y22" s="15">
        <f t="shared" si="2"/>
        <v>0.97432501303495944</v>
      </c>
      <c r="Z22" s="15"/>
      <c r="AA22" s="16">
        <f t="shared" si="3"/>
        <v>0.97432501303495944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4"/>
        <v>8282.1723144651369</v>
      </c>
      <c r="AH22" s="17">
        <v>7897.5180564418115</v>
      </c>
      <c r="AI22" s="15">
        <f>'Global Only'!AI22</f>
        <v>37.962000000000003</v>
      </c>
      <c r="AJ22" s="17">
        <f t="shared" si="5"/>
        <v>0.31501727542584973</v>
      </c>
      <c r="AK22" s="15">
        <f t="shared" si="6"/>
        <v>0.97432501303495944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>'Global Only'!L23</f>
        <v>12319.45</v>
      </c>
      <c r="M23" s="15"/>
      <c r="N23" s="15"/>
      <c r="O23" s="15"/>
      <c r="P23" s="15">
        <f t="shared" si="0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4.2415902908403043</v>
      </c>
      <c r="W23" s="15">
        <v>3.9418899999999999</v>
      </c>
      <c r="X23" s="15"/>
      <c r="Y23" s="15">
        <f t="shared" si="2"/>
        <v>0.92934247056168862</v>
      </c>
      <c r="Z23" s="15"/>
      <c r="AA23" s="16">
        <f t="shared" si="3"/>
        <v>0.92934247056168862</v>
      </c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4"/>
        <v>7899.8017882832255</v>
      </c>
      <c r="AH23" s="17">
        <v>7014.2257290262514</v>
      </c>
      <c r="AI23" s="15">
        <f>'Global Only'!AI23</f>
        <v>16.600999999999999</v>
      </c>
      <c r="AJ23" s="17">
        <f t="shared" si="5"/>
        <v>0.50547215126800593</v>
      </c>
      <c r="AK23" s="15">
        <f t="shared" si="6"/>
        <v>0.92934247056168862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>'Global Only'!L24</f>
        <v>12319.45</v>
      </c>
      <c r="M24" s="15"/>
      <c r="N24" s="15"/>
      <c r="O24" s="15"/>
      <c r="P24" s="15">
        <f t="shared" si="0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5.1556398348923755</v>
      </c>
      <c r="W24" s="15">
        <v>4.4129300000000002</v>
      </c>
      <c r="X24" s="15"/>
      <c r="Y24" s="15">
        <f t="shared" si="2"/>
        <v>0.85594225766783427</v>
      </c>
      <c r="Z24" s="15"/>
      <c r="AA24" s="16">
        <f t="shared" si="3"/>
        <v>0.85594225766783427</v>
      </c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4"/>
        <v>7275.8691138959402</v>
      </c>
      <c r="AH24" s="17">
        <v>5770.6652719702761</v>
      </c>
      <c r="AI24" s="15">
        <f>'Global Only'!AI24</f>
        <v>9.1949000000000005</v>
      </c>
      <c r="AJ24" s="17">
        <f t="shared" si="5"/>
        <v>0.74880335244639362</v>
      </c>
      <c r="AK24" s="15">
        <f t="shared" si="6"/>
        <v>0.85594225766783427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>'Global Only'!L25</f>
        <v>12319.45</v>
      </c>
      <c r="M25" s="15"/>
      <c r="N25" s="15"/>
      <c r="O25" s="15"/>
      <c r="P25" s="15">
        <f t="shared" si="0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6.6222710138350491</v>
      </c>
      <c r="W25" s="15">
        <v>4.8507300000000004</v>
      </c>
      <c r="X25" s="15"/>
      <c r="Y25" s="15">
        <f t="shared" si="2"/>
        <v>0.73248738836963956</v>
      </c>
      <c r="Z25" s="15"/>
      <c r="AA25" s="16">
        <f t="shared" si="3"/>
        <v>0.73248738836963956</v>
      </c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4"/>
        <v>6226.4508120887458</v>
      </c>
      <c r="AH25" s="17">
        <v>4492.6388074188026</v>
      </c>
      <c r="AI25" s="15">
        <f>'Global Only'!AI25</f>
        <v>6.7024999999999997</v>
      </c>
      <c r="AJ25" s="17">
        <f t="shared" si="5"/>
        <v>0.99399697729636383</v>
      </c>
      <c r="AK25" s="15">
        <f t="shared" si="6"/>
        <v>0.73248738836963956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>'Global Only'!L26</f>
        <v>12319.45</v>
      </c>
      <c r="M26" s="15"/>
      <c r="N26" s="15"/>
      <c r="O26" s="15"/>
      <c r="P26" s="15">
        <f t="shared" si="0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9.4997094444224253</v>
      </c>
      <c r="W26" s="15">
        <v>4.7945599999999997</v>
      </c>
      <c r="X26" s="15"/>
      <c r="Y26" s="15">
        <f t="shared" si="2"/>
        <v>0.50470596264552436</v>
      </c>
      <c r="Z26" s="15"/>
      <c r="AA26" s="16">
        <f t="shared" si="3"/>
        <v>0.50470596264552436</v>
      </c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4"/>
        <v>4290.2129113442497</v>
      </c>
      <c r="AH26" s="17">
        <v>3131.8296547972859</v>
      </c>
      <c r="AI26" s="15">
        <f>'Global Only'!AI26</f>
        <v>5.4630999999999998</v>
      </c>
      <c r="AJ26" s="17">
        <f t="shared" si="5"/>
        <v>1.3186683604619418</v>
      </c>
      <c r="AK26" s="15">
        <f t="shared" si="6"/>
        <v>0.50470596264552436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>'Global Only'!L27</f>
        <v>12319.45</v>
      </c>
      <c r="M27" s="15"/>
      <c r="N27" s="15"/>
      <c r="O27" s="15"/>
      <c r="P27" s="15">
        <f t="shared" si="0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13.477600134325359</v>
      </c>
      <c r="W27" s="15">
        <v>4.5441500000000001</v>
      </c>
      <c r="X27" s="15"/>
      <c r="Y27" s="15">
        <f t="shared" si="2"/>
        <v>0.33716314141319226</v>
      </c>
      <c r="Z27" s="15"/>
      <c r="AA27" s="16">
        <f t="shared" si="3"/>
        <v>0.33716314141319226</v>
      </c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4"/>
        <v>2866.0284791130989</v>
      </c>
      <c r="AH27" s="17">
        <v>2207.4754743782323</v>
      </c>
      <c r="AI27" s="15">
        <f>'Global Only'!AI27</f>
        <v>4.9276</v>
      </c>
      <c r="AJ27" s="17">
        <f t="shared" si="5"/>
        <v>1.6538212211510712</v>
      </c>
      <c r="AK27" s="15">
        <f t="shared" si="6"/>
        <v>0.33716314141319226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>'Global Only'!L28</f>
        <v>12319.45</v>
      </c>
      <c r="M28" s="15"/>
      <c r="N28" s="15"/>
      <c r="O28" s="15"/>
      <c r="P28" s="15">
        <f t="shared" si="0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18.225897640651599</v>
      </c>
      <c r="W28" s="15">
        <v>4.37134</v>
      </c>
      <c r="X28" s="15"/>
      <c r="Y28" s="15">
        <f t="shared" si="2"/>
        <v>0.2398422336274966</v>
      </c>
      <c r="Z28" s="15"/>
      <c r="AA28" s="16">
        <f t="shared" si="3"/>
        <v>0.2398422336274966</v>
      </c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4"/>
        <v>2038.7598394929614</v>
      </c>
      <c r="AH28" s="17">
        <v>1632.3734685989571</v>
      </c>
      <c r="AI28" s="15">
        <f>'Global Only'!AI28</f>
        <v>4.6520999999999999</v>
      </c>
      <c r="AJ28" s="17">
        <f t="shared" si="5"/>
        <v>1.9793379095950698</v>
      </c>
      <c r="AK28" s="15">
        <f t="shared" si="6"/>
        <v>0.2398422336274966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>'Global Only'!L29</f>
        <v>12319.45</v>
      </c>
      <c r="M29" s="15"/>
      <c r="N29" s="15"/>
      <c r="O29" s="15"/>
      <c r="P29" s="15">
        <f t="shared" si="0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26.992679079512932</v>
      </c>
      <c r="W29" s="15">
        <v>4.1818200000000001</v>
      </c>
      <c r="X29" s="15"/>
      <c r="Y29" s="15">
        <f t="shared" si="2"/>
        <v>0.1549242291838287</v>
      </c>
      <c r="Z29" s="15"/>
      <c r="AA29" s="16">
        <f t="shared" si="3"/>
        <v>0.1549242291838287</v>
      </c>
      <c r="AB29" s="15">
        <v>0.60431763065185862</v>
      </c>
      <c r="AC29" s="17">
        <v>2.5</v>
      </c>
      <c r="AD29" s="15"/>
      <c r="AE29" s="15" t="s">
        <v>146</v>
      </c>
      <c r="AF29" s="22" t="s">
        <v>5</v>
      </c>
      <c r="AG29" s="17">
        <f t="shared" si="4"/>
        <v>1316.9210937009159</v>
      </c>
      <c r="AH29" s="17">
        <v>1102.2052187691497</v>
      </c>
      <c r="AI29" s="15">
        <f>'Global Only'!AI29</f>
        <v>4.4139999999999997</v>
      </c>
      <c r="AJ29" s="17">
        <f t="shared" si="5"/>
        <v>2.4729015754724109</v>
      </c>
      <c r="AK29" s="15">
        <f t="shared" si="6"/>
        <v>0.1549242291838287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>'Global Only'!L30</f>
        <v>9884.5</v>
      </c>
      <c r="M30" s="15"/>
      <c r="N30" s="15"/>
      <c r="O30" s="15"/>
      <c r="P30" s="15">
        <f t="shared" si="0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3.4416099999999998</v>
      </c>
      <c r="X30" s="15"/>
      <c r="Y30" s="15">
        <f t="shared" si="2"/>
        <v>0.91674225379571872</v>
      </c>
      <c r="Z30" s="15"/>
      <c r="AA30" s="16">
        <f t="shared" si="3"/>
        <v>0.91674225379571872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4"/>
        <v>6252.4617772742095</v>
      </c>
      <c r="AH30" s="17">
        <v>6358.5403983774268</v>
      </c>
      <c r="AI30" s="15">
        <f>'Global Only'!AI30</f>
        <v>36.762</v>
      </c>
      <c r="AJ30" s="17">
        <f t="shared" si="5"/>
        <v>0.31956384474860638</v>
      </c>
      <c r="AK30" s="15">
        <f t="shared" si="6"/>
        <v>0.91674225379571872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>'Global Only'!L31</f>
        <v>9884.5</v>
      </c>
      <c r="M31" s="15"/>
      <c r="N31" s="15"/>
      <c r="O31" s="15"/>
      <c r="P31" s="15">
        <f t="shared" si="0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3.7743099999999998</v>
      </c>
      <c r="X31" s="15"/>
      <c r="Y31" s="15">
        <f t="shared" si="2"/>
        <v>0.89291942787523149</v>
      </c>
      <c r="Z31" s="15"/>
      <c r="AA31" s="16">
        <f t="shared" si="3"/>
        <v>0.89291942787523149</v>
      </c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4"/>
        <v>6089.9828385345809</v>
      </c>
      <c r="AH31" s="17">
        <v>5647.3739398382841</v>
      </c>
      <c r="AI31" s="15">
        <f>'Global Only'!AI31</f>
        <v>16.321000000000002</v>
      </c>
      <c r="AJ31" s="17">
        <f t="shared" si="5"/>
        <v>0.50890798512690227</v>
      </c>
      <c r="AK31" s="15">
        <f t="shared" si="6"/>
        <v>0.89291942787523149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>'Global Only'!L32</f>
        <v>9884.5</v>
      </c>
      <c r="M32" s="15"/>
      <c r="N32" s="15"/>
      <c r="O32" s="15"/>
      <c r="P32" s="15">
        <f t="shared" si="0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4.2838599999999998</v>
      </c>
      <c r="X32" s="15"/>
      <c r="Y32" s="15">
        <f t="shared" si="2"/>
        <v>0.83378891992322091</v>
      </c>
      <c r="Z32" s="15"/>
      <c r="AA32" s="16">
        <f t="shared" si="3"/>
        <v>0.83378891992322091</v>
      </c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4"/>
        <v>5686.6947394969429</v>
      </c>
      <c r="AH32" s="17">
        <v>4646.1442690095619</v>
      </c>
      <c r="AI32" s="15">
        <f>'Global Only'!AI32</f>
        <v>9.0890000000000004</v>
      </c>
      <c r="AJ32" s="17">
        <f t="shared" si="5"/>
        <v>0.75185055241377818</v>
      </c>
      <c r="AK32" s="15">
        <f t="shared" si="6"/>
        <v>0.83378891992322091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>'Global Only'!L33</f>
        <v>9884.5</v>
      </c>
      <c r="M33" s="15"/>
      <c r="N33" s="15"/>
      <c r="O33" s="15"/>
      <c r="P33" s="15">
        <f t="shared" si="0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4.7848100000000002</v>
      </c>
      <c r="X33" s="15"/>
      <c r="Y33" s="15">
        <f t="shared" si="2"/>
        <v>0.72503866580043586</v>
      </c>
      <c r="Z33" s="15"/>
      <c r="AA33" s="16">
        <f t="shared" si="3"/>
        <v>0.72503866580043586</v>
      </c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4"/>
        <v>4944.9848375520423</v>
      </c>
      <c r="AH33" s="17">
        <v>3617.1649305682245</v>
      </c>
      <c r="AI33" s="15">
        <f>'Global Only'!AI33</f>
        <v>6.6388999999999996</v>
      </c>
      <c r="AJ33" s="17">
        <f t="shared" si="5"/>
        <v>0.99701961169883668</v>
      </c>
      <c r="AK33" s="15">
        <f t="shared" si="6"/>
        <v>0.72503866580043586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>'Global Only'!L34</f>
        <v>9884.5</v>
      </c>
      <c r="M34" s="15"/>
      <c r="N34" s="15"/>
      <c r="O34" s="15"/>
      <c r="P34" s="15">
        <f t="shared" si="0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4.7570399999999999</v>
      </c>
      <c r="X34" s="15"/>
      <c r="Y34" s="15">
        <f t="shared" si="2"/>
        <v>0.5024928676881516</v>
      </c>
      <c r="Z34" s="15"/>
      <c r="AA34" s="16">
        <f t="shared" si="3"/>
        <v>0.5024928676881516</v>
      </c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4"/>
        <v>3427.154617957839</v>
      </c>
      <c r="AH34" s="17">
        <v>2521.5346439913133</v>
      </c>
      <c r="AI34" s="15">
        <f>'Global Only'!AI34</f>
        <v>5.4168000000000003</v>
      </c>
      <c r="AJ34" s="17">
        <f t="shared" si="5"/>
        <v>1.3220018116915118</v>
      </c>
      <c r="AK34" s="15">
        <f t="shared" si="6"/>
        <v>0.5024928676881516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>'Global Only'!L35</f>
        <v>9884.5</v>
      </c>
      <c r="M35" s="15"/>
      <c r="N35" s="15"/>
      <c r="O35" s="15"/>
      <c r="P35" s="15">
        <f t="shared" si="0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4.5103099999999996</v>
      </c>
      <c r="X35" s="15"/>
      <c r="Y35" s="15">
        <f t="shared" si="2"/>
        <v>0.33581280028075405</v>
      </c>
      <c r="Z35" s="15"/>
      <c r="AA35" s="16">
        <f t="shared" si="3"/>
        <v>0.33581280028075405</v>
      </c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4"/>
        <v>2290.3457208188283</v>
      </c>
      <c r="AH35" s="17">
        <v>1777.3079949861317</v>
      </c>
      <c r="AI35" s="15">
        <f>'Global Only'!AI35</f>
        <v>4.8888999999999996</v>
      </c>
      <c r="AJ35" s="17">
        <f t="shared" si="5"/>
        <v>1.6574826693812967</v>
      </c>
      <c r="AK35" s="15">
        <f t="shared" si="6"/>
        <v>0.33581280028075405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>'Global Only'!L36</f>
        <v>9884.5</v>
      </c>
      <c r="M36" s="15"/>
      <c r="N36" s="15"/>
      <c r="O36" s="15"/>
      <c r="P36" s="15">
        <f t="shared" si="0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4.3391500000000001</v>
      </c>
      <c r="X36" s="15"/>
      <c r="Y36" s="15">
        <f t="shared" si="2"/>
        <v>0.23890165452337675</v>
      </c>
      <c r="Z36" s="15"/>
      <c r="AA36" s="16">
        <f t="shared" si="3"/>
        <v>0.23890165452337675</v>
      </c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4"/>
        <v>1629.3821488540593</v>
      </c>
      <c r="AH36" s="17">
        <v>1314.2752661210623</v>
      </c>
      <c r="AI36" s="15">
        <f>'Global Only'!AI36</f>
        <v>4.6165000000000003</v>
      </c>
      <c r="AJ36" s="17">
        <f t="shared" si="5"/>
        <v>1.9835188545521034</v>
      </c>
      <c r="AK36" s="15">
        <f t="shared" si="6"/>
        <v>0.23890165452337675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>'Global Only'!L37</f>
        <v>9884.5</v>
      </c>
      <c r="M37" s="15"/>
      <c r="N37" s="15"/>
      <c r="O37" s="15"/>
      <c r="P37" s="15">
        <f t="shared" si="0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4.1529100000000003</v>
      </c>
      <c r="X37" s="15"/>
      <c r="Y37" s="15">
        <f t="shared" si="2"/>
        <v>0.1543867229660271</v>
      </c>
      <c r="Z37" s="15"/>
      <c r="AA37" s="16">
        <f t="shared" si="3"/>
        <v>0.1543867229660271</v>
      </c>
      <c r="AB37" s="15">
        <v>0.80783434531025655</v>
      </c>
      <c r="AC37" s="17">
        <v>2.5</v>
      </c>
      <c r="AD37" s="15"/>
      <c r="AE37" s="15" t="s">
        <v>154</v>
      </c>
      <c r="AF37" s="22" t="s">
        <v>5</v>
      </c>
      <c r="AG37" s="17">
        <f t="shared" si="4"/>
        <v>1052.9645385788097</v>
      </c>
      <c r="AH37" s="17">
        <v>887.42011867000087</v>
      </c>
      <c r="AI37" s="15">
        <f>'Global Only'!AI37</f>
        <v>4.3815</v>
      </c>
      <c r="AJ37" s="17">
        <f t="shared" si="5"/>
        <v>2.4777636492823336</v>
      </c>
      <c r="AK37" s="15">
        <f t="shared" si="6"/>
        <v>0.1543867229660271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>'Global Only'!L38</f>
        <v>8145.2500000000018</v>
      </c>
      <c r="M38" s="15"/>
      <c r="N38" s="15"/>
      <c r="O38" s="15"/>
      <c r="P38" s="15">
        <f t="shared" si="0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3.7402103992524922</v>
      </c>
      <c r="W38" s="15">
        <v>3.1341800000000002</v>
      </c>
      <c r="X38" s="15"/>
      <c r="Y38" s="15">
        <f t="shared" si="2"/>
        <v>0.83796890159612103</v>
      </c>
      <c r="Z38" s="15"/>
      <c r="AA38" s="16">
        <f t="shared" si="3"/>
        <v>0.83796890159612103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4"/>
        <v>4709.5716750508063</v>
      </c>
      <c r="AH38" s="17">
        <v>5259.2706426171508</v>
      </c>
      <c r="AI38" s="15">
        <f>'Global Only'!AI38</f>
        <v>35.084000000000003</v>
      </c>
      <c r="AJ38" s="17">
        <f t="shared" si="5"/>
        <v>0.32650772847231618</v>
      </c>
      <c r="AK38" s="15">
        <f t="shared" si="6"/>
        <v>0.83796890159612103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>'Global Only'!L39</f>
        <v>8145.2500000000018</v>
      </c>
      <c r="M39" s="15"/>
      <c r="N39" s="15"/>
      <c r="O39" s="15"/>
      <c r="P39" s="15">
        <f t="shared" si="0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3.4108299999999998</v>
      </c>
      <c r="X39" s="15"/>
      <c r="Y39" s="15">
        <f t="shared" si="2"/>
        <v>0.80994056618083299</v>
      </c>
      <c r="Z39" s="15"/>
      <c r="AA39" s="16">
        <f t="shared" si="3"/>
        <v>0.80994056618083299</v>
      </c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4"/>
        <v>4552.0461937122573</v>
      </c>
      <c r="AH39" s="17">
        <v>4671.0512332754497</v>
      </c>
      <c r="AI39" s="15">
        <f>'Global Only'!AI39</f>
        <v>15.959</v>
      </c>
      <c r="AJ39" s="17">
        <f t="shared" si="5"/>
        <v>0.51368942357334491</v>
      </c>
      <c r="AK39" s="15">
        <f t="shared" si="6"/>
        <v>0.80994056618083299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>'Global Only'!L40</f>
        <v>8145.2500000000018</v>
      </c>
      <c r="M40" s="15"/>
      <c r="N40" s="15"/>
      <c r="O40" s="15"/>
      <c r="P40" s="15">
        <f t="shared" si="0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5.1187129682367996</v>
      </c>
      <c r="W40" s="15">
        <v>3.90219</v>
      </c>
      <c r="X40" s="15"/>
      <c r="Y40" s="15">
        <f t="shared" si="2"/>
        <v>0.76233811589247114</v>
      </c>
      <c r="Z40" s="15"/>
      <c r="AA40" s="16">
        <f t="shared" si="3"/>
        <v>0.76233811589247114</v>
      </c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4"/>
        <v>4284.5098315464747</v>
      </c>
      <c r="AH40" s="17">
        <v>3842.9149811804809</v>
      </c>
      <c r="AI40" s="15">
        <f>'Global Only'!AI40</f>
        <v>8.9650999999999996</v>
      </c>
      <c r="AJ40" s="17">
        <f t="shared" si="5"/>
        <v>0.75561891263477843</v>
      </c>
      <c r="AK40" s="15">
        <f t="shared" si="6"/>
        <v>0.76233811589247114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>'Global Only'!L41</f>
        <v>8145.2500000000018</v>
      </c>
      <c r="M41" s="15"/>
      <c r="N41" s="15"/>
      <c r="O41" s="15"/>
      <c r="P41" s="15">
        <f t="shared" si="0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6.574839516190476</v>
      </c>
      <c r="W41" s="15">
        <v>4.5278499999999999</v>
      </c>
      <c r="X41" s="15"/>
      <c r="Y41" s="15">
        <f t="shared" si="2"/>
        <v>0.68866319685069344</v>
      </c>
      <c r="Z41" s="15"/>
      <c r="AA41" s="16">
        <f t="shared" si="3"/>
        <v>0.68866319685069344</v>
      </c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4"/>
        <v>3870.4403938621967</v>
      </c>
      <c r="AH41" s="17">
        <v>2991.8264471035236</v>
      </c>
      <c r="AI41" s="15">
        <f>'Global Only'!AI41</f>
        <v>6.5689000000000002</v>
      </c>
      <c r="AJ41" s="17">
        <f t="shared" si="5"/>
        <v>1.0004519915197589</v>
      </c>
      <c r="AK41" s="15">
        <f t="shared" si="6"/>
        <v>0.68866319685069344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>'Global Only'!L42</f>
        <v>8145.2500000000018</v>
      </c>
      <c r="M42" s="15"/>
      <c r="N42" s="15"/>
      <c r="O42" s="15"/>
      <c r="P42" s="15">
        <f t="shared" si="0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9.4316685193083778</v>
      </c>
      <c r="W42" s="15">
        <v>4.6929600000000002</v>
      </c>
      <c r="X42" s="15"/>
      <c r="Y42" s="15">
        <f t="shared" si="2"/>
        <v>0.49757473880603831</v>
      </c>
      <c r="Z42" s="15"/>
      <c r="AA42" s="16">
        <f t="shared" si="3"/>
        <v>0.49757473880603831</v>
      </c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4"/>
        <v>2796.4807424693204</v>
      </c>
      <c r="AH42" s="17">
        <v>2085.6096362727617</v>
      </c>
      <c r="AI42" s="15">
        <f>'Global Only'!AI42</f>
        <v>5.3696999999999999</v>
      </c>
      <c r="AJ42" s="17">
        <f t="shared" si="5"/>
        <v>1.325315426254932</v>
      </c>
      <c r="AK42" s="15">
        <f t="shared" si="6"/>
        <v>0.49757473880603831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>'Global Only'!L43</f>
        <v>8145.2500000000018</v>
      </c>
      <c r="M43" s="15"/>
      <c r="N43" s="15"/>
      <c r="O43" s="15"/>
      <c r="P43" s="15">
        <f t="shared" si="0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13.381067878594619</v>
      </c>
      <c r="W43" s="15">
        <v>4.4724700000000004</v>
      </c>
      <c r="X43" s="15"/>
      <c r="Y43" s="15">
        <f t="shared" si="2"/>
        <v>0.33423864526944863</v>
      </c>
      <c r="Z43" s="15"/>
      <c r="AA43" s="16">
        <f t="shared" si="3"/>
        <v>0.33423864526944863</v>
      </c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4"/>
        <v>1878.4955545128742</v>
      </c>
      <c r="AH43" s="17">
        <v>1470.0455097060592</v>
      </c>
      <c r="AI43" s="15">
        <f>'Global Only'!AI43</f>
        <v>4.8505000000000003</v>
      </c>
      <c r="AJ43" s="17">
        <f t="shared" si="5"/>
        <v>1.6609330708451666</v>
      </c>
      <c r="AK43" s="15">
        <f t="shared" si="6"/>
        <v>0.33423864526944863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>'Global Only'!L44</f>
        <v>8145.2500000000018</v>
      </c>
      <c r="M44" s="15"/>
      <c r="N44" s="15"/>
      <c r="O44" s="15"/>
      <c r="P44" s="15">
        <f t="shared" si="0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18.095356075800698</v>
      </c>
      <c r="W44" s="15">
        <v>4.3064600000000004</v>
      </c>
      <c r="X44" s="15"/>
      <c r="Y44" s="15">
        <f t="shared" si="2"/>
        <v>0.23798702727707693</v>
      </c>
      <c r="Z44" s="15"/>
      <c r="AA44" s="16">
        <f t="shared" si="3"/>
        <v>0.23798702727707693</v>
      </c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4"/>
        <v>1337.5400454107416</v>
      </c>
      <c r="AH44" s="17">
        <v>1087.0622643511365</v>
      </c>
      <c r="AI44" s="15">
        <f>'Global Only'!AI44</f>
        <v>4.5826000000000002</v>
      </c>
      <c r="AJ44" s="17">
        <f t="shared" si="5"/>
        <v>1.9871360000721772</v>
      </c>
      <c r="AK44" s="15">
        <f t="shared" si="6"/>
        <v>0.23798702727707693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>'Global Only'!L45</f>
        <v>8145.2500000000018</v>
      </c>
      <c r="M45" s="15"/>
      <c r="N45" s="15"/>
      <c r="O45" s="15"/>
      <c r="P45" s="15">
        <f t="shared" si="0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26.799346129003069</v>
      </c>
      <c r="W45" s="15">
        <v>4.1268500000000001</v>
      </c>
      <c r="X45" s="15"/>
      <c r="Y45" s="15">
        <f t="shared" si="2"/>
        <v>0.15399069738995599</v>
      </c>
      <c r="Z45" s="15"/>
      <c r="AA45" s="16">
        <f t="shared" si="3"/>
        <v>0.15399069738995599</v>
      </c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4"/>
        <v>865.46198226172214</v>
      </c>
      <c r="AH45" s="17">
        <v>734.00219002775179</v>
      </c>
      <c r="AI45" s="15">
        <f>'Global Only'!AI45</f>
        <v>4.3507999999999996</v>
      </c>
      <c r="AJ45" s="17">
        <f t="shared" si="5"/>
        <v>2.4818614825087537</v>
      </c>
      <c r="AK45" s="15">
        <f t="shared" si="6"/>
        <v>0.15399069738995599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>'Global Only'!L46</f>
        <v>7217.65</v>
      </c>
      <c r="M46" s="15"/>
      <c r="N46" s="15"/>
      <c r="O46" s="15"/>
      <c r="P46" s="15">
        <f t="shared" si="0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3.7300768716031336</v>
      </c>
      <c r="W46" s="15">
        <v>3.0891999999999999</v>
      </c>
      <c r="X46" s="15"/>
      <c r="Y46" s="15">
        <f t="shared" si="2"/>
        <v>0.82818668524445338</v>
      </c>
      <c r="Z46" s="15"/>
      <c r="AA46" s="16">
        <f t="shared" si="3"/>
        <v>0.82818668524445338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4"/>
        <v>4124.5175238406946</v>
      </c>
      <c r="AH46" s="17">
        <v>4672.9934395450055</v>
      </c>
      <c r="AI46" s="15">
        <f>'Global Only'!AI46</f>
        <v>33.424999999999997</v>
      </c>
      <c r="AJ46" s="17">
        <f t="shared" si="5"/>
        <v>0.33405900488767104</v>
      </c>
      <c r="AK46" s="15">
        <f t="shared" si="6"/>
        <v>0.82818668524445338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>'Global Only'!L47</f>
        <v>7217.65</v>
      </c>
      <c r="M47" s="15"/>
      <c r="N47" s="15"/>
      <c r="O47" s="15"/>
      <c r="P47" s="15">
        <f t="shared" si="0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4.1998006028658672</v>
      </c>
      <c r="W47" s="15">
        <v>3.3028400000000002</v>
      </c>
      <c r="X47" s="15"/>
      <c r="Y47" s="15">
        <f t="shared" si="2"/>
        <v>0.78642781225046787</v>
      </c>
      <c r="Z47" s="15"/>
      <c r="AA47" s="16">
        <f t="shared" si="3"/>
        <v>0.78642781225046787</v>
      </c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4"/>
        <v>3916.5508823718164</v>
      </c>
      <c r="AH47" s="17">
        <v>4150.3457897752714</v>
      </c>
      <c r="AI47" s="15">
        <f>'Global Only'!AI47</f>
        <v>15.609</v>
      </c>
      <c r="AJ47" s="17">
        <f t="shared" si="5"/>
        <v>0.51871259754171806</v>
      </c>
      <c r="AK47" s="15">
        <f t="shared" si="6"/>
        <v>0.78642781225046787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>'Global Only'!L48</f>
        <v>7217.65</v>
      </c>
      <c r="M48" s="15"/>
      <c r="N48" s="15"/>
      <c r="O48" s="15"/>
      <c r="P48" s="15">
        <f t="shared" si="0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3.7145100000000002</v>
      </c>
      <c r="X48" s="15"/>
      <c r="Y48" s="15">
        <f t="shared" si="2"/>
        <v>0.72764408946653381</v>
      </c>
      <c r="Z48" s="15"/>
      <c r="AA48" s="16">
        <f t="shared" si="3"/>
        <v>0.72764408946653381</v>
      </c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4"/>
        <v>3623.7974500133082</v>
      </c>
      <c r="AH48" s="17">
        <v>3414.5260276716385</v>
      </c>
      <c r="AI48" s="15">
        <f>'Global Only'!AI48</f>
        <v>8.8526000000000007</v>
      </c>
      <c r="AJ48" s="17">
        <f t="shared" si="5"/>
        <v>0.75937420793675903</v>
      </c>
      <c r="AK48" s="15">
        <f t="shared" si="6"/>
        <v>0.72764408946653381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>'Global Only'!L49</f>
        <v>7217.65</v>
      </c>
      <c r="M49" s="15"/>
      <c r="N49" s="15"/>
      <c r="O49" s="15"/>
      <c r="P49" s="15">
        <f t="shared" si="0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4.3075599999999996</v>
      </c>
      <c r="X49" s="15"/>
      <c r="Y49" s="15">
        <f t="shared" si="2"/>
        <v>0.65693806970253443</v>
      </c>
      <c r="Z49" s="15"/>
      <c r="AA49" s="16">
        <f t="shared" si="3"/>
        <v>0.65693806970253443</v>
      </c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4"/>
        <v>3271.6688505640632</v>
      </c>
      <c r="AH49" s="17">
        <v>2658.3125892556859</v>
      </c>
      <c r="AI49" s="15">
        <f>'Global Only'!AI49</f>
        <v>6.5106000000000002</v>
      </c>
      <c r="AJ49" s="17">
        <f t="shared" si="5"/>
        <v>1.003559082462987</v>
      </c>
      <c r="AK49" s="15">
        <f t="shared" si="6"/>
        <v>0.65693806970253443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>'Global Only'!L50</f>
        <v>7217.65</v>
      </c>
      <c r="M50" s="15"/>
      <c r="N50" s="15"/>
      <c r="O50" s="15"/>
      <c r="P50" s="15">
        <f t="shared" si="0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4.5796299999999999</v>
      </c>
      <c r="X50" s="15"/>
      <c r="Y50" s="15">
        <f t="shared" si="2"/>
        <v>0.48687795861007033</v>
      </c>
      <c r="Z50" s="15"/>
      <c r="AA50" s="16">
        <f t="shared" si="3"/>
        <v>0.48687795861007033</v>
      </c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4"/>
        <v>2424.7391415937623</v>
      </c>
      <c r="AH50" s="17">
        <v>1853.1162988228673</v>
      </c>
      <c r="AI50" s="15">
        <f>'Global Only'!AI50</f>
        <v>5.3331999999999997</v>
      </c>
      <c r="AJ50" s="17">
        <f t="shared" si="5"/>
        <v>1.3280401454558557</v>
      </c>
      <c r="AK50" s="15">
        <f t="shared" si="6"/>
        <v>0.48687795861007033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>'Global Only'!L51</f>
        <v>7217.65</v>
      </c>
      <c r="M51" s="15"/>
      <c r="N51" s="15"/>
      <c r="O51" s="15"/>
      <c r="P51" s="15">
        <f t="shared" si="0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4.4252500000000001</v>
      </c>
      <c r="X51" s="15"/>
      <c r="Y51" s="15">
        <f t="shared" si="2"/>
        <v>0.33160822065396134</v>
      </c>
      <c r="Z51" s="15"/>
      <c r="AA51" s="16">
        <f t="shared" si="3"/>
        <v>0.33160822065396134</v>
      </c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4"/>
        <v>1651.4681309241141</v>
      </c>
      <c r="AH51" s="17">
        <v>1306.1721842233544</v>
      </c>
      <c r="AI51" s="15">
        <f>'Global Only'!AI51</f>
        <v>4.8224999999999998</v>
      </c>
      <c r="AJ51" s="17">
        <f t="shared" si="5"/>
        <v>1.6634898031442582</v>
      </c>
      <c r="AK51" s="15">
        <f t="shared" si="6"/>
        <v>0.33160822065396134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>'Global Only'!L52</f>
        <v>7217.65</v>
      </c>
      <c r="M52" s="15"/>
      <c r="N52" s="15"/>
      <c r="O52" s="15"/>
      <c r="P52" s="15">
        <f t="shared" si="0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4.2767299999999997</v>
      </c>
      <c r="X52" s="15"/>
      <c r="Y52" s="15">
        <f t="shared" si="2"/>
        <v>0.23698614198668028</v>
      </c>
      <c r="Z52" s="15"/>
      <c r="AA52" s="16">
        <f t="shared" si="3"/>
        <v>0.23698614198668028</v>
      </c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4"/>
        <v>1180.2332891200126</v>
      </c>
      <c r="AH52" s="17">
        <v>965.88199674051077</v>
      </c>
      <c r="AI52" s="15">
        <f>'Global Only'!AI52</f>
        <v>4.5585000000000004</v>
      </c>
      <c r="AJ52" s="17">
        <f t="shared" si="5"/>
        <v>1.9896810400686959</v>
      </c>
      <c r="AK52" s="15">
        <f t="shared" si="6"/>
        <v>0.23698614198668028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>'Global Only'!L53</f>
        <v>7217.65</v>
      </c>
      <c r="M53" s="15"/>
      <c r="N53" s="15"/>
      <c r="O53" s="15"/>
      <c r="P53" s="15">
        <f t="shared" si="0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4.1063099999999997</v>
      </c>
      <c r="X53" s="15"/>
      <c r="Y53" s="15">
        <f t="shared" si="2"/>
        <v>0.15364052627159078</v>
      </c>
      <c r="Z53" s="15"/>
      <c r="AA53" s="16">
        <f t="shared" si="3"/>
        <v>0.15364052627159078</v>
      </c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4"/>
        <v>765.15724566646156</v>
      </c>
      <c r="AH53" s="17">
        <v>652.17929475188566</v>
      </c>
      <c r="AI53" s="15">
        <f>'Global Only'!AI53</f>
        <v>4.3297999999999996</v>
      </c>
      <c r="AJ53" s="17">
        <f t="shared" si="5"/>
        <v>2.4845003099159175</v>
      </c>
      <c r="AK53" s="15">
        <f t="shared" si="6"/>
        <v>0.15364052627159078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>'Global Only'!L54</f>
        <v>25503.804399999994</v>
      </c>
      <c r="M54" s="15"/>
      <c r="N54" s="15"/>
      <c r="O54" s="15"/>
      <c r="P54" s="15">
        <f t="shared" si="0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1"/>
        <v>3.7858155601206209</v>
      </c>
      <c r="W54" s="15">
        <v>3.6763300000000001</v>
      </c>
      <c r="X54" s="15"/>
      <c r="Y54" s="15">
        <f t="shared" si="2"/>
        <v>0.97108005966430855</v>
      </c>
      <c r="Z54" s="15"/>
      <c r="AA54" s="16">
        <f t="shared" si="3"/>
        <v>0.97108005966430855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4"/>
        <v>17088.702769909003</v>
      </c>
      <c r="AH54" s="17">
        <v>16269.067166081799</v>
      </c>
      <c r="AI54" s="15">
        <f>'Global Only'!AI54</f>
        <v>29.218</v>
      </c>
      <c r="AJ54" s="17">
        <f t="shared" si="5"/>
        <v>0.35996019927957579</v>
      </c>
      <c r="AK54" s="15">
        <f t="shared" si="6"/>
        <v>0.97108005966430855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>'Global Only'!L55</f>
        <v>25503.804399999994</v>
      </c>
      <c r="M55" s="15"/>
      <c r="N55" s="15"/>
      <c r="O55" s="15"/>
      <c r="P55" s="15">
        <f t="shared" si="0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4.2625583919668983</v>
      </c>
      <c r="W55" s="15">
        <v>3.8664999999999998</v>
      </c>
      <c r="X55" s="15"/>
      <c r="Y55" s="15">
        <f t="shared" si="2"/>
        <v>0.9070843480494486</v>
      </c>
      <c r="Z55" s="15"/>
      <c r="AA55" s="16">
        <f t="shared" si="3"/>
        <v>0.9070843480494486</v>
      </c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4"/>
        <v>15962.53023299871</v>
      </c>
      <c r="AH55" s="17">
        <v>14449.464843009309</v>
      </c>
      <c r="AI55" s="15">
        <f>'Global Only'!AI55</f>
        <v>14.803000000000001</v>
      </c>
      <c r="AJ55" s="17">
        <f t="shared" si="5"/>
        <v>0.53661190207046938</v>
      </c>
      <c r="AK55" s="15">
        <f t="shared" si="6"/>
        <v>0.9070843480494486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>'Global Only'!L56</f>
        <v>25503.804399999994</v>
      </c>
      <c r="M56" s="15"/>
      <c r="N56" s="15"/>
      <c r="O56" s="15"/>
      <c r="P56" s="15">
        <f t="shared" si="0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5.1811264967379964</v>
      </c>
      <c r="W56" s="15">
        <v>4.2662699999999996</v>
      </c>
      <c r="X56" s="15"/>
      <c r="Y56" s="15">
        <f t="shared" si="2"/>
        <v>0.82342517649125446</v>
      </c>
      <c r="Z56" s="15"/>
      <c r="AA56" s="16">
        <f t="shared" si="3"/>
        <v>0.82342517649125446</v>
      </c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4"/>
        <v>14490.327501095213</v>
      </c>
      <c r="AH56" s="17">
        <v>11887.701963034044</v>
      </c>
      <c r="AI56" s="15">
        <f>'Global Only'!AI56</f>
        <v>8.6748999999999992</v>
      </c>
      <c r="AJ56" s="17">
        <f t="shared" si="5"/>
        <v>0.77282268078390148</v>
      </c>
      <c r="AK56" s="15">
        <f t="shared" si="6"/>
        <v>0.82342517649125446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>'Global Only'!L57</f>
        <v>25503.804399999994</v>
      </c>
      <c r="M57" s="15"/>
      <c r="N57" s="15"/>
      <c r="O57" s="15"/>
      <c r="P57" s="15">
        <f t="shared" si="0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6.6550078975943459</v>
      </c>
      <c r="W57" s="15">
        <v>4.7730800000000002</v>
      </c>
      <c r="X57" s="15"/>
      <c r="Y57" s="15">
        <f t="shared" si="2"/>
        <v>0.71721627884549533</v>
      </c>
      <c r="Z57" s="15"/>
      <c r="AA57" s="16">
        <f t="shared" si="3"/>
        <v>0.71721627884549533</v>
      </c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4"/>
        <v>12621.303144838243</v>
      </c>
      <c r="AH57" s="17">
        <v>9254.938322201564</v>
      </c>
      <c r="AI57" s="15">
        <f>'Global Only'!AI57</f>
        <v>6.4608999999999996</v>
      </c>
      <c r="AJ57" s="17">
        <f t="shared" si="5"/>
        <v>1.0149105756383863</v>
      </c>
      <c r="AK57" s="15">
        <f t="shared" si="6"/>
        <v>0.71721627884549533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>'Global Only'!L58</f>
        <v>25503.804399999994</v>
      </c>
      <c r="M58" s="15"/>
      <c r="N58" s="15"/>
      <c r="O58" s="15"/>
      <c r="P58" s="15">
        <f t="shared" si="0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9.5466708090629631</v>
      </c>
      <c r="W58" s="15">
        <v>4.7332999999999998</v>
      </c>
      <c r="X58" s="15"/>
      <c r="Y58" s="15">
        <f t="shared" si="2"/>
        <v>0.49580634911036475</v>
      </c>
      <c r="Z58" s="15"/>
      <c r="AA58" s="16">
        <f t="shared" si="3"/>
        <v>0.49580634911036475</v>
      </c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4"/>
        <v>8725.0142221123078</v>
      </c>
      <c r="AH58" s="17">
        <v>6451.6404574806329</v>
      </c>
      <c r="AI58" s="15">
        <f>'Global Only'!AI58</f>
        <v>5.3316999999999997</v>
      </c>
      <c r="AJ58" s="17">
        <f t="shared" si="5"/>
        <v>1.338114020691471</v>
      </c>
      <c r="AK58" s="15">
        <f t="shared" si="6"/>
        <v>0.49580634911036475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>'Global Only'!L59</f>
        <v>25503.804399999994</v>
      </c>
      <c r="M59" s="15"/>
      <c r="N59" s="15"/>
      <c r="O59" s="15"/>
      <c r="P59" s="15">
        <f t="shared" si="0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13.544226013578854</v>
      </c>
      <c r="W59" s="15">
        <v>4.4908799999999998</v>
      </c>
      <c r="X59" s="15"/>
      <c r="Y59" s="15">
        <f t="shared" si="2"/>
        <v>0.33157154904958308</v>
      </c>
      <c r="Z59" s="15"/>
      <c r="AA59" s="16">
        <f t="shared" si="3"/>
        <v>0.33157154904958308</v>
      </c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4"/>
        <v>5834.8717927802436</v>
      </c>
      <c r="AH59" s="17">
        <v>4547.4497814973574</v>
      </c>
      <c r="AI59" s="15">
        <f>'Global Only'!AI59</f>
        <v>4.8384999999999998</v>
      </c>
      <c r="AJ59" s="17">
        <f t="shared" si="5"/>
        <v>1.6730993228530124</v>
      </c>
      <c r="AK59" s="15">
        <f t="shared" si="6"/>
        <v>0.33157154904958308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>'Global Only'!L60</f>
        <v>25503.804399999994</v>
      </c>
      <c r="M60" s="15"/>
      <c r="N60" s="15"/>
      <c r="O60" s="15"/>
      <c r="P60" s="15">
        <f t="shared" si="0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18.315996504202236</v>
      </c>
      <c r="W60" s="15">
        <v>4.3266999999999998</v>
      </c>
      <c r="X60" s="15"/>
      <c r="Y60" s="15">
        <f t="shared" si="2"/>
        <v>0.23622520341753317</v>
      </c>
      <c r="Z60" s="15"/>
      <c r="AA60" s="16">
        <f t="shared" si="3"/>
        <v>0.23622520341753317</v>
      </c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4"/>
        <v>4157.002553794573</v>
      </c>
      <c r="AH60" s="17">
        <v>3362.7265440823276</v>
      </c>
      <c r="AI60" s="15">
        <f>'Global Only'!AI60</f>
        <v>4.5826000000000002</v>
      </c>
      <c r="AJ60" s="17">
        <f t="shared" si="5"/>
        <v>1.9992140746316445</v>
      </c>
      <c r="AK60" s="15">
        <f t="shared" si="6"/>
        <v>0.23622520341753317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>'Global Only'!L61</f>
        <v>25503.804399999994</v>
      </c>
      <c r="M61" s="15"/>
      <c r="N61" s="15"/>
      <c r="O61" s="15"/>
      <c r="P61" s="15">
        <f t="shared" si="0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27.126116112750015</v>
      </c>
      <c r="W61" s="15">
        <v>4.1508900000000004</v>
      </c>
      <c r="X61" s="15"/>
      <c r="Y61" s="15">
        <f t="shared" si="2"/>
        <v>0.15302190637047997</v>
      </c>
      <c r="Z61" s="15"/>
      <c r="AA61" s="16">
        <f t="shared" si="3"/>
        <v>0.15302190637047997</v>
      </c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4"/>
        <v>2692.8221306016053</v>
      </c>
      <c r="AH61" s="17">
        <v>2270.5678678802901</v>
      </c>
      <c r="AI61" s="15">
        <f>'Global Only'!AI61</f>
        <v>4.3598999999999997</v>
      </c>
      <c r="AJ61" s="17">
        <f t="shared" si="5"/>
        <v>2.494339384405782</v>
      </c>
      <c r="AK61" s="15">
        <f t="shared" si="6"/>
        <v>0.15302190637047997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>'Global Only'!L62</f>
        <v>18048.4375</v>
      </c>
      <c r="M62" s="15"/>
      <c r="N62" s="15"/>
      <c r="O62" s="15"/>
      <c r="P62" s="15">
        <f t="shared" si="0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3.6179999999999999</v>
      </c>
      <c r="X62" s="15"/>
      <c r="Y62" s="15">
        <f t="shared" si="2"/>
        <v>0.96339507169649541</v>
      </c>
      <c r="Z62" s="15"/>
      <c r="AA62" s="16">
        <f t="shared" si="3"/>
        <v>0.96339507169649541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4"/>
        <v>11997.565260132331</v>
      </c>
      <c r="AH62" s="17">
        <v>11606.268217375113</v>
      </c>
      <c r="AI62" s="15">
        <f>'Global Only'!AI62</f>
        <v>29.218</v>
      </c>
      <c r="AJ62" s="17">
        <f t="shared" si="5"/>
        <v>0.35851458541726411</v>
      </c>
      <c r="AK62" s="15">
        <f t="shared" si="6"/>
        <v>0.96339507169649541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>'Global Only'!L63</f>
        <v>18048.4375</v>
      </c>
      <c r="M63" s="15"/>
      <c r="N63" s="15"/>
      <c r="O63" s="15"/>
      <c r="P63" s="15">
        <f t="shared" si="0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3.8237199999999998</v>
      </c>
      <c r="X63" s="15"/>
      <c r="Y63" s="15">
        <f t="shared" si="2"/>
        <v>0.90429691858541905</v>
      </c>
      <c r="Z63" s="15"/>
      <c r="AA63" s="16">
        <f t="shared" si="3"/>
        <v>0.90429691858541905</v>
      </c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4"/>
        <v>11261.591027406752</v>
      </c>
      <c r="AH63" s="17">
        <v>10308.173348446966</v>
      </c>
      <c r="AI63" s="15">
        <f>'Global Only'!AI63</f>
        <v>14.784000000000001</v>
      </c>
      <c r="AJ63" s="17">
        <f t="shared" si="5"/>
        <v>0.5348001727713132</v>
      </c>
      <c r="AK63" s="15">
        <f t="shared" si="6"/>
        <v>0.90429691858541905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>'Global Only'!L64</f>
        <v>18048.4375</v>
      </c>
      <c r="M64" s="15"/>
      <c r="N64" s="15"/>
      <c r="O64" s="15"/>
      <c r="P64" s="15">
        <f t="shared" si="0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4.2092799999999997</v>
      </c>
      <c r="X64" s="15"/>
      <c r="Y64" s="15">
        <f t="shared" si="2"/>
        <v>0.81899062396462652</v>
      </c>
      <c r="Z64" s="15"/>
      <c r="AA64" s="16">
        <f t="shared" si="3"/>
        <v>0.81899062396462652</v>
      </c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4"/>
        <v>10199.23575190098</v>
      </c>
      <c r="AH64" s="17">
        <v>8480.6249837628839</v>
      </c>
      <c r="AI64" s="15">
        <f>'Global Only'!AI64</f>
        <v>8.6549999999999994</v>
      </c>
      <c r="AJ64" s="17">
        <f t="shared" si="5"/>
        <v>0.77060337523077538</v>
      </c>
      <c r="AK64" s="15">
        <f t="shared" si="6"/>
        <v>0.81899062396462652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>'Global Only'!L65</f>
        <v>18048.4375</v>
      </c>
      <c r="M65" s="15"/>
      <c r="N65" s="15"/>
      <c r="O65" s="15"/>
      <c r="P65" s="15">
        <f t="shared" si="0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4.6981400000000004</v>
      </c>
      <c r="X65" s="15"/>
      <c r="Y65" s="15">
        <f t="shared" si="2"/>
        <v>0.71166021695885706</v>
      </c>
      <c r="Z65" s="15"/>
      <c r="AA65" s="16">
        <f t="shared" si="3"/>
        <v>0.71166021695885706</v>
      </c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4"/>
        <v>8862.6049134426776</v>
      </c>
      <c r="AH65" s="17">
        <v>6602.4250441769227</v>
      </c>
      <c r="AI65" s="15">
        <f>'Global Only'!AI65</f>
        <v>6.4428000000000001</v>
      </c>
      <c r="AJ65" s="17">
        <f t="shared" si="5"/>
        <v>1.0122535481766948</v>
      </c>
      <c r="AK65" s="15">
        <f t="shared" si="6"/>
        <v>0.71166021695885706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>'Global Only'!L66</f>
        <v>18048.4375</v>
      </c>
      <c r="M66" s="15"/>
      <c r="N66" s="15"/>
      <c r="O66" s="15"/>
      <c r="P66" s="15">
        <f t="shared" si="0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4.6850500000000004</v>
      </c>
      <c r="X66" s="15"/>
      <c r="Y66" s="15">
        <f t="shared" si="2"/>
        <v>0.49471786364807968</v>
      </c>
      <c r="Z66" s="15"/>
      <c r="AA66" s="16">
        <f t="shared" si="3"/>
        <v>0.49471786364807968</v>
      </c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4"/>
        <v>6160.9302651082626</v>
      </c>
      <c r="AH66" s="17">
        <v>4602.566872899738</v>
      </c>
      <c r="AI66" s="15">
        <f>'Global Only'!AI66</f>
        <v>5.3148999999999997</v>
      </c>
      <c r="AJ66" s="17">
        <f t="shared" si="5"/>
        <v>1.3348447876948879</v>
      </c>
      <c r="AK66" s="15">
        <f t="shared" si="6"/>
        <v>0.49471786364807968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>'Global Only'!L67</f>
        <v>18048.4375</v>
      </c>
      <c r="M67" s="15"/>
      <c r="N67" s="15"/>
      <c r="O67" s="15"/>
      <c r="P67" s="15">
        <f t="shared" si="0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4.4528699999999999</v>
      </c>
      <c r="X67" s="15"/>
      <c r="Y67" s="15">
        <f t="shared" si="2"/>
        <v>0.33142184728953994</v>
      </c>
      <c r="Z67" s="15"/>
      <c r="AA67" s="16">
        <f t="shared" si="3"/>
        <v>0.33142184728953994</v>
      </c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4"/>
        <v>4127.3360828884661</v>
      </c>
      <c r="AH67" s="17">
        <v>3244.127111303414</v>
      </c>
      <c r="AI67" s="15">
        <f>'Global Only'!AI67</f>
        <v>4.8224</v>
      </c>
      <c r="AJ67" s="17">
        <f t="shared" si="5"/>
        <v>1.6691594515553019</v>
      </c>
      <c r="AK67" s="15">
        <f t="shared" si="6"/>
        <v>0.33142184728953994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>'Global Only'!L68</f>
        <v>18048.4375</v>
      </c>
      <c r="M68" s="15"/>
      <c r="N68" s="15"/>
      <c r="O68" s="15"/>
      <c r="P68" s="15">
        <f t="shared" si="0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4.2913699999999997</v>
      </c>
      <c r="X68" s="15"/>
      <c r="Y68" s="15">
        <f t="shared" si="2"/>
        <v>0.23618957166197199</v>
      </c>
      <c r="Z68" s="15"/>
      <c r="AA68" s="16">
        <f t="shared" si="3"/>
        <v>0.23618957166197199</v>
      </c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4"/>
        <v>2941.3683783820816</v>
      </c>
      <c r="AH68" s="17">
        <v>2398.9516924285917</v>
      </c>
      <c r="AI68" s="15">
        <f>'Global Only'!AI68</f>
        <v>4.5669000000000004</v>
      </c>
      <c r="AJ68" s="17">
        <f t="shared" si="5"/>
        <v>1.9946048470905522</v>
      </c>
      <c r="AK68" s="15">
        <f t="shared" si="6"/>
        <v>0.23618957166197199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>'Global Only'!L69</f>
        <v>18048.4375</v>
      </c>
      <c r="M69" s="15"/>
      <c r="N69" s="15"/>
      <c r="O69" s="15"/>
      <c r="P69" s="15">
        <f t="shared" si="0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4.1183199999999998</v>
      </c>
      <c r="X69" s="15"/>
      <c r="Y69" s="15">
        <f t="shared" si="2"/>
        <v>0.15304804354056112</v>
      </c>
      <c r="Z69" s="15"/>
      <c r="AA69" s="16">
        <f t="shared" si="3"/>
        <v>0.15304804354056112</v>
      </c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4"/>
        <v>1905.971853353976</v>
      </c>
      <c r="AH69" s="17">
        <v>1619.8113518956557</v>
      </c>
      <c r="AI69" s="15">
        <f>'Global Only'!AI69</f>
        <v>4.3445</v>
      </c>
      <c r="AJ69" s="17">
        <f t="shared" si="5"/>
        <v>2.4887212301334571</v>
      </c>
      <c r="AK69" s="15">
        <f t="shared" si="6"/>
        <v>0.15304804354056112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>'Global Only'!L70</f>
        <v>15204.577499999999</v>
      </c>
      <c r="M70" s="15"/>
      <c r="N70" s="15"/>
      <c r="O70" s="15"/>
      <c r="P70" s="15">
        <f t="shared" si="0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3.57212</v>
      </c>
      <c r="X70" s="15"/>
      <c r="Y70" s="15">
        <f t="shared" si="2"/>
        <v>0.95402511172704418</v>
      </c>
      <c r="Z70" s="15"/>
      <c r="AA70" s="16">
        <f t="shared" si="3"/>
        <v>0.95402511172704418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4"/>
        <v>10008.828636258</v>
      </c>
      <c r="AH70" s="17">
        <v>9806.7534760598755</v>
      </c>
      <c r="AI70" s="15">
        <f>'Global Only'!AI70</f>
        <v>29.25</v>
      </c>
      <c r="AJ70" s="17">
        <f t="shared" si="5"/>
        <v>0.35778339569721102</v>
      </c>
      <c r="AK70" s="15">
        <f t="shared" si="6"/>
        <v>0.95402511172704418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>'Global Only'!L71</f>
        <v>15204.577499999999</v>
      </c>
      <c r="M71" s="15"/>
      <c r="N71" s="15"/>
      <c r="O71" s="15"/>
      <c r="P71" s="15">
        <f t="shared" ref="P71:P134" si="7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8">L71*T71/(S71*1000)</f>
        <v>4.2157720780411907</v>
      </c>
      <c r="W71" s="15">
        <v>3.7747000000000002</v>
      </c>
      <c r="X71" s="15"/>
      <c r="Y71" s="15">
        <f t="shared" ref="Y71:Y134" si="9">AK71</f>
        <v>0.89537572955174338</v>
      </c>
      <c r="Z71" s="15"/>
      <c r="AA71" s="16">
        <f t="shared" ref="AA71:AA134" si="10">AK71</f>
        <v>0.89537572955174338</v>
      </c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11">W71*S71</f>
        <v>9393.5286733960784</v>
      </c>
      <c r="AH71" s="17">
        <v>8709.9240620145374</v>
      </c>
      <c r="AI71" s="15">
        <f>'Global Only'!AI71</f>
        <v>14.788</v>
      </c>
      <c r="AJ71" s="17">
        <f t="shared" ref="AJ71:AJ134" si="12">(V71/AI71)^0.5</f>
        <v>0.53392940654547705</v>
      </c>
      <c r="AK71" s="15">
        <f t="shared" ref="AK71:AK134" si="13">W71/V71</f>
        <v>0.89537572955174338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>'Global Only'!L72</f>
        <v>15204.577499999999</v>
      </c>
      <c r="M72" s="15"/>
      <c r="N72" s="15"/>
      <c r="O72" s="15"/>
      <c r="P72" s="15">
        <f t="shared" si="7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8"/>
        <v>5.1242578773609564</v>
      </c>
      <c r="W72" s="15">
        <v>4.1605999999999996</v>
      </c>
      <c r="X72" s="15"/>
      <c r="Y72" s="15">
        <f t="shared" si="9"/>
        <v>0.81194196302680022</v>
      </c>
      <c r="Z72" s="15"/>
      <c r="AA72" s="16">
        <f t="shared" si="10"/>
        <v>0.81194196302680022</v>
      </c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1"/>
        <v>8518.2118066167513</v>
      </c>
      <c r="AH72" s="17">
        <v>7165.7312222176215</v>
      </c>
      <c r="AI72" s="15">
        <f>'Global Only'!AI72</f>
        <v>8.6529000000000007</v>
      </c>
      <c r="AJ72" s="17">
        <f t="shared" si="12"/>
        <v>0.76954610853477523</v>
      </c>
      <c r="AK72" s="15">
        <f t="shared" si="13"/>
        <v>0.81194196302680022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>'Global Only'!L73</f>
        <v>15204.577499999999</v>
      </c>
      <c r="M73" s="15"/>
      <c r="N73" s="15"/>
      <c r="O73" s="15"/>
      <c r="P73" s="15">
        <f t="shared" si="7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8"/>
        <v>6.5819617924051022</v>
      </c>
      <c r="W73" s="15">
        <v>4.6377800000000002</v>
      </c>
      <c r="X73" s="15"/>
      <c r="Y73" s="15">
        <f t="shared" si="9"/>
        <v>0.70461970857252842</v>
      </c>
      <c r="Z73" s="15"/>
      <c r="AA73" s="16">
        <f t="shared" si="10"/>
        <v>0.70461970857252842</v>
      </c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1"/>
        <v>7392.2770272427115</v>
      </c>
      <c r="AH73" s="17">
        <v>5578.7401720973157</v>
      </c>
      <c r="AI73" s="15">
        <f>'Global Only'!AI73</f>
        <v>6.4398999999999997</v>
      </c>
      <c r="AJ73" s="17">
        <f t="shared" si="12"/>
        <v>1.0109696469606528</v>
      </c>
      <c r="AK73" s="15">
        <f t="shared" si="13"/>
        <v>0.70461970857252842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>'Global Only'!L74</f>
        <v>15204.577499999999</v>
      </c>
      <c r="M74" s="15"/>
      <c r="N74" s="15"/>
      <c r="O74" s="15"/>
      <c r="P74" s="15">
        <f t="shared" si="7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8"/>
        <v>9.44188549087003</v>
      </c>
      <c r="W74" s="15">
        <v>4.6494299999999997</v>
      </c>
      <c r="X74" s="15"/>
      <c r="Y74" s="15">
        <f t="shared" si="9"/>
        <v>0.49242601009044584</v>
      </c>
      <c r="Z74" s="15"/>
      <c r="AA74" s="16">
        <f t="shared" si="10"/>
        <v>0.49242601009044584</v>
      </c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1"/>
        <v>5166.1193090708157</v>
      </c>
      <c r="AH74" s="17">
        <v>3888.9536097430987</v>
      </c>
      <c r="AI74" s="15">
        <f>'Global Only'!AI74</f>
        <v>5.3117999999999999</v>
      </c>
      <c r="AJ74" s="17">
        <f t="shared" si="12"/>
        <v>1.3332405289959182</v>
      </c>
      <c r="AK74" s="15">
        <f t="shared" si="13"/>
        <v>0.49242601009044584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>'Global Only'!L75</f>
        <v>15204.577499999999</v>
      </c>
      <c r="M75" s="15"/>
      <c r="N75" s="15"/>
      <c r="O75" s="15"/>
      <c r="P75" s="15">
        <f t="shared" si="7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8"/>
        <v>13.395563085853043</v>
      </c>
      <c r="W75" s="15">
        <v>4.42821</v>
      </c>
      <c r="X75" s="15"/>
      <c r="Y75" s="15">
        <f t="shared" si="9"/>
        <v>0.33057288981577793</v>
      </c>
      <c r="Z75" s="15"/>
      <c r="AA75" s="16">
        <f t="shared" si="10"/>
        <v>0.33057288981577793</v>
      </c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1"/>
        <v>3468.0925745960394</v>
      </c>
      <c r="AH75" s="17">
        <v>2741.1355855043321</v>
      </c>
      <c r="AI75" s="15">
        <f>'Global Only'!AI75</f>
        <v>4.8193000000000001</v>
      </c>
      <c r="AJ75" s="17">
        <f t="shared" si="12"/>
        <v>1.6672030882215141</v>
      </c>
      <c r="AK75" s="15">
        <f t="shared" si="13"/>
        <v>0.33057288981577793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>'Global Only'!L76</f>
        <v>15204.577499999999</v>
      </c>
      <c r="M76" s="15"/>
      <c r="N76" s="15"/>
      <c r="O76" s="15"/>
      <c r="P76" s="15">
        <f t="shared" si="7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8"/>
        <v>18.114958094048667</v>
      </c>
      <c r="W76" s="15">
        <v>4.2704300000000002</v>
      </c>
      <c r="X76" s="15"/>
      <c r="Y76" s="15">
        <f t="shared" si="9"/>
        <v>0.23574053982509463</v>
      </c>
      <c r="Z76" s="15"/>
      <c r="AA76" s="16">
        <f t="shared" si="10"/>
        <v>0.23574053982509463</v>
      </c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1"/>
        <v>2473.1913622871161</v>
      </c>
      <c r="AH76" s="17">
        <v>2027.001910347414</v>
      </c>
      <c r="AI76" s="15">
        <f>'Global Only'!AI76</f>
        <v>4.5636000000000001</v>
      </c>
      <c r="AJ76" s="17">
        <f t="shared" si="12"/>
        <v>1.9923465454633851</v>
      </c>
      <c r="AK76" s="15">
        <f t="shared" si="13"/>
        <v>0.23574053982509463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>'Global Only'!L77</f>
        <v>15204.577499999999</v>
      </c>
      <c r="M77" s="15"/>
      <c r="N77" s="15"/>
      <c r="O77" s="15"/>
      <c r="P77" s="15">
        <f t="shared" si="7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8"/>
        <v>26.828376852115351</v>
      </c>
      <c r="W77" s="15">
        <v>4.1021799999999997</v>
      </c>
      <c r="X77" s="15"/>
      <c r="Y77" s="15">
        <f t="shared" si="9"/>
        <v>0.15290451683350917</v>
      </c>
      <c r="Z77" s="15"/>
      <c r="AA77" s="16">
        <f t="shared" si="10"/>
        <v>0.15290451683350917</v>
      </c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1"/>
        <v>1604.14551764365</v>
      </c>
      <c r="AH77" s="17">
        <v>1368.6647859803263</v>
      </c>
      <c r="AI77" s="15">
        <f>'Global Only'!AI77</f>
        <v>4.3414000000000001</v>
      </c>
      <c r="AJ77" s="17">
        <f t="shared" si="12"/>
        <v>2.4858922369609067</v>
      </c>
      <c r="AK77" s="15">
        <f t="shared" si="13"/>
        <v>0.15290451683350917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>'Global Only'!L78</f>
        <v>11482.563099999999</v>
      </c>
      <c r="M78" s="15"/>
      <c r="N78" s="15"/>
      <c r="O78" s="15"/>
      <c r="P78" s="15">
        <f t="shared" si="7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8"/>
        <v>3.681841251474721</v>
      </c>
      <c r="W78" s="15">
        <v>3.16113</v>
      </c>
      <c r="X78" s="15"/>
      <c r="Y78" s="15">
        <f t="shared" si="9"/>
        <v>0.85857313884292108</v>
      </c>
      <c r="Z78" s="15"/>
      <c r="AA78" s="16">
        <f t="shared" si="10"/>
        <v>0.85857313884292108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1"/>
        <v>6802.4479674829427</v>
      </c>
      <c r="AH78" s="17">
        <v>7531.6636412264916</v>
      </c>
      <c r="AI78" s="15">
        <f>'Global Only'!AI78</f>
        <v>28.952999999999999</v>
      </c>
      <c r="AJ78" s="17">
        <f t="shared" si="12"/>
        <v>0.35660361748289937</v>
      </c>
      <c r="AK78" s="15">
        <f t="shared" si="13"/>
        <v>0.85857313884292108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>'Global Only'!L79</f>
        <v>11482.563099999999</v>
      </c>
      <c r="M79" s="15"/>
      <c r="N79" s="15"/>
      <c r="O79" s="15"/>
      <c r="P79" s="15">
        <f t="shared" si="7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8"/>
        <v>4.0909083399290154</v>
      </c>
      <c r="W79" s="15">
        <v>3.3769800000000001</v>
      </c>
      <c r="X79" s="15"/>
      <c r="Y79" s="15">
        <f t="shared" si="9"/>
        <v>0.82548415153652566</v>
      </c>
      <c r="Z79" s="15"/>
      <c r="AA79" s="16">
        <f t="shared" si="10"/>
        <v>0.82548415153652566</v>
      </c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11"/>
        <v>6540.2849620670013</v>
      </c>
      <c r="AH79" s="17">
        <v>6778.5409943898112</v>
      </c>
      <c r="AI79" s="15">
        <f>'Global Only'!AI79</f>
        <v>14.425000000000001</v>
      </c>
      <c r="AJ79" s="17">
        <f t="shared" si="12"/>
        <v>0.53253966841474543</v>
      </c>
      <c r="AK79" s="15">
        <f t="shared" si="13"/>
        <v>0.82548415153652566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>'Global Only'!L80</f>
        <v>11482.563099999999</v>
      </c>
      <c r="M80" s="15"/>
      <c r="N80" s="15"/>
      <c r="O80" s="15"/>
      <c r="P80" s="15">
        <f t="shared" si="7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8"/>
        <v>4.8405361429467515</v>
      </c>
      <c r="W80" s="15">
        <v>3.7073499999999999</v>
      </c>
      <c r="X80" s="15"/>
      <c r="Y80" s="15">
        <f t="shared" si="9"/>
        <v>0.76589656404116691</v>
      </c>
      <c r="Z80" s="15"/>
      <c r="AA80" s="16">
        <f t="shared" si="10"/>
        <v>0.76589656404116691</v>
      </c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1"/>
        <v>6068.1743810263642</v>
      </c>
      <c r="AH80" s="17">
        <v>5728.7848014329038</v>
      </c>
      <c r="AI80" s="15">
        <f>'Global Only'!AI80</f>
        <v>8.2118000000000002</v>
      </c>
      <c r="AJ80" s="17">
        <f t="shared" si="12"/>
        <v>0.76776365954373815</v>
      </c>
      <c r="AK80" s="15">
        <f t="shared" si="13"/>
        <v>0.76589656404116691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>'Global Only'!L81</f>
        <v>11482.563099999999</v>
      </c>
      <c r="M81" s="15"/>
      <c r="N81" s="15"/>
      <c r="O81" s="15"/>
      <c r="P81" s="15">
        <f t="shared" si="7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8"/>
        <v>6.0182332307823714</v>
      </c>
      <c r="W81" s="15">
        <v>4.0465099999999996</v>
      </c>
      <c r="X81" s="15"/>
      <c r="Y81" s="15">
        <f t="shared" si="9"/>
        <v>0.67237507169092425</v>
      </c>
      <c r="Z81" s="15"/>
      <c r="AA81" s="16">
        <f t="shared" si="10"/>
        <v>0.67237507169092425</v>
      </c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1"/>
        <v>5327.2065394150623</v>
      </c>
      <c r="AH81" s="17">
        <v>4607.7293489828817</v>
      </c>
      <c r="AI81" s="15">
        <f>'Global Only'!AI81</f>
        <v>5.9137000000000004</v>
      </c>
      <c r="AJ81" s="17">
        <f t="shared" si="12"/>
        <v>1.0087995100233584</v>
      </c>
      <c r="AK81" s="15">
        <f t="shared" si="13"/>
        <v>0.67237507169092425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>'Global Only'!L82</f>
        <v>11482.563099999999</v>
      </c>
      <c r="M82" s="15"/>
      <c r="N82" s="15"/>
      <c r="O82" s="15"/>
      <c r="P82" s="15">
        <f t="shared" si="7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8"/>
        <v>8.362804083987287</v>
      </c>
      <c r="W82" s="15">
        <v>4.0241699999999998</v>
      </c>
      <c r="X82" s="15"/>
      <c r="Y82" s="15">
        <f t="shared" si="9"/>
        <v>0.48119864576348209</v>
      </c>
      <c r="Z82" s="15"/>
      <c r="AA82" s="16">
        <f t="shared" si="10"/>
        <v>0.48119864576348209</v>
      </c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1"/>
        <v>3812.5217313934745</v>
      </c>
      <c r="AH82" s="17">
        <v>3315.9200679586502</v>
      </c>
      <c r="AI82" s="15">
        <f>'Global Only'!AI82</f>
        <v>4.7247000000000003</v>
      </c>
      <c r="AJ82" s="17">
        <f t="shared" si="12"/>
        <v>1.3304202374950791</v>
      </c>
      <c r="AK82" s="15">
        <f t="shared" si="13"/>
        <v>0.48119864576348209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>'Global Only'!L83</f>
        <v>11482.563099999999</v>
      </c>
      <c r="M83" s="15"/>
      <c r="N83" s="15"/>
      <c r="O83" s="15"/>
      <c r="P83" s="15">
        <f t="shared" si="7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8"/>
        <v>11.661542066942829</v>
      </c>
      <c r="W83" s="15">
        <v>3.8056299999999998</v>
      </c>
      <c r="X83" s="15"/>
      <c r="Y83" s="15">
        <f t="shared" si="9"/>
        <v>0.32634020253529622</v>
      </c>
      <c r="Z83" s="15"/>
      <c r="AA83" s="16">
        <f t="shared" si="10"/>
        <v>0.32634020253529622</v>
      </c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1"/>
        <v>2585.5831576980399</v>
      </c>
      <c r="AH83" s="17">
        <v>2377.9350730215865</v>
      </c>
      <c r="AI83" s="15">
        <f>'Global Only'!AI83</f>
        <v>4.2129000000000003</v>
      </c>
      <c r="AJ83" s="17">
        <f t="shared" si="12"/>
        <v>1.6637475017171801</v>
      </c>
      <c r="AK83" s="15">
        <f t="shared" si="13"/>
        <v>0.32634020253529622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>'Global Only'!L84</f>
        <v>11482.563099999999</v>
      </c>
      <c r="M84" s="15"/>
      <c r="N84" s="15"/>
      <c r="O84" s="15"/>
      <c r="P84" s="15">
        <f t="shared" si="7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8"/>
        <v>15.630784471990504</v>
      </c>
      <c r="W84" s="15">
        <v>3.6501399999999999</v>
      </c>
      <c r="X84" s="15"/>
      <c r="Y84" s="15">
        <f t="shared" si="9"/>
        <v>0.23352250851778092</v>
      </c>
      <c r="Z84" s="15"/>
      <c r="AA84" s="16">
        <f t="shared" si="10"/>
        <v>0.23352250851778092</v>
      </c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1"/>
        <v>1850.1914881347375</v>
      </c>
      <c r="AH84" s="17">
        <v>1774.0881742814197</v>
      </c>
      <c r="AI84" s="15">
        <f>'Global Only'!AI84</f>
        <v>3.9540000000000002</v>
      </c>
      <c r="AJ84" s="17">
        <f t="shared" si="12"/>
        <v>1.9882548700869582</v>
      </c>
      <c r="AK84" s="15">
        <f t="shared" si="13"/>
        <v>0.23352250851778092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>'Global Only'!L85</f>
        <v>11482.563099999999</v>
      </c>
      <c r="M85" s="15"/>
      <c r="N85" s="15"/>
      <c r="O85" s="15"/>
      <c r="P85" s="15">
        <f t="shared" si="7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8"/>
        <v>22.984500980559634</v>
      </c>
      <c r="W85" s="15">
        <v>3.5007700000000002</v>
      </c>
      <c r="X85" s="15"/>
      <c r="Y85" s="15">
        <f t="shared" si="9"/>
        <v>0.15231002852578626</v>
      </c>
      <c r="Z85" s="15"/>
      <c r="AA85" s="16">
        <f t="shared" si="10"/>
        <v>0.15231002852578626</v>
      </c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1"/>
        <v>1206.7475641839969</v>
      </c>
      <c r="AH85" s="17">
        <v>1206.4821381136119</v>
      </c>
      <c r="AI85" s="15">
        <f>'Global Only'!AI85</f>
        <v>3.7343999999999999</v>
      </c>
      <c r="AJ85" s="17">
        <f t="shared" si="12"/>
        <v>2.4808877941476348</v>
      </c>
      <c r="AK85" s="15">
        <f t="shared" si="13"/>
        <v>0.15231002852578626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>'Global Only'!L86</f>
        <v>8311.0958999999984</v>
      </c>
      <c r="M86" s="15"/>
      <c r="N86" s="15"/>
      <c r="O86" s="15"/>
      <c r="P86" s="15">
        <f t="shared" si="7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8"/>
        <v>3.6092611684523135</v>
      </c>
      <c r="W86" s="15">
        <v>2.4975100000000001</v>
      </c>
      <c r="X86" s="15"/>
      <c r="Y86" s="15">
        <f t="shared" si="9"/>
        <v>0.69197264576754269</v>
      </c>
      <c r="Z86" s="15"/>
      <c r="AA86" s="16">
        <f t="shared" si="10"/>
        <v>0.69197264576754269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1"/>
        <v>3968.2252032140354</v>
      </c>
      <c r="AH86" s="17">
        <v>5561.0540943776496</v>
      </c>
      <c r="AI86" s="15">
        <f>'Global Only'!AI86</f>
        <v>28.628</v>
      </c>
      <c r="AJ86" s="17">
        <f t="shared" si="12"/>
        <v>0.35506973027756022</v>
      </c>
      <c r="AK86" s="15">
        <f t="shared" si="13"/>
        <v>0.69197264576754269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>'Global Only'!L87</f>
        <v>8311.0958999999984</v>
      </c>
      <c r="M87" s="15"/>
      <c r="N87" s="15"/>
      <c r="O87" s="15"/>
      <c r="P87" s="15">
        <f t="shared" si="7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8"/>
        <v>3.9474305174373816</v>
      </c>
      <c r="W87" s="15">
        <v>2.6193</v>
      </c>
      <c r="X87" s="15"/>
      <c r="Y87" s="15">
        <f t="shared" si="9"/>
        <v>0.66354556170894019</v>
      </c>
      <c r="Z87" s="15"/>
      <c r="AA87" s="16">
        <f t="shared" si="10"/>
        <v>0.66354556170894019</v>
      </c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1"/>
        <v>3805.205650193835</v>
      </c>
      <c r="AH87" s="17">
        <v>5084.6484845868827</v>
      </c>
      <c r="AI87" s="15">
        <f>'Global Only'!AI87</f>
        <v>14.007</v>
      </c>
      <c r="AJ87" s="17">
        <f t="shared" si="12"/>
        <v>0.53086572074995109</v>
      </c>
      <c r="AK87" s="15">
        <f t="shared" si="13"/>
        <v>0.66354556170894019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>'Global Only'!L88</f>
        <v>8311.0958999999984</v>
      </c>
      <c r="M88" s="15"/>
      <c r="N88" s="15"/>
      <c r="O88" s="15"/>
      <c r="P88" s="15">
        <f t="shared" si="7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8"/>
        <v>4.5257510831742502</v>
      </c>
      <c r="W88" s="15">
        <v>2.7760400000000001</v>
      </c>
      <c r="X88" s="15"/>
      <c r="Y88" s="15">
        <f t="shared" si="9"/>
        <v>0.61338768946456379</v>
      </c>
      <c r="Z88" s="15"/>
      <c r="AA88" s="16">
        <f t="shared" si="10"/>
        <v>0.61338768946456379</v>
      </c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1"/>
        <v>3517.5674986033919</v>
      </c>
      <c r="AH88" s="17">
        <v>4434.9095276407661</v>
      </c>
      <c r="AI88" s="15">
        <f>'Global Only'!AI88</f>
        <v>7.7222999999999997</v>
      </c>
      <c r="AJ88" s="17">
        <f t="shared" si="12"/>
        <v>0.76554724400412177</v>
      </c>
      <c r="AK88" s="15">
        <f t="shared" si="13"/>
        <v>0.61338768946456379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>'Global Only'!L89</f>
        <v>8311.0958999999984</v>
      </c>
      <c r="M89" s="15"/>
      <c r="N89" s="15"/>
      <c r="O89" s="15"/>
      <c r="P89" s="15">
        <f t="shared" si="7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8"/>
        <v>5.3942991480692353</v>
      </c>
      <c r="W89" s="15">
        <v>2.95757</v>
      </c>
      <c r="X89" s="15"/>
      <c r="Y89" s="15">
        <f t="shared" si="9"/>
        <v>0.54827697145023813</v>
      </c>
      <c r="Z89" s="15"/>
      <c r="AA89" s="16">
        <f t="shared" si="10"/>
        <v>0.54827697145023813</v>
      </c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1"/>
        <v>3144.179917744299</v>
      </c>
      <c r="AH89" s="17">
        <v>3720.8349124805318</v>
      </c>
      <c r="AI89" s="15">
        <f>'Global Only'!AI89</f>
        <v>5.3303000000000003</v>
      </c>
      <c r="AJ89" s="17">
        <f t="shared" si="12"/>
        <v>1.0059854218904005</v>
      </c>
      <c r="AK89" s="15">
        <f t="shared" si="13"/>
        <v>0.54827697145023813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>'Global Only'!L90</f>
        <v>8311.0958999999984</v>
      </c>
      <c r="M90" s="15"/>
      <c r="N90" s="15"/>
      <c r="O90" s="15"/>
      <c r="P90" s="15">
        <f t="shared" si="7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8"/>
        <v>7.1361039810195708</v>
      </c>
      <c r="W90" s="15">
        <v>3.0278700000000001</v>
      </c>
      <c r="X90" s="15"/>
      <c r="Y90" s="15">
        <f t="shared" si="9"/>
        <v>0.42430295411241936</v>
      </c>
      <c r="Z90" s="15"/>
      <c r="AA90" s="16">
        <f t="shared" si="10"/>
        <v>0.42430295411241936</v>
      </c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1"/>
        <v>2433.2315541743151</v>
      </c>
      <c r="AH90" s="17">
        <v>2812.640714300846</v>
      </c>
      <c r="AI90" s="15">
        <f>'Global Only'!AI90</f>
        <v>4.0538999999999996</v>
      </c>
      <c r="AJ90" s="17">
        <f t="shared" si="12"/>
        <v>1.3267651915874281</v>
      </c>
      <c r="AK90" s="15">
        <f t="shared" si="13"/>
        <v>0.42430295411241936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>'Global Only'!L91</f>
        <v>8311.0958999999984</v>
      </c>
      <c r="M91" s="15"/>
      <c r="N91" s="15"/>
      <c r="O91" s="15"/>
      <c r="P91" s="15">
        <f t="shared" si="7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8"/>
        <v>9.6540001643770541</v>
      </c>
      <c r="W91" s="15">
        <v>2.9272</v>
      </c>
      <c r="X91" s="15"/>
      <c r="Y91" s="15">
        <f t="shared" si="9"/>
        <v>0.30321109904278565</v>
      </c>
      <c r="Z91" s="15"/>
      <c r="AA91" s="16">
        <f t="shared" si="10"/>
        <v>0.30321109904278565</v>
      </c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1"/>
        <v>1738.8114002414027</v>
      </c>
      <c r="AH91" s="17">
        <v>2079.0652845193049</v>
      </c>
      <c r="AI91" s="15">
        <f>'Global Only'!AI91</f>
        <v>3.5065</v>
      </c>
      <c r="AJ91" s="17">
        <f t="shared" si="12"/>
        <v>1.6592687323600319</v>
      </c>
      <c r="AK91" s="15">
        <f t="shared" si="13"/>
        <v>0.30321109904278565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>'Global Only'!L92</f>
        <v>8311.0958999999984</v>
      </c>
      <c r="M92" s="15"/>
      <c r="N92" s="15"/>
      <c r="O92" s="15"/>
      <c r="P92" s="15">
        <f t="shared" si="7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8"/>
        <v>12.732697879825539</v>
      </c>
      <c r="W92" s="15">
        <v>2.82273</v>
      </c>
      <c r="X92" s="15"/>
      <c r="Y92" s="15">
        <f t="shared" si="9"/>
        <v>0.22169142994215743</v>
      </c>
      <c r="Z92" s="15"/>
      <c r="AA92" s="16">
        <f t="shared" si="10"/>
        <v>0.22169142994215743</v>
      </c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1"/>
        <v>1271.3241267756071</v>
      </c>
      <c r="AH92" s="17">
        <v>1576.3585053174145</v>
      </c>
      <c r="AI92" s="15">
        <f>'Global Only'!AI92</f>
        <v>3.2383999999999999</v>
      </c>
      <c r="AJ92" s="17">
        <f t="shared" si="12"/>
        <v>1.9828733312224964</v>
      </c>
      <c r="AK92" s="15">
        <f t="shared" si="13"/>
        <v>0.22169142994215743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>'Global Only'!L93</f>
        <v>8311.0958999999984</v>
      </c>
      <c r="M93" s="15"/>
      <c r="N93" s="15"/>
      <c r="O93" s="15"/>
      <c r="P93" s="15">
        <f t="shared" si="7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8"/>
        <v>18.481998261263946</v>
      </c>
      <c r="W93" s="15">
        <v>2.7109200000000002</v>
      </c>
      <c r="X93" s="15"/>
      <c r="Y93" s="15">
        <f t="shared" si="9"/>
        <v>0.14667894465079373</v>
      </c>
      <c r="Z93" s="15"/>
      <c r="AA93" s="16">
        <f t="shared" si="10"/>
        <v>0.14667894465079373</v>
      </c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1"/>
        <v>841.15331509744169</v>
      </c>
      <c r="AH93" s="17">
        <v>1085.9916939050379</v>
      </c>
      <c r="AI93" s="15">
        <f>'Global Only'!AI93</f>
        <v>3.0190999999999999</v>
      </c>
      <c r="AJ93" s="17">
        <f t="shared" si="12"/>
        <v>2.474205189353448</v>
      </c>
      <c r="AK93" s="15">
        <f t="shared" si="13"/>
        <v>0.14667894465079373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>'Global Only'!L94</f>
        <v>6137.1324000000004</v>
      </c>
      <c r="M94" s="15"/>
      <c r="N94" s="15"/>
      <c r="O94" s="15"/>
      <c r="P94" s="15">
        <f t="shared" si="7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8"/>
        <v>3.5475365887672572</v>
      </c>
      <c r="W94" s="15">
        <v>2.0937800000000002</v>
      </c>
      <c r="X94" s="15"/>
      <c r="Y94" s="15">
        <f t="shared" si="9"/>
        <v>0.59020673856603501</v>
      </c>
      <c r="Z94" s="15"/>
      <c r="AA94" s="16">
        <f t="shared" si="10"/>
        <v>0.59020673856603501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1"/>
        <v>2499.3020595868411</v>
      </c>
      <c r="AH94" s="17">
        <v>4177.8779091184097</v>
      </c>
      <c r="AI94" s="15">
        <f>'Global Only'!AI94</f>
        <v>28.396999999999998</v>
      </c>
      <c r="AJ94" s="17">
        <f t="shared" si="12"/>
        <v>0.35344936925187298</v>
      </c>
      <c r="AK94" s="15">
        <f t="shared" si="13"/>
        <v>0.59020673856603501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>'Global Only'!L95</f>
        <v>6137.1324000000004</v>
      </c>
      <c r="M95" s="15"/>
      <c r="N95" s="15"/>
      <c r="O95" s="15"/>
      <c r="P95" s="15">
        <f t="shared" si="7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8"/>
        <v>3.82942328227763</v>
      </c>
      <c r="W95" s="15">
        <v>2.1515900000000001</v>
      </c>
      <c r="X95" s="15"/>
      <c r="Y95" s="15">
        <f t="shared" si="9"/>
        <v>0.56185744990830488</v>
      </c>
      <c r="Z95" s="15"/>
      <c r="AA95" s="16">
        <f t="shared" si="10"/>
        <v>0.56185744990830488</v>
      </c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1"/>
        <v>2379.2535564094087</v>
      </c>
      <c r="AH95" s="17">
        <v>3870.3412115844235</v>
      </c>
      <c r="AI95" s="15">
        <f>'Global Only'!AI95</f>
        <v>13.670999999999999</v>
      </c>
      <c r="AJ95" s="17">
        <f t="shared" si="12"/>
        <v>0.52925691993582002</v>
      </c>
      <c r="AK95" s="15">
        <f t="shared" si="13"/>
        <v>0.56185744990830488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>'Global Only'!L96</f>
        <v>6137.1324000000004</v>
      </c>
      <c r="M96" s="15"/>
      <c r="N96" s="15"/>
      <c r="O96" s="15"/>
      <c r="P96" s="15">
        <f t="shared" si="7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8"/>
        <v>4.2817257841060421</v>
      </c>
      <c r="W96" s="15">
        <v>2.13585</v>
      </c>
      <c r="X96" s="15"/>
      <c r="Y96" s="15">
        <f t="shared" si="9"/>
        <v>0.4988292356153145</v>
      </c>
      <c r="Z96" s="15"/>
      <c r="AA96" s="16">
        <f t="shared" si="10"/>
        <v>0.4988292356153145</v>
      </c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1"/>
        <v>2112.3529341337667</v>
      </c>
      <c r="AH96" s="17">
        <v>3461.4955495321219</v>
      </c>
      <c r="AI96" s="15">
        <f>'Global Only'!AI96</f>
        <v>7.3495999999999997</v>
      </c>
      <c r="AJ96" s="17">
        <f t="shared" si="12"/>
        <v>0.76326891115238427</v>
      </c>
      <c r="AK96" s="15">
        <f t="shared" si="13"/>
        <v>0.4988292356153145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>'Global Only'!L97</f>
        <v>6137.1324000000004</v>
      </c>
      <c r="M97" s="15"/>
      <c r="N97" s="15"/>
      <c r="O97" s="15"/>
      <c r="P97" s="15">
        <f t="shared" si="7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8"/>
        <v>4.9233803640768867</v>
      </c>
      <c r="W97" s="15">
        <v>2.0885199999999999</v>
      </c>
      <c r="X97" s="15"/>
      <c r="Y97" s="15">
        <f t="shared" si="9"/>
        <v>0.42420447854054616</v>
      </c>
      <c r="Z97" s="15"/>
      <c r="AA97" s="16">
        <f t="shared" si="10"/>
        <v>0.42420447854054616</v>
      </c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1"/>
        <v>1796.3453441386407</v>
      </c>
      <c r="AH97" s="17">
        <v>3010.3655720248034</v>
      </c>
      <c r="AI97" s="15">
        <f>'Global Only'!AI97</f>
        <v>4.8936999999999999</v>
      </c>
      <c r="AJ97" s="17">
        <f t="shared" si="12"/>
        <v>1.0030279233575812</v>
      </c>
      <c r="AK97" s="15">
        <f t="shared" si="13"/>
        <v>0.42420447854054616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>'Global Only'!L98</f>
        <v>6137.1324000000004</v>
      </c>
      <c r="M98" s="15"/>
      <c r="N98" s="15"/>
      <c r="O98" s="15"/>
      <c r="P98" s="15">
        <f t="shared" si="7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8"/>
        <v>6.1922580536058973</v>
      </c>
      <c r="W98" s="15">
        <v>2.0143599999999999</v>
      </c>
      <c r="X98" s="15"/>
      <c r="Y98" s="15">
        <f t="shared" si="9"/>
        <v>0.32530298036061189</v>
      </c>
      <c r="Z98" s="15"/>
      <c r="AA98" s="16">
        <f t="shared" si="10"/>
        <v>0.32530298036061189</v>
      </c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1"/>
        <v>1377.5349478054957</v>
      </c>
      <c r="AH98" s="17">
        <v>2393.5008227522562</v>
      </c>
      <c r="AI98" s="15">
        <f>'Global Only'!AI98</f>
        <v>3.5379999999999998</v>
      </c>
      <c r="AJ98" s="17">
        <f t="shared" si="12"/>
        <v>1.3229566359060365</v>
      </c>
      <c r="AK98" s="15">
        <f t="shared" si="13"/>
        <v>0.32530298036061189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>'Global Only'!L99</f>
        <v>6137.1324000000004</v>
      </c>
      <c r="M99" s="15"/>
      <c r="N99" s="15"/>
      <c r="O99" s="15"/>
      <c r="P99" s="15">
        <f t="shared" si="7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8"/>
        <v>8.0691858549511917</v>
      </c>
      <c r="W99" s="15">
        <v>1.9722</v>
      </c>
      <c r="X99" s="15"/>
      <c r="Y99" s="15">
        <f t="shared" si="9"/>
        <v>0.24441127462566412</v>
      </c>
      <c r="Z99" s="15"/>
      <c r="AA99" s="16">
        <f t="shared" si="10"/>
        <v>0.24441127462566412</v>
      </c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1"/>
        <v>1034.9892031770182</v>
      </c>
      <c r="AH99" s="17">
        <v>1836.7620987321591</v>
      </c>
      <c r="AI99" s="15">
        <f>'Global Only'!AI99</f>
        <v>2.948</v>
      </c>
      <c r="AJ99" s="17">
        <f t="shared" si="12"/>
        <v>1.6544403734921072</v>
      </c>
      <c r="AK99" s="15">
        <f t="shared" si="13"/>
        <v>0.24441127462566412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>'Global Only'!L100</f>
        <v>6137.1324000000004</v>
      </c>
      <c r="M100" s="31"/>
      <c r="N100" s="31"/>
      <c r="O100" s="31"/>
      <c r="P100" s="31">
        <f t="shared" si="7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8"/>
        <v>10.414484593793627</v>
      </c>
      <c r="W100" s="31">
        <v>1.9519299999999999</v>
      </c>
      <c r="X100" s="31"/>
      <c r="Y100" s="31">
        <f t="shared" si="9"/>
        <v>0.18742454150474488</v>
      </c>
      <c r="Z100" s="31"/>
      <c r="AA100" s="33">
        <f t="shared" si="10"/>
        <v>0.18742454150474488</v>
      </c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1"/>
        <v>793.67196609450116</v>
      </c>
      <c r="AH100" s="34">
        <v>1423.1308916460907</v>
      </c>
      <c r="AI100" s="31">
        <f>'Global Only'!AI100</f>
        <v>2.6640999999999999</v>
      </c>
      <c r="AJ100" s="34">
        <f t="shared" si="12"/>
        <v>1.9771682584463406</v>
      </c>
      <c r="AK100" s="31">
        <f t="shared" si="13"/>
        <v>0.18742454150474488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>'Global Only'!L101</f>
        <v>6137.1324000000004</v>
      </c>
      <c r="M101" s="42"/>
      <c r="N101" s="42"/>
      <c r="O101" s="42"/>
      <c r="P101" s="42">
        <f t="shared" si="7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8"/>
        <v>14.852293050697826</v>
      </c>
      <c r="W101" s="42">
        <v>1.93025</v>
      </c>
      <c r="X101" s="42"/>
      <c r="Y101" s="42">
        <f t="shared" si="9"/>
        <v>0.12996309683704418</v>
      </c>
      <c r="Z101" s="42"/>
      <c r="AA101" s="41">
        <f t="shared" si="10"/>
        <v>0.12996309683704418</v>
      </c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1"/>
        <v>550.34450535804342</v>
      </c>
      <c r="AH101" s="43">
        <v>997.90481479246318</v>
      </c>
      <c r="AI101" s="42">
        <f>'Global Only'!AI101</f>
        <v>2.4401999999999999</v>
      </c>
      <c r="AJ101" s="43">
        <f t="shared" si="12"/>
        <v>2.4670846063065928</v>
      </c>
      <c r="AK101" s="42">
        <f t="shared" si="13"/>
        <v>0.12996309683704418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>'Global Only'!L102</f>
        <v>15817.275000000001</v>
      </c>
      <c r="M102" s="36"/>
      <c r="N102" s="36"/>
      <c r="O102" s="36"/>
      <c r="P102" s="36">
        <f t="shared" si="7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3.6590699999999998</v>
      </c>
      <c r="X102" s="36"/>
      <c r="Y102" s="36">
        <f t="shared" si="9"/>
        <v>0.96804214293957991</v>
      </c>
      <c r="Z102" s="36"/>
      <c r="AA102" s="38">
        <f t="shared" si="10"/>
        <v>0.96804214293957991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1"/>
        <v>7043.4228417737368</v>
      </c>
      <c r="AH102" s="39">
        <v>6737.2255644762408</v>
      </c>
      <c r="AI102" s="36">
        <f>'Global Only'!AI102</f>
        <v>40.262</v>
      </c>
      <c r="AJ102" s="39">
        <f t="shared" si="12"/>
        <v>0.30640126535457296</v>
      </c>
      <c r="AK102" s="36">
        <f t="shared" si="13"/>
        <v>0.96804214293957991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>'Global Only'!L103</f>
        <v>15817.275000000001</v>
      </c>
      <c r="M103" s="15"/>
      <c r="N103" s="15"/>
      <c r="O103" s="15"/>
      <c r="P103" s="15">
        <f t="shared" si="7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8"/>
        <v>4.2569429804774623</v>
      </c>
      <c r="W103" s="15">
        <v>3.8207399999999998</v>
      </c>
      <c r="X103" s="15"/>
      <c r="Y103" s="15">
        <f t="shared" si="9"/>
        <v>0.89753140164716572</v>
      </c>
      <c r="Z103" s="15"/>
      <c r="AA103" s="16">
        <f t="shared" si="10"/>
        <v>0.89753140164716572</v>
      </c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1"/>
        <v>6530.3904604547897</v>
      </c>
      <c r="AH103" s="17">
        <v>5982.1831926777968</v>
      </c>
      <c r="AI103" s="15">
        <f>'Global Only'!AI103</f>
        <v>17.076000000000001</v>
      </c>
      <c r="AJ103" s="17">
        <f t="shared" si="12"/>
        <v>0.4992934208957388</v>
      </c>
      <c r="AK103" s="15">
        <f t="shared" si="13"/>
        <v>0.89753140164716572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>'Global Only'!L104</f>
        <v>15817.275</v>
      </c>
      <c r="M104" s="15"/>
      <c r="N104" s="15"/>
      <c r="O104" s="15"/>
      <c r="P104" s="15">
        <f t="shared" si="7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8"/>
        <v>5.1769722490471324</v>
      </c>
      <c r="W104" s="15">
        <v>4.1588000000000003</v>
      </c>
      <c r="X104" s="15"/>
      <c r="Y104" s="15">
        <f t="shared" si="9"/>
        <v>0.80332669366065546</v>
      </c>
      <c r="Z104" s="15"/>
      <c r="AA104" s="16">
        <f t="shared" si="10"/>
        <v>0.80332669366065546</v>
      </c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1"/>
        <v>5844.9620450968177</v>
      </c>
      <c r="AH104" s="17">
        <v>4919.0552942769218</v>
      </c>
      <c r="AI104" s="15">
        <f>'Global Only'!AI104</f>
        <v>9.3122000000000007</v>
      </c>
      <c r="AJ104" s="17">
        <f t="shared" si="12"/>
        <v>0.74561008068226797</v>
      </c>
      <c r="AK104" s="15">
        <f t="shared" si="13"/>
        <v>0.80332669366065546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>'Global Only'!L105</f>
        <v>15817.275</v>
      </c>
      <c r="M105" s="15"/>
      <c r="N105" s="15"/>
      <c r="O105" s="15"/>
      <c r="P105" s="15">
        <f t="shared" si="7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8"/>
        <v>6.6536164518933667</v>
      </c>
      <c r="W105" s="15">
        <v>4.4974699999999999</v>
      </c>
      <c r="X105" s="15"/>
      <c r="Y105" s="15">
        <f t="shared" si="9"/>
        <v>0.67594368153279871</v>
      </c>
      <c r="Z105" s="15"/>
      <c r="AA105" s="16">
        <f t="shared" si="10"/>
        <v>0.67594368153279871</v>
      </c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1"/>
        <v>4918.1300638456805</v>
      </c>
      <c r="AH105" s="17">
        <v>3827.3641010301089</v>
      </c>
      <c r="AI105" s="15">
        <f>'Global Only'!AI105</f>
        <v>6.7670000000000003</v>
      </c>
      <c r="AJ105" s="17">
        <f t="shared" si="12"/>
        <v>0.99158692811675564</v>
      </c>
      <c r="AK105" s="15">
        <f t="shared" si="13"/>
        <v>0.67594368153279871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>'Global Only'!L106</f>
        <v>15817.275</v>
      </c>
      <c r="M106" s="15"/>
      <c r="N106" s="15"/>
      <c r="O106" s="15"/>
      <c r="P106" s="15">
        <f t="shared" si="7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8"/>
        <v>9.5498063425264483</v>
      </c>
      <c r="W106" s="15">
        <v>4.5846200000000001</v>
      </c>
      <c r="X106" s="15"/>
      <c r="Y106" s="15">
        <f t="shared" si="9"/>
        <v>0.48007465654922549</v>
      </c>
      <c r="Z106" s="15"/>
      <c r="AA106" s="16">
        <f t="shared" si="10"/>
        <v>0.48007465654922549</v>
      </c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1"/>
        <v>3492.9975170580392</v>
      </c>
      <c r="AH106" s="17">
        <v>2666.6313259775375</v>
      </c>
      <c r="AI106" s="15">
        <f>'Global Only'!AI106</f>
        <v>5.5064000000000002</v>
      </c>
      <c r="AJ106" s="17">
        <f t="shared" si="12"/>
        <v>1.3169321620191612</v>
      </c>
      <c r="AK106" s="15">
        <f t="shared" si="13"/>
        <v>0.48007465654922549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>'Global Only'!L107</f>
        <v>15817.275</v>
      </c>
      <c r="M107" s="15"/>
      <c r="N107" s="15"/>
      <c r="O107" s="15"/>
      <c r="P107" s="15">
        <f t="shared" si="7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8"/>
        <v>13.552456822799824</v>
      </c>
      <c r="W107" s="15">
        <v>4.3812800000000003</v>
      </c>
      <c r="X107" s="15"/>
      <c r="Y107" s="15">
        <f t="shared" si="9"/>
        <v>0.3232830812365477</v>
      </c>
      <c r="Z107" s="15"/>
      <c r="AA107" s="16">
        <f t="shared" si="10"/>
        <v>0.3232830812365477</v>
      </c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1"/>
        <v>2352.1904034322747</v>
      </c>
      <c r="AH107" s="17">
        <v>1879.0550734061646</v>
      </c>
      <c r="AI107" s="15">
        <f>'Global Only'!AI107</f>
        <v>4.9631999999999996</v>
      </c>
      <c r="AJ107" s="17">
        <f t="shared" si="12"/>
        <v>1.6524492415471386</v>
      </c>
      <c r="AK107" s="15">
        <f t="shared" si="13"/>
        <v>0.3232830812365477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>'Global Only'!L108</f>
        <v>15817.275</v>
      </c>
      <c r="M108" s="15"/>
      <c r="N108" s="15"/>
      <c r="O108" s="15"/>
      <c r="P108" s="15">
        <f t="shared" si="7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8"/>
        <v>18.329733510740407</v>
      </c>
      <c r="W108" s="15">
        <v>4.1862599999999999</v>
      </c>
      <c r="X108" s="15"/>
      <c r="Y108" s="15">
        <f t="shared" si="9"/>
        <v>0.22838629909960437</v>
      </c>
      <c r="Z108" s="15"/>
      <c r="AA108" s="16">
        <f t="shared" si="10"/>
        <v>0.22838629909960437</v>
      </c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1"/>
        <v>1661.7264935817195</v>
      </c>
      <c r="AH108" s="17">
        <v>1389.3171297377658</v>
      </c>
      <c r="AI108" s="15">
        <f>'Global Only'!AI108</f>
        <v>4.6836000000000002</v>
      </c>
      <c r="AJ108" s="17">
        <f t="shared" si="12"/>
        <v>1.9782818968855838</v>
      </c>
      <c r="AK108" s="15">
        <f t="shared" si="13"/>
        <v>0.22838629909960437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>'Global Only'!L109</f>
        <v>15817.275</v>
      </c>
      <c r="M109" s="15"/>
      <c r="N109" s="15"/>
      <c r="O109" s="15"/>
      <c r="P109" s="15">
        <f t="shared" si="7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8"/>
        <v>27.149586506439533</v>
      </c>
      <c r="W109" s="15">
        <v>4.0026200000000003</v>
      </c>
      <c r="X109" s="15"/>
      <c r="Y109" s="15">
        <f t="shared" si="9"/>
        <v>0.14742839634226584</v>
      </c>
      <c r="Z109" s="15"/>
      <c r="AA109" s="16">
        <f t="shared" si="10"/>
        <v>0.14742839634226584</v>
      </c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1"/>
        <v>1072.681124367122</v>
      </c>
      <c r="AH109" s="17">
        <v>937.98160586938718</v>
      </c>
      <c r="AI109" s="15">
        <f>'Global Only'!AI109</f>
        <v>4.4425999999999997</v>
      </c>
      <c r="AJ109" s="17">
        <f t="shared" si="12"/>
        <v>2.4720827472172462</v>
      </c>
      <c r="AK109" s="15">
        <f t="shared" si="13"/>
        <v>0.14742839634226584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>'Global Only'!L110</f>
        <v>12087.55</v>
      </c>
      <c r="M110" s="15"/>
      <c r="N110" s="15"/>
      <c r="O110" s="15"/>
      <c r="P110" s="15">
        <f t="shared" si="7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8"/>
        <v>3.766175492855834</v>
      </c>
      <c r="W110" s="15">
        <v>3.6387999999999998</v>
      </c>
      <c r="X110" s="15"/>
      <c r="Y110" s="15">
        <f t="shared" si="9"/>
        <v>0.96617908722058854</v>
      </c>
      <c r="Z110" s="15"/>
      <c r="AA110" s="16">
        <f t="shared" si="10"/>
        <v>0.96617908722058854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1"/>
        <v>5372.2194918372825</v>
      </c>
      <c r="AH110" s="17">
        <v>5167.2991704491842</v>
      </c>
      <c r="AI110" s="15">
        <f>'Global Only'!AI110</f>
        <v>39.533999999999999</v>
      </c>
      <c r="AJ110" s="17">
        <f t="shared" si="12"/>
        <v>0.3086490165724961</v>
      </c>
      <c r="AK110" s="15">
        <f t="shared" si="13"/>
        <v>0.96617908722058854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>'Global Only'!L111</f>
        <v>12087.55</v>
      </c>
      <c r="M111" s="15"/>
      <c r="N111" s="15"/>
      <c r="O111" s="15"/>
      <c r="P111" s="15">
        <f t="shared" si="7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8"/>
        <v>4.2404450765639563</v>
      </c>
      <c r="W111" s="15">
        <v>3.7591100000000002</v>
      </c>
      <c r="X111" s="15"/>
      <c r="Y111" s="15">
        <f t="shared" si="9"/>
        <v>0.88648949158092072</v>
      </c>
      <c r="Z111" s="15"/>
      <c r="AA111" s="16">
        <f t="shared" si="10"/>
        <v>0.88648949158092072</v>
      </c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1"/>
        <v>4929.1235848211209</v>
      </c>
      <c r="AH111" s="17">
        <v>4589.3662454341384</v>
      </c>
      <c r="AI111" s="15">
        <f>'Global Only'!AI111</f>
        <v>16.896000000000001</v>
      </c>
      <c r="AJ111" s="17">
        <f t="shared" si="12"/>
        <v>0.50097236632687714</v>
      </c>
      <c r="AK111" s="15">
        <f t="shared" si="13"/>
        <v>0.88648949158092072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>'Global Only'!L112</f>
        <v>12087.550000000001</v>
      </c>
      <c r="M112" s="15"/>
      <c r="N112" s="15"/>
      <c r="O112" s="15"/>
      <c r="P112" s="15">
        <f t="shared" si="7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8"/>
        <v>5.1542478304936079</v>
      </c>
      <c r="W112" s="15">
        <v>4.0532399999999997</v>
      </c>
      <c r="X112" s="15"/>
      <c r="Y112" s="15">
        <f t="shared" si="9"/>
        <v>0.78638826329230516</v>
      </c>
      <c r="Z112" s="15"/>
      <c r="AA112" s="16">
        <f t="shared" si="10"/>
        <v>0.78638826329230516</v>
      </c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1"/>
        <v>4372.5334279010958</v>
      </c>
      <c r="AH112" s="17">
        <v>3775.7120223953771</v>
      </c>
      <c r="AI112" s="15">
        <f>'Global Only'!AI112</f>
        <v>9.2317999999999998</v>
      </c>
      <c r="AJ112" s="17">
        <f t="shared" si="12"/>
        <v>0.7472044587554012</v>
      </c>
      <c r="AK112" s="15">
        <f t="shared" si="13"/>
        <v>0.78638826329230516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>'Global Only'!L113</f>
        <v>12087.550000000001</v>
      </c>
      <c r="M113" s="15"/>
      <c r="N113" s="15"/>
      <c r="O113" s="15"/>
      <c r="P113" s="15">
        <f t="shared" si="7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8"/>
        <v>6.6204830242399071</v>
      </c>
      <c r="W113" s="15">
        <v>4.4211799999999997</v>
      </c>
      <c r="X113" s="15"/>
      <c r="Y113" s="15">
        <f t="shared" si="9"/>
        <v>0.66780323789253915</v>
      </c>
      <c r="Z113" s="15"/>
      <c r="AA113" s="16">
        <f t="shared" si="10"/>
        <v>0.66780323789253915</v>
      </c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1"/>
        <v>3713.1683129664634</v>
      </c>
      <c r="AH113" s="17">
        <v>2939.506895304562</v>
      </c>
      <c r="AI113" s="15">
        <f>'Global Only'!AI113</f>
        <v>6.7108999999999996</v>
      </c>
      <c r="AJ113" s="17">
        <f t="shared" si="12"/>
        <v>0.99324057911440033</v>
      </c>
      <c r="AK113" s="15">
        <f t="shared" si="13"/>
        <v>0.66780323789253915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>'Global Only'!L114</f>
        <v>12087.550000000001</v>
      </c>
      <c r="M114" s="15"/>
      <c r="N114" s="15"/>
      <c r="O114" s="15"/>
      <c r="P114" s="15">
        <f t="shared" si="7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8"/>
        <v>9.4971445566961439</v>
      </c>
      <c r="W114" s="15">
        <v>4.5523100000000003</v>
      </c>
      <c r="X114" s="15"/>
      <c r="Y114" s="15">
        <f t="shared" si="9"/>
        <v>0.47933460134502287</v>
      </c>
      <c r="Z114" s="15"/>
      <c r="AA114" s="16">
        <f t="shared" si="10"/>
        <v>0.47933460134502287</v>
      </c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1"/>
        <v>2665.2312418244946</v>
      </c>
      <c r="AH114" s="17">
        <v>2049.137546956541</v>
      </c>
      <c r="AI114" s="15">
        <f>'Global Only'!AI114</f>
        <v>5.4607999999999999</v>
      </c>
      <c r="AJ114" s="17">
        <f t="shared" si="12"/>
        <v>1.318767964656588</v>
      </c>
      <c r="AK114" s="15">
        <f t="shared" si="13"/>
        <v>0.47933460134502287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>'Global Only'!L115</f>
        <v>12087.550000000001</v>
      </c>
      <c r="M115" s="15"/>
      <c r="N115" s="15"/>
      <c r="O115" s="15"/>
      <c r="P115" s="15">
        <f t="shared" si="7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8"/>
        <v>13.473961230276082</v>
      </c>
      <c r="W115" s="15">
        <v>4.3430400000000002</v>
      </c>
      <c r="X115" s="15"/>
      <c r="Y115" s="15">
        <f t="shared" si="9"/>
        <v>0.32232837290945737</v>
      </c>
      <c r="Z115" s="15"/>
      <c r="AA115" s="16">
        <f t="shared" si="10"/>
        <v>0.32232837290945737</v>
      </c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1"/>
        <v>1792.2337490223877</v>
      </c>
      <c r="AH115" s="17">
        <v>1444.3380953383705</v>
      </c>
      <c r="AI115" s="15">
        <f>'Global Only'!AI115</f>
        <v>4.9218999999999999</v>
      </c>
      <c r="AJ115" s="17">
        <f t="shared" si="12"/>
        <v>1.6545551731873822</v>
      </c>
      <c r="AK115" s="15">
        <f t="shared" si="13"/>
        <v>0.32232837290945737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>'Global Only'!L116</f>
        <v>12087.550000000001</v>
      </c>
      <c r="M116" s="15"/>
      <c r="N116" s="15"/>
      <c r="O116" s="15"/>
      <c r="P116" s="15">
        <f t="shared" si="7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8"/>
        <v>18.220976713181919</v>
      </c>
      <c r="W116" s="15">
        <v>4.1339100000000002</v>
      </c>
      <c r="X116" s="15"/>
      <c r="Y116" s="15">
        <f t="shared" si="9"/>
        <v>0.22687642188847831</v>
      </c>
      <c r="Z116" s="15"/>
      <c r="AA116" s="16">
        <f t="shared" si="10"/>
        <v>0.22687642188847831</v>
      </c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1"/>
        <v>1261.4948429631154</v>
      </c>
      <c r="AH116" s="17">
        <v>1068.0522677975339</v>
      </c>
      <c r="AI116" s="15">
        <f>'Global Only'!AI116</f>
        <v>4.6445999999999996</v>
      </c>
      <c r="AJ116" s="17">
        <f t="shared" si="12"/>
        <v>1.9806679202754305</v>
      </c>
      <c r="AK116" s="15">
        <f t="shared" si="13"/>
        <v>0.22687642188847831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>'Global Only'!L117</f>
        <v>12087.550000000001</v>
      </c>
      <c r="M117" s="15"/>
      <c r="N117" s="15"/>
      <c r="O117" s="15"/>
      <c r="P117" s="15">
        <f t="shared" si="7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8"/>
        <v>26.985391152268885</v>
      </c>
      <c r="W117" s="15">
        <v>3.94055</v>
      </c>
      <c r="X117" s="15"/>
      <c r="Y117" s="15">
        <f t="shared" si="9"/>
        <v>0.14602530597999819</v>
      </c>
      <c r="Z117" s="15"/>
      <c r="AA117" s="16">
        <f t="shared" si="10"/>
        <v>0.14602530597999819</v>
      </c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1"/>
        <v>811.94056615732256</v>
      </c>
      <c r="AH117" s="17">
        <v>721.16632996678868</v>
      </c>
      <c r="AI117" s="15">
        <f>'Global Only'!AI117</f>
        <v>4.4055</v>
      </c>
      <c r="AJ117" s="17">
        <f t="shared" si="12"/>
        <v>2.4749518602004335</v>
      </c>
      <c r="AK117" s="15">
        <f t="shared" si="13"/>
        <v>0.14602530597999819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>'Global Only'!L118</f>
        <v>10541.55</v>
      </c>
      <c r="M118" s="15"/>
      <c r="N118" s="15"/>
      <c r="O118" s="15"/>
      <c r="P118" s="15">
        <f t="shared" si="7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8"/>
        <v>3.7582697701932641</v>
      </c>
      <c r="W118" s="15">
        <v>3.5909499999999999</v>
      </c>
      <c r="X118" s="15"/>
      <c r="Y118" s="15">
        <f t="shared" si="9"/>
        <v>0.95547957426572383</v>
      </c>
      <c r="Z118" s="15"/>
      <c r="AA118" s="16">
        <f t="shared" si="10"/>
        <v>0.95547957426572383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1"/>
        <v>4633.228424806387</v>
      </c>
      <c r="AH118" s="17">
        <v>4515.8800559245765</v>
      </c>
      <c r="AI118" s="15">
        <f>'Global Only'!AI118</f>
        <v>38.959000000000003</v>
      </c>
      <c r="AJ118" s="17">
        <f t="shared" si="12"/>
        <v>0.31059186385131754</v>
      </c>
      <c r="AK118" s="15">
        <f t="shared" si="13"/>
        <v>0.95547957426572383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>'Global Only'!L119</f>
        <v>10541.55</v>
      </c>
      <c r="M119" s="15"/>
      <c r="N119" s="15"/>
      <c r="O119" s="15"/>
      <c r="P119" s="15">
        <f t="shared" si="7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8"/>
        <v>4.2315437965240932</v>
      </c>
      <c r="W119" s="15">
        <v>3.7105100000000002</v>
      </c>
      <c r="X119" s="15"/>
      <c r="Y119" s="15">
        <f t="shared" si="9"/>
        <v>0.876869099889245</v>
      </c>
      <c r="Z119" s="15"/>
      <c r="AA119" s="16">
        <f t="shared" si="10"/>
        <v>0.876869099889245</v>
      </c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1"/>
        <v>4252.0373515712363</v>
      </c>
      <c r="AH119" s="17">
        <v>4010.8046415450513</v>
      </c>
      <c r="AI119" s="15">
        <f>'Global Only'!AI119</f>
        <v>16.759</v>
      </c>
      <c r="AJ119" s="17">
        <f t="shared" si="12"/>
        <v>0.50248762380039136</v>
      </c>
      <c r="AK119" s="15">
        <f t="shared" si="13"/>
        <v>0.876869099889245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>'Global Only'!L120</f>
        <v>10541.550000000001</v>
      </c>
      <c r="M120" s="15"/>
      <c r="N120" s="15"/>
      <c r="O120" s="15"/>
      <c r="P120" s="15">
        <f t="shared" si="7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8"/>
        <v>5.1434283522299582</v>
      </c>
      <c r="W120" s="15">
        <v>3.9840499999999999</v>
      </c>
      <c r="X120" s="15"/>
      <c r="Y120" s="15">
        <f t="shared" si="9"/>
        <v>0.77459035630829698</v>
      </c>
      <c r="Z120" s="15"/>
      <c r="AA120" s="16">
        <f t="shared" si="10"/>
        <v>0.77459035630829698</v>
      </c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1"/>
        <v>3756.0761664491956</v>
      </c>
      <c r="AH120" s="17">
        <v>3299.7242962744403</v>
      </c>
      <c r="AI120" s="15">
        <f>'Global Only'!AI120</f>
        <v>9.1747999999999994</v>
      </c>
      <c r="AJ120" s="17">
        <f t="shared" si="12"/>
        <v>0.74873484376472021</v>
      </c>
      <c r="AK120" s="15">
        <f t="shared" si="13"/>
        <v>0.77459035630829698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>'Global Only'!L121</f>
        <v>10541.550000000001</v>
      </c>
      <c r="M121" s="15"/>
      <c r="N121" s="15"/>
      <c r="O121" s="15"/>
      <c r="P121" s="15">
        <f t="shared" si="7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8"/>
        <v>6.6065857157418861</v>
      </c>
      <c r="W121" s="15">
        <v>4.3773999999999997</v>
      </c>
      <c r="X121" s="15"/>
      <c r="Y121" s="15">
        <f t="shared" si="9"/>
        <v>0.66258127697786784</v>
      </c>
      <c r="Z121" s="15"/>
      <c r="AA121" s="16">
        <f t="shared" si="10"/>
        <v>0.66258127697786784</v>
      </c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1"/>
        <v>3212.9314837499805</v>
      </c>
      <c r="AH121" s="17">
        <v>2568.935942140296</v>
      </c>
      <c r="AI121" s="15">
        <f>'Global Only'!AI121</f>
        <v>6.6744000000000003</v>
      </c>
      <c r="AJ121" s="17">
        <f t="shared" si="12"/>
        <v>0.99490685160720849</v>
      </c>
      <c r="AK121" s="15">
        <f t="shared" si="13"/>
        <v>0.66258127697786784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>'Global Only'!L122</f>
        <v>10541.550000000001</v>
      </c>
      <c r="M122" s="15"/>
      <c r="N122" s="15"/>
      <c r="O122" s="15"/>
      <c r="P122" s="15">
        <f t="shared" si="7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8"/>
        <v>9.4772087382261851</v>
      </c>
      <c r="W122" s="15">
        <v>4.5318100000000001</v>
      </c>
      <c r="X122" s="15"/>
      <c r="Y122" s="15">
        <f t="shared" si="9"/>
        <v>0.47817982331875941</v>
      </c>
      <c r="Z122" s="15"/>
      <c r="AA122" s="16">
        <f t="shared" si="10"/>
        <v>0.47817982331875941</v>
      </c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1"/>
        <v>2318.7479975926999</v>
      </c>
      <c r="AH122" s="17">
        <v>1790.8116164566586</v>
      </c>
      <c r="AI122" s="15">
        <f>'Global Only'!AI122</f>
        <v>5.4335000000000004</v>
      </c>
      <c r="AJ122" s="17">
        <f t="shared" si="12"/>
        <v>1.320688473218357</v>
      </c>
      <c r="AK122" s="15">
        <f t="shared" si="13"/>
        <v>0.47817982331875941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>'Global Only'!L123</f>
        <v>10541.550000000001</v>
      </c>
      <c r="M123" s="15"/>
      <c r="N123" s="15"/>
      <c r="O123" s="15"/>
      <c r="P123" s="15">
        <f t="shared" si="7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8"/>
        <v>13.445677524204797</v>
      </c>
      <c r="W123" s="15">
        <v>4.3223799999999999</v>
      </c>
      <c r="X123" s="15"/>
      <c r="Y123" s="15">
        <f t="shared" si="9"/>
        <v>0.32146985469634293</v>
      </c>
      <c r="Z123" s="15"/>
      <c r="AA123" s="16">
        <f t="shared" si="10"/>
        <v>0.32146985469634293</v>
      </c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1"/>
        <v>1558.8436515161477</v>
      </c>
      <c r="AH123" s="17">
        <v>1262.2566225798096</v>
      </c>
      <c r="AI123" s="15">
        <f>'Global Only'!AI123</f>
        <v>4.8982999999999999</v>
      </c>
      <c r="AJ123" s="17">
        <f t="shared" si="12"/>
        <v>1.6567945428318938</v>
      </c>
      <c r="AK123" s="15">
        <f t="shared" si="13"/>
        <v>0.32146985469634293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>'Global Only'!L124</f>
        <v>10541.550000000001</v>
      </c>
      <c r="M124" s="15"/>
      <c r="N124" s="15"/>
      <c r="O124" s="15"/>
      <c r="P124" s="15">
        <f t="shared" si="7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8"/>
        <v>18.182728365804365</v>
      </c>
      <c r="W124" s="15">
        <v>4.1048299999999998</v>
      </c>
      <c r="X124" s="15"/>
      <c r="Y124" s="15">
        <f t="shared" si="9"/>
        <v>0.22575434871038458</v>
      </c>
      <c r="Z124" s="15"/>
      <c r="AA124" s="16">
        <f t="shared" si="10"/>
        <v>0.22575434871038458</v>
      </c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1"/>
        <v>1094.7083471380593</v>
      </c>
      <c r="AH124" s="17">
        <v>933.4075260079486</v>
      </c>
      <c r="AI124" s="15">
        <f>'Global Only'!AI124</f>
        <v>4.6228999999999996</v>
      </c>
      <c r="AJ124" s="17">
        <f t="shared" si="12"/>
        <v>1.9832263126193577</v>
      </c>
      <c r="AK124" s="15">
        <f t="shared" si="13"/>
        <v>0.22575434871038458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>'Global Only'!L125</f>
        <v>10541.550000000001</v>
      </c>
      <c r="M125" s="15"/>
      <c r="N125" s="15"/>
      <c r="O125" s="15"/>
      <c r="P125" s="15">
        <f t="shared" si="7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8"/>
        <v>26.928745088166053</v>
      </c>
      <c r="W125" s="15">
        <v>3.90713</v>
      </c>
      <c r="X125" s="15"/>
      <c r="Y125" s="15">
        <f t="shared" si="9"/>
        <v>0.1450914250629898</v>
      </c>
      <c r="Z125" s="15"/>
      <c r="AA125" s="16">
        <f t="shared" si="10"/>
        <v>0.1450914250629898</v>
      </c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1"/>
        <v>703.56471546146986</v>
      </c>
      <c r="AH125" s="17">
        <v>630.25200188249289</v>
      </c>
      <c r="AI125" s="15">
        <f>'Global Only'!AI125</f>
        <v>4.3853999999999997</v>
      </c>
      <c r="AJ125" s="17">
        <f t="shared" si="12"/>
        <v>2.4780122643501619</v>
      </c>
      <c r="AK125" s="15">
        <f t="shared" si="13"/>
        <v>0.1450914250629898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>'Global Only'!L126</f>
        <v>8647.7000000000007</v>
      </c>
      <c r="M126" s="15"/>
      <c r="N126" s="15"/>
      <c r="O126" s="15"/>
      <c r="P126" s="15">
        <f t="shared" si="7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8"/>
        <v>3.744809786235066</v>
      </c>
      <c r="W126" s="15">
        <v>3.2653799999999999</v>
      </c>
      <c r="X126" s="15"/>
      <c r="Y126" s="15">
        <f t="shared" si="9"/>
        <v>0.87197486291631587</v>
      </c>
      <c r="Z126" s="15"/>
      <c r="AA126" s="16">
        <f t="shared" si="10"/>
        <v>0.87197486291631587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1"/>
        <v>3468.6654301390563</v>
      </c>
      <c r="AH126" s="17">
        <v>3717.8916406319318</v>
      </c>
      <c r="AI126" s="15">
        <f>'Global Only'!AI126</f>
        <v>37.793999999999997</v>
      </c>
      <c r="AJ126" s="17">
        <f t="shared" si="12"/>
        <v>0.314777333531361</v>
      </c>
      <c r="AK126" s="15">
        <f t="shared" si="13"/>
        <v>0.87197486291631587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>'Global Only'!L127</f>
        <v>8647.7000000000007</v>
      </c>
      <c r="M127" s="15"/>
      <c r="N127" s="15"/>
      <c r="O127" s="15"/>
      <c r="P127" s="15">
        <f t="shared" si="7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8"/>
        <v>4.2163888142843007</v>
      </c>
      <c r="W127" s="15">
        <v>3.4799500000000001</v>
      </c>
      <c r="X127" s="15"/>
      <c r="Y127" s="15">
        <f t="shared" si="9"/>
        <v>0.82533896973889365</v>
      </c>
      <c r="Z127" s="15"/>
      <c r="AA127" s="16">
        <f t="shared" si="10"/>
        <v>0.82533896973889365</v>
      </c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1"/>
        <v>3283.1505519610746</v>
      </c>
      <c r="AH127" s="17">
        <v>3302.0666767809194</v>
      </c>
      <c r="AI127" s="15">
        <f>'Global Only'!AI127</f>
        <v>16.497</v>
      </c>
      <c r="AJ127" s="17">
        <f t="shared" si="12"/>
        <v>0.50555433540921968</v>
      </c>
      <c r="AK127" s="15">
        <f t="shared" si="13"/>
        <v>0.82533896973889365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>'Global Only'!L128</f>
        <v>8647.7000000000007</v>
      </c>
      <c r="M128" s="15"/>
      <c r="N128" s="15"/>
      <c r="O128" s="15"/>
      <c r="P128" s="15">
        <f t="shared" si="7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8"/>
        <v>5.1250075183504347</v>
      </c>
      <c r="W128" s="15">
        <v>3.8130899999999999</v>
      </c>
      <c r="X128" s="15"/>
      <c r="Y128" s="15">
        <f t="shared" si="9"/>
        <v>0.74401646950701517</v>
      </c>
      <c r="Z128" s="15"/>
      <c r="AA128" s="16">
        <f t="shared" si="10"/>
        <v>0.74401646950701517</v>
      </c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1"/>
        <v>2959.6543627436754</v>
      </c>
      <c r="AH128" s="17">
        <v>2716.6393317762927</v>
      </c>
      <c r="AI128" s="15">
        <f>'Global Only'!AI128</f>
        <v>9.0775000000000006</v>
      </c>
      <c r="AJ128" s="17">
        <f t="shared" si="12"/>
        <v>0.75138777459482819</v>
      </c>
      <c r="AK128" s="15">
        <f t="shared" si="13"/>
        <v>0.74401646950701517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>'Global Only'!L129</f>
        <v>8647.7000000000007</v>
      </c>
      <c r="M129" s="15"/>
      <c r="N129" s="15"/>
      <c r="O129" s="15"/>
      <c r="P129" s="15">
        <f t="shared" si="7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8"/>
        <v>6.5829246846850893</v>
      </c>
      <c r="W129" s="15">
        <v>4.2832299999999996</v>
      </c>
      <c r="X129" s="15"/>
      <c r="Y129" s="15">
        <f t="shared" si="9"/>
        <v>0.65065760359749558</v>
      </c>
      <c r="Z129" s="15"/>
      <c r="AA129" s="16">
        <f t="shared" si="10"/>
        <v>0.65065760359749558</v>
      </c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1"/>
        <v>2588.2782089698289</v>
      </c>
      <c r="AH129" s="17">
        <v>2114.9865245140704</v>
      </c>
      <c r="AI129" s="15">
        <f>'Global Only'!AI129</f>
        <v>6.6154000000000002</v>
      </c>
      <c r="AJ129" s="17">
        <f t="shared" si="12"/>
        <v>0.9975424563017864</v>
      </c>
      <c r="AK129" s="15">
        <f t="shared" si="13"/>
        <v>0.65065760359749558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>'Global Only'!L130</f>
        <v>8647.7000000000007</v>
      </c>
      <c r="M130" s="15"/>
      <c r="N130" s="15"/>
      <c r="O130" s="15"/>
      <c r="P130" s="15">
        <f t="shared" si="7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8"/>
        <v>9.4432667688133609</v>
      </c>
      <c r="W130" s="15">
        <v>4.4904700000000002</v>
      </c>
      <c r="X130" s="15"/>
      <c r="Y130" s="15">
        <f t="shared" si="9"/>
        <v>0.47552082451275196</v>
      </c>
      <c r="Z130" s="15"/>
      <c r="AA130" s="16">
        <f t="shared" si="10"/>
        <v>0.47552082451275196</v>
      </c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1"/>
        <v>1891.5942597039054</v>
      </c>
      <c r="AH130" s="17">
        <v>1474.3623515943029</v>
      </c>
      <c r="AI130" s="15">
        <f>'Global Only'!AI130</f>
        <v>5.391</v>
      </c>
      <c r="AJ130" s="17">
        <f t="shared" si="12"/>
        <v>1.3235076726645034</v>
      </c>
      <c r="AK130" s="15">
        <f t="shared" si="13"/>
        <v>0.47552082451275196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>'Global Only'!L131</f>
        <v>8647.7000000000007</v>
      </c>
      <c r="M131" s="15"/>
      <c r="N131" s="15"/>
      <c r="O131" s="15"/>
      <c r="P131" s="15">
        <f t="shared" si="7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8"/>
        <v>13.397522757557056</v>
      </c>
      <c r="W131" s="15">
        <v>4.2911799999999998</v>
      </c>
      <c r="X131" s="15"/>
      <c r="Y131" s="15">
        <f t="shared" si="9"/>
        <v>0.3202965262797931</v>
      </c>
      <c r="Z131" s="15"/>
      <c r="AA131" s="16">
        <f t="shared" si="10"/>
        <v>0.3202965262797931</v>
      </c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1"/>
        <v>1274.1210043424928</v>
      </c>
      <c r="AH131" s="17">
        <v>1039.206818450572</v>
      </c>
      <c r="AI131" s="15">
        <f>'Global Only'!AI131</f>
        <v>4.8624000000000001</v>
      </c>
      <c r="AJ131" s="17">
        <f t="shared" si="12"/>
        <v>1.6599190546550644</v>
      </c>
      <c r="AK131" s="15">
        <f t="shared" si="13"/>
        <v>0.3202965262797931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>'Global Only'!L132</f>
        <v>8647.7000000000007</v>
      </c>
      <c r="M132" s="15"/>
      <c r="N132" s="15"/>
      <c r="O132" s="15"/>
      <c r="P132" s="15">
        <f t="shared" si="7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8"/>
        <v>18.117608178301847</v>
      </c>
      <c r="W132" s="15">
        <v>4.0622400000000001</v>
      </c>
      <c r="X132" s="15"/>
      <c r="Y132" s="15">
        <f t="shared" si="9"/>
        <v>0.2242150266206249</v>
      </c>
      <c r="Z132" s="15"/>
      <c r="AA132" s="16">
        <f t="shared" si="10"/>
        <v>0.2242150266206249</v>
      </c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1"/>
        <v>891.91437142530197</v>
      </c>
      <c r="AH132" s="17">
        <v>768.46771731570686</v>
      </c>
      <c r="AI132" s="15">
        <f>'Global Only'!AI132</f>
        <v>4.5902000000000003</v>
      </c>
      <c r="AJ132" s="17">
        <f t="shared" si="12"/>
        <v>1.9867106837270554</v>
      </c>
      <c r="AK132" s="15">
        <f t="shared" si="13"/>
        <v>0.2242150266206249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>'Global Only'!L133</f>
        <v>8647.7000000000007</v>
      </c>
      <c r="M133" s="15"/>
      <c r="N133" s="15"/>
      <c r="O133" s="15"/>
      <c r="P133" s="15">
        <f t="shared" si="7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8"/>
        <v>26.832301645022127</v>
      </c>
      <c r="W133" s="15">
        <v>3.8572099999999998</v>
      </c>
      <c r="X133" s="15"/>
      <c r="Y133" s="15">
        <f t="shared" si="9"/>
        <v>0.14375248351889267</v>
      </c>
      <c r="Z133" s="15"/>
      <c r="AA133" s="16">
        <f t="shared" si="10"/>
        <v>0.14375248351889267</v>
      </c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1"/>
        <v>571.83904179411093</v>
      </c>
      <c r="AH133" s="17">
        <v>518.88194997923063</v>
      </c>
      <c r="AI133" s="15">
        <f>'Global Only'!AI133</f>
        <v>4.3552</v>
      </c>
      <c r="AJ133" s="17">
        <f t="shared" si="12"/>
        <v>2.4821322196192268</v>
      </c>
      <c r="AK133" s="15">
        <f t="shared" si="13"/>
        <v>0.14375248351889267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>'Global Only'!L134</f>
        <v>7488.2</v>
      </c>
      <c r="M134" s="15"/>
      <c r="N134" s="15"/>
      <c r="O134" s="15"/>
      <c r="P134" s="15">
        <f t="shared" si="7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8"/>
        <v>3.7332858711193238</v>
      </c>
      <c r="W134" s="15">
        <v>3.14398</v>
      </c>
      <c r="X134" s="15"/>
      <c r="Y134" s="15">
        <f t="shared" si="9"/>
        <v>0.84214820630849885</v>
      </c>
      <c r="Z134" s="15"/>
      <c r="AA134" s="16">
        <f t="shared" si="10"/>
        <v>0.84214820630849885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1"/>
        <v>2900.8401313004783</v>
      </c>
      <c r="AH134" s="17">
        <v>3229.3273047384764</v>
      </c>
      <c r="AI134" s="15">
        <f>'Global Only'!AI134</f>
        <v>36.466000000000001</v>
      </c>
      <c r="AJ134" s="17">
        <f t="shared" si="12"/>
        <v>0.31996432570368077</v>
      </c>
      <c r="AK134" s="15">
        <f t="shared" si="13"/>
        <v>0.84214820630849885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>'Global Only'!L135</f>
        <v>7488.2</v>
      </c>
      <c r="M135" s="15"/>
      <c r="N135" s="15"/>
      <c r="O135" s="15"/>
      <c r="P135" s="15">
        <f t="shared" ref="P135:P198" si="14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5">L135*T135/(S135*1000)</f>
        <v>4.2034137075193652</v>
      </c>
      <c r="W135" s="15">
        <v>3.2419799999999999</v>
      </c>
      <c r="X135" s="15"/>
      <c r="Y135" s="15">
        <f t="shared" ref="Y135:Y198" si="16">AK135</f>
        <v>0.77127311884635952</v>
      </c>
      <c r="Z135" s="15"/>
      <c r="AA135" s="16">
        <f t="shared" ref="AA135:AA198" si="17">AK135</f>
        <v>0.77127311884635952</v>
      </c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18">W135*S135</f>
        <v>2656.7057895308426</v>
      </c>
      <c r="AH135" s="17">
        <v>2868.1454738641041</v>
      </c>
      <c r="AI135" s="15">
        <f>'Global Only'!AI135</f>
        <v>16.218</v>
      </c>
      <c r="AJ135" s="17">
        <f t="shared" ref="AJ135:AJ198" si="19">(V135/AI135)^0.5</f>
        <v>0.50909920638661421</v>
      </c>
      <c r="AK135" s="15">
        <f t="shared" ref="AK135:AK198" si="20">W135/V135</f>
        <v>0.77127311884635952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>'Global Only'!L136</f>
        <v>7488.2000000000007</v>
      </c>
      <c r="M136" s="15"/>
      <c r="N136" s="15"/>
      <c r="O136" s="15"/>
      <c r="P136" s="15">
        <f t="shared" si="14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5"/>
        <v>5.109236316345438</v>
      </c>
      <c r="W136" s="15">
        <v>3.5093299999999998</v>
      </c>
      <c r="X136" s="15"/>
      <c r="Y136" s="15">
        <f t="shared" si="16"/>
        <v>0.68685998899150003</v>
      </c>
      <c r="Z136" s="15"/>
      <c r="AA136" s="16">
        <f t="shared" si="17"/>
        <v>0.68685998899150003</v>
      </c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18"/>
        <v>2365.9386860004297</v>
      </c>
      <c r="AH136" s="17">
        <v>2359.6485371855892</v>
      </c>
      <c r="AI136" s="15">
        <f>'Global Only'!AI136</f>
        <v>8.9835999999999991</v>
      </c>
      <c r="AJ136" s="17">
        <f t="shared" si="19"/>
        <v>0.75414141589095252</v>
      </c>
      <c r="AK136" s="15">
        <f t="shared" si="20"/>
        <v>0.68685998899150003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>'Global Only'!L137</f>
        <v>7488.2000000000007</v>
      </c>
      <c r="M137" s="15"/>
      <c r="N137" s="15"/>
      <c r="O137" s="15"/>
      <c r="P137" s="15">
        <f t="shared" si="14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5"/>
        <v>6.5626670295276854</v>
      </c>
      <c r="W137" s="15">
        <v>4.0688000000000004</v>
      </c>
      <c r="X137" s="15"/>
      <c r="Y137" s="15">
        <f t="shared" si="16"/>
        <v>0.61999183894186261</v>
      </c>
      <c r="Z137" s="15"/>
      <c r="AA137" s="16">
        <f t="shared" si="17"/>
        <v>0.61999183894186261</v>
      </c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18"/>
        <v>2135.6065286476496</v>
      </c>
      <c r="AH137" s="17">
        <v>1837.0583096408704</v>
      </c>
      <c r="AI137" s="15">
        <f>'Global Only'!AI137</f>
        <v>6.5628000000000002</v>
      </c>
      <c r="AJ137" s="17">
        <f t="shared" si="19"/>
        <v>0.99998986932819389</v>
      </c>
      <c r="AK137" s="15">
        <f t="shared" si="20"/>
        <v>0.61999183894186261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>'Global Only'!L138</f>
        <v>7488.2000000000007</v>
      </c>
      <c r="M138" s="15"/>
      <c r="N138" s="15"/>
      <c r="O138" s="15"/>
      <c r="P138" s="15">
        <f t="shared" si="14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5"/>
        <v>9.4142069738248093</v>
      </c>
      <c r="W138" s="15">
        <v>4.4238299999999997</v>
      </c>
      <c r="X138" s="15"/>
      <c r="Y138" s="15">
        <f t="shared" si="16"/>
        <v>0.46991000009878514</v>
      </c>
      <c r="Z138" s="15"/>
      <c r="AA138" s="16">
        <f t="shared" si="17"/>
        <v>0.46991000009878514</v>
      </c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18"/>
        <v>1618.6388288602725</v>
      </c>
      <c r="AH138" s="17">
        <v>1280.6179037193911</v>
      </c>
      <c r="AI138" s="15">
        <f>'Global Only'!AI138</f>
        <v>5.3555999999999999</v>
      </c>
      <c r="AJ138" s="17">
        <f t="shared" si="19"/>
        <v>1.3258298867810701</v>
      </c>
      <c r="AK138" s="15">
        <f t="shared" si="20"/>
        <v>0.46991000009878514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>'Global Only'!L139</f>
        <v>7488.2000000000007</v>
      </c>
      <c r="M139" s="15"/>
      <c r="N139" s="15"/>
      <c r="O139" s="15"/>
      <c r="P139" s="15">
        <f t="shared" si="14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5"/>
        <v>13.35629451798483</v>
      </c>
      <c r="W139" s="15">
        <v>4.2661199999999999</v>
      </c>
      <c r="X139" s="15"/>
      <c r="Y139" s="15">
        <f t="shared" si="16"/>
        <v>0.3194089494099942</v>
      </c>
      <c r="Z139" s="15"/>
      <c r="AA139" s="16">
        <f t="shared" si="17"/>
        <v>0.3194089494099942</v>
      </c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18"/>
        <v>1100.2271236870827</v>
      </c>
      <c r="AH139" s="17">
        <v>902.64571388165109</v>
      </c>
      <c r="AI139" s="15">
        <f>'Global Only'!AI139</f>
        <v>4.8334999999999999</v>
      </c>
      <c r="AJ139" s="17">
        <f t="shared" si="19"/>
        <v>1.6623104385775715</v>
      </c>
      <c r="AK139" s="15">
        <f t="shared" si="20"/>
        <v>0.3194089494099942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>'Global Only'!L140</f>
        <v>7488.2000000000007</v>
      </c>
      <c r="M140" s="15"/>
      <c r="N140" s="15"/>
      <c r="O140" s="15"/>
      <c r="P140" s="15">
        <f t="shared" si="14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5"/>
        <v>18.061854804788869</v>
      </c>
      <c r="W140" s="15">
        <v>4.0302699999999998</v>
      </c>
      <c r="X140" s="15"/>
      <c r="Y140" s="15">
        <f t="shared" si="16"/>
        <v>0.22313710543899543</v>
      </c>
      <c r="Z140" s="15"/>
      <c r="AA140" s="16">
        <f t="shared" si="17"/>
        <v>0.22313710543899543</v>
      </c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18"/>
        <v>768.61182555621133</v>
      </c>
      <c r="AH140" s="17">
        <v>667.48416097351787</v>
      </c>
      <c r="AI140" s="15">
        <f>'Global Only'!AI140</f>
        <v>4.5646000000000004</v>
      </c>
      <c r="AJ140" s="17">
        <f t="shared" si="19"/>
        <v>1.9892062285729404</v>
      </c>
      <c r="AK140" s="15">
        <f t="shared" si="20"/>
        <v>0.22313710543899543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>'Global Only'!L141</f>
        <v>7488.2000000000007</v>
      </c>
      <c r="M141" s="15"/>
      <c r="N141" s="15"/>
      <c r="O141" s="15"/>
      <c r="P141" s="15">
        <f t="shared" si="14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5"/>
        <v>26.74973051747013</v>
      </c>
      <c r="W141" s="15">
        <v>3.8201800000000001</v>
      </c>
      <c r="X141" s="15"/>
      <c r="Y141" s="15">
        <f t="shared" si="16"/>
        <v>0.14281190599303636</v>
      </c>
      <c r="Z141" s="15"/>
      <c r="AA141" s="16">
        <f t="shared" si="17"/>
        <v>0.14281190599303636</v>
      </c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18"/>
        <v>491.92589265024532</v>
      </c>
      <c r="AH141" s="17">
        <v>450.69620391600881</v>
      </c>
      <c r="AI141" s="15">
        <f>'Global Only'!AI141</f>
        <v>4.3320999999999996</v>
      </c>
      <c r="AJ141" s="17">
        <f t="shared" si="19"/>
        <v>2.4849088856448769</v>
      </c>
      <c r="AK141" s="15">
        <f t="shared" si="20"/>
        <v>0.14281190599303636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>'Global Only'!L142</f>
        <v>6753.85</v>
      </c>
      <c r="M142" s="15"/>
      <c r="N142" s="15"/>
      <c r="O142" s="15"/>
      <c r="P142" s="15">
        <f t="shared" si="14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5"/>
        <v>3.7239927699098634</v>
      </c>
      <c r="W142" s="15">
        <v>3.1068899999999999</v>
      </c>
      <c r="X142" s="15"/>
      <c r="Y142" s="15">
        <f t="shared" si="16"/>
        <v>0.83429001933191183</v>
      </c>
      <c r="Z142" s="15"/>
      <c r="AA142" s="16">
        <f t="shared" si="17"/>
        <v>0.83429001933191183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18"/>
        <v>2591.9480376498232</v>
      </c>
      <c r="AH142" s="17">
        <v>2919.9032253392879</v>
      </c>
      <c r="AI142" s="15">
        <f>'Global Only'!AI142</f>
        <v>34.979999999999997</v>
      </c>
      <c r="AJ142" s="17">
        <f t="shared" si="19"/>
        <v>0.32628304900899752</v>
      </c>
      <c r="AK142" s="15">
        <f t="shared" si="20"/>
        <v>0.83429001933191183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>'Global Only'!L143</f>
        <v>6753.85</v>
      </c>
      <c r="M143" s="15"/>
      <c r="N143" s="15"/>
      <c r="O143" s="15"/>
      <c r="P143" s="15">
        <f t="shared" si="14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5"/>
        <v>4.192950338155824</v>
      </c>
      <c r="W143" s="15">
        <v>3.14621</v>
      </c>
      <c r="X143" s="15"/>
      <c r="Y143" s="15">
        <f t="shared" si="16"/>
        <v>0.75035708660069422</v>
      </c>
      <c r="Z143" s="15"/>
      <c r="AA143" s="16">
        <f t="shared" si="17"/>
        <v>0.75035708660069422</v>
      </c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18"/>
        <v>2331.1876362955254</v>
      </c>
      <c r="AH143" s="17">
        <v>2593.3287120167879</v>
      </c>
      <c r="AI143" s="15">
        <f>'Global Only'!AI143</f>
        <v>15.913</v>
      </c>
      <c r="AJ143" s="17">
        <f t="shared" si="19"/>
        <v>0.51331484940211636</v>
      </c>
      <c r="AK143" s="15">
        <f t="shared" si="20"/>
        <v>0.75035708660069422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>'Global Only'!L144</f>
        <v>6753.85</v>
      </c>
      <c r="M144" s="15"/>
      <c r="N144" s="15"/>
      <c r="O144" s="15"/>
      <c r="P144" s="15">
        <f t="shared" si="14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5"/>
        <v>5.0965181233567458</v>
      </c>
      <c r="W144" s="15">
        <v>3.3294299999999999</v>
      </c>
      <c r="X144" s="15"/>
      <c r="Y144" s="15">
        <f t="shared" si="16"/>
        <v>0.6532754165518635</v>
      </c>
      <c r="Z144" s="15"/>
      <c r="AA144" s="16">
        <f t="shared" si="17"/>
        <v>0.6532754165518635</v>
      </c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18"/>
        <v>2029.5771191562494</v>
      </c>
      <c r="AH144" s="17">
        <v>2133.5543672781446</v>
      </c>
      <c r="AI144" s="15">
        <f>'Global Only'!AI144</f>
        <v>8.8896999999999995</v>
      </c>
      <c r="AJ144" s="17">
        <f t="shared" si="19"/>
        <v>0.75716971327928984</v>
      </c>
      <c r="AK144" s="15">
        <f t="shared" si="20"/>
        <v>0.6532754165518635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>'Global Only'!L145</f>
        <v>6753.85</v>
      </c>
      <c r="M145" s="15"/>
      <c r="N145" s="15"/>
      <c r="O145" s="15"/>
      <c r="P145" s="15">
        <f t="shared" si="14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5"/>
        <v>6.5463308766010666</v>
      </c>
      <c r="W145" s="15">
        <v>3.87832</v>
      </c>
      <c r="X145" s="15"/>
      <c r="Y145" s="15">
        <f t="shared" si="16"/>
        <v>0.59244179267847674</v>
      </c>
      <c r="Z145" s="15"/>
      <c r="AA145" s="16">
        <f t="shared" si="17"/>
        <v>0.59244179267847674</v>
      </c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18"/>
        <v>1840.5809806815039</v>
      </c>
      <c r="AH145" s="17">
        <v>1661.0371068878442</v>
      </c>
      <c r="AI145" s="15">
        <f>'Global Only'!AI145</f>
        <v>5.8484999999999996</v>
      </c>
      <c r="AJ145" s="17">
        <f t="shared" si="19"/>
        <v>1.0579782245740785</v>
      </c>
      <c r="AK145" s="15">
        <f t="shared" si="20"/>
        <v>0.59244179267847674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>'Global Only'!L146</f>
        <v>6753.85</v>
      </c>
      <c r="M146" s="15"/>
      <c r="N146" s="15"/>
      <c r="O146" s="15"/>
      <c r="P146" s="15">
        <f t="shared" si="14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5"/>
        <v>9.3907726103083835</v>
      </c>
      <c r="W146" s="15">
        <v>4.3048999999999999</v>
      </c>
      <c r="X146" s="15"/>
      <c r="Y146" s="15">
        <f t="shared" si="16"/>
        <v>0.45841808535268447</v>
      </c>
      <c r="Z146" s="15"/>
      <c r="AA146" s="16">
        <f t="shared" si="17"/>
        <v>0.45841808535268447</v>
      </c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18"/>
        <v>1424.2000134492448</v>
      </c>
      <c r="AH146" s="17">
        <v>1157.9130867319466</v>
      </c>
      <c r="AI146" s="15">
        <f>'Global Only'!AI146</f>
        <v>5.3243999999999998</v>
      </c>
      <c r="AJ146" s="17">
        <f t="shared" si="19"/>
        <v>1.3280527483139295</v>
      </c>
      <c r="AK146" s="15">
        <f t="shared" si="20"/>
        <v>0.45841808535268447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>'Global Only'!L147</f>
        <v>6753.85</v>
      </c>
      <c r="M147" s="15"/>
      <c r="N147" s="15"/>
      <c r="O147" s="15"/>
      <c r="P147" s="15">
        <f t="shared" si="14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5"/>
        <v>13.32304729261182</v>
      </c>
      <c r="W147" s="15">
        <v>4.2364600000000001</v>
      </c>
      <c r="X147" s="15"/>
      <c r="Y147" s="15">
        <f t="shared" si="16"/>
        <v>0.31797980649286534</v>
      </c>
      <c r="Z147" s="15"/>
      <c r="AA147" s="16">
        <f t="shared" si="17"/>
        <v>0.31797980649286534</v>
      </c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18"/>
        <v>987.89044139764576</v>
      </c>
      <c r="AH147" s="17">
        <v>816.15701432133437</v>
      </c>
      <c r="AI147" s="15">
        <f>'Global Only'!AI147</f>
        <v>4.8095999999999997</v>
      </c>
      <c r="AJ147" s="17">
        <f t="shared" si="19"/>
        <v>1.6643601362988905</v>
      </c>
      <c r="AK147" s="15">
        <f t="shared" si="20"/>
        <v>0.31797980649286534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>'Global Only'!L148</f>
        <v>6753.85</v>
      </c>
      <c r="M148" s="15"/>
      <c r="N148" s="15"/>
      <c r="O148" s="15"/>
      <c r="P148" s="15">
        <f t="shared" si="14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5"/>
        <v>18.01689423907651</v>
      </c>
      <c r="W148" s="15">
        <v>4.0043499999999996</v>
      </c>
      <c r="X148" s="15"/>
      <c r="Y148" s="15">
        <f t="shared" si="16"/>
        <v>0.22225528700252004</v>
      </c>
      <c r="Z148" s="15"/>
      <c r="AA148" s="16">
        <f t="shared" si="17"/>
        <v>0.22225528700252004</v>
      </c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18"/>
        <v>690.49628025610616</v>
      </c>
      <c r="AH148" s="17">
        <v>603.5279086234649</v>
      </c>
      <c r="AI148" s="15">
        <f>'Global Only'!AI148</f>
        <v>4.5438999999999998</v>
      </c>
      <c r="AJ148" s="17">
        <f t="shared" si="19"/>
        <v>1.9912490521002526</v>
      </c>
      <c r="AK148" s="15">
        <f t="shared" si="20"/>
        <v>0.22225528700252004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>'Global Only'!L149</f>
        <v>6753.85</v>
      </c>
      <c r="M149" s="15"/>
      <c r="N149" s="15"/>
      <c r="O149" s="15"/>
      <c r="P149" s="15">
        <f t="shared" si="14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5"/>
        <v>26.683143612098721</v>
      </c>
      <c r="W149" s="15">
        <v>3.79189</v>
      </c>
      <c r="X149" s="15"/>
      <c r="Y149" s="15">
        <f t="shared" si="16"/>
        <v>0.14210806849162533</v>
      </c>
      <c r="Z149" s="15"/>
      <c r="AA149" s="16">
        <f t="shared" si="17"/>
        <v>0.14210806849162533</v>
      </c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18"/>
        <v>441.49722605579529</v>
      </c>
      <c r="AH149" s="17">
        <v>407.5118980759683</v>
      </c>
      <c r="AI149" s="15">
        <f>'Global Only'!AI149</f>
        <v>4.3140999999999998</v>
      </c>
      <c r="AJ149" s="17">
        <f t="shared" si="19"/>
        <v>2.4869863003521537</v>
      </c>
      <c r="AK149" s="15">
        <f t="shared" si="20"/>
        <v>0.14210806849162533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>'Global Only'!L150</f>
        <v>21016.495599999995</v>
      </c>
      <c r="M150" s="15"/>
      <c r="N150" s="15"/>
      <c r="O150" s="15"/>
      <c r="P150" s="15">
        <f t="shared" si="14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5"/>
        <v>3.7673787525939808</v>
      </c>
      <c r="W150" s="15">
        <v>3.6456200000000001</v>
      </c>
      <c r="X150" s="15"/>
      <c r="Y150" s="15">
        <f t="shared" si="16"/>
        <v>0.96768077738131708</v>
      </c>
      <c r="Z150" s="15"/>
      <c r="AA150" s="16">
        <f t="shared" si="17"/>
        <v>0.96768077738131708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18"/>
        <v>9355.1390480179525</v>
      </c>
      <c r="AH150" s="17">
        <v>8981.4590297570321</v>
      </c>
      <c r="AI150" s="15">
        <f>'Global Only'!AI150</f>
        <v>32.689</v>
      </c>
      <c r="AJ150" s="17">
        <f t="shared" si="19"/>
        <v>0.3394836199677923</v>
      </c>
      <c r="AK150" s="15">
        <f t="shared" si="20"/>
        <v>0.96768077738131708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>'Global Only'!L151</f>
        <v>21016.495599999995</v>
      </c>
      <c r="M151" s="15"/>
      <c r="N151" s="15"/>
      <c r="O151" s="15"/>
      <c r="P151" s="15">
        <f t="shared" si="14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5"/>
        <v>4.2417998612366627</v>
      </c>
      <c r="W151" s="15">
        <v>3.58873</v>
      </c>
      <c r="X151" s="15"/>
      <c r="Y151" s="15">
        <f t="shared" si="16"/>
        <v>0.84603944490528948</v>
      </c>
      <c r="Z151" s="15"/>
      <c r="AA151" s="16">
        <f t="shared" si="17"/>
        <v>0.84603944490528948</v>
      </c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18"/>
        <v>8179.1607647880883</v>
      </c>
      <c r="AH151" s="17">
        <v>7976.9340899867948</v>
      </c>
      <c r="AI151" s="15">
        <f>'Global Only'!AI151</f>
        <v>15.558999999999999</v>
      </c>
      <c r="AJ151" s="17">
        <f t="shared" si="19"/>
        <v>0.52213673169121644</v>
      </c>
      <c r="AK151" s="15">
        <f t="shared" si="20"/>
        <v>0.84603944490528948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>'Global Only'!L152</f>
        <v>21016.495599999995</v>
      </c>
      <c r="M152" s="15"/>
      <c r="N152" s="15"/>
      <c r="O152" s="15"/>
      <c r="P152" s="15">
        <f t="shared" si="14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5"/>
        <v>5.1558945670587555</v>
      </c>
      <c r="W152" s="15">
        <v>3.7266900000000001</v>
      </c>
      <c r="X152" s="15"/>
      <c r="Y152" s="15">
        <f t="shared" si="16"/>
        <v>0.72280182450005703</v>
      </c>
      <c r="Z152" s="15"/>
      <c r="AA152" s="16">
        <f t="shared" si="17"/>
        <v>0.72280182450005703</v>
      </c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18"/>
        <v>6987.7502275676115</v>
      </c>
      <c r="AH152" s="17">
        <v>6562.6939177894164</v>
      </c>
      <c r="AI152" s="15">
        <f>'Global Only'!AI152</f>
        <v>8.8907000000000007</v>
      </c>
      <c r="AJ152" s="17">
        <f t="shared" si="19"/>
        <v>0.76152477313490263</v>
      </c>
      <c r="AK152" s="15">
        <f t="shared" si="20"/>
        <v>0.72280182450005703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>'Global Only'!L153</f>
        <v>21016.495599999998</v>
      </c>
      <c r="M153" s="15"/>
      <c r="N153" s="15"/>
      <c r="O153" s="15"/>
      <c r="P153" s="15">
        <f t="shared" si="14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5"/>
        <v>6.6225982099728187</v>
      </c>
      <c r="W153" s="15">
        <v>4.2276600000000002</v>
      </c>
      <c r="X153" s="15"/>
      <c r="Y153" s="15">
        <f t="shared" si="16"/>
        <v>0.63836878910057748</v>
      </c>
      <c r="Z153" s="15"/>
      <c r="AA153" s="16">
        <f t="shared" si="17"/>
        <v>0.63836878910057748</v>
      </c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18"/>
        <v>6171.4864297624226</v>
      </c>
      <c r="AH153" s="17">
        <v>5109.2572496767662</v>
      </c>
      <c r="AI153" s="15">
        <f>'Global Only'!AI153</f>
        <v>6.5205000000000002</v>
      </c>
      <c r="AJ153" s="17">
        <f t="shared" si="19"/>
        <v>1.0077986078026393</v>
      </c>
      <c r="AK153" s="15">
        <f t="shared" si="20"/>
        <v>0.63836878910057748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>'Global Only'!L154</f>
        <v>21016.495599999998</v>
      </c>
      <c r="M154" s="15"/>
      <c r="N154" s="15"/>
      <c r="O154" s="15"/>
      <c r="P154" s="15">
        <f t="shared" si="14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5"/>
        <v>9.5001788103293254</v>
      </c>
      <c r="W154" s="15">
        <v>4.4663300000000001</v>
      </c>
      <c r="X154" s="15"/>
      <c r="Y154" s="15">
        <f t="shared" si="16"/>
        <v>0.47013115112568854</v>
      </c>
      <c r="Z154" s="15"/>
      <c r="AA154" s="16">
        <f t="shared" si="17"/>
        <v>0.47013115112568854</v>
      </c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18"/>
        <v>4545.034263765745</v>
      </c>
      <c r="AH154" s="17">
        <v>3561.6759001641408</v>
      </c>
      <c r="AI154" s="15">
        <f>'Global Only'!AI154</f>
        <v>5.3498000000000001</v>
      </c>
      <c r="AJ154" s="17">
        <f t="shared" si="19"/>
        <v>1.3325917387352266</v>
      </c>
      <c r="AK154" s="15">
        <f t="shared" si="20"/>
        <v>0.47013115112568854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>'Global Only'!L155</f>
        <v>21016.495599999998</v>
      </c>
      <c r="M155" s="15"/>
      <c r="N155" s="15"/>
      <c r="O155" s="15"/>
      <c r="P155" s="15">
        <f t="shared" si="14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5"/>
        <v>13.478266041640412</v>
      </c>
      <c r="W155" s="15">
        <v>4.2820400000000003</v>
      </c>
      <c r="X155" s="15"/>
      <c r="Y155" s="15">
        <f t="shared" si="16"/>
        <v>0.31769962002314373</v>
      </c>
      <c r="Z155" s="15"/>
      <c r="AA155" s="16">
        <f t="shared" si="17"/>
        <v>0.31769962002314373</v>
      </c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18"/>
        <v>3071.3890265155133</v>
      </c>
      <c r="AH155" s="17">
        <v>2510.4533336457143</v>
      </c>
      <c r="AI155" s="15">
        <f>'Global Only'!AI155</f>
        <v>4.8411</v>
      </c>
      <c r="AJ155" s="17">
        <f t="shared" si="19"/>
        <v>1.6685721301739631</v>
      </c>
      <c r="AK155" s="15">
        <f t="shared" si="20"/>
        <v>0.31769962002314373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>'Global Only'!L156</f>
        <v>21016.495599999998</v>
      </c>
      <c r="M156" s="15"/>
      <c r="N156" s="15"/>
      <c r="O156" s="15"/>
      <c r="P156" s="15">
        <f t="shared" si="14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5"/>
        <v>18.226798153980472</v>
      </c>
      <c r="W156" s="15">
        <v>4.0334700000000003</v>
      </c>
      <c r="X156" s="15"/>
      <c r="Y156" s="15">
        <f t="shared" si="16"/>
        <v>0.22129339261482678</v>
      </c>
      <c r="Z156" s="15"/>
      <c r="AA156" s="16">
        <f t="shared" si="17"/>
        <v>0.22129339261482678</v>
      </c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18"/>
        <v>2139.3733416113464</v>
      </c>
      <c r="AH156" s="17">
        <v>1856.4180954958663</v>
      </c>
      <c r="AI156" s="15">
        <f>'Global Only'!AI156</f>
        <v>4.5781999999999998</v>
      </c>
      <c r="AJ156" s="17">
        <f t="shared" si="19"/>
        <v>1.995298203672984</v>
      </c>
      <c r="AK156" s="15">
        <f t="shared" si="20"/>
        <v>0.22129339261482678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>'Global Only'!L157</f>
        <v>21016.495599999998</v>
      </c>
      <c r="M157" s="15"/>
      <c r="N157" s="15"/>
      <c r="O157" s="15"/>
      <c r="P157" s="15">
        <f t="shared" si="14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5"/>
        <v>26.994012745912951</v>
      </c>
      <c r="W157" s="15">
        <v>3.81664</v>
      </c>
      <c r="X157" s="15"/>
      <c r="Y157" s="15">
        <f t="shared" si="16"/>
        <v>0.14138838993390715</v>
      </c>
      <c r="Z157" s="15"/>
      <c r="AA157" s="16">
        <f t="shared" si="17"/>
        <v>0.14138838993390715</v>
      </c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18"/>
        <v>1366.8846984710401</v>
      </c>
      <c r="AH157" s="17">
        <v>1253.4838089651214</v>
      </c>
      <c r="AI157" s="15">
        <f>'Global Only'!AI157</f>
        <v>4.3501000000000003</v>
      </c>
      <c r="AJ157" s="17">
        <f t="shared" si="19"/>
        <v>2.4910595173775918</v>
      </c>
      <c r="AK157" s="15">
        <f t="shared" si="20"/>
        <v>0.14138838993390715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>'Global Only'!L158</f>
        <v>14491</v>
      </c>
      <c r="M158" s="15"/>
      <c r="N158" s="15"/>
      <c r="O158" s="15"/>
      <c r="P158" s="15">
        <f t="shared" si="14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5"/>
        <v>3.7414808697147515</v>
      </c>
      <c r="W158" s="15">
        <v>3.53912</v>
      </c>
      <c r="X158" s="15"/>
      <c r="Y158" s="15">
        <f t="shared" si="16"/>
        <v>0.94591423108621175</v>
      </c>
      <c r="Z158" s="15"/>
      <c r="AA158" s="16">
        <f t="shared" si="17"/>
        <v>0.94591423108621175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18"/>
        <v>6305.331836428335</v>
      </c>
      <c r="AH158" s="17">
        <v>6235.6352504292518</v>
      </c>
      <c r="AI158" s="15">
        <f>'Global Only'!AI158</f>
        <v>32.750999999999998</v>
      </c>
      <c r="AJ158" s="17">
        <f t="shared" si="19"/>
        <v>0.3379943822430444</v>
      </c>
      <c r="AK158" s="15">
        <f t="shared" si="20"/>
        <v>0.94591423108621175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>'Global Only'!L159</f>
        <v>14491</v>
      </c>
      <c r="M159" s="15"/>
      <c r="N159" s="15"/>
      <c r="O159" s="15"/>
      <c r="P159" s="15">
        <f t="shared" si="14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5"/>
        <v>4.2126406916342445</v>
      </c>
      <c r="W159" s="15">
        <v>3.5299200000000002</v>
      </c>
      <c r="X159" s="15"/>
      <c r="Y159" s="15">
        <f t="shared" si="16"/>
        <v>0.83793521887825884</v>
      </c>
      <c r="Z159" s="15"/>
      <c r="AA159" s="16">
        <f t="shared" si="17"/>
        <v>0.83793521887825884</v>
      </c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18"/>
        <v>5585.55885811183</v>
      </c>
      <c r="AH159" s="17">
        <v>5538.2150313297197</v>
      </c>
      <c r="AI159" s="15">
        <f>'Global Only'!AI159</f>
        <v>15.564</v>
      </c>
      <c r="AJ159" s="17">
        <f t="shared" si="19"/>
        <v>0.52025540178971752</v>
      </c>
      <c r="AK159" s="15">
        <f t="shared" si="20"/>
        <v>0.83793521887825884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>'Global Only'!L160</f>
        <v>14491</v>
      </c>
      <c r="M160" s="15"/>
      <c r="N160" s="15"/>
      <c r="O160" s="15"/>
      <c r="P160" s="15">
        <f t="shared" si="14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5"/>
        <v>5.1204516869014585</v>
      </c>
      <c r="W160" s="15">
        <v>3.6764999999999999</v>
      </c>
      <c r="X160" s="15"/>
      <c r="Y160" s="15">
        <f t="shared" si="16"/>
        <v>0.7180030639493763</v>
      </c>
      <c r="Z160" s="15"/>
      <c r="AA160" s="16">
        <f t="shared" si="17"/>
        <v>0.7180030639493763</v>
      </c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18"/>
        <v>4786.1079038575908</v>
      </c>
      <c r="AH160" s="17">
        <v>4556.3382737662359</v>
      </c>
      <c r="AI160" s="15">
        <f>'Global Only'!AI160</f>
        <v>8.8865999999999996</v>
      </c>
      <c r="AJ160" s="17">
        <f t="shared" si="19"/>
        <v>0.75907785244125403</v>
      </c>
      <c r="AK160" s="15">
        <f t="shared" si="20"/>
        <v>0.7180030639493763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>'Global Only'!L161</f>
        <v>14491</v>
      </c>
      <c r="M161" s="15"/>
      <c r="N161" s="15"/>
      <c r="O161" s="15"/>
      <c r="P161" s="15">
        <f t="shared" si="14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5"/>
        <v>6.5770728502834128</v>
      </c>
      <c r="W161" s="15">
        <v>4.14682</v>
      </c>
      <c r="X161" s="15"/>
      <c r="Y161" s="15">
        <f t="shared" si="16"/>
        <v>0.63049628526181056</v>
      </c>
      <c r="Z161" s="15"/>
      <c r="AA161" s="16">
        <f t="shared" si="17"/>
        <v>0.63049628526181056</v>
      </c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18"/>
        <v>4202.7999680752919</v>
      </c>
      <c r="AH161" s="17">
        <v>3547.2482259330095</v>
      </c>
      <c r="AI161" s="15">
        <f>'Global Only'!AI161</f>
        <v>6.5063000000000004</v>
      </c>
      <c r="AJ161" s="17">
        <f t="shared" si="19"/>
        <v>1.005424083618413</v>
      </c>
      <c r="AK161" s="15">
        <f t="shared" si="20"/>
        <v>0.63049628526181056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>'Global Only'!L162</f>
        <v>14491</v>
      </c>
      <c r="M162" s="15"/>
      <c r="N162" s="15"/>
      <c r="O162" s="15"/>
      <c r="P162" s="15">
        <f t="shared" si="14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5"/>
        <v>9.434872257864372</v>
      </c>
      <c r="W162" s="15">
        <v>4.3995499999999996</v>
      </c>
      <c r="X162" s="15"/>
      <c r="Y162" s="15">
        <f t="shared" si="16"/>
        <v>0.46630732030661948</v>
      </c>
      <c r="Z162" s="15"/>
      <c r="AA162" s="16">
        <f t="shared" si="17"/>
        <v>0.46630732030661948</v>
      </c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18"/>
        <v>3108.3393141390825</v>
      </c>
      <c r="AH162" s="17">
        <v>2472.7955357904307</v>
      </c>
      <c r="AI162" s="15">
        <f>'Global Only'!AI162</f>
        <v>5.3369999999999997</v>
      </c>
      <c r="AJ162" s="17">
        <f t="shared" si="19"/>
        <v>1.3295951150332381</v>
      </c>
      <c r="AK162" s="15">
        <f t="shared" si="20"/>
        <v>0.46630732030661948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>'Global Only'!L163</f>
        <v>14491</v>
      </c>
      <c r="M163" s="15"/>
      <c r="N163" s="15"/>
      <c r="O163" s="15"/>
      <c r="P163" s="15">
        <f t="shared" si="14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5"/>
        <v>13.385613144683566</v>
      </c>
      <c r="W163" s="15">
        <v>4.2398699999999998</v>
      </c>
      <c r="X163" s="15"/>
      <c r="Y163" s="15">
        <f t="shared" si="16"/>
        <v>0.31674828445822606</v>
      </c>
      <c r="Z163" s="15"/>
      <c r="AA163" s="16">
        <f t="shared" si="17"/>
        <v>0.31674828445822606</v>
      </c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18"/>
        <v>2111.3997194387107</v>
      </c>
      <c r="AH163" s="17">
        <v>1742.9541514328239</v>
      </c>
      <c r="AI163" s="15">
        <f>'Global Only'!AI163</f>
        <v>4.8289999999999997</v>
      </c>
      <c r="AJ163" s="17">
        <f t="shared" si="19"/>
        <v>1.6649091188806759</v>
      </c>
      <c r="AK163" s="15">
        <f t="shared" si="20"/>
        <v>0.31674828445822606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>'Global Only'!L164</f>
        <v>14491</v>
      </c>
      <c r="M164" s="15"/>
      <c r="N164" s="15"/>
      <c r="O164" s="15"/>
      <c r="P164" s="15">
        <f t="shared" si="14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5"/>
        <v>18.101502686002885</v>
      </c>
      <c r="W164" s="15">
        <v>3.9976600000000002</v>
      </c>
      <c r="X164" s="15"/>
      <c r="Y164" s="15">
        <f t="shared" si="16"/>
        <v>0.22084685837111298</v>
      </c>
      <c r="Z164" s="15"/>
      <c r="AA164" s="16">
        <f t="shared" si="17"/>
        <v>0.22084685837111298</v>
      </c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18"/>
        <v>1472.1342393416674</v>
      </c>
      <c r="AH164" s="17">
        <v>1288.8714492217537</v>
      </c>
      <c r="AI164" s="15">
        <f>'Global Only'!AI164</f>
        <v>4.5663999999999998</v>
      </c>
      <c r="AJ164" s="17">
        <f t="shared" si="19"/>
        <v>1.9909957767822142</v>
      </c>
      <c r="AK164" s="15">
        <f t="shared" si="20"/>
        <v>0.22084685837111298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>'Global Only'!L165</f>
        <v>14491</v>
      </c>
      <c r="M165" s="15"/>
      <c r="N165" s="15"/>
      <c r="O165" s="15"/>
      <c r="P165" s="15">
        <f t="shared" si="14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5"/>
        <v>26.808449300758216</v>
      </c>
      <c r="W165" s="15">
        <v>3.7838099999999999</v>
      </c>
      <c r="X165" s="15"/>
      <c r="Y165" s="15">
        <f t="shared" si="16"/>
        <v>0.14114244197977477</v>
      </c>
      <c r="Z165" s="15"/>
      <c r="AA165" s="16">
        <f t="shared" si="17"/>
        <v>0.14114244197977477</v>
      </c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18"/>
        <v>940.83575829530139</v>
      </c>
      <c r="AH165" s="17">
        <v>870.26704671575874</v>
      </c>
      <c r="AI165" s="15">
        <f>'Global Only'!AI165</f>
        <v>4.3387000000000002</v>
      </c>
      <c r="AJ165" s="17">
        <f t="shared" si="19"/>
        <v>2.4857419168738839</v>
      </c>
      <c r="AK165" s="15">
        <f t="shared" si="20"/>
        <v>0.14114244197977477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>'Global Only'!L166</f>
        <v>12200.529599999998</v>
      </c>
      <c r="M166" s="15"/>
      <c r="N166" s="15"/>
      <c r="O166" s="15"/>
      <c r="P166" s="15">
        <f t="shared" si="14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5"/>
        <v>3.7326356062671668</v>
      </c>
      <c r="W166" s="15">
        <v>3.3547799999999999</v>
      </c>
      <c r="X166" s="15"/>
      <c r="Y166" s="15">
        <f t="shared" si="16"/>
        <v>0.8987697578534749</v>
      </c>
      <c r="Z166" s="15"/>
      <c r="AA166" s="16">
        <f t="shared" si="17"/>
        <v>0.8987697578534749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18"/>
        <v>5044.1148357670299</v>
      </c>
      <c r="AH166" s="17">
        <v>5262.4618977055443</v>
      </c>
      <c r="AI166" s="15">
        <f>'Global Only'!AI166</f>
        <v>32.808</v>
      </c>
      <c r="AJ166" s="17">
        <f t="shared" si="19"/>
        <v>0.33730122553581526</v>
      </c>
      <c r="AK166" s="15">
        <f t="shared" si="20"/>
        <v>0.8987697578534749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>'Global Only'!L167</f>
        <v>12200.529599999998</v>
      </c>
      <c r="M167" s="15"/>
      <c r="N167" s="15"/>
      <c r="O167" s="15"/>
      <c r="P167" s="15">
        <f t="shared" si="14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5"/>
        <v>4.2026815556597326</v>
      </c>
      <c r="W167" s="15">
        <v>3.4217499999999998</v>
      </c>
      <c r="X167" s="15"/>
      <c r="Y167" s="15">
        <f t="shared" si="16"/>
        <v>0.81418255337284462</v>
      </c>
      <c r="Z167" s="15"/>
      <c r="AA167" s="16">
        <f t="shared" si="17"/>
        <v>0.81418255337284462</v>
      </c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18"/>
        <v>4569.390837425326</v>
      </c>
      <c r="AH167" s="17">
        <v>4673.8855646931079</v>
      </c>
      <c r="AI167" s="15">
        <f>'Global Only'!AI167</f>
        <v>15.58</v>
      </c>
      <c r="AJ167" s="17">
        <f t="shared" si="19"/>
        <v>0.519373175307005</v>
      </c>
      <c r="AK167" s="15">
        <f t="shared" si="20"/>
        <v>0.81418255337284462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>'Global Only'!L168</f>
        <v>12200.529599999998</v>
      </c>
      <c r="M168" s="15"/>
      <c r="N168" s="15"/>
      <c r="O168" s="15"/>
      <c r="P168" s="15">
        <f t="shared" si="14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5"/>
        <v>5.1083463880322624</v>
      </c>
      <c r="W168" s="15">
        <v>3.6213000000000002</v>
      </c>
      <c r="X168" s="15"/>
      <c r="Y168" s="15">
        <f t="shared" si="16"/>
        <v>0.70889867775684001</v>
      </c>
      <c r="Z168" s="15"/>
      <c r="AA168" s="16">
        <f t="shared" si="17"/>
        <v>0.70889867775684001</v>
      </c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18"/>
        <v>3978.5120786316661</v>
      </c>
      <c r="AH168" s="17">
        <v>3845.2468105958719</v>
      </c>
      <c r="AI168" s="15">
        <f>'Global Only'!AI168</f>
        <v>8.8933</v>
      </c>
      <c r="AJ168" s="17">
        <f t="shared" si="19"/>
        <v>0.75789439944360204</v>
      </c>
      <c r="AK168" s="15">
        <f t="shared" si="20"/>
        <v>0.70889867775684001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>'Global Only'!L169</f>
        <v>12200.529599999998</v>
      </c>
      <c r="M169" s="15"/>
      <c r="N169" s="15"/>
      <c r="O169" s="15"/>
      <c r="P169" s="15">
        <f t="shared" si="14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5"/>
        <v>6.561523942217196</v>
      </c>
      <c r="W169" s="15">
        <v>4.0751900000000001</v>
      </c>
      <c r="X169" s="15"/>
      <c r="Y169" s="15">
        <f t="shared" si="16"/>
        <v>0.62107370724962374</v>
      </c>
      <c r="Z169" s="15"/>
      <c r="AA169" s="16">
        <f t="shared" si="17"/>
        <v>0.62107370724962374</v>
      </c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18"/>
        <v>3485.6169485771534</v>
      </c>
      <c r="AH169" s="17">
        <v>2993.6418473789045</v>
      </c>
      <c r="AI169" s="15">
        <f>'Global Only'!AI169</f>
        <v>6.5060000000000002</v>
      </c>
      <c r="AJ169" s="17">
        <f t="shared" si="19"/>
        <v>1.0042580680140989</v>
      </c>
      <c r="AK169" s="15">
        <f t="shared" si="20"/>
        <v>0.62107370724962374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>'Global Only'!L170</f>
        <v>12200.529599999998</v>
      </c>
      <c r="M170" s="15"/>
      <c r="N170" s="15"/>
      <c r="O170" s="15"/>
      <c r="P170" s="15">
        <f t="shared" si="14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5"/>
        <v>9.4125672044320208</v>
      </c>
      <c r="W170" s="15">
        <v>4.3462399999999999</v>
      </c>
      <c r="X170" s="15"/>
      <c r="Y170" s="15">
        <f t="shared" si="16"/>
        <v>0.46174862878572814</v>
      </c>
      <c r="Z170" s="15"/>
      <c r="AA170" s="16">
        <f t="shared" si="17"/>
        <v>0.46174862878572814</v>
      </c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18"/>
        <v>2591.4457940994562</v>
      </c>
      <c r="AH170" s="17">
        <v>2086.8751563070832</v>
      </c>
      <c r="AI170" s="15">
        <f>'Global Only'!AI170</f>
        <v>5.3364000000000003</v>
      </c>
      <c r="AJ170" s="17">
        <f t="shared" si="19"/>
        <v>1.328097188311</v>
      </c>
      <c r="AK170" s="15">
        <f t="shared" si="20"/>
        <v>0.46174862878572814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>'Global Only'!L171</f>
        <v>12200.529599999998</v>
      </c>
      <c r="M171" s="15"/>
      <c r="N171" s="15"/>
      <c r="O171" s="15"/>
      <c r="P171" s="15">
        <f t="shared" si="14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5"/>
        <v>13.353968114601885</v>
      </c>
      <c r="W171" s="15">
        <v>4.2119200000000001</v>
      </c>
      <c r="X171" s="15"/>
      <c r="Y171" s="15">
        <f t="shared" si="16"/>
        <v>0.31540587515664947</v>
      </c>
      <c r="Z171" s="15"/>
      <c r="AA171" s="16">
        <f t="shared" si="17"/>
        <v>0.31540587515664947</v>
      </c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18"/>
        <v>1770.134609296799</v>
      </c>
      <c r="AH171" s="17">
        <v>1470.9375136609424</v>
      </c>
      <c r="AI171" s="15">
        <f>'Global Only'!AI171</f>
        <v>4.8281999999999998</v>
      </c>
      <c r="AJ171" s="17">
        <f t="shared" si="19"/>
        <v>1.6630777054149786</v>
      </c>
      <c r="AK171" s="15">
        <f t="shared" si="20"/>
        <v>0.31540587515664947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>'Global Only'!L172</f>
        <v>12200.529599999998</v>
      </c>
      <c r="M172" s="15"/>
      <c r="N172" s="15"/>
      <c r="O172" s="15"/>
      <c r="P172" s="15">
        <f t="shared" si="14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5"/>
        <v>18.058708785504582</v>
      </c>
      <c r="W172" s="15">
        <v>3.9764699999999999</v>
      </c>
      <c r="X172" s="15"/>
      <c r="Y172" s="15">
        <f t="shared" si="16"/>
        <v>0.2201968062739815</v>
      </c>
      <c r="Z172" s="15"/>
      <c r="AA172" s="16">
        <f t="shared" si="17"/>
        <v>0.2201968062739815</v>
      </c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18"/>
        <v>1235.7981202747412</v>
      </c>
      <c r="AH172" s="17">
        <v>1087.7218791947616</v>
      </c>
      <c r="AI172" s="15">
        <f>'Global Only'!AI172</f>
        <v>4.5655000000000001</v>
      </c>
      <c r="AJ172" s="17">
        <f t="shared" si="19"/>
        <v>1.9888369214111419</v>
      </c>
      <c r="AK172" s="15">
        <f t="shared" si="20"/>
        <v>0.2201968062739815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>'Global Only'!L173</f>
        <v>12200.529599999998</v>
      </c>
      <c r="M173" s="15"/>
      <c r="N173" s="15"/>
      <c r="O173" s="15"/>
      <c r="P173" s="15">
        <f t="shared" si="14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5"/>
        <v>26.745071241389855</v>
      </c>
      <c r="W173" s="15">
        <v>3.7653599999999998</v>
      </c>
      <c r="X173" s="15"/>
      <c r="Y173" s="15">
        <f t="shared" si="16"/>
        <v>0.14078706188573706</v>
      </c>
      <c r="Z173" s="15"/>
      <c r="AA173" s="16">
        <f t="shared" si="17"/>
        <v>0.14078706188573706</v>
      </c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18"/>
        <v>790.1312892836246</v>
      </c>
      <c r="AH173" s="17">
        <v>734.44757274010624</v>
      </c>
      <c r="AI173" s="15">
        <f>'Global Only'!AI173</f>
        <v>4.3377999999999997</v>
      </c>
      <c r="AJ173" s="17">
        <f t="shared" si="19"/>
        <v>2.4830594480876407</v>
      </c>
      <c r="AK173" s="15">
        <f t="shared" si="20"/>
        <v>0.14078706188573706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>'Global Only'!L174</f>
        <v>9322.3935999999994</v>
      </c>
      <c r="M174" s="15"/>
      <c r="N174" s="15"/>
      <c r="O174" s="15"/>
      <c r="P174" s="15">
        <f t="shared" si="14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5"/>
        <v>3.6713216993545985</v>
      </c>
      <c r="W174" s="15">
        <v>2.8226</v>
      </c>
      <c r="X174" s="15"/>
      <c r="Y174" s="15">
        <f t="shared" si="16"/>
        <v>0.76882393621245448</v>
      </c>
      <c r="Z174" s="15"/>
      <c r="AA174" s="16">
        <f t="shared" si="17"/>
        <v>0.76882393621245448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18"/>
        <v>3296.9484975379455</v>
      </c>
      <c r="AH174" s="17">
        <v>4088.1881036571986</v>
      </c>
      <c r="AI174" s="15">
        <f>'Global Only'!AI174</f>
        <v>32.468000000000004</v>
      </c>
      <c r="AJ174" s="17">
        <f t="shared" si="19"/>
        <v>0.33626638258822239</v>
      </c>
      <c r="AK174" s="15">
        <f t="shared" si="20"/>
        <v>0.76882393621245448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>'Global Only'!L175</f>
        <v>9322.3935999999994</v>
      </c>
      <c r="M175" s="15"/>
      <c r="N175" s="15"/>
      <c r="O175" s="15"/>
      <c r="P175" s="15">
        <f t="shared" si="14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5"/>
        <v>4.0765559958385209</v>
      </c>
      <c r="W175" s="15">
        <v>2.9322699999999999</v>
      </c>
      <c r="X175" s="15"/>
      <c r="Y175" s="15">
        <f t="shared" si="16"/>
        <v>0.71930080268573648</v>
      </c>
      <c r="Z175" s="15"/>
      <c r="AA175" s="16">
        <f t="shared" si="17"/>
        <v>0.71930080268573648</v>
      </c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18"/>
        <v>3084.5783917388912</v>
      </c>
      <c r="AH175" s="17">
        <v>3681.7975053750579</v>
      </c>
      <c r="AI175" s="15">
        <f>'Global Only'!AI175</f>
        <v>15.195</v>
      </c>
      <c r="AJ175" s="17">
        <f t="shared" si="19"/>
        <v>0.51796015706479059</v>
      </c>
      <c r="AK175" s="15">
        <f t="shared" si="20"/>
        <v>0.71930080268573648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>'Global Only'!L176</f>
        <v>9322.3935999999994</v>
      </c>
      <c r="M176" s="15"/>
      <c r="N176" s="15"/>
      <c r="O176" s="15"/>
      <c r="P176" s="15">
        <f t="shared" si="14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5"/>
        <v>4.8171853723260085</v>
      </c>
      <c r="W176" s="15">
        <v>3.1542699999999999</v>
      </c>
      <c r="X176" s="15"/>
      <c r="Y176" s="15">
        <f t="shared" si="16"/>
        <v>0.6547952292060002</v>
      </c>
      <c r="Z176" s="15"/>
      <c r="AA176" s="16">
        <f t="shared" si="17"/>
        <v>0.6547952292060002</v>
      </c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18"/>
        <v>2807.9590728678527</v>
      </c>
      <c r="AH176" s="17">
        <v>3115.730978970565</v>
      </c>
      <c r="AI176" s="15">
        <f>'Global Only'!AI176</f>
        <v>8.4298999999999999</v>
      </c>
      <c r="AJ176" s="17">
        <f t="shared" si="19"/>
        <v>0.75593676547737587</v>
      </c>
      <c r="AK176" s="15">
        <f t="shared" si="20"/>
        <v>0.6547952292060002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>'Global Only'!L177</f>
        <v>9322.3935999999994</v>
      </c>
      <c r="M177" s="15"/>
      <c r="N177" s="15"/>
      <c r="O177" s="15"/>
      <c r="P177" s="15">
        <f t="shared" si="14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5"/>
        <v>5.9791201751421221</v>
      </c>
      <c r="W177" s="15">
        <v>3.4764200000000001</v>
      </c>
      <c r="X177" s="15"/>
      <c r="Y177" s="15">
        <f t="shared" si="16"/>
        <v>0.58142668121190033</v>
      </c>
      <c r="Z177" s="15"/>
      <c r="AA177" s="16">
        <f t="shared" si="17"/>
        <v>0.58142668121190033</v>
      </c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18"/>
        <v>2493.3326510275674</v>
      </c>
      <c r="AH177" s="17">
        <v>2510.2445270124108</v>
      </c>
      <c r="AI177" s="15">
        <f>'Global Only'!AI177</f>
        <v>5.9522000000000004</v>
      </c>
      <c r="AJ177" s="17">
        <f t="shared" si="19"/>
        <v>1.0022588123407918</v>
      </c>
      <c r="AK177" s="15">
        <f t="shared" si="20"/>
        <v>0.58142668121190033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>'Global Only'!L178</f>
        <v>9322.3935999999994</v>
      </c>
      <c r="M178" s="15"/>
      <c r="N178" s="15"/>
      <c r="O178" s="15"/>
      <c r="P178" s="15">
        <f t="shared" si="14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5"/>
        <v>8.2936919184958953</v>
      </c>
      <c r="W178" s="15">
        <v>3.6753399999999998</v>
      </c>
      <c r="X178" s="15"/>
      <c r="Y178" s="15">
        <f t="shared" si="16"/>
        <v>0.44314884566709856</v>
      </c>
      <c r="Z178" s="15"/>
      <c r="AA178" s="16">
        <f t="shared" si="17"/>
        <v>0.44314884566709856</v>
      </c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18"/>
        <v>1900.3556628393997</v>
      </c>
      <c r="AH178" s="17">
        <v>1809.6951084628629</v>
      </c>
      <c r="AI178" s="15">
        <f>'Global Only'!AI178</f>
        <v>4.7203999999999997</v>
      </c>
      <c r="AJ178" s="17">
        <f t="shared" si="19"/>
        <v>1.3255147003838914</v>
      </c>
      <c r="AK178" s="15">
        <f t="shared" si="20"/>
        <v>0.44314884566709856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>'Global Only'!L179</f>
        <v>9322.3935999999994</v>
      </c>
      <c r="M179" s="15"/>
      <c r="N179" s="15"/>
      <c r="O179" s="15"/>
      <c r="P179" s="15">
        <f t="shared" si="14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5"/>
        <v>11.553467351822054</v>
      </c>
      <c r="W179" s="15">
        <v>3.5762</v>
      </c>
      <c r="X179" s="15"/>
      <c r="Y179" s="15">
        <f t="shared" si="16"/>
        <v>0.30953478216528746</v>
      </c>
      <c r="Z179" s="15"/>
      <c r="AA179" s="16">
        <f t="shared" si="17"/>
        <v>0.30953478216528746</v>
      </c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18"/>
        <v>1327.3783332281321</v>
      </c>
      <c r="AH179" s="17">
        <v>1299.0951754092227</v>
      </c>
      <c r="AI179" s="15">
        <f>'Global Only'!AI179</f>
        <v>4.1933999999999996</v>
      </c>
      <c r="AJ179" s="17">
        <f t="shared" si="19"/>
        <v>1.6598659853686402</v>
      </c>
      <c r="AK179" s="15">
        <f t="shared" si="20"/>
        <v>0.30953478216528746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>'Global Only'!L180</f>
        <v>9322.3935999999994</v>
      </c>
      <c r="M180" s="15"/>
      <c r="N180" s="15"/>
      <c r="O180" s="15"/>
      <c r="P180" s="15">
        <f t="shared" si="14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5"/>
        <v>15.477786505787755</v>
      </c>
      <c r="W180" s="15">
        <v>3.3670900000000001</v>
      </c>
      <c r="X180" s="15"/>
      <c r="Y180" s="15">
        <f t="shared" si="16"/>
        <v>0.21754338055644534</v>
      </c>
      <c r="Z180" s="15"/>
      <c r="AA180" s="16">
        <f t="shared" si="17"/>
        <v>0.21754338055644534</v>
      </c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18"/>
        <v>932.89150856601441</v>
      </c>
      <c r="AH180" s="17">
        <v>969.71577236754888</v>
      </c>
      <c r="AI180" s="15">
        <f>'Global Only'!AI180</f>
        <v>3.9281000000000001</v>
      </c>
      <c r="AJ180" s="17">
        <f t="shared" si="19"/>
        <v>1.9850120992672451</v>
      </c>
      <c r="AK180" s="15">
        <f t="shared" si="20"/>
        <v>0.21754338055644534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>'Global Only'!L181</f>
        <v>9322.3935999999994</v>
      </c>
      <c r="M181" s="15"/>
      <c r="N181" s="15"/>
      <c r="O181" s="15"/>
      <c r="P181" s="15">
        <f t="shared" si="14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5"/>
        <v>22.749923596995465</v>
      </c>
      <c r="W181" s="15">
        <v>3.1710699999999998</v>
      </c>
      <c r="X181" s="15"/>
      <c r="Y181" s="15">
        <f t="shared" si="16"/>
        <v>0.13938816042524188</v>
      </c>
      <c r="Z181" s="15"/>
      <c r="AA181" s="16">
        <f t="shared" si="17"/>
        <v>0.13938816042524188</v>
      </c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18"/>
        <v>597.73839554546214</v>
      </c>
      <c r="AH181" s="17">
        <v>659.7408396563676</v>
      </c>
      <c r="AI181" s="15">
        <f>'Global Only'!AI181</f>
        <v>3.7039</v>
      </c>
      <c r="AJ181" s="17">
        <f t="shared" si="19"/>
        <v>2.4783369095091596</v>
      </c>
      <c r="AK181" s="15">
        <f t="shared" si="20"/>
        <v>0.13938816042524188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>'Global Only'!L182</f>
        <v>6717.7755999999999</v>
      </c>
      <c r="M182" s="15"/>
      <c r="N182" s="15"/>
      <c r="O182" s="15"/>
      <c r="P182" s="15">
        <f t="shared" si="14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5"/>
        <v>3.6006690239228165</v>
      </c>
      <c r="W182" s="15">
        <v>2.28972</v>
      </c>
      <c r="X182" s="15"/>
      <c r="Y182" s="15">
        <f t="shared" si="16"/>
        <v>0.63591515487458539</v>
      </c>
      <c r="Z182" s="15"/>
      <c r="AA182" s="16">
        <f t="shared" si="17"/>
        <v>0.63591515487458539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18"/>
        <v>1965.0902430998867</v>
      </c>
      <c r="AH182" s="17">
        <v>3003.7803097538581</v>
      </c>
      <c r="AI182" s="15">
        <f>'Global Only'!AI182</f>
        <v>39</v>
      </c>
      <c r="AJ182" s="17">
        <f t="shared" si="19"/>
        <v>0.30385003993294407</v>
      </c>
      <c r="AK182" s="15">
        <f t="shared" si="20"/>
        <v>0.63591515487458539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>'Global Only'!L183</f>
        <v>6717.7755999999999</v>
      </c>
      <c r="M183" s="15"/>
      <c r="N183" s="15"/>
      <c r="O183" s="15"/>
      <c r="P183" s="15">
        <f t="shared" si="14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5"/>
        <v>3.9352449255923623</v>
      </c>
      <c r="W183" s="15">
        <v>2.29495</v>
      </c>
      <c r="X183" s="15"/>
      <c r="Y183" s="15">
        <f t="shared" si="16"/>
        <v>0.58317844083225578</v>
      </c>
      <c r="Z183" s="15"/>
      <c r="AA183" s="16">
        <f t="shared" si="17"/>
        <v>0.58317844083225578</v>
      </c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18"/>
        <v>1802.1244741237267</v>
      </c>
      <c r="AH183" s="17">
        <v>2748.3978559153984</v>
      </c>
      <c r="AI183" s="15">
        <f>'Global Only'!AI183</f>
        <v>14.771000000000001</v>
      </c>
      <c r="AJ183" s="17">
        <f t="shared" si="19"/>
        <v>0.51615594604593384</v>
      </c>
      <c r="AK183" s="15">
        <f t="shared" si="20"/>
        <v>0.58317844083225578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>'Global Only'!L184</f>
        <v>6717.7755999999999</v>
      </c>
      <c r="M184" s="15"/>
      <c r="N184" s="15"/>
      <c r="O184" s="15"/>
      <c r="P184" s="15">
        <f t="shared" si="14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5"/>
        <v>4.5055254451011866</v>
      </c>
      <c r="W184" s="15">
        <v>2.3121700000000001</v>
      </c>
      <c r="X184" s="15"/>
      <c r="Y184" s="15">
        <f t="shared" si="16"/>
        <v>0.51318542713236692</v>
      </c>
      <c r="Z184" s="15"/>
      <c r="AA184" s="16">
        <f t="shared" si="17"/>
        <v>0.51318542713236692</v>
      </c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18"/>
        <v>1585.8336887060809</v>
      </c>
      <c r="AH184" s="17">
        <v>2400.5232792014785</v>
      </c>
      <c r="AI184" s="15">
        <f>'Global Only'!AI184</f>
        <v>7.9382999999999999</v>
      </c>
      <c r="AJ184" s="17">
        <f t="shared" si="19"/>
        <v>0.75337112316390009</v>
      </c>
      <c r="AK184" s="15">
        <f t="shared" si="20"/>
        <v>0.51318542713236692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>'Global Only'!L185</f>
        <v>6717.7755999999999</v>
      </c>
      <c r="M185" s="15"/>
      <c r="N185" s="15"/>
      <c r="O185" s="15"/>
      <c r="P185" s="15">
        <f t="shared" si="14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5"/>
        <v>5.3597659123036951</v>
      </c>
      <c r="W185" s="15">
        <v>2.4452400000000001</v>
      </c>
      <c r="X185" s="15"/>
      <c r="Y185" s="15">
        <f t="shared" si="16"/>
        <v>0.45622141713069797</v>
      </c>
      <c r="Z185" s="15"/>
      <c r="AA185" s="16">
        <f t="shared" si="17"/>
        <v>0.45622141713069797</v>
      </c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18"/>
        <v>1409.8048279310915</v>
      </c>
      <c r="AH185" s="17">
        <v>2017.9274417884624</v>
      </c>
      <c r="AI185" s="15">
        <f>'Global Only'!AI185</f>
        <v>5.3654999999999999</v>
      </c>
      <c r="AJ185" s="17">
        <f t="shared" si="19"/>
        <v>0.99946550922426292</v>
      </c>
      <c r="AK185" s="15">
        <f t="shared" si="20"/>
        <v>0.45622141713069797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>'Global Only'!L186</f>
        <v>6717.7755999999999</v>
      </c>
      <c r="M186" s="15"/>
      <c r="N186" s="15"/>
      <c r="O186" s="15"/>
      <c r="P186" s="15">
        <f t="shared" si="14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5"/>
        <v>7.0726056165501285</v>
      </c>
      <c r="W186" s="15">
        <v>2.59483</v>
      </c>
      <c r="X186" s="15"/>
      <c r="Y186" s="15">
        <f t="shared" si="16"/>
        <v>0.36688458832315107</v>
      </c>
      <c r="Z186" s="15"/>
      <c r="AA186" s="16">
        <f t="shared" si="17"/>
        <v>0.36688458832315107</v>
      </c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18"/>
        <v>1133.7382343085224</v>
      </c>
      <c r="AH186" s="17">
        <v>1529.2268935074082</v>
      </c>
      <c r="AI186" s="15">
        <f>'Global Only'!AI186</f>
        <v>4.0476999999999999</v>
      </c>
      <c r="AJ186" s="17">
        <f t="shared" si="19"/>
        <v>1.3218603090413346</v>
      </c>
      <c r="AK186" s="15">
        <f t="shared" si="20"/>
        <v>0.36688458832315107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>'Global Only'!L187</f>
        <v>6717.7755999999999</v>
      </c>
      <c r="M187" s="15"/>
      <c r="N187" s="15"/>
      <c r="O187" s="15"/>
      <c r="P187" s="15">
        <f t="shared" si="14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5"/>
        <v>9.5518900091456018</v>
      </c>
      <c r="W187" s="15">
        <v>2.6198299999999999</v>
      </c>
      <c r="X187" s="15"/>
      <c r="Y187" s="15">
        <f t="shared" si="16"/>
        <v>0.27427346812951198</v>
      </c>
      <c r="Z187" s="15"/>
      <c r="AA187" s="16">
        <f t="shared" si="17"/>
        <v>0.27427346812951198</v>
      </c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18"/>
        <v>847.55350148679383</v>
      </c>
      <c r="AH187" s="17">
        <v>1132.3014299415529</v>
      </c>
      <c r="AI187" s="15">
        <f>'Global Only'!AI187</f>
        <v>3.4861</v>
      </c>
      <c r="AJ187" s="17">
        <f t="shared" si="19"/>
        <v>1.6552924569813499</v>
      </c>
      <c r="AK187" s="15">
        <f t="shared" si="20"/>
        <v>0.27427346812951198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>'Global Only'!L188</f>
        <v>6717.7755999999999</v>
      </c>
      <c r="M188" s="15"/>
      <c r="N188" s="15"/>
      <c r="O188" s="15"/>
      <c r="P188" s="15">
        <f t="shared" si="14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5"/>
        <v>12.586265108141232</v>
      </c>
      <c r="W188" s="15">
        <v>2.54535</v>
      </c>
      <c r="X188" s="15"/>
      <c r="Y188" s="15">
        <f t="shared" si="16"/>
        <v>0.20223235234045558</v>
      </c>
      <c r="Z188" s="15"/>
      <c r="AA188" s="16">
        <f t="shared" si="17"/>
        <v>0.20223235234045558</v>
      </c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18"/>
        <v>624.93371855832504</v>
      </c>
      <c r="AH188" s="17">
        <v>859.31915648305255</v>
      </c>
      <c r="AI188" s="15">
        <f>'Global Only'!AI188</f>
        <v>3.2118000000000002</v>
      </c>
      <c r="AJ188" s="17">
        <f t="shared" si="19"/>
        <v>1.9795851657045125</v>
      </c>
      <c r="AK188" s="15">
        <f t="shared" si="20"/>
        <v>0.20223235234045558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>'Global Only'!L189</f>
        <v>6717.7755999999999</v>
      </c>
      <c r="M189" s="15"/>
      <c r="N189" s="15"/>
      <c r="O189" s="15"/>
      <c r="P189" s="15">
        <f t="shared" si="14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5"/>
        <v>18.25571419009334</v>
      </c>
      <c r="W189" s="15">
        <v>2.4163100000000002</v>
      </c>
      <c r="X189" s="15"/>
      <c r="Y189" s="15">
        <f t="shared" si="16"/>
        <v>0.13235910547456078</v>
      </c>
      <c r="Z189" s="15"/>
      <c r="AA189" s="16">
        <f t="shared" si="17"/>
        <v>0.13235910547456078</v>
      </c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18"/>
        <v>409.0130338296222</v>
      </c>
      <c r="AH189" s="17">
        <v>592.45114178382642</v>
      </c>
      <c r="AI189" s="15">
        <f>'Global Only'!AI189</f>
        <v>2.9883999999999999</v>
      </c>
      <c r="AJ189" s="17">
        <f t="shared" si="19"/>
        <v>2.4716106054094023</v>
      </c>
      <c r="AK189" s="15">
        <f t="shared" si="20"/>
        <v>0.13235910547456078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>'Global Only'!L190</f>
        <v>4973.8396000000002</v>
      </c>
      <c r="M190" s="15"/>
      <c r="N190" s="15"/>
      <c r="O190" s="15"/>
      <c r="P190" s="15">
        <f t="shared" si="14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5"/>
        <v>3.5415234012886536</v>
      </c>
      <c r="W190" s="15">
        <v>1.9675499999999999</v>
      </c>
      <c r="X190" s="15"/>
      <c r="Y190" s="15">
        <f t="shared" si="16"/>
        <v>0.55556600283484436</v>
      </c>
      <c r="Z190" s="15"/>
      <c r="AA190" s="16">
        <f t="shared" si="17"/>
        <v>0.55556600283484436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18"/>
        <v>1271.1162452442843</v>
      </c>
      <c r="AH190" s="17">
        <v>2261.1404326980228</v>
      </c>
      <c r="AI190" s="15">
        <f>'Global Only'!AI190</f>
        <v>39</v>
      </c>
      <c r="AJ190" s="17">
        <f t="shared" si="19"/>
        <v>0.30134414270188614</v>
      </c>
      <c r="AK190" s="15">
        <f t="shared" si="20"/>
        <v>0.55556600283484436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>'Global Only'!L191</f>
        <v>4973.8396000000002</v>
      </c>
      <c r="M191" s="15"/>
      <c r="N191" s="15"/>
      <c r="O191" s="15"/>
      <c r="P191" s="15">
        <f t="shared" si="14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5"/>
        <v>3.8212102698874664</v>
      </c>
      <c r="W191" s="15">
        <v>1.95489</v>
      </c>
      <c r="X191" s="15"/>
      <c r="Y191" s="15">
        <f t="shared" si="16"/>
        <v>0.511589224860314</v>
      </c>
      <c r="Z191" s="15"/>
      <c r="AA191" s="16">
        <f t="shared" si="17"/>
        <v>0.511589224860314</v>
      </c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18"/>
        <v>1170.4988629500258</v>
      </c>
      <c r="AH191" s="17">
        <v>2095.6401742937405</v>
      </c>
      <c r="AI191" s="15">
        <f>'Global Only'!AI191</f>
        <v>14.439</v>
      </c>
      <c r="AJ191" s="17">
        <f t="shared" si="19"/>
        <v>0.51443666005993438</v>
      </c>
      <c r="AK191" s="15">
        <f t="shared" si="20"/>
        <v>0.511589224860314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>'Global Only'!L192</f>
        <v>4973.8396000000002</v>
      </c>
      <c r="M192" s="15"/>
      <c r="N192" s="15"/>
      <c r="O192" s="15"/>
      <c r="P192" s="15">
        <f t="shared" si="14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5"/>
        <v>4.2689671502281747</v>
      </c>
      <c r="W192" s="15">
        <v>1.8306800000000001</v>
      </c>
      <c r="X192" s="15"/>
      <c r="Y192" s="15">
        <f t="shared" si="16"/>
        <v>0.42883440785018712</v>
      </c>
      <c r="Z192" s="15"/>
      <c r="AA192" s="16">
        <f t="shared" si="17"/>
        <v>0.42883440785018712</v>
      </c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18"/>
        <v>981.15863741959333</v>
      </c>
      <c r="AH192" s="17">
        <v>1875.8358811854484</v>
      </c>
      <c r="AI192" s="15">
        <f>'Global Only'!AI192</f>
        <v>7.5705999999999998</v>
      </c>
      <c r="AJ192" s="17">
        <f t="shared" si="19"/>
        <v>0.75092446922439027</v>
      </c>
      <c r="AK192" s="15">
        <f t="shared" si="20"/>
        <v>0.42883440785018712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>'Global Only'!L193</f>
        <v>4973.8396000000002</v>
      </c>
      <c r="M193" s="15"/>
      <c r="N193" s="15"/>
      <c r="O193" s="15"/>
      <c r="P193" s="15">
        <f t="shared" si="14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5"/>
        <v>4.9027236055217616</v>
      </c>
      <c r="W193" s="15">
        <v>1.75437</v>
      </c>
      <c r="X193" s="15"/>
      <c r="Y193" s="15">
        <f t="shared" si="16"/>
        <v>0.35783579519435199</v>
      </c>
      <c r="Z193" s="15"/>
      <c r="AA193" s="16">
        <f t="shared" si="17"/>
        <v>0.35783579519435199</v>
      </c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18"/>
        <v>818.7162102801725</v>
      </c>
      <c r="AH193" s="17">
        <v>1633.3537030276418</v>
      </c>
      <c r="AI193" s="15">
        <f>'Global Only'!AI193</f>
        <v>4.9366000000000003</v>
      </c>
      <c r="AJ193" s="17">
        <f t="shared" si="19"/>
        <v>0.99656294694919034</v>
      </c>
      <c r="AK193" s="15">
        <f t="shared" si="20"/>
        <v>0.35783579519435199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>'Global Only'!L194</f>
        <v>4973.8396000000002</v>
      </c>
      <c r="M194" s="15"/>
      <c r="N194" s="15"/>
      <c r="O194" s="15"/>
      <c r="P194" s="15">
        <f t="shared" si="14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5"/>
        <v>6.1547572996304245</v>
      </c>
      <c r="W194" s="15">
        <v>1.70068</v>
      </c>
      <c r="X194" s="15"/>
      <c r="Y194" s="15">
        <f t="shared" si="16"/>
        <v>0.27631958779302651</v>
      </c>
      <c r="Z194" s="15"/>
      <c r="AA194" s="16">
        <f t="shared" si="17"/>
        <v>0.27631958779302651</v>
      </c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18"/>
        <v>632.20988168949077</v>
      </c>
      <c r="AH194" s="17">
        <v>1301.0881446910751</v>
      </c>
      <c r="AI194" s="15">
        <f>'Global Only'!AI194</f>
        <v>3.5430000000000001</v>
      </c>
      <c r="AJ194" s="17">
        <f t="shared" si="19"/>
        <v>1.3180135948436238</v>
      </c>
      <c r="AK194" s="15">
        <f t="shared" si="20"/>
        <v>0.27631958779302651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>'Global Only'!L195</f>
        <v>4973.8396000000002</v>
      </c>
      <c r="M195" s="15"/>
      <c r="N195" s="15"/>
      <c r="O195" s="15"/>
      <c r="P195" s="15">
        <f t="shared" si="14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5"/>
        <v>8.007981479592317</v>
      </c>
      <c r="W195" s="15">
        <v>1.67387</v>
      </c>
      <c r="X195" s="15"/>
      <c r="Y195" s="15">
        <f t="shared" si="16"/>
        <v>0.20902520869531482</v>
      </c>
      <c r="Z195" s="15"/>
      <c r="AA195" s="16">
        <f t="shared" si="17"/>
        <v>0.20902520869531482</v>
      </c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18"/>
        <v>478.24261578722979</v>
      </c>
      <c r="AH195" s="17">
        <v>999.98754697515585</v>
      </c>
      <c r="AI195" s="15">
        <f>'Global Only'!AI195</f>
        <v>2.9394</v>
      </c>
      <c r="AJ195" s="17">
        <f t="shared" si="19"/>
        <v>1.6505633026418189</v>
      </c>
      <c r="AK195" s="15">
        <f t="shared" si="20"/>
        <v>0.20902520869531482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>'Global Only'!L196</f>
        <v>4973.8396000000002</v>
      </c>
      <c r="M196" s="15"/>
      <c r="N196" s="15"/>
      <c r="O196" s="15"/>
      <c r="P196" s="15">
        <f t="shared" si="14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5"/>
        <v>10.325752113568109</v>
      </c>
      <c r="W196" s="15">
        <v>1.64977</v>
      </c>
      <c r="X196" s="15"/>
      <c r="Y196" s="15">
        <f t="shared" si="16"/>
        <v>0.15977238092246965</v>
      </c>
      <c r="Z196" s="15"/>
      <c r="AA196" s="16">
        <f t="shared" si="17"/>
        <v>0.15977238092246965</v>
      </c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18"/>
        <v>365.55380980049347</v>
      </c>
      <c r="AH196" s="17">
        <v>775.52527582737423</v>
      </c>
      <c r="AI196" s="15">
        <f>'Global Only'!AI196</f>
        <v>2.6501999999999999</v>
      </c>
      <c r="AJ196" s="17">
        <f t="shared" si="19"/>
        <v>1.9738835268282688</v>
      </c>
      <c r="AK196" s="15">
        <f t="shared" si="20"/>
        <v>0.15977238092246965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>'Global Only'!L197</f>
        <v>4973.8396000000002</v>
      </c>
      <c r="M197" s="42"/>
      <c r="N197" s="42"/>
      <c r="O197" s="42"/>
      <c r="P197" s="42">
        <f t="shared" si="14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5"/>
        <v>14.714210865269832</v>
      </c>
      <c r="W197" s="42">
        <v>1.6167</v>
      </c>
      <c r="X197" s="42"/>
      <c r="Y197" s="42">
        <f t="shared" si="16"/>
        <v>0.10987337444075379</v>
      </c>
      <c r="Z197" s="42"/>
      <c r="AA197" s="41">
        <f t="shared" si="17"/>
        <v>0.10987337444075379</v>
      </c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18"/>
        <v>251.38656875836256</v>
      </c>
      <c r="AH197" s="43">
        <v>544.22774210074158</v>
      </c>
      <c r="AI197" s="42">
        <f>'Global Only'!AI197</f>
        <v>2.4226999999999999</v>
      </c>
      <c r="AJ197" s="43">
        <f t="shared" si="19"/>
        <v>2.4644423773291781</v>
      </c>
      <c r="AK197" s="42">
        <f t="shared" si="20"/>
        <v>0.10987337444075379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>'Global Only'!L198</f>
        <v>14406.55</v>
      </c>
      <c r="M198" s="49"/>
      <c r="N198" s="49"/>
      <c r="O198" s="49"/>
      <c r="P198" s="49">
        <f t="shared" si="14"/>
        <v>288390694.1583333</v>
      </c>
      <c r="Q198" s="49"/>
      <c r="R198" s="49"/>
      <c r="S198" s="49">
        <v>1354.8272571390148</v>
      </c>
      <c r="T198" s="49">
        <v>355</v>
      </c>
      <c r="U198" s="49">
        <v>210000</v>
      </c>
      <c r="V198" s="49">
        <f t="shared" si="15"/>
        <v>3.7748910224908725</v>
      </c>
      <c r="W198" s="49">
        <v>3.6343700000000001</v>
      </c>
      <c r="X198" s="49"/>
      <c r="Y198" s="49">
        <f t="shared" si="16"/>
        <v>0.96277481345722415</v>
      </c>
      <c r="Z198" s="49"/>
      <c r="AA198" s="51">
        <f t="shared" si="17"/>
        <v>0.96277481345722415</v>
      </c>
      <c r="AB198" s="49">
        <v>0.3550200773318104</v>
      </c>
      <c r="AC198" s="52">
        <v>0.3</v>
      </c>
      <c r="AD198" s="49"/>
      <c r="AE198" s="49" t="s">
        <v>528</v>
      </c>
      <c r="AF198" s="53" t="s">
        <v>5</v>
      </c>
      <c r="AG198" s="52">
        <f t="shared" si="18"/>
        <v>4923.9435385283214</v>
      </c>
      <c r="AH198" s="52">
        <v>4741.8953999865516</v>
      </c>
      <c r="AI198" s="49">
        <f>'Global Only'!AI198</f>
        <v>40.722000000000001</v>
      </c>
      <c r="AJ198" s="52">
        <f t="shared" si="19"/>
        <v>0.30446519928076798</v>
      </c>
      <c r="AK198" s="49">
        <f t="shared" si="20"/>
        <v>0.96277481345722415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>'Global Only'!L199</f>
        <v>14406.55</v>
      </c>
      <c r="M199" s="25"/>
      <c r="N199" s="25"/>
      <c r="O199" s="25"/>
      <c r="P199" s="25">
        <f t="shared" ref="P199:P262" si="21">(H199*(E199-2*F199)^3)/12 + (C199*F199^3)/6 + 2*C199*F199*(E199/2 - F199/2)^2</f>
        <v>288390694.1583333</v>
      </c>
      <c r="Q199" s="25"/>
      <c r="R199" s="25"/>
      <c r="S199" s="25">
        <v>1203.2975597515888</v>
      </c>
      <c r="T199" s="25">
        <v>355</v>
      </c>
      <c r="U199" s="25">
        <v>210000</v>
      </c>
      <c r="V199" s="25">
        <f t="shared" ref="V199:V262" si="22">L199*T199/(S199*1000)</f>
        <v>4.2502581415155625</v>
      </c>
      <c r="W199" s="25">
        <v>3.78112</v>
      </c>
      <c r="X199" s="25"/>
      <c r="Y199" s="25">
        <f t="shared" ref="Y199:Y262" si="23">AK199</f>
        <v>0.88962125925173186</v>
      </c>
      <c r="Z199" s="25"/>
      <c r="AA199" s="46">
        <f t="shared" ref="AA199:AA262" si="24">AK199</f>
        <v>0.88962125925173186</v>
      </c>
      <c r="AB199" s="25">
        <v>0.3550200773318104</v>
      </c>
      <c r="AC199" s="47">
        <v>0.5</v>
      </c>
      <c r="AD199" s="25"/>
      <c r="AE199" s="25" t="s">
        <v>529</v>
      </c>
      <c r="AF199" s="48" t="s">
        <v>5</v>
      </c>
      <c r="AG199" s="47">
        <f t="shared" ref="AG199:AG262" si="25">W199*S199</f>
        <v>4549.8124691279272</v>
      </c>
      <c r="AH199" s="47">
        <v>4211.5414591305607</v>
      </c>
      <c r="AI199" s="25">
        <f>'Global Only'!AI199</f>
        <v>17.13</v>
      </c>
      <c r="AJ199" s="47">
        <f t="shared" ref="AJ199:AJ262" si="26">(V199/AI199)^0.5</f>
        <v>0.49811425725600589</v>
      </c>
      <c r="AK199" s="25">
        <f t="shared" ref="AK199:AK262" si="27">W199/V199</f>
        <v>0.88962125925173186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>'Global Only'!L200</f>
        <v>14406.550000000001</v>
      </c>
      <c r="M200" s="25"/>
      <c r="N200" s="25"/>
      <c r="O200" s="25"/>
      <c r="P200" s="25">
        <f t="shared" si="21"/>
        <v>288390694.1583333</v>
      </c>
      <c r="Q200" s="25"/>
      <c r="R200" s="25"/>
      <c r="S200" s="25">
        <v>989.96349820481862</v>
      </c>
      <c r="T200" s="25">
        <v>355</v>
      </c>
      <c r="U200" s="25">
        <v>210000</v>
      </c>
      <c r="V200" s="25">
        <f t="shared" si="22"/>
        <v>5.1661755804877885</v>
      </c>
      <c r="W200" s="25">
        <v>4.0849599999999997</v>
      </c>
      <c r="X200" s="25"/>
      <c r="Y200" s="25">
        <f t="shared" si="23"/>
        <v>0.79071257574530585</v>
      </c>
      <c r="Z200" s="25"/>
      <c r="AA200" s="46">
        <f t="shared" si="24"/>
        <v>0.79071257574530585</v>
      </c>
      <c r="AB200" s="25">
        <v>0.3550200773318104</v>
      </c>
      <c r="AC200" s="47">
        <v>0.75</v>
      </c>
      <c r="AD200" s="25"/>
      <c r="AE200" s="25" t="s">
        <v>530</v>
      </c>
      <c r="AF200" s="48" t="s">
        <v>5</v>
      </c>
      <c r="AG200" s="47">
        <f t="shared" si="25"/>
        <v>4043.9612916267556</v>
      </c>
      <c r="AH200" s="47">
        <v>3464.8722437168653</v>
      </c>
      <c r="AI200" s="25">
        <f>'Global Only'!AI200</f>
        <v>9.3148999999999997</v>
      </c>
      <c r="AJ200" s="47">
        <f t="shared" si="26"/>
        <v>0.74472422761121626</v>
      </c>
      <c r="AK200" s="25">
        <f t="shared" si="27"/>
        <v>0.79071257574530585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>'Global Only'!L201</f>
        <v>14406.550000000001</v>
      </c>
      <c r="M201" s="25"/>
      <c r="N201" s="25"/>
      <c r="O201" s="25"/>
      <c r="P201" s="25">
        <f t="shared" si="21"/>
        <v>288390694.1583333</v>
      </c>
      <c r="Q201" s="25"/>
      <c r="R201" s="25"/>
      <c r="S201" s="25">
        <v>770.71675800813148</v>
      </c>
      <c r="T201" s="25">
        <v>355</v>
      </c>
      <c r="U201" s="25">
        <v>210000</v>
      </c>
      <c r="V201" s="25">
        <f t="shared" si="22"/>
        <v>6.6358038758851547</v>
      </c>
      <c r="W201" s="25">
        <v>4.40001</v>
      </c>
      <c r="X201" s="25"/>
      <c r="Y201" s="25">
        <f t="shared" si="23"/>
        <v>0.66307113385159822</v>
      </c>
      <c r="Z201" s="25"/>
      <c r="AA201" s="46">
        <f t="shared" si="24"/>
        <v>0.66307113385159822</v>
      </c>
      <c r="AB201" s="25">
        <v>0.3550200773318104</v>
      </c>
      <c r="AC201" s="47">
        <v>1</v>
      </c>
      <c r="AD201" s="25"/>
      <c r="AE201" s="25" t="s">
        <v>531</v>
      </c>
      <c r="AF201" s="48" t="s">
        <v>5</v>
      </c>
      <c r="AG201" s="47">
        <f t="shared" si="25"/>
        <v>3391.1614424033587</v>
      </c>
      <c r="AH201" s="47">
        <v>2697.5086530284602</v>
      </c>
      <c r="AI201" s="25">
        <f>'Global Only'!AI201</f>
        <v>6.7582000000000004</v>
      </c>
      <c r="AJ201" s="47">
        <f t="shared" si="26"/>
        <v>0.99090324557390197</v>
      </c>
      <c r="AK201" s="25">
        <f t="shared" si="27"/>
        <v>0.66307113385159822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>'Global Only'!L202</f>
        <v>14406.550000000001</v>
      </c>
      <c r="M202" s="25"/>
      <c r="N202" s="25"/>
      <c r="O202" s="25"/>
      <c r="P202" s="25">
        <f t="shared" si="21"/>
        <v>288390694.1583333</v>
      </c>
      <c r="Q202" s="25"/>
      <c r="R202" s="25"/>
      <c r="S202" s="25">
        <v>537.26856345388785</v>
      </c>
      <c r="T202" s="25">
        <v>355</v>
      </c>
      <c r="U202" s="25">
        <v>210000</v>
      </c>
      <c r="V202" s="25">
        <f t="shared" si="22"/>
        <v>9.5191224610686671</v>
      </c>
      <c r="W202" s="25">
        <v>4.4981200000000001</v>
      </c>
      <c r="X202" s="25"/>
      <c r="Y202" s="25">
        <f t="shared" si="23"/>
        <v>0.47253515420107511</v>
      </c>
      <c r="Z202" s="25"/>
      <c r="AA202" s="46">
        <f t="shared" si="24"/>
        <v>0.47253515420107511</v>
      </c>
      <c r="AB202" s="25">
        <v>0.3550200773318104</v>
      </c>
      <c r="AC202" s="47">
        <v>1.33</v>
      </c>
      <c r="AD202" s="25"/>
      <c r="AE202" s="25" t="s">
        <v>532</v>
      </c>
      <c r="AF202" s="48" t="s">
        <v>5</v>
      </c>
      <c r="AG202" s="47">
        <f t="shared" si="25"/>
        <v>2416.6984706432022</v>
      </c>
      <c r="AH202" s="47">
        <v>1880.4399720886074</v>
      </c>
      <c r="AI202" s="25">
        <f>'Global Only'!AI202</f>
        <v>5.4934000000000003</v>
      </c>
      <c r="AJ202" s="47">
        <f t="shared" si="26"/>
        <v>1.3163696035292809</v>
      </c>
      <c r="AK202" s="25">
        <f t="shared" si="27"/>
        <v>0.47253515420107511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>'Global Only'!L203</f>
        <v>14406.550000000001</v>
      </c>
      <c r="M203" s="25"/>
      <c r="N203" s="25"/>
      <c r="O203" s="25"/>
      <c r="P203" s="25">
        <f t="shared" si="21"/>
        <v>288390694.1583333</v>
      </c>
      <c r="Q203" s="25"/>
      <c r="R203" s="25"/>
      <c r="S203" s="25">
        <v>378.69466340935134</v>
      </c>
      <c r="T203" s="25">
        <v>355</v>
      </c>
      <c r="U203" s="25">
        <v>210000</v>
      </c>
      <c r="V203" s="25">
        <f t="shared" si="22"/>
        <v>13.505142121508198</v>
      </c>
      <c r="W203" s="25">
        <v>4.3133600000000003</v>
      </c>
      <c r="X203" s="25"/>
      <c r="Y203" s="25">
        <f t="shared" si="23"/>
        <v>0.31938649450645706</v>
      </c>
      <c r="Z203" s="25"/>
      <c r="AA203" s="46">
        <f t="shared" si="24"/>
        <v>0.31938649450645706</v>
      </c>
      <c r="AB203" s="25">
        <v>0.3550200773318104</v>
      </c>
      <c r="AC203" s="47">
        <v>1.67</v>
      </c>
      <c r="AD203" s="25"/>
      <c r="AE203" s="25" t="s">
        <v>533</v>
      </c>
      <c r="AF203" s="48" t="s">
        <v>5</v>
      </c>
      <c r="AG203" s="47">
        <f t="shared" si="25"/>
        <v>1633.4464133633599</v>
      </c>
      <c r="AH203" s="47">
        <v>1325.4313219327296</v>
      </c>
      <c r="AI203" s="25">
        <f>'Global Only'!AI203</f>
        <v>4.9488000000000003</v>
      </c>
      <c r="AJ203" s="47">
        <f t="shared" si="26"/>
        <v>1.6519603835858643</v>
      </c>
      <c r="AK203" s="25">
        <f t="shared" si="27"/>
        <v>0.31938649450645706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>'Global Only'!L204</f>
        <v>14406.550000000001</v>
      </c>
      <c r="M204" s="25"/>
      <c r="N204" s="25"/>
      <c r="O204" s="25"/>
      <c r="P204" s="25">
        <f t="shared" si="21"/>
        <v>288390694.1583333</v>
      </c>
      <c r="Q204" s="25"/>
      <c r="R204" s="25"/>
      <c r="S204" s="25">
        <v>280.03532923669491</v>
      </c>
      <c r="T204" s="25">
        <v>355</v>
      </c>
      <c r="U204" s="25">
        <v>210000</v>
      </c>
      <c r="V204" s="25">
        <f t="shared" si="22"/>
        <v>18.263142953927815</v>
      </c>
      <c r="W204" s="25">
        <v>4.1303599999999996</v>
      </c>
      <c r="X204" s="25"/>
      <c r="Y204" s="25">
        <f t="shared" si="23"/>
        <v>0.22615822536239261</v>
      </c>
      <c r="Z204" s="25"/>
      <c r="AA204" s="46">
        <f t="shared" si="24"/>
        <v>0.22615822536239261</v>
      </c>
      <c r="AB204" s="25">
        <v>0.3550200773318104</v>
      </c>
      <c r="AC204" s="47">
        <v>2</v>
      </c>
      <c r="AD204" s="25"/>
      <c r="AE204" s="25" t="s">
        <v>534</v>
      </c>
      <c r="AF204" s="48" t="s">
        <v>5</v>
      </c>
      <c r="AG204" s="47">
        <f t="shared" si="25"/>
        <v>1156.6467224660751</v>
      </c>
      <c r="AH204" s="47">
        <v>980.12365232843217</v>
      </c>
      <c r="AI204" s="25">
        <f>'Global Only'!AI204</f>
        <v>4.6688000000000001</v>
      </c>
      <c r="AJ204" s="47">
        <f t="shared" si="26"/>
        <v>1.977812531026079</v>
      </c>
      <c r="AK204" s="25">
        <f t="shared" si="27"/>
        <v>0.22615822536239261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>'Global Only'!L205</f>
        <v>14406.550000000001</v>
      </c>
      <c r="M205" s="25"/>
      <c r="N205" s="25"/>
      <c r="O205" s="25"/>
      <c r="P205" s="25">
        <f t="shared" si="21"/>
        <v>288390694.1583333</v>
      </c>
      <c r="Q205" s="25"/>
      <c r="R205" s="25"/>
      <c r="S205" s="25">
        <v>189.08442661061957</v>
      </c>
      <c r="T205" s="25">
        <v>355</v>
      </c>
      <c r="U205" s="25">
        <v>210000</v>
      </c>
      <c r="V205" s="25">
        <f t="shared" si="22"/>
        <v>27.047839643250466</v>
      </c>
      <c r="W205" s="25">
        <v>3.9554200000000002</v>
      </c>
      <c r="X205" s="25"/>
      <c r="Y205" s="25">
        <f t="shared" si="23"/>
        <v>0.14623792702745625</v>
      </c>
      <c r="Z205" s="25"/>
      <c r="AA205" s="46">
        <f t="shared" si="24"/>
        <v>0.14623792702745625</v>
      </c>
      <c r="AB205" s="25">
        <v>0.3550200773318104</v>
      </c>
      <c r="AC205" s="47">
        <v>2.5</v>
      </c>
      <c r="AD205" s="25"/>
      <c r="AE205" s="25" t="s">
        <v>535</v>
      </c>
      <c r="AF205" s="48" t="s">
        <v>5</v>
      </c>
      <c r="AG205" s="47">
        <f t="shared" si="25"/>
        <v>747.90832270417695</v>
      </c>
      <c r="AH205" s="47">
        <v>661.79549313716848</v>
      </c>
      <c r="AI205" s="25">
        <f>'Global Only'!AI205</f>
        <v>4.4273999999999996</v>
      </c>
      <c r="AJ205" s="47">
        <f t="shared" si="26"/>
        <v>2.4716781088229802</v>
      </c>
      <c r="AK205" s="25">
        <f t="shared" si="27"/>
        <v>0.14623792702745625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>'Global Only'!L206</f>
        <v>11044</v>
      </c>
      <c r="M206" s="15"/>
      <c r="N206" s="15"/>
      <c r="O206" s="15"/>
      <c r="P206" s="15">
        <f t="shared" si="21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2"/>
        <v>3.761078103305771</v>
      </c>
      <c r="W206" s="15">
        <v>3.60791</v>
      </c>
      <c r="X206" s="15"/>
      <c r="Y206" s="15">
        <f t="shared" si="23"/>
        <v>0.95927547923794909</v>
      </c>
      <c r="Z206" s="15"/>
      <c r="AA206" s="16">
        <f t="shared" si="24"/>
        <v>0.95927547923794909</v>
      </c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5"/>
        <v>3760.9546294098877</v>
      </c>
      <c r="AH206" s="17">
        <v>3648.4671743293502</v>
      </c>
      <c r="AI206" s="15">
        <f>'Global Only'!AI206</f>
        <v>39.893999999999998</v>
      </c>
      <c r="AJ206" s="17">
        <f>(V206/AI206)^0.5</f>
        <v>0.30704525084377782</v>
      </c>
      <c r="AK206" s="15">
        <f t="shared" si="27"/>
        <v>0.95927547923794909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>'Global Only'!L207</f>
        <v>11044</v>
      </c>
      <c r="M207" s="15"/>
      <c r="N207" s="15"/>
      <c r="O207" s="15"/>
      <c r="P207" s="15">
        <f t="shared" si="21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2"/>
        <v>4.2347057793745666</v>
      </c>
      <c r="W207" s="15">
        <v>3.7143999999999999</v>
      </c>
      <c r="X207" s="15"/>
      <c r="Y207" s="15">
        <f t="shared" si="23"/>
        <v>0.8771329564597492</v>
      </c>
      <c r="Z207" s="15"/>
      <c r="AA207" s="16">
        <f t="shared" si="24"/>
        <v>0.8771329564597492</v>
      </c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5"/>
        <v>3438.9050117552215</v>
      </c>
      <c r="AH207" s="17">
        <v>3240.4069408634709</v>
      </c>
      <c r="AI207" s="15">
        <f>'Global Only'!AI207</f>
        <v>16.908999999999999</v>
      </c>
      <c r="AJ207" s="17">
        <f t="shared" si="26"/>
        <v>0.50044074130654048</v>
      </c>
      <c r="AK207" s="15">
        <f t="shared" si="27"/>
        <v>0.8771329564597492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>'Global Only'!L208</f>
        <v>11044</v>
      </c>
      <c r="M208" s="15"/>
      <c r="N208" s="15"/>
      <c r="O208" s="15"/>
      <c r="P208" s="15">
        <f t="shared" si="21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2"/>
        <v>5.1472717325716077</v>
      </c>
      <c r="W208" s="15">
        <v>3.9752900000000002</v>
      </c>
      <c r="X208" s="15"/>
      <c r="Y208" s="15">
        <f t="shared" si="23"/>
        <v>0.77231011039200015</v>
      </c>
      <c r="Z208" s="15"/>
      <c r="AA208" s="16">
        <f t="shared" si="24"/>
        <v>0.77231011039200015</v>
      </c>
      <c r="AB208" s="15">
        <v>0.50420742049940981</v>
      </c>
      <c r="AC208" s="17">
        <v>0.75</v>
      </c>
      <c r="AD208" s="15"/>
      <c r="AE208" s="15" t="s">
        <v>538</v>
      </c>
      <c r="AF208" s="22" t="s">
        <v>5</v>
      </c>
      <c r="AG208" s="17">
        <f t="shared" si="25"/>
        <v>3027.9344650050839</v>
      </c>
      <c r="AH208" s="17">
        <v>2665.911324083977</v>
      </c>
      <c r="AI208" s="15">
        <f>'Global Only'!AI208</f>
        <v>9.2159999999999993</v>
      </c>
      <c r="AJ208" s="17">
        <f t="shared" si="26"/>
        <v>0.7473384293120533</v>
      </c>
      <c r="AK208" s="15">
        <f t="shared" si="27"/>
        <v>0.77231011039200015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>'Global Only'!L209</f>
        <v>11044</v>
      </c>
      <c r="M209" s="15"/>
      <c r="N209" s="15"/>
      <c r="O209" s="15"/>
      <c r="P209" s="15">
        <f t="shared" si="21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2"/>
        <v>6.6115224271970545</v>
      </c>
      <c r="W209" s="15">
        <v>4.3222399999999999</v>
      </c>
      <c r="X209" s="15"/>
      <c r="Y209" s="15">
        <f t="shared" si="23"/>
        <v>0.65374352845270578</v>
      </c>
      <c r="Z209" s="15"/>
      <c r="AA209" s="16">
        <f t="shared" si="24"/>
        <v>0.65374352845270578</v>
      </c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5"/>
        <v>2563.0799525222474</v>
      </c>
      <c r="AH209" s="17">
        <v>2075.4932243068097</v>
      </c>
      <c r="AI209" s="15">
        <f>'Global Only'!AI209</f>
        <v>6.6924999999999999</v>
      </c>
      <c r="AJ209" s="17">
        <f t="shared" si="26"/>
        <v>0.99393171325219842</v>
      </c>
      <c r="AK209" s="15">
        <f t="shared" si="27"/>
        <v>0.65374352845270578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>'Global Only'!L210</f>
        <v>11044</v>
      </c>
      <c r="M210" s="15"/>
      <c r="N210" s="15"/>
      <c r="O210" s="15"/>
      <c r="P210" s="15">
        <f t="shared" si="21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2"/>
        <v>9.4842904967856096</v>
      </c>
      <c r="W210" s="15">
        <v>4.4654699999999998</v>
      </c>
      <c r="X210" s="15"/>
      <c r="Y210" s="15">
        <f t="shared" si="23"/>
        <v>0.47082804997521166</v>
      </c>
      <c r="Z210" s="15"/>
      <c r="AA210" s="16">
        <f t="shared" si="24"/>
        <v>0.47082804997521166</v>
      </c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5"/>
        <v>1845.9378692938144</v>
      </c>
      <c r="AH210" s="17">
        <v>1446.8314740729086</v>
      </c>
      <c r="AI210" s="15">
        <f>'Global Only'!AI210</f>
        <v>5.4427000000000003</v>
      </c>
      <c r="AJ210" s="17">
        <f t="shared" si="26"/>
        <v>1.3200647234734655</v>
      </c>
      <c r="AK210" s="15">
        <f t="shared" si="27"/>
        <v>0.47082804997521166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>'Global Only'!L211</f>
        <v>11044</v>
      </c>
      <c r="M211" s="15"/>
      <c r="N211" s="15"/>
      <c r="O211" s="15"/>
      <c r="P211" s="15">
        <f t="shared" si="21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2"/>
        <v>13.455724685191157</v>
      </c>
      <c r="W211" s="15">
        <v>4.2757399999999999</v>
      </c>
      <c r="X211" s="15"/>
      <c r="Y211" s="15">
        <f t="shared" si="23"/>
        <v>0.31776363592707213</v>
      </c>
      <c r="Z211" s="15"/>
      <c r="AA211" s="16">
        <f t="shared" si="24"/>
        <v>0.31776363592707213</v>
      </c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5"/>
        <v>1245.8304662883975</v>
      </c>
      <c r="AH211" s="17">
        <v>1019.8016324681555</v>
      </c>
      <c r="AI211" s="15">
        <f>'Global Only'!AI211</f>
        <v>4.9043000000000001</v>
      </c>
      <c r="AJ211" s="17">
        <f t="shared" si="26"/>
        <v>1.6563992761146846</v>
      </c>
      <c r="AK211" s="15">
        <f t="shared" si="27"/>
        <v>0.31776363592707213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>'Global Only'!L212</f>
        <v>11044</v>
      </c>
      <c r="M212" s="15"/>
      <c r="N212" s="15"/>
      <c r="O212" s="15"/>
      <c r="P212" s="15">
        <f t="shared" si="21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2"/>
        <v>18.196315245211046</v>
      </c>
      <c r="W212" s="15">
        <v>4.0779899999999998</v>
      </c>
      <c r="X212" s="15"/>
      <c r="Y212" s="15">
        <f t="shared" si="23"/>
        <v>0.22411075786748946</v>
      </c>
      <c r="Z212" s="15"/>
      <c r="AA212" s="16">
        <f t="shared" si="24"/>
        <v>0.22411075786748946</v>
      </c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5"/>
        <v>878.65311951043645</v>
      </c>
      <c r="AH212" s="17">
        <v>754.11806264520703</v>
      </c>
      <c r="AI212" s="15">
        <f>'Global Only'!AI212</f>
        <v>4.6273999999999997</v>
      </c>
      <c r="AJ212" s="17">
        <f t="shared" si="26"/>
        <v>1.9830022409539199</v>
      </c>
      <c r="AK212" s="15">
        <f t="shared" si="27"/>
        <v>0.22411075786748946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>'Global Only'!L213</f>
        <v>11044</v>
      </c>
      <c r="M213" s="15"/>
      <c r="N213" s="15"/>
      <c r="O213" s="15"/>
      <c r="P213" s="15">
        <f t="shared" si="21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2"/>
        <v>26.948867349507996</v>
      </c>
      <c r="W213" s="15">
        <v>3.8934199999999999</v>
      </c>
      <c r="X213" s="15"/>
      <c r="Y213" s="15">
        <f t="shared" si="23"/>
        <v>0.14447434652837393</v>
      </c>
      <c r="Z213" s="15"/>
      <c r="AA213" s="16">
        <f t="shared" si="24"/>
        <v>0.14447434652837393</v>
      </c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5"/>
        <v>566.42901248607336</v>
      </c>
      <c r="AH213" s="17">
        <v>509.19282885002309</v>
      </c>
      <c r="AI213" s="15">
        <f>'Global Only'!AI213</f>
        <v>4.3886000000000003</v>
      </c>
      <c r="AJ213" s="17">
        <f t="shared" si="26"/>
        <v>2.4780339892129897</v>
      </c>
      <c r="AK213" s="15">
        <f t="shared" si="27"/>
        <v>0.14447434652837393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>'Global Only'!L214</f>
        <v>9498</v>
      </c>
      <c r="M214" s="25"/>
      <c r="N214" s="25"/>
      <c r="O214" s="25"/>
      <c r="P214" s="25">
        <f t="shared" si="21"/>
        <v>233468362</v>
      </c>
      <c r="Q214" s="25"/>
      <c r="R214" s="25"/>
      <c r="S214" s="25">
        <v>898.78330095358092</v>
      </c>
      <c r="T214" s="25">
        <v>355</v>
      </c>
      <c r="U214" s="25">
        <v>210000</v>
      </c>
      <c r="V214" s="25">
        <f t="shared" si="22"/>
        <v>3.7515049472132342</v>
      </c>
      <c r="W214" s="25">
        <v>3.5443699999999998</v>
      </c>
      <c r="X214" s="25"/>
      <c r="Y214" s="25">
        <f t="shared" si="23"/>
        <v>0.94478617244871221</v>
      </c>
      <c r="Z214" s="25"/>
      <c r="AA214" s="46">
        <f t="shared" si="24"/>
        <v>0.94478617244871221</v>
      </c>
      <c r="AB214" s="25">
        <v>0.60172287236842936</v>
      </c>
      <c r="AC214" s="47">
        <v>0.3</v>
      </c>
      <c r="AD214" s="25"/>
      <c r="AE214" s="25" t="s">
        <v>544</v>
      </c>
      <c r="AF214" s="48" t="s">
        <v>5</v>
      </c>
      <c r="AG214" s="47">
        <f t="shared" si="25"/>
        <v>3185.6205684008432</v>
      </c>
      <c r="AH214" s="47">
        <v>3145.7415533375333</v>
      </c>
      <c r="AI214" s="25">
        <f>'Global Only'!AI214</f>
        <v>39.244999999999997</v>
      </c>
      <c r="AJ214" s="47">
        <f t="shared" si="26"/>
        <v>0.30917943203396603</v>
      </c>
      <c r="AK214" s="25">
        <f t="shared" si="27"/>
        <v>0.94478617244871221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>'Global Only'!L215</f>
        <v>9498</v>
      </c>
      <c r="M215" s="25"/>
      <c r="N215" s="25"/>
      <c r="O215" s="25"/>
      <c r="P215" s="25">
        <f t="shared" si="21"/>
        <v>233468362</v>
      </c>
      <c r="Q215" s="25"/>
      <c r="R215" s="25"/>
      <c r="S215" s="25">
        <v>798.25951765004379</v>
      </c>
      <c r="T215" s="25">
        <v>355</v>
      </c>
      <c r="U215" s="25">
        <v>210000</v>
      </c>
      <c r="V215" s="25">
        <f t="shared" si="22"/>
        <v>4.2239270881806004</v>
      </c>
      <c r="W215" s="25">
        <v>3.6559200000000001</v>
      </c>
      <c r="X215" s="25"/>
      <c r="Y215" s="25">
        <f t="shared" si="23"/>
        <v>0.86552630376362349</v>
      </c>
      <c r="Z215" s="25"/>
      <c r="AA215" s="46">
        <f t="shared" si="24"/>
        <v>0.86552630376362349</v>
      </c>
      <c r="AB215" s="25">
        <v>0.60172287236842936</v>
      </c>
      <c r="AC215" s="47">
        <v>0.5</v>
      </c>
      <c r="AD215" s="25"/>
      <c r="AE215" s="25" t="s">
        <v>545</v>
      </c>
      <c r="AF215" s="48" t="s">
        <v>5</v>
      </c>
      <c r="AG215" s="47">
        <f t="shared" si="25"/>
        <v>2918.3729357671482</v>
      </c>
      <c r="AH215" s="47">
        <v>2793.9083117751534</v>
      </c>
      <c r="AI215" s="25">
        <f>'Global Only'!AI215</f>
        <v>16.751999999999999</v>
      </c>
      <c r="AJ215" s="47">
        <f t="shared" si="26"/>
        <v>0.50214006483243423</v>
      </c>
      <c r="AK215" s="25">
        <f t="shared" si="27"/>
        <v>0.86552630376362349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>'Global Only'!L216</f>
        <v>9498</v>
      </c>
      <c r="M216" s="25"/>
      <c r="N216" s="25"/>
      <c r="O216" s="25"/>
      <c r="P216" s="25">
        <f t="shared" si="21"/>
        <v>233468362</v>
      </c>
      <c r="Q216" s="25"/>
      <c r="R216" s="25"/>
      <c r="S216" s="25">
        <v>656.73513435136454</v>
      </c>
      <c r="T216" s="25">
        <v>355</v>
      </c>
      <c r="U216" s="25">
        <v>210000</v>
      </c>
      <c r="V216" s="25">
        <f t="shared" si="22"/>
        <v>5.1341702668766223</v>
      </c>
      <c r="W216" s="25">
        <v>3.8918699999999999</v>
      </c>
      <c r="X216" s="25"/>
      <c r="Y216" s="25">
        <f t="shared" si="23"/>
        <v>0.75803290457829386</v>
      </c>
      <c r="Z216" s="25"/>
      <c r="AA216" s="46">
        <f t="shared" si="24"/>
        <v>0.75803290457829386</v>
      </c>
      <c r="AB216" s="25">
        <v>0.60172287236842936</v>
      </c>
      <c r="AC216" s="47">
        <v>0.75</v>
      </c>
      <c r="AD216" s="25"/>
      <c r="AE216" s="25" t="s">
        <v>546</v>
      </c>
      <c r="AF216" s="48" t="s">
        <v>5</v>
      </c>
      <c r="AG216" s="47">
        <f t="shared" si="25"/>
        <v>2555.9277673280449</v>
      </c>
      <c r="AH216" s="47">
        <v>2298.5729702297758</v>
      </c>
      <c r="AI216" s="25">
        <f>'Global Only'!AI216</f>
        <v>9.1524000000000001</v>
      </c>
      <c r="AJ216" s="47">
        <f t="shared" si="26"/>
        <v>0.74897554458221072</v>
      </c>
      <c r="AK216" s="25">
        <f t="shared" si="27"/>
        <v>0.75803290457829386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>'Global Only'!L217</f>
        <v>9498</v>
      </c>
      <c r="M217" s="25"/>
      <c r="N217" s="25"/>
      <c r="O217" s="25"/>
      <c r="P217" s="25">
        <f t="shared" si="21"/>
        <v>233468362</v>
      </c>
      <c r="Q217" s="25"/>
      <c r="R217" s="25"/>
      <c r="S217" s="25">
        <v>511.2883197564085</v>
      </c>
      <c r="T217" s="25">
        <v>355</v>
      </c>
      <c r="U217" s="25">
        <v>210000</v>
      </c>
      <c r="V217" s="25">
        <f t="shared" si="22"/>
        <v>6.594693971507918</v>
      </c>
      <c r="W217" s="25">
        <v>4.2712599999999998</v>
      </c>
      <c r="X217" s="25"/>
      <c r="Y217" s="25">
        <f t="shared" si="23"/>
        <v>0.64768130537274193</v>
      </c>
      <c r="Z217" s="25"/>
      <c r="AA217" s="46">
        <f t="shared" si="24"/>
        <v>0.64768130537274193</v>
      </c>
      <c r="AB217" s="25">
        <v>0.60172287236842936</v>
      </c>
      <c r="AC217" s="47">
        <v>1</v>
      </c>
      <c r="AD217" s="25"/>
      <c r="AE217" s="25" t="s">
        <v>547</v>
      </c>
      <c r="AF217" s="48" t="s">
        <v>5</v>
      </c>
      <c r="AG217" s="47">
        <f t="shared" si="25"/>
        <v>2183.8453486427575</v>
      </c>
      <c r="AH217" s="47">
        <v>1789.5091191474298</v>
      </c>
      <c r="AI217" s="25">
        <f>'Global Only'!AI217</f>
        <v>6.6516000000000002</v>
      </c>
      <c r="AJ217" s="47">
        <f t="shared" si="26"/>
        <v>0.99571319208183118</v>
      </c>
      <c r="AK217" s="25">
        <f t="shared" si="27"/>
        <v>0.64768130537274193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>'Global Only'!L218</f>
        <v>9498</v>
      </c>
      <c r="M218" s="25"/>
      <c r="N218" s="25"/>
      <c r="O218" s="25"/>
      <c r="P218" s="25">
        <f t="shared" si="21"/>
        <v>233468362</v>
      </c>
      <c r="Q218" s="25"/>
      <c r="R218" s="25"/>
      <c r="S218" s="25">
        <v>356.42035574290645</v>
      </c>
      <c r="T218" s="25">
        <v>355</v>
      </c>
      <c r="U218" s="25">
        <v>210000</v>
      </c>
      <c r="V218" s="25">
        <f t="shared" si="22"/>
        <v>9.4601499203713928</v>
      </c>
      <c r="W218" s="25">
        <v>4.4412099999999999</v>
      </c>
      <c r="X218" s="25"/>
      <c r="Y218" s="25">
        <f t="shared" si="23"/>
        <v>0.4694650758585065</v>
      </c>
      <c r="Z218" s="25"/>
      <c r="AA218" s="46">
        <f t="shared" si="24"/>
        <v>0.4694650758585065</v>
      </c>
      <c r="AB218" s="25">
        <v>0.60172287236842936</v>
      </c>
      <c r="AC218" s="47">
        <v>1.33</v>
      </c>
      <c r="AD218" s="25"/>
      <c r="AE218" s="25" t="s">
        <v>548</v>
      </c>
      <c r="AF218" s="48" t="s">
        <v>5</v>
      </c>
      <c r="AG218" s="47">
        <f t="shared" si="25"/>
        <v>1582.9376481289535</v>
      </c>
      <c r="AH218" s="47">
        <v>1247.4712451001726</v>
      </c>
      <c r="AI218" s="25">
        <f>'Global Only'!AI218</f>
        <v>5.4123000000000001</v>
      </c>
      <c r="AJ218" s="47">
        <f t="shared" si="26"/>
        <v>1.3220810455484713</v>
      </c>
      <c r="AK218" s="25">
        <f t="shared" si="27"/>
        <v>0.4694650758585065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>'Global Only'!L219</f>
        <v>9498</v>
      </c>
      <c r="M219" s="25"/>
      <c r="N219" s="25"/>
      <c r="O219" s="25"/>
      <c r="P219" s="25">
        <f t="shared" si="21"/>
        <v>233468362</v>
      </c>
      <c r="Q219" s="25"/>
      <c r="R219" s="25"/>
      <c r="S219" s="25">
        <v>251.22349571805108</v>
      </c>
      <c r="T219" s="25">
        <v>355</v>
      </c>
      <c r="U219" s="25">
        <v>210000</v>
      </c>
      <c r="V219" s="25">
        <f t="shared" si="22"/>
        <v>13.421475528643111</v>
      </c>
      <c r="W219" s="25">
        <v>4.2540500000000003</v>
      </c>
      <c r="X219" s="25"/>
      <c r="Y219" s="25">
        <f t="shared" si="23"/>
        <v>0.31695844401916351</v>
      </c>
      <c r="Z219" s="25"/>
      <c r="AA219" s="46">
        <f t="shared" si="24"/>
        <v>0.31695844401916351</v>
      </c>
      <c r="AB219" s="25">
        <v>0.60172287236842936</v>
      </c>
      <c r="AC219" s="47">
        <v>1.67</v>
      </c>
      <c r="AD219" s="25"/>
      <c r="AE219" s="25" t="s">
        <v>549</v>
      </c>
      <c r="AF219" s="48" t="s">
        <v>5</v>
      </c>
      <c r="AG219" s="47">
        <f t="shared" si="25"/>
        <v>1068.7173119593754</v>
      </c>
      <c r="AH219" s="47">
        <v>879.28223501317882</v>
      </c>
      <c r="AI219" s="25">
        <f>'Global Only'!AI219</f>
        <v>4.8779000000000003</v>
      </c>
      <c r="AJ219" s="47">
        <f t="shared" si="26"/>
        <v>1.6587605022145755</v>
      </c>
      <c r="AK219" s="25">
        <f t="shared" si="27"/>
        <v>0.31695844401916351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>'Global Only'!L220</f>
        <v>9498</v>
      </c>
      <c r="M220" s="25"/>
      <c r="N220" s="25"/>
      <c r="O220" s="25"/>
      <c r="P220" s="25">
        <f t="shared" si="21"/>
        <v>233468362</v>
      </c>
      <c r="Q220" s="25"/>
      <c r="R220" s="25"/>
      <c r="S220" s="25">
        <v>185.77355619968469</v>
      </c>
      <c r="T220" s="25">
        <v>355</v>
      </c>
      <c r="U220" s="25">
        <v>210000</v>
      </c>
      <c r="V220" s="25">
        <f t="shared" si="22"/>
        <v>18.149999757638934</v>
      </c>
      <c r="W220" s="25">
        <v>4.0467899999999997</v>
      </c>
      <c r="X220" s="25"/>
      <c r="Y220" s="25">
        <f t="shared" si="23"/>
        <v>0.22296363934092039</v>
      </c>
      <c r="Z220" s="25"/>
      <c r="AA220" s="46">
        <f t="shared" si="24"/>
        <v>0.22296363934092039</v>
      </c>
      <c r="AB220" s="25">
        <v>0.60172287236842936</v>
      </c>
      <c r="AC220" s="47">
        <v>2</v>
      </c>
      <c r="AD220" s="25"/>
      <c r="AE220" s="25" t="s">
        <v>550</v>
      </c>
      <c r="AF220" s="48" t="s">
        <v>5</v>
      </c>
      <c r="AG220" s="47">
        <f t="shared" si="25"/>
        <v>751.78656949332196</v>
      </c>
      <c r="AH220" s="47">
        <v>650.20744669889643</v>
      </c>
      <c r="AI220" s="25">
        <f>'Global Only'!AI220</f>
        <v>4.6031000000000004</v>
      </c>
      <c r="AJ220" s="47">
        <f t="shared" si="26"/>
        <v>1.9856975815924538</v>
      </c>
      <c r="AK220" s="25">
        <f t="shared" si="27"/>
        <v>0.22296363934092039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>'Global Only'!L221</f>
        <v>9498</v>
      </c>
      <c r="M221" s="25"/>
      <c r="N221" s="25"/>
      <c r="O221" s="25"/>
      <c r="P221" s="25">
        <f t="shared" si="21"/>
        <v>233468362</v>
      </c>
      <c r="Q221" s="25"/>
      <c r="R221" s="25"/>
      <c r="S221" s="25">
        <v>125.43733838576748</v>
      </c>
      <c r="T221" s="25">
        <v>355</v>
      </c>
      <c r="U221" s="25">
        <v>210000</v>
      </c>
      <c r="V221" s="25">
        <f t="shared" si="22"/>
        <v>26.880273795593975</v>
      </c>
      <c r="W221" s="25">
        <v>3.8566199999999999</v>
      </c>
      <c r="X221" s="25"/>
      <c r="Y221" s="25">
        <f t="shared" si="23"/>
        <v>0.14347398502436942</v>
      </c>
      <c r="Z221" s="25"/>
      <c r="AA221" s="46">
        <f t="shared" si="24"/>
        <v>0.14347398502436942</v>
      </c>
      <c r="AB221" s="25">
        <v>0.60172287236842936</v>
      </c>
      <c r="AC221" s="47">
        <v>2.5</v>
      </c>
      <c r="AD221" s="25"/>
      <c r="AE221" s="25" t="s">
        <v>551</v>
      </c>
      <c r="AF221" s="48" t="s">
        <v>5</v>
      </c>
      <c r="AG221" s="47">
        <f t="shared" si="25"/>
        <v>483.76414796531856</v>
      </c>
      <c r="AH221" s="47">
        <v>439.03068435018616</v>
      </c>
      <c r="AI221" s="25">
        <f>'Global Only'!AI221</f>
        <v>4.3659999999999997</v>
      </c>
      <c r="AJ221" s="47">
        <f t="shared" si="26"/>
        <v>2.4812754483473265</v>
      </c>
      <c r="AK221" s="25">
        <f t="shared" si="27"/>
        <v>0.14347398502436942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>'Global Only'!L222</f>
        <v>8067.9500000000007</v>
      </c>
      <c r="M222" s="15"/>
      <c r="N222" s="15"/>
      <c r="O222" s="15"/>
      <c r="P222" s="15">
        <f t="shared" si="21"/>
        <v>217467367.59166667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2"/>
        <v>3.7394530393074974</v>
      </c>
      <c r="W222" s="15">
        <v>3.2892899999999998</v>
      </c>
      <c r="X222" s="15"/>
      <c r="Y222" s="15">
        <f t="shared" si="23"/>
        <v>0.87961794557236572</v>
      </c>
      <c r="Z222" s="15"/>
      <c r="AA222" s="16">
        <f t="shared" si="24"/>
        <v>0.87961794557236572</v>
      </c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5"/>
        <v>2519.3333294131021</v>
      </c>
      <c r="AH222" s="17">
        <v>2680.7203539201037</v>
      </c>
      <c r="AI222" s="15">
        <f>'Global Only'!AI222</f>
        <v>38.238</v>
      </c>
      <c r="AJ222" s="17">
        <f t="shared" si="26"/>
        <v>0.31272057602946074</v>
      </c>
      <c r="AK222" s="15">
        <f t="shared" si="27"/>
        <v>0.87961794557236572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>'Global Only'!L223</f>
        <v>8067.9500000000007</v>
      </c>
      <c r="M223" s="15"/>
      <c r="N223" s="15"/>
      <c r="O223" s="15"/>
      <c r="P223" s="15">
        <f t="shared" si="21"/>
        <v>217467367.59166667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2"/>
        <v>4.2103574991800281</v>
      </c>
      <c r="W223" s="15">
        <v>3.4516399999999998</v>
      </c>
      <c r="X223" s="15"/>
      <c r="Y223" s="15">
        <f t="shared" si="23"/>
        <v>0.81979736891040977</v>
      </c>
      <c r="Z223" s="15"/>
      <c r="AA223" s="16">
        <f t="shared" si="24"/>
        <v>0.81979736891040977</v>
      </c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5"/>
        <v>2347.9998847877637</v>
      </c>
      <c r="AH223" s="17">
        <v>2380.8970798684604</v>
      </c>
      <c r="AI223" s="15">
        <f>'Global Only'!AI223</f>
        <v>16.442</v>
      </c>
      <c r="AJ223" s="17">
        <f t="shared" si="26"/>
        <v>0.50603687442836875</v>
      </c>
      <c r="AK223" s="15">
        <f t="shared" si="27"/>
        <v>0.81979736891040977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>'Global Only'!L224</f>
        <v>8067.9500000000007</v>
      </c>
      <c r="M224" s="15"/>
      <c r="N224" s="15"/>
      <c r="O224" s="15"/>
      <c r="P224" s="15">
        <f t="shared" si="21"/>
        <v>217467367.59166667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2"/>
        <v>5.1176764735591629</v>
      </c>
      <c r="W224" s="15">
        <v>3.7345999999999999</v>
      </c>
      <c r="X224" s="15"/>
      <c r="Y224" s="15">
        <f t="shared" si="23"/>
        <v>0.72974523092561139</v>
      </c>
      <c r="Z224" s="15"/>
      <c r="AA224" s="16">
        <f t="shared" si="24"/>
        <v>0.72974523092561139</v>
      </c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5"/>
        <v>2090.0795527254322</v>
      </c>
      <c r="AH224" s="17">
        <v>1958.7849929146394</v>
      </c>
      <c r="AI224" s="15">
        <f>'Global Only'!AI224</f>
        <v>9.0701999999999998</v>
      </c>
      <c r="AJ224" s="17">
        <f t="shared" si="26"/>
        <v>0.75115226646170019</v>
      </c>
      <c r="AK224" s="15">
        <f t="shared" si="27"/>
        <v>0.72974523092561139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>'Global Only'!L225</f>
        <v>8067.9500000000007</v>
      </c>
      <c r="M225" s="15"/>
      <c r="N225" s="15"/>
      <c r="O225" s="15"/>
      <c r="P225" s="15">
        <f t="shared" si="21"/>
        <v>217467367.59166667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2"/>
        <v>6.5735081686022934</v>
      </c>
      <c r="W225" s="15">
        <v>4.1876300000000004</v>
      </c>
      <c r="X225" s="15"/>
      <c r="Y225" s="15">
        <f t="shared" si="23"/>
        <v>0.6370464434807882</v>
      </c>
      <c r="Z225" s="15"/>
      <c r="AA225" s="16">
        <f t="shared" si="24"/>
        <v>0.6370464434807882</v>
      </c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5"/>
        <v>1824.5788930566932</v>
      </c>
      <c r="AH225" s="17">
        <v>1524.9738218750047</v>
      </c>
      <c r="AI225" s="15">
        <f>'Global Only'!AI225</f>
        <v>6.6022999999999996</v>
      </c>
      <c r="AJ225" s="17">
        <f t="shared" si="26"/>
        <v>0.99781717814619431</v>
      </c>
      <c r="AK225" s="15">
        <f t="shared" si="27"/>
        <v>0.6370464434807882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>'Global Only'!L226</f>
        <v>8067.9500000000007</v>
      </c>
      <c r="M226" s="15"/>
      <c r="N226" s="15"/>
      <c r="O226" s="15"/>
      <c r="P226" s="15">
        <f t="shared" si="21"/>
        <v>217467367.59166667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2"/>
        <v>9.4297586887939211</v>
      </c>
      <c r="W226" s="15">
        <v>4.4071999999999996</v>
      </c>
      <c r="X226" s="15"/>
      <c r="Y226" s="15">
        <f t="shared" si="23"/>
        <v>0.46737145089803844</v>
      </c>
      <c r="Z226" s="15"/>
      <c r="AA226" s="16">
        <f t="shared" si="24"/>
        <v>0.46737145089803844</v>
      </c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5"/>
        <v>1338.6089715318544</v>
      </c>
      <c r="AH226" s="17">
        <v>1063.0630333003928</v>
      </c>
      <c r="AI226" s="15">
        <f>'Global Only'!AI226</f>
        <v>5.3768000000000002</v>
      </c>
      <c r="AJ226" s="17">
        <f t="shared" si="26"/>
        <v>1.3243060050567508</v>
      </c>
      <c r="AK226" s="15">
        <f t="shared" si="27"/>
        <v>0.46737145089803844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>'Global Only'!L227</f>
        <v>8067.9500000000007</v>
      </c>
      <c r="M227" s="15"/>
      <c r="N227" s="15"/>
      <c r="O227" s="15"/>
      <c r="P227" s="15">
        <f t="shared" si="21"/>
        <v>217467367.59166667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2"/>
        <v>13.378358329197473</v>
      </c>
      <c r="W227" s="15">
        <v>4.2296300000000002</v>
      </c>
      <c r="X227" s="15"/>
      <c r="Y227" s="15">
        <f t="shared" si="23"/>
        <v>0.31615463541360556</v>
      </c>
      <c r="Z227" s="15"/>
      <c r="AA227" s="16">
        <f t="shared" si="24"/>
        <v>0.31615463541360556</v>
      </c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5"/>
        <v>905.50552572874562</v>
      </c>
      <c r="AH227" s="17">
        <v>749.30179236732522</v>
      </c>
      <c r="AI227" s="15">
        <f>'Global Only'!AI227</f>
        <v>4.8479000000000001</v>
      </c>
      <c r="AJ227" s="17">
        <f t="shared" si="26"/>
        <v>1.661210186723272</v>
      </c>
      <c r="AK227" s="15">
        <f t="shared" si="27"/>
        <v>0.31615463541360556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>'Global Only'!L228</f>
        <v>8067.9500000000007</v>
      </c>
      <c r="M228" s="15"/>
      <c r="N228" s="15"/>
      <c r="O228" s="15"/>
      <c r="P228" s="15">
        <f t="shared" si="21"/>
        <v>217467367.59166667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2"/>
        <v>18.091691924210455</v>
      </c>
      <c r="W228" s="15">
        <v>4.0129400000000004</v>
      </c>
      <c r="X228" s="15"/>
      <c r="Y228" s="15">
        <f t="shared" si="23"/>
        <v>0.22181120576289773</v>
      </c>
      <c r="Z228" s="15"/>
      <c r="AA228" s="16">
        <f t="shared" si="24"/>
        <v>0.22181120576289773</v>
      </c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5"/>
        <v>635.2944097248436</v>
      </c>
      <c r="AH228" s="17">
        <v>554.0901269485596</v>
      </c>
      <c r="AI228" s="15">
        <f>'Global Only'!AI228</f>
        <v>4.5758000000000001</v>
      </c>
      <c r="AJ228" s="17">
        <f t="shared" si="26"/>
        <v>1.9884106239273363</v>
      </c>
      <c r="AK228" s="15">
        <f t="shared" si="27"/>
        <v>0.22181120576289773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>'Global Only'!L229</f>
        <v>8067.9500000000007</v>
      </c>
      <c r="M229" s="15"/>
      <c r="N229" s="15"/>
      <c r="O229" s="15"/>
      <c r="P229" s="15">
        <f t="shared" si="21"/>
        <v>217467367.59166667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2"/>
        <v>26.793919495433421</v>
      </c>
      <c r="W229" s="15">
        <v>3.81671</v>
      </c>
      <c r="X229" s="15"/>
      <c r="Y229" s="15">
        <f t="shared" si="23"/>
        <v>0.14244687122578295</v>
      </c>
      <c r="Z229" s="15"/>
      <c r="AA229" s="16">
        <f t="shared" si="24"/>
        <v>0.14244687122578295</v>
      </c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5"/>
        <v>407.9852533206498</v>
      </c>
      <c r="AH229" s="17">
        <v>374.13070068783702</v>
      </c>
      <c r="AI229" s="15">
        <f>'Global Only'!AI229</f>
        <v>4.3409000000000004</v>
      </c>
      <c r="AJ229" s="17">
        <f t="shared" si="26"/>
        <v>2.4844384016483527</v>
      </c>
      <c r="AK229" s="15">
        <f t="shared" si="27"/>
        <v>0.14244687122578295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>'Global Only'!L230</f>
        <v>7101.7</v>
      </c>
      <c r="M230" s="25"/>
      <c r="N230" s="25"/>
      <c r="O230" s="25"/>
      <c r="P230" s="25">
        <f t="shared" si="21"/>
        <v>206655884.88333333</v>
      </c>
      <c r="Q230" s="25"/>
      <c r="R230" s="25"/>
      <c r="S230" s="25">
        <v>676.14766880006221</v>
      </c>
      <c r="T230" s="25">
        <v>355</v>
      </c>
      <c r="U230" s="25">
        <v>210000</v>
      </c>
      <c r="V230" s="25">
        <f t="shared" si="22"/>
        <v>3.7286285471842602</v>
      </c>
      <c r="W230" s="25">
        <v>3.1785600000000001</v>
      </c>
      <c r="X230" s="25"/>
      <c r="Y230" s="25">
        <f t="shared" si="23"/>
        <v>0.8524742971247018</v>
      </c>
      <c r="Z230" s="25"/>
      <c r="AA230" s="46">
        <f t="shared" si="24"/>
        <v>0.8524742971247018</v>
      </c>
      <c r="AB230" s="25">
        <v>1.1133153135475653</v>
      </c>
      <c r="AC230" s="47">
        <v>0.3</v>
      </c>
      <c r="AD230" s="25"/>
      <c r="AE230" s="25" t="s">
        <v>560</v>
      </c>
      <c r="AF230" s="48" t="s">
        <v>5</v>
      </c>
      <c r="AG230" s="47">
        <f t="shared" si="25"/>
        <v>2149.1759341411257</v>
      </c>
      <c r="AH230" s="47">
        <v>2366.5168408002178</v>
      </c>
      <c r="AI230" s="25">
        <f>'Global Only'!AI230</f>
        <v>37.015999999999998</v>
      </c>
      <c r="AJ230" s="47">
        <f t="shared" si="26"/>
        <v>0.31738019081119417</v>
      </c>
      <c r="AK230" s="25">
        <f t="shared" si="27"/>
        <v>0.8524742971247018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>'Global Only'!L231</f>
        <v>7101.7000000000007</v>
      </c>
      <c r="M231" s="25"/>
      <c r="N231" s="25"/>
      <c r="O231" s="25"/>
      <c r="P231" s="25">
        <f t="shared" si="21"/>
        <v>206655884.88333333</v>
      </c>
      <c r="Q231" s="25"/>
      <c r="R231" s="25"/>
      <c r="S231" s="25">
        <v>600.52441048236062</v>
      </c>
      <c r="T231" s="25">
        <v>355</v>
      </c>
      <c r="U231" s="25">
        <v>210000</v>
      </c>
      <c r="V231" s="25">
        <f t="shared" si="22"/>
        <v>4.1981698928357778</v>
      </c>
      <c r="W231" s="25">
        <v>3.24587</v>
      </c>
      <c r="X231" s="25"/>
      <c r="Y231" s="25">
        <f t="shared" si="23"/>
        <v>0.77316308840647741</v>
      </c>
      <c r="Z231" s="25"/>
      <c r="AA231" s="46">
        <f t="shared" si="24"/>
        <v>0.77316308840647741</v>
      </c>
      <c r="AB231" s="25">
        <v>1.1133153135475653</v>
      </c>
      <c r="AC231" s="47">
        <v>0.5</v>
      </c>
      <c r="AD231" s="25"/>
      <c r="AE231" s="25" t="s">
        <v>561</v>
      </c>
      <c r="AF231" s="48" t="s">
        <v>5</v>
      </c>
      <c r="AG231" s="47">
        <f t="shared" si="25"/>
        <v>1949.22416825238</v>
      </c>
      <c r="AH231" s="47">
        <v>2101.8354366882622</v>
      </c>
      <c r="AI231" s="25">
        <f>'Global Only'!AI231</f>
        <v>16.193999999999999</v>
      </c>
      <c r="AJ231" s="47">
        <f t="shared" si="26"/>
        <v>0.50915842853660875</v>
      </c>
      <c r="AK231" s="25">
        <f t="shared" si="27"/>
        <v>0.77316308840647741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>'Global Only'!L232</f>
        <v>7101.7000000000007</v>
      </c>
      <c r="M232" s="25"/>
      <c r="N232" s="25"/>
      <c r="O232" s="25"/>
      <c r="P232" s="25">
        <f t="shared" si="21"/>
        <v>206655884.88333333</v>
      </c>
      <c r="Q232" s="25"/>
      <c r="R232" s="25"/>
      <c r="S232" s="25">
        <v>494.05672050164657</v>
      </c>
      <c r="T232" s="25">
        <v>355</v>
      </c>
      <c r="U232" s="25">
        <v>210000</v>
      </c>
      <c r="V232" s="25">
        <f t="shared" si="22"/>
        <v>5.1028624758715297</v>
      </c>
      <c r="W232" s="25">
        <v>3.4650099999999999</v>
      </c>
      <c r="X232" s="25"/>
      <c r="Y232" s="25">
        <f t="shared" si="23"/>
        <v>0.67903260501023066</v>
      </c>
      <c r="Z232" s="25"/>
      <c r="AA232" s="46">
        <f t="shared" si="24"/>
        <v>0.67903260501023066</v>
      </c>
      <c r="AB232" s="25">
        <v>1.1133153135475653</v>
      </c>
      <c r="AC232" s="47">
        <v>0.75</v>
      </c>
      <c r="AD232" s="25"/>
      <c r="AE232" s="25" t="s">
        <v>562</v>
      </c>
      <c r="AF232" s="48" t="s">
        <v>5</v>
      </c>
      <c r="AG232" s="47">
        <f t="shared" si="25"/>
        <v>1711.9114771054103</v>
      </c>
      <c r="AH232" s="47">
        <v>1729.1985217557631</v>
      </c>
      <c r="AI232" s="25">
        <f>'Global Only'!AI232</f>
        <v>8.9864999999999995</v>
      </c>
      <c r="AJ232" s="47">
        <f t="shared" si="26"/>
        <v>0.75354925137820961</v>
      </c>
      <c r="AK232" s="25">
        <f t="shared" si="27"/>
        <v>0.67903260501023066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>'Global Only'!L233</f>
        <v>7101.7000000000007</v>
      </c>
      <c r="M233" s="25"/>
      <c r="N233" s="25"/>
      <c r="O233" s="25"/>
      <c r="P233" s="25">
        <f t="shared" si="21"/>
        <v>206655884.88333333</v>
      </c>
      <c r="Q233" s="25"/>
      <c r="R233" s="25"/>
      <c r="S233" s="25">
        <v>384.63821604296919</v>
      </c>
      <c r="T233" s="25">
        <v>355</v>
      </c>
      <c r="U233" s="25">
        <v>210000</v>
      </c>
      <c r="V233" s="25">
        <f t="shared" si="22"/>
        <v>6.5544800148468862</v>
      </c>
      <c r="W233" s="25">
        <v>3.9944299999999999</v>
      </c>
      <c r="X233" s="25"/>
      <c r="Y233" s="25">
        <f t="shared" si="23"/>
        <v>0.60941981529457911</v>
      </c>
      <c r="Z233" s="25"/>
      <c r="AA233" s="46">
        <f t="shared" si="24"/>
        <v>0.60941981529457911</v>
      </c>
      <c r="AB233" s="25">
        <v>1.1133153135475653</v>
      </c>
      <c r="AC233" s="47">
        <v>1</v>
      </c>
      <c r="AD233" s="25"/>
      <c r="AE233" s="25" t="s">
        <v>563</v>
      </c>
      <c r="AF233" s="48" t="s">
        <v>5</v>
      </c>
      <c r="AG233" s="47">
        <f t="shared" si="25"/>
        <v>1536.4104293085175</v>
      </c>
      <c r="AH233" s="47">
        <v>1346.2337561503921</v>
      </c>
      <c r="AI233" s="25">
        <f>'Global Only'!AI233</f>
        <v>6.5555000000000003</v>
      </c>
      <c r="AJ233" s="47">
        <f t="shared" si="26"/>
        <v>0.9999222008365759</v>
      </c>
      <c r="AK233" s="25">
        <f t="shared" si="27"/>
        <v>0.60941981529457911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>'Global Only'!L234</f>
        <v>7101.7000000000007</v>
      </c>
      <c r="M234" s="25"/>
      <c r="N234" s="25"/>
      <c r="O234" s="25"/>
      <c r="P234" s="25">
        <f t="shared" si="21"/>
        <v>206655884.88333333</v>
      </c>
      <c r="Q234" s="25"/>
      <c r="R234" s="25"/>
      <c r="S234" s="25">
        <v>268.13225434069517</v>
      </c>
      <c r="T234" s="25">
        <v>355</v>
      </c>
      <c r="U234" s="25">
        <v>210000</v>
      </c>
      <c r="V234" s="25">
        <f t="shared" si="22"/>
        <v>9.4024626250172307</v>
      </c>
      <c r="W234" s="25">
        <v>4.3433200000000003</v>
      </c>
      <c r="X234" s="25"/>
      <c r="Y234" s="25">
        <f t="shared" si="23"/>
        <v>0.46193430096107835</v>
      </c>
      <c r="Z234" s="25"/>
      <c r="AA234" s="46">
        <f t="shared" si="24"/>
        <v>0.46193430096107835</v>
      </c>
      <c r="AB234" s="25">
        <v>1.1133153135475653</v>
      </c>
      <c r="AC234" s="47">
        <v>1.33</v>
      </c>
      <c r="AD234" s="25"/>
      <c r="AE234" s="25" t="s">
        <v>564</v>
      </c>
      <c r="AF234" s="48" t="s">
        <v>5</v>
      </c>
      <c r="AG234" s="47">
        <f t="shared" si="25"/>
        <v>1164.5841829230283</v>
      </c>
      <c r="AH234" s="47">
        <v>938.46289019243318</v>
      </c>
      <c r="AI234" s="25">
        <f>'Global Only'!AI234</f>
        <v>5.3451000000000004</v>
      </c>
      <c r="AJ234" s="47">
        <f t="shared" si="26"/>
        <v>1.3263034231432058</v>
      </c>
      <c r="AK234" s="25">
        <f t="shared" si="27"/>
        <v>0.46193430096107835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>'Global Only'!L235</f>
        <v>7101.7000000000007</v>
      </c>
      <c r="M235" s="25"/>
      <c r="N235" s="25"/>
      <c r="O235" s="25"/>
      <c r="P235" s="25">
        <f t="shared" si="21"/>
        <v>206655884.88333333</v>
      </c>
      <c r="Q235" s="25"/>
      <c r="R235" s="25"/>
      <c r="S235" s="25">
        <v>188.99347684513279</v>
      </c>
      <c r="T235" s="25">
        <v>355</v>
      </c>
      <c r="U235" s="25">
        <v>210000</v>
      </c>
      <c r="V235" s="25">
        <f t="shared" si="22"/>
        <v>13.339632362369162</v>
      </c>
      <c r="W235" s="25">
        <v>4.2087700000000003</v>
      </c>
      <c r="X235" s="25"/>
      <c r="Y235" s="25">
        <f t="shared" si="23"/>
        <v>0.31550869511762986</v>
      </c>
      <c r="Z235" s="25"/>
      <c r="AA235" s="46">
        <f t="shared" si="24"/>
        <v>0.31550869511762986</v>
      </c>
      <c r="AB235" s="25">
        <v>1.1133153135475653</v>
      </c>
      <c r="AC235" s="47">
        <v>1.67</v>
      </c>
      <c r="AD235" s="25"/>
      <c r="AE235" s="25" t="s">
        <v>565</v>
      </c>
      <c r="AF235" s="48" t="s">
        <v>5</v>
      </c>
      <c r="AG235" s="47">
        <f t="shared" si="25"/>
        <v>795.4300755414896</v>
      </c>
      <c r="AH235" s="47">
        <v>661.47716895796475</v>
      </c>
      <c r="AI235" s="25">
        <f>'Global Only'!AI235</f>
        <v>4.8221999999999996</v>
      </c>
      <c r="AJ235" s="47">
        <f t="shared" si="26"/>
        <v>1.6632185534961623</v>
      </c>
      <c r="AK235" s="25">
        <f t="shared" si="27"/>
        <v>0.31550869511762986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>'Global Only'!L236</f>
        <v>7101.7000000000007</v>
      </c>
      <c r="M236" s="25"/>
      <c r="N236" s="25"/>
      <c r="O236" s="25"/>
      <c r="P236" s="25">
        <f t="shared" si="21"/>
        <v>206655884.88333333</v>
      </c>
      <c r="Q236" s="25"/>
      <c r="R236" s="25"/>
      <c r="S236" s="25">
        <v>139.75599770917589</v>
      </c>
      <c r="T236" s="25">
        <v>355</v>
      </c>
      <c r="U236" s="25">
        <v>210000</v>
      </c>
      <c r="V236" s="25">
        <f t="shared" si="22"/>
        <v>18.039322399932132</v>
      </c>
      <c r="W236" s="25">
        <v>3.9858600000000002</v>
      </c>
      <c r="X236" s="25"/>
      <c r="Y236" s="25">
        <f t="shared" si="23"/>
        <v>0.2209539755226613</v>
      </c>
      <c r="Z236" s="25"/>
      <c r="AA236" s="46">
        <f t="shared" si="24"/>
        <v>0.2209539755226613</v>
      </c>
      <c r="AB236" s="25">
        <v>1.1133153135475653</v>
      </c>
      <c r="AC236" s="47">
        <v>2</v>
      </c>
      <c r="AD236" s="25"/>
      <c r="AE236" s="25" t="s">
        <v>566</v>
      </c>
      <c r="AF236" s="48" t="s">
        <v>5</v>
      </c>
      <c r="AG236" s="47">
        <f t="shared" si="25"/>
        <v>557.04784102909582</v>
      </c>
      <c r="AH236" s="47">
        <v>489.14599198211556</v>
      </c>
      <c r="AI236" s="25">
        <f>'Global Only'!AI236</f>
        <v>4.5529000000000002</v>
      </c>
      <c r="AJ236" s="47">
        <f t="shared" si="26"/>
        <v>1.9905177488324695</v>
      </c>
      <c r="AK236" s="25">
        <f t="shared" si="27"/>
        <v>0.2209539755226613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>'Global Only'!L237</f>
        <v>7101.7000000000007</v>
      </c>
      <c r="M237" s="25"/>
      <c r="N237" s="25"/>
      <c r="O237" s="25"/>
      <c r="P237" s="25">
        <f t="shared" si="21"/>
        <v>206655884.88333333</v>
      </c>
      <c r="Q237" s="25"/>
      <c r="R237" s="25"/>
      <c r="S237" s="25">
        <v>94.365531535839679</v>
      </c>
      <c r="T237" s="25">
        <v>355</v>
      </c>
      <c r="U237" s="25">
        <v>210000</v>
      </c>
      <c r="V237" s="25">
        <f t="shared" si="22"/>
        <v>26.716359871745063</v>
      </c>
      <c r="W237" s="25">
        <v>3.7848600000000001</v>
      </c>
      <c r="X237" s="25"/>
      <c r="Y237" s="25">
        <f t="shared" si="23"/>
        <v>0.1416682518939576</v>
      </c>
      <c r="Z237" s="25"/>
      <c r="AA237" s="46">
        <f t="shared" si="24"/>
        <v>0.1416682518939576</v>
      </c>
      <c r="AB237" s="25">
        <v>1.1133153135475653</v>
      </c>
      <c r="AC237" s="47">
        <v>2.5</v>
      </c>
      <c r="AD237" s="25"/>
      <c r="AE237" s="25" t="s">
        <v>567</v>
      </c>
      <c r="AF237" s="48" t="s">
        <v>5</v>
      </c>
      <c r="AG237" s="47">
        <f t="shared" si="25"/>
        <v>357.16032568873817</v>
      </c>
      <c r="AH237" s="47">
        <v>330.2793603754389</v>
      </c>
      <c r="AI237" s="25">
        <f>'Global Only'!AI237</f>
        <v>4.3202999999999996</v>
      </c>
      <c r="AJ237" s="47">
        <f t="shared" si="26"/>
        <v>2.486747499142711</v>
      </c>
      <c r="AK237" s="25">
        <f t="shared" si="27"/>
        <v>0.1416682518939576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>'Global Only'!L238</f>
        <v>6514.22</v>
      </c>
      <c r="M238" s="15"/>
      <c r="N238" s="15"/>
      <c r="O238" s="15"/>
      <c r="P238" s="15">
        <f t="shared" si="21"/>
        <v>200082503.39666668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2"/>
        <v>3.7205188002114653</v>
      </c>
      <c r="W238" s="15">
        <v>3.1406000000000001</v>
      </c>
      <c r="X238" s="15"/>
      <c r="Y238" s="15">
        <f t="shared" si="23"/>
        <v>0.84412958747083766</v>
      </c>
      <c r="Z238" s="15"/>
      <c r="AA238" s="16">
        <f t="shared" si="24"/>
        <v>0.84412958747083766</v>
      </c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5"/>
        <v>1952.0902736594694</v>
      </c>
      <c r="AH238" s="17">
        <v>2175.4811048233278</v>
      </c>
      <c r="AI238" s="15">
        <f>'Global Only'!AI238</f>
        <v>35.728999999999999</v>
      </c>
      <c r="AJ238" s="17">
        <f t="shared" si="26"/>
        <v>0.32269432002556259</v>
      </c>
      <c r="AK238" s="15">
        <f t="shared" si="27"/>
        <v>0.84412958747083766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>'Global Only'!L239</f>
        <v>6514.22</v>
      </c>
      <c r="M239" s="15"/>
      <c r="N239" s="15"/>
      <c r="O239" s="15"/>
      <c r="P239" s="15">
        <f t="shared" si="21"/>
        <v>200082503.39666668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2"/>
        <v>4.1890388959695404</v>
      </c>
      <c r="W239" s="15">
        <v>3.1678799999999998</v>
      </c>
      <c r="X239" s="15"/>
      <c r="Y239" s="15">
        <f t="shared" si="23"/>
        <v>0.75623074377465371</v>
      </c>
      <c r="Z239" s="15"/>
      <c r="AA239" s="16">
        <f t="shared" si="24"/>
        <v>0.75623074377465371</v>
      </c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5"/>
        <v>1748.8199696776626</v>
      </c>
      <c r="AH239" s="17">
        <v>1932.165957634702</v>
      </c>
      <c r="AI239" s="15">
        <f>'Global Only'!AI239</f>
        <v>15.942</v>
      </c>
      <c r="AJ239" s="17">
        <f t="shared" si="26"/>
        <v>0.51260848905539846</v>
      </c>
      <c r="AK239" s="15">
        <f t="shared" si="27"/>
        <v>0.75623074377465371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>'Global Only'!L240</f>
        <v>6514.22</v>
      </c>
      <c r="M240" s="15"/>
      <c r="N240" s="15"/>
      <c r="O240" s="15"/>
      <c r="P240" s="15">
        <f t="shared" si="21"/>
        <v>200082503.39666668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2"/>
        <v>5.0917637775183389</v>
      </c>
      <c r="W240" s="15">
        <v>3.3195100000000002</v>
      </c>
      <c r="X240" s="15"/>
      <c r="Y240" s="15">
        <f t="shared" si="23"/>
        <v>0.65193715675825936</v>
      </c>
      <c r="Z240" s="15"/>
      <c r="AA240" s="16">
        <f t="shared" si="24"/>
        <v>0.65193715675825936</v>
      </c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5"/>
        <v>1507.6360331807148</v>
      </c>
      <c r="AH240" s="17">
        <v>1589.6099472911669</v>
      </c>
      <c r="AI240" s="15">
        <f>'Global Only'!AI240</f>
        <v>8.9075000000000006</v>
      </c>
      <c r="AJ240" s="17">
        <f t="shared" si="26"/>
        <v>0.7560599062343788</v>
      </c>
      <c r="AK240" s="15">
        <f t="shared" si="27"/>
        <v>0.65193715675825936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>'Global Only'!L241</f>
        <v>6514.22</v>
      </c>
      <c r="M241" s="15"/>
      <c r="N241" s="15"/>
      <c r="O241" s="15"/>
      <c r="P241" s="15">
        <f t="shared" si="21"/>
        <v>200082503.39666668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2"/>
        <v>6.5402240561784373</v>
      </c>
      <c r="W241" s="15">
        <v>3.8447</v>
      </c>
      <c r="X241" s="15"/>
      <c r="Y241" s="15">
        <f t="shared" si="23"/>
        <v>0.58785447822203862</v>
      </c>
      <c r="Z241" s="15"/>
      <c r="AA241" s="16">
        <f t="shared" si="24"/>
        <v>0.58785447822203862</v>
      </c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5"/>
        <v>1359.4417566888667</v>
      </c>
      <c r="AH241" s="17">
        <v>1237.5597961898284</v>
      </c>
      <c r="AI241" s="15">
        <f>'Global Only'!AI241</f>
        <v>6.5144000000000002</v>
      </c>
      <c r="AJ241" s="17">
        <f t="shared" si="26"/>
        <v>1.0019801143753875</v>
      </c>
      <c r="AK241" s="15">
        <f t="shared" si="27"/>
        <v>0.58785447822203862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>'Global Only'!L242</f>
        <v>6514.22</v>
      </c>
      <c r="M242" s="15"/>
      <c r="N242" s="15"/>
      <c r="O242" s="15"/>
      <c r="P242" s="15">
        <f t="shared" si="21"/>
        <v>200082503.39666668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2"/>
        <v>9.3820123195375835</v>
      </c>
      <c r="W242" s="15">
        <v>4.2483199999999997</v>
      </c>
      <c r="X242" s="15"/>
      <c r="Y242" s="15">
        <f t="shared" si="23"/>
        <v>0.4528154361035191</v>
      </c>
      <c r="Z242" s="15"/>
      <c r="AA242" s="16">
        <f t="shared" si="24"/>
        <v>0.4528154361035191</v>
      </c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5"/>
        <v>1047.1574764118645</v>
      </c>
      <c r="AH242" s="17">
        <v>862.70600318279378</v>
      </c>
      <c r="AI242" s="15">
        <f>'Global Only'!AI242</f>
        <v>5.319</v>
      </c>
      <c r="AJ242" s="17">
        <f t="shared" si="26"/>
        <v>1.3281068121084192</v>
      </c>
      <c r="AK242" s="15">
        <f t="shared" si="27"/>
        <v>0.4528154361035191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>'Global Only'!L243</f>
        <v>6514.22</v>
      </c>
      <c r="M243" s="15"/>
      <c r="N243" s="15"/>
      <c r="O243" s="15"/>
      <c r="P243" s="15">
        <f t="shared" si="21"/>
        <v>200082503.39666668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2"/>
        <v>13.310618733953264</v>
      </c>
      <c r="W243" s="15">
        <v>4.1837099999999996</v>
      </c>
      <c r="X243" s="15"/>
      <c r="Y243" s="15">
        <f t="shared" si="23"/>
        <v>0.31431371325571988</v>
      </c>
      <c r="Z243" s="15"/>
      <c r="AA243" s="16">
        <f t="shared" si="24"/>
        <v>0.31431371325571988</v>
      </c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5"/>
        <v>726.86558039345982</v>
      </c>
      <c r="AH243" s="17">
        <v>608.07979792507365</v>
      </c>
      <c r="AI243" s="15">
        <f>'Global Only'!AI243</f>
        <v>4.8021000000000003</v>
      </c>
      <c r="AJ243" s="17">
        <f t="shared" si="26"/>
        <v>1.6648822458909962</v>
      </c>
      <c r="AK243" s="15">
        <f t="shared" si="27"/>
        <v>0.31431371325571988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>'Global Only'!L244</f>
        <v>6514.22</v>
      </c>
      <c r="M244" s="15"/>
      <c r="N244" s="15"/>
      <c r="O244" s="15"/>
      <c r="P244" s="15">
        <f t="shared" si="21"/>
        <v>200082503.39666668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2"/>
        <v>18.000086971041103</v>
      </c>
      <c r="W244" s="15">
        <v>3.9643999999999999</v>
      </c>
      <c r="X244" s="15"/>
      <c r="Y244" s="15">
        <f t="shared" si="23"/>
        <v>0.22024338028910667</v>
      </c>
      <c r="Z244" s="15"/>
      <c r="AA244" s="16">
        <f t="shared" si="24"/>
        <v>0.22024338028910667</v>
      </c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5"/>
        <v>509.32341062515115</v>
      </c>
      <c r="AH244" s="17">
        <v>449.65995792251766</v>
      </c>
      <c r="AI244" s="15">
        <f>'Global Only'!AI244</f>
        <v>4.5354999999999999</v>
      </c>
      <c r="AJ244" s="17">
        <f t="shared" si="26"/>
        <v>1.9921622950614859</v>
      </c>
      <c r="AK244" s="15">
        <f t="shared" si="27"/>
        <v>0.22024338028910667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>'Global Only'!L245</f>
        <v>6514.22</v>
      </c>
      <c r="M245" s="15"/>
      <c r="N245" s="15"/>
      <c r="O245" s="15"/>
      <c r="P245" s="15">
        <f t="shared" si="21"/>
        <v>200082503.39666668</v>
      </c>
      <c r="Q245" s="15"/>
      <c r="R245" s="15"/>
      <c r="S245" s="15">
        <v>86.747927275857393</v>
      </c>
      <c r="T245" s="15">
        <v>355</v>
      </c>
      <c r="U245" s="15">
        <v>210000</v>
      </c>
      <c r="V245" s="15">
        <f t="shared" si="22"/>
        <v>26.658251933168664</v>
      </c>
      <c r="W245" s="15">
        <v>3.76153</v>
      </c>
      <c r="X245" s="15"/>
      <c r="Y245" s="15">
        <f t="shared" si="23"/>
        <v>0.14110190005818943</v>
      </c>
      <c r="Z245" s="15"/>
      <c r="AA245" s="16">
        <f t="shared" si="24"/>
        <v>0.14110190005818943</v>
      </c>
      <c r="AB245" s="15">
        <v>1.5137471488237149</v>
      </c>
      <c r="AC245" s="17">
        <v>2.5</v>
      </c>
      <c r="AD245" s="15"/>
      <c r="AE245" s="15" t="s">
        <v>575</v>
      </c>
      <c r="AF245" s="22" t="s">
        <v>5</v>
      </c>
      <c r="AG245" s="17">
        <f t="shared" si="25"/>
        <v>326.30493088595586</v>
      </c>
      <c r="AH245" s="17">
        <v>303.61774546550089</v>
      </c>
      <c r="AI245" s="15">
        <f>'Global Only'!AI245</f>
        <v>4.3052000000000001</v>
      </c>
      <c r="AJ245" s="17">
        <f t="shared" si="26"/>
        <v>2.4883941298426664</v>
      </c>
      <c r="AK245" s="15">
        <f t="shared" si="27"/>
        <v>0.14110190005818943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>'Global Only'!L246</f>
        <v>18473.574399999998</v>
      </c>
      <c r="M246" s="25"/>
      <c r="N246" s="25"/>
      <c r="O246" s="25"/>
      <c r="P246" s="25">
        <f t="shared" si="21"/>
        <v>296599421.04640174</v>
      </c>
      <c r="Q246" s="25"/>
      <c r="R246" s="25"/>
      <c r="S246" s="25">
        <v>1745.4984756367351</v>
      </c>
      <c r="T246" s="25">
        <v>355</v>
      </c>
      <c r="U246" s="25">
        <v>210000</v>
      </c>
      <c r="V246" s="25">
        <f t="shared" si="22"/>
        <v>3.7571610651837912</v>
      </c>
      <c r="W246" s="25">
        <v>3.5932300000000001</v>
      </c>
      <c r="X246" s="25"/>
      <c r="Y246" s="25">
        <f t="shared" si="23"/>
        <v>0.95636836900528988</v>
      </c>
      <c r="Z246" s="25"/>
      <c r="AA246" s="46">
        <f t="shared" si="24"/>
        <v>0.95636836900528988</v>
      </c>
      <c r="AB246" s="25">
        <v>0.35499999999999998</v>
      </c>
      <c r="AC246" s="47">
        <v>0.3</v>
      </c>
      <c r="AD246" s="25"/>
      <c r="AE246" s="25" t="s">
        <v>576</v>
      </c>
      <c r="AF246" s="48" t="s">
        <v>5</v>
      </c>
      <c r="AG246" s="47">
        <f t="shared" si="25"/>
        <v>6271.9774876121855</v>
      </c>
      <c r="AH246" s="47">
        <v>6109.2446647285724</v>
      </c>
      <c r="AI246" s="25">
        <f>'Global Only'!AI246</f>
        <v>34.444000000000003</v>
      </c>
      <c r="AJ246" s="47">
        <f t="shared" si="26"/>
        <v>0.3302730342032405</v>
      </c>
      <c r="AK246" s="25">
        <f t="shared" si="27"/>
        <v>0.95636836900528988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>'Global Only'!L247</f>
        <v>18473.574399999998</v>
      </c>
      <c r="M247" s="25"/>
      <c r="N247" s="25"/>
      <c r="O247" s="25"/>
      <c r="P247" s="25">
        <f t="shared" si="21"/>
        <v>296599421.04640174</v>
      </c>
      <c r="Q247" s="25"/>
      <c r="R247" s="25"/>
      <c r="S247" s="25">
        <v>1550.2744318261753</v>
      </c>
      <c r="T247" s="25">
        <v>355</v>
      </c>
      <c r="U247" s="25">
        <v>210000</v>
      </c>
      <c r="V247" s="25">
        <f t="shared" si="22"/>
        <v>4.2302954737341176</v>
      </c>
      <c r="W247" s="25">
        <v>3.55952</v>
      </c>
      <c r="X247" s="25"/>
      <c r="Y247" s="25">
        <f t="shared" si="23"/>
        <v>0.84143531393989879</v>
      </c>
      <c r="Z247" s="25"/>
      <c r="AA247" s="46">
        <f t="shared" si="24"/>
        <v>0.84143531393989879</v>
      </c>
      <c r="AB247" s="25">
        <v>0.35499999999999998</v>
      </c>
      <c r="AC247" s="47">
        <v>0.5</v>
      </c>
      <c r="AD247" s="25"/>
      <c r="AE247" s="25" t="s">
        <v>577</v>
      </c>
      <c r="AF247" s="48" t="s">
        <v>5</v>
      </c>
      <c r="AG247" s="47">
        <f t="shared" si="25"/>
        <v>5518.2328455739071</v>
      </c>
      <c r="AH247" s="47">
        <v>5425.9605113916132</v>
      </c>
      <c r="AI247" s="25">
        <f>'Global Only'!AI247</f>
        <v>15.881</v>
      </c>
      <c r="AJ247" s="47">
        <f t="shared" si="26"/>
        <v>0.51611493720600699</v>
      </c>
      <c r="AK247" s="25">
        <f t="shared" si="27"/>
        <v>0.84143531393989879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>'Global Only'!L248</f>
        <v>18473.574399999998</v>
      </c>
      <c r="M248" s="25"/>
      <c r="N248" s="25"/>
      <c r="O248" s="25"/>
      <c r="P248" s="25">
        <f t="shared" si="21"/>
        <v>296599421.04640174</v>
      </c>
      <c r="Q248" s="25"/>
      <c r="R248" s="25"/>
      <c r="S248" s="25">
        <v>1275.4244262117159</v>
      </c>
      <c r="T248" s="25">
        <v>355</v>
      </c>
      <c r="U248" s="25">
        <v>210000</v>
      </c>
      <c r="V248" s="25">
        <f t="shared" si="22"/>
        <v>5.1419110197528672</v>
      </c>
      <c r="W248" s="25">
        <v>3.6818200000000001</v>
      </c>
      <c r="X248" s="25"/>
      <c r="Y248" s="25">
        <f t="shared" si="23"/>
        <v>0.71604117338011763</v>
      </c>
      <c r="Z248" s="25"/>
      <c r="AA248" s="46">
        <f t="shared" si="24"/>
        <v>0.71604117338011763</v>
      </c>
      <c r="AB248" s="25">
        <v>0.35499999999999998</v>
      </c>
      <c r="AC248" s="47">
        <v>0.75</v>
      </c>
      <c r="AD248" s="25"/>
      <c r="AE248" s="25" t="s">
        <v>578</v>
      </c>
      <c r="AF248" s="48" t="s">
        <v>5</v>
      </c>
      <c r="AG248" s="47">
        <f t="shared" si="25"/>
        <v>4695.8831609148201</v>
      </c>
      <c r="AH248" s="47">
        <v>4463.9854917410057</v>
      </c>
      <c r="AI248" s="25">
        <f>'Global Only'!AI248</f>
        <v>8.9154</v>
      </c>
      <c r="AJ248" s="47">
        <f t="shared" si="26"/>
        <v>0.75943719174952451</v>
      </c>
      <c r="AK248" s="25">
        <f t="shared" si="27"/>
        <v>0.71604117338011763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>'Global Only'!L249</f>
        <v>18473.574399999998</v>
      </c>
      <c r="M249" s="25"/>
      <c r="N249" s="25"/>
      <c r="O249" s="25"/>
      <c r="P249" s="25">
        <f t="shared" si="21"/>
        <v>296599421.04640174</v>
      </c>
      <c r="Q249" s="25"/>
      <c r="R249" s="25"/>
      <c r="S249" s="25">
        <v>992.95679147444571</v>
      </c>
      <c r="T249" s="25">
        <v>355</v>
      </c>
      <c r="U249" s="25">
        <v>210000</v>
      </c>
      <c r="V249" s="25">
        <f t="shared" si="22"/>
        <v>6.6046367458364639</v>
      </c>
      <c r="W249" s="25">
        <v>4.1461300000000003</v>
      </c>
      <c r="X249" s="25"/>
      <c r="Y249" s="25">
        <f t="shared" si="23"/>
        <v>0.6277604900244822</v>
      </c>
      <c r="Z249" s="25"/>
      <c r="AA249" s="46">
        <f t="shared" si="24"/>
        <v>0.6277604900244822</v>
      </c>
      <c r="AB249" s="25">
        <v>0.35499999999999998</v>
      </c>
      <c r="AC249" s="47">
        <v>1</v>
      </c>
      <c r="AD249" s="25"/>
      <c r="AE249" s="25" t="s">
        <v>579</v>
      </c>
      <c r="AF249" s="48" t="s">
        <v>5</v>
      </c>
      <c r="AG249" s="47">
        <f t="shared" si="25"/>
        <v>4116.9279418359438</v>
      </c>
      <c r="AH249" s="47">
        <v>3475.34877016056</v>
      </c>
      <c r="AI249" s="25">
        <f>'Global Only'!AI249</f>
        <v>6.5446</v>
      </c>
      <c r="AJ249" s="47">
        <f t="shared" si="26"/>
        <v>1.0045762680167469</v>
      </c>
      <c r="AK249" s="25">
        <f t="shared" si="27"/>
        <v>0.6277604900244822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>'Global Only'!L250</f>
        <v>18473.574399999998</v>
      </c>
      <c r="M250" s="25"/>
      <c r="N250" s="25"/>
      <c r="O250" s="25"/>
      <c r="P250" s="25">
        <f t="shared" si="21"/>
        <v>296599421.04640174</v>
      </c>
      <c r="Q250" s="25"/>
      <c r="R250" s="25"/>
      <c r="S250" s="25">
        <v>692.1926419583948</v>
      </c>
      <c r="T250" s="25">
        <v>355</v>
      </c>
      <c r="U250" s="25">
        <v>210000</v>
      </c>
      <c r="V250" s="25">
        <f t="shared" si="22"/>
        <v>9.4744129227455502</v>
      </c>
      <c r="W250" s="25">
        <v>4.3860700000000001</v>
      </c>
      <c r="X250" s="25"/>
      <c r="Y250" s="25">
        <f t="shared" si="23"/>
        <v>0.46293844650471278</v>
      </c>
      <c r="Z250" s="25"/>
      <c r="AA250" s="46">
        <f t="shared" si="24"/>
        <v>0.46293844650471278</v>
      </c>
      <c r="AB250" s="25">
        <v>0.35499999999999998</v>
      </c>
      <c r="AC250" s="47">
        <v>1.33</v>
      </c>
      <c r="AD250" s="25"/>
      <c r="AE250" s="25" t="s">
        <v>580</v>
      </c>
      <c r="AF250" s="48" t="s">
        <v>5</v>
      </c>
      <c r="AG250" s="47">
        <f t="shared" si="25"/>
        <v>3036.0053811144567</v>
      </c>
      <c r="AH250" s="47">
        <v>2422.6742468543816</v>
      </c>
      <c r="AI250" s="25">
        <f>'Global Only'!AI250</f>
        <v>5.3552999999999997</v>
      </c>
      <c r="AJ250" s="47">
        <f t="shared" si="26"/>
        <v>1.3300998729056543</v>
      </c>
      <c r="AK250" s="25">
        <f t="shared" si="27"/>
        <v>0.46293844650471278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>'Global Only'!L251</f>
        <v>18473.574399999998</v>
      </c>
      <c r="M251" s="25"/>
      <c r="N251" s="25"/>
      <c r="O251" s="25"/>
      <c r="P251" s="25">
        <f t="shared" si="21"/>
        <v>296599421.04640174</v>
      </c>
      <c r="Q251" s="25"/>
      <c r="R251" s="25"/>
      <c r="S251" s="25">
        <v>487.89316440875604</v>
      </c>
      <c r="T251" s="25">
        <v>355</v>
      </c>
      <c r="U251" s="25">
        <v>210000</v>
      </c>
      <c r="V251" s="25">
        <f t="shared" si="22"/>
        <v>13.441710994142191</v>
      </c>
      <c r="W251" s="25">
        <v>4.2215100000000003</v>
      </c>
      <c r="X251" s="25"/>
      <c r="Y251" s="25">
        <f t="shared" si="23"/>
        <v>0.31406046461196097</v>
      </c>
      <c r="Z251" s="25"/>
      <c r="AA251" s="46">
        <f t="shared" si="24"/>
        <v>0.31406046461196097</v>
      </c>
      <c r="AB251" s="25">
        <v>0.35499999999999998</v>
      </c>
      <c r="AC251" s="47">
        <v>1.67</v>
      </c>
      <c r="AD251" s="25"/>
      <c r="AE251" s="25" t="s">
        <v>581</v>
      </c>
      <c r="AF251" s="48" t="s">
        <v>5</v>
      </c>
      <c r="AG251" s="47">
        <f t="shared" si="25"/>
        <v>2059.6458724832078</v>
      </c>
      <c r="AH251" s="47">
        <v>1707.6260754306461</v>
      </c>
      <c r="AI251" s="25">
        <f>'Global Only'!AI251</f>
        <v>4.8396999999999997</v>
      </c>
      <c r="AJ251" s="47">
        <f t="shared" si="26"/>
        <v>1.6665488793587226</v>
      </c>
      <c r="AK251" s="25">
        <f t="shared" si="27"/>
        <v>0.31406046461196097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>'Global Only'!L252</f>
        <v>18473.574399999998</v>
      </c>
      <c r="M252" s="25"/>
      <c r="N252" s="25"/>
      <c r="O252" s="25"/>
      <c r="P252" s="25">
        <f t="shared" si="21"/>
        <v>296599421.04640174</v>
      </c>
      <c r="Q252" s="25"/>
      <c r="R252" s="25"/>
      <c r="S252" s="25">
        <v>360.784917583724</v>
      </c>
      <c r="T252" s="25">
        <v>355</v>
      </c>
      <c r="U252" s="25">
        <v>210000</v>
      </c>
      <c r="V252" s="25">
        <f t="shared" si="22"/>
        <v>18.177364386298432</v>
      </c>
      <c r="W252" s="25">
        <v>3.9899300000000002</v>
      </c>
      <c r="X252" s="25"/>
      <c r="Y252" s="25">
        <f t="shared" si="23"/>
        <v>0.21949991842643002</v>
      </c>
      <c r="Z252" s="25"/>
      <c r="AA252" s="46">
        <f t="shared" si="24"/>
        <v>0.21949991842643002</v>
      </c>
      <c r="AB252" s="25">
        <v>0.35499999999999998</v>
      </c>
      <c r="AC252" s="47">
        <v>2</v>
      </c>
      <c r="AD252" s="25"/>
      <c r="AE252" s="25" t="s">
        <v>582</v>
      </c>
      <c r="AF252" s="48" t="s">
        <v>5</v>
      </c>
      <c r="AG252" s="47">
        <f t="shared" si="25"/>
        <v>1439.5065662148279</v>
      </c>
      <c r="AH252" s="47">
        <v>1262.7472115430339</v>
      </c>
      <c r="AI252" s="25">
        <f>'Global Only'!AI252</f>
        <v>4.5735999999999999</v>
      </c>
      <c r="AJ252" s="47">
        <f t="shared" si="26"/>
        <v>1.9935923892463356</v>
      </c>
      <c r="AK252" s="25">
        <f t="shared" si="27"/>
        <v>0.21949991842643002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>'Global Only'!L253</f>
        <v>18473.574399999998</v>
      </c>
      <c r="M253" s="25"/>
      <c r="N253" s="25"/>
      <c r="O253" s="25"/>
      <c r="P253" s="25">
        <f t="shared" si="21"/>
        <v>296599421.04640174</v>
      </c>
      <c r="Q253" s="25"/>
      <c r="R253" s="25"/>
      <c r="S253" s="25">
        <v>243.60786711100062</v>
      </c>
      <c r="T253" s="25">
        <v>355</v>
      </c>
      <c r="U253" s="25">
        <v>210000</v>
      </c>
      <c r="V253" s="25">
        <f t="shared" si="22"/>
        <v>26.920800997825634</v>
      </c>
      <c r="W253" s="25">
        <v>3.7847900000000001</v>
      </c>
      <c r="X253" s="25"/>
      <c r="Y253" s="25">
        <f t="shared" si="23"/>
        <v>0.14058979895530202</v>
      </c>
      <c r="Z253" s="25"/>
      <c r="AA253" s="46">
        <f t="shared" si="24"/>
        <v>0.14058979895530202</v>
      </c>
      <c r="AB253" s="25">
        <v>0.35499999999999998</v>
      </c>
      <c r="AC253" s="47">
        <v>2.5</v>
      </c>
      <c r="AD253" s="25"/>
      <c r="AE253" s="25" t="s">
        <v>583</v>
      </c>
      <c r="AF253" s="48" t="s">
        <v>5</v>
      </c>
      <c r="AG253" s="47">
        <f t="shared" si="25"/>
        <v>922.00461936304407</v>
      </c>
      <c r="AH253" s="47">
        <v>852.62753488850217</v>
      </c>
      <c r="AI253" s="25">
        <f>'Global Only'!AI253</f>
        <v>4.3433000000000002</v>
      </c>
      <c r="AJ253" s="47">
        <f t="shared" si="26"/>
        <v>2.489625793928484</v>
      </c>
      <c r="AK253" s="25">
        <f t="shared" si="27"/>
        <v>0.14058979895530202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>'Global Only'!L254</f>
        <v>13060.71</v>
      </c>
      <c r="M254" s="15"/>
      <c r="N254" s="15"/>
      <c r="O254" s="15"/>
      <c r="P254" s="15">
        <f t="shared" si="21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2"/>
        <v>3.7359429004006643</v>
      </c>
      <c r="W254" s="15">
        <v>3.5121699999999998</v>
      </c>
      <c r="X254" s="15"/>
      <c r="Y254" s="15">
        <f t="shared" si="23"/>
        <v>0.94010269793559587</v>
      </c>
      <c r="Z254" s="15"/>
      <c r="AA254" s="16">
        <f t="shared" si="24"/>
        <v>0.94010269793559587</v>
      </c>
      <c r="AB254" s="15">
        <v>0.50316512905442312</v>
      </c>
      <c r="AC254" s="17">
        <v>0.3</v>
      </c>
      <c r="AD254" s="15"/>
      <c r="AE254" s="15" t="s">
        <v>584</v>
      </c>
      <c r="AF254" s="22" t="s">
        <v>5</v>
      </c>
      <c r="AG254" s="17">
        <f t="shared" si="25"/>
        <v>4358.8350913238182</v>
      </c>
      <c r="AH254" s="17">
        <v>4343.7313170015586</v>
      </c>
      <c r="AI254" s="15">
        <f>'Global Only'!AI254</f>
        <v>34.508000000000003</v>
      </c>
      <c r="AJ254" s="17">
        <f t="shared" si="26"/>
        <v>0.32903357811277323</v>
      </c>
      <c r="AK254" s="15">
        <f t="shared" si="27"/>
        <v>0.94010269793559587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>'Global Only'!L255</f>
        <v>13060.71</v>
      </c>
      <c r="M255" s="15"/>
      <c r="N255" s="15"/>
      <c r="O255" s="15"/>
      <c r="P255" s="15">
        <f t="shared" si="21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2"/>
        <v>4.20640533304391</v>
      </c>
      <c r="W255" s="15">
        <v>3.5030199999999998</v>
      </c>
      <c r="X255" s="15"/>
      <c r="Y255" s="15">
        <f t="shared" si="23"/>
        <v>0.83278232187507362</v>
      </c>
      <c r="Z255" s="15"/>
      <c r="AA255" s="16">
        <f t="shared" si="24"/>
        <v>0.83278232187507362</v>
      </c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5"/>
        <v>3861.2385816936321</v>
      </c>
      <c r="AH255" s="17">
        <v>3857.9097567035624</v>
      </c>
      <c r="AI255" s="15">
        <f>'Global Only'!AI255</f>
        <v>15.89</v>
      </c>
      <c r="AJ255" s="17">
        <f t="shared" si="26"/>
        <v>0.5145097523628881</v>
      </c>
      <c r="AK255" s="15">
        <f t="shared" si="27"/>
        <v>0.83278232187507362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>'Global Only'!L256</f>
        <v>13060.71</v>
      </c>
      <c r="M256" s="15"/>
      <c r="N256" s="15"/>
      <c r="O256" s="15"/>
      <c r="P256" s="15">
        <f t="shared" si="21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2"/>
        <v>5.1128726278861185</v>
      </c>
      <c r="W256" s="15">
        <v>3.6346400000000001</v>
      </c>
      <c r="X256" s="15"/>
      <c r="Y256" s="15">
        <f t="shared" si="23"/>
        <v>0.71088021637314225</v>
      </c>
      <c r="Z256" s="15"/>
      <c r="AA256" s="16">
        <f t="shared" si="24"/>
        <v>0.71088021637314225</v>
      </c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5"/>
        <v>3296.033124529336</v>
      </c>
      <c r="AH256" s="17">
        <v>3173.9363281790424</v>
      </c>
      <c r="AI256" s="15">
        <f>'Global Only'!AI256</f>
        <v>8.9036000000000008</v>
      </c>
      <c r="AJ256" s="17">
        <f t="shared" si="26"/>
        <v>0.75779138985860628</v>
      </c>
      <c r="AK256" s="15">
        <f t="shared" si="27"/>
        <v>0.71088021637314225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>'Global Only'!L257</f>
        <v>13060.71</v>
      </c>
      <c r="M257" s="15"/>
      <c r="N257" s="15"/>
      <c r="O257" s="15"/>
      <c r="P257" s="15">
        <f t="shared" si="21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2"/>
        <v>6.567337767066439</v>
      </c>
      <c r="W257" s="15">
        <v>4.0691899999999999</v>
      </c>
      <c r="X257" s="15"/>
      <c r="Y257" s="15">
        <f t="shared" si="23"/>
        <v>0.61961028111055483</v>
      </c>
      <c r="Z257" s="15"/>
      <c r="AA257" s="16">
        <f t="shared" si="24"/>
        <v>0.61961028111055483</v>
      </c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5"/>
        <v>2872.8553190842194</v>
      </c>
      <c r="AH257" s="17">
        <v>2471.0061748885573</v>
      </c>
      <c r="AI257" s="15">
        <f>'Global Only'!AI257</f>
        <v>6.5339</v>
      </c>
      <c r="AJ257" s="17">
        <f t="shared" si="26"/>
        <v>1.0025555254944793</v>
      </c>
      <c r="AK257" s="15">
        <f t="shared" si="27"/>
        <v>0.61961028111055483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>'Global Only'!L258</f>
        <v>13060.71</v>
      </c>
      <c r="M258" s="15"/>
      <c r="N258" s="15"/>
      <c r="O258" s="15"/>
      <c r="P258" s="15">
        <f t="shared" si="21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2"/>
        <v>9.4209071903240513</v>
      </c>
      <c r="W258" s="15">
        <v>4.3205200000000001</v>
      </c>
      <c r="X258" s="15"/>
      <c r="Y258" s="15">
        <f t="shared" si="23"/>
        <v>0.45860976153522504</v>
      </c>
      <c r="Z258" s="15"/>
      <c r="AA258" s="16">
        <f t="shared" si="24"/>
        <v>0.45860976153522504</v>
      </c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5"/>
        <v>2126.3680299961588</v>
      </c>
      <c r="AH258" s="17">
        <v>1722.544532830899</v>
      </c>
      <c r="AI258" s="15">
        <f>'Global Only'!AI258</f>
        <v>5.3457999999999997</v>
      </c>
      <c r="AJ258" s="17">
        <f t="shared" si="26"/>
        <v>1.3275167495185025</v>
      </c>
      <c r="AK258" s="15">
        <f t="shared" si="27"/>
        <v>0.45860976153522504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>'Global Only'!L259</f>
        <v>13060.71</v>
      </c>
      <c r="M259" s="15"/>
      <c r="N259" s="15"/>
      <c r="O259" s="15"/>
      <c r="P259" s="15">
        <f t="shared" si="21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2"/>
        <v>13.365800370697322</v>
      </c>
      <c r="W259" s="15">
        <v>4.1803600000000003</v>
      </c>
      <c r="X259" s="15"/>
      <c r="Y259" s="15">
        <f t="shared" si="23"/>
        <v>0.3127654075370499</v>
      </c>
      <c r="Z259" s="15"/>
      <c r="AA259" s="16">
        <f t="shared" si="24"/>
        <v>0.3127654075370499</v>
      </c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5"/>
        <v>1450.1530914849939</v>
      </c>
      <c r="AH259" s="17">
        <v>1214.1384522379599</v>
      </c>
      <c r="AI259" s="15">
        <f>'Global Only'!AI259</f>
        <v>4.8308</v>
      </c>
      <c r="AJ259" s="17">
        <f t="shared" si="26"/>
        <v>1.6633665219566289</v>
      </c>
      <c r="AK259" s="15">
        <f t="shared" si="27"/>
        <v>0.3127654075370499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>'Global Only'!L260</f>
        <v>13060.71</v>
      </c>
      <c r="M260" s="15"/>
      <c r="N260" s="15"/>
      <c r="O260" s="15"/>
      <c r="P260" s="15">
        <f t="shared" si="21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2"/>
        <v>18.074709667434909</v>
      </c>
      <c r="W260" s="15">
        <v>3.95581</v>
      </c>
      <c r="X260" s="15"/>
      <c r="Y260" s="15">
        <f t="shared" si="23"/>
        <v>0.21885884048954646</v>
      </c>
      <c r="Z260" s="15"/>
      <c r="AA260" s="16">
        <f t="shared" si="24"/>
        <v>0.21885884048954646</v>
      </c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5"/>
        <v>1014.7504055324296</v>
      </c>
      <c r="AH260" s="17">
        <v>897.82533017599519</v>
      </c>
      <c r="AI260" s="15">
        <f>'Global Only'!AI260</f>
        <v>4.5650000000000004</v>
      </c>
      <c r="AJ260" s="17">
        <f t="shared" si="26"/>
        <v>1.9898267917066068</v>
      </c>
      <c r="AK260" s="15">
        <f t="shared" si="27"/>
        <v>0.21885884048954646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>'Global Only'!L261</f>
        <v>13060.71</v>
      </c>
      <c r="M261" s="15"/>
      <c r="N261" s="15"/>
      <c r="O261" s="15"/>
      <c r="P261" s="15">
        <f t="shared" si="21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2"/>
        <v>26.768768656982214</v>
      </c>
      <c r="W261" s="15">
        <v>3.7539099999999999</v>
      </c>
      <c r="X261" s="15"/>
      <c r="Y261" s="15">
        <f t="shared" si="23"/>
        <v>0.14023469096031249</v>
      </c>
      <c r="Z261" s="15"/>
      <c r="AA261" s="16">
        <f t="shared" si="24"/>
        <v>0.14023469096031249</v>
      </c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5"/>
        <v>650.20544385315327</v>
      </c>
      <c r="AH261" s="17">
        <v>606.22632228424141</v>
      </c>
      <c r="AI261" s="15">
        <f>'Global Only'!AI261</f>
        <v>4.335</v>
      </c>
      <c r="AJ261" s="17">
        <f t="shared" si="26"/>
        <v>2.4849613958501573</v>
      </c>
      <c r="AK261" s="15">
        <f t="shared" si="27"/>
        <v>0.14023469096031249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>'Global Only'!L262</f>
        <v>10907.4375</v>
      </c>
      <c r="M262" s="15"/>
      <c r="N262" s="15"/>
      <c r="O262" s="15"/>
      <c r="P262" s="15">
        <f t="shared" si="21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2"/>
        <v>3.7276962861014478</v>
      </c>
      <c r="W262" s="15">
        <v>3.3231799999999998</v>
      </c>
      <c r="X262" s="15"/>
      <c r="Y262" s="15">
        <f t="shared" si="23"/>
        <v>0.89148357187529759</v>
      </c>
      <c r="Z262" s="15"/>
      <c r="AA262" s="16">
        <f t="shared" si="24"/>
        <v>0.89148357187529759</v>
      </c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si="25"/>
        <v>3451.9494765898312</v>
      </c>
      <c r="AH262" s="17">
        <v>3635.621052144154</v>
      </c>
      <c r="AI262" s="15">
        <f>'Global Only'!AI262</f>
        <v>34.567999999999998</v>
      </c>
      <c r="AJ262" s="17">
        <f t="shared" si="26"/>
        <v>0.32838486593001986</v>
      </c>
      <c r="AK262" s="15">
        <f t="shared" si="27"/>
        <v>0.89148357187529759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>'Global Only'!L263</f>
        <v>10907.4375</v>
      </c>
      <c r="M263" s="15"/>
      <c r="N263" s="15"/>
      <c r="O263" s="15"/>
      <c r="P263" s="15">
        <f t="shared" ref="P263:P293" si="28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9">L263*T263/(S263*1000)</f>
        <v>4.1971202333267659</v>
      </c>
      <c r="W263" s="15">
        <v>3.3917099999999998</v>
      </c>
      <c r="X263" s="15"/>
      <c r="Y263" s="15">
        <f t="shared" ref="Y263:Y293" si="30">AK263</f>
        <v>0.80810408362107533</v>
      </c>
      <c r="Z263" s="15"/>
      <c r="AA263" s="16">
        <f t="shared" ref="AA263:AA293" si="31">AK263</f>
        <v>0.80810408362107533</v>
      </c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ref="AG263:AG293" si="32">W263*S263</f>
        <v>3129.0923988850363</v>
      </c>
      <c r="AH263" s="17">
        <v>3228.9975841382748</v>
      </c>
      <c r="AI263" s="15">
        <f>'Global Only'!AI263</f>
        <v>15.907999999999999</v>
      </c>
      <c r="AJ263" s="17">
        <f t="shared" ref="AJ263:AJ293" si="33">(V263/AI263)^0.5</f>
        <v>0.51365073520842819</v>
      </c>
      <c r="AK263" s="15">
        <f t="shared" ref="AK263:AK293" si="34">W263/V263</f>
        <v>0.80810408362107533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>'Global Only'!L264</f>
        <v>10907.4375</v>
      </c>
      <c r="M264" s="15"/>
      <c r="N264" s="15"/>
      <c r="O264" s="15"/>
      <c r="P264" s="15">
        <f t="shared" si="28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9"/>
        <v>5.1015866179959044</v>
      </c>
      <c r="W264" s="15">
        <v>3.5759699999999999</v>
      </c>
      <c r="X264" s="15"/>
      <c r="Y264" s="15">
        <f t="shared" si="30"/>
        <v>0.70095252080710058</v>
      </c>
      <c r="Z264" s="15"/>
      <c r="AA264" s="16">
        <f t="shared" si="31"/>
        <v>0.70095252080710058</v>
      </c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32"/>
        <v>2714.186512965669</v>
      </c>
      <c r="AH264" s="17">
        <v>2656.5247458395461</v>
      </c>
      <c r="AI264" s="15">
        <f>'Global Only'!AI264</f>
        <v>8.9054000000000002</v>
      </c>
      <c r="AJ264" s="17">
        <f t="shared" si="33"/>
        <v>0.75687806078890663</v>
      </c>
      <c r="AK264" s="15">
        <f t="shared" si="34"/>
        <v>0.70095252080710058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>'Global Only'!L265</f>
        <v>10907.4375</v>
      </c>
      <c r="M265" s="15"/>
      <c r="N265" s="15"/>
      <c r="O265" s="15"/>
      <c r="P265" s="15">
        <f t="shared" si="28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9"/>
        <v>6.5528412121185937</v>
      </c>
      <c r="W265" s="15">
        <v>3.9931100000000002</v>
      </c>
      <c r="X265" s="15"/>
      <c r="Y265" s="15">
        <f t="shared" si="30"/>
        <v>0.60937078600581429</v>
      </c>
      <c r="Z265" s="15"/>
      <c r="AA265" s="16">
        <f t="shared" si="31"/>
        <v>0.60937078600581429</v>
      </c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32"/>
        <v>2359.5691857529241</v>
      </c>
      <c r="AH265" s="17">
        <v>2068.1854870352267</v>
      </c>
      <c r="AI265" s="15">
        <f>'Global Only'!AI265</f>
        <v>6.5347</v>
      </c>
      <c r="AJ265" s="17">
        <f t="shared" si="33"/>
        <v>1.001387105678117</v>
      </c>
      <c r="AK265" s="15">
        <f t="shared" si="34"/>
        <v>0.60937078600581429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>'Global Only'!L266</f>
        <v>10907.4375</v>
      </c>
      <c r="M266" s="15"/>
      <c r="N266" s="15"/>
      <c r="O266" s="15"/>
      <c r="P266" s="15">
        <f t="shared" si="28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9"/>
        <v>9.4001117472408637</v>
      </c>
      <c r="W266" s="15">
        <v>4.26206</v>
      </c>
      <c r="X266" s="15"/>
      <c r="Y266" s="15">
        <f t="shared" si="30"/>
        <v>0.4534052482143105</v>
      </c>
      <c r="Z266" s="15"/>
      <c r="AA266" s="16">
        <f t="shared" si="31"/>
        <v>0.4534052482143105</v>
      </c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32"/>
        <v>1755.6487395097004</v>
      </c>
      <c r="AH266" s="17">
        <v>1441.7372322970468</v>
      </c>
      <c r="AI266" s="15">
        <f>'Global Only'!AI266</f>
        <v>5.3460999999999999</v>
      </c>
      <c r="AJ266" s="17">
        <f t="shared" si="33"/>
        <v>1.3260135720548878</v>
      </c>
      <c r="AK266" s="15">
        <f t="shared" si="34"/>
        <v>0.4534052482143105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>'Global Only'!L267</f>
        <v>10907.4375</v>
      </c>
      <c r="M267" s="15"/>
      <c r="N267" s="15"/>
      <c r="O267" s="15"/>
      <c r="P267" s="15">
        <f t="shared" si="28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9"/>
        <v>13.336297082398767</v>
      </c>
      <c r="W267" s="15">
        <v>4.1481199999999996</v>
      </c>
      <c r="X267" s="15"/>
      <c r="Y267" s="15">
        <f t="shared" si="30"/>
        <v>0.31103986169254466</v>
      </c>
      <c r="Z267" s="15"/>
      <c r="AA267" s="16">
        <f t="shared" si="31"/>
        <v>0.31103986169254466</v>
      </c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32"/>
        <v>1204.3899872541267</v>
      </c>
      <c r="AH267" s="17">
        <v>1016.210947462813</v>
      </c>
      <c r="AI267" s="15">
        <f>'Global Only'!AI267</f>
        <v>4.8308999999999997</v>
      </c>
      <c r="AJ267" s="17">
        <f t="shared" si="33"/>
        <v>1.6615124767404768</v>
      </c>
      <c r="AK267" s="15">
        <f t="shared" si="34"/>
        <v>0.31103986169254466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>'Global Only'!L268</f>
        <v>10907.4375</v>
      </c>
      <c r="M268" s="15"/>
      <c r="N268" s="15"/>
      <c r="O268" s="15"/>
      <c r="P268" s="15">
        <f t="shared" si="28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9"/>
        <v>18.034812066435265</v>
      </c>
      <c r="W268" s="15">
        <v>3.9314499999999999</v>
      </c>
      <c r="X268" s="15"/>
      <c r="Y268" s="15">
        <f t="shared" si="30"/>
        <v>0.21799229099353098</v>
      </c>
      <c r="Z268" s="15"/>
      <c r="AA268" s="16">
        <f t="shared" si="31"/>
        <v>0.21799229099353098</v>
      </c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32"/>
        <v>844.09673777028195</v>
      </c>
      <c r="AH268" s="17">
        <v>751.46283996896477</v>
      </c>
      <c r="AI268" s="15">
        <f>'Global Only'!AI268</f>
        <v>4.5650000000000004</v>
      </c>
      <c r="AJ268" s="17">
        <f t="shared" si="33"/>
        <v>1.9876294348553638</v>
      </c>
      <c r="AK268" s="15">
        <f t="shared" si="34"/>
        <v>0.21799229099353098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>'Global Only'!L269</f>
        <v>10907.4375</v>
      </c>
      <c r="M269" s="15"/>
      <c r="N269" s="15"/>
      <c r="O269" s="15"/>
      <c r="P269" s="15">
        <f t="shared" si="28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9"/>
        <v>26.709680036983386</v>
      </c>
      <c r="W269" s="15">
        <v>3.7330700000000001</v>
      </c>
      <c r="X269" s="15"/>
      <c r="Y269" s="15">
        <f t="shared" si="30"/>
        <v>0.13976468437027434</v>
      </c>
      <c r="Z269" s="15"/>
      <c r="AA269" s="16">
        <f t="shared" si="31"/>
        <v>0.13976468437027434</v>
      </c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32"/>
        <v>541.18846861397788</v>
      </c>
      <c r="AH269" s="17">
        <v>507.39997914556182</v>
      </c>
      <c r="AI269" s="15">
        <f>'Global Only'!AI269</f>
        <v>4.3349000000000002</v>
      </c>
      <c r="AJ269" s="17">
        <f t="shared" si="33"/>
        <v>2.4822458945161583</v>
      </c>
      <c r="AK269" s="15">
        <f t="shared" si="34"/>
        <v>0.13976468437027434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>'Global Only'!L270</f>
        <v>8282.1715839999997</v>
      </c>
      <c r="M270" s="15"/>
      <c r="N270" s="15"/>
      <c r="O270" s="15"/>
      <c r="P270" s="15">
        <f t="shared" si="28"/>
        <v>146698121.23350763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29"/>
        <v>3.6688200087247971</v>
      </c>
      <c r="W270" s="15">
        <v>2.8099500000000002</v>
      </c>
      <c r="X270" s="15"/>
      <c r="Y270" s="15">
        <f t="shared" si="30"/>
        <v>0.76590020587482521</v>
      </c>
      <c r="Z270" s="15"/>
      <c r="AA270" s="16">
        <f t="shared" si="31"/>
        <v>0.76590020587482521</v>
      </c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32"/>
        <v>2251.877507053061</v>
      </c>
      <c r="AH270" s="17">
        <v>2804.879544008154</v>
      </c>
      <c r="AI270" s="15">
        <f>'Global Only'!AI270</f>
        <v>34.228000000000002</v>
      </c>
      <c r="AJ270" s="17">
        <f t="shared" si="33"/>
        <v>0.3273953005984418</v>
      </c>
      <c r="AK270" s="15">
        <f t="shared" si="34"/>
        <v>0.76590020587482521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>'Global Only'!L271</f>
        <v>8282.1715839999997</v>
      </c>
      <c r="M271" s="15"/>
      <c r="N271" s="15"/>
      <c r="O271" s="15"/>
      <c r="P271" s="15">
        <f t="shared" si="28"/>
        <v>146698121.23350763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29"/>
        <v>4.0752605909145636</v>
      </c>
      <c r="W271" s="15">
        <v>2.9096099999999998</v>
      </c>
      <c r="X271" s="15"/>
      <c r="Y271" s="15">
        <f t="shared" si="30"/>
        <v>0.71396906653938164</v>
      </c>
      <c r="Z271" s="15"/>
      <c r="AA271" s="16">
        <f t="shared" si="31"/>
        <v>0.71396906653938164</v>
      </c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32"/>
        <v>2099.1910817353523</v>
      </c>
      <c r="AH271" s="17">
        <v>2525.1386907777101</v>
      </c>
      <c r="AI271" s="15">
        <f>'Global Only'!AI271</f>
        <v>15.529</v>
      </c>
      <c r="AJ271" s="17">
        <f t="shared" si="33"/>
        <v>0.5122782855554866</v>
      </c>
      <c r="AK271" s="15">
        <f t="shared" si="34"/>
        <v>0.71396906653938164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>'Global Only'!L272</f>
        <v>8282.1715839999997</v>
      </c>
      <c r="M272" s="15"/>
      <c r="N272" s="15"/>
      <c r="O272" s="15"/>
      <c r="P272" s="15">
        <f t="shared" si="28"/>
        <v>146698121.23350763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29"/>
        <v>4.8191986490110406</v>
      </c>
      <c r="W272" s="15">
        <v>3.1117900000000001</v>
      </c>
      <c r="X272" s="15"/>
      <c r="Y272" s="15">
        <f t="shared" si="30"/>
        <v>0.64570693732215789</v>
      </c>
      <c r="Z272" s="15"/>
      <c r="AA272" s="16">
        <f t="shared" si="31"/>
        <v>0.64570693732215789</v>
      </c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32"/>
        <v>1898.4887549978423</v>
      </c>
      <c r="AH272" s="17">
        <v>2135.33388901322</v>
      </c>
      <c r="AI272" s="15">
        <f>'Global Only'!AI272</f>
        <v>8.4459999999999997</v>
      </c>
      <c r="AJ272" s="17">
        <f t="shared" si="33"/>
        <v>0.75537372754836418</v>
      </c>
      <c r="AK272" s="15">
        <f t="shared" si="34"/>
        <v>0.64570693732215789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>'Global Only'!L273</f>
        <v>8282.1715839999997</v>
      </c>
      <c r="M273" s="15"/>
      <c r="N273" s="15"/>
      <c r="O273" s="15"/>
      <c r="P273" s="15">
        <f t="shared" si="28"/>
        <v>146698121.23350763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29"/>
        <v>5.987238544175101</v>
      </c>
      <c r="W273" s="15">
        <v>3.4035099999999998</v>
      </c>
      <c r="X273" s="15"/>
      <c r="Y273" s="15">
        <f t="shared" si="30"/>
        <v>0.56846073108465445</v>
      </c>
      <c r="Z273" s="15"/>
      <c r="AA273" s="16">
        <f t="shared" si="31"/>
        <v>0.56846073108465445</v>
      </c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32"/>
        <v>1671.3717063312627</v>
      </c>
      <c r="AH273" s="17">
        <v>1718.7553355681105</v>
      </c>
      <c r="AI273" s="15">
        <f>'Global Only'!AI273</f>
        <v>5.9943999999999997</v>
      </c>
      <c r="AJ273" s="17">
        <f t="shared" si="33"/>
        <v>0.99940247597463727</v>
      </c>
      <c r="AK273" s="15">
        <f t="shared" si="34"/>
        <v>0.56846073108465445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>'Global Only'!L274</f>
        <v>8282.1715839999997</v>
      </c>
      <c r="M274" s="15"/>
      <c r="N274" s="15"/>
      <c r="O274" s="15"/>
      <c r="P274" s="15">
        <f t="shared" si="28"/>
        <v>146698121.23350763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29"/>
        <v>8.313203443261493</v>
      </c>
      <c r="W274" s="15">
        <v>3.6015299999999999</v>
      </c>
      <c r="X274" s="15"/>
      <c r="Y274" s="15">
        <f t="shared" si="30"/>
        <v>0.433230104926558</v>
      </c>
      <c r="Z274" s="15"/>
      <c r="AA274" s="16">
        <f t="shared" si="31"/>
        <v>0.433230104926558</v>
      </c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32"/>
        <v>1273.7705528464076</v>
      </c>
      <c r="AH274" s="17">
        <v>1237.8619461624439</v>
      </c>
      <c r="AI274" s="15">
        <f>'Global Only'!AI274</f>
        <v>4.7462</v>
      </c>
      <c r="AJ274" s="17">
        <f t="shared" si="33"/>
        <v>1.3234611187278744</v>
      </c>
      <c r="AK274" s="15">
        <f t="shared" si="34"/>
        <v>0.433230104926558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>'Global Only'!L275</f>
        <v>8282.1715839999997</v>
      </c>
      <c r="M275" s="15"/>
      <c r="N275" s="15"/>
      <c r="O275" s="15"/>
      <c r="P275" s="15">
        <f t="shared" si="28"/>
        <v>146698121.23350763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29"/>
        <v>11.587203086976652</v>
      </c>
      <c r="W275" s="15">
        <v>3.5234399999999999</v>
      </c>
      <c r="X275" s="15"/>
      <c r="Y275" s="15">
        <f t="shared" si="30"/>
        <v>0.30408028352934829</v>
      </c>
      <c r="Z275" s="15"/>
      <c r="AA275" s="16">
        <f t="shared" si="31"/>
        <v>0.30408028352934829</v>
      </c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32"/>
        <v>894.04800464300808</v>
      </c>
      <c r="AH275" s="17">
        <v>888.10027026159901</v>
      </c>
      <c r="AI275" s="15">
        <f>'Global Only'!AI275</f>
        <v>4.2137000000000002</v>
      </c>
      <c r="AJ275" s="17">
        <f t="shared" si="33"/>
        <v>1.6582786270929053</v>
      </c>
      <c r="AK275" s="15">
        <f t="shared" si="34"/>
        <v>0.30408028352934829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>'Global Only'!L276</f>
        <v>8282.1715839999997</v>
      </c>
      <c r="M276" s="15"/>
      <c r="N276" s="15"/>
      <c r="O276" s="15"/>
      <c r="P276" s="15">
        <f t="shared" si="28"/>
        <v>146698121.23350763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29"/>
        <v>15.527544755216518</v>
      </c>
      <c r="W276" s="15">
        <v>3.3333499999999998</v>
      </c>
      <c r="X276" s="15"/>
      <c r="Y276" s="15">
        <f t="shared" si="30"/>
        <v>0.21467334678782057</v>
      </c>
      <c r="Z276" s="15"/>
      <c r="AA276" s="16">
        <f t="shared" si="31"/>
        <v>0.21467334678782057</v>
      </c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32"/>
        <v>631.17632987593413</v>
      </c>
      <c r="AH276" s="17">
        <v>662.73183271056735</v>
      </c>
      <c r="AI276" s="15">
        <f>'Global Only'!AI276</f>
        <v>3.9455</v>
      </c>
      <c r="AJ276" s="17">
        <f t="shared" si="33"/>
        <v>1.9838113514632711</v>
      </c>
      <c r="AK276" s="15">
        <f t="shared" si="34"/>
        <v>0.21467334678782057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>'Global Only'!L277</f>
        <v>8282.1715839999997</v>
      </c>
      <c r="M277" s="15"/>
      <c r="N277" s="15"/>
      <c r="O277" s="15"/>
      <c r="P277" s="15">
        <f t="shared" si="28"/>
        <v>146698121.23350763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29"/>
        <v>22.828445121022515</v>
      </c>
      <c r="W277" s="15">
        <v>3.1509800000000001</v>
      </c>
      <c r="X277" s="15"/>
      <c r="Y277" s="15">
        <f t="shared" si="30"/>
        <v>0.13802867358225332</v>
      </c>
      <c r="Z277" s="15"/>
      <c r="AA277" s="16">
        <f t="shared" si="31"/>
        <v>0.13802867358225332</v>
      </c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32"/>
        <v>405.82789113265329</v>
      </c>
      <c r="AH277" s="17">
        <v>450.77963648270901</v>
      </c>
      <c r="AI277" s="15">
        <f>'Global Only'!AI277</f>
        <v>3.7193000000000001</v>
      </c>
      <c r="AJ277" s="17">
        <f t="shared" si="33"/>
        <v>2.4774651894008435</v>
      </c>
      <c r="AK277" s="15">
        <f t="shared" si="34"/>
        <v>0.13802867358225332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>'Global Only'!L278</f>
        <v>5991.8671000000004</v>
      </c>
      <c r="M278" s="15"/>
      <c r="N278" s="15"/>
      <c r="O278" s="15"/>
      <c r="P278" s="15">
        <f t="shared" si="28"/>
        <v>108445180.57615538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29"/>
        <v>3.6003190838783663</v>
      </c>
      <c r="W278" s="15">
        <v>2.2943199999999999</v>
      </c>
      <c r="X278" s="15"/>
      <c r="Y278" s="15">
        <f t="shared" si="30"/>
        <v>0.63725462842268221</v>
      </c>
      <c r="Z278" s="15"/>
      <c r="AA278" s="16">
        <f t="shared" si="31"/>
        <v>0.63725462842268221</v>
      </c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32"/>
        <v>1355.5124900408509</v>
      </c>
      <c r="AH278" s="17">
        <v>2067.8430712119402</v>
      </c>
      <c r="AI278" s="15">
        <f>'Global Only'!AI278</f>
        <v>33.853999999999999</v>
      </c>
      <c r="AJ278" s="17">
        <f t="shared" si="33"/>
        <v>0.32611103990318235</v>
      </c>
      <c r="AK278" s="15">
        <f t="shared" si="34"/>
        <v>0.63725462842268221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>'Global Only'!L279</f>
        <v>5991.8671000000004</v>
      </c>
      <c r="M279" s="15"/>
      <c r="N279" s="15"/>
      <c r="O279" s="15"/>
      <c r="P279" s="15">
        <f t="shared" si="28"/>
        <v>108445180.57615538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29"/>
        <v>3.9370899489573925</v>
      </c>
      <c r="W279" s="15">
        <v>2.29731</v>
      </c>
      <c r="X279" s="15"/>
      <c r="Y279" s="15">
        <f t="shared" si="30"/>
        <v>0.58350457565958491</v>
      </c>
      <c r="Z279" s="15"/>
      <c r="AA279" s="16">
        <f t="shared" si="31"/>
        <v>0.58350457565958491</v>
      </c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32"/>
        <v>1241.180063705915</v>
      </c>
      <c r="AH279" s="17">
        <v>1890.963876434048</v>
      </c>
      <c r="AI279" s="15">
        <f>'Global Only'!AI279</f>
        <v>15.103</v>
      </c>
      <c r="AJ279" s="17">
        <f t="shared" si="33"/>
        <v>0.51057089855603821</v>
      </c>
      <c r="AK279" s="15">
        <f t="shared" si="34"/>
        <v>0.58350457565958491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>'Global Only'!L280</f>
        <v>5991.8671000000004</v>
      </c>
      <c r="M280" s="15"/>
      <c r="N280" s="15"/>
      <c r="O280" s="15"/>
      <c r="P280" s="15">
        <f t="shared" si="28"/>
        <v>108445180.57615538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29"/>
        <v>4.5126357778089092</v>
      </c>
      <c r="W280" s="15">
        <v>2.3126899999999999</v>
      </c>
      <c r="X280" s="15"/>
      <c r="Y280" s="15">
        <f t="shared" si="30"/>
        <v>0.51249205871494385</v>
      </c>
      <c r="Z280" s="15"/>
      <c r="AA280" s="16">
        <f t="shared" si="31"/>
        <v>0.51249205871494385</v>
      </c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32"/>
        <v>1090.1284284969956</v>
      </c>
      <c r="AH280" s="17">
        <v>1649.7885578004339</v>
      </c>
      <c r="AI280" s="15">
        <f>'Global Only'!AI280</f>
        <v>7.9523000000000001</v>
      </c>
      <c r="AJ280" s="17">
        <f t="shared" si="33"/>
        <v>0.75330138071415131</v>
      </c>
      <c r="AK280" s="15">
        <f t="shared" si="34"/>
        <v>0.51249205871494385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>'Global Only'!L281</f>
        <v>5991.8671000000004</v>
      </c>
      <c r="M281" s="15"/>
      <c r="N281" s="15"/>
      <c r="O281" s="15"/>
      <c r="P281" s="15">
        <f t="shared" si="28"/>
        <v>108445180.57615538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29"/>
        <v>5.3765668653345129</v>
      </c>
      <c r="W281" s="15">
        <v>2.4282599999999999</v>
      </c>
      <c r="X281" s="15"/>
      <c r="Y281" s="15">
        <f t="shared" si="30"/>
        <v>0.45163764551246238</v>
      </c>
      <c r="Z281" s="15"/>
      <c r="AA281" s="16">
        <f t="shared" si="31"/>
        <v>0.45163764551246238</v>
      </c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32"/>
        <v>960.68422598999314</v>
      </c>
      <c r="AH281" s="17">
        <v>1384.6930686849744</v>
      </c>
      <c r="AI281" s="15">
        <f>'Global Only'!AI281</f>
        <v>5.4123999999999999</v>
      </c>
      <c r="AJ281" s="17">
        <f t="shared" si="33"/>
        <v>0.996684221353626</v>
      </c>
      <c r="AK281" s="15">
        <f t="shared" si="34"/>
        <v>0.45163764551246238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>'Global Only'!L282</f>
        <v>5991.8671000000004</v>
      </c>
      <c r="M282" s="15"/>
      <c r="N282" s="15"/>
      <c r="O282" s="15"/>
      <c r="P282" s="15">
        <f t="shared" si="28"/>
        <v>108445180.57615538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29"/>
        <v>7.1090650522135572</v>
      </c>
      <c r="W282" s="15">
        <v>2.5645099999999998</v>
      </c>
      <c r="X282" s="15"/>
      <c r="Y282" s="15">
        <f t="shared" si="30"/>
        <v>0.36073801282792956</v>
      </c>
      <c r="Z282" s="15"/>
      <c r="AA282" s="16">
        <f t="shared" si="31"/>
        <v>0.36073801282792956</v>
      </c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32"/>
        <v>767.33045192798238</v>
      </c>
      <c r="AH282" s="17">
        <v>1047.2396604996427</v>
      </c>
      <c r="AI282" s="15">
        <f>'Global Only'!AI282</f>
        <v>4.0807000000000002</v>
      </c>
      <c r="AJ282" s="17">
        <f t="shared" si="33"/>
        <v>1.319893560855026</v>
      </c>
      <c r="AK282" s="15">
        <f t="shared" si="34"/>
        <v>0.36073801282792956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>'Global Only'!L283</f>
        <v>5991.8671000000004</v>
      </c>
      <c r="M283" s="15"/>
      <c r="N283" s="15"/>
      <c r="O283" s="15"/>
      <c r="P283" s="15">
        <f t="shared" si="28"/>
        <v>108445180.57615538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29"/>
        <v>9.6141697283052192</v>
      </c>
      <c r="W283" s="15">
        <v>2.5904600000000002</v>
      </c>
      <c r="X283" s="15"/>
      <c r="Y283" s="15">
        <f t="shared" si="30"/>
        <v>0.26944188351214443</v>
      </c>
      <c r="Z283" s="15"/>
      <c r="AA283" s="16">
        <f t="shared" si="31"/>
        <v>0.26944188351214443</v>
      </c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32"/>
        <v>573.13328479835002</v>
      </c>
      <c r="AH283" s="17">
        <v>774.36690657034842</v>
      </c>
      <c r="AI283" s="15">
        <f>'Global Only'!AI283</f>
        <v>3.5148999999999999</v>
      </c>
      <c r="AJ283" s="17">
        <f t="shared" si="33"/>
        <v>1.6538625211345108</v>
      </c>
      <c r="AK283" s="15">
        <f t="shared" si="34"/>
        <v>0.26944188351214443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>'Global Only'!L284</f>
        <v>5991.8671000000004</v>
      </c>
      <c r="M284" s="15"/>
      <c r="N284" s="15"/>
      <c r="O284" s="15"/>
      <c r="P284" s="15">
        <f t="shared" si="28"/>
        <v>108445180.57615538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29"/>
        <v>12.677807793826361</v>
      </c>
      <c r="W284" s="15">
        <v>2.5146299999999999</v>
      </c>
      <c r="X284" s="15"/>
      <c r="Y284" s="15">
        <f t="shared" si="30"/>
        <v>0.19834896071105723</v>
      </c>
      <c r="Z284" s="15"/>
      <c r="AA284" s="16">
        <f t="shared" si="31"/>
        <v>0.19834896071105723</v>
      </c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32"/>
        <v>421.91061726134063</v>
      </c>
      <c r="AH284" s="17">
        <v>587.23834536877882</v>
      </c>
      <c r="AI284" s="15">
        <f>'Global Only'!AI284</f>
        <v>3.2387999999999999</v>
      </c>
      <c r="AJ284" s="17">
        <f t="shared" si="33"/>
        <v>1.9784724917442247</v>
      </c>
      <c r="AK284" s="15">
        <f t="shared" si="34"/>
        <v>0.19834896071105723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>'Global Only'!L285</f>
        <v>5991.8671000000004</v>
      </c>
      <c r="M285" s="15"/>
      <c r="N285" s="15"/>
      <c r="O285" s="15"/>
      <c r="P285" s="15">
        <f t="shared" si="28"/>
        <v>108445180.57615538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29"/>
        <v>18.399569247723623</v>
      </c>
      <c r="W285" s="15">
        <v>2.3963399999999999</v>
      </c>
      <c r="X285" s="15"/>
      <c r="Y285" s="15">
        <f t="shared" si="30"/>
        <v>0.13023891851688174</v>
      </c>
      <c r="Z285" s="15"/>
      <c r="AA285" s="16">
        <f t="shared" si="31"/>
        <v>0.13023891851688174</v>
      </c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32"/>
        <v>277.03287330531396</v>
      </c>
      <c r="AH285" s="17">
        <v>404.62332413956238</v>
      </c>
      <c r="AI285" s="15">
        <f>'Global Only'!AI285</f>
        <v>3.0137999999999998</v>
      </c>
      <c r="AJ285" s="17">
        <f t="shared" si="33"/>
        <v>2.4708513230146343</v>
      </c>
      <c r="AK285" s="15">
        <f t="shared" si="34"/>
        <v>0.13023891851688174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>'Global Only'!L286</f>
        <v>4391.1900000000005</v>
      </c>
      <c r="M286" s="15"/>
      <c r="N286" s="15"/>
      <c r="O286" s="15"/>
      <c r="P286" s="15">
        <f t="shared" si="28"/>
        <v>80673246.275399998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29"/>
        <v>3.5399629697356958</v>
      </c>
      <c r="W286" s="15">
        <v>1.95895</v>
      </c>
      <c r="X286" s="15"/>
      <c r="Y286" s="15">
        <f t="shared" si="30"/>
        <v>0.5533814948765583</v>
      </c>
      <c r="Z286" s="15"/>
      <c r="AA286" s="16">
        <f t="shared" si="31"/>
        <v>0.5533814948765583</v>
      </c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32"/>
        <v>862.65116670288296</v>
      </c>
      <c r="AH286" s="17">
        <v>1541.2741945736698</v>
      </c>
      <c r="AI286" s="15">
        <f>'Global Only'!AI286</f>
        <v>33.520000000000003</v>
      </c>
      <c r="AJ286" s="17">
        <f t="shared" si="33"/>
        <v>0.32497305605842575</v>
      </c>
      <c r="AK286" s="15">
        <f t="shared" si="34"/>
        <v>0.5533814948765583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>'Global Only'!L287</f>
        <v>4391.1900000000005</v>
      </c>
      <c r="M287" s="15"/>
      <c r="N287" s="15"/>
      <c r="O287" s="15"/>
      <c r="P287" s="15">
        <f t="shared" si="28"/>
        <v>80673246.275399998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29"/>
        <v>3.8199587760204086</v>
      </c>
      <c r="W287" s="15">
        <v>1.9448000000000001</v>
      </c>
      <c r="X287" s="15"/>
      <c r="Y287" s="15">
        <f t="shared" si="30"/>
        <v>0.50911544182318935</v>
      </c>
      <c r="Z287" s="15"/>
      <c r="AA287" s="16">
        <f t="shared" si="31"/>
        <v>0.50911544182318935</v>
      </c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32"/>
        <v>793.64603612774783</v>
      </c>
      <c r="AH287" s="17">
        <v>1428.3016898637995</v>
      </c>
      <c r="AI287" s="15">
        <f>'Global Only'!AI287</f>
        <v>14.753</v>
      </c>
      <c r="AJ287" s="17">
        <f t="shared" si="33"/>
        <v>0.5088492829533886</v>
      </c>
      <c r="AK287" s="15">
        <f t="shared" si="34"/>
        <v>0.50911544182318935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>'Global Only'!L288</f>
        <v>4391.1899999999996</v>
      </c>
      <c r="M288" s="15"/>
      <c r="N288" s="15"/>
      <c r="O288" s="15"/>
      <c r="P288" s="15">
        <f t="shared" si="28"/>
        <v>80673246.275399998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29"/>
        <v>4.2684655720304043</v>
      </c>
      <c r="W288" s="15">
        <v>1.8244499999999999</v>
      </c>
      <c r="X288" s="15"/>
      <c r="Y288" s="15">
        <f t="shared" si="30"/>
        <v>0.42742525837736906</v>
      </c>
      <c r="Z288" s="15"/>
      <c r="AA288" s="16">
        <f t="shared" si="31"/>
        <v>0.42742525837736906</v>
      </c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32"/>
        <v>666.30145971861225</v>
      </c>
      <c r="AH288" s="17">
        <v>1278.2236339801821</v>
      </c>
      <c r="AI288" s="15">
        <f>'Global Only'!AI288</f>
        <v>7.5670999999999999</v>
      </c>
      <c r="AJ288" s="17">
        <f t="shared" si="33"/>
        <v>0.75105398508946919</v>
      </c>
      <c r="AK288" s="15">
        <f t="shared" si="34"/>
        <v>0.42742525837736906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>'Global Only'!L289</f>
        <v>4391.1899999999996</v>
      </c>
      <c r="M289" s="15"/>
      <c r="N289" s="15"/>
      <c r="O289" s="15"/>
      <c r="P289" s="15">
        <f t="shared" si="28"/>
        <v>80673246.275399998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29"/>
        <v>4.9036490092126783</v>
      </c>
      <c r="W289" s="15">
        <v>1.73878</v>
      </c>
      <c r="X289" s="15"/>
      <c r="Y289" s="15">
        <f t="shared" si="30"/>
        <v>0.35458900030024287</v>
      </c>
      <c r="Z289" s="15"/>
      <c r="AA289" s="16">
        <f t="shared" si="31"/>
        <v>0.35458900030024287</v>
      </c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32"/>
        <v>552.75902364109027</v>
      </c>
      <c r="AH289" s="17">
        <v>1112.6517344021763</v>
      </c>
      <c r="AI289" s="15">
        <f>'Global Only'!AI289</f>
        <v>4.9654999999999996</v>
      </c>
      <c r="AJ289" s="17">
        <f t="shared" si="33"/>
        <v>0.99375241103514267</v>
      </c>
      <c r="AK289" s="15">
        <f t="shared" si="34"/>
        <v>0.35458900030024287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>'Global Only'!L290</f>
        <v>4391.1899999999996</v>
      </c>
      <c r="M290" s="15"/>
      <c r="N290" s="15"/>
      <c r="O290" s="15"/>
      <c r="P290" s="15">
        <f t="shared" si="28"/>
        <v>80673246.275399998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29"/>
        <v>6.1588146495691714</v>
      </c>
      <c r="W290" s="15">
        <v>1.68215</v>
      </c>
      <c r="X290" s="15"/>
      <c r="Y290" s="15">
        <f t="shared" si="30"/>
        <v>0.27312885607260023</v>
      </c>
      <c r="Z290" s="15"/>
      <c r="AA290" s="16">
        <f t="shared" si="31"/>
        <v>0.27312885607260023</v>
      </c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32"/>
        <v>425.77304903159171</v>
      </c>
      <c r="AH290" s="17">
        <v>885.89345278992414</v>
      </c>
      <c r="AI290" s="15">
        <f>'Global Only'!AI290</f>
        <v>3.5565000000000002</v>
      </c>
      <c r="AJ290" s="17">
        <f t="shared" si="33"/>
        <v>1.3159432493904302</v>
      </c>
      <c r="AK290" s="15">
        <f t="shared" si="34"/>
        <v>0.27312885607260023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>'Global Only'!L291</f>
        <v>4391.1899999999996</v>
      </c>
      <c r="M291" s="15"/>
      <c r="N291" s="15"/>
      <c r="O291" s="15"/>
      <c r="P291" s="15">
        <f t="shared" si="28"/>
        <v>80673246.275399998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29"/>
        <v>8.0163723671627167</v>
      </c>
      <c r="W291" s="15">
        <v>1.6514800000000001</v>
      </c>
      <c r="X291" s="15"/>
      <c r="Y291" s="15">
        <f t="shared" si="30"/>
        <v>0.20601338415427406</v>
      </c>
      <c r="Z291" s="15"/>
      <c r="AA291" s="16">
        <f t="shared" si="31"/>
        <v>0.20601338415427406</v>
      </c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32"/>
        <v>321.14858888936436</v>
      </c>
      <c r="AH291" s="17">
        <v>680.61378951775089</v>
      </c>
      <c r="AI291" s="15">
        <f>'Global Only'!AI291</f>
        <v>2.9483999999999999</v>
      </c>
      <c r="AJ291" s="17">
        <f t="shared" si="33"/>
        <v>1.6489053985654751</v>
      </c>
      <c r="AK291" s="15">
        <f t="shared" si="34"/>
        <v>0.20601338415427406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>'Global Only'!L292</f>
        <v>4391.1899999999996</v>
      </c>
      <c r="M292" s="15"/>
      <c r="N292" s="15"/>
      <c r="O292" s="15"/>
      <c r="P292" s="15">
        <f t="shared" si="28"/>
        <v>80673246.275399998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29"/>
        <v>10.339034299308656</v>
      </c>
      <c r="W292" s="15">
        <v>1.6196900000000001</v>
      </c>
      <c r="X292" s="15"/>
      <c r="Y292" s="15">
        <f t="shared" si="30"/>
        <v>0.15665776445952059</v>
      </c>
      <c r="Z292" s="15"/>
      <c r="AA292" s="16">
        <f t="shared" si="31"/>
        <v>0.15665776445952059</v>
      </c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32"/>
        <v>244.20947309453578</v>
      </c>
      <c r="AH292" s="17">
        <v>527.71404147143915</v>
      </c>
      <c r="AI292" s="15">
        <f>'Global Only'!AI292</f>
        <v>2.6572</v>
      </c>
      <c r="AJ292" s="17">
        <f t="shared" si="33"/>
        <v>1.9725492990945419</v>
      </c>
      <c r="AK292" s="15">
        <f t="shared" si="34"/>
        <v>0.15665776445952059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>'Global Only'!L293</f>
        <v>4391.1899999999996</v>
      </c>
      <c r="M293" s="42"/>
      <c r="N293" s="42"/>
      <c r="O293" s="42"/>
      <c r="P293" s="42">
        <f t="shared" si="28"/>
        <v>80673246.275399998</v>
      </c>
      <c r="Q293" s="42"/>
      <c r="R293" s="42"/>
      <c r="S293" s="42">
        <v>105.78625278178698</v>
      </c>
      <c r="T293" s="42">
        <v>355</v>
      </c>
      <c r="U293" s="42">
        <v>210000</v>
      </c>
      <c r="V293" s="42">
        <f t="shared" si="29"/>
        <v>14.736058882959016</v>
      </c>
      <c r="W293" s="42">
        <v>1.58378</v>
      </c>
      <c r="X293" s="42"/>
      <c r="Y293" s="42">
        <f t="shared" si="30"/>
        <v>0.10747649779219498</v>
      </c>
      <c r="Z293" s="42"/>
      <c r="AA293" s="41">
        <f t="shared" si="31"/>
        <v>0.10747649779219498</v>
      </c>
      <c r="AB293" s="42">
        <v>1.5093980321271014</v>
      </c>
      <c r="AC293" s="43">
        <v>2.5</v>
      </c>
      <c r="AD293" s="42"/>
      <c r="AE293" s="42" t="s">
        <v>623</v>
      </c>
      <c r="AF293" s="44" t="s">
        <v>5</v>
      </c>
      <c r="AG293" s="43">
        <f t="shared" si="32"/>
        <v>167.54215143073858</v>
      </c>
      <c r="AH293" s="43">
        <v>370.25188473625445</v>
      </c>
      <c r="AI293" s="42">
        <f>'Global Only'!AI293</f>
        <v>2.4281999999999999</v>
      </c>
      <c r="AJ293" s="43">
        <f t="shared" si="33"/>
        <v>2.4634766304028339</v>
      </c>
      <c r="AK293" s="42">
        <f t="shared" si="34"/>
        <v>0.10747649779219498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71CB-AE1F-42D5-AFC2-3C7AE93A064C}">
  <sheetPr codeName="Sheet4"/>
  <dimension ref="A1:AV766"/>
  <sheetViews>
    <sheetView topLeftCell="U1" zoomScale="85" zoomScaleNormal="85" workbookViewId="0">
      <pane ySplit="5" topLeftCell="A6" activePane="bottomLeft" state="frozen"/>
      <selection pane="bottomLeft" activeCell="W25" sqref="W25"/>
    </sheetView>
  </sheetViews>
  <sheetFormatPr defaultColWidth="9.140625" defaultRowHeight="12.75"/>
  <cols>
    <col min="1" max="1" width="9.140625" style="5"/>
    <col min="2" max="2" width="9.85546875" style="1" bestFit="1" customWidth="1"/>
    <col min="3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40" width="9.140625" style="5"/>
    <col min="41" max="41" width="14.42578125" style="5" customWidth="1"/>
    <col min="42" max="42" width="10" style="5" bestFit="1" customWidth="1"/>
    <col min="43" max="16384" width="9.140625" style="5"/>
  </cols>
  <sheetData>
    <row r="1" spans="1:4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8" s="1" customFormat="1" ht="14.65" customHeight="1">
      <c r="I2" s="78" t="s">
        <v>0</v>
      </c>
      <c r="J2" s="7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8" s="1" customFormat="1" ht="15.4" customHeight="1">
      <c r="I3" s="80" t="s">
        <v>1</v>
      </c>
      <c r="J3" s="81"/>
      <c r="K3" s="13" t="s">
        <v>921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8" ht="29.25" customHeight="1">
      <c r="A4" s="25"/>
      <c r="B4" s="77" t="s">
        <v>26</v>
      </c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26" t="s">
        <v>27</v>
      </c>
      <c r="T4" s="82" t="s">
        <v>30</v>
      </c>
      <c r="U4" s="82"/>
      <c r="V4" s="82" t="s">
        <v>515</v>
      </c>
      <c r="W4" s="82"/>
      <c r="X4" s="82"/>
      <c r="Y4" s="82"/>
      <c r="Z4" s="82"/>
      <c r="AA4" s="82"/>
      <c r="AB4" s="82"/>
      <c r="AC4" s="82"/>
      <c r="AD4" s="82"/>
      <c r="AE4" s="77" t="s">
        <v>3</v>
      </c>
      <c r="AF4" s="77" t="s">
        <v>4</v>
      </c>
      <c r="AG4" s="77" t="s">
        <v>224</v>
      </c>
      <c r="AH4" s="77" t="s">
        <v>225</v>
      </c>
      <c r="AI4" s="77" t="s">
        <v>223</v>
      </c>
      <c r="AJ4" s="77" t="s">
        <v>517</v>
      </c>
      <c r="AK4" s="77" t="s">
        <v>516</v>
      </c>
      <c r="AL4" s="77" t="s">
        <v>913</v>
      </c>
      <c r="AS4" s="74"/>
      <c r="AV4" s="74"/>
    </row>
    <row r="5" spans="1:4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77"/>
      <c r="AF5" s="77"/>
      <c r="AG5" s="77"/>
      <c r="AH5" s="77"/>
      <c r="AI5" s="77"/>
      <c r="AJ5" s="77"/>
      <c r="AK5" s="77"/>
      <c r="AL5" s="77"/>
      <c r="AN5" s="1" t="s">
        <v>922</v>
      </c>
      <c r="AS5" s="74"/>
      <c r="AV5" s="74"/>
    </row>
    <row r="6" spans="1:48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58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3.8969900000000002</v>
      </c>
      <c r="X6" s="15"/>
      <c r="Y6" s="15">
        <f>AK6</f>
        <v>1.0296490350613596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13063.543426211618</v>
      </c>
      <c r="AH6" s="17">
        <v>11732.748093205439</v>
      </c>
      <c r="AI6" s="15">
        <v>39.33</v>
      </c>
      <c r="AJ6" s="17">
        <f>(V6/AI6)^0.5</f>
        <v>0.31021162167392519</v>
      </c>
      <c r="AK6" s="15">
        <f>W6/V6</f>
        <v>1.0296490350613596</v>
      </c>
      <c r="AL6" s="56">
        <v>26.521000000000001</v>
      </c>
      <c r="AN6" s="5">
        <f>C6/F6</f>
        <v>13.333333333333334</v>
      </c>
      <c r="AO6" s="6"/>
      <c r="AP6" s="73"/>
      <c r="AR6" s="6"/>
      <c r="AS6"/>
      <c r="AV6" s="6"/>
    </row>
    <row r="7" spans="1:48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58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0">L7*T7/(S7*1000)</f>
        <v>4.2613868756451598</v>
      </c>
      <c r="W7" s="15">
        <v>4.1691599999999998</v>
      </c>
      <c r="X7" s="15"/>
      <c r="Y7" s="15">
        <f t="shared" ref="Y7:Y70" si="1">AK7</f>
        <v>0.97835754454206947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2">W7*S7</f>
        <v>12412.78905168444</v>
      </c>
      <c r="AH7" s="17">
        <v>10420.507171923251</v>
      </c>
      <c r="AI7" s="15">
        <v>16.951000000000001</v>
      </c>
      <c r="AJ7" s="17">
        <f t="shared" ref="AJ7:AJ70" si="3">(V7/AI7)^0.5</f>
        <v>0.5013924846573633</v>
      </c>
      <c r="AK7" s="15">
        <f t="shared" ref="AK7:AK70" si="4">W7/V7</f>
        <v>0.97835754454206947</v>
      </c>
      <c r="AL7" s="5">
        <v>26.521000000000001</v>
      </c>
      <c r="AN7" s="5">
        <f t="shared" ref="AN7:AN70" si="5">C7/F7</f>
        <v>13.333333333333334</v>
      </c>
      <c r="AO7" s="6"/>
      <c r="AR7" s="6"/>
      <c r="AS7"/>
      <c r="AV7" s="6"/>
    </row>
    <row r="8" spans="1:48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58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15">
        <v>4.1183199999999998</v>
      </c>
      <c r="X8" s="15"/>
      <c r="Y8" s="15">
        <f t="shared" si="1"/>
        <v>0.79508813146734081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2"/>
        <v>10087.581281975452</v>
      </c>
      <c r="AH8" s="17">
        <v>8573.0430095072952</v>
      </c>
      <c r="AI8" s="15">
        <v>9.3440999999999992</v>
      </c>
      <c r="AJ8" s="17">
        <f t="shared" si="3"/>
        <v>0.74453251753853744</v>
      </c>
      <c r="AK8" s="15">
        <f t="shared" si="4"/>
        <v>0.79508813146734081</v>
      </c>
      <c r="AL8" s="5">
        <v>26.521000000000001</v>
      </c>
      <c r="AN8" s="5">
        <f t="shared" si="5"/>
        <v>13.333333333333334</v>
      </c>
      <c r="AO8" s="6"/>
      <c r="AR8" s="6"/>
      <c r="AS8"/>
      <c r="AV8" s="6"/>
    </row>
    <row r="9" spans="1:48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58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15">
        <v>4.4042000000000003</v>
      </c>
      <c r="X9" s="15"/>
      <c r="Y9" s="15">
        <f t="shared" si="1"/>
        <v>0.66196927869743583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2"/>
        <v>8398.6524773138808</v>
      </c>
      <c r="AH9" s="17">
        <v>6674.3752941734201</v>
      </c>
      <c r="AI9" s="15">
        <v>6.7995999999999999</v>
      </c>
      <c r="AJ9" s="17">
        <f t="shared" si="3"/>
        <v>0.98917450951524921</v>
      </c>
      <c r="AK9" s="15">
        <f t="shared" si="4"/>
        <v>0.66196927869743583</v>
      </c>
      <c r="AL9" s="5">
        <v>26.521000000000001</v>
      </c>
      <c r="AN9" s="5">
        <f t="shared" si="5"/>
        <v>13.333333333333334</v>
      </c>
      <c r="AO9" s="6"/>
      <c r="AR9" s="6"/>
      <c r="AS9"/>
      <c r="AV9" s="6"/>
    </row>
    <row r="10" spans="1:48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58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15">
        <v>4.6450500000000003</v>
      </c>
      <c r="X10" s="15"/>
      <c r="Y10" s="15">
        <f t="shared" si="1"/>
        <v>0.48669605182174736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2"/>
        <v>6174.8953204819418</v>
      </c>
      <c r="AH10" s="17">
        <v>4652.7235706153424</v>
      </c>
      <c r="AI10" s="15">
        <v>5.5365000000000002</v>
      </c>
      <c r="AJ10" s="17">
        <f t="shared" si="3"/>
        <v>1.3129513463657247</v>
      </c>
      <c r="AK10" s="15">
        <f t="shared" si="4"/>
        <v>0.48669605182174736</v>
      </c>
      <c r="AL10" s="5">
        <v>26.521000000000001</v>
      </c>
      <c r="AN10" s="5">
        <f t="shared" si="5"/>
        <v>13.333333333333334</v>
      </c>
      <c r="AO10" s="6"/>
      <c r="AR10" s="6"/>
      <c r="AS10"/>
      <c r="AV10" s="6"/>
    </row>
    <row r="11" spans="1:48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58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15">
        <v>4.4408599999999998</v>
      </c>
      <c r="X11" s="15"/>
      <c r="Y11" s="15">
        <f t="shared" si="1"/>
        <v>0.32796860090803287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2"/>
        <v>4161.0606279455533</v>
      </c>
      <c r="AH11" s="17">
        <v>3279.480145244263</v>
      </c>
      <c r="AI11" s="15">
        <v>4.9916</v>
      </c>
      <c r="AJ11" s="17">
        <f t="shared" si="3"/>
        <v>1.6470148670899953</v>
      </c>
      <c r="AK11" s="15">
        <f t="shared" si="4"/>
        <v>0.32796860090803287</v>
      </c>
      <c r="AL11" s="5">
        <v>26.521000000000001</v>
      </c>
      <c r="AN11" s="5">
        <f t="shared" si="5"/>
        <v>13.333333333333334</v>
      </c>
      <c r="AO11" s="6"/>
      <c r="AR11" s="6"/>
      <c r="AS11"/>
      <c r="AV11" s="6"/>
    </row>
    <row r="12" spans="1:48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58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15">
        <v>4.0975099999999998</v>
      </c>
      <c r="X12" s="15"/>
      <c r="Y12" s="15">
        <f t="shared" si="1"/>
        <v>0.22377359939328265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2"/>
        <v>2839.0995706023491</v>
      </c>
      <c r="AH12" s="17">
        <v>2425.0943858851406</v>
      </c>
      <c r="AI12" s="15">
        <v>4.7111999999999998</v>
      </c>
      <c r="AJ12" s="17">
        <f t="shared" si="3"/>
        <v>1.9714683833733562</v>
      </c>
      <c r="AK12" s="15">
        <f t="shared" si="4"/>
        <v>0.22377359939328265</v>
      </c>
      <c r="AL12" s="5">
        <v>26.521000000000001</v>
      </c>
      <c r="AN12" s="5">
        <f t="shared" si="5"/>
        <v>13.333333333333334</v>
      </c>
      <c r="AO12" s="6"/>
      <c r="AR12" s="6"/>
      <c r="AS12"/>
      <c r="AV12" s="6"/>
    </row>
    <row r="13" spans="1:48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58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0"/>
        <v>27.118660804259378</v>
      </c>
      <c r="W13" s="15">
        <v>3.77345</v>
      </c>
      <c r="X13" s="15"/>
      <c r="Y13" s="15">
        <f t="shared" si="1"/>
        <v>0.13914588287513538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2"/>
        <v>1765.3959957429208</v>
      </c>
      <c r="AH13" s="17">
        <v>1637.4633253654408</v>
      </c>
      <c r="AI13" s="15">
        <v>4.4691999999999998</v>
      </c>
      <c r="AJ13" s="17">
        <f t="shared" si="3"/>
        <v>2.4633108767085972</v>
      </c>
      <c r="AK13" s="15">
        <f t="shared" si="4"/>
        <v>0.13914588287513538</v>
      </c>
      <c r="AL13" s="5">
        <v>26.521000000000001</v>
      </c>
      <c r="AN13" s="5">
        <f t="shared" si="5"/>
        <v>13.333333333333334</v>
      </c>
      <c r="AO13" s="6"/>
      <c r="AR13" s="6"/>
      <c r="AS13"/>
      <c r="AV13" s="6"/>
    </row>
    <row r="14" spans="1:48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58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3.7740197461207057</v>
      </c>
      <c r="W14" s="15">
        <v>3.9113099999999998</v>
      </c>
      <c r="X14" s="15"/>
      <c r="Y14" s="15">
        <f t="shared" si="1"/>
        <v>1.0363777253736985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2"/>
        <v>10108.662512858995</v>
      </c>
      <c r="AH14" s="17">
        <v>9045.6442457914309</v>
      </c>
      <c r="AI14" s="15">
        <v>38.518000000000001</v>
      </c>
      <c r="AJ14" s="17">
        <f t="shared" si="3"/>
        <v>0.31301865401950174</v>
      </c>
      <c r="AK14" s="15">
        <f t="shared" si="4"/>
        <v>1.0363777253736985</v>
      </c>
      <c r="AL14" s="56">
        <v>15.672000000000001</v>
      </c>
      <c r="AN14" s="5">
        <f t="shared" si="5"/>
        <v>13.333333333333334</v>
      </c>
      <c r="AS14"/>
      <c r="AV14" s="6"/>
    </row>
    <row r="15" spans="1:48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58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4.2492771464447774</v>
      </c>
      <c r="W15" s="15">
        <v>4.1471799999999996</v>
      </c>
      <c r="X15" s="15"/>
      <c r="Y15" s="15">
        <f t="shared" si="1"/>
        <v>0.97597305543362856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2"/>
        <v>9519.4850270107436</v>
      </c>
      <c r="AH15" s="17">
        <v>8033.9405558807684</v>
      </c>
      <c r="AI15" s="15">
        <v>16.736999999999998</v>
      </c>
      <c r="AJ15" s="17">
        <f t="shared" si="3"/>
        <v>0.50387025423514742</v>
      </c>
      <c r="AK15" s="15">
        <f t="shared" si="4"/>
        <v>0.97597305543362856</v>
      </c>
      <c r="AL15" s="5">
        <v>15.672000000000001</v>
      </c>
      <c r="AN15" s="5">
        <f t="shared" si="5"/>
        <v>13.333333333333334</v>
      </c>
      <c r="AS15"/>
      <c r="AV15" s="6"/>
    </row>
    <row r="16" spans="1:48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58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5.1649831840237317</v>
      </c>
      <c r="W16" s="15">
        <v>4.0539300000000003</v>
      </c>
      <c r="X16" s="15"/>
      <c r="Y16" s="15">
        <f t="shared" si="1"/>
        <v>0.78488735695008094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2"/>
        <v>7655.6656977139774</v>
      </c>
      <c r="AH16" s="17">
        <v>6609.5936392584281</v>
      </c>
      <c r="AI16" s="15">
        <v>9.2507000000000001</v>
      </c>
      <c r="AJ16" s="17">
        <f t="shared" si="3"/>
        <v>0.74721771131911685</v>
      </c>
      <c r="AK16" s="15">
        <f t="shared" si="4"/>
        <v>0.78488735695008094</v>
      </c>
      <c r="AL16" s="5">
        <v>15.672000000000001</v>
      </c>
      <c r="AN16" s="5">
        <f t="shared" si="5"/>
        <v>13.333333333333334</v>
      </c>
      <c r="AS16"/>
      <c r="AV16" s="6"/>
    </row>
    <row r="17" spans="1:48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58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15">
        <v>4.3795200000000003</v>
      </c>
      <c r="X17" s="15"/>
      <c r="Y17" s="15">
        <f t="shared" si="1"/>
        <v>0.66013570399028987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2"/>
        <v>6438.8580350086495</v>
      </c>
      <c r="AH17" s="17">
        <v>5145.7701123708239</v>
      </c>
      <c r="AI17" s="15">
        <v>6.7378999999999998</v>
      </c>
      <c r="AJ17" s="17">
        <f t="shared" si="3"/>
        <v>0.99228029052843447</v>
      </c>
      <c r="AK17" s="15">
        <f t="shared" si="4"/>
        <v>0.66013570399028987</v>
      </c>
      <c r="AL17" s="5">
        <v>15.672000000000001</v>
      </c>
      <c r="AN17" s="5">
        <f t="shared" si="5"/>
        <v>13.333333333333334</v>
      </c>
      <c r="AS17"/>
      <c r="AV17" s="6"/>
    </row>
    <row r="18" spans="1:48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58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15">
        <v>4.6280299999999999</v>
      </c>
      <c r="X18" s="15"/>
      <c r="Y18" s="15">
        <f t="shared" si="1"/>
        <v>0.48629466145708544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2"/>
        <v>4743.2403207065781</v>
      </c>
      <c r="AH18" s="17">
        <v>3587.129107303329</v>
      </c>
      <c r="AI18" s="15">
        <v>5.4893000000000001</v>
      </c>
      <c r="AJ18" s="17">
        <f t="shared" si="3"/>
        <v>1.3167091349710243</v>
      </c>
      <c r="AK18" s="15">
        <f t="shared" si="4"/>
        <v>0.48629466145708544</v>
      </c>
      <c r="AL18" s="5">
        <v>15.672000000000001</v>
      </c>
      <c r="AN18" s="5">
        <f t="shared" si="5"/>
        <v>13.333333333333334</v>
      </c>
      <c r="AS18"/>
      <c r="AV18" s="6"/>
    </row>
    <row r="19" spans="1:48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58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15">
        <v>4.4288699999999999</v>
      </c>
      <c r="X19" s="15"/>
      <c r="Y19" s="15">
        <f t="shared" si="1"/>
        <v>0.32801524162530843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2"/>
        <v>3199.4081843745985</v>
      </c>
      <c r="AH19" s="17">
        <v>2528.3940701151973</v>
      </c>
      <c r="AI19" s="15">
        <v>4.9505999999999997</v>
      </c>
      <c r="AJ19" s="17">
        <f t="shared" si="3"/>
        <v>1.6514694167873953</v>
      </c>
      <c r="AK19" s="15">
        <f t="shared" si="4"/>
        <v>0.32801524162530843</v>
      </c>
      <c r="AL19" s="5">
        <v>15.672000000000001</v>
      </c>
      <c r="AN19" s="5">
        <f t="shared" si="5"/>
        <v>13.333333333333334</v>
      </c>
      <c r="AS19"/>
      <c r="AV19" s="6"/>
    </row>
    <row r="20" spans="1:48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58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15">
        <v>4.0930600000000004</v>
      </c>
      <c r="X20" s="15"/>
      <c r="Y20" s="15">
        <f t="shared" si="1"/>
        <v>0.22416760033323899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4" t="s">
        <v>218</v>
      </c>
      <c r="AG20" s="17">
        <f t="shared" si="2"/>
        <v>2186.4949068343599</v>
      </c>
      <c r="AH20" s="17">
        <v>1869.6848260031022</v>
      </c>
      <c r="AI20" s="15">
        <v>4.6730999999999998</v>
      </c>
      <c r="AJ20" s="17">
        <f t="shared" si="3"/>
        <v>1.9766742135973967</v>
      </c>
      <c r="AK20" s="15">
        <f t="shared" si="4"/>
        <v>0.22416760033323899</v>
      </c>
      <c r="AL20" s="5">
        <v>15.672000000000001</v>
      </c>
      <c r="AN20" s="5">
        <f t="shared" si="5"/>
        <v>13.333333333333334</v>
      </c>
      <c r="AS20"/>
      <c r="AV20" s="6"/>
    </row>
    <row r="21" spans="1:48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58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0"/>
        <v>27.041596775998183</v>
      </c>
      <c r="W21" s="15">
        <v>3.7796500000000002</v>
      </c>
      <c r="X21" s="15"/>
      <c r="Y21" s="15">
        <f t="shared" si="1"/>
        <v>0.13977170177150097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2"/>
        <v>1363.310815606937</v>
      </c>
      <c r="AH21" s="17">
        <v>1262.4417220177211</v>
      </c>
      <c r="AI21" s="15">
        <v>4.4336000000000002</v>
      </c>
      <c r="AJ21" s="17">
        <f t="shared" si="3"/>
        <v>2.4696642329825638</v>
      </c>
      <c r="AK21" s="15">
        <f t="shared" si="4"/>
        <v>0.13977170177150097</v>
      </c>
      <c r="AL21" s="5">
        <v>15.672000000000001</v>
      </c>
      <c r="AN21" s="5">
        <f t="shared" si="5"/>
        <v>13.333333333333334</v>
      </c>
      <c r="AS21"/>
      <c r="AV21" s="6"/>
    </row>
    <row r="22" spans="1:48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58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3.7671926214505396</v>
      </c>
      <c r="W22" s="15">
        <v>3.9172400000000001</v>
      </c>
      <c r="X22" s="15"/>
      <c r="Y22" s="15">
        <f t="shared" si="1"/>
        <v>1.0398300255991915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2"/>
        <v>8838.9924661188925</v>
      </c>
      <c r="AH22" s="17">
        <v>7897.5180564418115</v>
      </c>
      <c r="AI22" s="15">
        <v>37.962000000000003</v>
      </c>
      <c r="AJ22" s="17">
        <f t="shared" si="3"/>
        <v>0.31501727542584973</v>
      </c>
      <c r="AK22" s="15">
        <f t="shared" si="4"/>
        <v>1.0398300255991915</v>
      </c>
      <c r="AL22" s="56">
        <v>10.936</v>
      </c>
      <c r="AN22" s="5">
        <f t="shared" si="5"/>
        <v>13.333333333333334</v>
      </c>
      <c r="AS22"/>
      <c r="AV22" s="6"/>
    </row>
    <row r="23" spans="1:48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58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4.2415902908403043</v>
      </c>
      <c r="W23" s="15">
        <v>4.1175800000000002</v>
      </c>
      <c r="X23" s="15"/>
      <c r="Y23" s="15">
        <f t="shared" si="1"/>
        <v>0.97076325568075172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2"/>
        <v>8251.8958792354042</v>
      </c>
      <c r="AH23" s="17">
        <v>7014.2257290262514</v>
      </c>
      <c r="AI23" s="15">
        <v>16.600999999999999</v>
      </c>
      <c r="AJ23" s="17">
        <f t="shared" si="3"/>
        <v>0.50547215126800593</v>
      </c>
      <c r="AK23" s="15">
        <f t="shared" si="4"/>
        <v>0.97076325568075172</v>
      </c>
      <c r="AL23" s="5">
        <v>10.936</v>
      </c>
      <c r="AN23" s="5">
        <f t="shared" si="5"/>
        <v>13.333333333333334</v>
      </c>
      <c r="AS23"/>
      <c r="AV23" s="6"/>
    </row>
    <row r="24" spans="1:48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58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5.1556398348923755</v>
      </c>
      <c r="W24" s="15">
        <v>4.0144299999999999</v>
      </c>
      <c r="X24" s="15"/>
      <c r="Y24" s="15">
        <f t="shared" si="1"/>
        <v>0.77864826259412312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2"/>
        <v>6618.8376536444675</v>
      </c>
      <c r="AH24" s="17">
        <v>5770.6652719702761</v>
      </c>
      <c r="AI24" s="15">
        <v>9.1949000000000005</v>
      </c>
      <c r="AJ24" s="17">
        <f t="shared" si="3"/>
        <v>0.74880335244639362</v>
      </c>
      <c r="AK24" s="15">
        <f t="shared" si="4"/>
        <v>0.77864826259412312</v>
      </c>
      <c r="AL24" s="5">
        <v>10.936</v>
      </c>
      <c r="AN24" s="5">
        <f t="shared" si="5"/>
        <v>13.333333333333334</v>
      </c>
      <c r="AS24"/>
      <c r="AV24" s="6"/>
    </row>
    <row r="25" spans="1:48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58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6.6222710138350491</v>
      </c>
      <c r="W25" s="15">
        <v>4.3677000000000001</v>
      </c>
      <c r="X25" s="15"/>
      <c r="Y25" s="15">
        <f t="shared" si="1"/>
        <v>0.65954715397106711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2"/>
        <v>5606.4281483323157</v>
      </c>
      <c r="AH25" s="17">
        <v>4492.6388074188026</v>
      </c>
      <c r="AI25" s="15">
        <v>6.7024999999999997</v>
      </c>
      <c r="AJ25" s="17">
        <f t="shared" si="3"/>
        <v>0.99399697729636383</v>
      </c>
      <c r="AK25" s="15">
        <f t="shared" si="4"/>
        <v>0.65954715397106711</v>
      </c>
      <c r="AL25" s="5">
        <v>10.936</v>
      </c>
      <c r="AN25" s="5">
        <f t="shared" si="5"/>
        <v>13.333333333333334</v>
      </c>
      <c r="AS25"/>
      <c r="AV25" s="6"/>
    </row>
    <row r="26" spans="1:48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58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9.4997094444224253</v>
      </c>
      <c r="W26" s="15">
        <v>4.6232899999999999</v>
      </c>
      <c r="X26" s="15"/>
      <c r="Y26" s="15">
        <f t="shared" si="1"/>
        <v>0.48667699018041832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2"/>
        <v>4136.9590642079265</v>
      </c>
      <c r="AH26" s="17">
        <v>3131.8296547972859</v>
      </c>
      <c r="AI26" s="15">
        <v>5.4630999999999998</v>
      </c>
      <c r="AJ26" s="17">
        <f t="shared" si="3"/>
        <v>1.3186683604619418</v>
      </c>
      <c r="AK26" s="15">
        <f t="shared" si="4"/>
        <v>0.48667699018041832</v>
      </c>
      <c r="AL26" s="5">
        <v>10.936</v>
      </c>
      <c r="AN26" s="5">
        <f t="shared" si="5"/>
        <v>13.333333333333334</v>
      </c>
      <c r="AS26"/>
      <c r="AV26" s="6"/>
    </row>
    <row r="27" spans="1:48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58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13.477600134325359</v>
      </c>
      <c r="W27" s="15">
        <v>4.4221899999999996</v>
      </c>
      <c r="X27" s="15"/>
      <c r="Y27" s="15">
        <f t="shared" si="1"/>
        <v>0.32811405264483007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2"/>
        <v>2789.1074194401931</v>
      </c>
      <c r="AH27" s="17">
        <v>2207.4754743782323</v>
      </c>
      <c r="AI27" s="15">
        <v>4.9276</v>
      </c>
      <c r="AJ27" s="17">
        <f t="shared" si="3"/>
        <v>1.6538212211510712</v>
      </c>
      <c r="AK27" s="15">
        <f t="shared" si="4"/>
        <v>0.32811405264483007</v>
      </c>
      <c r="AL27" s="5">
        <v>10.936</v>
      </c>
      <c r="AN27" s="5">
        <f t="shared" si="5"/>
        <v>13.333333333333334</v>
      </c>
      <c r="AS27"/>
      <c r="AV27" s="6"/>
    </row>
    <row r="28" spans="1:48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58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18.225897640651599</v>
      </c>
      <c r="W28" s="15">
        <v>4.0908600000000002</v>
      </c>
      <c r="X28" s="15"/>
      <c r="Y28" s="15">
        <f t="shared" si="1"/>
        <v>0.2244531424820263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4" t="s">
        <v>218</v>
      </c>
      <c r="AG28" s="17">
        <f t="shared" si="2"/>
        <v>1907.9460936436371</v>
      </c>
      <c r="AH28" s="17">
        <v>1632.3734685989571</v>
      </c>
      <c r="AI28" s="15">
        <v>4.6520999999999999</v>
      </c>
      <c r="AJ28" s="17">
        <f t="shared" si="3"/>
        <v>1.9793379095950698</v>
      </c>
      <c r="AK28" s="15">
        <f t="shared" si="4"/>
        <v>0.2244531424820263</v>
      </c>
      <c r="AL28" s="5">
        <v>10.936</v>
      </c>
      <c r="AN28" s="5">
        <f t="shared" si="5"/>
        <v>13.333333333333334</v>
      </c>
      <c r="AS28"/>
      <c r="AV28" s="6"/>
    </row>
    <row r="29" spans="1:48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58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26.992679079512932</v>
      </c>
      <c r="W29" s="15">
        <v>3.7838599999999998</v>
      </c>
      <c r="X29" s="15"/>
      <c r="Y29" s="15">
        <f t="shared" si="1"/>
        <v>0.14018097236120208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2"/>
        <v>1191.5972111690955</v>
      </c>
      <c r="AH29" s="17">
        <v>1102.2052187691497</v>
      </c>
      <c r="AI29" s="15">
        <v>4.4139999999999997</v>
      </c>
      <c r="AJ29" s="17">
        <f t="shared" si="3"/>
        <v>2.4729015754724109</v>
      </c>
      <c r="AK29" s="15">
        <f t="shared" si="4"/>
        <v>0.14018097236120208</v>
      </c>
      <c r="AL29" s="5">
        <v>10.936</v>
      </c>
      <c r="AN29" s="5">
        <f t="shared" si="5"/>
        <v>13.333333333333334</v>
      </c>
      <c r="AS29"/>
      <c r="AV29" s="6"/>
    </row>
    <row r="30" spans="1:48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58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15">
        <v>3.9265099999999999</v>
      </c>
      <c r="X30" s="15"/>
      <c r="Y30" s="15">
        <f t="shared" si="1"/>
        <v>1.0459051510634347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2"/>
        <v>7133.3921313236997</v>
      </c>
      <c r="AH30" s="17">
        <v>6358.5403983774268</v>
      </c>
      <c r="AI30" s="15">
        <v>36.762</v>
      </c>
      <c r="AJ30" s="17">
        <f t="shared" si="3"/>
        <v>0.31956384474860638</v>
      </c>
      <c r="AK30" s="15">
        <f t="shared" si="4"/>
        <v>1.0459051510634347</v>
      </c>
      <c r="AL30" s="56">
        <v>6.1308999999999996</v>
      </c>
      <c r="AN30" s="5">
        <f t="shared" si="5"/>
        <v>13.333333333333334</v>
      </c>
      <c r="AS30"/>
      <c r="AV30" s="6"/>
    </row>
    <row r="31" spans="1:48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58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15">
        <v>4.0345300000000002</v>
      </c>
      <c r="X31" s="15"/>
      <c r="Y31" s="15">
        <f t="shared" si="1"/>
        <v>0.95448180444782171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2"/>
        <v>6509.8570232845013</v>
      </c>
      <c r="AH31" s="17">
        <v>5647.3739398382841</v>
      </c>
      <c r="AI31" s="15">
        <v>16.321000000000002</v>
      </c>
      <c r="AJ31" s="17">
        <f t="shared" si="3"/>
        <v>0.50890798512690227</v>
      </c>
      <c r="AK31" s="15">
        <f t="shared" si="4"/>
        <v>0.95448180444782171</v>
      </c>
      <c r="AL31" s="5">
        <v>6.1308999999999996</v>
      </c>
      <c r="AN31" s="5">
        <f t="shared" si="5"/>
        <v>13.333333333333334</v>
      </c>
      <c r="AS31"/>
      <c r="AV31" s="6"/>
    </row>
    <row r="32" spans="1:48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58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15">
        <v>3.9424000000000001</v>
      </c>
      <c r="X32" s="15"/>
      <c r="Y32" s="15">
        <f t="shared" si="1"/>
        <v>0.76732886646746301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2"/>
        <v>5233.4169046123707</v>
      </c>
      <c r="AH32" s="17">
        <v>4646.1442690095619</v>
      </c>
      <c r="AI32" s="15">
        <v>9.0890000000000004</v>
      </c>
      <c r="AJ32" s="17">
        <f t="shared" si="3"/>
        <v>0.75185055241377818</v>
      </c>
      <c r="AK32" s="15">
        <f t="shared" si="4"/>
        <v>0.76732886646746301</v>
      </c>
      <c r="AL32" s="5">
        <v>6.1308999999999996</v>
      </c>
      <c r="AN32" s="5">
        <f t="shared" si="5"/>
        <v>13.333333333333334</v>
      </c>
      <c r="AS32"/>
      <c r="AV32" s="6"/>
    </row>
    <row r="33" spans="1:48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58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15">
        <v>4.3511699999999998</v>
      </c>
      <c r="X33" s="15"/>
      <c r="Y33" s="15">
        <f t="shared" si="1"/>
        <v>0.65932952227379604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2"/>
        <v>4496.8284374115829</v>
      </c>
      <c r="AH33" s="17">
        <v>3617.1649305682245</v>
      </c>
      <c r="AI33" s="15">
        <v>6.6388999999999996</v>
      </c>
      <c r="AJ33" s="17">
        <f t="shared" si="3"/>
        <v>0.99701961169883668</v>
      </c>
      <c r="AK33" s="15">
        <f t="shared" si="4"/>
        <v>0.65932952227379604</v>
      </c>
      <c r="AL33" s="5">
        <v>6.1308999999999996</v>
      </c>
      <c r="AN33" s="5">
        <f t="shared" si="5"/>
        <v>13.333333333333334</v>
      </c>
      <c r="AS33"/>
      <c r="AV33" s="6"/>
    </row>
    <row r="34" spans="1:48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58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15">
        <v>4.61754</v>
      </c>
      <c r="X34" s="15"/>
      <c r="Y34" s="15">
        <f t="shared" si="1"/>
        <v>0.48775728525821682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2"/>
        <v>3326.6534514330424</v>
      </c>
      <c r="AH34" s="17">
        <v>2521.5346439913133</v>
      </c>
      <c r="AI34" s="15">
        <v>5.4168000000000003</v>
      </c>
      <c r="AJ34" s="17">
        <f t="shared" si="3"/>
        <v>1.3220018116915118</v>
      </c>
      <c r="AK34" s="15">
        <f t="shared" si="4"/>
        <v>0.48775728525821682</v>
      </c>
      <c r="AL34" s="5">
        <v>6.1308999999999996</v>
      </c>
      <c r="AN34" s="5">
        <f t="shared" si="5"/>
        <v>13.333333333333334</v>
      </c>
      <c r="AS34"/>
      <c r="AV34" s="6"/>
    </row>
    <row r="35" spans="1:48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58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15">
        <v>4.41106</v>
      </c>
      <c r="X35" s="15"/>
      <c r="Y35" s="15">
        <f t="shared" si="1"/>
        <v>0.3284231928196561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4" t="s">
        <v>218</v>
      </c>
      <c r="AG35" s="17">
        <f t="shared" si="2"/>
        <v>2239.9463441038647</v>
      </c>
      <c r="AH35" s="17">
        <v>1777.3079949861317</v>
      </c>
      <c r="AI35" s="15">
        <v>4.8888999999999996</v>
      </c>
      <c r="AJ35" s="17">
        <f t="shared" si="3"/>
        <v>1.6574826693812967</v>
      </c>
      <c r="AK35" s="15">
        <f t="shared" si="4"/>
        <v>0.3284231928196561</v>
      </c>
      <c r="AL35" s="5">
        <v>6.1308999999999996</v>
      </c>
      <c r="AN35" s="5">
        <f t="shared" si="5"/>
        <v>13.333333333333334</v>
      </c>
      <c r="AS35"/>
      <c r="AV35" s="6"/>
    </row>
    <row r="36" spans="1:48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58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15">
        <v>4.0871700000000004</v>
      </c>
      <c r="X36" s="15"/>
      <c r="Y36" s="15">
        <f t="shared" si="1"/>
        <v>0.22502832935443803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4" t="s">
        <v>218</v>
      </c>
      <c r="AG36" s="17">
        <f t="shared" si="2"/>
        <v>1534.7618398377208</v>
      </c>
      <c r="AH36" s="17">
        <v>1314.2752661210623</v>
      </c>
      <c r="AI36" s="15">
        <v>4.6165000000000003</v>
      </c>
      <c r="AJ36" s="17">
        <f t="shared" si="3"/>
        <v>1.9835188545521034</v>
      </c>
      <c r="AK36" s="15">
        <f t="shared" si="4"/>
        <v>0.22502832935443803</v>
      </c>
      <c r="AL36" s="5">
        <v>6.1308999999999996</v>
      </c>
      <c r="AN36" s="5">
        <f t="shared" si="5"/>
        <v>13.333333333333334</v>
      </c>
      <c r="AS36"/>
      <c r="AV36" s="6"/>
    </row>
    <row r="37" spans="1:48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58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15">
        <v>3.7916500000000002</v>
      </c>
      <c r="X37" s="15"/>
      <c r="Y37" s="15">
        <f t="shared" si="1"/>
        <v>0.14095668293657621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2"/>
        <v>961.36756941574538</v>
      </c>
      <c r="AH37" s="17">
        <v>887.42011867000087</v>
      </c>
      <c r="AI37" s="15">
        <v>4.3815</v>
      </c>
      <c r="AJ37" s="17">
        <f t="shared" si="3"/>
        <v>2.4777636492823336</v>
      </c>
      <c r="AK37" s="15">
        <f t="shared" si="4"/>
        <v>0.14095668293657621</v>
      </c>
      <c r="AL37" s="5">
        <v>6.1308999999999996</v>
      </c>
      <c r="AN37" s="5">
        <f t="shared" si="5"/>
        <v>13.333333333333334</v>
      </c>
      <c r="AS37"/>
      <c r="AV37" s="6"/>
    </row>
    <row r="38" spans="1:48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58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3.7402103992524922</v>
      </c>
      <c r="W38" s="15">
        <v>3.9209000000000001</v>
      </c>
      <c r="X38" s="15"/>
      <c r="Y38" s="15">
        <f t="shared" si="1"/>
        <v>1.0483100097212765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2"/>
        <v>5891.7355036107392</v>
      </c>
      <c r="AH38" s="17">
        <v>5259.2706426171508</v>
      </c>
      <c r="AI38" s="15">
        <v>35.084000000000003</v>
      </c>
      <c r="AJ38" s="17">
        <f t="shared" si="3"/>
        <v>0.32650772847231618</v>
      </c>
      <c r="AK38" s="15">
        <f t="shared" si="4"/>
        <v>1.0483100097212765</v>
      </c>
      <c r="AL38" s="56">
        <v>3.2757000000000001</v>
      </c>
      <c r="AN38" s="5">
        <f t="shared" si="5"/>
        <v>13.333333333333334</v>
      </c>
      <c r="AS38"/>
      <c r="AV38" s="6"/>
    </row>
    <row r="39" spans="1:48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58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15">
        <v>3.9262899999999998</v>
      </c>
      <c r="X39" s="15"/>
      <c r="Y39" s="15">
        <f t="shared" si="1"/>
        <v>0.93234243441923026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2"/>
        <v>5239.9719276277328</v>
      </c>
      <c r="AH39" s="17">
        <v>4671.0512332754497</v>
      </c>
      <c r="AI39" s="15">
        <v>15.959</v>
      </c>
      <c r="AJ39" s="17">
        <f t="shared" si="3"/>
        <v>0.51368942357334491</v>
      </c>
      <c r="AK39" s="15">
        <f t="shared" si="4"/>
        <v>0.93234243441923026</v>
      </c>
      <c r="AL39" s="5">
        <v>3.2757000000000001</v>
      </c>
      <c r="AN39" s="5">
        <f t="shared" si="5"/>
        <v>13.333333333333334</v>
      </c>
      <c r="AS39"/>
      <c r="AV39" s="6"/>
    </row>
    <row r="40" spans="1:48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58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5.1187129682367996</v>
      </c>
      <c r="W40" s="15">
        <v>3.8665500000000002</v>
      </c>
      <c r="X40" s="15"/>
      <c r="Y40" s="15">
        <f t="shared" si="1"/>
        <v>0.75537542815804315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2"/>
        <v>4245.3779772809685</v>
      </c>
      <c r="AH40" s="17">
        <v>3842.9149811804809</v>
      </c>
      <c r="AI40" s="15">
        <v>8.9650999999999996</v>
      </c>
      <c r="AJ40" s="17">
        <f t="shared" si="3"/>
        <v>0.75561891263477843</v>
      </c>
      <c r="AK40" s="15">
        <f t="shared" si="4"/>
        <v>0.75537542815804315</v>
      </c>
      <c r="AL40" s="5">
        <v>3.2757000000000001</v>
      </c>
      <c r="AN40" s="5">
        <f t="shared" si="5"/>
        <v>13.333333333333334</v>
      </c>
      <c r="AS40"/>
      <c r="AV40" s="6"/>
    </row>
    <row r="41" spans="1:48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58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6.574839516190476</v>
      </c>
      <c r="W41" s="15">
        <v>4.3367100000000001</v>
      </c>
      <c r="X41" s="15"/>
      <c r="Y41" s="15">
        <f t="shared" si="1"/>
        <v>0.65959176483637283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2"/>
        <v>3707.0524775480922</v>
      </c>
      <c r="AH41" s="17">
        <v>2991.8264471035236</v>
      </c>
      <c r="AI41" s="15">
        <v>6.5689000000000002</v>
      </c>
      <c r="AJ41" s="17">
        <f t="shared" si="3"/>
        <v>1.0004519915197589</v>
      </c>
      <c r="AK41" s="15">
        <f t="shared" si="4"/>
        <v>0.65959176483637283</v>
      </c>
      <c r="AL41" s="5">
        <v>3.2757000000000001</v>
      </c>
      <c r="AN41" s="5">
        <f t="shared" si="5"/>
        <v>13.333333333333334</v>
      </c>
      <c r="AS41"/>
      <c r="AV41" s="6"/>
    </row>
    <row r="42" spans="1:48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58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9.4316685193083778</v>
      </c>
      <c r="W42" s="15">
        <v>4.61022</v>
      </c>
      <c r="X42" s="15"/>
      <c r="Y42" s="15">
        <f t="shared" si="1"/>
        <v>0.48880216586938174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2"/>
        <v>2747.176930667832</v>
      </c>
      <c r="AH42" s="17">
        <v>2085.6096362727617</v>
      </c>
      <c r="AI42" s="15">
        <v>5.3696999999999999</v>
      </c>
      <c r="AJ42" s="17">
        <f t="shared" si="3"/>
        <v>1.325315426254932</v>
      </c>
      <c r="AK42" s="15">
        <f t="shared" si="4"/>
        <v>0.48880216586938174</v>
      </c>
      <c r="AL42" s="5">
        <v>3.2757000000000001</v>
      </c>
      <c r="AN42" s="5">
        <f t="shared" si="5"/>
        <v>13.333333333333334</v>
      </c>
      <c r="AS42"/>
      <c r="AV42" s="6"/>
    </row>
    <row r="43" spans="1:48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58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13.381067878594619</v>
      </c>
      <c r="W43" s="15">
        <v>4.3982099999999997</v>
      </c>
      <c r="X43" s="15"/>
      <c r="Y43" s="15">
        <f t="shared" si="1"/>
        <v>0.32868901345577306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2"/>
        <v>1847.3053889269388</v>
      </c>
      <c r="AH43" s="17">
        <v>1470.0455097060592</v>
      </c>
      <c r="AI43" s="15">
        <v>4.8505000000000003</v>
      </c>
      <c r="AJ43" s="17">
        <f t="shared" si="3"/>
        <v>1.6609330708451666</v>
      </c>
      <c r="AK43" s="15">
        <f t="shared" si="4"/>
        <v>0.32868901345577306</v>
      </c>
      <c r="AL43" s="5">
        <v>3.2757000000000001</v>
      </c>
      <c r="AN43" s="5">
        <f t="shared" si="5"/>
        <v>13.333333333333334</v>
      </c>
      <c r="AS43"/>
      <c r="AV43" s="6"/>
    </row>
    <row r="44" spans="1:48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58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18.095356075800698</v>
      </c>
      <c r="W44" s="15">
        <v>4.0827900000000001</v>
      </c>
      <c r="X44" s="15"/>
      <c r="Y44" s="15">
        <f t="shared" si="1"/>
        <v>0.22562639734180204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2"/>
        <v>1268.0705549343363</v>
      </c>
      <c r="AH44" s="17">
        <v>1087.0622643511365</v>
      </c>
      <c r="AI44" s="15">
        <v>4.5826000000000002</v>
      </c>
      <c r="AJ44" s="17">
        <f t="shared" si="3"/>
        <v>1.9871360000721772</v>
      </c>
      <c r="AK44" s="15">
        <f t="shared" si="4"/>
        <v>0.22562639734180204</v>
      </c>
      <c r="AL44" s="5">
        <v>3.2757000000000001</v>
      </c>
      <c r="AN44" s="5">
        <f t="shared" si="5"/>
        <v>13.333333333333334</v>
      </c>
      <c r="AS44"/>
      <c r="AV44" s="6"/>
    </row>
    <row r="45" spans="1:48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58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26.799346129003069</v>
      </c>
      <c r="W45" s="15">
        <v>3.79847</v>
      </c>
      <c r="X45" s="15"/>
      <c r="Y45" s="15">
        <f t="shared" si="1"/>
        <v>0.14173741335760354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2"/>
        <v>796.59579964420402</v>
      </c>
      <c r="AH45" s="17">
        <v>734.00219002775179</v>
      </c>
      <c r="AI45" s="15">
        <v>4.3507999999999996</v>
      </c>
      <c r="AJ45" s="17">
        <f t="shared" si="3"/>
        <v>2.4818614825087537</v>
      </c>
      <c r="AK45" s="15">
        <f t="shared" si="4"/>
        <v>0.14173741335760354</v>
      </c>
      <c r="AL45" s="5">
        <v>3.2757000000000001</v>
      </c>
      <c r="AN45" s="5">
        <f t="shared" si="5"/>
        <v>13.333333333333334</v>
      </c>
      <c r="AS45"/>
      <c r="AV45" s="6"/>
    </row>
    <row r="46" spans="1:48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58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3.7300768716031336</v>
      </c>
      <c r="W46" s="15">
        <v>3.9062600000000001</v>
      </c>
      <c r="X46" s="15"/>
      <c r="Y46" s="15">
        <f t="shared" si="1"/>
        <v>1.0472331092525569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2"/>
        <v>5215.4078151877347</v>
      </c>
      <c r="AH46" s="17">
        <v>4672.9934395450055</v>
      </c>
      <c r="AI46" s="15">
        <v>33.424999999999997</v>
      </c>
      <c r="AJ46" s="17">
        <f t="shared" si="3"/>
        <v>0.33405900488767104</v>
      </c>
      <c r="AK46" s="15">
        <f t="shared" si="4"/>
        <v>1.0472331092525569</v>
      </c>
      <c r="AL46" s="56">
        <v>1.7927999999999999</v>
      </c>
      <c r="AN46" s="5">
        <f t="shared" si="5"/>
        <v>13.333333333333334</v>
      </c>
      <c r="AS46"/>
      <c r="AV46" s="6"/>
    </row>
    <row r="47" spans="1:48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58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4.1998006028658672</v>
      </c>
      <c r="W47" s="15">
        <v>3.8613599999999999</v>
      </c>
      <c r="X47" s="15"/>
      <c r="Y47" s="15">
        <f t="shared" si="1"/>
        <v>0.9194150782694489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2"/>
        <v>4578.8512053733257</v>
      </c>
      <c r="AH47" s="17">
        <v>4150.3457897752714</v>
      </c>
      <c r="AI47" s="15">
        <v>15.609</v>
      </c>
      <c r="AJ47" s="17">
        <f t="shared" si="3"/>
        <v>0.51871259754171806</v>
      </c>
      <c r="AK47" s="15">
        <f t="shared" si="4"/>
        <v>0.9194150782694489</v>
      </c>
      <c r="AL47" s="5">
        <v>1.7927999999999999</v>
      </c>
      <c r="AN47" s="5">
        <f t="shared" si="5"/>
        <v>13.333333333333334</v>
      </c>
      <c r="AS47"/>
      <c r="AV47" s="6"/>
    </row>
    <row r="48" spans="1:48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58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15">
        <v>3.8078699999999999</v>
      </c>
      <c r="X48" s="15"/>
      <c r="Y48" s="15">
        <f t="shared" si="1"/>
        <v>0.74593259917376176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2"/>
        <v>3714.8774928542862</v>
      </c>
      <c r="AH48" s="17">
        <v>3414.5260276716385</v>
      </c>
      <c r="AI48" s="15">
        <v>8.8526000000000007</v>
      </c>
      <c r="AJ48" s="17">
        <f t="shared" si="3"/>
        <v>0.75937420793675903</v>
      </c>
      <c r="AK48" s="15">
        <f t="shared" si="4"/>
        <v>0.74593259917376176</v>
      </c>
      <c r="AL48" s="5">
        <v>1.7927999999999999</v>
      </c>
      <c r="AN48" s="5">
        <f t="shared" si="5"/>
        <v>13.333333333333334</v>
      </c>
      <c r="AS48"/>
      <c r="AV48" s="6"/>
    </row>
    <row r="49" spans="1:48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58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15">
        <v>4.3270900000000001</v>
      </c>
      <c r="X49" s="15"/>
      <c r="Y49" s="15">
        <f t="shared" si="1"/>
        <v>0.65991655415807093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2"/>
        <v>3286.5022348121101</v>
      </c>
      <c r="AH49" s="17">
        <v>2658.3125892556859</v>
      </c>
      <c r="AI49" s="15">
        <v>6.5106000000000002</v>
      </c>
      <c r="AJ49" s="17">
        <f t="shared" si="3"/>
        <v>1.003559082462987</v>
      </c>
      <c r="AK49" s="15">
        <f t="shared" si="4"/>
        <v>0.65991655415807093</v>
      </c>
      <c r="AL49" s="5">
        <v>1.7927999999999999</v>
      </c>
      <c r="AN49" s="5">
        <f t="shared" si="5"/>
        <v>13.333333333333334</v>
      </c>
      <c r="AS49"/>
      <c r="AV49" s="6"/>
    </row>
    <row r="50" spans="1:48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58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15">
        <v>4.6016700000000004</v>
      </c>
      <c r="X50" s="15"/>
      <c r="Y50" s="15">
        <f t="shared" si="1"/>
        <v>0.48922111519865197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2"/>
        <v>2436.4084796583502</v>
      </c>
      <c r="AH50" s="17">
        <v>1853.1162988228673</v>
      </c>
      <c r="AI50" s="15">
        <v>5.3331999999999997</v>
      </c>
      <c r="AJ50" s="17">
        <f t="shared" si="3"/>
        <v>1.3280401454558557</v>
      </c>
      <c r="AK50" s="15">
        <f t="shared" si="4"/>
        <v>0.48922111519865197</v>
      </c>
      <c r="AL50" s="5">
        <v>1.7927999999999999</v>
      </c>
      <c r="AN50" s="5">
        <f t="shared" si="5"/>
        <v>13.333333333333334</v>
      </c>
      <c r="AS50"/>
      <c r="AV50" s="6"/>
    </row>
    <row r="51" spans="1:48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58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15">
        <v>4.3867000000000003</v>
      </c>
      <c r="X51" s="15"/>
      <c r="Y51" s="15">
        <f t="shared" si="1"/>
        <v>0.32871945800637981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2"/>
        <v>1637.0815772950255</v>
      </c>
      <c r="AH51" s="17">
        <v>1306.1721842233544</v>
      </c>
      <c r="AI51" s="15">
        <v>4.8224999999999998</v>
      </c>
      <c r="AJ51" s="17">
        <f t="shared" si="3"/>
        <v>1.6634898031442582</v>
      </c>
      <c r="AK51" s="15">
        <f t="shared" si="4"/>
        <v>0.32871945800637981</v>
      </c>
      <c r="AL51" s="5">
        <v>1.7927999999999999</v>
      </c>
      <c r="AN51" s="5">
        <f t="shared" si="5"/>
        <v>13.333333333333334</v>
      </c>
      <c r="AS51"/>
      <c r="AV51" s="6"/>
    </row>
    <row r="52" spans="1:4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58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15">
        <v>4.0778499999999998</v>
      </c>
      <c r="X52" s="15"/>
      <c r="Y52" s="15">
        <f t="shared" si="1"/>
        <v>0.22596561838142323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2"/>
        <v>1125.349114402369</v>
      </c>
      <c r="AH52" s="17">
        <v>965.88199674051077</v>
      </c>
      <c r="AI52" s="15">
        <v>4.5585000000000004</v>
      </c>
      <c r="AJ52" s="17">
        <f t="shared" si="3"/>
        <v>1.9896810400686959</v>
      </c>
      <c r="AK52" s="15">
        <f t="shared" si="4"/>
        <v>0.22596561838142323</v>
      </c>
      <c r="AL52" s="5">
        <v>1.7927999999999999</v>
      </c>
      <c r="AN52" s="5">
        <f t="shared" si="5"/>
        <v>13.333333333333334</v>
      </c>
      <c r="AS52"/>
      <c r="AV52" s="6"/>
    </row>
    <row r="53" spans="1:48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58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15">
        <v>3.8014399999999999</v>
      </c>
      <c r="X53" s="15"/>
      <c r="Y53" s="15">
        <f t="shared" si="1"/>
        <v>0.14223359712001191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2"/>
        <v>708.34870235474511</v>
      </c>
      <c r="AH53" s="17">
        <v>652.17929475188566</v>
      </c>
      <c r="AI53" s="15">
        <v>4.3297999999999996</v>
      </c>
      <c r="AJ53" s="17">
        <f t="shared" si="3"/>
        <v>2.4845003099159175</v>
      </c>
      <c r="AK53" s="15">
        <f t="shared" si="4"/>
        <v>0.14223359712001191</v>
      </c>
      <c r="AL53" s="5">
        <v>1.7927999999999999</v>
      </c>
      <c r="AN53" s="5">
        <f t="shared" si="5"/>
        <v>13.333333333333334</v>
      </c>
      <c r="AS53"/>
      <c r="AV53" s="6"/>
    </row>
    <row r="54" spans="1:48" ht="15">
      <c r="A54" s="15">
        <v>49</v>
      </c>
      <c r="B54" s="67" t="s">
        <v>85</v>
      </c>
      <c r="C54" s="67">
        <v>300</v>
      </c>
      <c r="D54" s="68">
        <v>300</v>
      </c>
      <c r="E54" s="68">
        <v>300</v>
      </c>
      <c r="F54" s="68">
        <v>33.82</v>
      </c>
      <c r="G54" s="68">
        <v>33.82</v>
      </c>
      <c r="H54" s="68">
        <v>19.580000000000002</v>
      </c>
      <c r="I54" s="68">
        <v>0</v>
      </c>
      <c r="J54" s="68">
        <v>0</v>
      </c>
      <c r="K54" s="68">
        <v>2038.4700926579187</v>
      </c>
      <c r="L54" s="68">
        <v>25503.804399999994</v>
      </c>
      <c r="M54" s="68"/>
      <c r="N54" s="68"/>
      <c r="O54" s="68"/>
      <c r="P54" s="69">
        <v>390203283.12671709</v>
      </c>
      <c r="Q54" s="68"/>
      <c r="R54" s="68"/>
      <c r="S54" s="68">
        <v>4648.3049045948001</v>
      </c>
      <c r="T54" s="68">
        <v>690</v>
      </c>
      <c r="U54" s="68">
        <v>210000</v>
      </c>
      <c r="V54" s="68">
        <f t="shared" si="0"/>
        <v>3.7858155601206209</v>
      </c>
      <c r="W54" s="68">
        <v>3.8914</v>
      </c>
      <c r="X54" s="15"/>
      <c r="Y54" s="15">
        <f t="shared" si="1"/>
        <v>1.0278894833101735</v>
      </c>
      <c r="Z54" s="15"/>
      <c r="AA54" s="16"/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70">
        <f t="shared" si="2"/>
        <v>18088.413705740204</v>
      </c>
      <c r="AH54" s="17">
        <v>16269.067166081799</v>
      </c>
      <c r="AI54" s="15">
        <v>29.218</v>
      </c>
      <c r="AJ54" s="17">
        <f t="shared" si="3"/>
        <v>0.35996019927957579</v>
      </c>
      <c r="AK54" s="68">
        <f t="shared" si="4"/>
        <v>1.0278894833101735</v>
      </c>
      <c r="AL54" s="56">
        <v>29.24</v>
      </c>
      <c r="AN54" s="5">
        <f t="shared" si="5"/>
        <v>8.870490833826139</v>
      </c>
      <c r="AS54"/>
      <c r="AV54" s="6"/>
    </row>
    <row r="55" spans="1:48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25503.804399999994</v>
      </c>
      <c r="M55" s="15"/>
      <c r="N55" s="15"/>
      <c r="O55" s="15"/>
      <c r="P55" s="58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0"/>
        <v>4.2625583919668983</v>
      </c>
      <c r="W55" s="15">
        <v>3.7964500000000001</v>
      </c>
      <c r="X55" s="15"/>
      <c r="Y55" s="15">
        <f t="shared" si="1"/>
        <v>0.89065055558058437</v>
      </c>
      <c r="Z55" s="15"/>
      <c r="AA55" s="16"/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2"/>
        <v>15673.334515212196</v>
      </c>
      <c r="AH55" s="17">
        <v>14449.464843009309</v>
      </c>
      <c r="AI55" s="15">
        <v>14.803000000000001</v>
      </c>
      <c r="AJ55" s="17">
        <f t="shared" si="3"/>
        <v>0.53661190207046938</v>
      </c>
      <c r="AK55" s="15">
        <f t="shared" si="4"/>
        <v>0.89065055558058437</v>
      </c>
      <c r="AL55" s="5">
        <v>29.24</v>
      </c>
      <c r="AN55" s="5">
        <f t="shared" si="5"/>
        <v>8.870490833826139</v>
      </c>
      <c r="AS55"/>
      <c r="AV55" s="6"/>
    </row>
    <row r="56" spans="1:48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25503.804399999994</v>
      </c>
      <c r="M56" s="15"/>
      <c r="N56" s="15"/>
      <c r="O56" s="15"/>
      <c r="P56" s="58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0"/>
        <v>5.1811264967379964</v>
      </c>
      <c r="W56" s="15">
        <v>3.7616900000000002</v>
      </c>
      <c r="X56" s="15"/>
      <c r="Y56" s="15">
        <f t="shared" si="1"/>
        <v>0.72603708910954712</v>
      </c>
      <c r="Z56" s="15"/>
      <c r="AA56" s="16"/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2"/>
        <v>12776.528456378725</v>
      </c>
      <c r="AH56" s="17">
        <v>11887.701963034044</v>
      </c>
      <c r="AI56" s="15">
        <v>8.6748999999999992</v>
      </c>
      <c r="AJ56" s="17">
        <f t="shared" si="3"/>
        <v>0.77282268078390148</v>
      </c>
      <c r="AK56" s="15">
        <f t="shared" si="4"/>
        <v>0.72603708910954712</v>
      </c>
      <c r="AL56" s="5">
        <v>29.24</v>
      </c>
      <c r="AN56" s="5">
        <f t="shared" si="5"/>
        <v>8.870490833826139</v>
      </c>
      <c r="AS56"/>
      <c r="AV56" s="6"/>
    </row>
    <row r="57" spans="1:48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25503.804399999994</v>
      </c>
      <c r="M57" s="15"/>
      <c r="N57" s="15"/>
      <c r="O57" s="15"/>
      <c r="P57" s="58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0"/>
        <v>6.6550078975943459</v>
      </c>
      <c r="W57" s="15">
        <v>4.3575999999999997</v>
      </c>
      <c r="X57" s="15"/>
      <c r="Y57" s="15">
        <f t="shared" si="1"/>
        <v>0.6547850982378528</v>
      </c>
      <c r="Z57" s="15"/>
      <c r="AA57" s="16"/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2"/>
        <v>11522.662637950152</v>
      </c>
      <c r="AH57" s="17">
        <v>9254.938322201564</v>
      </c>
      <c r="AI57" s="15">
        <v>6.4608999999999996</v>
      </c>
      <c r="AJ57" s="17">
        <f t="shared" si="3"/>
        <v>1.0149105756383863</v>
      </c>
      <c r="AK57" s="15">
        <f t="shared" si="4"/>
        <v>0.6547850982378528</v>
      </c>
      <c r="AL57" s="5">
        <v>29.24</v>
      </c>
      <c r="AN57" s="5">
        <f t="shared" si="5"/>
        <v>8.870490833826139</v>
      </c>
      <c r="AS57"/>
      <c r="AV57" s="6"/>
    </row>
    <row r="58" spans="1:48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25503.804399999994</v>
      </c>
      <c r="M58" s="15"/>
      <c r="N58" s="15"/>
      <c r="O58" s="15"/>
      <c r="P58" s="58">
        <v>390203283.12671709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0"/>
        <v>9.5466708090629631</v>
      </c>
      <c r="W58" s="15">
        <v>4.6214500000000003</v>
      </c>
      <c r="X58" s="15"/>
      <c r="Y58" s="15">
        <f t="shared" si="1"/>
        <v>0.48409022290919557</v>
      </c>
      <c r="Z58" s="15"/>
      <c r="AA58" s="16"/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2"/>
        <v>8518.8382263496769</v>
      </c>
      <c r="AH58" s="17">
        <v>6451.6404574806329</v>
      </c>
      <c r="AI58" s="15">
        <v>5.3316999999999997</v>
      </c>
      <c r="AJ58" s="17">
        <f t="shared" si="3"/>
        <v>1.338114020691471</v>
      </c>
      <c r="AK58" s="15">
        <f t="shared" si="4"/>
        <v>0.48409022290919557</v>
      </c>
      <c r="AL58" s="5">
        <v>29.24</v>
      </c>
      <c r="AN58" s="5">
        <f t="shared" si="5"/>
        <v>8.870490833826139</v>
      </c>
      <c r="AS58"/>
      <c r="AV58" s="6"/>
    </row>
    <row r="59" spans="1:48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25503.804399999994</v>
      </c>
      <c r="M59" s="15"/>
      <c r="N59" s="15"/>
      <c r="O59" s="15"/>
      <c r="P59" s="58">
        <v>390203283.12671709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0"/>
        <v>13.544226013578854</v>
      </c>
      <c r="W59" s="15">
        <v>4.4180400000000004</v>
      </c>
      <c r="X59" s="15"/>
      <c r="Y59" s="15">
        <f t="shared" si="1"/>
        <v>0.3261936116224482</v>
      </c>
      <c r="Z59" s="15"/>
      <c r="AA59" s="16"/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2"/>
        <v>5740.2328664704537</v>
      </c>
      <c r="AH59" s="17">
        <v>4547.4497814973574</v>
      </c>
      <c r="AI59" s="15">
        <v>4.8384999999999998</v>
      </c>
      <c r="AJ59" s="17">
        <f t="shared" si="3"/>
        <v>1.6730993228530124</v>
      </c>
      <c r="AK59" s="15">
        <f t="shared" si="4"/>
        <v>0.3261936116224482</v>
      </c>
      <c r="AL59" s="5">
        <v>29.24</v>
      </c>
      <c r="AN59" s="5">
        <f t="shared" si="5"/>
        <v>8.870490833826139</v>
      </c>
      <c r="AS59"/>
      <c r="AV59" s="6"/>
    </row>
    <row r="60" spans="1:48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25503.804399999994</v>
      </c>
      <c r="M60" s="15"/>
      <c r="N60" s="15"/>
      <c r="O60" s="15"/>
      <c r="P60" s="58">
        <v>390203283.12671709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0"/>
        <v>18.315996504202236</v>
      </c>
      <c r="W60" s="15">
        <v>4.1217499999999996</v>
      </c>
      <c r="X60" s="15"/>
      <c r="Y60" s="15">
        <f t="shared" si="1"/>
        <v>0.22503553104819315</v>
      </c>
      <c r="Z60" s="15"/>
      <c r="AA60" s="16"/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2"/>
        <v>3960.0908951632377</v>
      </c>
      <c r="AH60" s="17">
        <v>3362.7265440823276</v>
      </c>
      <c r="AI60" s="15">
        <v>4.5826000000000002</v>
      </c>
      <c r="AJ60" s="17">
        <f t="shared" si="3"/>
        <v>1.9992140746316445</v>
      </c>
      <c r="AK60" s="15">
        <f t="shared" si="4"/>
        <v>0.22503553104819315</v>
      </c>
      <c r="AL60" s="5">
        <v>29.24</v>
      </c>
      <c r="AN60" s="5">
        <f t="shared" si="5"/>
        <v>8.870490833826139</v>
      </c>
      <c r="AS60"/>
      <c r="AV60" s="6"/>
    </row>
    <row r="61" spans="1:48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25503.804399999994</v>
      </c>
      <c r="M61" s="15"/>
      <c r="N61" s="15"/>
      <c r="O61" s="15"/>
      <c r="P61" s="58">
        <v>390203283.12671709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0"/>
        <v>27.126116112750015</v>
      </c>
      <c r="W61" s="15">
        <v>3.8528799999999999</v>
      </c>
      <c r="X61" s="15"/>
      <c r="Y61" s="15">
        <f t="shared" si="1"/>
        <v>0.14203581463654655</v>
      </c>
      <c r="Z61" s="15"/>
      <c r="AA61" s="16"/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2"/>
        <v>2499.4930076567462</v>
      </c>
      <c r="AH61" s="17">
        <v>2270.5678678802901</v>
      </c>
      <c r="AI61" s="15">
        <v>4.3598999999999997</v>
      </c>
      <c r="AJ61" s="17">
        <f t="shared" si="3"/>
        <v>2.494339384405782</v>
      </c>
      <c r="AK61" s="15">
        <f t="shared" si="4"/>
        <v>0.14203581463654655</v>
      </c>
      <c r="AL61" s="5">
        <v>29.24</v>
      </c>
      <c r="AN61" s="5">
        <f t="shared" si="5"/>
        <v>8.870490833826139</v>
      </c>
      <c r="AS61"/>
      <c r="AV61" s="6"/>
    </row>
    <row r="62" spans="1:48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58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0"/>
        <v>3.7554686610850774</v>
      </c>
      <c r="W62" s="15">
        <v>3.9069699999999998</v>
      </c>
      <c r="X62" s="15"/>
      <c r="Y62" s="15">
        <f t="shared" si="1"/>
        <v>1.0403415266075338</v>
      </c>
      <c r="Z62" s="15"/>
      <c r="AA62" s="16"/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2"/>
        <v>12955.811924925156</v>
      </c>
      <c r="AH62" s="17">
        <v>11606.268217375113</v>
      </c>
      <c r="AI62" s="15">
        <v>29.218</v>
      </c>
      <c r="AJ62" s="17">
        <f t="shared" si="3"/>
        <v>0.35851458541726411</v>
      </c>
      <c r="AK62" s="15">
        <f t="shared" si="4"/>
        <v>1.0403415266075338</v>
      </c>
      <c r="AL62" s="56">
        <v>14.43</v>
      </c>
      <c r="AN62" s="5">
        <f t="shared" si="5"/>
        <v>12.631578947368421</v>
      </c>
      <c r="AS62"/>
      <c r="AV62" s="6"/>
    </row>
    <row r="63" spans="1:48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58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0"/>
        <v>4.2283899473874129</v>
      </c>
      <c r="W63" s="15">
        <v>3.8093400000000002</v>
      </c>
      <c r="X63" s="15"/>
      <c r="Y63" s="15">
        <f t="shared" si="1"/>
        <v>0.90089609695379913</v>
      </c>
      <c r="Z63" s="15"/>
      <c r="AA63" s="16"/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2"/>
        <v>11219.239160906562</v>
      </c>
      <c r="AH63" s="17">
        <v>10308.173348446966</v>
      </c>
      <c r="AI63" s="15">
        <v>14.784000000000001</v>
      </c>
      <c r="AJ63" s="17">
        <f t="shared" si="3"/>
        <v>0.5348001727713132</v>
      </c>
      <c r="AK63" s="15">
        <f t="shared" si="4"/>
        <v>0.90089609695379913</v>
      </c>
      <c r="AL63" s="5">
        <v>14.43</v>
      </c>
      <c r="AN63" s="5">
        <f t="shared" si="5"/>
        <v>12.631578947368421</v>
      </c>
      <c r="AS63"/>
      <c r="AV63" s="6"/>
    </row>
    <row r="64" spans="1:48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58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0"/>
        <v>5.139594858392182</v>
      </c>
      <c r="W64" s="15">
        <v>3.7607699999999999</v>
      </c>
      <c r="X64" s="15"/>
      <c r="Y64" s="15">
        <f t="shared" si="1"/>
        <v>0.73172499070801866</v>
      </c>
      <c r="Z64" s="15"/>
      <c r="AA64" s="16"/>
      <c r="AB64" s="15">
        <v>0.50266891735380559</v>
      </c>
      <c r="AC64" s="17">
        <v>0.75</v>
      </c>
      <c r="AD64" s="15"/>
      <c r="AE64" s="15" t="s">
        <v>181</v>
      </c>
      <c r="AF64" s="24" t="s">
        <v>218</v>
      </c>
      <c r="AG64" s="17">
        <f t="shared" si="2"/>
        <v>9112.4800057674111</v>
      </c>
      <c r="AH64" s="17">
        <v>8480.6249837628839</v>
      </c>
      <c r="AI64" s="15">
        <v>8.6549999999999994</v>
      </c>
      <c r="AJ64" s="17">
        <f t="shared" si="3"/>
        <v>0.77060337523077538</v>
      </c>
      <c r="AK64" s="15">
        <f t="shared" si="4"/>
        <v>0.73172499070801866</v>
      </c>
      <c r="AL64" s="5">
        <v>14.43</v>
      </c>
      <c r="AN64" s="5">
        <f t="shared" si="5"/>
        <v>12.631578947368421</v>
      </c>
      <c r="AS64"/>
      <c r="AV64" s="6"/>
    </row>
    <row r="65" spans="1:48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58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0"/>
        <v>6.6016617032164548</v>
      </c>
      <c r="W65" s="15">
        <v>4.34877</v>
      </c>
      <c r="X65" s="15"/>
      <c r="Y65" s="15">
        <f t="shared" si="1"/>
        <v>0.65873869269629448</v>
      </c>
      <c r="Z65" s="15"/>
      <c r="AA65" s="16"/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2"/>
        <v>8203.5508455329364</v>
      </c>
      <c r="AH65" s="17">
        <v>6602.4250441769227</v>
      </c>
      <c r="AI65" s="15">
        <v>6.4428000000000001</v>
      </c>
      <c r="AJ65" s="17">
        <f t="shared" si="3"/>
        <v>1.0122535481766948</v>
      </c>
      <c r="AK65" s="15">
        <f t="shared" si="4"/>
        <v>0.65873869269629448</v>
      </c>
      <c r="AL65" s="5">
        <v>14.43</v>
      </c>
      <c r="AN65" s="5">
        <f t="shared" si="5"/>
        <v>12.631578947368421</v>
      </c>
      <c r="AS65"/>
      <c r="AV65" s="6"/>
    </row>
    <row r="66" spans="1:48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58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0"/>
        <v>9.4701451963997343</v>
      </c>
      <c r="W66" s="15">
        <v>4.6168300000000002</v>
      </c>
      <c r="X66" s="15"/>
      <c r="Y66" s="15">
        <f t="shared" si="1"/>
        <v>0.48751417261851282</v>
      </c>
      <c r="Z66" s="15"/>
      <c r="AA66" s="16"/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2"/>
        <v>6071.219661659914</v>
      </c>
      <c r="AH66" s="17">
        <v>4602.566872899738</v>
      </c>
      <c r="AI66" s="15">
        <v>5.3148999999999997</v>
      </c>
      <c r="AJ66" s="17">
        <f t="shared" si="3"/>
        <v>1.3348447876948879</v>
      </c>
      <c r="AK66" s="15">
        <f t="shared" si="4"/>
        <v>0.48751417261851282</v>
      </c>
      <c r="AL66" s="5">
        <v>14.43</v>
      </c>
      <c r="AN66" s="5">
        <f t="shared" si="5"/>
        <v>12.631578947368421</v>
      </c>
      <c r="AS66"/>
      <c r="AV66" s="6"/>
    </row>
    <row r="67" spans="1:48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58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0"/>
        <v>13.43565620799235</v>
      </c>
      <c r="W67" s="15">
        <v>4.4056699999999998</v>
      </c>
      <c r="X67" s="15"/>
      <c r="Y67" s="15">
        <f t="shared" si="1"/>
        <v>0.32790880711723164</v>
      </c>
      <c r="Z67" s="15"/>
      <c r="AA67" s="16"/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2"/>
        <v>4083.586711558889</v>
      </c>
      <c r="AH67" s="17">
        <v>3244.127111303414</v>
      </c>
      <c r="AI67" s="15">
        <v>4.8224</v>
      </c>
      <c r="AJ67" s="17">
        <f t="shared" si="3"/>
        <v>1.6691594515553019</v>
      </c>
      <c r="AK67" s="15">
        <f t="shared" si="4"/>
        <v>0.32790880711723164</v>
      </c>
      <c r="AL67" s="5">
        <v>14.43</v>
      </c>
      <c r="AN67" s="5">
        <f t="shared" si="5"/>
        <v>12.631578947368421</v>
      </c>
      <c r="AS67"/>
      <c r="AV67" s="6"/>
    </row>
    <row r="68" spans="1:48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58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0"/>
        <v>18.16917643655195</v>
      </c>
      <c r="W68" s="15">
        <v>4.1086200000000002</v>
      </c>
      <c r="X68" s="15"/>
      <c r="Y68" s="15">
        <f t="shared" si="1"/>
        <v>0.22613132820563397</v>
      </c>
      <c r="Z68" s="15"/>
      <c r="AA68" s="16"/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2"/>
        <v>2816.1088292988461</v>
      </c>
      <c r="AH68" s="17">
        <v>2398.9516924285917</v>
      </c>
      <c r="AI68" s="15">
        <v>4.5669000000000004</v>
      </c>
      <c r="AJ68" s="17">
        <f t="shared" si="3"/>
        <v>1.9946048470905522</v>
      </c>
      <c r="AK68" s="15">
        <f t="shared" si="4"/>
        <v>0.22613132820563397</v>
      </c>
      <c r="AL68" s="5">
        <v>14.43</v>
      </c>
      <c r="AN68" s="5">
        <f t="shared" si="5"/>
        <v>12.631578947368421</v>
      </c>
      <c r="AS68"/>
      <c r="AV68" s="6"/>
    </row>
    <row r="69" spans="1:48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58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0"/>
        <v>26.908674588241659</v>
      </c>
      <c r="W69" s="15">
        <v>3.8407</v>
      </c>
      <c r="X69" s="15"/>
      <c r="Y69" s="15">
        <f t="shared" si="1"/>
        <v>0.14273092446100183</v>
      </c>
      <c r="Z69" s="15"/>
      <c r="AA69" s="16"/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2"/>
        <v>1777.4884169216127</v>
      </c>
      <c r="AH69" s="17">
        <v>1619.8113518956557</v>
      </c>
      <c r="AI69" s="15">
        <v>4.3445</v>
      </c>
      <c r="AJ69" s="17">
        <f t="shared" si="3"/>
        <v>2.4887212301334571</v>
      </c>
      <c r="AK69" s="15">
        <f t="shared" si="4"/>
        <v>0.14273092446100183</v>
      </c>
      <c r="AL69" s="5">
        <v>14.43</v>
      </c>
      <c r="AN69" s="5">
        <f t="shared" si="5"/>
        <v>12.631578947368421</v>
      </c>
      <c r="AS69"/>
      <c r="AV69" s="6"/>
    </row>
    <row r="70" spans="1:48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58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0"/>
        <v>3.7442620284213421</v>
      </c>
      <c r="W70" s="15">
        <v>3.9214000000000002</v>
      </c>
      <c r="X70" s="15"/>
      <c r="Y70" s="15">
        <f t="shared" si="1"/>
        <v>1.0473091814178783</v>
      </c>
      <c r="Z70" s="15"/>
      <c r="AA70" s="16"/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2"/>
        <v>10987.486594577485</v>
      </c>
      <c r="AH70" s="17">
        <v>9806.7534760598755</v>
      </c>
      <c r="AI70" s="15">
        <v>29.25</v>
      </c>
      <c r="AJ70" s="17">
        <f t="shared" si="3"/>
        <v>0.35778339569721102</v>
      </c>
      <c r="AK70" s="15">
        <f t="shared" si="4"/>
        <v>1.0473091814178783</v>
      </c>
      <c r="AL70" s="56">
        <v>10.167</v>
      </c>
      <c r="AN70" s="5">
        <f t="shared" si="5"/>
        <v>15.037593984962406</v>
      </c>
      <c r="AS70"/>
      <c r="AV70" s="6"/>
    </row>
    <row r="71" spans="1:48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58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6">L71*T71/(S71*1000)</f>
        <v>4.2157720780411907</v>
      </c>
      <c r="W71" s="15">
        <v>3.8251900000000001</v>
      </c>
      <c r="X71" s="15"/>
      <c r="Y71" s="15">
        <f t="shared" ref="Y71:Y134" si="7">AK71</f>
        <v>0.90735218346465496</v>
      </c>
      <c r="Z71" s="15"/>
      <c r="AA71" s="16"/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8">W71*S71</f>
        <v>9519.1755493649689</v>
      </c>
      <c r="AH71" s="17">
        <v>8709.9240620145374</v>
      </c>
      <c r="AI71" s="15">
        <v>14.788</v>
      </c>
      <c r="AJ71" s="17">
        <f t="shared" ref="AJ71:AJ134" si="9">(V71/AI71)^0.5</f>
        <v>0.53392940654547705</v>
      </c>
      <c r="AK71" s="15">
        <f t="shared" ref="AK71:AK134" si="10">W71/V71</f>
        <v>0.90735218346465496</v>
      </c>
      <c r="AL71" s="5">
        <v>10.167</v>
      </c>
      <c r="AN71" s="5">
        <f t="shared" ref="AN71:AN134" si="11">C71/F71</f>
        <v>15.037593984962406</v>
      </c>
      <c r="AS71"/>
      <c r="AV71" s="6"/>
    </row>
    <row r="72" spans="1:48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58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6"/>
        <v>5.1242578773609564</v>
      </c>
      <c r="W72" s="15">
        <v>3.7673299999999998</v>
      </c>
      <c r="X72" s="15"/>
      <c r="Y72" s="15">
        <f t="shared" si="7"/>
        <v>0.7351952400061903</v>
      </c>
      <c r="Z72" s="15"/>
      <c r="AA72" s="16"/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8"/>
        <v>7713.049772970603</v>
      </c>
      <c r="AH72" s="17">
        <v>7165.7312222176215</v>
      </c>
      <c r="AI72" s="15">
        <v>8.6529000000000007</v>
      </c>
      <c r="AJ72" s="17">
        <f t="shared" si="9"/>
        <v>0.76954610853477523</v>
      </c>
      <c r="AK72" s="15">
        <f t="shared" si="10"/>
        <v>0.7351952400061903</v>
      </c>
      <c r="AL72" s="5">
        <v>10.167</v>
      </c>
      <c r="AN72" s="5">
        <f t="shared" si="11"/>
        <v>15.037593984962406</v>
      </c>
      <c r="AS72"/>
      <c r="AV72" s="6"/>
    </row>
    <row r="73" spans="1:48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58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6"/>
        <v>6.5819617924051022</v>
      </c>
      <c r="W73" s="15">
        <v>4.3503800000000004</v>
      </c>
      <c r="X73" s="15"/>
      <c r="Y73" s="15">
        <f t="shared" si="7"/>
        <v>0.66095491545087448</v>
      </c>
      <c r="Z73" s="15"/>
      <c r="AA73" s="16"/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8"/>
        <v>6934.1827628253495</v>
      </c>
      <c r="AH73" s="17">
        <v>5578.7401720973157</v>
      </c>
      <c r="AI73" s="15">
        <v>6.4398999999999997</v>
      </c>
      <c r="AJ73" s="17">
        <f t="shared" si="9"/>
        <v>1.0109696469606528</v>
      </c>
      <c r="AK73" s="15">
        <f t="shared" si="10"/>
        <v>0.66095491545087448</v>
      </c>
      <c r="AL73" s="5">
        <v>10.167</v>
      </c>
      <c r="AN73" s="5">
        <f t="shared" si="11"/>
        <v>15.037593984962406</v>
      </c>
      <c r="AS73"/>
      <c r="AV73" s="6"/>
    </row>
    <row r="74" spans="1:48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15204.577499999999</v>
      </c>
      <c r="M74" s="15"/>
      <c r="N74" s="15"/>
      <c r="O74" s="15"/>
      <c r="P74" s="58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6"/>
        <v>9.44188549087003</v>
      </c>
      <c r="W74" s="15">
        <v>4.6177599999999996</v>
      </c>
      <c r="X74" s="15"/>
      <c r="Y74" s="15">
        <f t="shared" si="7"/>
        <v>0.48907180715813708</v>
      </c>
      <c r="Z74" s="15"/>
      <c r="AA74" s="16"/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8"/>
        <v>5130.929834550654</v>
      </c>
      <c r="AH74" s="17">
        <v>3888.9536097430987</v>
      </c>
      <c r="AI74" s="15">
        <v>5.3117999999999999</v>
      </c>
      <c r="AJ74" s="17">
        <f t="shared" si="9"/>
        <v>1.3332405289959182</v>
      </c>
      <c r="AK74" s="15">
        <f t="shared" si="10"/>
        <v>0.48907180715813708</v>
      </c>
      <c r="AL74" s="5">
        <v>10.167</v>
      </c>
      <c r="AN74" s="5">
        <f t="shared" si="11"/>
        <v>15.037593984962406</v>
      </c>
      <c r="AS74"/>
      <c r="AV74" s="6"/>
    </row>
    <row r="75" spans="1:48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15204.577499999999</v>
      </c>
      <c r="M75" s="15"/>
      <c r="N75" s="15"/>
      <c r="O75" s="15"/>
      <c r="P75" s="58">
        <v>255835918.50262022</v>
      </c>
      <c r="Q75" s="15"/>
      <c r="R75" s="15"/>
      <c r="S75" s="15">
        <v>783.181595858381</v>
      </c>
      <c r="T75" s="15">
        <v>690</v>
      </c>
      <c r="U75" s="15">
        <v>210000</v>
      </c>
      <c r="V75" s="15">
        <f t="shared" si="6"/>
        <v>13.395563085853036</v>
      </c>
      <c r="W75" s="15">
        <v>4.4035200000000003</v>
      </c>
      <c r="X75" s="15"/>
      <c r="Y75" s="15">
        <f t="shared" si="7"/>
        <v>0.32872974221222012</v>
      </c>
      <c r="Z75" s="15"/>
      <c r="AA75" s="16"/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8"/>
        <v>3448.7558209942981</v>
      </c>
      <c r="AH75" s="17">
        <v>2741.1355855043321</v>
      </c>
      <c r="AI75" s="15">
        <v>4.8193000000000001</v>
      </c>
      <c r="AJ75" s="17">
        <f t="shared" si="9"/>
        <v>1.6672030882215136</v>
      </c>
      <c r="AK75" s="15">
        <f t="shared" si="10"/>
        <v>0.32872974221222012</v>
      </c>
      <c r="AL75" s="5">
        <v>10.167</v>
      </c>
      <c r="AN75" s="5">
        <f t="shared" si="11"/>
        <v>15.037593984962406</v>
      </c>
      <c r="AS75"/>
      <c r="AV75" s="6"/>
    </row>
    <row r="76" spans="1:48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15204.577499999999</v>
      </c>
      <c r="M76" s="15"/>
      <c r="N76" s="15"/>
      <c r="O76" s="15"/>
      <c r="P76" s="58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6"/>
        <v>18.114958094048667</v>
      </c>
      <c r="W76" s="15">
        <v>4.1062399999999997</v>
      </c>
      <c r="X76" s="15"/>
      <c r="Y76" s="15">
        <f t="shared" si="7"/>
        <v>0.22667675954210617</v>
      </c>
      <c r="Z76" s="15"/>
      <c r="AA76" s="16"/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8"/>
        <v>2378.101806955704</v>
      </c>
      <c r="AH76" s="17">
        <v>2027.001910347414</v>
      </c>
      <c r="AI76" s="15">
        <v>4.5636000000000001</v>
      </c>
      <c r="AJ76" s="17">
        <f t="shared" si="9"/>
        <v>1.9923465454633851</v>
      </c>
      <c r="AK76" s="15">
        <f t="shared" si="10"/>
        <v>0.22667675954210617</v>
      </c>
      <c r="AL76" s="5">
        <v>10.167</v>
      </c>
      <c r="AN76" s="5">
        <f t="shared" si="11"/>
        <v>15.037593984962406</v>
      </c>
      <c r="AS76"/>
      <c r="AV76" s="6"/>
    </row>
    <row r="77" spans="1:48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15204.577499999999</v>
      </c>
      <c r="M77" s="15"/>
      <c r="N77" s="15"/>
      <c r="O77" s="15"/>
      <c r="P77" s="58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6"/>
        <v>26.828376852115351</v>
      </c>
      <c r="W77" s="15">
        <v>3.8389099999999998</v>
      </c>
      <c r="X77" s="15"/>
      <c r="Y77" s="15">
        <f t="shared" si="7"/>
        <v>0.14309139986966118</v>
      </c>
      <c r="Z77" s="15"/>
      <c r="AA77" s="16"/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8"/>
        <v>1501.1945524422099</v>
      </c>
      <c r="AH77" s="17">
        <v>1368.6647859803263</v>
      </c>
      <c r="AI77" s="15">
        <v>4.3414000000000001</v>
      </c>
      <c r="AJ77" s="17">
        <f t="shared" si="9"/>
        <v>2.4858922369609067</v>
      </c>
      <c r="AK77" s="15">
        <f t="shared" si="10"/>
        <v>0.14309139986966118</v>
      </c>
      <c r="AL77" s="5">
        <v>10.167</v>
      </c>
      <c r="AN77" s="5">
        <f t="shared" si="11"/>
        <v>15.037593984962406</v>
      </c>
      <c r="AS77"/>
      <c r="AV77" s="6"/>
    </row>
    <row r="78" spans="1:48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11482.563099999999</v>
      </c>
      <c r="M78" s="15"/>
      <c r="N78" s="15"/>
      <c r="O78" s="15"/>
      <c r="P78" s="58">
        <v>199627314.31144056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6"/>
        <v>3.681841251474721</v>
      </c>
      <c r="W78" s="15">
        <v>3.9003399999999999</v>
      </c>
      <c r="X78" s="15"/>
      <c r="Y78" s="15">
        <f t="shared" si="7"/>
        <v>1.0593449672599984</v>
      </c>
      <c r="Z78" s="15"/>
      <c r="AA78" s="16"/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8"/>
        <v>8393.156847548953</v>
      </c>
      <c r="AH78" s="17">
        <v>7531.6636412264916</v>
      </c>
      <c r="AI78" s="15">
        <v>28.952999999999999</v>
      </c>
      <c r="AJ78" s="17">
        <f t="shared" si="9"/>
        <v>0.35660361748289937</v>
      </c>
      <c r="AK78" s="15">
        <f t="shared" si="10"/>
        <v>1.0593449672599984</v>
      </c>
      <c r="AL78" s="56">
        <v>5.66</v>
      </c>
      <c r="AN78" s="5">
        <f t="shared" si="11"/>
        <v>19.986675549633574</v>
      </c>
      <c r="AS78"/>
      <c r="AV78" s="6"/>
    </row>
    <row r="79" spans="1:48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11482.563099999999</v>
      </c>
      <c r="M79" s="15"/>
      <c r="N79" s="15"/>
      <c r="O79" s="15"/>
      <c r="P79" s="58">
        <v>199627314.31144056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6"/>
        <v>4.0909083399290154</v>
      </c>
      <c r="W79" s="15">
        <v>3.7533599999999998</v>
      </c>
      <c r="X79" s="15"/>
      <c r="Y79" s="15">
        <f t="shared" si="7"/>
        <v>0.91748816842597047</v>
      </c>
      <c r="Z79" s="15"/>
      <c r="AA79" s="16"/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8"/>
        <v>7269.2298933436969</v>
      </c>
      <c r="AH79" s="17">
        <v>6778.5409943898112</v>
      </c>
      <c r="AI79" s="15">
        <v>14.425000000000001</v>
      </c>
      <c r="AJ79" s="17">
        <f t="shared" si="9"/>
        <v>0.53253966841474543</v>
      </c>
      <c r="AK79" s="15">
        <f t="shared" si="10"/>
        <v>0.91748816842597047</v>
      </c>
      <c r="AL79" s="5">
        <v>5.66</v>
      </c>
      <c r="AN79" s="5">
        <f t="shared" si="11"/>
        <v>19.986675549633574</v>
      </c>
      <c r="AS79"/>
      <c r="AV79" s="6"/>
    </row>
    <row r="80" spans="1:48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11482.563099999999</v>
      </c>
      <c r="M80" s="15"/>
      <c r="N80" s="15"/>
      <c r="O80" s="15"/>
      <c r="P80" s="58">
        <v>199627314.31144056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6"/>
        <v>4.8405361429467515</v>
      </c>
      <c r="W80" s="15">
        <v>3.5911900000000001</v>
      </c>
      <c r="X80" s="15"/>
      <c r="Y80" s="15">
        <f t="shared" si="7"/>
        <v>0.74189922230676852</v>
      </c>
      <c r="Z80" s="15"/>
      <c r="AA80" s="16"/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8"/>
        <v>5878.0441974450941</v>
      </c>
      <c r="AH80" s="17">
        <v>5728.7848014329038</v>
      </c>
      <c r="AI80" s="15">
        <v>8.2118000000000002</v>
      </c>
      <c r="AJ80" s="17">
        <f t="shared" si="9"/>
        <v>0.76776365954373815</v>
      </c>
      <c r="AK80" s="15">
        <f t="shared" si="10"/>
        <v>0.74189922230676852</v>
      </c>
      <c r="AL80" s="5">
        <v>5.66</v>
      </c>
      <c r="AN80" s="5">
        <f t="shared" si="11"/>
        <v>19.986675549633574</v>
      </c>
      <c r="AS80"/>
      <c r="AV80" s="6"/>
    </row>
    <row r="81" spans="1:48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58">
        <v>199627314.31144056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6"/>
        <v>6.0182332307823714</v>
      </c>
      <c r="W81" s="15">
        <v>4.0015200000000002</v>
      </c>
      <c r="X81" s="15"/>
      <c r="Y81" s="15">
        <f t="shared" si="7"/>
        <v>0.66489945579590004</v>
      </c>
      <c r="Z81" s="15"/>
      <c r="AA81" s="16"/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8"/>
        <v>5267.9774698691372</v>
      </c>
      <c r="AH81" s="17">
        <v>4607.7293489828817</v>
      </c>
      <c r="AI81" s="15">
        <v>5.9137000000000004</v>
      </c>
      <c r="AJ81" s="17">
        <f t="shared" si="9"/>
        <v>1.0087995100233584</v>
      </c>
      <c r="AK81" s="15">
        <f t="shared" si="10"/>
        <v>0.66489945579590004</v>
      </c>
      <c r="AL81" s="5">
        <v>5.66</v>
      </c>
      <c r="AN81" s="5">
        <f t="shared" si="11"/>
        <v>19.986675549633574</v>
      </c>
      <c r="AS81"/>
      <c r="AV81" s="6"/>
    </row>
    <row r="82" spans="1:48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58">
        <v>199627314.31144056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6"/>
        <v>8.362804083987287</v>
      </c>
      <c r="W82" s="15">
        <v>4.1113099999999996</v>
      </c>
      <c r="X82" s="15"/>
      <c r="Y82" s="15">
        <f t="shared" si="7"/>
        <v>0.49161859571386435</v>
      </c>
      <c r="Z82" s="15"/>
      <c r="AA82" s="16"/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8"/>
        <v>3895.0786670283078</v>
      </c>
      <c r="AH82" s="17">
        <v>3315.9200679586502</v>
      </c>
      <c r="AI82" s="15">
        <v>4.7247000000000003</v>
      </c>
      <c r="AJ82" s="17">
        <f t="shared" si="9"/>
        <v>1.3304202374950791</v>
      </c>
      <c r="AK82" s="15">
        <f t="shared" si="10"/>
        <v>0.49161859571386435</v>
      </c>
      <c r="AL82" s="5">
        <v>5.66</v>
      </c>
      <c r="AN82" s="5">
        <f t="shared" si="11"/>
        <v>19.986675549633574</v>
      </c>
      <c r="AS82"/>
      <c r="AV82" s="6"/>
    </row>
    <row r="83" spans="1:48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58">
        <v>199627314.31144056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6"/>
        <v>11.661542066942829</v>
      </c>
      <c r="W83" s="15">
        <v>3.8502200000000002</v>
      </c>
      <c r="X83" s="15"/>
      <c r="Y83" s="15">
        <f t="shared" si="7"/>
        <v>0.33016388209191339</v>
      </c>
      <c r="Z83" s="15"/>
      <c r="AA83" s="16"/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8"/>
        <v>2615.8780505283353</v>
      </c>
      <c r="AH83" s="17">
        <v>2377.9350730215865</v>
      </c>
      <c r="AI83" s="15">
        <v>4.2129000000000003</v>
      </c>
      <c r="AJ83" s="17">
        <f t="shared" si="9"/>
        <v>1.6637475017171801</v>
      </c>
      <c r="AK83" s="15">
        <f t="shared" si="10"/>
        <v>0.33016388209191339</v>
      </c>
      <c r="AL83" s="5">
        <v>5.66</v>
      </c>
      <c r="AN83" s="5">
        <f t="shared" si="11"/>
        <v>19.986675549633574</v>
      </c>
      <c r="AS83"/>
      <c r="AV83" s="6"/>
    </row>
    <row r="84" spans="1:48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58">
        <v>199627314.31144056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6"/>
        <v>15.630784471990504</v>
      </c>
      <c r="W84" s="15">
        <v>3.5587800000000001</v>
      </c>
      <c r="X84" s="15"/>
      <c r="Y84" s="15">
        <f t="shared" si="7"/>
        <v>0.2276776323272281</v>
      </c>
      <c r="Z84" s="15"/>
      <c r="AA84" s="16"/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8"/>
        <v>1803.8827179626373</v>
      </c>
      <c r="AH84" s="17">
        <v>1774.0881742814197</v>
      </c>
      <c r="AI84" s="15">
        <v>3.9540000000000002</v>
      </c>
      <c r="AJ84" s="17">
        <f t="shared" si="9"/>
        <v>1.9882548700869582</v>
      </c>
      <c r="AK84" s="15">
        <f t="shared" si="10"/>
        <v>0.2276776323272281</v>
      </c>
      <c r="AL84" s="5">
        <v>5.66</v>
      </c>
      <c r="AN84" s="5">
        <f t="shared" si="11"/>
        <v>19.986675549633574</v>
      </c>
      <c r="AS84"/>
      <c r="AV84" s="6"/>
    </row>
    <row r="85" spans="1:48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58">
        <v>199627314.31144056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6"/>
        <v>22.984500980559634</v>
      </c>
      <c r="W85" s="15">
        <v>3.3069199999999999</v>
      </c>
      <c r="X85" s="15"/>
      <c r="Y85" s="15">
        <f t="shared" si="7"/>
        <v>0.14387608427074416</v>
      </c>
      <c r="Z85" s="15"/>
      <c r="AA85" s="16"/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8"/>
        <v>1139.9256891916186</v>
      </c>
      <c r="AH85" s="17">
        <v>1206.4821381136119</v>
      </c>
      <c r="AI85" s="15">
        <v>3.7343999999999999</v>
      </c>
      <c r="AJ85" s="17">
        <f t="shared" si="9"/>
        <v>2.4808877941476348</v>
      </c>
      <c r="AK85" s="15">
        <f t="shared" si="10"/>
        <v>0.14387608427074416</v>
      </c>
      <c r="AL85" s="5">
        <v>5.66</v>
      </c>
      <c r="AN85" s="5">
        <f t="shared" si="11"/>
        <v>19.986675549633574</v>
      </c>
      <c r="AS85"/>
      <c r="AV85" s="6"/>
    </row>
    <row r="86" spans="1:48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58">
        <v>148473683.97350875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6"/>
        <v>3.6092611684523135</v>
      </c>
      <c r="W86" s="15">
        <v>3.8780299999999999</v>
      </c>
      <c r="X86" s="15"/>
      <c r="Y86" s="15">
        <f t="shared" si="7"/>
        <v>1.074466440360961</v>
      </c>
      <c r="Z86" s="15"/>
      <c r="AA86" s="16"/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8"/>
        <v>6161.6956027483875</v>
      </c>
      <c r="AH86" s="17">
        <v>5561.0540943776496</v>
      </c>
      <c r="AI86" s="15">
        <v>28.628</v>
      </c>
      <c r="AJ86" s="17">
        <f t="shared" si="9"/>
        <v>0.35506973027756022</v>
      </c>
      <c r="AK86" s="15">
        <f t="shared" si="10"/>
        <v>1.074466440360961</v>
      </c>
      <c r="AL86" s="56">
        <v>2.8845000000000001</v>
      </c>
      <c r="AN86" s="5">
        <f t="shared" si="11"/>
        <v>27.700831024930753</v>
      </c>
      <c r="AS86"/>
      <c r="AV86" s="6"/>
    </row>
    <row r="87" spans="1:48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58">
        <v>148473683.97350875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6"/>
        <v>3.9474305174373816</v>
      </c>
      <c r="W87" s="15">
        <v>3.67381</v>
      </c>
      <c r="X87" s="15"/>
      <c r="Y87" s="15">
        <f t="shared" si="7"/>
        <v>0.93068389266671314</v>
      </c>
      <c r="Z87" s="15"/>
      <c r="AA87" s="16"/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8"/>
        <v>5337.1521283314678</v>
      </c>
      <c r="AH87" s="17">
        <v>5084.6484845868827</v>
      </c>
      <c r="AI87" s="15">
        <v>14.007</v>
      </c>
      <c r="AJ87" s="17">
        <f t="shared" si="9"/>
        <v>0.53086572074995109</v>
      </c>
      <c r="AK87" s="15">
        <f t="shared" si="10"/>
        <v>0.93068389266671314</v>
      </c>
      <c r="AL87" s="5">
        <v>2.8845000000000001</v>
      </c>
      <c r="AN87" s="5">
        <f t="shared" si="11"/>
        <v>27.700831024930753</v>
      </c>
      <c r="AS87"/>
      <c r="AV87" s="6"/>
    </row>
    <row r="88" spans="1:48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58">
        <v>148473683.97350875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6"/>
        <v>4.5257510831742502</v>
      </c>
      <c r="W88" s="15">
        <v>3.39784</v>
      </c>
      <c r="X88" s="15"/>
      <c r="Y88" s="15">
        <f t="shared" si="7"/>
        <v>0.7507792491355576</v>
      </c>
      <c r="Z88" s="15"/>
      <c r="AA88" s="16"/>
      <c r="AB88" s="15">
        <v>1.1133395391615006</v>
      </c>
      <c r="AC88" s="17">
        <v>0.75</v>
      </c>
      <c r="AD88" s="15"/>
      <c r="AE88" s="15" t="s">
        <v>205</v>
      </c>
      <c r="AF88" s="24" t="s">
        <v>218</v>
      </c>
      <c r="AG88" s="17">
        <f t="shared" si="8"/>
        <v>4305.4608541139714</v>
      </c>
      <c r="AH88" s="17">
        <v>4434.9095276407661</v>
      </c>
      <c r="AI88" s="15">
        <v>7.7222999999999997</v>
      </c>
      <c r="AJ88" s="17">
        <f t="shared" si="9"/>
        <v>0.76554724400412177</v>
      </c>
      <c r="AK88" s="15">
        <f t="shared" si="10"/>
        <v>0.7507792491355576</v>
      </c>
      <c r="AL88" s="5">
        <v>2.8845000000000001</v>
      </c>
      <c r="AN88" s="5">
        <f t="shared" si="11"/>
        <v>27.700831024930753</v>
      </c>
      <c r="AS88"/>
      <c r="AV88" s="6"/>
    </row>
    <row r="89" spans="1:48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8311.0958999999984</v>
      </c>
      <c r="M89" s="15"/>
      <c r="N89" s="15"/>
      <c r="O89" s="15"/>
      <c r="P89" s="58">
        <v>148473683.97350875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6"/>
        <v>5.3942991480692353</v>
      </c>
      <c r="W89" s="15">
        <v>3.6152700000000002</v>
      </c>
      <c r="X89" s="15"/>
      <c r="Y89" s="15">
        <f t="shared" si="7"/>
        <v>0.67020198560808453</v>
      </c>
      <c r="Z89" s="15"/>
      <c r="AA89" s="16"/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8"/>
        <v>3843.3779525838549</v>
      </c>
      <c r="AH89" s="17">
        <v>3720.8349124805318</v>
      </c>
      <c r="AI89" s="15">
        <v>5.3303000000000003</v>
      </c>
      <c r="AJ89" s="17">
        <f t="shared" si="9"/>
        <v>1.0059854218904005</v>
      </c>
      <c r="AK89" s="15">
        <f t="shared" si="10"/>
        <v>0.67020198560808453</v>
      </c>
      <c r="AL89" s="5">
        <v>2.8845000000000001</v>
      </c>
      <c r="AN89" s="5">
        <f t="shared" si="11"/>
        <v>27.700831024930753</v>
      </c>
      <c r="AS89"/>
      <c r="AV89" s="6"/>
    </row>
    <row r="90" spans="1:48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8311.0958999999984</v>
      </c>
      <c r="M90" s="15"/>
      <c r="N90" s="15"/>
      <c r="O90" s="15"/>
      <c r="P90" s="58">
        <v>148473683.97350875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6"/>
        <v>7.1361039810195708</v>
      </c>
      <c r="W90" s="15">
        <v>3.5316900000000002</v>
      </c>
      <c r="X90" s="15"/>
      <c r="Y90" s="15">
        <f t="shared" si="7"/>
        <v>0.49490450382919027</v>
      </c>
      <c r="Z90" s="15"/>
      <c r="AA90" s="16"/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8"/>
        <v>2838.1071669397588</v>
      </c>
      <c r="AH90" s="17">
        <v>2812.640714300846</v>
      </c>
      <c r="AI90" s="15">
        <v>4.0538999999999996</v>
      </c>
      <c r="AJ90" s="17">
        <f t="shared" si="9"/>
        <v>1.3267651915874281</v>
      </c>
      <c r="AK90" s="15">
        <f t="shared" si="10"/>
        <v>0.49490450382919027</v>
      </c>
      <c r="AL90" s="5">
        <v>2.8845000000000001</v>
      </c>
      <c r="AN90" s="5">
        <f t="shared" si="11"/>
        <v>27.700831024930753</v>
      </c>
      <c r="AS90"/>
      <c r="AV90" s="6"/>
    </row>
    <row r="91" spans="1:48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8311.0958999999984</v>
      </c>
      <c r="M91" s="15"/>
      <c r="N91" s="15"/>
      <c r="O91" s="15"/>
      <c r="P91" s="58">
        <v>148473683.97350875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6"/>
        <v>9.6540001643770541</v>
      </c>
      <c r="W91" s="15">
        <v>3.2053500000000001</v>
      </c>
      <c r="X91" s="15"/>
      <c r="Y91" s="15">
        <f t="shared" si="7"/>
        <v>0.33202298999617147</v>
      </c>
      <c r="Z91" s="15"/>
      <c r="AA91" s="16"/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8"/>
        <v>1904.0376884954153</v>
      </c>
      <c r="AH91" s="17">
        <v>2079.0652845193049</v>
      </c>
      <c r="AI91" s="15">
        <v>3.5065</v>
      </c>
      <c r="AJ91" s="17">
        <f t="shared" si="9"/>
        <v>1.6592687323600319</v>
      </c>
      <c r="AK91" s="15">
        <f t="shared" si="10"/>
        <v>0.33202298999617147</v>
      </c>
      <c r="AL91" s="5">
        <v>2.8845000000000001</v>
      </c>
      <c r="AN91" s="5">
        <f t="shared" si="11"/>
        <v>27.700831024930753</v>
      </c>
      <c r="AS91"/>
      <c r="AV91" s="6"/>
    </row>
    <row r="92" spans="1:48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8311.0958999999984</v>
      </c>
      <c r="M92" s="15"/>
      <c r="N92" s="15"/>
      <c r="O92" s="15"/>
      <c r="P92" s="58">
        <v>148473683.97350875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6"/>
        <v>12.732697879825539</v>
      </c>
      <c r="W92" s="15">
        <v>2.9161700000000002</v>
      </c>
      <c r="X92" s="15"/>
      <c r="Y92" s="15">
        <f t="shared" si="7"/>
        <v>0.22903001606757334</v>
      </c>
      <c r="Z92" s="15"/>
      <c r="AA92" s="16"/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8"/>
        <v>1313.4083949861385</v>
      </c>
      <c r="AH92" s="17">
        <v>1576.3585053174145</v>
      </c>
      <c r="AI92" s="15">
        <v>3.2383999999999999</v>
      </c>
      <c r="AJ92" s="17">
        <f t="shared" si="9"/>
        <v>1.9828733312224964</v>
      </c>
      <c r="AK92" s="15">
        <f t="shared" si="10"/>
        <v>0.22903001606757334</v>
      </c>
      <c r="AL92" s="5">
        <v>2.8845000000000001</v>
      </c>
      <c r="AN92" s="5">
        <f t="shared" si="11"/>
        <v>27.700831024930753</v>
      </c>
      <c r="AS92"/>
      <c r="AV92" s="6"/>
    </row>
    <row r="93" spans="1:48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8311.0958999999984</v>
      </c>
      <c r="M93" s="15"/>
      <c r="N93" s="15"/>
      <c r="O93" s="15"/>
      <c r="P93" s="58">
        <v>148473683.97350875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6"/>
        <v>18.481998261263946</v>
      </c>
      <c r="W93" s="15">
        <v>2.6772999999999998</v>
      </c>
      <c r="X93" s="15"/>
      <c r="Y93" s="15">
        <f t="shared" si="7"/>
        <v>0.14485987727914137</v>
      </c>
      <c r="Z93" s="15"/>
      <c r="AA93" s="16"/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8"/>
        <v>830.72158916913088</v>
      </c>
      <c r="AH93" s="17">
        <v>1085.9916939050379</v>
      </c>
      <c r="AI93" s="15">
        <v>3.0190999999999999</v>
      </c>
      <c r="AJ93" s="17">
        <f t="shared" si="9"/>
        <v>2.474205189353448</v>
      </c>
      <c r="AK93" s="15">
        <f t="shared" si="10"/>
        <v>0.14485987727914137</v>
      </c>
      <c r="AL93" s="5">
        <v>2.8845000000000001</v>
      </c>
      <c r="AN93" s="5">
        <f t="shared" si="11"/>
        <v>27.700831024930753</v>
      </c>
      <c r="AS93"/>
      <c r="AV93" s="6"/>
    </row>
    <row r="94" spans="1:48" ht="15">
      <c r="A94" s="15">
        <v>89</v>
      </c>
      <c r="B94" s="67" t="s">
        <v>125</v>
      </c>
      <c r="C94" s="67">
        <v>300</v>
      </c>
      <c r="D94" s="68">
        <v>300</v>
      </c>
      <c r="E94" s="68">
        <v>300</v>
      </c>
      <c r="F94" s="68">
        <v>7.9799999999999995</v>
      </c>
      <c r="G94" s="68">
        <v>7.9799999999999995</v>
      </c>
      <c r="H94" s="68">
        <v>4.62</v>
      </c>
      <c r="I94" s="68">
        <v>0</v>
      </c>
      <c r="J94" s="68">
        <v>0</v>
      </c>
      <c r="K94" s="68">
        <v>2217.1383325206516</v>
      </c>
      <c r="L94" s="68">
        <v>6137.1324000000004</v>
      </c>
      <c r="M94" s="68"/>
      <c r="N94" s="68"/>
      <c r="O94" s="68"/>
      <c r="P94" s="69">
        <v>111662338.05210707</v>
      </c>
      <c r="Q94" s="68"/>
      <c r="R94" s="68"/>
      <c r="S94" s="68">
        <v>1193.6794026052598</v>
      </c>
      <c r="T94" s="68">
        <v>690</v>
      </c>
      <c r="U94" s="68">
        <v>210000</v>
      </c>
      <c r="V94" s="68">
        <f t="shared" si="6"/>
        <v>3.5475365887672572</v>
      </c>
      <c r="W94" s="68">
        <v>3.8539099999999999</v>
      </c>
      <c r="X94" s="15"/>
      <c r="Y94" s="15">
        <f t="shared" si="7"/>
        <v>1.0863622977710303</v>
      </c>
      <c r="Z94" s="15"/>
      <c r="AA94" s="16"/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70">
        <f t="shared" si="8"/>
        <v>4600.3329864944371</v>
      </c>
      <c r="AH94" s="17">
        <v>4177.8779091184097</v>
      </c>
      <c r="AI94" s="15">
        <v>28.396999999999998</v>
      </c>
      <c r="AJ94" s="17">
        <f t="shared" si="9"/>
        <v>0.35344936925187298</v>
      </c>
      <c r="AK94" s="15">
        <f t="shared" si="10"/>
        <v>1.0863622977710303</v>
      </c>
      <c r="AL94" s="56">
        <v>1.5359</v>
      </c>
      <c r="AN94" s="5">
        <f t="shared" si="11"/>
        <v>37.593984962406019</v>
      </c>
      <c r="AS94"/>
      <c r="AV94" s="6"/>
    </row>
    <row r="95" spans="1:48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58">
        <v>111662338.05210707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6"/>
        <v>3.82942328227763</v>
      </c>
      <c r="W95" s="15">
        <v>3.60799</v>
      </c>
      <c r="X95" s="15"/>
      <c r="Y95" s="15">
        <f t="shared" si="7"/>
        <v>0.94217581448819943</v>
      </c>
      <c r="Z95" s="15"/>
      <c r="AA95" s="16"/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8"/>
        <v>3989.7578251384239</v>
      </c>
      <c r="AH95" s="17">
        <v>3870.3412115844235</v>
      </c>
      <c r="AI95" s="15">
        <v>13.670999999999999</v>
      </c>
      <c r="AJ95" s="17">
        <f t="shared" si="9"/>
        <v>0.52925691993582002</v>
      </c>
      <c r="AK95" s="15">
        <f t="shared" si="10"/>
        <v>0.94217581448819943</v>
      </c>
      <c r="AL95" s="5">
        <v>1.5359</v>
      </c>
      <c r="AN95" s="5">
        <f t="shared" si="11"/>
        <v>37.593984962406019</v>
      </c>
      <c r="AS95"/>
      <c r="AV95" s="6"/>
    </row>
    <row r="96" spans="1:48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58">
        <v>111662338.05210707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6"/>
        <v>4.2817257841060421</v>
      </c>
      <c r="W96" s="15">
        <v>3.2526600000000001</v>
      </c>
      <c r="X96" s="15"/>
      <c r="Y96" s="15">
        <f t="shared" si="7"/>
        <v>0.75966097877496497</v>
      </c>
      <c r="Z96" s="15"/>
      <c r="AA96" s="16"/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8"/>
        <v>3216.8766040403293</v>
      </c>
      <c r="AH96" s="17">
        <v>3461.4955495321219</v>
      </c>
      <c r="AI96" s="15">
        <v>7.3495999999999997</v>
      </c>
      <c r="AJ96" s="17">
        <f t="shared" si="9"/>
        <v>0.76326891115238427</v>
      </c>
      <c r="AK96" s="15">
        <f t="shared" si="10"/>
        <v>0.75966097877496497</v>
      </c>
      <c r="AL96" s="5">
        <v>1.5359</v>
      </c>
      <c r="AN96" s="5">
        <f t="shared" si="11"/>
        <v>37.593984962406019</v>
      </c>
      <c r="AS96"/>
      <c r="AV96" s="6"/>
    </row>
    <row r="97" spans="1:48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58">
        <v>111662338.05210707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6"/>
        <v>4.9233803640768867</v>
      </c>
      <c r="W97" s="15">
        <v>3.3279299999999998</v>
      </c>
      <c r="X97" s="15"/>
      <c r="Y97" s="15">
        <f t="shared" si="7"/>
        <v>0.67594411845203284</v>
      </c>
      <c r="Z97" s="15"/>
      <c r="AA97" s="16"/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8"/>
        <v>2862.3673994595724</v>
      </c>
      <c r="AH97" s="17">
        <v>3010.3655720248034</v>
      </c>
      <c r="AI97" s="15">
        <v>4.8936999999999999</v>
      </c>
      <c r="AJ97" s="17">
        <f t="shared" si="9"/>
        <v>1.0030279233575812</v>
      </c>
      <c r="AK97" s="15">
        <f t="shared" si="10"/>
        <v>0.67594411845203284</v>
      </c>
      <c r="AL97" s="5">
        <v>1.5359</v>
      </c>
      <c r="AN97" s="5">
        <f t="shared" si="11"/>
        <v>37.593984962406019</v>
      </c>
      <c r="AS97"/>
      <c r="AV97" s="6"/>
    </row>
    <row r="98" spans="1:48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58">
        <v>111662338.05210707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6"/>
        <v>6.1922580536058973</v>
      </c>
      <c r="W98" s="15">
        <v>3.08406</v>
      </c>
      <c r="X98" s="15"/>
      <c r="Y98" s="15">
        <f t="shared" si="7"/>
        <v>0.49805094899171387</v>
      </c>
      <c r="Z98" s="15"/>
      <c r="AA98" s="16"/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8"/>
        <v>2109.0571849763783</v>
      </c>
      <c r="AH98" s="17">
        <v>2393.5008227522562</v>
      </c>
      <c r="AI98" s="15">
        <v>3.5379999999999998</v>
      </c>
      <c r="AJ98" s="17">
        <f t="shared" si="9"/>
        <v>1.3229566359060365</v>
      </c>
      <c r="AK98" s="15">
        <f t="shared" si="10"/>
        <v>0.49805094899171387</v>
      </c>
      <c r="AL98" s="5">
        <v>1.5359</v>
      </c>
      <c r="AN98" s="5">
        <f t="shared" si="11"/>
        <v>37.593984962406019</v>
      </c>
      <c r="AS98"/>
      <c r="AV98" s="6"/>
    </row>
    <row r="99" spans="1:48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58">
        <v>111662338.05210707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6"/>
        <v>8.0691858549511917</v>
      </c>
      <c r="W99" s="15">
        <v>2.6955800000000001</v>
      </c>
      <c r="X99" s="15"/>
      <c r="Y99" s="15">
        <f t="shared" si="7"/>
        <v>0.33405848476597083</v>
      </c>
      <c r="Z99" s="15"/>
      <c r="AA99" s="16"/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8"/>
        <v>1414.611193742981</v>
      </c>
      <c r="AH99" s="17">
        <v>1836.7620987321591</v>
      </c>
      <c r="AI99" s="15">
        <v>2.948</v>
      </c>
      <c r="AJ99" s="17">
        <f t="shared" si="9"/>
        <v>1.6544403734921072</v>
      </c>
      <c r="AK99" s="15">
        <f t="shared" si="10"/>
        <v>0.33405848476597083</v>
      </c>
      <c r="AL99" s="5">
        <v>1.5359</v>
      </c>
      <c r="AN99" s="5">
        <f t="shared" si="11"/>
        <v>37.593984962406019</v>
      </c>
      <c r="AS99"/>
      <c r="AV99" s="6"/>
    </row>
    <row r="100" spans="1:48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59">
        <v>111662338.05210707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6"/>
        <v>10.414484593793627</v>
      </c>
      <c r="W100" s="31">
        <v>2.4003299999999999</v>
      </c>
      <c r="X100" s="31"/>
      <c r="Y100" s="31">
        <f t="shared" si="7"/>
        <v>0.23047996071072441</v>
      </c>
      <c r="Z100" s="31"/>
      <c r="AA100" s="33"/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8"/>
        <v>975.99536375567459</v>
      </c>
      <c r="AH100" s="34">
        <v>1423.1308916460907</v>
      </c>
      <c r="AI100" s="31">
        <v>2.6640999999999999</v>
      </c>
      <c r="AJ100" s="34">
        <f t="shared" si="9"/>
        <v>1.9771682584463406</v>
      </c>
      <c r="AK100" s="31">
        <f t="shared" si="10"/>
        <v>0.23047996071072441</v>
      </c>
      <c r="AL100" s="5">
        <v>1.5359</v>
      </c>
      <c r="AN100" s="5">
        <f t="shared" si="11"/>
        <v>37.593984962406019</v>
      </c>
      <c r="AS100"/>
      <c r="AV100" s="6"/>
    </row>
    <row r="101" spans="1:48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60">
        <v>111662338.05210707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6"/>
        <v>14.852293050697826</v>
      </c>
      <c r="W101" s="42">
        <v>2.1669900000000002</v>
      </c>
      <c r="X101" s="42"/>
      <c r="Y101" s="42">
        <f t="shared" si="7"/>
        <v>0.14590272307468277</v>
      </c>
      <c r="Z101" s="42"/>
      <c r="AA101" s="41"/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8"/>
        <v>617.84278703060568</v>
      </c>
      <c r="AH101" s="43">
        <v>997.90481479246318</v>
      </c>
      <c r="AI101" s="42">
        <v>2.4401999999999999</v>
      </c>
      <c r="AJ101" s="43">
        <f t="shared" si="9"/>
        <v>2.4670846063065928</v>
      </c>
      <c r="AK101" s="42">
        <f t="shared" si="10"/>
        <v>0.14590272307468277</v>
      </c>
      <c r="AL101" s="5">
        <v>1.5359</v>
      </c>
      <c r="AN101" s="5">
        <f t="shared" si="11"/>
        <v>37.593984962406019</v>
      </c>
      <c r="AS101"/>
      <c r="AV101" s="6"/>
    </row>
    <row r="102" spans="1:4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15817.275000000001</v>
      </c>
      <c r="M102" s="36"/>
      <c r="N102" s="36"/>
      <c r="O102" s="36"/>
      <c r="P102" s="36">
        <v>317901299.86406255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3.9093499999999999</v>
      </c>
      <c r="X102" s="36"/>
      <c r="Y102" s="36">
        <f t="shared" si="7"/>
        <v>1.0342561228675173</v>
      </c>
      <c r="Z102" s="36"/>
      <c r="AA102" s="38"/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8"/>
        <v>7525.1922172814839</v>
      </c>
      <c r="AH102" s="39">
        <v>6737.2255644762408</v>
      </c>
      <c r="AI102" s="36">
        <v>40.262</v>
      </c>
      <c r="AJ102" s="39">
        <f t="shared" si="9"/>
        <v>0.30640126535457296</v>
      </c>
      <c r="AK102" s="36">
        <f t="shared" si="10"/>
        <v>1.0342561228675173</v>
      </c>
      <c r="AL102" s="56">
        <v>26.521000000000001</v>
      </c>
      <c r="AN102" s="5">
        <f t="shared" si="11"/>
        <v>13.333333333333334</v>
      </c>
    </row>
    <row r="103" spans="1:4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15817.275000000001</v>
      </c>
      <c r="M103" s="15"/>
      <c r="N103" s="15"/>
      <c r="O103" s="15"/>
      <c r="P103" s="15">
        <v>317901299.86406255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6"/>
        <v>4.2569429804774623</v>
      </c>
      <c r="W103" s="15">
        <v>4.1340199999999996</v>
      </c>
      <c r="X103" s="15"/>
      <c r="Y103" s="15">
        <f t="shared" si="7"/>
        <v>0.97112411863602754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8"/>
        <v>7065.8471320553899</v>
      </c>
      <c r="AH103" s="17">
        <v>5982.1831926777968</v>
      </c>
      <c r="AI103" s="15">
        <v>17.076000000000001</v>
      </c>
      <c r="AJ103" s="17">
        <f t="shared" si="9"/>
        <v>0.4992934208957388</v>
      </c>
      <c r="AK103" s="15">
        <f t="shared" si="10"/>
        <v>0.97112411863602754</v>
      </c>
      <c r="AL103" s="5">
        <v>26.521000000000001</v>
      </c>
      <c r="AN103" s="5">
        <f t="shared" si="11"/>
        <v>13.333333333333334</v>
      </c>
    </row>
    <row r="104" spans="1:4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6"/>
        <v>5.1769722490471324</v>
      </c>
      <c r="W104" s="15">
        <v>4.0194900000000002</v>
      </c>
      <c r="X104" s="15"/>
      <c r="Y104" s="15">
        <f t="shared" si="7"/>
        <v>0.77641714242138793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8"/>
        <v>5649.1695899408987</v>
      </c>
      <c r="AH104" s="17">
        <v>4919.0552942769218</v>
      </c>
      <c r="AI104" s="15">
        <v>9.3122000000000007</v>
      </c>
      <c r="AJ104" s="17">
        <f t="shared" si="9"/>
        <v>0.74561008068226797</v>
      </c>
      <c r="AK104" s="15">
        <f t="shared" si="10"/>
        <v>0.77641714242138793</v>
      </c>
      <c r="AL104" s="5">
        <v>26.521000000000001</v>
      </c>
      <c r="AN104" s="5">
        <f t="shared" si="11"/>
        <v>13.333333333333334</v>
      </c>
    </row>
    <row r="105" spans="1:4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6"/>
        <v>6.6536164518933667</v>
      </c>
      <c r="W105" s="15">
        <v>4.2802100000000003</v>
      </c>
      <c r="X105" s="15"/>
      <c r="Y105" s="15">
        <f t="shared" si="7"/>
        <v>0.64329076239163363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8"/>
        <v>4680.5491711057384</v>
      </c>
      <c r="AH105" s="17">
        <v>3827.3641010301089</v>
      </c>
      <c r="AI105" s="15">
        <v>6.7670000000000003</v>
      </c>
      <c r="AJ105" s="17">
        <f t="shared" si="9"/>
        <v>0.99158692811675564</v>
      </c>
      <c r="AK105" s="15">
        <f t="shared" si="10"/>
        <v>0.64329076239163363</v>
      </c>
      <c r="AL105" s="5">
        <v>26.521000000000001</v>
      </c>
      <c r="AN105" s="5">
        <f t="shared" si="11"/>
        <v>13.333333333333334</v>
      </c>
    </row>
    <row r="106" spans="1:4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6"/>
        <v>9.5498063425264483</v>
      </c>
      <c r="W106" s="15">
        <v>4.5053700000000001</v>
      </c>
      <c r="X106" s="15"/>
      <c r="Y106" s="15">
        <f t="shared" si="7"/>
        <v>0.47177605894865532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8"/>
        <v>3432.6173648912622</v>
      </c>
      <c r="AH106" s="17">
        <v>2666.6313259775375</v>
      </c>
      <c r="AI106" s="15">
        <v>5.5064000000000002</v>
      </c>
      <c r="AJ106" s="17">
        <f t="shared" si="9"/>
        <v>1.3169321620191612</v>
      </c>
      <c r="AK106" s="15">
        <f t="shared" si="10"/>
        <v>0.47177605894865532</v>
      </c>
      <c r="AL106" s="5">
        <v>26.521000000000001</v>
      </c>
      <c r="AN106" s="5">
        <f t="shared" si="11"/>
        <v>13.333333333333334</v>
      </c>
    </row>
    <row r="107" spans="1:4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6"/>
        <v>13.552456822799824</v>
      </c>
      <c r="W107" s="15">
        <v>4.3157500000000004</v>
      </c>
      <c r="X107" s="15"/>
      <c r="Y107" s="15">
        <f t="shared" si="7"/>
        <v>0.31844779558636532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8"/>
        <v>2317.00912372933</v>
      </c>
      <c r="AH107" s="17">
        <v>1879.0550734061646</v>
      </c>
      <c r="AI107" s="15">
        <v>4.9631999999999996</v>
      </c>
      <c r="AJ107" s="17">
        <f t="shared" si="9"/>
        <v>1.6524492415471386</v>
      </c>
      <c r="AK107" s="15">
        <f t="shared" si="10"/>
        <v>0.31844779558636532</v>
      </c>
      <c r="AL107" s="5">
        <v>26.521000000000001</v>
      </c>
      <c r="AN107" s="5">
        <f t="shared" si="11"/>
        <v>13.333333333333334</v>
      </c>
    </row>
    <row r="108" spans="1:4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6"/>
        <v>18.329733510740407</v>
      </c>
      <c r="W108" s="15">
        <v>3.9782099999999998</v>
      </c>
      <c r="X108" s="15"/>
      <c r="Y108" s="15">
        <f t="shared" si="7"/>
        <v>0.21703588858337444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4" t="s">
        <v>218</v>
      </c>
      <c r="AG108" s="17">
        <f t="shared" si="8"/>
        <v>1579.1415139125934</v>
      </c>
      <c r="AH108" s="17">
        <v>1389.3171297377658</v>
      </c>
      <c r="AI108" s="15">
        <v>4.6836000000000002</v>
      </c>
      <c r="AJ108" s="17">
        <f t="shared" si="9"/>
        <v>1.9782818968855838</v>
      </c>
      <c r="AK108" s="15">
        <f t="shared" si="10"/>
        <v>0.21703588858337444</v>
      </c>
      <c r="AL108" s="5">
        <v>26.521000000000001</v>
      </c>
      <c r="AN108" s="5">
        <f t="shared" si="11"/>
        <v>13.333333333333334</v>
      </c>
    </row>
    <row r="109" spans="1:4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6"/>
        <v>27.149586506439533</v>
      </c>
      <c r="W109" s="15">
        <v>3.6792699999999998</v>
      </c>
      <c r="X109" s="15"/>
      <c r="Y109" s="15">
        <f t="shared" si="7"/>
        <v>0.13551845436494306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8"/>
        <v>986.02502372201718</v>
      </c>
      <c r="AH109" s="17">
        <v>937.98160586938718</v>
      </c>
      <c r="AI109" s="15">
        <v>4.4425999999999997</v>
      </c>
      <c r="AJ109" s="17">
        <f t="shared" si="9"/>
        <v>2.4720827472172462</v>
      </c>
      <c r="AK109" s="15">
        <f t="shared" si="10"/>
        <v>0.13551845436494306</v>
      </c>
      <c r="AL109" s="5">
        <v>26.521000000000001</v>
      </c>
      <c r="AN109" s="5">
        <f t="shared" si="11"/>
        <v>13.333333333333334</v>
      </c>
    </row>
    <row r="110" spans="1:4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12087.55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6"/>
        <v>3.766175492855834</v>
      </c>
      <c r="W110" s="15">
        <v>3.92814</v>
      </c>
      <c r="X110" s="15"/>
      <c r="Y110" s="15">
        <f t="shared" si="7"/>
        <v>1.0430050345373978</v>
      </c>
      <c r="Z110" s="15"/>
      <c r="AA110" s="16"/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8"/>
        <v>5799.3927324023589</v>
      </c>
      <c r="AH110" s="17">
        <v>5167.2991704491842</v>
      </c>
      <c r="AI110" s="15">
        <v>39.533999999999999</v>
      </c>
      <c r="AJ110" s="17">
        <f t="shared" si="9"/>
        <v>0.3086490165724961</v>
      </c>
      <c r="AK110" s="15">
        <f t="shared" si="10"/>
        <v>1.0430050345373978</v>
      </c>
      <c r="AL110" s="56">
        <v>15.672000000000001</v>
      </c>
      <c r="AN110" s="5">
        <f t="shared" si="11"/>
        <v>13.333333333333334</v>
      </c>
    </row>
    <row r="111" spans="1:4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12087.55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6"/>
        <v>4.2404450765639563</v>
      </c>
      <c r="W111" s="15">
        <v>4.0760199999999998</v>
      </c>
      <c r="X111" s="15"/>
      <c r="Y111" s="15">
        <f t="shared" si="7"/>
        <v>0.96122457110158099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8"/>
        <v>5344.671029632701</v>
      </c>
      <c r="AH111" s="17">
        <v>4589.3662454341384</v>
      </c>
      <c r="AI111" s="15">
        <v>16.896000000000001</v>
      </c>
      <c r="AJ111" s="17">
        <f t="shared" si="9"/>
        <v>0.50097236632687714</v>
      </c>
      <c r="AK111" s="15">
        <f t="shared" si="10"/>
        <v>0.96122457110158099</v>
      </c>
      <c r="AL111" s="5">
        <v>15.672000000000001</v>
      </c>
      <c r="AN111" s="5">
        <f t="shared" si="11"/>
        <v>13.333333333333334</v>
      </c>
    </row>
    <row r="112" spans="1:4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12087.550000000001</v>
      </c>
      <c r="M112" s="15"/>
      <c r="N112" s="15"/>
      <c r="O112" s="15"/>
      <c r="P112" s="15">
        <v>271471740.49895835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6"/>
        <v>5.1542478304936079</v>
      </c>
      <c r="W112" s="15">
        <v>3.94414</v>
      </c>
      <c r="X112" s="15"/>
      <c r="Y112" s="15">
        <f t="shared" si="7"/>
        <v>0.76522125627441562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8"/>
        <v>4254.8390902887149</v>
      </c>
      <c r="AH112" s="17">
        <v>3775.7120223953771</v>
      </c>
      <c r="AI112" s="15">
        <v>9.2317999999999998</v>
      </c>
      <c r="AJ112" s="17">
        <f t="shared" si="9"/>
        <v>0.7472044587554012</v>
      </c>
      <c r="AK112" s="15">
        <f t="shared" si="10"/>
        <v>0.76522125627441562</v>
      </c>
      <c r="AL112" s="5">
        <v>15.672000000000001</v>
      </c>
      <c r="AN112" s="5">
        <f t="shared" si="11"/>
        <v>13.333333333333334</v>
      </c>
    </row>
    <row r="113" spans="1:40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12087.550000000001</v>
      </c>
      <c r="M113" s="15"/>
      <c r="N113" s="15"/>
      <c r="O113" s="15"/>
      <c r="P113" s="15">
        <v>271471740.49895835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6"/>
        <v>6.6204830242399071</v>
      </c>
      <c r="W113" s="15">
        <v>4.25</v>
      </c>
      <c r="X113" s="15"/>
      <c r="Y113" s="15">
        <f t="shared" si="7"/>
        <v>0.64194711842614227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8"/>
        <v>3569.4012300126824</v>
      </c>
      <c r="AH113" s="17">
        <v>2939.506895304562</v>
      </c>
      <c r="AI113" s="15">
        <v>6.7108999999999996</v>
      </c>
      <c r="AJ113" s="17">
        <f t="shared" si="9"/>
        <v>0.99324057911440033</v>
      </c>
      <c r="AK113" s="15">
        <f t="shared" si="10"/>
        <v>0.64194711842614227</v>
      </c>
      <c r="AL113" s="5">
        <v>15.672000000000001</v>
      </c>
      <c r="AN113" s="5">
        <f t="shared" si="11"/>
        <v>13.333333333333334</v>
      </c>
    </row>
    <row r="114" spans="1:40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12087.550000000001</v>
      </c>
      <c r="M114" s="15"/>
      <c r="N114" s="15"/>
      <c r="O114" s="15"/>
      <c r="P114" s="15">
        <v>271471740.49895835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6"/>
        <v>9.4971445566961439</v>
      </c>
      <c r="W114" s="15">
        <v>4.4921699999999998</v>
      </c>
      <c r="X114" s="15"/>
      <c r="Y114" s="15">
        <f t="shared" si="7"/>
        <v>0.47300217167198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8"/>
        <v>2630.0212040890751</v>
      </c>
      <c r="AH114" s="17">
        <v>2049.137546956541</v>
      </c>
      <c r="AI114" s="15">
        <v>5.4607999999999999</v>
      </c>
      <c r="AJ114" s="17">
        <f t="shared" si="9"/>
        <v>1.318767964656588</v>
      </c>
      <c r="AK114" s="15">
        <f t="shared" si="10"/>
        <v>0.47300217167198</v>
      </c>
      <c r="AL114" s="5">
        <v>15.672000000000001</v>
      </c>
      <c r="AN114" s="5">
        <f t="shared" si="11"/>
        <v>13.333333333333334</v>
      </c>
    </row>
    <row r="115" spans="1:40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12087.550000000001</v>
      </c>
      <c r="M115" s="15"/>
      <c r="N115" s="15"/>
      <c r="O115" s="15"/>
      <c r="P115" s="15">
        <v>271471740.49895835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6"/>
        <v>13.473961230276082</v>
      </c>
      <c r="W115" s="15">
        <v>4.31379</v>
      </c>
      <c r="X115" s="15"/>
      <c r="Y115" s="15">
        <f t="shared" si="7"/>
        <v>0.32015751910484086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8"/>
        <v>1780.1632092256311</v>
      </c>
      <c r="AH115" s="17">
        <v>1444.3380953383705</v>
      </c>
      <c r="AI115" s="15">
        <v>4.9218999999999999</v>
      </c>
      <c r="AJ115" s="17">
        <f t="shared" si="9"/>
        <v>1.6545551731873822</v>
      </c>
      <c r="AK115" s="15">
        <f t="shared" si="10"/>
        <v>0.32015751910484086</v>
      </c>
      <c r="AL115" s="5">
        <v>15.672000000000001</v>
      </c>
      <c r="AN115" s="5">
        <f t="shared" si="11"/>
        <v>13.333333333333334</v>
      </c>
    </row>
    <row r="116" spans="1:40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12087.550000000001</v>
      </c>
      <c r="M116" s="15"/>
      <c r="N116" s="15"/>
      <c r="O116" s="15"/>
      <c r="P116" s="15">
        <v>271471740.49895835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6"/>
        <v>18.220976713181919</v>
      </c>
      <c r="W116" s="15">
        <v>3.98692</v>
      </c>
      <c r="X116" s="15"/>
      <c r="Y116" s="15">
        <f t="shared" si="7"/>
        <v>0.21880934610468344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8"/>
        <v>1216.639699293527</v>
      </c>
      <c r="AH116" s="17">
        <v>1068.0522677975339</v>
      </c>
      <c r="AI116" s="15">
        <v>4.6445999999999996</v>
      </c>
      <c r="AJ116" s="17">
        <f t="shared" si="9"/>
        <v>1.9806679202754305</v>
      </c>
      <c r="AK116" s="15">
        <f t="shared" si="10"/>
        <v>0.21880934610468344</v>
      </c>
      <c r="AL116" s="5">
        <v>15.672000000000001</v>
      </c>
      <c r="AN116" s="5">
        <f t="shared" si="11"/>
        <v>13.333333333333334</v>
      </c>
    </row>
    <row r="117" spans="1:40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12087.550000000001</v>
      </c>
      <c r="M117" s="15"/>
      <c r="N117" s="15"/>
      <c r="O117" s="15"/>
      <c r="P117" s="15">
        <v>271471740.49895835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6"/>
        <v>26.985391152268885</v>
      </c>
      <c r="W117" s="15">
        <v>3.7035</v>
      </c>
      <c r="X117" s="15"/>
      <c r="Y117" s="15">
        <f t="shared" si="7"/>
        <v>0.13724092339823712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8"/>
        <v>763.09700086628629</v>
      </c>
      <c r="AH117" s="17">
        <v>721.16632996678868</v>
      </c>
      <c r="AI117" s="15">
        <v>4.4055</v>
      </c>
      <c r="AJ117" s="17">
        <f t="shared" si="9"/>
        <v>2.4749518602004335</v>
      </c>
      <c r="AK117" s="15">
        <f t="shared" si="10"/>
        <v>0.13724092339823712</v>
      </c>
      <c r="AL117" s="5">
        <v>15.672000000000001</v>
      </c>
      <c r="AN117" s="5">
        <f t="shared" si="11"/>
        <v>13.333333333333334</v>
      </c>
    </row>
    <row r="118" spans="1:40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10541.55</v>
      </c>
      <c r="M118" s="15"/>
      <c r="N118" s="15"/>
      <c r="O118" s="15"/>
      <c r="P118" s="15">
        <v>252226327.29062501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6"/>
        <v>3.7582697701932641</v>
      </c>
      <c r="W118" s="15">
        <v>3.9329299999999998</v>
      </c>
      <c r="X118" s="15"/>
      <c r="Y118" s="15">
        <f t="shared" si="7"/>
        <v>1.0464735744070213</v>
      </c>
      <c r="Z118" s="15"/>
      <c r="AA118" s="16"/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8"/>
        <v>5074.4686138135548</v>
      </c>
      <c r="AH118" s="17">
        <v>4515.8800559245765</v>
      </c>
      <c r="AI118" s="15">
        <v>38.959000000000003</v>
      </c>
      <c r="AJ118" s="17">
        <f t="shared" si="9"/>
        <v>0.31059186385131754</v>
      </c>
      <c r="AK118" s="15">
        <f t="shared" si="10"/>
        <v>1.0464735744070213</v>
      </c>
      <c r="AL118" s="56">
        <v>10.936</v>
      </c>
      <c r="AN118" s="5">
        <f t="shared" si="11"/>
        <v>13.333333333333334</v>
      </c>
    </row>
    <row r="119" spans="1:40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10541.55</v>
      </c>
      <c r="M119" s="15"/>
      <c r="N119" s="15"/>
      <c r="O119" s="15"/>
      <c r="P119" s="15">
        <v>252226327.29062501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6"/>
        <v>4.2315437965240932</v>
      </c>
      <c r="W119" s="15">
        <v>4.0304200000000003</v>
      </c>
      <c r="X119" s="15"/>
      <c r="Y119" s="15">
        <f t="shared" si="7"/>
        <v>0.95247034978361766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8"/>
        <v>4618.6363552502871</v>
      </c>
      <c r="AH119" s="17">
        <v>4010.8046415450513</v>
      </c>
      <c r="AI119" s="15">
        <v>16.759</v>
      </c>
      <c r="AJ119" s="17">
        <f t="shared" si="9"/>
        <v>0.50248762380039136</v>
      </c>
      <c r="AK119" s="15">
        <f t="shared" si="10"/>
        <v>0.95247034978361766</v>
      </c>
      <c r="AL119" s="5">
        <v>10.936</v>
      </c>
      <c r="AN119" s="5">
        <f t="shared" si="11"/>
        <v>13.333333333333334</v>
      </c>
    </row>
    <row r="120" spans="1:40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10541.550000000001</v>
      </c>
      <c r="M120" s="15"/>
      <c r="N120" s="15"/>
      <c r="O120" s="15"/>
      <c r="P120" s="15">
        <v>252226327.29062504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6"/>
        <v>5.1434283522299582</v>
      </c>
      <c r="W120" s="15">
        <v>3.9003899999999998</v>
      </c>
      <c r="X120" s="15"/>
      <c r="Y120" s="15">
        <f t="shared" si="7"/>
        <v>0.75832494066121614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8"/>
        <v>3677.2033279845327</v>
      </c>
      <c r="AH120" s="17">
        <v>3299.7242962744403</v>
      </c>
      <c r="AI120" s="15">
        <v>9.1747999999999994</v>
      </c>
      <c r="AJ120" s="17">
        <f t="shared" si="9"/>
        <v>0.74873484376472021</v>
      </c>
      <c r="AK120" s="15">
        <f t="shared" si="10"/>
        <v>0.75832494066121614</v>
      </c>
      <c r="AL120" s="5">
        <v>10.936</v>
      </c>
      <c r="AN120" s="5">
        <f t="shared" si="11"/>
        <v>13.333333333333334</v>
      </c>
    </row>
    <row r="121" spans="1:40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10541.550000000001</v>
      </c>
      <c r="M121" s="15"/>
      <c r="N121" s="15"/>
      <c r="O121" s="15"/>
      <c r="P121" s="15">
        <v>252226327.29062504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6"/>
        <v>6.6065857157418861</v>
      </c>
      <c r="W121" s="15">
        <v>4.2372500000000004</v>
      </c>
      <c r="X121" s="15"/>
      <c r="Y121" s="15">
        <f t="shared" si="7"/>
        <v>0.64136759626135853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8"/>
        <v>3110.0639488097058</v>
      </c>
      <c r="AH121" s="17">
        <v>2568.935942140296</v>
      </c>
      <c r="AI121" s="15">
        <v>6.6744000000000003</v>
      </c>
      <c r="AJ121" s="17">
        <f t="shared" si="9"/>
        <v>0.99490685160720849</v>
      </c>
      <c r="AK121" s="15">
        <f t="shared" si="10"/>
        <v>0.64136759626135853</v>
      </c>
      <c r="AL121" s="5">
        <v>10.936</v>
      </c>
      <c r="AN121" s="5">
        <f t="shared" si="11"/>
        <v>13.333333333333334</v>
      </c>
    </row>
    <row r="122" spans="1:40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10541.550000000001</v>
      </c>
      <c r="M122" s="15"/>
      <c r="N122" s="15"/>
      <c r="O122" s="15"/>
      <c r="P122" s="15">
        <v>252226327.29062504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6"/>
        <v>9.4772087382261851</v>
      </c>
      <c r="W122" s="15">
        <v>4.48956</v>
      </c>
      <c r="X122" s="15"/>
      <c r="Y122" s="15">
        <f t="shared" si="7"/>
        <v>0.47372175964547708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8"/>
        <v>2297.1303430797589</v>
      </c>
      <c r="AH122" s="17">
        <v>1790.8116164566586</v>
      </c>
      <c r="AI122" s="15">
        <v>5.4335000000000004</v>
      </c>
      <c r="AJ122" s="17">
        <f t="shared" si="9"/>
        <v>1.320688473218357</v>
      </c>
      <c r="AK122" s="15">
        <f t="shared" si="10"/>
        <v>0.47372175964547708</v>
      </c>
      <c r="AL122" s="5">
        <v>10.936</v>
      </c>
      <c r="AN122" s="5">
        <f t="shared" si="11"/>
        <v>13.333333333333334</v>
      </c>
    </row>
    <row r="123" spans="1:40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10541.550000000001</v>
      </c>
      <c r="M123" s="15"/>
      <c r="N123" s="15"/>
      <c r="O123" s="15"/>
      <c r="P123" s="15">
        <v>252226327.29062504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6"/>
        <v>13.445677524204797</v>
      </c>
      <c r="W123" s="15">
        <v>4.3111699999999997</v>
      </c>
      <c r="X123" s="15"/>
      <c r="Y123" s="15">
        <f t="shared" si="7"/>
        <v>0.32063612950995346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8"/>
        <v>1554.8008238763991</v>
      </c>
      <c r="AH123" s="17">
        <v>1262.2566225798096</v>
      </c>
      <c r="AI123" s="15">
        <v>4.8982999999999999</v>
      </c>
      <c r="AJ123" s="17">
        <f t="shared" si="9"/>
        <v>1.6567945428318938</v>
      </c>
      <c r="AK123" s="15">
        <f t="shared" si="10"/>
        <v>0.32063612950995346</v>
      </c>
      <c r="AL123" s="5">
        <v>10.936</v>
      </c>
      <c r="AN123" s="5">
        <f t="shared" si="11"/>
        <v>13.333333333333334</v>
      </c>
    </row>
    <row r="124" spans="1:40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10541.550000000001</v>
      </c>
      <c r="M124" s="15"/>
      <c r="N124" s="15"/>
      <c r="O124" s="15"/>
      <c r="P124" s="15">
        <v>252226327.29062504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6"/>
        <v>18.182728365804365</v>
      </c>
      <c r="W124" s="15">
        <v>3.9908899999999998</v>
      </c>
      <c r="X124" s="15"/>
      <c r="Y124" s="15">
        <f t="shared" si="7"/>
        <v>0.21948796240643015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4" t="s">
        <v>218</v>
      </c>
      <c r="AG124" s="17">
        <f t="shared" si="8"/>
        <v>1064.3219318485319</v>
      </c>
      <c r="AH124" s="17">
        <v>933.4075260079486</v>
      </c>
      <c r="AI124" s="15">
        <v>4.6228999999999996</v>
      </c>
      <c r="AJ124" s="17">
        <f t="shared" si="9"/>
        <v>1.9832263126193577</v>
      </c>
      <c r="AK124" s="15">
        <f t="shared" si="10"/>
        <v>0.21948796240643015</v>
      </c>
      <c r="AL124" s="5">
        <v>10.936</v>
      </c>
      <c r="AN124" s="5">
        <f t="shared" si="11"/>
        <v>13.333333333333334</v>
      </c>
    </row>
    <row r="125" spans="1:40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10541.550000000001</v>
      </c>
      <c r="M125" s="15"/>
      <c r="N125" s="15"/>
      <c r="O125" s="15"/>
      <c r="P125" s="15">
        <v>252226327.29062504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6"/>
        <v>26.928745088166053</v>
      </c>
      <c r="W125" s="15">
        <v>3.7139000000000002</v>
      </c>
      <c r="X125" s="15"/>
      <c r="Y125" s="15">
        <f t="shared" si="7"/>
        <v>0.13791582147034726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8"/>
        <v>668.76940279754012</v>
      </c>
      <c r="AH125" s="17">
        <v>630.25200188249289</v>
      </c>
      <c r="AI125" s="15">
        <v>4.3853999999999997</v>
      </c>
      <c r="AJ125" s="17">
        <f t="shared" si="9"/>
        <v>2.4780122643501619</v>
      </c>
      <c r="AK125" s="15">
        <f t="shared" si="10"/>
        <v>0.13791582147034726</v>
      </c>
      <c r="AL125" s="5">
        <v>10.936</v>
      </c>
      <c r="AN125" s="5">
        <f t="shared" si="11"/>
        <v>13.333333333333334</v>
      </c>
    </row>
    <row r="126" spans="1:40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8647.7000000000007</v>
      </c>
      <c r="M126" s="15"/>
      <c r="N126" s="15"/>
      <c r="O126" s="15"/>
      <c r="P126" s="15">
        <v>228650696.11041668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6"/>
        <v>3.744809786235066</v>
      </c>
      <c r="W126" s="15">
        <v>3.9327299999999998</v>
      </c>
      <c r="X126" s="15"/>
      <c r="Y126" s="15">
        <f t="shared" si="7"/>
        <v>1.0501815110758572</v>
      </c>
      <c r="Z126" s="15"/>
      <c r="AA126" s="16"/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8"/>
        <v>4177.5611405321188</v>
      </c>
      <c r="AH126" s="17">
        <v>3717.8916406319318</v>
      </c>
      <c r="AI126" s="15">
        <v>37.793999999999997</v>
      </c>
      <c r="AJ126" s="17">
        <f t="shared" si="9"/>
        <v>0.314777333531361</v>
      </c>
      <c r="AK126" s="15">
        <f t="shared" si="10"/>
        <v>1.0501815110758572</v>
      </c>
      <c r="AL126" s="56">
        <v>6.1308999999999996</v>
      </c>
      <c r="AN126" s="5">
        <f t="shared" si="11"/>
        <v>13.333333333333334</v>
      </c>
    </row>
    <row r="127" spans="1:40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8647.7000000000007</v>
      </c>
      <c r="M127" s="15"/>
      <c r="N127" s="15"/>
      <c r="O127" s="15"/>
      <c r="P127" s="15">
        <v>228650696.11041668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6"/>
        <v>4.2163888142843007</v>
      </c>
      <c r="W127" s="15">
        <v>3.9345500000000002</v>
      </c>
      <c r="X127" s="15"/>
      <c r="Y127" s="15">
        <f t="shared" si="7"/>
        <v>0.93315635092060634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8"/>
        <v>3712.041840893819</v>
      </c>
      <c r="AH127" s="17">
        <v>3302.0666767809194</v>
      </c>
      <c r="AI127" s="15">
        <v>16.497</v>
      </c>
      <c r="AJ127" s="17">
        <f t="shared" si="9"/>
        <v>0.50555433540921968</v>
      </c>
      <c r="AK127" s="15">
        <f t="shared" si="10"/>
        <v>0.93315635092060634</v>
      </c>
      <c r="AL127" s="5">
        <v>6.1308999999999996</v>
      </c>
      <c r="AN127" s="5">
        <f t="shared" si="11"/>
        <v>13.333333333333334</v>
      </c>
    </row>
    <row r="128" spans="1:40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8647.7000000000007</v>
      </c>
      <c r="M128" s="15"/>
      <c r="N128" s="15"/>
      <c r="O128" s="15"/>
      <c r="P128" s="15">
        <v>228650696.11041671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6"/>
        <v>5.1250075183504347</v>
      </c>
      <c r="W128" s="15">
        <v>3.82883</v>
      </c>
      <c r="X128" s="15"/>
      <c r="Y128" s="15">
        <f t="shared" si="7"/>
        <v>0.74708768451375263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8"/>
        <v>2971.8714779100064</v>
      </c>
      <c r="AH128" s="17">
        <v>2716.6393317762927</v>
      </c>
      <c r="AI128" s="15">
        <v>9.0775000000000006</v>
      </c>
      <c r="AJ128" s="17">
        <f t="shared" si="9"/>
        <v>0.75138777459482819</v>
      </c>
      <c r="AK128" s="15">
        <f t="shared" si="10"/>
        <v>0.74708768451375263</v>
      </c>
      <c r="AL128" s="5">
        <v>6.1308999999999996</v>
      </c>
      <c r="AN128" s="5">
        <f t="shared" si="11"/>
        <v>13.333333333333334</v>
      </c>
    </row>
    <row r="129" spans="1:40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8647.7000000000007</v>
      </c>
      <c r="M129" s="15"/>
      <c r="N129" s="15"/>
      <c r="O129" s="15"/>
      <c r="P129" s="15">
        <v>228650696.11041671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6"/>
        <v>6.5829246846850893</v>
      </c>
      <c r="W129" s="15">
        <v>4.2215699999999998</v>
      </c>
      <c r="X129" s="15"/>
      <c r="Y129" s="15">
        <f t="shared" si="7"/>
        <v>0.64129094622961635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8"/>
        <v>2551.0181892265327</v>
      </c>
      <c r="AH129" s="17">
        <v>2114.9865245140704</v>
      </c>
      <c r="AI129" s="15">
        <v>6.6154000000000002</v>
      </c>
      <c r="AJ129" s="17">
        <f t="shared" si="9"/>
        <v>0.9975424563017864</v>
      </c>
      <c r="AK129" s="15">
        <f t="shared" si="10"/>
        <v>0.64129094622961635</v>
      </c>
      <c r="AL129" s="5">
        <v>6.1308999999999996</v>
      </c>
      <c r="AN129" s="5">
        <f t="shared" si="11"/>
        <v>13.333333333333334</v>
      </c>
    </row>
    <row r="130" spans="1:40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8647.7000000000007</v>
      </c>
      <c r="M130" s="15"/>
      <c r="N130" s="15"/>
      <c r="O130" s="15"/>
      <c r="P130" s="15">
        <v>228650696.11041671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6"/>
        <v>9.4432667688133609</v>
      </c>
      <c r="W130" s="15">
        <v>4.4881500000000001</v>
      </c>
      <c r="X130" s="15"/>
      <c r="Y130" s="15">
        <f t="shared" si="7"/>
        <v>0.47527514681913197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8"/>
        <v>1890.6169680879916</v>
      </c>
      <c r="AH130" s="17">
        <v>1474.3623515943029</v>
      </c>
      <c r="AI130" s="15">
        <v>5.391</v>
      </c>
      <c r="AJ130" s="17">
        <f t="shared" si="9"/>
        <v>1.3235076726645034</v>
      </c>
      <c r="AK130" s="15">
        <f t="shared" si="10"/>
        <v>0.47527514681913197</v>
      </c>
      <c r="AL130" s="5">
        <v>6.1308999999999996</v>
      </c>
      <c r="AN130" s="5">
        <f t="shared" si="11"/>
        <v>13.333333333333334</v>
      </c>
    </row>
    <row r="131" spans="1:40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8647.7000000000007</v>
      </c>
      <c r="M131" s="15"/>
      <c r="N131" s="15"/>
      <c r="O131" s="15"/>
      <c r="P131" s="15">
        <v>228650696.11041671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6"/>
        <v>13.397522757557056</v>
      </c>
      <c r="W131" s="15">
        <v>4.3066500000000003</v>
      </c>
      <c r="X131" s="15"/>
      <c r="Y131" s="15">
        <f t="shared" si="7"/>
        <v>0.32145121735813253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8"/>
        <v>1278.7142984800446</v>
      </c>
      <c r="AH131" s="17">
        <v>1039.206818450572</v>
      </c>
      <c r="AI131" s="15">
        <v>4.8624000000000001</v>
      </c>
      <c r="AJ131" s="17">
        <f t="shared" si="9"/>
        <v>1.6599190546550644</v>
      </c>
      <c r="AK131" s="15">
        <f t="shared" si="10"/>
        <v>0.32145121735813253</v>
      </c>
      <c r="AL131" s="5">
        <v>6.1308999999999996</v>
      </c>
      <c r="AN131" s="5">
        <f t="shared" si="11"/>
        <v>13.333333333333334</v>
      </c>
    </row>
    <row r="132" spans="1:40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8647.7000000000007</v>
      </c>
      <c r="M132" s="15"/>
      <c r="N132" s="15"/>
      <c r="O132" s="15"/>
      <c r="P132" s="15">
        <v>228650696.11041671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6"/>
        <v>18.117608178301847</v>
      </c>
      <c r="W132" s="15">
        <v>3.9973100000000001</v>
      </c>
      <c r="X132" s="15"/>
      <c r="Y132" s="15">
        <f t="shared" si="7"/>
        <v>0.22063122022846759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8"/>
        <v>877.65819745807096</v>
      </c>
      <c r="AH132" s="17">
        <v>768.46771731570686</v>
      </c>
      <c r="AI132" s="15">
        <v>4.5902000000000003</v>
      </c>
      <c r="AJ132" s="17">
        <f t="shared" si="9"/>
        <v>1.9867106837270554</v>
      </c>
      <c r="AK132" s="15">
        <f t="shared" si="10"/>
        <v>0.22063122022846759</v>
      </c>
      <c r="AL132" s="5">
        <v>6.1308999999999996</v>
      </c>
      <c r="AN132" s="5">
        <f t="shared" si="11"/>
        <v>13.333333333333334</v>
      </c>
    </row>
    <row r="133" spans="1:40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8647.7000000000007</v>
      </c>
      <c r="M133" s="15"/>
      <c r="N133" s="15"/>
      <c r="O133" s="15"/>
      <c r="P133" s="15">
        <v>228650696.11041671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6"/>
        <v>26.832301645022127</v>
      </c>
      <c r="W133" s="15">
        <v>3.7271399999999999</v>
      </c>
      <c r="X133" s="15"/>
      <c r="Y133" s="15">
        <f t="shared" si="7"/>
        <v>0.13890496794901122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8"/>
        <v>552.55590601302561</v>
      </c>
      <c r="AH133" s="17">
        <v>518.88194997923063</v>
      </c>
      <c r="AI133" s="15">
        <v>4.3552</v>
      </c>
      <c r="AJ133" s="17">
        <f t="shared" si="9"/>
        <v>2.4821322196192268</v>
      </c>
      <c r="AK133" s="15">
        <f t="shared" si="10"/>
        <v>0.13890496794901122</v>
      </c>
      <c r="AL133" s="5">
        <v>6.1308999999999996</v>
      </c>
      <c r="AN133" s="5">
        <f t="shared" si="11"/>
        <v>13.333333333333334</v>
      </c>
    </row>
    <row r="134" spans="1:40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7488.2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6"/>
        <v>3.7332858711193238</v>
      </c>
      <c r="W134" s="15">
        <v>3.9230499999999999</v>
      </c>
      <c r="X134" s="15"/>
      <c r="Y134" s="15">
        <f t="shared" si="7"/>
        <v>1.0508303235893854</v>
      </c>
      <c r="Z134" s="15"/>
      <c r="AA134" s="16"/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8"/>
        <v>3619.660709386937</v>
      </c>
      <c r="AH134" s="17">
        <v>3229.3273047384764</v>
      </c>
      <c r="AI134" s="15">
        <v>36.466000000000001</v>
      </c>
      <c r="AJ134" s="17">
        <f t="shared" si="9"/>
        <v>0.31996432570368077</v>
      </c>
      <c r="AK134" s="15">
        <f t="shared" si="10"/>
        <v>1.0508303235893854</v>
      </c>
      <c r="AL134" s="56">
        <v>3.2757000000000001</v>
      </c>
      <c r="AN134" s="5">
        <f t="shared" si="11"/>
        <v>13.333333333333334</v>
      </c>
    </row>
    <row r="135" spans="1:40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7488.2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2">L135*T135/(S135*1000)</f>
        <v>4.2034137075193652</v>
      </c>
      <c r="W135" s="15">
        <v>3.8734999999999999</v>
      </c>
      <c r="X135" s="15"/>
      <c r="Y135" s="15">
        <f t="shared" ref="Y135:Y198" si="13">AK135</f>
        <v>0.92151291058284557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66" si="14">W135*S135</f>
        <v>3174.2175694321736</v>
      </c>
      <c r="AH135" s="17">
        <v>2868.1454738641041</v>
      </c>
      <c r="AI135" s="15">
        <v>16.218</v>
      </c>
      <c r="AJ135" s="17">
        <f t="shared" ref="AJ135:AJ198" si="15">(V135/AI135)^0.5</f>
        <v>0.50909920638661421</v>
      </c>
      <c r="AK135" s="15">
        <f t="shared" ref="AK135:AK166" si="16">W135/V135</f>
        <v>0.92151291058284557</v>
      </c>
      <c r="AL135" s="5">
        <v>3.2757000000000001</v>
      </c>
      <c r="AN135" s="5">
        <f t="shared" ref="AN135:AN198" si="17">C135/F135</f>
        <v>13.333333333333334</v>
      </c>
    </row>
    <row r="136" spans="1:40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7488.2000000000007</v>
      </c>
      <c r="M136" s="15"/>
      <c r="N136" s="15"/>
      <c r="O136" s="15"/>
      <c r="P136" s="15">
        <v>214216636.20416668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2"/>
        <v>5.109236316345438</v>
      </c>
      <c r="W136" s="15">
        <v>3.7668200000000001</v>
      </c>
      <c r="X136" s="15"/>
      <c r="Y136" s="15">
        <f t="shared" si="13"/>
        <v>0.73725695324548057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14"/>
        <v>2539.5346579546917</v>
      </c>
      <c r="AH136" s="17">
        <v>2359.6485371855892</v>
      </c>
      <c r="AI136" s="15">
        <v>8.9835999999999991</v>
      </c>
      <c r="AJ136" s="17">
        <f t="shared" si="15"/>
        <v>0.75414141589095252</v>
      </c>
      <c r="AK136" s="15">
        <f t="shared" si="16"/>
        <v>0.73725695324548057</v>
      </c>
      <c r="AL136" s="5">
        <v>3.2757000000000001</v>
      </c>
      <c r="AN136" s="5">
        <f t="shared" si="17"/>
        <v>13.333333333333334</v>
      </c>
    </row>
    <row r="137" spans="1:40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7488.2000000000007</v>
      </c>
      <c r="M137" s="15"/>
      <c r="N137" s="15"/>
      <c r="O137" s="15"/>
      <c r="P137" s="15">
        <v>214216636.20416668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2"/>
        <v>6.5626670295276854</v>
      </c>
      <c r="W137" s="15">
        <v>4.2110700000000003</v>
      </c>
      <c r="X137" s="15"/>
      <c r="Y137" s="15">
        <f t="shared" si="13"/>
        <v>0.64167052526860724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14"/>
        <v>2210.2803245655373</v>
      </c>
      <c r="AH137" s="17">
        <v>1837.0583096408704</v>
      </c>
      <c r="AI137" s="15">
        <v>6.5628000000000002</v>
      </c>
      <c r="AJ137" s="17">
        <f t="shared" si="15"/>
        <v>0.99998986932819389</v>
      </c>
      <c r="AK137" s="15">
        <f t="shared" si="16"/>
        <v>0.64167052526860724</v>
      </c>
      <c r="AL137" s="5">
        <v>3.2757000000000001</v>
      </c>
      <c r="AN137" s="5">
        <f t="shared" si="17"/>
        <v>13.333333333333334</v>
      </c>
    </row>
    <row r="138" spans="1:40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7488.2000000000007</v>
      </c>
      <c r="M138" s="15"/>
      <c r="N138" s="15"/>
      <c r="O138" s="15"/>
      <c r="P138" s="15">
        <v>214216636.20416668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2"/>
        <v>9.4142069738248093</v>
      </c>
      <c r="W138" s="15">
        <v>4.4859799999999996</v>
      </c>
      <c r="X138" s="15"/>
      <c r="Y138" s="15">
        <f t="shared" si="13"/>
        <v>0.47651172451092111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14"/>
        <v>1641.3789439220325</v>
      </c>
      <c r="AH138" s="17">
        <v>1280.6179037193911</v>
      </c>
      <c r="AI138" s="15">
        <v>5.3555999999999999</v>
      </c>
      <c r="AJ138" s="17">
        <f t="shared" si="15"/>
        <v>1.3258298867810701</v>
      </c>
      <c r="AK138" s="15">
        <f t="shared" si="16"/>
        <v>0.47651172451092111</v>
      </c>
      <c r="AL138" s="5">
        <v>3.2757000000000001</v>
      </c>
      <c r="AN138" s="5">
        <f t="shared" si="17"/>
        <v>13.333333333333334</v>
      </c>
    </row>
    <row r="139" spans="1:40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7488.2000000000007</v>
      </c>
      <c r="M139" s="15"/>
      <c r="N139" s="15"/>
      <c r="O139" s="15"/>
      <c r="P139" s="15">
        <v>214216636.20416668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2"/>
        <v>13.35629451798483</v>
      </c>
      <c r="W139" s="15">
        <v>4.3013500000000002</v>
      </c>
      <c r="X139" s="15"/>
      <c r="Y139" s="15">
        <f t="shared" si="13"/>
        <v>0.32204665704309271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14"/>
        <v>1109.3128975442401</v>
      </c>
      <c r="AH139" s="17">
        <v>902.64571388165109</v>
      </c>
      <c r="AI139" s="15">
        <v>4.8334999999999999</v>
      </c>
      <c r="AJ139" s="17">
        <f t="shared" si="15"/>
        <v>1.6623104385775715</v>
      </c>
      <c r="AK139" s="15">
        <f t="shared" si="16"/>
        <v>0.32204665704309271</v>
      </c>
      <c r="AL139" s="5">
        <v>3.2757000000000001</v>
      </c>
      <c r="AN139" s="5">
        <f t="shared" si="17"/>
        <v>13.333333333333334</v>
      </c>
    </row>
    <row r="140" spans="1:40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7488.2000000000007</v>
      </c>
      <c r="M140" s="15"/>
      <c r="N140" s="15"/>
      <c r="O140" s="15"/>
      <c r="P140" s="15">
        <v>214216636.20416668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2"/>
        <v>18.061854804788869</v>
      </c>
      <c r="W140" s="15">
        <v>4.0011200000000002</v>
      </c>
      <c r="X140" s="15"/>
      <c r="Y140" s="15">
        <f t="shared" si="13"/>
        <v>0.2215232069598497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14"/>
        <v>763.05263604410345</v>
      </c>
      <c r="AH140" s="17">
        <v>667.48416097351787</v>
      </c>
      <c r="AI140" s="15">
        <v>4.5646000000000004</v>
      </c>
      <c r="AJ140" s="17">
        <f t="shared" si="15"/>
        <v>1.9892062285729404</v>
      </c>
      <c r="AK140" s="15">
        <f t="shared" si="16"/>
        <v>0.2215232069598497</v>
      </c>
      <c r="AL140" s="5">
        <v>3.2757000000000001</v>
      </c>
      <c r="AN140" s="5">
        <f t="shared" si="17"/>
        <v>13.333333333333334</v>
      </c>
    </row>
    <row r="141" spans="1:40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7488.2000000000007</v>
      </c>
      <c r="M141" s="15"/>
      <c r="N141" s="15"/>
      <c r="O141" s="15"/>
      <c r="P141" s="15">
        <v>214216636.20416668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2"/>
        <v>26.74973051747013</v>
      </c>
      <c r="W141" s="15">
        <v>3.7345899999999999</v>
      </c>
      <c r="X141" s="15"/>
      <c r="Y141" s="15">
        <f t="shared" si="13"/>
        <v>0.13961224759109089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14"/>
        <v>480.90443890933926</v>
      </c>
      <c r="AH141" s="17">
        <v>450.69620391600881</v>
      </c>
      <c r="AI141" s="15">
        <v>4.3320999999999996</v>
      </c>
      <c r="AJ141" s="17">
        <f t="shared" si="15"/>
        <v>2.4849088856448769</v>
      </c>
      <c r="AK141" s="15">
        <f t="shared" si="16"/>
        <v>0.13961224759109089</v>
      </c>
      <c r="AL141" s="5">
        <v>3.2757000000000001</v>
      </c>
      <c r="AN141" s="5">
        <f t="shared" si="17"/>
        <v>13.333333333333334</v>
      </c>
    </row>
    <row r="142" spans="1:40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2"/>
        <v>3.7239927699098634</v>
      </c>
      <c r="W142" s="15">
        <v>3.90699</v>
      </c>
      <c r="X142" s="15"/>
      <c r="Y142" s="15">
        <f t="shared" si="13"/>
        <v>1.0491400605201944</v>
      </c>
      <c r="Z142" s="15"/>
      <c r="AA142" s="16"/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14"/>
        <v>3259.4379149623842</v>
      </c>
      <c r="AH142" s="17">
        <v>2919.9032253392879</v>
      </c>
      <c r="AI142" s="15">
        <v>34.979999999999997</v>
      </c>
      <c r="AJ142" s="17">
        <f t="shared" si="15"/>
        <v>0.32628304900899752</v>
      </c>
      <c r="AK142" s="15">
        <f t="shared" si="16"/>
        <v>1.0491400605201944</v>
      </c>
      <c r="AL142" s="56">
        <v>1.7927999999999999</v>
      </c>
      <c r="AN142" s="5">
        <f t="shared" si="17"/>
        <v>13.333333333333334</v>
      </c>
    </row>
    <row r="143" spans="1:40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2"/>
        <v>4.192950338155824</v>
      </c>
      <c r="W143" s="15">
        <v>3.8288000000000002</v>
      </c>
      <c r="X143" s="15"/>
      <c r="Y143" s="15">
        <f t="shared" si="13"/>
        <v>0.91315176456013381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14"/>
        <v>2836.9534207342508</v>
      </c>
      <c r="AH143" s="17">
        <v>2593.3287120167879</v>
      </c>
      <c r="AI143" s="15">
        <v>15.913</v>
      </c>
      <c r="AJ143" s="17">
        <f t="shared" si="15"/>
        <v>0.51331484940211636</v>
      </c>
      <c r="AK143" s="15">
        <f t="shared" si="16"/>
        <v>0.91315176456013381</v>
      </c>
      <c r="AL143" s="5">
        <v>1.7927999999999999</v>
      </c>
      <c r="AN143" s="5">
        <f t="shared" si="17"/>
        <v>13.333333333333334</v>
      </c>
    </row>
    <row r="144" spans="1:40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</v>
      </c>
      <c r="M144" s="15"/>
      <c r="N144" s="15"/>
      <c r="O144" s="15"/>
      <c r="P144" s="15">
        <v>205075064.93020836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2"/>
        <v>5.0965181233567458</v>
      </c>
      <c r="W144" s="15">
        <v>3.7160000000000002</v>
      </c>
      <c r="X144" s="15"/>
      <c r="Y144" s="15">
        <f t="shared" si="13"/>
        <v>0.72912524002809043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14"/>
        <v>2265.2251510873102</v>
      </c>
      <c r="AH144" s="17">
        <v>2133.5543672781446</v>
      </c>
      <c r="AI144" s="15">
        <v>8.8896999999999995</v>
      </c>
      <c r="AJ144" s="17">
        <f t="shared" si="15"/>
        <v>0.75716971327928984</v>
      </c>
      <c r="AK144" s="15">
        <f t="shared" si="16"/>
        <v>0.72912524002809043</v>
      </c>
      <c r="AL144" s="5">
        <v>1.7927999999999999</v>
      </c>
      <c r="AN144" s="5">
        <f t="shared" si="17"/>
        <v>13.333333333333334</v>
      </c>
    </row>
    <row r="145" spans="1:40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</v>
      </c>
      <c r="M145" s="15"/>
      <c r="N145" s="15"/>
      <c r="O145" s="15"/>
      <c r="P145" s="15">
        <v>205075064.93020836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2"/>
        <v>6.5463308766010666</v>
      </c>
      <c r="W145" s="15">
        <v>4.20336</v>
      </c>
      <c r="X145" s="15"/>
      <c r="Y145" s="15">
        <f t="shared" si="13"/>
        <v>0.64209403393041364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14"/>
        <v>1994.8391238880254</v>
      </c>
      <c r="AH145" s="17">
        <v>1661.0371068878442</v>
      </c>
      <c r="AI145" s="15">
        <v>5.8484999999999996</v>
      </c>
      <c r="AJ145" s="17">
        <f t="shared" si="15"/>
        <v>1.0579782245740785</v>
      </c>
      <c r="AK145" s="15">
        <f t="shared" si="16"/>
        <v>0.64209403393041364</v>
      </c>
      <c r="AL145" s="5">
        <v>1.7927999999999999</v>
      </c>
      <c r="AN145" s="5">
        <f t="shared" si="17"/>
        <v>13.333333333333334</v>
      </c>
    </row>
    <row r="146" spans="1:40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</v>
      </c>
      <c r="M146" s="15"/>
      <c r="N146" s="15"/>
      <c r="O146" s="15"/>
      <c r="P146" s="15">
        <v>205075064.93020836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2"/>
        <v>9.3907726103083835</v>
      </c>
      <c r="W146" s="15">
        <v>4.4811899999999998</v>
      </c>
      <c r="X146" s="15"/>
      <c r="Y146" s="15">
        <f t="shared" si="13"/>
        <v>0.47719076863611143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14"/>
        <v>1482.5224414663803</v>
      </c>
      <c r="AH146" s="17">
        <v>1157.9130867319466</v>
      </c>
      <c r="AI146" s="15">
        <v>5.3243999999999998</v>
      </c>
      <c r="AJ146" s="17">
        <f t="shared" si="15"/>
        <v>1.3280527483139295</v>
      </c>
      <c r="AK146" s="15">
        <f t="shared" si="16"/>
        <v>0.47719076863611143</v>
      </c>
      <c r="AL146" s="5">
        <v>1.7927999999999999</v>
      </c>
      <c r="AN146" s="5">
        <f t="shared" si="17"/>
        <v>13.333333333333334</v>
      </c>
    </row>
    <row r="147" spans="1:40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</v>
      </c>
      <c r="M147" s="15"/>
      <c r="N147" s="15"/>
      <c r="O147" s="15"/>
      <c r="P147" s="15">
        <v>205075064.93020836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2"/>
        <v>13.32304729261182</v>
      </c>
      <c r="W147" s="15">
        <v>4.2947300000000004</v>
      </c>
      <c r="X147" s="15"/>
      <c r="Y147" s="15">
        <f t="shared" si="13"/>
        <v>0.32235343053849291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14"/>
        <v>1001.4782897475042</v>
      </c>
      <c r="AH147" s="17">
        <v>816.15701432133437</v>
      </c>
      <c r="AI147" s="15">
        <v>4.8095999999999997</v>
      </c>
      <c r="AJ147" s="17">
        <f t="shared" si="15"/>
        <v>1.6643601362988905</v>
      </c>
      <c r="AK147" s="15">
        <f t="shared" si="16"/>
        <v>0.32235343053849291</v>
      </c>
      <c r="AL147" s="5">
        <v>1.7927999999999999</v>
      </c>
      <c r="AN147" s="5">
        <f t="shared" si="17"/>
        <v>13.333333333333334</v>
      </c>
    </row>
    <row r="148" spans="1:40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</v>
      </c>
      <c r="M148" s="15"/>
      <c r="N148" s="15"/>
      <c r="O148" s="15"/>
      <c r="P148" s="15">
        <v>205075064.93020836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2"/>
        <v>18.01689423907651</v>
      </c>
      <c r="W148" s="15">
        <v>4.0008400000000002</v>
      </c>
      <c r="X148" s="15"/>
      <c r="Y148" s="15">
        <f t="shared" si="13"/>
        <v>0.22206046985182673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14"/>
        <v>689.89102798202953</v>
      </c>
      <c r="AH148" s="17">
        <v>603.5279086234649</v>
      </c>
      <c r="AI148" s="15">
        <v>4.5438999999999998</v>
      </c>
      <c r="AJ148" s="17">
        <f t="shared" si="15"/>
        <v>1.9912490521002526</v>
      </c>
      <c r="AK148" s="15">
        <f t="shared" si="16"/>
        <v>0.22206046985182673</v>
      </c>
      <c r="AL148" s="5">
        <v>1.7927999999999999</v>
      </c>
      <c r="AN148" s="5">
        <f t="shared" si="17"/>
        <v>13.333333333333334</v>
      </c>
    </row>
    <row r="149" spans="1:40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</v>
      </c>
      <c r="M149" s="15"/>
      <c r="N149" s="15"/>
      <c r="O149" s="15"/>
      <c r="P149" s="15">
        <v>205075064.93020836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2"/>
        <v>26.683143612098721</v>
      </c>
      <c r="W149" s="15">
        <v>3.7379699999999998</v>
      </c>
      <c r="X149" s="15"/>
      <c r="Y149" s="15">
        <f t="shared" si="13"/>
        <v>0.14008731708452532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14"/>
        <v>435.21921418600778</v>
      </c>
      <c r="AH149" s="17">
        <v>407.5118980759683</v>
      </c>
      <c r="AI149" s="15">
        <v>4.3140999999999998</v>
      </c>
      <c r="AJ149" s="17">
        <f t="shared" si="15"/>
        <v>2.4869863003521537</v>
      </c>
      <c r="AK149" s="15">
        <f t="shared" si="16"/>
        <v>0.14008731708452532</v>
      </c>
      <c r="AL149" s="5">
        <v>1.7927999999999999</v>
      </c>
      <c r="AN149" s="5">
        <f t="shared" si="17"/>
        <v>13.333333333333334</v>
      </c>
    </row>
    <row r="150" spans="1:40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21016.495599999995</v>
      </c>
      <c r="M150" s="15"/>
      <c r="N150" s="15"/>
      <c r="O150" s="15"/>
      <c r="P150" s="15">
        <v>335445691.77599716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2"/>
        <v>3.7673787525939808</v>
      </c>
      <c r="W150" s="15">
        <v>3.9081800000000002</v>
      </c>
      <c r="X150" s="15"/>
      <c r="Y150" s="15">
        <f t="shared" si="13"/>
        <v>1.0373737966508072</v>
      </c>
      <c r="Z150" s="15"/>
      <c r="AA150" s="16"/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14"/>
        <v>10028.902443118812</v>
      </c>
      <c r="AH150" s="17">
        <v>8981.4590297570321</v>
      </c>
      <c r="AI150" s="15">
        <v>32.689</v>
      </c>
      <c r="AJ150" s="17">
        <f t="shared" si="15"/>
        <v>0.3394836199677923</v>
      </c>
      <c r="AK150" s="15">
        <f t="shared" si="16"/>
        <v>1.0373737966508072</v>
      </c>
      <c r="AL150" s="56">
        <v>29.24</v>
      </c>
      <c r="AN150" s="5">
        <f t="shared" si="17"/>
        <v>10.814708002883922</v>
      </c>
    </row>
    <row r="151" spans="1:40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21016.495599999995</v>
      </c>
      <c r="M151" s="15"/>
      <c r="N151" s="15"/>
      <c r="O151" s="15"/>
      <c r="P151" s="15">
        <v>335445691.77599716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2"/>
        <v>4.2417998612366627</v>
      </c>
      <c r="W151" s="15">
        <v>3.8073199999999998</v>
      </c>
      <c r="X151" s="15"/>
      <c r="Y151" s="15">
        <f t="shared" si="13"/>
        <v>0.89757181492528182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14"/>
        <v>8677.3544855681484</v>
      </c>
      <c r="AH151" s="17">
        <v>7976.9340899867948</v>
      </c>
      <c r="AI151" s="15">
        <v>15.558999999999999</v>
      </c>
      <c r="AJ151" s="17">
        <f t="shared" si="15"/>
        <v>0.52213673169121644</v>
      </c>
      <c r="AK151" s="15">
        <f t="shared" si="16"/>
        <v>0.89757181492528182</v>
      </c>
      <c r="AL151" s="5">
        <v>29.24</v>
      </c>
      <c r="AN151" s="5">
        <f t="shared" si="17"/>
        <v>10.814708002883922</v>
      </c>
    </row>
    <row r="152" spans="1:40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21016.495599999995</v>
      </c>
      <c r="M152" s="15"/>
      <c r="N152" s="15"/>
      <c r="O152" s="15"/>
      <c r="P152" s="15">
        <v>335445691.77599716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2"/>
        <v>5.1558945670587555</v>
      </c>
      <c r="W152" s="15">
        <v>3.74648</v>
      </c>
      <c r="X152" s="15"/>
      <c r="Y152" s="15">
        <f t="shared" si="13"/>
        <v>0.72664014969127388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14"/>
        <v>7024.8575740341985</v>
      </c>
      <c r="AH152" s="17">
        <v>6562.6939177894164</v>
      </c>
      <c r="AI152" s="15">
        <v>8.8907000000000007</v>
      </c>
      <c r="AJ152" s="17">
        <f t="shared" si="15"/>
        <v>0.76152477313490263</v>
      </c>
      <c r="AK152" s="15">
        <f t="shared" si="16"/>
        <v>0.72664014969127388</v>
      </c>
      <c r="AL152" s="5">
        <v>29.24</v>
      </c>
      <c r="AN152" s="5">
        <f t="shared" si="17"/>
        <v>10.814708002883922</v>
      </c>
    </row>
    <row r="153" spans="1:40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335445691.77599722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2"/>
        <v>6.6225982099728187</v>
      </c>
      <c r="W153" s="15">
        <v>4.2373599999999998</v>
      </c>
      <c r="X153" s="15"/>
      <c r="Y153" s="15">
        <f t="shared" si="13"/>
        <v>0.63983347104147981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14"/>
        <v>6185.6463712829545</v>
      </c>
      <c r="AH153" s="17">
        <v>5109.2572496767662</v>
      </c>
      <c r="AI153" s="15">
        <v>6.5205000000000002</v>
      </c>
      <c r="AJ153" s="17">
        <f t="shared" si="15"/>
        <v>1.0077986078026393</v>
      </c>
      <c r="AK153" s="15">
        <f t="shared" si="16"/>
        <v>0.63983347104147981</v>
      </c>
      <c r="AL153" s="5">
        <v>29.24</v>
      </c>
      <c r="AN153" s="5">
        <f t="shared" si="17"/>
        <v>10.814708002883922</v>
      </c>
    </row>
    <row r="154" spans="1:40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335445691.77599722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2"/>
        <v>9.5001788103293254</v>
      </c>
      <c r="W154" s="15">
        <v>4.5139399999999998</v>
      </c>
      <c r="X154" s="15"/>
      <c r="Y154" s="15">
        <f t="shared" si="13"/>
        <v>0.47514263574619214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14"/>
        <v>4593.4832322248349</v>
      </c>
      <c r="AH154" s="17">
        <v>3561.6759001641408</v>
      </c>
      <c r="AI154" s="15">
        <v>5.3498000000000001</v>
      </c>
      <c r="AJ154" s="17">
        <f t="shared" si="15"/>
        <v>1.3325917387352266</v>
      </c>
      <c r="AK154" s="15">
        <f t="shared" si="16"/>
        <v>0.47514263574619214</v>
      </c>
      <c r="AL154" s="5">
        <v>29.24</v>
      </c>
      <c r="AN154" s="5">
        <f t="shared" si="17"/>
        <v>10.814708002883922</v>
      </c>
    </row>
    <row r="155" spans="1:40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335445691.77599722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2"/>
        <v>13.478266041640412</v>
      </c>
      <c r="W155" s="15">
        <v>4.3333000000000004</v>
      </c>
      <c r="X155" s="15"/>
      <c r="Y155" s="15">
        <f t="shared" si="13"/>
        <v>0.32150277985406228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14"/>
        <v>3108.156408767707</v>
      </c>
      <c r="AH155" s="17">
        <v>2510.4533336457143</v>
      </c>
      <c r="AI155" s="15">
        <v>4.8411</v>
      </c>
      <c r="AJ155" s="17">
        <f t="shared" si="15"/>
        <v>1.6685721301739631</v>
      </c>
      <c r="AK155" s="15">
        <f t="shared" si="16"/>
        <v>0.32150277985406228</v>
      </c>
      <c r="AL155" s="5">
        <v>29.24</v>
      </c>
      <c r="AN155" s="5">
        <f t="shared" si="17"/>
        <v>10.814708002883922</v>
      </c>
    </row>
    <row r="156" spans="1:40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335445691.77599722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2"/>
        <v>18.226798153980472</v>
      </c>
      <c r="W156" s="15">
        <v>4.0460700000000003</v>
      </c>
      <c r="X156" s="15"/>
      <c r="Y156" s="15">
        <f t="shared" si="13"/>
        <v>0.22198468243400152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14"/>
        <v>2146.0564467551317</v>
      </c>
      <c r="AH156" s="17">
        <v>1856.4180954958663</v>
      </c>
      <c r="AI156" s="15">
        <v>4.5781999999999998</v>
      </c>
      <c r="AJ156" s="17">
        <f t="shared" si="15"/>
        <v>1.995298203672984</v>
      </c>
      <c r="AK156" s="15">
        <f t="shared" si="16"/>
        <v>0.22198468243400152</v>
      </c>
      <c r="AL156" s="5">
        <v>29.24</v>
      </c>
      <c r="AN156" s="5">
        <f t="shared" si="17"/>
        <v>10.814708002883922</v>
      </c>
    </row>
    <row r="157" spans="1:40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335445691.77599722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2"/>
        <v>26.994012745912951</v>
      </c>
      <c r="W157" s="15">
        <v>3.78403</v>
      </c>
      <c r="X157" s="15"/>
      <c r="Y157" s="15">
        <f t="shared" si="13"/>
        <v>0.14018034427182094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14"/>
        <v>1355.2058107537966</v>
      </c>
      <c r="AH157" s="17">
        <v>1253.4838089651214</v>
      </c>
      <c r="AI157" s="15">
        <v>4.3501000000000003</v>
      </c>
      <c r="AJ157" s="17">
        <f t="shared" si="15"/>
        <v>2.4910595173775918</v>
      </c>
      <c r="AK157" s="15">
        <f t="shared" si="16"/>
        <v>0.14018034427182094</v>
      </c>
      <c r="AL157" s="5">
        <v>29.24</v>
      </c>
      <c r="AN157" s="5">
        <f t="shared" si="17"/>
        <v>10.814708002883922</v>
      </c>
    </row>
    <row r="158" spans="1:40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245377887.58333337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2"/>
        <v>3.7414808697147515</v>
      </c>
      <c r="W158" s="15">
        <v>3.9386299999999999</v>
      </c>
      <c r="X158" s="15"/>
      <c r="Y158" s="15">
        <f t="shared" si="13"/>
        <v>1.052692807246741</v>
      </c>
      <c r="Z158" s="15"/>
      <c r="AA158" s="16"/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14"/>
        <v>7017.1028761137604</v>
      </c>
      <c r="AH158" s="17">
        <v>6235.6352504292518</v>
      </c>
      <c r="AI158" s="15">
        <v>32.750999999999998</v>
      </c>
      <c r="AJ158" s="17">
        <f t="shared" si="15"/>
        <v>0.3379943822430444</v>
      </c>
      <c r="AK158" s="15">
        <f t="shared" si="16"/>
        <v>1.052692807246741</v>
      </c>
      <c r="AL158" s="56">
        <v>14.43</v>
      </c>
      <c r="AN158" s="5">
        <f t="shared" si="17"/>
        <v>15.789473684210526</v>
      </c>
    </row>
    <row r="159" spans="1:40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245377887.58333337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2"/>
        <v>4.2126406916342445</v>
      </c>
      <c r="W159" s="15">
        <v>3.8375499999999998</v>
      </c>
      <c r="X159" s="15"/>
      <c r="Y159" s="15">
        <f t="shared" si="13"/>
        <v>0.91096067310484707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14"/>
        <v>6072.3363124226762</v>
      </c>
      <c r="AH159" s="17">
        <v>5538.2150313297197</v>
      </c>
      <c r="AI159" s="15">
        <v>15.564</v>
      </c>
      <c r="AJ159" s="17">
        <f t="shared" si="15"/>
        <v>0.52025540178971752</v>
      </c>
      <c r="AK159" s="15">
        <f t="shared" si="16"/>
        <v>0.91096067310484707</v>
      </c>
      <c r="AL159" s="5">
        <v>14.43</v>
      </c>
      <c r="AN159" s="5">
        <f t="shared" si="17"/>
        <v>15.789473684210526</v>
      </c>
    </row>
    <row r="160" spans="1:40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245377887.58333337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2"/>
        <v>5.1204516869014585</v>
      </c>
      <c r="W160" s="15">
        <v>3.7694800000000002</v>
      </c>
      <c r="X160" s="15"/>
      <c r="Y160" s="15">
        <f t="shared" si="13"/>
        <v>0.73616161824993753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14"/>
        <v>4907.1502846275289</v>
      </c>
      <c r="AH160" s="17">
        <v>4556.3382737662359</v>
      </c>
      <c r="AI160" s="15">
        <v>8.8865999999999996</v>
      </c>
      <c r="AJ160" s="17">
        <f t="shared" si="15"/>
        <v>0.75907785244125403</v>
      </c>
      <c r="AK160" s="15">
        <f t="shared" si="16"/>
        <v>0.73616161824993753</v>
      </c>
      <c r="AL160" s="5">
        <v>14.43</v>
      </c>
      <c r="AN160" s="5">
        <f t="shared" si="17"/>
        <v>15.789473684210526</v>
      </c>
    </row>
    <row r="161" spans="1:40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2"/>
        <v>6.5770728502834128</v>
      </c>
      <c r="W161" s="15">
        <v>4.2344200000000001</v>
      </c>
      <c r="X161" s="15"/>
      <c r="Y161" s="15">
        <f t="shared" si="13"/>
        <v>0.64381528019984369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14"/>
        <v>4291.5825236729297</v>
      </c>
      <c r="AH161" s="17">
        <v>3547.2482259330095</v>
      </c>
      <c r="AI161" s="15">
        <v>6.5063000000000004</v>
      </c>
      <c r="AJ161" s="17">
        <f t="shared" si="15"/>
        <v>1.005424083618413</v>
      </c>
      <c r="AK161" s="15">
        <f t="shared" si="16"/>
        <v>0.64381528019984369</v>
      </c>
      <c r="AL161" s="5">
        <v>14.43</v>
      </c>
      <c r="AN161" s="5">
        <f t="shared" si="17"/>
        <v>15.789473684210526</v>
      </c>
    </row>
    <row r="162" spans="1:40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2"/>
        <v>9.434872257864372</v>
      </c>
      <c r="W162" s="15">
        <v>4.5104199999999999</v>
      </c>
      <c r="X162" s="15"/>
      <c r="Y162" s="15">
        <f t="shared" si="13"/>
        <v>0.47805840680464651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14"/>
        <v>3186.6704115828211</v>
      </c>
      <c r="AH162" s="17">
        <v>2472.7955357904307</v>
      </c>
      <c r="AI162" s="15">
        <v>5.3369999999999997</v>
      </c>
      <c r="AJ162" s="17">
        <f t="shared" si="15"/>
        <v>1.3295951150332381</v>
      </c>
      <c r="AK162" s="15">
        <f t="shared" si="16"/>
        <v>0.47805840680464651</v>
      </c>
      <c r="AL162" s="5">
        <v>14.43</v>
      </c>
      <c r="AN162" s="5">
        <f t="shared" si="17"/>
        <v>15.789473684210526</v>
      </c>
    </row>
    <row r="163" spans="1:40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2"/>
        <v>13.385613144683566</v>
      </c>
      <c r="W163" s="15">
        <v>4.3252899999999999</v>
      </c>
      <c r="X163" s="15"/>
      <c r="Y163" s="15">
        <f t="shared" si="13"/>
        <v>0.32312976277204741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14"/>
        <v>2153.9377604716797</v>
      </c>
      <c r="AH163" s="17">
        <v>1742.9541514328239</v>
      </c>
      <c r="AI163" s="15">
        <v>4.8289999999999997</v>
      </c>
      <c r="AJ163" s="17">
        <f t="shared" si="15"/>
        <v>1.6649091188806759</v>
      </c>
      <c r="AK163" s="15">
        <f t="shared" si="16"/>
        <v>0.32312976277204741</v>
      </c>
      <c r="AL163" s="5">
        <v>14.43</v>
      </c>
      <c r="AN163" s="5">
        <f t="shared" si="17"/>
        <v>15.789473684210526</v>
      </c>
    </row>
    <row r="164" spans="1:40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2"/>
        <v>18.101502686002885</v>
      </c>
      <c r="W164" s="15">
        <v>4.0372399999999997</v>
      </c>
      <c r="X164" s="15"/>
      <c r="Y164" s="15">
        <f t="shared" si="13"/>
        <v>0.22303341717159339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14"/>
        <v>1486.7095341874378</v>
      </c>
      <c r="AH164" s="17">
        <v>1288.8714492217537</v>
      </c>
      <c r="AI164" s="15">
        <v>4.5663999999999998</v>
      </c>
      <c r="AJ164" s="17">
        <f t="shared" si="15"/>
        <v>1.9909957767822142</v>
      </c>
      <c r="AK164" s="15">
        <f t="shared" si="16"/>
        <v>0.22303341717159339</v>
      </c>
      <c r="AL164" s="5">
        <v>14.43</v>
      </c>
      <c r="AN164" s="5">
        <f t="shared" si="17"/>
        <v>15.789473684210526</v>
      </c>
    </row>
    <row r="165" spans="1:40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2"/>
        <v>26.808449300758216</v>
      </c>
      <c r="W165" s="15">
        <v>3.7762199999999999</v>
      </c>
      <c r="X165" s="15"/>
      <c r="Y165" s="15">
        <f t="shared" si="13"/>
        <v>0.14085932228438136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14"/>
        <v>938.94852204256631</v>
      </c>
      <c r="AH165" s="17">
        <v>870.26704671575874</v>
      </c>
      <c r="AI165" s="15">
        <v>4.3387000000000002</v>
      </c>
      <c r="AJ165" s="17">
        <f t="shared" si="15"/>
        <v>2.4857419168738839</v>
      </c>
      <c r="AK165" s="15">
        <f t="shared" si="16"/>
        <v>0.14085932228438136</v>
      </c>
      <c r="AL165" s="5">
        <v>14.43</v>
      </c>
      <c r="AN165" s="5">
        <f t="shared" si="17"/>
        <v>15.789473684210526</v>
      </c>
    </row>
    <row r="166" spans="1:40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12200.529599999998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2"/>
        <v>3.7326356062671668</v>
      </c>
      <c r="W166" s="15">
        <v>3.95749</v>
      </c>
      <c r="X166" s="15"/>
      <c r="Y166" s="15">
        <f t="shared" si="13"/>
        <v>1.0602401138100108</v>
      </c>
      <c r="Z166" s="15"/>
      <c r="AA166" s="16"/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14"/>
        <v>5950.3258101573465</v>
      </c>
      <c r="AH166" s="17">
        <v>5262.4618977055443</v>
      </c>
      <c r="AI166" s="15">
        <v>32.808</v>
      </c>
      <c r="AJ166" s="17">
        <f t="shared" si="15"/>
        <v>0.33730122553581526</v>
      </c>
      <c r="AK166" s="15">
        <f t="shared" si="16"/>
        <v>1.0602401138100108</v>
      </c>
      <c r="AL166" s="56">
        <v>10.167</v>
      </c>
      <c r="AN166" s="5">
        <f t="shared" si="17"/>
        <v>18.796992481203009</v>
      </c>
    </row>
    <row r="167" spans="1:40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12200.529599999998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2"/>
        <v>4.2026815556597326</v>
      </c>
      <c r="W167" s="15">
        <v>3.85737</v>
      </c>
      <c r="X167" s="15"/>
      <c r="Y167" s="15">
        <f t="shared" si="13"/>
        <v>0.91783542219735803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ref="AG167:AG197" si="18">W167*S167</f>
        <v>5151.1159887657868</v>
      </c>
      <c r="AH167" s="17">
        <v>4673.8855646931079</v>
      </c>
      <c r="AI167" s="15">
        <v>15.58</v>
      </c>
      <c r="AJ167" s="17">
        <f t="shared" si="15"/>
        <v>0.519373175307005</v>
      </c>
      <c r="AK167" s="15">
        <f t="shared" ref="AK167:AK198" si="19">W167/V167</f>
        <v>0.91783542219735803</v>
      </c>
      <c r="AL167" s="5">
        <v>10.167</v>
      </c>
      <c r="AN167" s="5">
        <f t="shared" si="17"/>
        <v>18.796992481203009</v>
      </c>
    </row>
    <row r="168" spans="1:40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12200.529599999998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2"/>
        <v>5.1083463880322624</v>
      </c>
      <c r="W168" s="15">
        <v>3.7757499999999999</v>
      </c>
      <c r="X168" s="15"/>
      <c r="Y168" s="15">
        <f t="shared" si="13"/>
        <v>0.73913351076695888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18"/>
        <v>4148.1973271735324</v>
      </c>
      <c r="AH168" s="17">
        <v>3845.2468105958719</v>
      </c>
      <c r="AI168" s="15">
        <v>8.8933</v>
      </c>
      <c r="AJ168" s="17">
        <f t="shared" si="15"/>
        <v>0.75789439944360204</v>
      </c>
      <c r="AK168" s="15">
        <f t="shared" si="19"/>
        <v>0.73913351076695888</v>
      </c>
      <c r="AL168" s="5">
        <v>10.167</v>
      </c>
      <c r="AN168" s="5">
        <f t="shared" si="17"/>
        <v>18.796992481203009</v>
      </c>
    </row>
    <row r="169" spans="1:40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12200.529599999998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2"/>
        <v>6.561523942217196</v>
      </c>
      <c r="W169" s="15">
        <v>4.2385599999999997</v>
      </c>
      <c r="X169" s="15"/>
      <c r="Y169" s="15">
        <f t="shared" si="13"/>
        <v>0.64597188661141325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18"/>
        <v>3625.3515967503795</v>
      </c>
      <c r="AH169" s="17">
        <v>2993.6418473789045</v>
      </c>
      <c r="AI169" s="15">
        <v>6.5060000000000002</v>
      </c>
      <c r="AJ169" s="17">
        <f t="shared" si="15"/>
        <v>1.0042580680140989</v>
      </c>
      <c r="AK169" s="15">
        <f t="shared" si="19"/>
        <v>0.64597188661141325</v>
      </c>
      <c r="AL169" s="5">
        <v>10.167</v>
      </c>
      <c r="AN169" s="5">
        <f t="shared" si="17"/>
        <v>18.796992481203009</v>
      </c>
    </row>
    <row r="170" spans="1:40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12200.529599999998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2"/>
        <v>9.4125672044320208</v>
      </c>
      <c r="W170" s="15">
        <v>4.5130100000000004</v>
      </c>
      <c r="X170" s="15"/>
      <c r="Y170" s="15">
        <f t="shared" si="13"/>
        <v>0.47946643056901578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18"/>
        <v>2690.8824140472657</v>
      </c>
      <c r="AH170" s="17">
        <v>2086.8751563070832</v>
      </c>
      <c r="AI170" s="15">
        <v>5.3364000000000003</v>
      </c>
      <c r="AJ170" s="17">
        <f t="shared" si="15"/>
        <v>1.328097188311</v>
      </c>
      <c r="AK170" s="15">
        <f t="shared" si="19"/>
        <v>0.47946643056901578</v>
      </c>
      <c r="AL170" s="5">
        <v>10.167</v>
      </c>
      <c r="AN170" s="5">
        <f t="shared" si="17"/>
        <v>18.796992481203009</v>
      </c>
    </row>
    <row r="171" spans="1:40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12200.529599999998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2"/>
        <v>13.353968114601885</v>
      </c>
      <c r="W171" s="15">
        <v>4.3257500000000002</v>
      </c>
      <c r="X171" s="15"/>
      <c r="Y171" s="15">
        <f t="shared" si="13"/>
        <v>0.32392993325107705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18"/>
        <v>1817.9736999196632</v>
      </c>
      <c r="AH171" s="17">
        <v>1470.9375136609424</v>
      </c>
      <c r="AI171" s="15">
        <v>4.8281999999999998</v>
      </c>
      <c r="AJ171" s="17">
        <f t="shared" si="15"/>
        <v>1.6630777054149786</v>
      </c>
      <c r="AK171" s="15">
        <f t="shared" si="19"/>
        <v>0.32392993325107705</v>
      </c>
      <c r="AL171" s="5">
        <v>10.167</v>
      </c>
      <c r="AN171" s="5">
        <f t="shared" si="17"/>
        <v>18.796992481203009</v>
      </c>
    </row>
    <row r="172" spans="1:40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12200.529599999998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2"/>
        <v>18.058708785504582</v>
      </c>
      <c r="W172" s="15">
        <v>4.0373299999999999</v>
      </c>
      <c r="X172" s="15"/>
      <c r="Y172" s="15">
        <f t="shared" si="13"/>
        <v>0.22356692540724152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18"/>
        <v>1254.7120498655393</v>
      </c>
      <c r="AH172" s="17">
        <v>1087.7218791947616</v>
      </c>
      <c r="AI172" s="15">
        <v>4.5655000000000001</v>
      </c>
      <c r="AJ172" s="17">
        <f t="shared" si="15"/>
        <v>1.9888369214111419</v>
      </c>
      <c r="AK172" s="15">
        <f t="shared" si="19"/>
        <v>0.22356692540724152</v>
      </c>
      <c r="AL172" s="5">
        <v>10.167</v>
      </c>
      <c r="AN172" s="5">
        <f t="shared" si="17"/>
        <v>18.796992481203009</v>
      </c>
    </row>
    <row r="173" spans="1:40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12200.529599999998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2"/>
        <v>26.745071241389855</v>
      </c>
      <c r="W173" s="15">
        <v>3.7766299999999999</v>
      </c>
      <c r="X173" s="15"/>
      <c r="Y173" s="15">
        <f t="shared" si="13"/>
        <v>0.14120844793845241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18"/>
        <v>792.49621046784785</v>
      </c>
      <c r="AH173" s="17">
        <v>734.44757274010624</v>
      </c>
      <c r="AI173" s="15">
        <v>4.3377999999999997</v>
      </c>
      <c r="AJ173" s="17">
        <f t="shared" si="15"/>
        <v>2.4830594480876407</v>
      </c>
      <c r="AK173" s="15">
        <f t="shared" si="19"/>
        <v>0.14120844793845241</v>
      </c>
      <c r="AL173" s="5">
        <v>10.167</v>
      </c>
      <c r="AN173" s="5">
        <f t="shared" si="17"/>
        <v>18.796992481203009</v>
      </c>
    </row>
    <row r="174" spans="1:40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9322.3935999999994</v>
      </c>
      <c r="M174" s="15"/>
      <c r="N174" s="15"/>
      <c r="O174" s="15"/>
      <c r="P174" s="15">
        <v>165112677.03772506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2"/>
        <v>3.6713216993545985</v>
      </c>
      <c r="W174" s="15">
        <v>3.9316399999999998</v>
      </c>
      <c r="X174" s="15"/>
      <c r="Y174" s="15">
        <f t="shared" si="13"/>
        <v>1.0709058813045895</v>
      </c>
      <c r="Z174" s="15"/>
      <c r="AA174" s="16"/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18"/>
        <v>4592.3668216750821</v>
      </c>
      <c r="AH174" s="17">
        <v>4088.1881036571986</v>
      </c>
      <c r="AI174" s="15">
        <v>32.468000000000004</v>
      </c>
      <c r="AJ174" s="17">
        <f t="shared" si="15"/>
        <v>0.33626638258822239</v>
      </c>
      <c r="AK174" s="15">
        <f t="shared" si="19"/>
        <v>1.0709058813045895</v>
      </c>
      <c r="AL174" s="56">
        <v>5.66</v>
      </c>
      <c r="AN174" s="5">
        <f t="shared" si="17"/>
        <v>24.671052631578949</v>
      </c>
    </row>
    <row r="175" spans="1:40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9322.3935999999994</v>
      </c>
      <c r="M175" s="15"/>
      <c r="N175" s="15"/>
      <c r="O175" s="15"/>
      <c r="P175" s="15">
        <v>165112677.03772506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2"/>
        <v>4.0765559958385209</v>
      </c>
      <c r="W175" s="15">
        <v>3.7821799999999999</v>
      </c>
      <c r="X175" s="15"/>
      <c r="Y175" s="15">
        <f t="shared" si="13"/>
        <v>0.92778806518565438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18"/>
        <v>3978.6345396798388</v>
      </c>
      <c r="AH175" s="17">
        <v>3681.7975053750579</v>
      </c>
      <c r="AI175" s="15">
        <v>15.195</v>
      </c>
      <c r="AJ175" s="17">
        <f t="shared" si="15"/>
        <v>0.51796015706479059</v>
      </c>
      <c r="AK175" s="15">
        <f t="shared" si="19"/>
        <v>0.92778806518565438</v>
      </c>
      <c r="AL175" s="5">
        <v>5.66</v>
      </c>
      <c r="AN175" s="5">
        <f t="shared" si="17"/>
        <v>24.671052631578949</v>
      </c>
    </row>
    <row r="176" spans="1:40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9322.3935999999994</v>
      </c>
      <c r="M176" s="15"/>
      <c r="N176" s="15"/>
      <c r="O176" s="15"/>
      <c r="P176" s="15">
        <v>165112677.03772506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2"/>
        <v>4.8171853723260085</v>
      </c>
      <c r="W176" s="15">
        <v>3.60751</v>
      </c>
      <c r="X176" s="15"/>
      <c r="Y176" s="15">
        <f t="shared" si="13"/>
        <v>0.74888336677359191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18"/>
        <v>3211.4373325560296</v>
      </c>
      <c r="AH176" s="17">
        <v>3115.730978970565</v>
      </c>
      <c r="AI176" s="15">
        <v>8.4298999999999999</v>
      </c>
      <c r="AJ176" s="17">
        <f t="shared" si="15"/>
        <v>0.75593676547737587</v>
      </c>
      <c r="AK176" s="15">
        <f t="shared" si="19"/>
        <v>0.74888336677359191</v>
      </c>
      <c r="AL176" s="5">
        <v>5.66</v>
      </c>
      <c r="AN176" s="5">
        <f t="shared" si="17"/>
        <v>24.671052631578949</v>
      </c>
    </row>
    <row r="177" spans="1:40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9322.3935999999994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2"/>
        <v>5.9791201751421221</v>
      </c>
      <c r="W177" s="15">
        <v>3.8846799999999999</v>
      </c>
      <c r="X177" s="15"/>
      <c r="Y177" s="15">
        <f t="shared" si="13"/>
        <v>0.64970763025475764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18"/>
        <v>2786.1419169127348</v>
      </c>
      <c r="AH177" s="17">
        <v>2510.2445270124108</v>
      </c>
      <c r="AI177" s="15">
        <v>5.9522000000000004</v>
      </c>
      <c r="AJ177" s="17">
        <f t="shared" si="15"/>
        <v>1.0022588123407918</v>
      </c>
      <c r="AK177" s="15">
        <f t="shared" si="19"/>
        <v>0.64970763025475764</v>
      </c>
      <c r="AL177" s="5">
        <v>5.66</v>
      </c>
      <c r="AN177" s="5">
        <f t="shared" si="17"/>
        <v>24.671052631578949</v>
      </c>
    </row>
    <row r="178" spans="1:40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9322.3935999999994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2"/>
        <v>8.2936919184958953</v>
      </c>
      <c r="W178" s="15">
        <v>3.9965700000000002</v>
      </c>
      <c r="X178" s="15"/>
      <c r="Y178" s="15">
        <f t="shared" si="13"/>
        <v>0.48188069188911942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18"/>
        <v>2066.4494798941214</v>
      </c>
      <c r="AH178" s="17">
        <v>1809.6951084628629</v>
      </c>
      <c r="AI178" s="15">
        <v>4.7203999999999997</v>
      </c>
      <c r="AJ178" s="17">
        <f t="shared" si="15"/>
        <v>1.3255147003838914</v>
      </c>
      <c r="AK178" s="15">
        <f t="shared" si="19"/>
        <v>0.48188069188911942</v>
      </c>
      <c r="AL178" s="5">
        <v>5.66</v>
      </c>
      <c r="AN178" s="5">
        <f t="shared" si="17"/>
        <v>24.671052631578949</v>
      </c>
    </row>
    <row r="179" spans="1:40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9322.3935999999994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2"/>
        <v>11.553467351822054</v>
      </c>
      <c r="W179" s="15">
        <v>3.7583700000000002</v>
      </c>
      <c r="X179" s="15"/>
      <c r="Y179" s="15">
        <f t="shared" si="13"/>
        <v>0.32530234305870798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18"/>
        <v>1394.9943812579315</v>
      </c>
      <c r="AH179" s="17">
        <v>1299.0951754092227</v>
      </c>
      <c r="AI179" s="15">
        <v>4.1933999999999996</v>
      </c>
      <c r="AJ179" s="17">
        <f t="shared" si="15"/>
        <v>1.6598659853686402</v>
      </c>
      <c r="AK179" s="15">
        <f t="shared" si="19"/>
        <v>0.32530234305870798</v>
      </c>
      <c r="AL179" s="5">
        <v>5.66</v>
      </c>
      <c r="AN179" s="5">
        <f t="shared" si="17"/>
        <v>24.671052631578949</v>
      </c>
    </row>
    <row r="180" spans="1:40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9322.3935999999994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2"/>
        <v>15.477786505787755</v>
      </c>
      <c r="W180" s="15">
        <v>3.4788299999999999</v>
      </c>
      <c r="X180" s="15"/>
      <c r="Y180" s="15">
        <f t="shared" si="13"/>
        <v>0.22476275911281812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18"/>
        <v>963.85037725297138</v>
      </c>
      <c r="AH180" s="17">
        <v>969.71577236754888</v>
      </c>
      <c r="AI180" s="15">
        <v>3.9281000000000001</v>
      </c>
      <c r="AJ180" s="17">
        <f t="shared" si="15"/>
        <v>1.9850120992672451</v>
      </c>
      <c r="AK180" s="15">
        <f t="shared" si="19"/>
        <v>0.22476275911281812</v>
      </c>
      <c r="AL180" s="5">
        <v>5.66</v>
      </c>
      <c r="AN180" s="5">
        <f t="shared" si="17"/>
        <v>24.671052631578949</v>
      </c>
    </row>
    <row r="181" spans="1:40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9322.3935999999994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2"/>
        <v>22.749923596995465</v>
      </c>
      <c r="W181" s="15">
        <v>3.2355100000000001</v>
      </c>
      <c r="X181" s="15"/>
      <c r="Y181" s="15">
        <f t="shared" si="13"/>
        <v>0.14222069741048743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18"/>
        <v>609.88516689044968</v>
      </c>
      <c r="AH181" s="17">
        <v>659.7408396563676</v>
      </c>
      <c r="AI181" s="15">
        <v>3.7039</v>
      </c>
      <c r="AJ181" s="17">
        <f t="shared" si="15"/>
        <v>2.4783369095091596</v>
      </c>
      <c r="AK181" s="15">
        <f t="shared" si="19"/>
        <v>0.14222069741048743</v>
      </c>
      <c r="AL181" s="5">
        <v>5.66</v>
      </c>
      <c r="AN181" s="5">
        <f t="shared" si="17"/>
        <v>24.671052631578949</v>
      </c>
    </row>
    <row r="182" spans="1:40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2"/>
        <v>3.6006690239228165</v>
      </c>
      <c r="W182" s="15">
        <v>3.89873</v>
      </c>
      <c r="X182" s="15"/>
      <c r="Y182" s="15">
        <f t="shared" si="13"/>
        <v>1.0827793318677359</v>
      </c>
      <c r="Z182" s="15"/>
      <c r="AA182" s="16"/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18"/>
        <v>3345.979544870474</v>
      </c>
      <c r="AH182" s="17">
        <v>3003.7803097538581</v>
      </c>
      <c r="AI182" s="68">
        <v>39</v>
      </c>
      <c r="AJ182" s="17">
        <f t="shared" si="15"/>
        <v>0.30385003993294407</v>
      </c>
      <c r="AK182" s="15">
        <f t="shared" si="19"/>
        <v>1.0827793318677359</v>
      </c>
      <c r="AL182" s="56">
        <v>2.8845000000000001</v>
      </c>
      <c r="AM182" s="5" t="s">
        <v>920</v>
      </c>
      <c r="AN182" s="5">
        <f t="shared" si="17"/>
        <v>34.324942791762012</v>
      </c>
    </row>
    <row r="183" spans="1:40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2"/>
        <v>3.9352449255923623</v>
      </c>
      <c r="W183" s="15">
        <v>3.6991200000000002</v>
      </c>
      <c r="X183" s="15"/>
      <c r="Y183" s="15">
        <f t="shared" si="13"/>
        <v>0.93999740040149626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18"/>
        <v>2904.7581362210767</v>
      </c>
      <c r="AH183" s="17">
        <v>2748.3978559153984</v>
      </c>
      <c r="AI183" s="15">
        <v>14.771000000000001</v>
      </c>
      <c r="AJ183" s="17">
        <f t="shared" si="15"/>
        <v>0.51615594604593384</v>
      </c>
      <c r="AK183" s="15">
        <f t="shared" si="19"/>
        <v>0.93999740040149626</v>
      </c>
      <c r="AL183" s="5">
        <v>2.8845000000000001</v>
      </c>
      <c r="AN183" s="5">
        <f t="shared" si="17"/>
        <v>34.324942791762012</v>
      </c>
    </row>
    <row r="184" spans="1:40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2"/>
        <v>4.5055254451011866</v>
      </c>
      <c r="W184" s="15">
        <v>3.4173100000000001</v>
      </c>
      <c r="X184" s="15"/>
      <c r="Y184" s="15">
        <f t="shared" si="13"/>
        <v>0.75847091346817441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18"/>
        <v>2343.8092020708586</v>
      </c>
      <c r="AH184" s="17">
        <v>2400.5232792014785</v>
      </c>
      <c r="AI184" s="15">
        <v>7.9382999999999999</v>
      </c>
      <c r="AJ184" s="17">
        <f t="shared" si="15"/>
        <v>0.75337112316390009</v>
      </c>
      <c r="AK184" s="15">
        <f t="shared" si="19"/>
        <v>0.75847091346817441</v>
      </c>
      <c r="AL184" s="5">
        <v>2.8845000000000001</v>
      </c>
      <c r="AN184" s="5">
        <f t="shared" si="17"/>
        <v>34.324942791762012</v>
      </c>
    </row>
    <row r="185" spans="1:40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2"/>
        <v>5.3597659123036951</v>
      </c>
      <c r="W185" s="15">
        <v>3.5109400000000002</v>
      </c>
      <c r="X185" s="15"/>
      <c r="Y185" s="15">
        <f t="shared" si="13"/>
        <v>0.65505472765898354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18"/>
        <v>2024.2349064207958</v>
      </c>
      <c r="AH185" s="17">
        <v>2017.9274417884624</v>
      </c>
      <c r="AI185" s="15">
        <v>5.3654999999999999</v>
      </c>
      <c r="AJ185" s="17">
        <f t="shared" si="15"/>
        <v>0.99946550922426292</v>
      </c>
      <c r="AK185" s="15">
        <f t="shared" si="19"/>
        <v>0.65505472765898354</v>
      </c>
      <c r="AL185" s="5">
        <v>2.8845000000000001</v>
      </c>
      <c r="AN185" s="5">
        <f t="shared" si="17"/>
        <v>34.324942791762012</v>
      </c>
    </row>
    <row r="186" spans="1:40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2"/>
        <v>7.0726056165501285</v>
      </c>
      <c r="W186" s="15">
        <v>3.43011</v>
      </c>
      <c r="X186" s="15"/>
      <c r="Y186" s="15">
        <f t="shared" si="13"/>
        <v>0.48498533439690605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18"/>
        <v>1498.6904170539131</v>
      </c>
      <c r="AH186" s="17">
        <v>1529.2268935074082</v>
      </c>
      <c r="AI186" s="15">
        <v>4.0476999999999999</v>
      </c>
      <c r="AJ186" s="17">
        <f t="shared" si="15"/>
        <v>1.3218603090413346</v>
      </c>
      <c r="AK186" s="15">
        <f t="shared" si="19"/>
        <v>0.48498533439690605</v>
      </c>
      <c r="AL186" s="5">
        <v>2.8845000000000001</v>
      </c>
      <c r="AN186" s="5">
        <f t="shared" si="17"/>
        <v>34.324942791762012</v>
      </c>
    </row>
    <row r="187" spans="1:40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2"/>
        <v>9.5518900091456018</v>
      </c>
      <c r="W187" s="15">
        <v>3.1259399999999999</v>
      </c>
      <c r="X187" s="15"/>
      <c r="Y187" s="15">
        <f t="shared" si="13"/>
        <v>0.3272587934960538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18"/>
        <v>1011.2875234032851</v>
      </c>
      <c r="AH187" s="17">
        <v>1132.3014299415529</v>
      </c>
      <c r="AI187" s="15">
        <v>3.4861</v>
      </c>
      <c r="AJ187" s="17">
        <f t="shared" si="15"/>
        <v>1.6552924569813499</v>
      </c>
      <c r="AK187" s="15">
        <f t="shared" si="19"/>
        <v>0.3272587934960538</v>
      </c>
      <c r="AL187" s="5">
        <v>2.8845000000000001</v>
      </c>
      <c r="AN187" s="5">
        <f t="shared" si="17"/>
        <v>34.324942791762012</v>
      </c>
    </row>
    <row r="188" spans="1:40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2"/>
        <v>12.586265108141232</v>
      </c>
      <c r="W188" s="15">
        <v>2.8481399999999999</v>
      </c>
      <c r="X188" s="15"/>
      <c r="Y188" s="15">
        <f t="shared" si="13"/>
        <v>0.22628952874651626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18"/>
        <v>699.27464638446895</v>
      </c>
      <c r="AH188" s="17">
        <v>859.31915648305255</v>
      </c>
      <c r="AI188" s="15">
        <v>3.2118000000000002</v>
      </c>
      <c r="AJ188" s="17">
        <f t="shared" si="15"/>
        <v>1.9795851657045125</v>
      </c>
      <c r="AK188" s="15">
        <f t="shared" si="19"/>
        <v>0.22628952874651626</v>
      </c>
      <c r="AL188" s="5">
        <v>2.8845000000000001</v>
      </c>
      <c r="AN188" s="5">
        <f t="shared" si="17"/>
        <v>34.324942791762012</v>
      </c>
    </row>
    <row r="189" spans="1:40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2"/>
        <v>18.25571419009334</v>
      </c>
      <c r="W189" s="15">
        <v>2.6207600000000002</v>
      </c>
      <c r="X189" s="15"/>
      <c r="Y189" s="15">
        <f t="shared" si="13"/>
        <v>0.14355833865005313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18"/>
        <v>443.62064409753742</v>
      </c>
      <c r="AH189" s="17">
        <v>592.45114178382642</v>
      </c>
      <c r="AI189" s="15">
        <v>2.9883999999999999</v>
      </c>
      <c r="AJ189" s="17">
        <f t="shared" si="15"/>
        <v>2.4716106054094023</v>
      </c>
      <c r="AK189" s="15">
        <f t="shared" si="19"/>
        <v>0.14355833865005313</v>
      </c>
      <c r="AL189" s="5">
        <v>2.8845000000000001</v>
      </c>
      <c r="AN189" s="5">
        <f t="shared" si="17"/>
        <v>34.324942791762012</v>
      </c>
    </row>
    <row r="190" spans="1:40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4973.8396000000002</v>
      </c>
      <c r="M190" s="15"/>
      <c r="N190" s="15"/>
      <c r="O190" s="15"/>
      <c r="P190" s="15">
        <v>91377606.613187566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2"/>
        <v>3.5415234012886536</v>
      </c>
      <c r="W190" s="15">
        <v>3.8762400000000001</v>
      </c>
      <c r="X190" s="15"/>
      <c r="Y190" s="15">
        <f t="shared" si="13"/>
        <v>1.0945120392511181</v>
      </c>
      <c r="Z190" s="15"/>
      <c r="AA190" s="16"/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18"/>
        <v>2504.2065688118241</v>
      </c>
      <c r="AH190" s="17">
        <v>2261.1404326980228</v>
      </c>
      <c r="AI190" s="68">
        <v>39</v>
      </c>
      <c r="AJ190" s="17">
        <f t="shared" si="15"/>
        <v>0.30134414270188614</v>
      </c>
      <c r="AK190" s="15">
        <f t="shared" si="19"/>
        <v>1.0945120392511181</v>
      </c>
      <c r="AL190" s="56">
        <v>1.5359</v>
      </c>
      <c r="AM190" s="5" t="s">
        <v>920</v>
      </c>
      <c r="AN190" s="5">
        <f t="shared" si="17"/>
        <v>46.439628482972132</v>
      </c>
    </row>
    <row r="191" spans="1:40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4973.8396000000002</v>
      </c>
      <c r="M191" s="15"/>
      <c r="N191" s="15"/>
      <c r="O191" s="15"/>
      <c r="P191" s="15">
        <v>91377606.613187566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2"/>
        <v>3.8212102698874664</v>
      </c>
      <c r="W191" s="15">
        <v>3.6306699999999998</v>
      </c>
      <c r="X191" s="15"/>
      <c r="Y191" s="15">
        <f t="shared" si="13"/>
        <v>0.95013614629140053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18"/>
        <v>2173.8794033151585</v>
      </c>
      <c r="AH191" s="17">
        <v>2095.6401742937405</v>
      </c>
      <c r="AI191" s="15">
        <v>14.439</v>
      </c>
      <c r="AJ191" s="17">
        <f t="shared" si="15"/>
        <v>0.51443666005993438</v>
      </c>
      <c r="AK191" s="15">
        <f t="shared" si="19"/>
        <v>0.95013614629140053</v>
      </c>
      <c r="AL191" s="5">
        <v>1.5359</v>
      </c>
      <c r="AN191" s="5">
        <f t="shared" si="17"/>
        <v>46.439628482972132</v>
      </c>
    </row>
    <row r="192" spans="1:40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4973.8396000000002</v>
      </c>
      <c r="M192" s="15"/>
      <c r="N192" s="15"/>
      <c r="O192" s="15"/>
      <c r="P192" s="15">
        <v>91377606.613187566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2"/>
        <v>4.2689671502281747</v>
      </c>
      <c r="W192" s="15">
        <v>3.2729900000000001</v>
      </c>
      <c r="X192" s="15"/>
      <c r="Y192" s="15">
        <f t="shared" si="13"/>
        <v>0.76669364856205557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18"/>
        <v>1754.1691659317603</v>
      </c>
      <c r="AH192" s="17">
        <v>1875.8358811854484</v>
      </c>
      <c r="AI192" s="15">
        <v>7.5705999999999998</v>
      </c>
      <c r="AJ192" s="17">
        <f t="shared" si="15"/>
        <v>0.75092446922439027</v>
      </c>
      <c r="AK192" s="15">
        <f t="shared" si="19"/>
        <v>0.76669364856205557</v>
      </c>
      <c r="AL192" s="5">
        <v>1.5359</v>
      </c>
      <c r="AN192" s="5">
        <f t="shared" si="17"/>
        <v>46.439628482972132</v>
      </c>
    </row>
    <row r="193" spans="1:40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4973.8396000000002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2"/>
        <v>4.9027236055217616</v>
      </c>
      <c r="W193" s="15">
        <v>3.2385799999999998</v>
      </c>
      <c r="X193" s="15"/>
      <c r="Y193" s="15">
        <f t="shared" si="13"/>
        <v>0.66056752543678032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18"/>
        <v>1511.3561815860742</v>
      </c>
      <c r="AH193" s="17">
        <v>1633.3537030276418</v>
      </c>
      <c r="AI193" s="15">
        <v>4.9366000000000003</v>
      </c>
      <c r="AJ193" s="17">
        <f t="shared" si="15"/>
        <v>0.99656294694919034</v>
      </c>
      <c r="AK193" s="15">
        <f t="shared" si="19"/>
        <v>0.66056752543678032</v>
      </c>
      <c r="AL193" s="5">
        <v>1.5359</v>
      </c>
      <c r="AN193" s="5">
        <f t="shared" si="17"/>
        <v>46.439628482972132</v>
      </c>
    </row>
    <row r="194" spans="1:40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4973.8396000000002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2"/>
        <v>6.1547572996304245</v>
      </c>
      <c r="W194" s="15">
        <v>3.0058699999999998</v>
      </c>
      <c r="X194" s="15"/>
      <c r="Y194" s="15">
        <f t="shared" si="13"/>
        <v>0.48838156464439203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18"/>
        <v>1117.4005204235891</v>
      </c>
      <c r="AH194" s="17">
        <v>1301.0881446910751</v>
      </c>
      <c r="AI194" s="15">
        <v>3.5430000000000001</v>
      </c>
      <c r="AJ194" s="17">
        <f t="shared" si="15"/>
        <v>1.3180135948436238</v>
      </c>
      <c r="AK194" s="15">
        <f t="shared" si="19"/>
        <v>0.48838156464439203</v>
      </c>
      <c r="AL194" s="5">
        <v>1.5359</v>
      </c>
      <c r="AN194" s="5">
        <f t="shared" si="17"/>
        <v>46.439628482972132</v>
      </c>
    </row>
    <row r="195" spans="1:40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4973.8396000000002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2"/>
        <v>8.007981479592317</v>
      </c>
      <c r="W195" s="15">
        <v>2.6370300000000002</v>
      </c>
      <c r="X195" s="15"/>
      <c r="Y195" s="15">
        <f t="shared" si="13"/>
        <v>0.32930021213463773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18"/>
        <v>753.42776028568449</v>
      </c>
      <c r="AH195" s="17">
        <v>999.98754697515585</v>
      </c>
      <c r="AI195" s="15">
        <v>2.9394</v>
      </c>
      <c r="AJ195" s="17">
        <f t="shared" si="15"/>
        <v>1.6505633026418189</v>
      </c>
      <c r="AK195" s="15">
        <f t="shared" si="19"/>
        <v>0.32930021213463773</v>
      </c>
      <c r="AL195" s="5">
        <v>1.5359</v>
      </c>
      <c r="AN195" s="5">
        <f t="shared" si="17"/>
        <v>46.439628482972132</v>
      </c>
    </row>
    <row r="196" spans="1:40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4973.8396000000002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2"/>
        <v>10.325752113568109</v>
      </c>
      <c r="W196" s="15">
        <v>2.3524400000000001</v>
      </c>
      <c r="X196" s="15"/>
      <c r="Y196" s="15">
        <f t="shared" si="13"/>
        <v>0.2278226296861105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18"/>
        <v>521.25047996209946</v>
      </c>
      <c r="AH196" s="17">
        <v>775.52527582737423</v>
      </c>
      <c r="AI196" s="15">
        <v>2.6501999999999999</v>
      </c>
      <c r="AJ196" s="17">
        <f t="shared" si="15"/>
        <v>1.9738835268282688</v>
      </c>
      <c r="AK196" s="15">
        <f t="shared" si="19"/>
        <v>0.2278226296861105</v>
      </c>
      <c r="AL196" s="5">
        <v>1.5359</v>
      </c>
      <c r="AN196" s="5">
        <f t="shared" si="17"/>
        <v>46.439628482972132</v>
      </c>
    </row>
    <row r="197" spans="1:40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4973.8396000000002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2"/>
        <v>14.714210865269832</v>
      </c>
      <c r="W197" s="42">
        <v>2.1318000000000001</v>
      </c>
      <c r="X197" s="42"/>
      <c r="Y197" s="42">
        <f t="shared" si="13"/>
        <v>0.14488034863165641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18"/>
        <v>331.48134303153171</v>
      </c>
      <c r="AH197" s="43">
        <v>544.22774210074158</v>
      </c>
      <c r="AI197" s="42">
        <v>2.4226999999999999</v>
      </c>
      <c r="AJ197" s="43">
        <f t="shared" si="15"/>
        <v>2.4644423773291781</v>
      </c>
      <c r="AK197" s="42">
        <f t="shared" si="19"/>
        <v>0.14488034863165641</v>
      </c>
      <c r="AL197" s="5">
        <v>1.5359</v>
      </c>
      <c r="AN197" s="5">
        <f t="shared" si="17"/>
        <v>46.439628482972132</v>
      </c>
    </row>
    <row r="198" spans="1:40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v>14406.55</v>
      </c>
      <c r="M198" s="36"/>
      <c r="N198" s="36"/>
      <c r="O198" s="36"/>
      <c r="P198" s="71">
        <v>300339860.31145835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12"/>
        <v>3.7748910224908725</v>
      </c>
      <c r="W198" s="15">
        <v>3.88002</v>
      </c>
      <c r="X198" s="36"/>
      <c r="Y198" s="36">
        <f t="shared" si="13"/>
        <v>1.0278495397304894</v>
      </c>
      <c r="Z198" s="36"/>
      <c r="AA198" s="38"/>
      <c r="AB198" s="36">
        <v>0.3550200773318104</v>
      </c>
      <c r="AC198" s="39">
        <v>0.3</v>
      </c>
      <c r="AD198" s="36"/>
      <c r="AE198" s="36" t="s">
        <v>528</v>
      </c>
      <c r="AF198" s="40" t="s">
        <v>5</v>
      </c>
      <c r="AG198" s="39">
        <f t="shared" ref="AG198:AG261" si="20">W198*S198</f>
        <v>5256.7568542445206</v>
      </c>
      <c r="AH198" s="39">
        <v>4741.8953999865516</v>
      </c>
      <c r="AI198" s="36">
        <v>40.722000000000001</v>
      </c>
      <c r="AJ198" s="39">
        <f t="shared" si="15"/>
        <v>0.30446519928076798</v>
      </c>
      <c r="AK198" s="36">
        <f t="shared" si="19"/>
        <v>1.0278495397304894</v>
      </c>
      <c r="AL198" s="56">
        <v>26.521000000000001</v>
      </c>
      <c r="AN198" s="5">
        <f t="shared" si="17"/>
        <v>13.333333333333334</v>
      </c>
    </row>
    <row r="199" spans="1:40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v>14406.55</v>
      </c>
      <c r="M199" s="15"/>
      <c r="N199" s="15"/>
      <c r="O199" s="15"/>
      <c r="P199" s="72">
        <v>300339860.31145835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21">L199*T199/(S199*1000)</f>
        <v>4.2502581415155625</v>
      </c>
      <c r="W199" s="5">
        <v>4.0525799999999998</v>
      </c>
      <c r="X199" s="15"/>
      <c r="Y199" s="15">
        <f t="shared" ref="Y199:Y262" si="22">AK199</f>
        <v>0.95349032107375142</v>
      </c>
      <c r="Z199" s="15"/>
      <c r="AA199" s="16"/>
      <c r="AB199" s="15">
        <v>0.3550200773318104</v>
      </c>
      <c r="AC199" s="17">
        <v>0.5</v>
      </c>
      <c r="AD199" s="15"/>
      <c r="AE199" s="15" t="s">
        <v>529</v>
      </c>
      <c r="AF199" s="22" t="s">
        <v>5</v>
      </c>
      <c r="AG199" s="17">
        <f t="shared" si="20"/>
        <v>4876.4596246980936</v>
      </c>
      <c r="AH199" s="17">
        <v>4211.5414591305607</v>
      </c>
      <c r="AI199" s="15">
        <v>17.13</v>
      </c>
      <c r="AJ199" s="17">
        <f t="shared" ref="AJ199:AJ262" si="23">(V199/AI199)^0.5</f>
        <v>0.49811425725600589</v>
      </c>
      <c r="AK199" s="15">
        <f t="shared" ref="AK199:AK230" si="24">W199/V199</f>
        <v>0.95349032107375142</v>
      </c>
      <c r="AL199" s="5">
        <v>26.521000000000001</v>
      </c>
      <c r="AN199" s="5">
        <f t="shared" ref="AN199:AN262" si="25">C199/F199</f>
        <v>13.333333333333334</v>
      </c>
    </row>
    <row r="200" spans="1:40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v>14406.550000000001</v>
      </c>
      <c r="M200" s="15"/>
      <c r="N200" s="15"/>
      <c r="O200" s="15"/>
      <c r="P200" s="72">
        <v>300339860.31145835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21"/>
        <v>5.1661755804877885</v>
      </c>
      <c r="W200" s="15">
        <v>3.95546</v>
      </c>
      <c r="X200" s="15"/>
      <c r="Y200" s="15">
        <f t="shared" si="22"/>
        <v>0.76564567703417596</v>
      </c>
      <c r="Z200" s="15"/>
      <c r="AA200" s="16"/>
      <c r="AB200" s="15">
        <v>0.3550200773318104</v>
      </c>
      <c r="AC200" s="17">
        <v>0.75</v>
      </c>
      <c r="AD200" s="15"/>
      <c r="AE200" s="15" t="s">
        <v>530</v>
      </c>
      <c r="AF200" s="22" t="s">
        <v>5</v>
      </c>
      <c r="AG200" s="17">
        <f t="shared" si="20"/>
        <v>3915.761018609232</v>
      </c>
      <c r="AH200" s="17">
        <v>3464.8722437168653</v>
      </c>
      <c r="AI200" s="15">
        <v>9.3148999999999997</v>
      </c>
      <c r="AJ200" s="17">
        <f t="shared" si="23"/>
        <v>0.74472422761121626</v>
      </c>
      <c r="AK200" s="15">
        <f t="shared" si="24"/>
        <v>0.76564567703417596</v>
      </c>
      <c r="AL200" s="5">
        <v>26.521000000000001</v>
      </c>
      <c r="AN200" s="5">
        <f t="shared" si="25"/>
        <v>13.333333333333334</v>
      </c>
    </row>
    <row r="201" spans="1:40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v>14406.550000000001</v>
      </c>
      <c r="M201" s="15"/>
      <c r="N201" s="15"/>
      <c r="O201" s="15"/>
      <c r="P201" s="72">
        <v>300339860.31145835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21"/>
        <v>6.6358038758851547</v>
      </c>
      <c r="W201" s="15">
        <v>4.1936499999999999</v>
      </c>
      <c r="X201" s="15"/>
      <c r="Y201" s="15">
        <f t="shared" si="22"/>
        <v>0.63197316835115258</v>
      </c>
      <c r="Z201" s="15"/>
      <c r="AA201" s="16"/>
      <c r="AB201" s="15">
        <v>0.3550200773318104</v>
      </c>
      <c r="AC201" s="17">
        <v>1</v>
      </c>
      <c r="AD201" s="15"/>
      <c r="AE201" s="15" t="s">
        <v>531</v>
      </c>
      <c r="AF201" s="22" t="s">
        <v>5</v>
      </c>
      <c r="AG201" s="17">
        <f t="shared" si="20"/>
        <v>3232.1163322208004</v>
      </c>
      <c r="AH201" s="17">
        <v>2697.5086530284602</v>
      </c>
      <c r="AI201" s="15">
        <v>6.7582000000000004</v>
      </c>
      <c r="AJ201" s="17">
        <f t="shared" si="23"/>
        <v>0.99090324557390197</v>
      </c>
      <c r="AK201" s="15">
        <f t="shared" si="24"/>
        <v>0.63197316835115258</v>
      </c>
      <c r="AL201" s="5">
        <v>26.521000000000001</v>
      </c>
      <c r="AN201" s="5">
        <f t="shared" si="25"/>
        <v>13.333333333333334</v>
      </c>
    </row>
    <row r="202" spans="1:40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v>14406.550000000001</v>
      </c>
      <c r="M202" s="15"/>
      <c r="N202" s="15"/>
      <c r="O202" s="15"/>
      <c r="P202" s="72">
        <v>300339860.31145835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21"/>
        <v>9.5191224610686671</v>
      </c>
      <c r="W202" s="15">
        <v>4.4139499999999998</v>
      </c>
      <c r="X202" s="15"/>
      <c r="Y202" s="15">
        <f t="shared" si="22"/>
        <v>0.46369295258593263</v>
      </c>
      <c r="Z202" s="15"/>
      <c r="AA202" s="16"/>
      <c r="AB202" s="15">
        <v>0.3550200773318104</v>
      </c>
      <c r="AC202" s="17">
        <v>1.33</v>
      </c>
      <c r="AD202" s="15"/>
      <c r="AE202" s="15" t="s">
        <v>532</v>
      </c>
      <c r="AF202" s="22" t="s">
        <v>5</v>
      </c>
      <c r="AG202" s="17">
        <f t="shared" si="20"/>
        <v>2371.4765756572883</v>
      </c>
      <c r="AH202" s="17">
        <v>1880.4399720886074</v>
      </c>
      <c r="AI202" s="15">
        <v>5.4934000000000003</v>
      </c>
      <c r="AJ202" s="17">
        <f t="shared" si="23"/>
        <v>1.3163696035292809</v>
      </c>
      <c r="AK202" s="15">
        <f t="shared" si="24"/>
        <v>0.46369295258593263</v>
      </c>
      <c r="AL202" s="5">
        <v>26.521000000000001</v>
      </c>
      <c r="AN202" s="5">
        <f t="shared" si="25"/>
        <v>13.333333333333334</v>
      </c>
    </row>
    <row r="203" spans="1:40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v>14406.550000000001</v>
      </c>
      <c r="M203" s="15"/>
      <c r="N203" s="15"/>
      <c r="O203" s="15"/>
      <c r="P203" s="72">
        <v>300339860.31145835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21"/>
        <v>13.505142121508198</v>
      </c>
      <c r="W203" s="15">
        <v>4.2390999999999996</v>
      </c>
      <c r="X203" s="15"/>
      <c r="Y203" s="15">
        <f t="shared" si="22"/>
        <v>0.31388784818849391</v>
      </c>
      <c r="Z203" s="15"/>
      <c r="AA203" s="16"/>
      <c r="AB203" s="15">
        <v>0.3550200773318104</v>
      </c>
      <c r="AC203" s="17">
        <v>1.67</v>
      </c>
      <c r="AD203" s="15"/>
      <c r="AE203" s="15" t="s">
        <v>533</v>
      </c>
      <c r="AF203" s="22" t="s">
        <v>5</v>
      </c>
      <c r="AG203" s="17">
        <f t="shared" si="20"/>
        <v>1605.3245476585812</v>
      </c>
      <c r="AH203" s="17">
        <v>1325.4313219327296</v>
      </c>
      <c r="AI203" s="15">
        <v>4.9488000000000003</v>
      </c>
      <c r="AJ203" s="17">
        <f t="shared" si="23"/>
        <v>1.6519603835858643</v>
      </c>
      <c r="AK203" s="15">
        <f t="shared" si="24"/>
        <v>0.31388784818849391</v>
      </c>
      <c r="AL203" s="5">
        <v>26.521000000000001</v>
      </c>
      <c r="AN203" s="5">
        <f t="shared" si="25"/>
        <v>13.333333333333334</v>
      </c>
    </row>
    <row r="204" spans="1:40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v>14406.550000000001</v>
      </c>
      <c r="M204" s="15"/>
      <c r="N204" s="15"/>
      <c r="O204" s="15"/>
      <c r="P204" s="72">
        <v>300339860.31145835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21"/>
        <v>18.263142953927815</v>
      </c>
      <c r="W204" s="15">
        <v>3.9175300000000002</v>
      </c>
      <c r="X204" s="15"/>
      <c r="Y204" s="15">
        <f t="shared" si="22"/>
        <v>0.21450469997867838</v>
      </c>
      <c r="Z204" s="15"/>
      <c r="AA204" s="16"/>
      <c r="AB204" s="15">
        <v>0.3550200773318104</v>
      </c>
      <c r="AC204" s="17">
        <v>2</v>
      </c>
      <c r="AD204" s="15"/>
      <c r="AE204" s="15" t="s">
        <v>534</v>
      </c>
      <c r="AF204" s="22" t="s">
        <v>5</v>
      </c>
      <c r="AG204" s="17">
        <f t="shared" si="20"/>
        <v>1097.0468033446296</v>
      </c>
      <c r="AH204" s="17">
        <v>980.12365232843217</v>
      </c>
      <c r="AI204" s="15">
        <v>4.6688000000000001</v>
      </c>
      <c r="AJ204" s="17">
        <f t="shared" si="23"/>
        <v>1.977812531026079</v>
      </c>
      <c r="AK204" s="15">
        <f t="shared" si="24"/>
        <v>0.21450469997867838</v>
      </c>
      <c r="AL204" s="5">
        <v>26.521000000000001</v>
      </c>
      <c r="AN204" s="5">
        <f t="shared" si="25"/>
        <v>13.333333333333334</v>
      </c>
    </row>
    <row r="205" spans="1:40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v>14406.550000000001</v>
      </c>
      <c r="M205" s="15"/>
      <c r="N205" s="15"/>
      <c r="O205" s="15"/>
      <c r="P205" s="72">
        <v>300339860.31145835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21"/>
        <v>27.047839643250466</v>
      </c>
      <c r="W205" s="15">
        <v>3.6457000000000002</v>
      </c>
      <c r="X205" s="15"/>
      <c r="Y205" s="15">
        <f t="shared" si="22"/>
        <v>0.13478710492539284</v>
      </c>
      <c r="Z205" s="15"/>
      <c r="AA205" s="16"/>
      <c r="AB205" s="15">
        <v>0.3550200773318104</v>
      </c>
      <c r="AC205" s="17">
        <v>2.5</v>
      </c>
      <c r="AD205" s="15"/>
      <c r="AE205" s="15" t="s">
        <v>535</v>
      </c>
      <c r="AF205" s="22" t="s">
        <v>5</v>
      </c>
      <c r="AG205" s="17">
        <f t="shared" si="20"/>
        <v>689.34509409433576</v>
      </c>
      <c r="AH205" s="17">
        <v>661.79549313716848</v>
      </c>
      <c r="AI205" s="15">
        <v>4.4273999999999996</v>
      </c>
      <c r="AJ205" s="17">
        <f t="shared" si="23"/>
        <v>2.4716781088229802</v>
      </c>
      <c r="AK205" s="15">
        <f t="shared" si="24"/>
        <v>0.13478710492539284</v>
      </c>
      <c r="AL205" s="5">
        <v>26.521000000000001</v>
      </c>
      <c r="AN205" s="5">
        <f t="shared" si="25"/>
        <v>13.333333333333334</v>
      </c>
    </row>
    <row r="206" spans="1:40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258481086.58333337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1"/>
        <v>3.761078103305771</v>
      </c>
      <c r="W206" s="15">
        <v>3.89249</v>
      </c>
      <c r="X206" s="15"/>
      <c r="Y206" s="15">
        <f t="shared" si="22"/>
        <v>1.0349399542058766</v>
      </c>
      <c r="Z206" s="15"/>
      <c r="AA206" s="16"/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0"/>
        <v>4057.606283258644</v>
      </c>
      <c r="AH206" s="17">
        <v>3648.4671743293502</v>
      </c>
      <c r="AI206" s="15">
        <v>39.893999999999998</v>
      </c>
      <c r="AJ206" s="17">
        <f>(V206/AI206)^0.5</f>
        <v>0.30704525084377782</v>
      </c>
      <c r="AK206" s="15">
        <f t="shared" si="24"/>
        <v>1.0349399542058766</v>
      </c>
      <c r="AL206" s="56">
        <v>15.672000000000001</v>
      </c>
      <c r="AN206" s="5">
        <f t="shared" si="25"/>
        <v>13.333333333333334</v>
      </c>
    </row>
    <row r="207" spans="1:40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258481086.58333337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1"/>
        <v>4.2347057793745666</v>
      </c>
      <c r="W207" s="15">
        <v>3.9782199999999999</v>
      </c>
      <c r="X207" s="15"/>
      <c r="Y207" s="15">
        <f t="shared" si="22"/>
        <v>0.93943244401445813</v>
      </c>
      <c r="Z207" s="15"/>
      <c r="AA207" s="16"/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0"/>
        <v>3683.1576286519648</v>
      </c>
      <c r="AH207" s="17">
        <v>3240.4069408634709</v>
      </c>
      <c r="AI207" s="15">
        <v>16.908999999999999</v>
      </c>
      <c r="AJ207" s="17">
        <f t="shared" si="23"/>
        <v>0.50044074130654048</v>
      </c>
      <c r="AK207" s="15">
        <f t="shared" si="24"/>
        <v>0.93943244401445813</v>
      </c>
      <c r="AL207" s="5">
        <v>15.672000000000001</v>
      </c>
      <c r="AN207" s="5">
        <f t="shared" si="25"/>
        <v>13.333333333333334</v>
      </c>
    </row>
    <row r="208" spans="1:40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1"/>
        <v>5.1472717325716077</v>
      </c>
      <c r="W208" s="15">
        <v>3.8763999999999998</v>
      </c>
      <c r="X208" s="15"/>
      <c r="Y208" s="15">
        <f t="shared" si="22"/>
        <v>0.75309799081917272</v>
      </c>
      <c r="Z208" s="15"/>
      <c r="AA208" s="16"/>
      <c r="AB208" s="15">
        <v>0.50420742049940981</v>
      </c>
      <c r="AC208" s="17">
        <v>0.75</v>
      </c>
      <c r="AD208" s="15"/>
      <c r="AE208" s="15" t="s">
        <v>538</v>
      </c>
      <c r="AF208" s="24" t="s">
        <v>218</v>
      </c>
      <c r="AG208" s="17">
        <f t="shared" si="20"/>
        <v>2952.6110447654651</v>
      </c>
      <c r="AH208" s="17">
        <v>2665.911324083977</v>
      </c>
      <c r="AI208" s="15">
        <v>9.2159999999999993</v>
      </c>
      <c r="AJ208" s="17">
        <f t="shared" si="23"/>
        <v>0.7473384293120533</v>
      </c>
      <c r="AK208" s="15">
        <f t="shared" si="24"/>
        <v>0.75309799081917272</v>
      </c>
      <c r="AL208" s="5">
        <v>15.672000000000001</v>
      </c>
      <c r="AN208" s="5">
        <f t="shared" si="25"/>
        <v>13.333333333333334</v>
      </c>
    </row>
    <row r="209" spans="1:40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1"/>
        <v>6.6115224271970545</v>
      </c>
      <c r="W209" s="15">
        <v>4.1645599999999998</v>
      </c>
      <c r="X209" s="15"/>
      <c r="Y209" s="15">
        <f t="shared" si="22"/>
        <v>0.62989425595362591</v>
      </c>
      <c r="Z209" s="15"/>
      <c r="AA209" s="16"/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0"/>
        <v>2469.5760177769048</v>
      </c>
      <c r="AH209" s="17">
        <v>2075.4932243068097</v>
      </c>
      <c r="AI209" s="15">
        <v>6.6924999999999999</v>
      </c>
      <c r="AJ209" s="17">
        <f t="shared" si="23"/>
        <v>0.99393171325219842</v>
      </c>
      <c r="AK209" s="15">
        <f t="shared" si="24"/>
        <v>0.62989425595362591</v>
      </c>
      <c r="AL209" s="5">
        <v>15.672000000000001</v>
      </c>
      <c r="AN209" s="5">
        <f t="shared" si="25"/>
        <v>13.333333333333334</v>
      </c>
    </row>
    <row r="210" spans="1:40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1"/>
        <v>9.4842904967856096</v>
      </c>
      <c r="W210" s="15">
        <v>4.4036499999999998</v>
      </c>
      <c r="X210" s="15"/>
      <c r="Y210" s="15">
        <f t="shared" si="22"/>
        <v>0.46430990293817687</v>
      </c>
      <c r="Z210" s="15"/>
      <c r="AA210" s="16"/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0"/>
        <v>1820.3826916574751</v>
      </c>
      <c r="AH210" s="17">
        <v>1446.8314740729086</v>
      </c>
      <c r="AI210" s="15">
        <v>5.4427000000000003</v>
      </c>
      <c r="AJ210" s="17">
        <f t="shared" si="23"/>
        <v>1.3200647234734655</v>
      </c>
      <c r="AK210" s="15">
        <f t="shared" si="24"/>
        <v>0.46430990293817687</v>
      </c>
      <c r="AL210" s="5">
        <v>15.672000000000001</v>
      </c>
      <c r="AN210" s="5">
        <f t="shared" si="25"/>
        <v>13.333333333333334</v>
      </c>
    </row>
    <row r="211" spans="1:40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1"/>
        <v>13.455724685191157</v>
      </c>
      <c r="W211" s="15">
        <v>4.2394400000000001</v>
      </c>
      <c r="X211" s="15"/>
      <c r="Y211" s="15">
        <f t="shared" si="22"/>
        <v>0.31506589939862262</v>
      </c>
      <c r="Z211" s="15"/>
      <c r="AA211" s="16"/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0"/>
        <v>1235.2536665002278</v>
      </c>
      <c r="AH211" s="17">
        <v>1019.8016324681555</v>
      </c>
      <c r="AI211" s="15">
        <v>4.9043000000000001</v>
      </c>
      <c r="AJ211" s="17">
        <f t="shared" si="23"/>
        <v>1.6563992761146846</v>
      </c>
      <c r="AK211" s="15">
        <f t="shared" si="24"/>
        <v>0.31506589939862262</v>
      </c>
      <c r="AL211" s="5">
        <v>15.672000000000001</v>
      </c>
      <c r="AN211" s="5">
        <f t="shared" si="25"/>
        <v>13.333333333333334</v>
      </c>
    </row>
    <row r="212" spans="1:40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1"/>
        <v>18.196315245211046</v>
      </c>
      <c r="W212" s="15">
        <v>3.9344199999999998</v>
      </c>
      <c r="X212" s="15"/>
      <c r="Y212" s="15">
        <f t="shared" si="22"/>
        <v>0.21622069891515375</v>
      </c>
      <c r="Z212" s="15"/>
      <c r="AA212" s="16"/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0"/>
        <v>847.71919658073</v>
      </c>
      <c r="AH212" s="17">
        <v>754.11806264520703</v>
      </c>
      <c r="AI212" s="15">
        <v>4.6273999999999997</v>
      </c>
      <c r="AJ212" s="17">
        <f t="shared" si="23"/>
        <v>1.9830022409539199</v>
      </c>
      <c r="AK212" s="15">
        <f t="shared" si="24"/>
        <v>0.21622069891515375</v>
      </c>
      <c r="AL212" s="5">
        <v>15.672000000000001</v>
      </c>
      <c r="AN212" s="5">
        <f t="shared" si="25"/>
        <v>13.333333333333334</v>
      </c>
    </row>
    <row r="213" spans="1:40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1"/>
        <v>26.948867349507996</v>
      </c>
      <c r="W213" s="15">
        <v>3.66873</v>
      </c>
      <c r="X213" s="15"/>
      <c r="Y213" s="15">
        <f t="shared" si="22"/>
        <v>0.13613670483509133</v>
      </c>
      <c r="Z213" s="15"/>
      <c r="AA213" s="16"/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0"/>
        <v>533.74028771055578</v>
      </c>
      <c r="AH213" s="17">
        <v>509.19282885002309</v>
      </c>
      <c r="AI213" s="15">
        <v>4.3886000000000003</v>
      </c>
      <c r="AJ213" s="17">
        <f t="shared" si="23"/>
        <v>2.4780339892129897</v>
      </c>
      <c r="AK213" s="15">
        <f t="shared" si="24"/>
        <v>0.13613670483509133</v>
      </c>
      <c r="AL213" s="5">
        <v>15.672000000000001</v>
      </c>
      <c r="AN213" s="5">
        <f t="shared" si="25"/>
        <v>13.333333333333334</v>
      </c>
    </row>
    <row r="214" spans="1:40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v>9498</v>
      </c>
      <c r="M214" s="15"/>
      <c r="N214" s="15"/>
      <c r="O214" s="15"/>
      <c r="P214" s="15">
        <v>239235673.37500003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21"/>
        <v>3.7515049472132342</v>
      </c>
      <c r="W214" s="15">
        <v>3.89588</v>
      </c>
      <c r="X214" s="15"/>
      <c r="Y214" s="15">
        <f t="shared" si="22"/>
        <v>1.0384845694776474</v>
      </c>
      <c r="Z214" s="15"/>
      <c r="AA214" s="16"/>
      <c r="AB214" s="15">
        <v>0.60172287236842936</v>
      </c>
      <c r="AC214" s="17">
        <v>0.3</v>
      </c>
      <c r="AD214" s="15"/>
      <c r="AE214" s="15" t="s">
        <v>544</v>
      </c>
      <c r="AF214" s="22" t="s">
        <v>5</v>
      </c>
      <c r="AG214" s="17">
        <f t="shared" si="20"/>
        <v>3501.551886519037</v>
      </c>
      <c r="AH214" s="17">
        <v>3145.7415533375333</v>
      </c>
      <c r="AI214" s="15">
        <v>39.244999999999997</v>
      </c>
      <c r="AJ214" s="17">
        <f t="shared" si="23"/>
        <v>0.30917943203396603</v>
      </c>
      <c r="AK214" s="15">
        <f t="shared" si="24"/>
        <v>1.0384845694776474</v>
      </c>
      <c r="AL214" s="56">
        <v>10.936</v>
      </c>
      <c r="AN214" s="5">
        <f t="shared" si="25"/>
        <v>13.333333333333334</v>
      </c>
    </row>
    <row r="215" spans="1:40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v>9498</v>
      </c>
      <c r="M215" s="15"/>
      <c r="N215" s="15"/>
      <c r="O215" s="15"/>
      <c r="P215" s="15">
        <v>239235673.37500003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21"/>
        <v>4.2239270881806004</v>
      </c>
      <c r="W215" s="15">
        <v>3.9123000000000001</v>
      </c>
      <c r="X215" s="15"/>
      <c r="Y215" s="15">
        <f t="shared" si="22"/>
        <v>0.92622337420250556</v>
      </c>
      <c r="Z215" s="15"/>
      <c r="AA215" s="16"/>
      <c r="AB215" s="15">
        <v>0.60172287236842936</v>
      </c>
      <c r="AC215" s="17">
        <v>0.5</v>
      </c>
      <c r="AD215" s="15"/>
      <c r="AE215" s="15" t="s">
        <v>545</v>
      </c>
      <c r="AF215" s="22" t="s">
        <v>5</v>
      </c>
      <c r="AG215" s="17">
        <f t="shared" si="20"/>
        <v>3123.0307109022665</v>
      </c>
      <c r="AH215" s="17">
        <v>2793.9083117751534</v>
      </c>
      <c r="AI215" s="15">
        <v>16.751999999999999</v>
      </c>
      <c r="AJ215" s="17">
        <f t="shared" si="23"/>
        <v>0.50214006483243423</v>
      </c>
      <c r="AK215" s="15">
        <f t="shared" si="24"/>
        <v>0.92622337420250556</v>
      </c>
      <c r="AL215" s="5">
        <v>10.936</v>
      </c>
      <c r="AN215" s="5">
        <f t="shared" si="25"/>
        <v>13.333333333333334</v>
      </c>
    </row>
    <row r="216" spans="1:40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v>9498</v>
      </c>
      <c r="M216" s="15"/>
      <c r="N216" s="15"/>
      <c r="O216" s="15"/>
      <c r="P216" s="15">
        <v>239235673.375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21"/>
        <v>5.1341702668766223</v>
      </c>
      <c r="W216" s="15">
        <v>3.8248600000000001</v>
      </c>
      <c r="X216" s="15"/>
      <c r="Y216" s="15">
        <f t="shared" si="22"/>
        <v>0.74498113642165154</v>
      </c>
      <c r="Z216" s="15"/>
      <c r="AA216" s="16"/>
      <c r="AB216" s="15">
        <v>0.60172287236842936</v>
      </c>
      <c r="AC216" s="17">
        <v>0.75</v>
      </c>
      <c r="AD216" s="15"/>
      <c r="AE216" s="15" t="s">
        <v>546</v>
      </c>
      <c r="AF216" s="22" t="s">
        <v>5</v>
      </c>
      <c r="AG216" s="17">
        <f t="shared" si="20"/>
        <v>2511.9199459751603</v>
      </c>
      <c r="AH216" s="17">
        <v>2298.5729702297758</v>
      </c>
      <c r="AI216" s="15">
        <v>9.1524000000000001</v>
      </c>
      <c r="AJ216" s="17">
        <f t="shared" si="23"/>
        <v>0.74897554458221072</v>
      </c>
      <c r="AK216" s="15">
        <f t="shared" si="24"/>
        <v>0.74498113642165154</v>
      </c>
      <c r="AL216" s="5">
        <v>10.936</v>
      </c>
      <c r="AN216" s="5">
        <f t="shared" si="25"/>
        <v>13.333333333333334</v>
      </c>
    </row>
    <row r="217" spans="1:40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v>9498</v>
      </c>
      <c r="M217" s="15"/>
      <c r="N217" s="15"/>
      <c r="O217" s="15"/>
      <c r="P217" s="15">
        <v>239235673.375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21"/>
        <v>6.594693971507918</v>
      </c>
      <c r="W217" s="15">
        <v>4.1507399999999999</v>
      </c>
      <c r="X217" s="15"/>
      <c r="Y217" s="15">
        <f t="shared" si="22"/>
        <v>0.62940600700094462</v>
      </c>
      <c r="Z217" s="15"/>
      <c r="AA217" s="16"/>
      <c r="AB217" s="15">
        <v>0.60172287236842936</v>
      </c>
      <c r="AC217" s="17">
        <v>1</v>
      </c>
      <c r="AD217" s="15"/>
      <c r="AE217" s="15" t="s">
        <v>547</v>
      </c>
      <c r="AF217" s="22" t="s">
        <v>5</v>
      </c>
      <c r="AG217" s="17">
        <f t="shared" si="20"/>
        <v>2122.2248803457151</v>
      </c>
      <c r="AH217" s="17">
        <v>1789.5091191474298</v>
      </c>
      <c r="AI217" s="15">
        <v>6.6516000000000002</v>
      </c>
      <c r="AJ217" s="17">
        <f t="shared" si="23"/>
        <v>0.99571319208183118</v>
      </c>
      <c r="AK217" s="15">
        <f t="shared" si="24"/>
        <v>0.62940600700094462</v>
      </c>
      <c r="AL217" s="5">
        <v>10.936</v>
      </c>
      <c r="AN217" s="5">
        <f t="shared" si="25"/>
        <v>13.333333333333334</v>
      </c>
    </row>
    <row r="218" spans="1:40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v>9498</v>
      </c>
      <c r="M218" s="15"/>
      <c r="N218" s="15"/>
      <c r="O218" s="15"/>
      <c r="P218" s="15">
        <v>239235673.375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21"/>
        <v>9.4601499203713928</v>
      </c>
      <c r="W218" s="15">
        <v>4.4028499999999999</v>
      </c>
      <c r="X218" s="15"/>
      <c r="Y218" s="15">
        <f t="shared" si="22"/>
        <v>0.46541017183236666</v>
      </c>
      <c r="Z218" s="15"/>
      <c r="AA218" s="16"/>
      <c r="AB218" s="15">
        <v>0.60172287236842936</v>
      </c>
      <c r="AC218" s="17">
        <v>1.33</v>
      </c>
      <c r="AD218" s="15"/>
      <c r="AE218" s="15" t="s">
        <v>548</v>
      </c>
      <c r="AF218" s="22" t="s">
        <v>5</v>
      </c>
      <c r="AG218" s="17">
        <f t="shared" si="20"/>
        <v>1569.2653632826557</v>
      </c>
      <c r="AH218" s="17">
        <v>1247.4712451001726</v>
      </c>
      <c r="AI218" s="15">
        <v>5.4123000000000001</v>
      </c>
      <c r="AJ218" s="17">
        <f t="shared" si="23"/>
        <v>1.3220810455484713</v>
      </c>
      <c r="AK218" s="15">
        <f t="shared" si="24"/>
        <v>0.46541017183236666</v>
      </c>
      <c r="AL218" s="5">
        <v>10.936</v>
      </c>
      <c r="AN218" s="5">
        <f t="shared" si="25"/>
        <v>13.333333333333334</v>
      </c>
    </row>
    <row r="219" spans="1:40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v>9498</v>
      </c>
      <c r="M219" s="15"/>
      <c r="N219" s="15"/>
      <c r="O219" s="15"/>
      <c r="P219" s="15">
        <v>239235673.375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21"/>
        <v>13.421475528643111</v>
      </c>
      <c r="W219" s="15">
        <v>4.2393000000000001</v>
      </c>
      <c r="X219" s="15"/>
      <c r="Y219" s="15">
        <f t="shared" si="22"/>
        <v>0.3158594590403121</v>
      </c>
      <c r="Z219" s="15"/>
      <c r="AA219" s="16"/>
      <c r="AB219" s="15">
        <v>0.60172287236842936</v>
      </c>
      <c r="AC219" s="17">
        <v>1.67</v>
      </c>
      <c r="AD219" s="15"/>
      <c r="AE219" s="15" t="s">
        <v>549</v>
      </c>
      <c r="AF219" s="22" t="s">
        <v>5</v>
      </c>
      <c r="AG219" s="17">
        <f t="shared" si="20"/>
        <v>1065.011765397534</v>
      </c>
      <c r="AH219" s="17">
        <v>879.28223501317882</v>
      </c>
      <c r="AI219" s="15">
        <v>4.8779000000000003</v>
      </c>
      <c r="AJ219" s="17">
        <f t="shared" si="23"/>
        <v>1.6587605022145755</v>
      </c>
      <c r="AK219" s="15">
        <f t="shared" si="24"/>
        <v>0.3158594590403121</v>
      </c>
      <c r="AL219" s="5">
        <v>10.936</v>
      </c>
      <c r="AN219" s="5">
        <f t="shared" si="25"/>
        <v>13.333333333333334</v>
      </c>
    </row>
    <row r="220" spans="1:40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v>9498</v>
      </c>
      <c r="M220" s="15"/>
      <c r="N220" s="15"/>
      <c r="O220" s="15"/>
      <c r="P220" s="15">
        <v>239235673.375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21"/>
        <v>18.149999757638934</v>
      </c>
      <c r="W220" s="15">
        <v>3.9443600000000001</v>
      </c>
      <c r="X220" s="15"/>
      <c r="Y220" s="15">
        <f t="shared" si="22"/>
        <v>0.21732011309476224</v>
      </c>
      <c r="Z220" s="15"/>
      <c r="AA220" s="16"/>
      <c r="AB220" s="15">
        <v>0.60172287236842936</v>
      </c>
      <c r="AC220" s="17">
        <v>2</v>
      </c>
      <c r="AD220" s="15"/>
      <c r="AE220" s="15" t="s">
        <v>550</v>
      </c>
      <c r="AF220" s="22" t="s">
        <v>5</v>
      </c>
      <c r="AG220" s="17">
        <f t="shared" si="20"/>
        <v>732.7577841317883</v>
      </c>
      <c r="AH220" s="17">
        <v>650.20744669889643</v>
      </c>
      <c r="AI220" s="15">
        <v>4.6031000000000004</v>
      </c>
      <c r="AJ220" s="17">
        <f t="shared" si="23"/>
        <v>1.9856975815924538</v>
      </c>
      <c r="AK220" s="15">
        <f t="shared" si="24"/>
        <v>0.21732011309476224</v>
      </c>
      <c r="AL220" s="5">
        <v>10.936</v>
      </c>
      <c r="AN220" s="5">
        <f t="shared" si="25"/>
        <v>13.333333333333334</v>
      </c>
    </row>
    <row r="221" spans="1:40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v>9498</v>
      </c>
      <c r="M221" s="15"/>
      <c r="N221" s="15"/>
      <c r="O221" s="15"/>
      <c r="P221" s="15">
        <v>239235673.375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21"/>
        <v>26.880273795593975</v>
      </c>
      <c r="W221" s="15">
        <v>3.6808000000000001</v>
      </c>
      <c r="X221" s="15"/>
      <c r="Y221" s="15">
        <f t="shared" si="22"/>
        <v>0.13693312902948671</v>
      </c>
      <c r="Z221" s="15"/>
      <c r="AA221" s="16"/>
      <c r="AB221" s="15">
        <v>0.60172287236842936</v>
      </c>
      <c r="AC221" s="17">
        <v>2.5</v>
      </c>
      <c r="AD221" s="15"/>
      <c r="AE221" s="15" t="s">
        <v>551</v>
      </c>
      <c r="AF221" s="22" t="s">
        <v>5</v>
      </c>
      <c r="AG221" s="17">
        <f t="shared" si="20"/>
        <v>461.70975513033295</v>
      </c>
      <c r="AH221" s="17">
        <v>439.03068435018616</v>
      </c>
      <c r="AI221" s="15">
        <v>4.3659999999999997</v>
      </c>
      <c r="AJ221" s="17">
        <f t="shared" si="23"/>
        <v>2.4812754483473265</v>
      </c>
      <c r="AK221" s="15">
        <f t="shared" si="24"/>
        <v>0.13693312902948671</v>
      </c>
      <c r="AL221" s="5">
        <v>10.936</v>
      </c>
      <c r="AN221" s="5">
        <f t="shared" si="25"/>
        <v>13.333333333333334</v>
      </c>
    </row>
    <row r="222" spans="1:40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8067.9500000000007</v>
      </c>
      <c r="M222" s="15"/>
      <c r="N222" s="15"/>
      <c r="O222" s="15"/>
      <c r="P222" s="15">
        <v>221433666.15729165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1"/>
        <v>3.7394530393074974</v>
      </c>
      <c r="W222" s="15">
        <v>3.8896000000000002</v>
      </c>
      <c r="X222" s="15"/>
      <c r="Y222" s="15">
        <f t="shared" si="22"/>
        <v>1.0401521182681595</v>
      </c>
      <c r="Z222" s="15"/>
      <c r="AA222" s="16"/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0"/>
        <v>2979.1228253164672</v>
      </c>
      <c r="AH222" s="17">
        <v>2680.7203539201037</v>
      </c>
      <c r="AI222" s="15">
        <v>38.238</v>
      </c>
      <c r="AJ222" s="17">
        <f t="shared" si="23"/>
        <v>0.31272057602946074</v>
      </c>
      <c r="AK222" s="15">
        <f t="shared" si="24"/>
        <v>1.0401521182681595</v>
      </c>
      <c r="AL222" s="56">
        <v>6.1308999999999996</v>
      </c>
      <c r="AN222" s="5">
        <f t="shared" si="25"/>
        <v>13.333333333333334</v>
      </c>
    </row>
    <row r="223" spans="1:40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8067.9500000000007</v>
      </c>
      <c r="M223" s="15"/>
      <c r="N223" s="15"/>
      <c r="O223" s="15"/>
      <c r="P223" s="15">
        <v>221433666.15729165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1"/>
        <v>4.2103574991800281</v>
      </c>
      <c r="W223" s="15">
        <v>3.7898499999999999</v>
      </c>
      <c r="X223" s="15"/>
      <c r="Y223" s="15">
        <f t="shared" si="22"/>
        <v>0.90012546458063891</v>
      </c>
      <c r="Z223" s="15"/>
      <c r="AA223" s="16"/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0"/>
        <v>2578.0693708969957</v>
      </c>
      <c r="AH223" s="17">
        <v>2380.8970798684604</v>
      </c>
      <c r="AI223" s="15">
        <v>16.442</v>
      </c>
      <c r="AJ223" s="17">
        <f t="shared" si="23"/>
        <v>0.50603687442836875</v>
      </c>
      <c r="AK223" s="15">
        <f t="shared" si="24"/>
        <v>0.90012546458063891</v>
      </c>
      <c r="AL223" s="5">
        <v>6.1308999999999996</v>
      </c>
      <c r="AN223" s="5">
        <f t="shared" si="25"/>
        <v>13.333333333333334</v>
      </c>
    </row>
    <row r="224" spans="1:40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8067.9500000000007</v>
      </c>
      <c r="M224" s="15"/>
      <c r="N224" s="15"/>
      <c r="O224" s="15"/>
      <c r="P224" s="15">
        <v>221433666.15729165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1"/>
        <v>5.1176764735591629</v>
      </c>
      <c r="W224" s="15">
        <v>3.7610000000000001</v>
      </c>
      <c r="X224" s="15"/>
      <c r="Y224" s="15">
        <f t="shared" si="22"/>
        <v>0.73490382196519699</v>
      </c>
      <c r="Z224" s="15"/>
      <c r="AA224" s="16"/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0"/>
        <v>2104.8543881005598</v>
      </c>
      <c r="AH224" s="17">
        <v>1958.7849929146394</v>
      </c>
      <c r="AI224" s="15">
        <v>9.0701999999999998</v>
      </c>
      <c r="AJ224" s="17">
        <f t="shared" si="23"/>
        <v>0.75115226646170019</v>
      </c>
      <c r="AK224" s="15">
        <f t="shared" si="24"/>
        <v>0.73490382196519699</v>
      </c>
      <c r="AL224" s="5">
        <v>6.1308999999999996</v>
      </c>
      <c r="AN224" s="5">
        <f t="shared" si="25"/>
        <v>13.333333333333334</v>
      </c>
    </row>
    <row r="225" spans="1:40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8067.9500000000007</v>
      </c>
      <c r="M225" s="15"/>
      <c r="N225" s="15"/>
      <c r="O225" s="15"/>
      <c r="P225" s="15">
        <v>221433666.15729165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1"/>
        <v>6.5735081686022934</v>
      </c>
      <c r="W225" s="15">
        <v>4.13788</v>
      </c>
      <c r="X225" s="15"/>
      <c r="Y225" s="15">
        <f t="shared" si="22"/>
        <v>0.6294781863608494</v>
      </c>
      <c r="Z225" s="15"/>
      <c r="AA225" s="16"/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0"/>
        <v>1802.9024794457555</v>
      </c>
      <c r="AH225" s="17">
        <v>1524.9738218750047</v>
      </c>
      <c r="AI225" s="15">
        <v>6.6022999999999996</v>
      </c>
      <c r="AJ225" s="17">
        <f t="shared" si="23"/>
        <v>0.99781717814619431</v>
      </c>
      <c r="AK225" s="15">
        <f t="shared" si="24"/>
        <v>0.6294781863608494</v>
      </c>
      <c r="AL225" s="5">
        <v>6.1308999999999996</v>
      </c>
      <c r="AN225" s="5">
        <f t="shared" si="25"/>
        <v>13.333333333333334</v>
      </c>
    </row>
    <row r="226" spans="1:40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8067.9500000000007</v>
      </c>
      <c r="M226" s="15"/>
      <c r="N226" s="15"/>
      <c r="O226" s="15"/>
      <c r="P226" s="15">
        <v>221433666.15729165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1"/>
        <v>9.4297586887939211</v>
      </c>
      <c r="W226" s="15">
        <v>4.4032499999999999</v>
      </c>
      <c r="X226" s="15"/>
      <c r="Y226" s="15">
        <f t="shared" si="22"/>
        <v>0.46695256425095027</v>
      </c>
      <c r="Z226" s="15"/>
      <c r="AA226" s="16"/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0"/>
        <v>1337.4092289657012</v>
      </c>
      <c r="AH226" s="17">
        <v>1063.0630333003928</v>
      </c>
      <c r="AI226" s="15">
        <v>5.3768000000000002</v>
      </c>
      <c r="AJ226" s="17">
        <f t="shared" si="23"/>
        <v>1.3243060050567508</v>
      </c>
      <c r="AK226" s="15">
        <f t="shared" si="24"/>
        <v>0.46695256425095027</v>
      </c>
      <c r="AL226" s="5">
        <v>6.1308999999999996</v>
      </c>
      <c r="AN226" s="5">
        <f t="shared" si="25"/>
        <v>13.333333333333334</v>
      </c>
    </row>
    <row r="227" spans="1:40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8067.9500000000007</v>
      </c>
      <c r="M227" s="15"/>
      <c r="N227" s="15"/>
      <c r="O227" s="15"/>
      <c r="P227" s="15">
        <v>221433666.15729165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1"/>
        <v>13.378358329197473</v>
      </c>
      <c r="W227" s="15">
        <v>4.2386999999999997</v>
      </c>
      <c r="X227" s="15"/>
      <c r="Y227" s="15">
        <f t="shared" si="22"/>
        <v>0.31683259602557429</v>
      </c>
      <c r="Z227" s="15"/>
      <c r="AA227" s="16"/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0"/>
        <v>907.4472878021088</v>
      </c>
      <c r="AH227" s="17">
        <v>749.30179236732522</v>
      </c>
      <c r="AI227" s="15">
        <v>4.8479000000000001</v>
      </c>
      <c r="AJ227" s="17">
        <f t="shared" si="23"/>
        <v>1.661210186723272</v>
      </c>
      <c r="AK227" s="15">
        <f t="shared" si="24"/>
        <v>0.31683259602557429</v>
      </c>
      <c r="AL227" s="5">
        <v>6.1308999999999996</v>
      </c>
      <c r="AN227" s="5">
        <f t="shared" si="25"/>
        <v>13.333333333333334</v>
      </c>
    </row>
    <row r="228" spans="1:40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8067.9500000000007</v>
      </c>
      <c r="M228" s="15"/>
      <c r="N228" s="15"/>
      <c r="O228" s="15"/>
      <c r="P228" s="15">
        <v>221433666.15729165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1"/>
        <v>18.091691924210455</v>
      </c>
      <c r="W228" s="15">
        <v>3.95255</v>
      </c>
      <c r="X228" s="15"/>
      <c r="Y228" s="15">
        <f t="shared" si="22"/>
        <v>0.21847320950179702</v>
      </c>
      <c r="Z228" s="15"/>
      <c r="AA228" s="16"/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0"/>
        <v>625.7339803630083</v>
      </c>
      <c r="AH228" s="17">
        <v>554.0901269485596</v>
      </c>
      <c r="AI228" s="15">
        <v>4.5758000000000001</v>
      </c>
      <c r="AJ228" s="17">
        <f t="shared" si="23"/>
        <v>1.9884106239273363</v>
      </c>
      <c r="AK228" s="15">
        <f t="shared" si="24"/>
        <v>0.21847320950179702</v>
      </c>
      <c r="AL228" s="5">
        <v>6.1308999999999996</v>
      </c>
      <c r="AN228" s="5">
        <f t="shared" si="25"/>
        <v>13.333333333333334</v>
      </c>
    </row>
    <row r="229" spans="1:40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8067.9500000000007</v>
      </c>
      <c r="M229" s="15"/>
      <c r="N229" s="15"/>
      <c r="O229" s="15"/>
      <c r="P229" s="15">
        <v>221433666.15729165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1"/>
        <v>26.793919495433421</v>
      </c>
      <c r="W229" s="15">
        <v>3.6924600000000001</v>
      </c>
      <c r="X229" s="15"/>
      <c r="Y229" s="15">
        <f t="shared" si="22"/>
        <v>0.13780962507666408</v>
      </c>
      <c r="Z229" s="15"/>
      <c r="AA229" s="16"/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0"/>
        <v>394.7036134462316</v>
      </c>
      <c r="AH229" s="17">
        <v>374.13070068783702</v>
      </c>
      <c r="AI229" s="15">
        <v>4.3409000000000004</v>
      </c>
      <c r="AJ229" s="17">
        <f t="shared" si="23"/>
        <v>2.4844384016483527</v>
      </c>
      <c r="AK229" s="15">
        <f t="shared" si="24"/>
        <v>0.13780962507666408</v>
      </c>
      <c r="AL229" s="5">
        <v>6.1308999999999996</v>
      </c>
      <c r="AN229" s="5">
        <f t="shared" si="25"/>
        <v>13.333333333333334</v>
      </c>
    </row>
    <row r="230" spans="1:40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v>7101.7</v>
      </c>
      <c r="M230" s="15"/>
      <c r="N230" s="15"/>
      <c r="O230" s="15"/>
      <c r="P230" s="15">
        <v>209405282.90208334</v>
      </c>
      <c r="Q230" s="15"/>
      <c r="R230" s="15"/>
      <c r="S230" s="15">
        <v>676.14766880006221</v>
      </c>
      <c r="T230" s="15">
        <v>355</v>
      </c>
      <c r="U230" s="15">
        <v>210000</v>
      </c>
      <c r="V230" s="15">
        <f t="shared" si="21"/>
        <v>3.7286285471842602</v>
      </c>
      <c r="W230" s="15">
        <v>3.8757299999999999</v>
      </c>
      <c r="X230" s="15"/>
      <c r="Y230" s="15">
        <f t="shared" si="22"/>
        <v>1.0394518925535841</v>
      </c>
      <c r="Z230" s="15"/>
      <c r="AA230" s="16"/>
      <c r="AB230" s="15">
        <v>1.1133153135475653</v>
      </c>
      <c r="AC230" s="17">
        <v>0.3</v>
      </c>
      <c r="AD230" s="15"/>
      <c r="AE230" s="15" t="s">
        <v>560</v>
      </c>
      <c r="AF230" s="22" t="s">
        <v>5</v>
      </c>
      <c r="AG230" s="17">
        <f t="shared" si="20"/>
        <v>2620.5658043984649</v>
      </c>
      <c r="AH230" s="17">
        <v>2366.5168408002178</v>
      </c>
      <c r="AI230" s="15">
        <v>37.015999999999998</v>
      </c>
      <c r="AJ230" s="17">
        <f t="shared" si="23"/>
        <v>0.31738019081119417</v>
      </c>
      <c r="AK230" s="15">
        <f t="shared" si="24"/>
        <v>1.0394518925535841</v>
      </c>
      <c r="AL230" s="56">
        <v>3.2757000000000001</v>
      </c>
      <c r="AN230" s="5">
        <f t="shared" si="25"/>
        <v>13.333333333333334</v>
      </c>
    </row>
    <row r="231" spans="1:40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v>7101.7000000000007</v>
      </c>
      <c r="M231" s="15"/>
      <c r="N231" s="15"/>
      <c r="O231" s="15"/>
      <c r="P231" s="15">
        <v>209405282.90208334</v>
      </c>
      <c r="Q231" s="15"/>
      <c r="R231" s="15"/>
      <c r="S231" s="15">
        <v>600.52441048236062</v>
      </c>
      <c r="T231" s="15">
        <v>355</v>
      </c>
      <c r="U231" s="15">
        <v>210000</v>
      </c>
      <c r="V231" s="15">
        <f t="shared" si="21"/>
        <v>4.1981698928357778</v>
      </c>
      <c r="W231" s="15">
        <v>3.74518</v>
      </c>
      <c r="X231" s="15"/>
      <c r="Y231" s="15">
        <f t="shared" si="22"/>
        <v>0.89209824652194047</v>
      </c>
      <c r="Z231" s="15"/>
      <c r="AA231" s="16"/>
      <c r="AB231" s="15">
        <v>1.1133153135475653</v>
      </c>
      <c r="AC231" s="17">
        <v>0.5</v>
      </c>
      <c r="AD231" s="15"/>
      <c r="AE231" s="15" t="s">
        <v>561</v>
      </c>
      <c r="AF231" s="22" t="s">
        <v>5</v>
      </c>
      <c r="AG231" s="17">
        <f t="shared" si="20"/>
        <v>2249.0720116503271</v>
      </c>
      <c r="AH231" s="17">
        <v>2101.8354366882622</v>
      </c>
      <c r="AI231" s="15">
        <v>16.193999999999999</v>
      </c>
      <c r="AJ231" s="17">
        <f t="shared" si="23"/>
        <v>0.50915842853660875</v>
      </c>
      <c r="AK231" s="15">
        <f t="shared" ref="AK231:AK262" si="26">W231/V231</f>
        <v>0.89209824652194047</v>
      </c>
      <c r="AL231" s="5">
        <v>3.2757000000000001</v>
      </c>
      <c r="AN231" s="5">
        <f t="shared" si="25"/>
        <v>13.333333333333334</v>
      </c>
    </row>
    <row r="232" spans="1:40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v>7101.7000000000007</v>
      </c>
      <c r="M232" s="15"/>
      <c r="N232" s="15"/>
      <c r="O232" s="15"/>
      <c r="P232" s="15">
        <v>209405282.90208334</v>
      </c>
      <c r="Q232" s="15"/>
      <c r="R232" s="15"/>
      <c r="S232" s="15">
        <v>494.05672050164657</v>
      </c>
      <c r="T232" s="15">
        <v>355</v>
      </c>
      <c r="U232" s="15">
        <v>210000</v>
      </c>
      <c r="V232" s="15">
        <f t="shared" si="21"/>
        <v>5.1028624758715297</v>
      </c>
      <c r="W232" s="15">
        <v>3.70425</v>
      </c>
      <c r="X232" s="15"/>
      <c r="Y232" s="15">
        <f t="shared" si="22"/>
        <v>0.72591609464594531</v>
      </c>
      <c r="Z232" s="15"/>
      <c r="AA232" s="16"/>
      <c r="AB232" s="15">
        <v>1.1133153135475653</v>
      </c>
      <c r="AC232" s="17">
        <v>0.75</v>
      </c>
      <c r="AD232" s="15"/>
      <c r="AE232" s="15" t="s">
        <v>562</v>
      </c>
      <c r="AF232" s="22" t="s">
        <v>5</v>
      </c>
      <c r="AG232" s="17">
        <f t="shared" si="20"/>
        <v>1830.1096069182242</v>
      </c>
      <c r="AH232" s="17">
        <v>1729.1985217557631</v>
      </c>
      <c r="AI232" s="15">
        <v>8.9864999999999995</v>
      </c>
      <c r="AJ232" s="17">
        <f t="shared" si="23"/>
        <v>0.75354925137820961</v>
      </c>
      <c r="AK232" s="15">
        <f t="shared" si="26"/>
        <v>0.72591609464594531</v>
      </c>
      <c r="AL232" s="5">
        <v>3.2757000000000001</v>
      </c>
      <c r="AN232" s="5">
        <f t="shared" si="25"/>
        <v>13.333333333333334</v>
      </c>
    </row>
    <row r="233" spans="1:40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v>7101.7000000000007</v>
      </c>
      <c r="M233" s="15"/>
      <c r="N233" s="15"/>
      <c r="O233" s="15"/>
      <c r="P233" s="15">
        <v>209405282.90208334</v>
      </c>
      <c r="Q233" s="15"/>
      <c r="R233" s="15"/>
      <c r="S233" s="15">
        <v>384.63821604296919</v>
      </c>
      <c r="T233" s="15">
        <v>355</v>
      </c>
      <c r="U233" s="15">
        <v>210000</v>
      </c>
      <c r="V233" s="15">
        <f t="shared" si="21"/>
        <v>6.5544800148468862</v>
      </c>
      <c r="W233" s="15">
        <v>4.1291200000000003</v>
      </c>
      <c r="X233" s="15"/>
      <c r="Y233" s="15">
        <f t="shared" si="22"/>
        <v>0.62996911893039886</v>
      </c>
      <c r="Z233" s="15"/>
      <c r="AA233" s="16"/>
      <c r="AB233" s="15">
        <v>1.1133153135475653</v>
      </c>
      <c r="AC233" s="17">
        <v>1</v>
      </c>
      <c r="AD233" s="15"/>
      <c r="AE233" s="15" t="s">
        <v>563</v>
      </c>
      <c r="AF233" s="22" t="s">
        <v>5</v>
      </c>
      <c r="AG233" s="17">
        <f t="shared" si="20"/>
        <v>1588.217350627345</v>
      </c>
      <c r="AH233" s="17">
        <v>1346.2337561503921</v>
      </c>
      <c r="AI233" s="15">
        <v>6.5555000000000003</v>
      </c>
      <c r="AJ233" s="17">
        <f t="shared" si="23"/>
        <v>0.9999222008365759</v>
      </c>
      <c r="AK233" s="15">
        <f t="shared" si="26"/>
        <v>0.62996911893039886</v>
      </c>
      <c r="AL233" s="5">
        <v>3.2757000000000001</v>
      </c>
      <c r="AN233" s="5">
        <f t="shared" si="25"/>
        <v>13.333333333333334</v>
      </c>
    </row>
    <row r="234" spans="1:40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v>7101.7000000000007</v>
      </c>
      <c r="M234" s="15"/>
      <c r="N234" s="15"/>
      <c r="O234" s="15"/>
      <c r="P234" s="15">
        <v>209405282.90208334</v>
      </c>
      <c r="Q234" s="15"/>
      <c r="R234" s="15"/>
      <c r="S234" s="15">
        <v>268.13225434069517</v>
      </c>
      <c r="T234" s="15">
        <v>355</v>
      </c>
      <c r="U234" s="15">
        <v>210000</v>
      </c>
      <c r="V234" s="15">
        <f t="shared" si="21"/>
        <v>9.4024626250172307</v>
      </c>
      <c r="W234" s="15">
        <v>4.4019700000000004</v>
      </c>
      <c r="X234" s="15"/>
      <c r="Y234" s="15">
        <f t="shared" si="22"/>
        <v>0.46817202849470868</v>
      </c>
      <c r="Z234" s="15"/>
      <c r="AA234" s="16"/>
      <c r="AB234" s="15">
        <v>1.1133153135475653</v>
      </c>
      <c r="AC234" s="17">
        <v>1.33</v>
      </c>
      <c r="AD234" s="15"/>
      <c r="AE234" s="15" t="s">
        <v>564</v>
      </c>
      <c r="AF234" s="22" t="s">
        <v>5</v>
      </c>
      <c r="AG234" s="17">
        <f t="shared" si="20"/>
        <v>1180.31013964011</v>
      </c>
      <c r="AH234" s="17">
        <v>938.46289019243318</v>
      </c>
      <c r="AI234" s="15">
        <v>5.3451000000000004</v>
      </c>
      <c r="AJ234" s="17">
        <f t="shared" si="23"/>
        <v>1.3263034231432058</v>
      </c>
      <c r="AK234" s="15">
        <f t="shared" si="26"/>
        <v>0.46817202849470868</v>
      </c>
      <c r="AL234" s="5">
        <v>3.2757000000000001</v>
      </c>
      <c r="AN234" s="5">
        <f t="shared" si="25"/>
        <v>13.333333333333334</v>
      </c>
    </row>
    <row r="235" spans="1:40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v>7101.7000000000007</v>
      </c>
      <c r="M235" s="15"/>
      <c r="N235" s="15"/>
      <c r="O235" s="15"/>
      <c r="P235" s="15">
        <v>209405282.90208334</v>
      </c>
      <c r="Q235" s="15"/>
      <c r="R235" s="15"/>
      <c r="S235" s="15">
        <v>188.99347684513279</v>
      </c>
      <c r="T235" s="15">
        <v>355</v>
      </c>
      <c r="U235" s="15">
        <v>210000</v>
      </c>
      <c r="V235" s="15">
        <f t="shared" si="21"/>
        <v>13.339632362369162</v>
      </c>
      <c r="W235" s="15">
        <v>4.2365899999999996</v>
      </c>
      <c r="X235" s="15"/>
      <c r="Y235" s="15">
        <f t="shared" si="22"/>
        <v>0.31759420986378423</v>
      </c>
      <c r="Z235" s="15"/>
      <c r="AA235" s="16"/>
      <c r="AB235" s="15">
        <v>1.1133153135475653</v>
      </c>
      <c r="AC235" s="17">
        <v>1.67</v>
      </c>
      <c r="AD235" s="15"/>
      <c r="AE235" s="15" t="s">
        <v>565</v>
      </c>
      <c r="AF235" s="22" t="s">
        <v>5</v>
      </c>
      <c r="AG235" s="17">
        <f t="shared" si="20"/>
        <v>800.6878740673211</v>
      </c>
      <c r="AH235" s="17">
        <v>661.47716895796475</v>
      </c>
      <c r="AI235" s="15">
        <v>4.8221999999999996</v>
      </c>
      <c r="AJ235" s="17">
        <f t="shared" si="23"/>
        <v>1.6632185534961623</v>
      </c>
      <c r="AK235" s="15">
        <f t="shared" si="26"/>
        <v>0.31759420986378423</v>
      </c>
      <c r="AL235" s="5">
        <v>3.2757000000000001</v>
      </c>
      <c r="AN235" s="5">
        <f t="shared" si="25"/>
        <v>13.333333333333334</v>
      </c>
    </row>
    <row r="236" spans="1:40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v>7101.7000000000007</v>
      </c>
      <c r="M236" s="15"/>
      <c r="N236" s="15"/>
      <c r="O236" s="15"/>
      <c r="P236" s="15">
        <v>209405282.90208334</v>
      </c>
      <c r="Q236" s="15"/>
      <c r="R236" s="15"/>
      <c r="S236" s="15">
        <v>139.75599770917589</v>
      </c>
      <c r="T236" s="15">
        <v>355</v>
      </c>
      <c r="U236" s="15">
        <v>210000</v>
      </c>
      <c r="V236" s="15">
        <f t="shared" si="21"/>
        <v>18.039322399932132</v>
      </c>
      <c r="W236" s="15">
        <v>3.95655</v>
      </c>
      <c r="X236" s="15"/>
      <c r="Y236" s="15">
        <f t="shared" si="22"/>
        <v>0.21932919165605053</v>
      </c>
      <c r="Z236" s="15"/>
      <c r="AA236" s="16"/>
      <c r="AB236" s="15">
        <v>1.1133153135475653</v>
      </c>
      <c r="AC236" s="17">
        <v>2</v>
      </c>
      <c r="AD236" s="15"/>
      <c r="AE236" s="15" t="s">
        <v>566</v>
      </c>
      <c r="AF236" s="22" t="s">
        <v>5</v>
      </c>
      <c r="AG236" s="17">
        <f t="shared" si="20"/>
        <v>552.95159273623983</v>
      </c>
      <c r="AH236" s="17">
        <v>489.14599198211556</v>
      </c>
      <c r="AI236" s="15">
        <v>4.5529000000000002</v>
      </c>
      <c r="AJ236" s="17">
        <f t="shared" si="23"/>
        <v>1.9905177488324695</v>
      </c>
      <c r="AK236" s="15">
        <f t="shared" si="26"/>
        <v>0.21932919165605053</v>
      </c>
      <c r="AL236" s="5">
        <v>3.2757000000000001</v>
      </c>
      <c r="AN236" s="5">
        <f t="shared" si="25"/>
        <v>13.333333333333334</v>
      </c>
    </row>
    <row r="237" spans="1:40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v>7101.7000000000007</v>
      </c>
      <c r="M237" s="15"/>
      <c r="N237" s="15"/>
      <c r="O237" s="15"/>
      <c r="P237" s="15">
        <v>209405282.90208334</v>
      </c>
      <c r="Q237" s="15"/>
      <c r="R237" s="15"/>
      <c r="S237" s="15">
        <v>94.365531535839679</v>
      </c>
      <c r="T237" s="15">
        <v>355</v>
      </c>
      <c r="U237" s="15">
        <v>210000</v>
      </c>
      <c r="V237" s="15">
        <f t="shared" si="21"/>
        <v>26.716359871745063</v>
      </c>
      <c r="W237" s="15">
        <v>3.6996899999999999</v>
      </c>
      <c r="X237" s="15"/>
      <c r="Y237" s="15">
        <f t="shared" si="22"/>
        <v>0.13848031759419263</v>
      </c>
      <c r="Z237" s="15"/>
      <c r="AA237" s="16"/>
      <c r="AB237" s="15">
        <v>1.1133153135475653</v>
      </c>
      <c r="AC237" s="17">
        <v>2.5</v>
      </c>
      <c r="AD237" s="15"/>
      <c r="AE237" s="15" t="s">
        <v>567</v>
      </c>
      <c r="AF237" s="22" t="s">
        <v>5</v>
      </c>
      <c r="AG237" s="17">
        <f t="shared" si="20"/>
        <v>349.12321336783072</v>
      </c>
      <c r="AH237" s="17">
        <v>330.2793603754389</v>
      </c>
      <c r="AI237" s="15">
        <v>4.3202999999999996</v>
      </c>
      <c r="AJ237" s="17">
        <f t="shared" si="23"/>
        <v>2.486747499142711</v>
      </c>
      <c r="AK237" s="15">
        <f t="shared" si="26"/>
        <v>0.13848031759419263</v>
      </c>
      <c r="AL237" s="5">
        <v>3.2757000000000001</v>
      </c>
      <c r="AN237" s="5">
        <f t="shared" si="25"/>
        <v>13.333333333333334</v>
      </c>
    </row>
    <row r="238" spans="1:40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6514.22</v>
      </c>
      <c r="M238" s="15"/>
      <c r="N238" s="15"/>
      <c r="O238" s="15"/>
      <c r="P238" s="15">
        <v>202092025.88291666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1"/>
        <v>3.7205188002114653</v>
      </c>
      <c r="W238" s="15">
        <v>3.8574600000000001</v>
      </c>
      <c r="X238" s="15"/>
      <c r="Y238" s="15">
        <f t="shared" si="22"/>
        <v>1.0368070172849957</v>
      </c>
      <c r="Z238" s="15"/>
      <c r="AA238" s="16"/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0"/>
        <v>2397.6660978890841</v>
      </c>
      <c r="AH238" s="17">
        <v>2175.4811048233278</v>
      </c>
      <c r="AI238" s="15">
        <v>35.728999999999999</v>
      </c>
      <c r="AJ238" s="17">
        <f t="shared" si="23"/>
        <v>0.32269432002556259</v>
      </c>
      <c r="AK238" s="15">
        <f t="shared" si="26"/>
        <v>1.0368070172849957</v>
      </c>
      <c r="AL238" s="56">
        <v>1.7927999999999999</v>
      </c>
      <c r="AN238" s="5">
        <f t="shared" si="25"/>
        <v>13.333333333333334</v>
      </c>
    </row>
    <row r="239" spans="1:40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6514.22</v>
      </c>
      <c r="M239" s="15"/>
      <c r="N239" s="15"/>
      <c r="O239" s="15"/>
      <c r="P239" s="15">
        <v>202092025.88291669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1"/>
        <v>4.1890388959695404</v>
      </c>
      <c r="W239" s="15">
        <v>3.7107100000000002</v>
      </c>
      <c r="X239" s="15"/>
      <c r="Y239" s="15">
        <f t="shared" si="22"/>
        <v>0.88581416696088411</v>
      </c>
      <c r="Z239" s="15"/>
      <c r="AA239" s="16"/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0"/>
        <v>2048.487868758476</v>
      </c>
      <c r="AH239" s="17">
        <v>1932.165957634702</v>
      </c>
      <c r="AI239" s="15">
        <v>15.942</v>
      </c>
      <c r="AJ239" s="17">
        <f t="shared" si="23"/>
        <v>0.51260848905539846</v>
      </c>
      <c r="AK239" s="15">
        <f t="shared" si="26"/>
        <v>0.88581416696088411</v>
      </c>
      <c r="AL239" s="5">
        <v>1.7927999999999999</v>
      </c>
      <c r="AN239" s="5">
        <f t="shared" si="25"/>
        <v>13.333333333333334</v>
      </c>
    </row>
    <row r="240" spans="1:40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6514.22</v>
      </c>
      <c r="M240" s="15"/>
      <c r="N240" s="15"/>
      <c r="O240" s="15"/>
      <c r="P240" s="15">
        <v>202092025.88291669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1"/>
        <v>5.0917637775183389</v>
      </c>
      <c r="W240" s="15">
        <v>3.65985</v>
      </c>
      <c r="X240" s="15"/>
      <c r="Y240" s="15">
        <f t="shared" si="22"/>
        <v>0.7187784351189529</v>
      </c>
      <c r="Z240" s="15"/>
      <c r="AA240" s="16"/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0"/>
        <v>1662.2097044553079</v>
      </c>
      <c r="AH240" s="17">
        <v>1589.6099472911669</v>
      </c>
      <c r="AI240" s="15">
        <v>8.9075000000000006</v>
      </c>
      <c r="AJ240" s="17">
        <f t="shared" si="23"/>
        <v>0.7560599062343788</v>
      </c>
      <c r="AK240" s="15">
        <f t="shared" si="26"/>
        <v>0.7187784351189529</v>
      </c>
      <c r="AL240" s="5">
        <v>1.7927999999999999</v>
      </c>
      <c r="AN240" s="5">
        <f t="shared" si="25"/>
        <v>13.333333333333334</v>
      </c>
    </row>
    <row r="241" spans="1:40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6514.22</v>
      </c>
      <c r="M241" s="15"/>
      <c r="N241" s="15"/>
      <c r="O241" s="15"/>
      <c r="P241" s="15">
        <v>202092025.88291669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1"/>
        <v>6.5402240561784373</v>
      </c>
      <c r="W241" s="15">
        <v>4.1228999999999996</v>
      </c>
      <c r="X241" s="15"/>
      <c r="Y241" s="15">
        <f t="shared" si="22"/>
        <v>0.63039124723948359</v>
      </c>
      <c r="Z241" s="15"/>
      <c r="AA241" s="16"/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0"/>
        <v>1457.810081060298</v>
      </c>
      <c r="AH241" s="17">
        <v>1237.5597961898284</v>
      </c>
      <c r="AI241" s="15">
        <v>6.5144000000000002</v>
      </c>
      <c r="AJ241" s="17">
        <f t="shared" si="23"/>
        <v>1.0019801143753875</v>
      </c>
      <c r="AK241" s="15">
        <f t="shared" si="26"/>
        <v>0.63039124723948359</v>
      </c>
      <c r="AL241" s="5">
        <v>1.7927999999999999</v>
      </c>
      <c r="AN241" s="5">
        <f t="shared" si="25"/>
        <v>13.333333333333334</v>
      </c>
    </row>
    <row r="242" spans="1:40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6514.22</v>
      </c>
      <c r="M242" s="15"/>
      <c r="N242" s="15"/>
      <c r="O242" s="15"/>
      <c r="P242" s="15">
        <v>202092025.88291669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1"/>
        <v>9.3820123195375835</v>
      </c>
      <c r="W242" s="15">
        <v>4.3999499999999996</v>
      </c>
      <c r="X242" s="15"/>
      <c r="Y242" s="15">
        <f t="shared" si="22"/>
        <v>0.46897721407136911</v>
      </c>
      <c r="Z242" s="15"/>
      <c r="AA242" s="16"/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0"/>
        <v>1084.532365344038</v>
      </c>
      <c r="AH242" s="17">
        <v>862.70600318279378</v>
      </c>
      <c r="AI242" s="15">
        <v>5.319</v>
      </c>
      <c r="AJ242" s="17">
        <f t="shared" si="23"/>
        <v>1.3281068121084192</v>
      </c>
      <c r="AK242" s="15">
        <f t="shared" si="26"/>
        <v>0.46897721407136911</v>
      </c>
      <c r="AL242" s="5">
        <v>1.7927999999999999</v>
      </c>
      <c r="AN242" s="5">
        <f t="shared" si="25"/>
        <v>13.333333333333334</v>
      </c>
    </row>
    <row r="243" spans="1:40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6514.22</v>
      </c>
      <c r="M243" s="15"/>
      <c r="N243" s="15"/>
      <c r="O243" s="15"/>
      <c r="P243" s="15">
        <v>202092025.88291669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1"/>
        <v>13.310618733953264</v>
      </c>
      <c r="W243" s="15">
        <v>4.2327199999999996</v>
      </c>
      <c r="X243" s="15"/>
      <c r="Y243" s="15">
        <f t="shared" si="22"/>
        <v>0.31799573593096814</v>
      </c>
      <c r="Z243" s="15"/>
      <c r="AA243" s="16"/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0"/>
        <v>735.38043493526209</v>
      </c>
      <c r="AH243" s="17">
        <v>608.07979792507365</v>
      </c>
      <c r="AI243" s="15">
        <v>4.8021000000000003</v>
      </c>
      <c r="AJ243" s="17">
        <f t="shared" si="23"/>
        <v>1.6648822458909962</v>
      </c>
      <c r="AK243" s="15">
        <f t="shared" si="26"/>
        <v>0.31799573593096814</v>
      </c>
      <c r="AL243" s="5">
        <v>1.7927999999999999</v>
      </c>
      <c r="AN243" s="5">
        <f t="shared" si="25"/>
        <v>13.333333333333334</v>
      </c>
    </row>
    <row r="244" spans="1:40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6514.22</v>
      </c>
      <c r="M244" s="15"/>
      <c r="N244" s="15"/>
      <c r="O244" s="15"/>
      <c r="P244" s="15">
        <v>202092025.88291669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1"/>
        <v>18.000086971041103</v>
      </c>
      <c r="W244" s="15">
        <v>3.9570799999999999</v>
      </c>
      <c r="X244" s="15"/>
      <c r="Y244" s="15">
        <f t="shared" si="22"/>
        <v>0.21983671558733181</v>
      </c>
      <c r="Z244" s="15"/>
      <c r="AA244" s="16"/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0"/>
        <v>508.38297894172462</v>
      </c>
      <c r="AH244" s="17">
        <v>449.65995792251766</v>
      </c>
      <c r="AI244" s="15">
        <v>4.5354999999999999</v>
      </c>
      <c r="AJ244" s="17">
        <f t="shared" si="23"/>
        <v>1.9921622950614859</v>
      </c>
      <c r="AK244" s="15">
        <f t="shared" si="26"/>
        <v>0.21983671558733181</v>
      </c>
      <c r="AL244" s="5">
        <v>1.7927999999999999</v>
      </c>
      <c r="AN244" s="5">
        <f t="shared" si="25"/>
        <v>13.333333333333334</v>
      </c>
    </row>
    <row r="245" spans="1:40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v>6514.22</v>
      </c>
      <c r="M245" s="25"/>
      <c r="N245" s="25"/>
      <c r="O245" s="25"/>
      <c r="P245" s="25">
        <v>202092025.88291669</v>
      </c>
      <c r="Q245" s="25"/>
      <c r="R245" s="25"/>
      <c r="S245" s="25">
        <v>86.747927275857393</v>
      </c>
      <c r="T245" s="25">
        <v>355</v>
      </c>
      <c r="U245" s="25">
        <v>210000</v>
      </c>
      <c r="V245" s="25">
        <f t="shared" si="21"/>
        <v>26.658251933168664</v>
      </c>
      <c r="W245" s="25">
        <v>3.7029800000000002</v>
      </c>
      <c r="X245" s="25"/>
      <c r="Y245" s="25">
        <f t="shared" si="22"/>
        <v>0.13890558200452324</v>
      </c>
      <c r="Z245" s="25"/>
      <c r="AA245" s="46"/>
      <c r="AB245" s="25">
        <v>1.5137471488237149</v>
      </c>
      <c r="AC245" s="47">
        <v>2.5</v>
      </c>
      <c r="AD245" s="25"/>
      <c r="AE245" s="25" t="s">
        <v>575</v>
      </c>
      <c r="AF245" s="48" t="s">
        <v>5</v>
      </c>
      <c r="AG245" s="47">
        <f t="shared" si="20"/>
        <v>321.2258397439544</v>
      </c>
      <c r="AH245" s="47">
        <v>303.61774546550089</v>
      </c>
      <c r="AI245" s="25">
        <v>4.3052000000000001</v>
      </c>
      <c r="AJ245" s="47">
        <f t="shared" si="23"/>
        <v>2.4883941298426664</v>
      </c>
      <c r="AK245" s="25">
        <f t="shared" si="26"/>
        <v>0.13890558200452324</v>
      </c>
      <c r="AL245" s="5">
        <v>1.7927999999999999</v>
      </c>
      <c r="AN245" s="5">
        <f t="shared" si="25"/>
        <v>13.333333333333334</v>
      </c>
    </row>
    <row r="246" spans="1:40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v>18473.574399999998</v>
      </c>
      <c r="M246" s="15"/>
      <c r="N246" s="15"/>
      <c r="O246" s="15"/>
      <c r="P246" s="15">
        <v>301829169.47400016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21"/>
        <v>3.7571610651837912</v>
      </c>
      <c r="W246" s="15">
        <v>3.8725000000000001</v>
      </c>
      <c r="X246" s="15"/>
      <c r="Y246" s="15">
        <f t="shared" si="22"/>
        <v>1.0306984270344468</v>
      </c>
      <c r="Z246" s="15"/>
      <c r="AA246" s="16"/>
      <c r="AB246" s="15">
        <v>0.35499999999999998</v>
      </c>
      <c r="AC246" s="17">
        <v>0.3</v>
      </c>
      <c r="AD246" s="15"/>
      <c r="AE246" s="15" t="s">
        <v>576</v>
      </c>
      <c r="AF246" s="22" t="s">
        <v>5</v>
      </c>
      <c r="AG246" s="17">
        <f t="shared" si="20"/>
        <v>6759.4428469032564</v>
      </c>
      <c r="AH246" s="17">
        <v>6109.2446647285724</v>
      </c>
      <c r="AI246" s="15">
        <v>34.444000000000003</v>
      </c>
      <c r="AJ246" s="17">
        <f t="shared" si="23"/>
        <v>0.3302730342032405</v>
      </c>
      <c r="AK246" s="15">
        <f t="shared" si="26"/>
        <v>1.0306984270344468</v>
      </c>
      <c r="AL246" s="56">
        <v>29.24</v>
      </c>
      <c r="AN246" s="5">
        <f t="shared" si="25"/>
        <v>12.335526315789474</v>
      </c>
    </row>
    <row r="247" spans="1:40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v>18473.574399999998</v>
      </c>
      <c r="M247" s="15"/>
      <c r="N247" s="15"/>
      <c r="O247" s="15"/>
      <c r="P247" s="15">
        <v>301829169.47400016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21"/>
        <v>4.2302954737341176</v>
      </c>
      <c r="W247" s="15">
        <v>3.77596</v>
      </c>
      <c r="X247" s="15"/>
      <c r="Y247" s="15">
        <f t="shared" si="22"/>
        <v>0.89259958871547285</v>
      </c>
      <c r="Z247" s="15"/>
      <c r="AA247" s="16"/>
      <c r="AB247" s="15">
        <v>0.35499999999999998</v>
      </c>
      <c r="AC247" s="17">
        <v>0.5</v>
      </c>
      <c r="AD247" s="15"/>
      <c r="AE247" s="15" t="s">
        <v>577</v>
      </c>
      <c r="AF247" s="22" t="s">
        <v>5</v>
      </c>
      <c r="AG247" s="17">
        <f t="shared" si="20"/>
        <v>5853.7742435983646</v>
      </c>
      <c r="AH247" s="17">
        <v>5425.9605113916132</v>
      </c>
      <c r="AI247" s="15">
        <v>15.881</v>
      </c>
      <c r="AJ247" s="17">
        <f t="shared" si="23"/>
        <v>0.51611493720600699</v>
      </c>
      <c r="AK247" s="15">
        <f t="shared" si="26"/>
        <v>0.89259958871547285</v>
      </c>
      <c r="AL247" s="5">
        <v>29.24</v>
      </c>
      <c r="AN247" s="5">
        <f t="shared" si="25"/>
        <v>12.335526315789474</v>
      </c>
    </row>
    <row r="248" spans="1:40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v>18473.574399999998</v>
      </c>
      <c r="M248" s="15"/>
      <c r="N248" s="15"/>
      <c r="O248" s="15"/>
      <c r="P248" s="15">
        <v>301829169.4740001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21"/>
        <v>5.1419110197528672</v>
      </c>
      <c r="W248" s="15">
        <v>3.6626400000000001</v>
      </c>
      <c r="X248" s="15"/>
      <c r="Y248" s="15">
        <f t="shared" si="22"/>
        <v>0.71231104270957135</v>
      </c>
      <c r="Z248" s="15"/>
      <c r="AA248" s="16"/>
      <c r="AB248" s="15">
        <v>0.35499999999999998</v>
      </c>
      <c r="AC248" s="17">
        <v>0.75</v>
      </c>
      <c r="AD248" s="15"/>
      <c r="AE248" s="15" t="s">
        <v>578</v>
      </c>
      <c r="AF248" s="22" t="s">
        <v>5</v>
      </c>
      <c r="AG248" s="17">
        <f t="shared" si="20"/>
        <v>4671.4205204200789</v>
      </c>
      <c r="AH248" s="17">
        <v>4463.9854917410057</v>
      </c>
      <c r="AI248" s="15">
        <v>8.9154</v>
      </c>
      <c r="AJ248" s="17">
        <f t="shared" si="23"/>
        <v>0.75943719174952451</v>
      </c>
      <c r="AK248" s="15">
        <f t="shared" si="26"/>
        <v>0.71231104270957135</v>
      </c>
      <c r="AL248" s="5">
        <v>29.24</v>
      </c>
      <c r="AN248" s="5">
        <f t="shared" si="25"/>
        <v>12.335526315789474</v>
      </c>
    </row>
    <row r="249" spans="1:40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v>18473.574399999998</v>
      </c>
      <c r="M249" s="15"/>
      <c r="N249" s="15"/>
      <c r="O249" s="15"/>
      <c r="P249" s="15">
        <v>301829169.4740001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21"/>
        <v>6.6046367458364639</v>
      </c>
      <c r="W249" s="15">
        <v>4.1579899999999999</v>
      </c>
      <c r="X249" s="15"/>
      <c r="Y249" s="15">
        <f t="shared" si="22"/>
        <v>0.62955619816959352</v>
      </c>
      <c r="Z249" s="15"/>
      <c r="AA249" s="16"/>
      <c r="AB249" s="15">
        <v>0.35499999999999998</v>
      </c>
      <c r="AC249" s="17">
        <v>1</v>
      </c>
      <c r="AD249" s="15"/>
      <c r="AE249" s="15" t="s">
        <v>579</v>
      </c>
      <c r="AF249" s="22" t="s">
        <v>5</v>
      </c>
      <c r="AG249" s="17">
        <f t="shared" si="20"/>
        <v>4128.7044093828308</v>
      </c>
      <c r="AH249" s="17">
        <v>3475.34877016056</v>
      </c>
      <c r="AI249" s="15">
        <v>6.5446</v>
      </c>
      <c r="AJ249" s="17">
        <f t="shared" si="23"/>
        <v>1.0045762680167469</v>
      </c>
      <c r="AK249" s="15">
        <f t="shared" si="26"/>
        <v>0.62955619816959352</v>
      </c>
      <c r="AL249" s="5">
        <v>29.24</v>
      </c>
      <c r="AN249" s="5">
        <f t="shared" si="25"/>
        <v>12.335526315789474</v>
      </c>
    </row>
    <row r="250" spans="1:40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v>18473.574399999998</v>
      </c>
      <c r="M250" s="15"/>
      <c r="N250" s="15"/>
      <c r="O250" s="15"/>
      <c r="P250" s="15">
        <v>301829169.4740001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21"/>
        <v>9.4744129227455502</v>
      </c>
      <c r="W250" s="15">
        <v>4.4354100000000001</v>
      </c>
      <c r="X250" s="15"/>
      <c r="Y250" s="15">
        <f t="shared" si="22"/>
        <v>0.46814615704069201</v>
      </c>
      <c r="Z250" s="15"/>
      <c r="AA250" s="16"/>
      <c r="AB250" s="15">
        <v>0.35499999999999998</v>
      </c>
      <c r="AC250" s="17">
        <v>1.33</v>
      </c>
      <c r="AD250" s="15"/>
      <c r="AE250" s="15" t="s">
        <v>580</v>
      </c>
      <c r="AF250" s="22" t="s">
        <v>5</v>
      </c>
      <c r="AG250" s="17">
        <f t="shared" si="20"/>
        <v>3070.1581660686838</v>
      </c>
      <c r="AH250" s="17">
        <v>2422.6742468543816</v>
      </c>
      <c r="AI250" s="15">
        <v>5.3552999999999997</v>
      </c>
      <c r="AJ250" s="17">
        <f t="shared" si="23"/>
        <v>1.3300998729056543</v>
      </c>
      <c r="AK250" s="15">
        <f t="shared" si="26"/>
        <v>0.46814615704069201</v>
      </c>
      <c r="AL250" s="5">
        <v>29.24</v>
      </c>
      <c r="AN250" s="5">
        <f t="shared" si="25"/>
        <v>12.335526315789474</v>
      </c>
    </row>
    <row r="251" spans="1:40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v>18473.574399999998</v>
      </c>
      <c r="M251" s="15"/>
      <c r="N251" s="15"/>
      <c r="O251" s="15"/>
      <c r="P251" s="15">
        <v>301829169.4740001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21"/>
        <v>13.441710994142191</v>
      </c>
      <c r="W251" s="15">
        <v>4.27149</v>
      </c>
      <c r="X251" s="15"/>
      <c r="Y251" s="15">
        <f t="shared" si="22"/>
        <v>0.31777874125261935</v>
      </c>
      <c r="Z251" s="15"/>
      <c r="AA251" s="16"/>
      <c r="AB251" s="15">
        <v>0.35499999999999998</v>
      </c>
      <c r="AC251" s="17">
        <v>1.67</v>
      </c>
      <c r="AD251" s="15"/>
      <c r="AE251" s="15" t="s">
        <v>581</v>
      </c>
      <c r="AF251" s="22" t="s">
        <v>5</v>
      </c>
      <c r="AG251" s="17">
        <f t="shared" si="20"/>
        <v>2084.0307728403573</v>
      </c>
      <c r="AH251" s="17">
        <v>1707.6260754306461</v>
      </c>
      <c r="AI251" s="15">
        <v>4.8396999999999997</v>
      </c>
      <c r="AJ251" s="17">
        <f t="shared" si="23"/>
        <v>1.6665488793587226</v>
      </c>
      <c r="AK251" s="15">
        <f t="shared" si="26"/>
        <v>0.31777874125261935</v>
      </c>
      <c r="AL251" s="5">
        <v>29.24</v>
      </c>
      <c r="AN251" s="5">
        <f t="shared" si="25"/>
        <v>12.335526315789474</v>
      </c>
    </row>
    <row r="252" spans="1:40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v>18473.574399999998</v>
      </c>
      <c r="M252" s="15"/>
      <c r="N252" s="15"/>
      <c r="O252" s="15"/>
      <c r="P252" s="15">
        <v>301829169.4740001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21"/>
        <v>18.177364386298432</v>
      </c>
      <c r="W252" s="15">
        <v>3.9995699999999998</v>
      </c>
      <c r="X252" s="15"/>
      <c r="Y252" s="15">
        <f t="shared" si="22"/>
        <v>0.22003024833538348</v>
      </c>
      <c r="Z252" s="15"/>
      <c r="AA252" s="16"/>
      <c r="AB252" s="15">
        <v>0.35499999999999998</v>
      </c>
      <c r="AC252" s="17">
        <v>2</v>
      </c>
      <c r="AD252" s="15"/>
      <c r="AE252" s="15" t="s">
        <v>582</v>
      </c>
      <c r="AF252" s="22" t="s">
        <v>5</v>
      </c>
      <c r="AG252" s="17">
        <f t="shared" si="20"/>
        <v>1442.9845328203348</v>
      </c>
      <c r="AH252" s="17">
        <v>1262.7472115430339</v>
      </c>
      <c r="AI252" s="15">
        <v>4.5735999999999999</v>
      </c>
      <c r="AJ252" s="17">
        <f t="shared" si="23"/>
        <v>1.9935923892463356</v>
      </c>
      <c r="AK252" s="15">
        <f t="shared" si="26"/>
        <v>0.22003024833538348</v>
      </c>
      <c r="AL252" s="5">
        <v>29.24</v>
      </c>
      <c r="AN252" s="5">
        <f t="shared" si="25"/>
        <v>12.335526315789474</v>
      </c>
    </row>
    <row r="253" spans="1:40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v>18473.574399999998</v>
      </c>
      <c r="M253" s="15"/>
      <c r="N253" s="15"/>
      <c r="O253" s="15"/>
      <c r="P253" s="15">
        <v>301829169.4740001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21"/>
        <v>26.920800997825634</v>
      </c>
      <c r="W253" s="15">
        <v>3.7446999999999999</v>
      </c>
      <c r="X253" s="15"/>
      <c r="Y253" s="15">
        <f t="shared" si="22"/>
        <v>0.13910061592530087</v>
      </c>
      <c r="Z253" s="15"/>
      <c r="AA253" s="16"/>
      <c r="AB253" s="15">
        <v>0.35499999999999998</v>
      </c>
      <c r="AC253" s="17">
        <v>2.5</v>
      </c>
      <c r="AD253" s="15"/>
      <c r="AE253" s="15" t="s">
        <v>583</v>
      </c>
      <c r="AF253" s="22" t="s">
        <v>5</v>
      </c>
      <c r="AG253" s="17">
        <f t="shared" si="20"/>
        <v>912.23837997056398</v>
      </c>
      <c r="AH253" s="17">
        <v>852.62753488850217</v>
      </c>
      <c r="AI253" s="15">
        <v>4.3433000000000002</v>
      </c>
      <c r="AJ253" s="17">
        <f t="shared" si="23"/>
        <v>2.489625793928484</v>
      </c>
      <c r="AK253" s="15">
        <f t="shared" si="26"/>
        <v>0.13910061592530087</v>
      </c>
      <c r="AL253" s="5">
        <v>29.24</v>
      </c>
      <c r="AN253" s="5">
        <f t="shared" si="25"/>
        <v>12.335526315789474</v>
      </c>
    </row>
    <row r="254" spans="1:40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223962095.90092501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1"/>
        <v>3.7359429004006643</v>
      </c>
      <c r="W254" s="15">
        <v>3.90577</v>
      </c>
      <c r="X254" s="15"/>
      <c r="Y254" s="15">
        <f t="shared" si="22"/>
        <v>1.0454576271979752</v>
      </c>
      <c r="Z254" s="15"/>
      <c r="AA254" s="16"/>
      <c r="AB254" s="15">
        <v>0.50316512905442312</v>
      </c>
      <c r="AC254" s="17">
        <v>0.3</v>
      </c>
      <c r="AD254" s="15"/>
      <c r="AE254" s="15" t="s">
        <v>584</v>
      </c>
      <c r="AF254" s="24" t="s">
        <v>218</v>
      </c>
      <c r="AG254" s="17">
        <f t="shared" si="20"/>
        <v>4847.3187045729082</v>
      </c>
      <c r="AH254" s="17">
        <v>4343.7313170015586</v>
      </c>
      <c r="AI254" s="15">
        <v>34.508000000000003</v>
      </c>
      <c r="AJ254" s="17">
        <f t="shared" si="23"/>
        <v>0.32903357811277323</v>
      </c>
      <c r="AK254" s="15">
        <f t="shared" si="26"/>
        <v>1.0454576271979752</v>
      </c>
      <c r="AL254" s="56">
        <v>14.43</v>
      </c>
      <c r="AN254" s="5">
        <f t="shared" si="25"/>
        <v>17.543859649122805</v>
      </c>
    </row>
    <row r="255" spans="1:40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223962095.90092501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1"/>
        <v>4.20640533304391</v>
      </c>
      <c r="W255" s="15">
        <v>3.8072900000000001</v>
      </c>
      <c r="X255" s="15"/>
      <c r="Y255" s="15">
        <f t="shared" si="22"/>
        <v>0.9051172434789837</v>
      </c>
      <c r="Z255" s="15"/>
      <c r="AA255" s="16"/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0"/>
        <v>4196.6232107428305</v>
      </c>
      <c r="AH255" s="17">
        <v>3857.9097567035624</v>
      </c>
      <c r="AI255" s="15">
        <v>15.89</v>
      </c>
      <c r="AJ255" s="17">
        <f t="shared" si="23"/>
        <v>0.5145097523628881</v>
      </c>
      <c r="AK255" s="15">
        <f t="shared" si="26"/>
        <v>0.9051172434789837</v>
      </c>
      <c r="AL255" s="5">
        <v>14.43</v>
      </c>
      <c r="AN255" s="5">
        <f t="shared" si="25"/>
        <v>17.543859649122805</v>
      </c>
    </row>
    <row r="256" spans="1:40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1"/>
        <v>5.1128726278861185</v>
      </c>
      <c r="W256" s="15">
        <v>3.6772</v>
      </c>
      <c r="X256" s="15"/>
      <c r="Y256" s="15">
        <f t="shared" si="22"/>
        <v>0.71920430404312896</v>
      </c>
      <c r="Z256" s="15"/>
      <c r="AA256" s="16"/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0"/>
        <v>3334.6281902799929</v>
      </c>
      <c r="AH256" s="17">
        <v>3173.9363281790424</v>
      </c>
      <c r="AI256" s="15">
        <v>8.9036000000000008</v>
      </c>
      <c r="AJ256" s="17">
        <f t="shared" si="23"/>
        <v>0.75779138985860628</v>
      </c>
      <c r="AK256" s="15">
        <f t="shared" si="26"/>
        <v>0.71920430404312896</v>
      </c>
      <c r="AL256" s="5">
        <v>14.43</v>
      </c>
      <c r="AN256" s="5">
        <f t="shared" si="25"/>
        <v>17.543859649122805</v>
      </c>
    </row>
    <row r="257" spans="1:40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1"/>
        <v>6.567337767066439</v>
      </c>
      <c r="W257" s="15">
        <v>4.1578299999999997</v>
      </c>
      <c r="X257" s="15"/>
      <c r="Y257" s="15">
        <f t="shared" si="22"/>
        <v>0.63310737889110569</v>
      </c>
      <c r="Z257" s="15"/>
      <c r="AA257" s="16"/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0"/>
        <v>2935.4353154676828</v>
      </c>
      <c r="AH257" s="17">
        <v>2471.0061748885573</v>
      </c>
      <c r="AI257" s="15">
        <v>6.5339</v>
      </c>
      <c r="AJ257" s="17">
        <f t="shared" si="23"/>
        <v>1.0025555254944793</v>
      </c>
      <c r="AK257" s="15">
        <f t="shared" si="26"/>
        <v>0.63310737889110569</v>
      </c>
      <c r="AL257" s="5">
        <v>14.43</v>
      </c>
      <c r="AN257" s="5">
        <f t="shared" si="25"/>
        <v>17.543859649122805</v>
      </c>
    </row>
    <row r="258" spans="1:40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1"/>
        <v>9.4209071903240513</v>
      </c>
      <c r="W258" s="15">
        <v>4.4346899999999998</v>
      </c>
      <c r="X258" s="15"/>
      <c r="Y258" s="15">
        <f t="shared" si="22"/>
        <v>0.47072855197583785</v>
      </c>
      <c r="Z258" s="15"/>
      <c r="AA258" s="16"/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0"/>
        <v>2182.5574326571027</v>
      </c>
      <c r="AH258" s="17">
        <v>1722.544532830899</v>
      </c>
      <c r="AI258" s="15">
        <v>5.3457999999999997</v>
      </c>
      <c r="AJ258" s="17">
        <f t="shared" si="23"/>
        <v>1.3275167495185025</v>
      </c>
      <c r="AK258" s="15">
        <f t="shared" si="26"/>
        <v>0.47072855197583785</v>
      </c>
      <c r="AL258" s="5">
        <v>14.43</v>
      </c>
      <c r="AN258" s="5">
        <f t="shared" si="25"/>
        <v>17.543859649122805</v>
      </c>
    </row>
    <row r="259" spans="1:40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1"/>
        <v>13.365800370697322</v>
      </c>
      <c r="W259" s="15">
        <v>4.2668699999999999</v>
      </c>
      <c r="X259" s="15"/>
      <c r="Y259" s="15">
        <f t="shared" si="22"/>
        <v>0.31923789684563336</v>
      </c>
      <c r="Z259" s="15"/>
      <c r="AA259" s="16"/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0"/>
        <v>1480.1631250573098</v>
      </c>
      <c r="AH259" s="17">
        <v>1214.1384522379599</v>
      </c>
      <c r="AI259" s="15">
        <v>4.8308</v>
      </c>
      <c r="AJ259" s="17">
        <f t="shared" si="23"/>
        <v>1.6633665219566289</v>
      </c>
      <c r="AK259" s="15">
        <f t="shared" si="26"/>
        <v>0.31923789684563336</v>
      </c>
      <c r="AL259" s="5">
        <v>14.43</v>
      </c>
      <c r="AN259" s="5">
        <f t="shared" si="25"/>
        <v>17.543859649122805</v>
      </c>
    </row>
    <row r="260" spans="1:40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1"/>
        <v>18.074709667434909</v>
      </c>
      <c r="W260" s="15">
        <v>3.9937999999999998</v>
      </c>
      <c r="X260" s="15"/>
      <c r="Y260" s="15">
        <f t="shared" si="22"/>
        <v>0.22096067231417854</v>
      </c>
      <c r="Z260" s="15"/>
      <c r="AA260" s="16"/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0"/>
        <v>1024.4956581876827</v>
      </c>
      <c r="AH260" s="17">
        <v>897.82533017599519</v>
      </c>
      <c r="AI260" s="15">
        <v>4.5650000000000004</v>
      </c>
      <c r="AJ260" s="17">
        <f t="shared" si="23"/>
        <v>1.9898267917066068</v>
      </c>
      <c r="AK260" s="15">
        <f t="shared" si="26"/>
        <v>0.22096067231417854</v>
      </c>
      <c r="AL260" s="5">
        <v>14.43</v>
      </c>
      <c r="AN260" s="5">
        <f t="shared" si="25"/>
        <v>17.543859649122805</v>
      </c>
    </row>
    <row r="261" spans="1:40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1"/>
        <v>26.768768656982214</v>
      </c>
      <c r="W261" s="15">
        <v>3.7397999999999998</v>
      </c>
      <c r="X261" s="15"/>
      <c r="Y261" s="15">
        <f t="shared" si="22"/>
        <v>0.13970758415981646</v>
      </c>
      <c r="Z261" s="15"/>
      <c r="AA261" s="16"/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0"/>
        <v>647.76148573674448</v>
      </c>
      <c r="AH261" s="17">
        <v>606.22632228424141</v>
      </c>
      <c r="AI261" s="15">
        <v>4.335</v>
      </c>
      <c r="AJ261" s="17">
        <f t="shared" si="23"/>
        <v>2.4849613958501573</v>
      </c>
      <c r="AK261" s="15">
        <f t="shared" si="26"/>
        <v>0.13970758415981646</v>
      </c>
      <c r="AL261" s="5">
        <v>14.43</v>
      </c>
      <c r="AN261" s="5">
        <f t="shared" si="25"/>
        <v>17.543859649122805</v>
      </c>
    </row>
    <row r="262" spans="1:40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1"/>
        <v>3.7276962861014478</v>
      </c>
      <c r="W262" s="15">
        <v>3.9263400000000002</v>
      </c>
      <c r="X262" s="15"/>
      <c r="Y262" s="15">
        <f t="shared" si="22"/>
        <v>1.053288599352685</v>
      </c>
      <c r="Z262" s="15"/>
      <c r="AA262" s="16"/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ref="AG262:AG293" si="27">W262*S262</f>
        <v>4078.4812462501936</v>
      </c>
      <c r="AH262" s="17">
        <v>3635.621052144154</v>
      </c>
      <c r="AI262" s="15">
        <v>34.567999999999998</v>
      </c>
      <c r="AJ262" s="17">
        <f t="shared" si="23"/>
        <v>0.32838486593001986</v>
      </c>
      <c r="AK262" s="15">
        <f t="shared" si="26"/>
        <v>1.053288599352685</v>
      </c>
      <c r="AL262" s="56">
        <v>10.167</v>
      </c>
      <c r="AN262" s="5">
        <f t="shared" si="25"/>
        <v>21.05263157894737</v>
      </c>
    </row>
    <row r="263" spans="1:40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8">L263*T263/(S263*1000)</f>
        <v>4.1971202333267659</v>
      </c>
      <c r="W263" s="15">
        <v>3.8275399999999999</v>
      </c>
      <c r="X263" s="15"/>
      <c r="Y263" s="15">
        <f t="shared" ref="Y263:Y293" si="29">AK263</f>
        <v>0.91194433021190213</v>
      </c>
      <c r="Z263" s="15"/>
      <c r="AA263" s="16"/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si="27"/>
        <v>3531.1764037693174</v>
      </c>
      <c r="AH263" s="17">
        <v>3228.9975841382748</v>
      </c>
      <c r="AI263" s="15">
        <v>15.907999999999999</v>
      </c>
      <c r="AJ263" s="17">
        <f t="shared" ref="AJ263:AJ293" si="30">(V263/AI263)^0.5</f>
        <v>0.51365073520842819</v>
      </c>
      <c r="AK263" s="15">
        <f t="shared" ref="AK263:AK293" si="31">W263/V263</f>
        <v>0.91194433021190213</v>
      </c>
      <c r="AL263" s="5">
        <v>10.167</v>
      </c>
      <c r="AN263" s="5">
        <f t="shared" ref="AN263:AN293" si="32">C263/F263</f>
        <v>21.05263157894737</v>
      </c>
    </row>
    <row r="264" spans="1:40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8"/>
        <v>5.1015866179959044</v>
      </c>
      <c r="W264" s="15">
        <v>3.6753900000000002</v>
      </c>
      <c r="X264" s="15"/>
      <c r="Y264" s="15">
        <f t="shared" si="29"/>
        <v>0.72044057568973163</v>
      </c>
      <c r="Z264" s="15"/>
      <c r="AA264" s="16"/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27"/>
        <v>2789.6469958889174</v>
      </c>
      <c r="AH264" s="17">
        <v>2656.5247458395461</v>
      </c>
      <c r="AI264" s="15">
        <v>8.9054000000000002</v>
      </c>
      <c r="AJ264" s="17">
        <f t="shared" si="30"/>
        <v>0.75687806078890663</v>
      </c>
      <c r="AK264" s="15">
        <f t="shared" si="31"/>
        <v>0.72044057568973163</v>
      </c>
      <c r="AL264" s="5">
        <v>10.167</v>
      </c>
      <c r="AN264" s="5">
        <f t="shared" si="32"/>
        <v>21.05263157894737</v>
      </c>
    </row>
    <row r="265" spans="1:40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8"/>
        <v>6.5528412121185937</v>
      </c>
      <c r="W265" s="15">
        <v>4.1628600000000002</v>
      </c>
      <c r="X265" s="15"/>
      <c r="Y265" s="15">
        <f t="shared" si="29"/>
        <v>0.63527557974415028</v>
      </c>
      <c r="Z265" s="15"/>
      <c r="AA265" s="16"/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27"/>
        <v>2459.8761818741327</v>
      </c>
      <c r="AH265" s="17">
        <v>2068.1854870352267</v>
      </c>
      <c r="AI265" s="15">
        <v>6.5347</v>
      </c>
      <c r="AJ265" s="17">
        <f t="shared" si="30"/>
        <v>1.001387105678117</v>
      </c>
      <c r="AK265" s="15">
        <f t="shared" si="31"/>
        <v>0.63527557974415028</v>
      </c>
      <c r="AL265" s="5">
        <v>10.167</v>
      </c>
      <c r="AN265" s="5">
        <f t="shared" si="32"/>
        <v>21.05263157894737</v>
      </c>
    </row>
    <row r="266" spans="1:40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8"/>
        <v>9.4001117472408637</v>
      </c>
      <c r="W266" s="15">
        <v>4.4378500000000001</v>
      </c>
      <c r="X266" s="15"/>
      <c r="Y266" s="15">
        <f t="shared" si="29"/>
        <v>0.47210608972841256</v>
      </c>
      <c r="Z266" s="15"/>
      <c r="AA266" s="16"/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27"/>
        <v>1828.0610218141285</v>
      </c>
      <c r="AH266" s="17">
        <v>1441.7372322970468</v>
      </c>
      <c r="AI266" s="15">
        <v>5.3460999999999999</v>
      </c>
      <c r="AJ266" s="17">
        <f t="shared" si="30"/>
        <v>1.3260135720548878</v>
      </c>
      <c r="AK266" s="15">
        <f t="shared" si="31"/>
        <v>0.47210608972841256</v>
      </c>
      <c r="AL266" s="5">
        <v>10.167</v>
      </c>
      <c r="AN266" s="5">
        <f t="shared" si="32"/>
        <v>21.05263157894737</v>
      </c>
    </row>
    <row r="267" spans="1:40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8"/>
        <v>13.336297082398767</v>
      </c>
      <c r="W267" s="15">
        <v>4.2684600000000001</v>
      </c>
      <c r="X267" s="15"/>
      <c r="Y267" s="15">
        <f t="shared" si="29"/>
        <v>0.32006335593959662</v>
      </c>
      <c r="Z267" s="15"/>
      <c r="AA267" s="16"/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27"/>
        <v>1239.3302230877482</v>
      </c>
      <c r="AH267" s="17">
        <v>1016.210947462813</v>
      </c>
      <c r="AI267" s="15">
        <v>4.8308999999999997</v>
      </c>
      <c r="AJ267" s="17">
        <f t="shared" si="30"/>
        <v>1.6615124767404768</v>
      </c>
      <c r="AK267" s="15">
        <f t="shared" si="31"/>
        <v>0.32006335593959662</v>
      </c>
      <c r="AL267" s="5">
        <v>10.167</v>
      </c>
      <c r="AN267" s="5">
        <f t="shared" si="32"/>
        <v>21.05263157894737</v>
      </c>
    </row>
    <row r="268" spans="1:40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8"/>
        <v>18.034812066435265</v>
      </c>
      <c r="W268" s="15">
        <v>3.9950100000000002</v>
      </c>
      <c r="X268" s="15"/>
      <c r="Y268" s="15">
        <f t="shared" si="29"/>
        <v>0.22151658610488908</v>
      </c>
      <c r="Z268" s="15"/>
      <c r="AA268" s="16"/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27"/>
        <v>857.74330294411834</v>
      </c>
      <c r="AH268" s="17">
        <v>751.46283996896477</v>
      </c>
      <c r="AI268" s="15">
        <v>4.5650000000000004</v>
      </c>
      <c r="AJ268" s="17">
        <f t="shared" si="30"/>
        <v>1.9876294348553638</v>
      </c>
      <c r="AK268" s="15">
        <f t="shared" si="31"/>
        <v>0.22151658610488908</v>
      </c>
      <c r="AL268" s="5">
        <v>10.167</v>
      </c>
      <c r="AN268" s="5">
        <f t="shared" si="32"/>
        <v>21.05263157894737</v>
      </c>
    </row>
    <row r="269" spans="1:40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8"/>
        <v>26.709680036983386</v>
      </c>
      <c r="W269" s="15">
        <v>3.7411500000000002</v>
      </c>
      <c r="X269" s="15"/>
      <c r="Y269" s="15">
        <f t="shared" si="29"/>
        <v>0.14006719641792192</v>
      </c>
      <c r="Z269" s="15"/>
      <c r="AA269" s="16"/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27"/>
        <v>542.35983770869109</v>
      </c>
      <c r="AH269" s="17">
        <v>507.39997914556182</v>
      </c>
      <c r="AI269" s="15">
        <v>4.3349000000000002</v>
      </c>
      <c r="AJ269" s="17">
        <f t="shared" si="30"/>
        <v>2.4822458945161583</v>
      </c>
      <c r="AK269" s="15">
        <f t="shared" si="31"/>
        <v>0.14006719641792192</v>
      </c>
      <c r="AL269" s="5">
        <v>10.167</v>
      </c>
      <c r="AN269" s="5">
        <f t="shared" si="32"/>
        <v>21.05263157894737</v>
      </c>
    </row>
    <row r="270" spans="1:40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28"/>
        <v>3.6688200087247971</v>
      </c>
      <c r="W270" s="15">
        <v>3.9069699999999998</v>
      </c>
      <c r="X270" s="15"/>
      <c r="Y270" s="15">
        <f t="shared" si="29"/>
        <v>1.0649118764913132</v>
      </c>
      <c r="Z270" s="15"/>
      <c r="AA270" s="16"/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27"/>
        <v>3131.0229234438675</v>
      </c>
      <c r="AH270" s="17">
        <v>2804.879544008154</v>
      </c>
      <c r="AI270" s="15">
        <v>34.228000000000002</v>
      </c>
      <c r="AJ270" s="47">
        <f t="shared" si="30"/>
        <v>0.3273953005984418</v>
      </c>
      <c r="AK270" s="15">
        <f t="shared" si="31"/>
        <v>1.0649118764913132</v>
      </c>
      <c r="AL270" s="56">
        <v>5.66</v>
      </c>
      <c r="AN270" s="5">
        <f t="shared" si="32"/>
        <v>27.798369162342475</v>
      </c>
    </row>
    <row r="271" spans="1:40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28"/>
        <v>4.0752605909145636</v>
      </c>
      <c r="W271" s="15">
        <v>3.7594400000000001</v>
      </c>
      <c r="X271" s="15"/>
      <c r="Y271" s="15">
        <f t="shared" si="29"/>
        <v>0.92250297033307327</v>
      </c>
      <c r="Z271" s="15"/>
      <c r="AA271" s="16"/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27"/>
        <v>2712.3163999021017</v>
      </c>
      <c r="AH271" s="17">
        <v>2525.1386907777101</v>
      </c>
      <c r="AI271" s="15">
        <v>15.529</v>
      </c>
      <c r="AJ271" s="17">
        <f t="shared" si="30"/>
        <v>0.5122782855554866</v>
      </c>
      <c r="AK271" s="15">
        <f>W271/V271</f>
        <v>0.92250297033307327</v>
      </c>
      <c r="AL271" s="5">
        <v>5.66</v>
      </c>
      <c r="AN271" s="5">
        <f t="shared" si="32"/>
        <v>27.798369162342475</v>
      </c>
    </row>
    <row r="272" spans="1:40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28"/>
        <v>4.8191986490110406</v>
      </c>
      <c r="W272" s="15">
        <v>3.5211399999999999</v>
      </c>
      <c r="X272" s="15"/>
      <c r="Y272" s="15">
        <f t="shared" si="29"/>
        <v>0.73064844519795458</v>
      </c>
      <c r="Z272" s="15"/>
      <c r="AA272" s="16"/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27"/>
        <v>2148.23130570286</v>
      </c>
      <c r="AH272" s="17">
        <v>2135.33388901322</v>
      </c>
      <c r="AI272" s="15">
        <v>8.4459999999999997</v>
      </c>
      <c r="AJ272" s="17">
        <f t="shared" si="30"/>
        <v>0.75537372754836418</v>
      </c>
      <c r="AK272" s="15">
        <f t="shared" si="31"/>
        <v>0.73064844519795458</v>
      </c>
      <c r="AL272" s="5">
        <v>5.66</v>
      </c>
      <c r="AN272" s="5">
        <f t="shared" si="32"/>
        <v>27.798369162342475</v>
      </c>
    </row>
    <row r="273" spans="1:40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28"/>
        <v>5.987238544175101</v>
      </c>
      <c r="W273" s="15">
        <v>3.82646</v>
      </c>
      <c r="X273" s="15"/>
      <c r="Y273" s="15">
        <f t="shared" si="29"/>
        <v>0.63910264669890404</v>
      </c>
      <c r="Z273" s="15"/>
      <c r="AA273" s="16"/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27"/>
        <v>1879.0710118108434</v>
      </c>
      <c r="AH273" s="17">
        <v>1718.7553355681105</v>
      </c>
      <c r="AI273" s="15">
        <v>5.9943999999999997</v>
      </c>
      <c r="AJ273" s="17">
        <f t="shared" si="30"/>
        <v>0.99940247597463727</v>
      </c>
      <c r="AK273" s="15">
        <f t="shared" si="31"/>
        <v>0.63910264669890404</v>
      </c>
      <c r="AL273" s="5">
        <v>5.66</v>
      </c>
      <c r="AN273" s="5">
        <f t="shared" si="32"/>
        <v>27.798369162342475</v>
      </c>
    </row>
    <row r="274" spans="1:40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28"/>
        <v>8.313203443261493</v>
      </c>
      <c r="W274" s="15">
        <v>3.9438900000000001</v>
      </c>
      <c r="X274" s="15"/>
      <c r="Y274" s="15">
        <f t="shared" si="29"/>
        <v>0.47441278526592945</v>
      </c>
      <c r="Z274" s="15"/>
      <c r="AA274" s="16"/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27"/>
        <v>1394.8546716716003</v>
      </c>
      <c r="AH274" s="17">
        <v>1237.8619461624439</v>
      </c>
      <c r="AI274" s="15">
        <v>4.7462</v>
      </c>
      <c r="AJ274" s="17">
        <f t="shared" si="30"/>
        <v>1.3234611187278744</v>
      </c>
      <c r="AK274" s="15">
        <f t="shared" si="31"/>
        <v>0.47441278526592945</v>
      </c>
      <c r="AL274" s="5">
        <v>5.66</v>
      </c>
      <c r="AN274" s="5">
        <f t="shared" si="32"/>
        <v>27.798369162342475</v>
      </c>
    </row>
    <row r="275" spans="1:40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28"/>
        <v>11.587203086976652</v>
      </c>
      <c r="W275" s="15">
        <v>3.72498</v>
      </c>
      <c r="X275" s="15"/>
      <c r="Y275" s="15">
        <f t="shared" si="29"/>
        <v>0.32147360946721149</v>
      </c>
      <c r="Z275" s="15"/>
      <c r="AA275" s="16"/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27"/>
        <v>945.18735563401458</v>
      </c>
      <c r="AH275" s="17">
        <v>888.10027026159901</v>
      </c>
      <c r="AI275" s="15">
        <v>4.2137000000000002</v>
      </c>
      <c r="AJ275" s="17">
        <f t="shared" si="30"/>
        <v>1.6582786270929053</v>
      </c>
      <c r="AK275" s="15">
        <f t="shared" si="31"/>
        <v>0.32147360946721149</v>
      </c>
      <c r="AL275" s="5">
        <v>5.66</v>
      </c>
      <c r="AN275" s="5">
        <f t="shared" si="32"/>
        <v>27.798369162342475</v>
      </c>
    </row>
    <row r="276" spans="1:40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28"/>
        <v>15.527544755216518</v>
      </c>
      <c r="W276" s="15">
        <v>3.4617100000000001</v>
      </c>
      <c r="X276" s="15"/>
      <c r="Y276" s="15">
        <f t="shared" si="29"/>
        <v>0.22293994669292644</v>
      </c>
      <c r="Z276" s="15"/>
      <c r="AA276" s="16"/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27"/>
        <v>655.48154646071373</v>
      </c>
      <c r="AH276" s="17">
        <v>662.73183271056735</v>
      </c>
      <c r="AI276" s="15">
        <v>3.9455</v>
      </c>
      <c r="AJ276" s="17">
        <f t="shared" si="30"/>
        <v>1.9838113514632711</v>
      </c>
      <c r="AK276" s="15">
        <f t="shared" si="31"/>
        <v>0.22293994669292644</v>
      </c>
      <c r="AL276" s="5">
        <v>5.66</v>
      </c>
      <c r="AN276" s="5">
        <f t="shared" si="32"/>
        <v>27.798369162342475</v>
      </c>
    </row>
    <row r="277" spans="1:40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28"/>
        <v>22.828445121022515</v>
      </c>
      <c r="W277" s="15">
        <v>3.22376</v>
      </c>
      <c r="X277" s="15"/>
      <c r="Y277" s="15">
        <f t="shared" si="29"/>
        <v>0.14121680135942624</v>
      </c>
      <c r="Z277" s="15"/>
      <c r="AA277" s="16"/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27"/>
        <v>415.20153168785657</v>
      </c>
      <c r="AH277" s="17">
        <v>450.77963648270901</v>
      </c>
      <c r="AI277" s="15">
        <v>3.7193000000000001</v>
      </c>
      <c r="AJ277" s="17">
        <f t="shared" si="30"/>
        <v>2.4774651894008435</v>
      </c>
      <c r="AK277" s="15">
        <f t="shared" si="31"/>
        <v>0.14121680135942624</v>
      </c>
      <c r="AL277" s="5">
        <v>5.66</v>
      </c>
      <c r="AN277" s="5">
        <f t="shared" si="32"/>
        <v>27.798369162342475</v>
      </c>
    </row>
    <row r="278" spans="1:40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5991.8671000000004</v>
      </c>
      <c r="M278" s="15"/>
      <c r="N278" s="15"/>
      <c r="O278" s="15"/>
      <c r="P278" s="15">
        <v>109151698.85030697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28"/>
        <v>3.6003190838783663</v>
      </c>
      <c r="W278" s="15">
        <v>3.8776199999999998</v>
      </c>
      <c r="X278" s="15"/>
      <c r="Y278" s="15">
        <f t="shared" si="29"/>
        <v>1.0770212055268493</v>
      </c>
      <c r="Z278" s="15"/>
      <c r="AA278" s="16"/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27"/>
        <v>2290.9456142265267</v>
      </c>
      <c r="AH278" s="17">
        <v>2067.8430712119402</v>
      </c>
      <c r="AI278" s="15">
        <v>33.853999999999999</v>
      </c>
      <c r="AJ278" s="17">
        <f t="shared" si="30"/>
        <v>0.32611103990318235</v>
      </c>
      <c r="AK278" s="15">
        <f t="shared" si="31"/>
        <v>1.0770212055268493</v>
      </c>
      <c r="AL278" s="56">
        <v>2.8845000000000001</v>
      </c>
      <c r="AN278" s="5">
        <f t="shared" si="32"/>
        <v>38.510911424903725</v>
      </c>
    </row>
    <row r="279" spans="1:40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5991.8671000000004</v>
      </c>
      <c r="M279" s="15"/>
      <c r="N279" s="15"/>
      <c r="O279" s="15"/>
      <c r="P279" s="15">
        <v>109151698.85030697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28"/>
        <v>3.9370899489573925</v>
      </c>
      <c r="W279" s="15">
        <v>3.67767</v>
      </c>
      <c r="X279" s="15"/>
      <c r="Y279" s="15">
        <f t="shared" si="29"/>
        <v>0.93410870660293366</v>
      </c>
      <c r="Z279" s="15"/>
      <c r="AA279" s="16"/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27"/>
        <v>1986.954605555773</v>
      </c>
      <c r="AH279" s="17">
        <v>1890.963876434048</v>
      </c>
      <c r="AI279" s="15">
        <v>15.103</v>
      </c>
      <c r="AJ279" s="17">
        <f t="shared" si="30"/>
        <v>0.51057089855603821</v>
      </c>
      <c r="AK279" s="15">
        <f t="shared" si="31"/>
        <v>0.93410870660293366</v>
      </c>
      <c r="AL279" s="5">
        <v>2.8845000000000001</v>
      </c>
      <c r="AN279" s="5">
        <f t="shared" si="32"/>
        <v>38.510911424903725</v>
      </c>
    </row>
    <row r="280" spans="1:40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5991.8671000000004</v>
      </c>
      <c r="M280" s="15"/>
      <c r="N280" s="15"/>
      <c r="O280" s="15"/>
      <c r="P280" s="15">
        <v>109151698.85030696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28"/>
        <v>4.5126357778089092</v>
      </c>
      <c r="W280" s="15">
        <v>3.33867</v>
      </c>
      <c r="X280" s="15"/>
      <c r="Y280" s="15">
        <f t="shared" si="29"/>
        <v>0.73984920662510834</v>
      </c>
      <c r="Z280" s="15"/>
      <c r="AA280" s="16"/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27"/>
        <v>1573.7427326490213</v>
      </c>
      <c r="AH280" s="17">
        <v>1649.7885578004339</v>
      </c>
      <c r="AI280" s="15">
        <v>7.9523000000000001</v>
      </c>
      <c r="AJ280" s="17">
        <f t="shared" si="30"/>
        <v>0.75330138071415131</v>
      </c>
      <c r="AK280" s="15">
        <f t="shared" si="31"/>
        <v>0.73984920662510834</v>
      </c>
      <c r="AL280" s="5">
        <v>2.8845000000000001</v>
      </c>
      <c r="AN280" s="5">
        <f t="shared" si="32"/>
        <v>38.510911424903725</v>
      </c>
    </row>
    <row r="281" spans="1:40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5991.8671000000004</v>
      </c>
      <c r="M281" s="15"/>
      <c r="N281" s="15"/>
      <c r="O281" s="15"/>
      <c r="P281" s="15">
        <v>109151698.85030696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28"/>
        <v>5.3765668653345129</v>
      </c>
      <c r="W281" s="15">
        <v>3.4636800000000001</v>
      </c>
      <c r="X281" s="15"/>
      <c r="Y281" s="15">
        <f t="shared" si="29"/>
        <v>0.64421778557840015</v>
      </c>
      <c r="Z281" s="15"/>
      <c r="AA281" s="16"/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27"/>
        <v>1370.3239108979351</v>
      </c>
      <c r="AH281" s="17">
        <v>1384.6930686849744</v>
      </c>
      <c r="AI281" s="15">
        <v>5.4123999999999999</v>
      </c>
      <c r="AJ281" s="17">
        <f t="shared" si="30"/>
        <v>0.996684221353626</v>
      </c>
      <c r="AK281" s="15">
        <f t="shared" si="31"/>
        <v>0.64421778557840015</v>
      </c>
      <c r="AL281" s="5">
        <v>2.8845000000000001</v>
      </c>
      <c r="AN281" s="5">
        <f t="shared" si="32"/>
        <v>38.510911424903725</v>
      </c>
    </row>
    <row r="282" spans="1:40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5991.8671000000004</v>
      </c>
      <c r="M282" s="15"/>
      <c r="N282" s="15"/>
      <c r="O282" s="15"/>
      <c r="P282" s="15">
        <v>109151698.85030696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28"/>
        <v>7.1090650522135572</v>
      </c>
      <c r="W282" s="15">
        <v>3.39445</v>
      </c>
      <c r="X282" s="15"/>
      <c r="Y282" s="15">
        <f t="shared" si="29"/>
        <v>0.47748191570466308</v>
      </c>
      <c r="Z282" s="15"/>
      <c r="AA282" s="16"/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27"/>
        <v>1015.6579044522891</v>
      </c>
      <c r="AH282" s="17">
        <v>1047.2396604996427</v>
      </c>
      <c r="AI282" s="15">
        <v>4.0807000000000002</v>
      </c>
      <c r="AJ282" s="17">
        <f t="shared" si="30"/>
        <v>1.319893560855026</v>
      </c>
      <c r="AK282" s="15">
        <f t="shared" si="31"/>
        <v>0.47748191570466308</v>
      </c>
      <c r="AL282" s="5">
        <v>2.8845000000000001</v>
      </c>
      <c r="AN282" s="5">
        <f t="shared" si="32"/>
        <v>38.510911424903725</v>
      </c>
    </row>
    <row r="283" spans="1:40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5991.8671000000004</v>
      </c>
      <c r="M283" s="15"/>
      <c r="N283" s="15"/>
      <c r="O283" s="15"/>
      <c r="P283" s="15">
        <v>109151698.85030696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28"/>
        <v>9.6141697283052192</v>
      </c>
      <c r="W283" s="15">
        <v>3.1091199999999999</v>
      </c>
      <c r="X283" s="15"/>
      <c r="Y283" s="15">
        <f t="shared" si="29"/>
        <v>0.32338933967916061</v>
      </c>
      <c r="Z283" s="15"/>
      <c r="AA283" s="16"/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27"/>
        <v>687.88561044457185</v>
      </c>
      <c r="AH283" s="17">
        <v>774.36690657034842</v>
      </c>
      <c r="AI283" s="15">
        <v>3.5148999999999999</v>
      </c>
      <c r="AJ283" s="17">
        <f t="shared" si="30"/>
        <v>1.6538625211345108</v>
      </c>
      <c r="AK283" s="15">
        <f t="shared" si="31"/>
        <v>0.32338933967916061</v>
      </c>
      <c r="AL283" s="5">
        <v>2.8845000000000001</v>
      </c>
      <c r="AN283" s="5">
        <f t="shared" si="32"/>
        <v>38.510911424903725</v>
      </c>
    </row>
    <row r="284" spans="1:40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5991.8671000000004</v>
      </c>
      <c r="M284" s="15"/>
      <c r="N284" s="15"/>
      <c r="O284" s="15"/>
      <c r="P284" s="15">
        <v>109151698.85030696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28"/>
        <v>12.677807793826361</v>
      </c>
      <c r="W284" s="15">
        <v>2.8449200000000001</v>
      </c>
      <c r="X284" s="15"/>
      <c r="Y284" s="15">
        <f t="shared" si="29"/>
        <v>0.22440157212238021</v>
      </c>
      <c r="Z284" s="15"/>
      <c r="AA284" s="16"/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27"/>
        <v>477.32746100187035</v>
      </c>
      <c r="AH284" s="17">
        <v>587.23834536877882</v>
      </c>
      <c r="AI284" s="15">
        <v>3.2387999999999999</v>
      </c>
      <c r="AJ284" s="17">
        <f t="shared" si="30"/>
        <v>1.9784724917442247</v>
      </c>
      <c r="AK284" s="15">
        <f t="shared" si="31"/>
        <v>0.22440157212238021</v>
      </c>
      <c r="AL284" s="5">
        <v>2.8845000000000001</v>
      </c>
      <c r="AN284" s="5">
        <f t="shared" si="32"/>
        <v>38.510911424903725</v>
      </c>
    </row>
    <row r="285" spans="1:40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5991.8671000000004</v>
      </c>
      <c r="M285" s="15"/>
      <c r="N285" s="15"/>
      <c r="O285" s="15"/>
      <c r="P285" s="15">
        <v>109151698.85030696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28"/>
        <v>18.399569247723623</v>
      </c>
      <c r="W285" s="15">
        <v>2.6257199999999998</v>
      </c>
      <c r="X285" s="15"/>
      <c r="Y285" s="15">
        <f t="shared" si="29"/>
        <v>0.14270551471333229</v>
      </c>
      <c r="Z285" s="15"/>
      <c r="AA285" s="16"/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27"/>
        <v>303.55072990278052</v>
      </c>
      <c r="AH285" s="17">
        <v>404.62332413956238</v>
      </c>
      <c r="AI285" s="15">
        <v>3.0137999999999998</v>
      </c>
      <c r="AJ285" s="17">
        <f t="shared" si="30"/>
        <v>2.4708513230146343</v>
      </c>
      <c r="AK285" s="15">
        <f t="shared" si="31"/>
        <v>0.14270551471333229</v>
      </c>
      <c r="AL285" s="5">
        <v>2.8845000000000001</v>
      </c>
      <c r="AN285" s="5">
        <f t="shared" si="32"/>
        <v>38.510911424903725</v>
      </c>
    </row>
    <row r="286" spans="1:40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28"/>
        <v>3.5399629697356958</v>
      </c>
      <c r="W286" s="15">
        <v>3.8468800000000001</v>
      </c>
      <c r="X286" s="15"/>
      <c r="Y286" s="15">
        <f t="shared" si="29"/>
        <v>1.0867006329976439</v>
      </c>
      <c r="Z286" s="15"/>
      <c r="AA286" s="16"/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27"/>
        <v>1694.0276781775883</v>
      </c>
      <c r="AH286" s="17">
        <v>1541.2741945736698</v>
      </c>
      <c r="AI286" s="15">
        <v>33.520000000000003</v>
      </c>
      <c r="AJ286" s="17">
        <f t="shared" si="30"/>
        <v>0.32497305605842575</v>
      </c>
      <c r="AK286" s="15">
        <f t="shared" si="31"/>
        <v>1.0867006329976439</v>
      </c>
      <c r="AL286" s="56">
        <v>1.5359</v>
      </c>
      <c r="AN286" s="5">
        <f t="shared" si="32"/>
        <v>52.631578947368418</v>
      </c>
    </row>
    <row r="287" spans="1:40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28"/>
        <v>3.8199587760204086</v>
      </c>
      <c r="W287" s="15">
        <v>3.6068500000000001</v>
      </c>
      <c r="X287" s="15"/>
      <c r="Y287" s="15">
        <f t="shared" si="29"/>
        <v>0.94421176025296727</v>
      </c>
      <c r="Z287" s="15"/>
      <c r="AA287" s="16"/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27"/>
        <v>1471.9057000243558</v>
      </c>
      <c r="AH287" s="17">
        <v>1428.3016898637995</v>
      </c>
      <c r="AI287" s="15">
        <v>14.753</v>
      </c>
      <c r="AJ287" s="17">
        <f t="shared" si="30"/>
        <v>0.5088492829533886</v>
      </c>
      <c r="AK287" s="15">
        <f t="shared" si="31"/>
        <v>0.94421176025296727</v>
      </c>
      <c r="AL287" s="5">
        <v>1.5359</v>
      </c>
      <c r="AN287" s="5">
        <f t="shared" si="32"/>
        <v>52.631578947368418</v>
      </c>
    </row>
    <row r="288" spans="1:40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4391.1899999999996</v>
      </c>
      <c r="M288" s="15"/>
      <c r="N288" s="15"/>
      <c r="O288" s="15"/>
      <c r="P288" s="15">
        <v>81063444.296924978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28"/>
        <v>4.2684655720304043</v>
      </c>
      <c r="W288" s="15">
        <v>3.1965400000000002</v>
      </c>
      <c r="X288" s="15"/>
      <c r="Y288" s="15">
        <f t="shared" si="29"/>
        <v>0.74887332369404225</v>
      </c>
      <c r="Z288" s="15"/>
      <c r="AA288" s="16"/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27"/>
        <v>1167.3979928465747</v>
      </c>
      <c r="AH288" s="17">
        <v>1278.2236339801821</v>
      </c>
      <c r="AI288" s="15">
        <v>7.5670999999999999</v>
      </c>
      <c r="AJ288" s="17">
        <f t="shared" si="30"/>
        <v>0.75105398508946919</v>
      </c>
      <c r="AK288" s="15">
        <f t="shared" si="31"/>
        <v>0.74887332369404225</v>
      </c>
      <c r="AL288" s="5">
        <v>1.5359</v>
      </c>
      <c r="AN288" s="5">
        <f t="shared" si="32"/>
        <v>52.631578947368418</v>
      </c>
    </row>
    <row r="289" spans="1:40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4391.1899999999996</v>
      </c>
      <c r="M289" s="15"/>
      <c r="N289" s="15"/>
      <c r="O289" s="15"/>
      <c r="P289" s="15">
        <v>81063444.296924978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28"/>
        <v>4.9036490092126783</v>
      </c>
      <c r="W289" s="15">
        <v>3.1862599999999999</v>
      </c>
      <c r="X289" s="15"/>
      <c r="Y289" s="15">
        <f t="shared" si="29"/>
        <v>0.64977325946735742</v>
      </c>
      <c r="Z289" s="15"/>
      <c r="AA289" s="16"/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27"/>
        <v>1012.9136329303651</v>
      </c>
      <c r="AH289" s="17">
        <v>1112.6517344021763</v>
      </c>
      <c r="AI289" s="15">
        <v>4.9654999999999996</v>
      </c>
      <c r="AJ289" s="17">
        <f t="shared" si="30"/>
        <v>0.99375241103514267</v>
      </c>
      <c r="AK289" s="15">
        <f t="shared" si="31"/>
        <v>0.64977325946735742</v>
      </c>
      <c r="AL289" s="5">
        <v>1.5359</v>
      </c>
      <c r="AN289" s="5">
        <f t="shared" si="32"/>
        <v>52.631578947368418</v>
      </c>
    </row>
    <row r="290" spans="1:40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4391.1899999999996</v>
      </c>
      <c r="M290" s="15"/>
      <c r="N290" s="15"/>
      <c r="O290" s="15"/>
      <c r="P290" s="15">
        <v>81063444.296924978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28"/>
        <v>6.1588146495691714</v>
      </c>
      <c r="W290" s="15">
        <v>2.9616400000000001</v>
      </c>
      <c r="X290" s="15"/>
      <c r="Y290" s="15">
        <f t="shared" si="29"/>
        <v>0.48087824825304271</v>
      </c>
      <c r="Z290" s="15"/>
      <c r="AA290" s="16"/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27"/>
        <v>749.62785300592884</v>
      </c>
      <c r="AH290" s="17">
        <v>885.89345278992414</v>
      </c>
      <c r="AI290" s="15">
        <v>3.5565000000000002</v>
      </c>
      <c r="AJ290" s="17">
        <f t="shared" si="30"/>
        <v>1.3159432493904302</v>
      </c>
      <c r="AK290" s="15">
        <f t="shared" si="31"/>
        <v>0.48087824825304271</v>
      </c>
      <c r="AL290" s="5">
        <v>1.5359</v>
      </c>
      <c r="AN290" s="5">
        <f t="shared" si="32"/>
        <v>52.631578947368418</v>
      </c>
    </row>
    <row r="291" spans="1:40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4391.1899999999996</v>
      </c>
      <c r="M291" s="15"/>
      <c r="N291" s="15"/>
      <c r="O291" s="15"/>
      <c r="P291" s="15">
        <v>81063444.296924978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28"/>
        <v>8.0163723671627167</v>
      </c>
      <c r="W291" s="15">
        <v>2.6095299999999999</v>
      </c>
      <c r="X291" s="15"/>
      <c r="Y291" s="15">
        <f t="shared" si="29"/>
        <v>0.32552504804908489</v>
      </c>
      <c r="Z291" s="15"/>
      <c r="AA291" s="16"/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27"/>
        <v>507.4520291886447</v>
      </c>
      <c r="AH291" s="17">
        <v>680.61378951775089</v>
      </c>
      <c r="AI291" s="15">
        <v>2.9483999999999999</v>
      </c>
      <c r="AJ291" s="17">
        <f t="shared" si="30"/>
        <v>1.6489053985654751</v>
      </c>
      <c r="AK291" s="15">
        <f t="shared" si="31"/>
        <v>0.32552504804908489</v>
      </c>
      <c r="AL291" s="5">
        <v>1.5359</v>
      </c>
      <c r="AN291" s="5">
        <f t="shared" si="32"/>
        <v>52.631578947368418</v>
      </c>
    </row>
    <row r="292" spans="1:40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4391.1899999999996</v>
      </c>
      <c r="M292" s="15"/>
      <c r="N292" s="15"/>
      <c r="O292" s="15"/>
      <c r="P292" s="15">
        <v>81063444.296924978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28"/>
        <v>10.339034299308656</v>
      </c>
      <c r="W292" s="15">
        <v>2.33656</v>
      </c>
      <c r="X292" s="15"/>
      <c r="Y292" s="15">
        <f t="shared" si="29"/>
        <v>0.22599402732963558</v>
      </c>
      <c r="Z292" s="15"/>
      <c r="AA292" s="16"/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27"/>
        <v>352.2958630687159</v>
      </c>
      <c r="AH292" s="17">
        <v>527.71404147143915</v>
      </c>
      <c r="AI292" s="15">
        <v>2.6572</v>
      </c>
      <c r="AJ292" s="17">
        <f t="shared" si="30"/>
        <v>1.9725492990945419</v>
      </c>
      <c r="AK292" s="15">
        <f t="shared" si="31"/>
        <v>0.22599402732963558</v>
      </c>
      <c r="AL292" s="5">
        <v>1.5359</v>
      </c>
      <c r="AN292" s="5">
        <f t="shared" si="32"/>
        <v>52.631578947368418</v>
      </c>
    </row>
    <row r="293" spans="1:40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v>4391.1899999999996</v>
      </c>
      <c r="M293" s="15"/>
      <c r="N293" s="15"/>
      <c r="O293" s="15"/>
      <c r="P293" s="15">
        <v>81063444.296924978</v>
      </c>
      <c r="Q293" s="15"/>
      <c r="R293" s="15"/>
      <c r="S293" s="15">
        <v>105.78625278178698</v>
      </c>
      <c r="T293" s="15">
        <v>355</v>
      </c>
      <c r="U293" s="15">
        <v>210000</v>
      </c>
      <c r="V293" s="15">
        <f t="shared" si="28"/>
        <v>14.736058882959016</v>
      </c>
      <c r="W293" s="15">
        <v>2.1239499999999998</v>
      </c>
      <c r="X293" s="15"/>
      <c r="Y293" s="15">
        <f t="shared" si="29"/>
        <v>0.1441328388322447</v>
      </c>
      <c r="Z293" s="15"/>
      <c r="AA293" s="16"/>
      <c r="AB293" s="42">
        <v>1.5093980321271014</v>
      </c>
      <c r="AC293" s="43">
        <v>2.5</v>
      </c>
      <c r="AD293" s="15"/>
      <c r="AE293" s="15" t="s">
        <v>623</v>
      </c>
      <c r="AF293" s="22" t="s">
        <v>5</v>
      </c>
      <c r="AG293" s="17">
        <f t="shared" si="27"/>
        <v>224.68471159587645</v>
      </c>
      <c r="AH293" s="17">
        <v>370.25188473625445</v>
      </c>
      <c r="AI293" s="15">
        <v>2.4281999999999999</v>
      </c>
      <c r="AJ293" s="17">
        <f t="shared" si="30"/>
        <v>2.4634766304028339</v>
      </c>
      <c r="AK293" s="15">
        <f t="shared" si="31"/>
        <v>0.1441328388322447</v>
      </c>
      <c r="AL293" s="5">
        <v>1.5359</v>
      </c>
      <c r="AN293" s="5">
        <f t="shared" si="32"/>
        <v>52.631578947368418</v>
      </c>
    </row>
    <row r="294" spans="1:40">
      <c r="AF294" s="11"/>
      <c r="AG294" s="6"/>
      <c r="AH294" s="6"/>
      <c r="AJ294" s="19"/>
    </row>
    <row r="295" spans="1:40">
      <c r="AF295" s="11"/>
      <c r="AG295" s="6"/>
      <c r="AH295" s="6"/>
      <c r="AJ295" s="19"/>
    </row>
    <row r="296" spans="1:40">
      <c r="AF296" s="18"/>
      <c r="AG296" s="6"/>
      <c r="AH296" s="6"/>
      <c r="AJ296" s="19"/>
    </row>
    <row r="297" spans="1:40">
      <c r="AF297" s="11"/>
      <c r="AG297" s="6"/>
      <c r="AH297" s="6"/>
      <c r="AJ297" s="19"/>
    </row>
    <row r="302" spans="1:40">
      <c r="AF302" s="11"/>
    </row>
    <row r="310" spans="32:32">
      <c r="AF310" s="10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1"/>
    </row>
    <row r="350" spans="32:32">
      <c r="AF350" s="11"/>
    </row>
    <row r="358" spans="32:32">
      <c r="AF358" s="11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1"/>
    </row>
    <row r="414" spans="32:32">
      <c r="AF414" s="11"/>
    </row>
    <row r="422" spans="32:32">
      <c r="AF422" s="11"/>
    </row>
    <row r="430" spans="32:32">
      <c r="AF430" s="11"/>
    </row>
    <row r="438" spans="32:32">
      <c r="AF438" s="10"/>
    </row>
    <row r="446" spans="32:32">
      <c r="AF446" s="11"/>
    </row>
    <row r="454" spans="32:32">
      <c r="AF454" s="11"/>
    </row>
    <row r="462" spans="32:32">
      <c r="AF462" s="11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0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0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  <row r="630" spans="32:32">
      <c r="AF630" s="11"/>
    </row>
    <row r="638" spans="32:32">
      <c r="AF638" s="11"/>
    </row>
    <row r="646" spans="32:32">
      <c r="AF646" s="11"/>
    </row>
    <row r="654" spans="32:32">
      <c r="AF654" s="11"/>
    </row>
    <row r="662" spans="32:32">
      <c r="AF662" s="11"/>
    </row>
    <row r="670" spans="32:32">
      <c r="AF670" s="11"/>
    </row>
    <row r="678" spans="32:32">
      <c r="AF678" s="11"/>
    </row>
    <row r="686" spans="32:32">
      <c r="AF686" s="11"/>
    </row>
    <row r="694" spans="32:32">
      <c r="AF694" s="11"/>
    </row>
    <row r="702" spans="32:32">
      <c r="AF702" s="11"/>
    </row>
    <row r="710" spans="32:32">
      <c r="AF710" s="11"/>
    </row>
    <row r="718" spans="32:32">
      <c r="AF718" s="11"/>
    </row>
    <row r="726" spans="32:32">
      <c r="AF726" s="11"/>
    </row>
    <row r="734" spans="32:32">
      <c r="AF734" s="11"/>
    </row>
    <row r="742" spans="32:32">
      <c r="AF742" s="11"/>
    </row>
    <row r="750" spans="32:32">
      <c r="AF750" s="11"/>
    </row>
    <row r="758" spans="32:32">
      <c r="AF758" s="11"/>
    </row>
    <row r="766" spans="32:32">
      <c r="AF766" s="11"/>
    </row>
  </sheetData>
  <mergeCells count="13"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J4:AJ5"/>
    <mergeCell ref="AK4:AK5"/>
    <mergeCell ref="AI4:AI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2779-CA97-41E5-A0A8-1ED0776FE3AB}">
  <sheetPr codeName="Sheet5"/>
  <dimension ref="A1:AL297"/>
  <sheetViews>
    <sheetView topLeftCell="H1" zoomScaleNormal="100" workbookViewId="0">
      <pane ySplit="5" topLeftCell="A68" activePane="bottomLeft" state="frozen"/>
      <selection pane="bottomLeft" activeCell="AI69" sqref="AI69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2.8554687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3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38" s="1" customFormat="1" ht="14.65" customHeight="1">
      <c r="I2" s="78" t="s">
        <v>0</v>
      </c>
      <c r="J2" s="7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38" s="1" customFormat="1" ht="15.4" customHeight="1">
      <c r="I3" s="80" t="s">
        <v>1</v>
      </c>
      <c r="J3" s="81"/>
      <c r="K3" s="13" t="s">
        <v>816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38" ht="29.25" customHeight="1">
      <c r="A4" s="25"/>
      <c r="B4" s="77" t="s">
        <v>26</v>
      </c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26" t="s">
        <v>27</v>
      </c>
      <c r="T4" s="82" t="s">
        <v>30</v>
      </c>
      <c r="U4" s="82"/>
      <c r="V4" s="82" t="s">
        <v>515</v>
      </c>
      <c r="W4" s="82"/>
      <c r="X4" s="82"/>
      <c r="Y4" s="82"/>
      <c r="Z4" s="82"/>
      <c r="AA4" s="82"/>
      <c r="AB4" s="82"/>
      <c r="AC4" s="82"/>
      <c r="AD4" s="82"/>
      <c r="AE4" s="77" t="s">
        <v>3</v>
      </c>
      <c r="AF4" s="77" t="s">
        <v>4</v>
      </c>
      <c r="AG4" s="77" t="s">
        <v>224</v>
      </c>
      <c r="AH4" s="77" t="s">
        <v>225</v>
      </c>
      <c r="AI4" s="77" t="s">
        <v>223</v>
      </c>
      <c r="AJ4" s="77" t="s">
        <v>525</v>
      </c>
      <c r="AK4" s="77" t="s">
        <v>526</v>
      </c>
      <c r="AL4" s="77" t="s">
        <v>913</v>
      </c>
    </row>
    <row r="5" spans="1:38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77"/>
      <c r="AF5" s="77"/>
      <c r="AG5" s="77"/>
      <c r="AH5" s="77"/>
      <c r="AI5" s="77"/>
      <c r="AJ5" s="77"/>
      <c r="AK5" s="77"/>
      <c r="AL5" s="77"/>
    </row>
    <row r="6" spans="1:38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3.7949899999999999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12721.617624638202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1.0291446827925916</v>
      </c>
      <c r="AL6" s="56">
        <v>26.521000000000001</v>
      </c>
    </row>
    <row r="7" spans="1:38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4.1746400000000001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3">W7*S7</f>
        <v>12429.104588627908</v>
      </c>
      <c r="AH7" s="17">
        <v>10420.507171923251</v>
      </c>
      <c r="AI7" s="15">
        <f t="shared" ref="AI7:AI70" si="4">(PI()^2*U7*P7/K7^2)/(S7*1000)</f>
        <v>16.607531394084681</v>
      </c>
      <c r="AJ7" s="17">
        <f t="shared" ref="AJ7:AJ70" si="5">(V7/AI7)^0.5</f>
        <v>0.5</v>
      </c>
      <c r="AK7" s="15">
        <f t="shared" ref="AK7:AK70" si="6">W7/V7</f>
        <v>1.00548116416313</v>
      </c>
      <c r="AL7" s="5">
        <v>26.521000000000001</v>
      </c>
    </row>
    <row r="8" spans="1:38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4.8144400000000003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3"/>
        <v>11792.686053340658</v>
      </c>
      <c r="AH8" s="17">
        <v>8573.0430095072952</v>
      </c>
      <c r="AI8" s="15">
        <f t="shared" si="4"/>
        <v>8.9717346082796663</v>
      </c>
      <c r="AJ8" s="17">
        <f t="shared" si="5"/>
        <v>0.75000000000000011</v>
      </c>
      <c r="AK8" s="15">
        <f t="shared" si="6"/>
        <v>0.95399661471770136</v>
      </c>
      <c r="AL8" s="5">
        <v>26.521000000000001</v>
      </c>
    </row>
    <row r="9" spans="1:38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5.2202200000000003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3"/>
        <v>9954.7735423285649</v>
      </c>
      <c r="AH9" s="17">
        <v>6674.3752941734201</v>
      </c>
      <c r="AI9" s="15">
        <f t="shared" si="4"/>
        <v>6.4822134047165623</v>
      </c>
      <c r="AJ9" s="17">
        <f t="shared" si="5"/>
        <v>1</v>
      </c>
      <c r="AK9" s="15">
        <f t="shared" si="6"/>
        <v>0.80531443105555334</v>
      </c>
      <c r="AL9" s="5">
        <v>26.521000000000001</v>
      </c>
    </row>
    <row r="10" spans="1:38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4.9815100000000001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3"/>
        <v>6622.1682840731528</v>
      </c>
      <c r="AH10" s="17">
        <v>4652.7235706153424</v>
      </c>
      <c r="AI10" s="15">
        <f t="shared" si="4"/>
        <v>5.2568237321193827</v>
      </c>
      <c r="AJ10" s="17">
        <f t="shared" si="5"/>
        <v>1.3300000000000003</v>
      </c>
      <c r="AK10" s="15">
        <f t="shared" si="6"/>
        <v>0.5357156203871869</v>
      </c>
      <c r="AL10" s="5">
        <v>26.521000000000001</v>
      </c>
    </row>
    <row r="11" spans="1:38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4.6869500000000004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3"/>
        <v>4391.6455619293138</v>
      </c>
      <c r="AH11" s="17">
        <v>3279.480145244263</v>
      </c>
      <c r="AI11" s="15">
        <f t="shared" si="4"/>
        <v>4.730379668540408</v>
      </c>
      <c r="AJ11" s="17">
        <f t="shared" si="5"/>
        <v>1.6700000000000002</v>
      </c>
      <c r="AK11" s="15">
        <f t="shared" si="6"/>
        <v>0.35527232558978705</v>
      </c>
      <c r="AL11" s="5">
        <v>26.521000000000001</v>
      </c>
    </row>
    <row r="12" spans="1:38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4.50197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3"/>
        <v>3119.3434778352362</v>
      </c>
      <c r="AH12" s="17">
        <v>2425.0943858851406</v>
      </c>
      <c r="AI12" s="15">
        <f t="shared" si="4"/>
        <v>4.4601073314728632</v>
      </c>
      <c r="AJ12" s="17">
        <f t="shared" si="5"/>
        <v>2</v>
      </c>
      <c r="AK12" s="15">
        <f t="shared" si="6"/>
        <v>0.25234650566768491</v>
      </c>
      <c r="AL12" s="5">
        <v>26.521000000000001</v>
      </c>
    </row>
    <row r="13" spans="1:38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4.3185000000000002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3"/>
        <v>2020.3958201687592</v>
      </c>
      <c r="AH13" s="17">
        <v>1637.4633253654408</v>
      </c>
      <c r="AI13" s="15">
        <f t="shared" si="4"/>
        <v>4.2274876589709898</v>
      </c>
      <c r="AJ13" s="17">
        <f t="shared" si="5"/>
        <v>2.5</v>
      </c>
      <c r="AK13" s="15">
        <f t="shared" si="6"/>
        <v>0.1634445930394948</v>
      </c>
      <c r="AL13" s="5">
        <v>26.521000000000001</v>
      </c>
    </row>
    <row r="14" spans="1:38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3.79704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30" t="s">
        <v>219</v>
      </c>
      <c r="AG14" s="23">
        <f t="shared" si="3"/>
        <v>9813.3351505828268</v>
      </c>
      <c r="AH14" s="23">
        <v>9045.6442457914309</v>
      </c>
      <c r="AI14" s="15">
        <f t="shared" si="4"/>
        <v>40.972427162657333</v>
      </c>
      <c r="AJ14" s="17">
        <f t="shared" si="5"/>
        <v>0.30000000000000004</v>
      </c>
      <c r="AK14" s="15">
        <f t="shared" si="6"/>
        <v>1.0297006122152579</v>
      </c>
      <c r="AL14" s="56">
        <v>15.672000000000001</v>
      </c>
    </row>
    <row r="15" spans="1:38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4.1788699999999999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3"/>
        <v>9592.226620215275</v>
      </c>
      <c r="AH15" s="17">
        <v>8033.9405558807684</v>
      </c>
      <c r="AI15" s="15">
        <f t="shared" si="4"/>
        <v>16.607531394084678</v>
      </c>
      <c r="AJ15" s="17">
        <f t="shared" si="5"/>
        <v>0.5</v>
      </c>
      <c r="AK15" s="15">
        <f t="shared" si="6"/>
        <v>1.0064999790368463</v>
      </c>
      <c r="AL15" s="5">
        <v>15.672000000000001</v>
      </c>
    </row>
    <row r="16" spans="1:38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4.8026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3"/>
        <v>9069.4955462578637</v>
      </c>
      <c r="AH16" s="17">
        <v>6609.5936392584281</v>
      </c>
      <c r="AI16" s="15">
        <f t="shared" si="4"/>
        <v>8.9717346082796663</v>
      </c>
      <c r="AJ16" s="17">
        <f t="shared" si="5"/>
        <v>0.75000000000000011</v>
      </c>
      <c r="AK16" s="15">
        <f t="shared" si="6"/>
        <v>0.95165048102027061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5.2161099999999996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3"/>
        <v>7668.8294116681645</v>
      </c>
      <c r="AH17" s="17">
        <v>5145.7701123708239</v>
      </c>
      <c r="AI17" s="15">
        <f t="shared" si="4"/>
        <v>6.4822134047165596</v>
      </c>
      <c r="AJ17" s="17">
        <f t="shared" si="5"/>
        <v>1</v>
      </c>
      <c r="AK17" s="15">
        <f t="shared" si="6"/>
        <v>0.80468038836929912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4.9825400000000002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3"/>
        <v>5106.5755035151797</v>
      </c>
      <c r="AH18" s="17">
        <v>3587.129107303329</v>
      </c>
      <c r="AI18" s="15">
        <f t="shared" si="4"/>
        <v>5.2568237321193827</v>
      </c>
      <c r="AJ18" s="17">
        <f t="shared" si="5"/>
        <v>1.33</v>
      </c>
      <c r="AK18" s="15">
        <f t="shared" si="6"/>
        <v>0.5358263874214797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4.6877199999999997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3"/>
        <v>3386.4009858172608</v>
      </c>
      <c r="AH19" s="17">
        <v>2528.3940701151973</v>
      </c>
      <c r="AI19" s="15">
        <f t="shared" si="4"/>
        <v>4.7303796685404089</v>
      </c>
      <c r="AJ19" s="17">
        <f t="shared" si="5"/>
        <v>1.67</v>
      </c>
      <c r="AK19" s="15">
        <f t="shared" si="6"/>
        <v>0.35533069183877714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4.50108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3"/>
        <v>2404.4574218931552</v>
      </c>
      <c r="AH20" s="17">
        <v>1869.6848260031022</v>
      </c>
      <c r="AI20" s="15">
        <f t="shared" si="4"/>
        <v>4.4601073314728614</v>
      </c>
      <c r="AJ20" s="17">
        <f t="shared" si="5"/>
        <v>2</v>
      </c>
      <c r="AK20" s="15">
        <f t="shared" si="6"/>
        <v>0.25229661897584915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4.3105500000000001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3"/>
        <v>1554.8051899552822</v>
      </c>
      <c r="AH21" s="17">
        <v>1262.4417220177211</v>
      </c>
      <c r="AI21" s="15">
        <f t="shared" si="4"/>
        <v>4.2274876589709898</v>
      </c>
      <c r="AJ21" s="17">
        <f t="shared" si="5"/>
        <v>2.5</v>
      </c>
      <c r="AK21" s="15">
        <f t="shared" si="6"/>
        <v>0.16314370511205148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3.8038400000000001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30" t="s">
        <v>219</v>
      </c>
      <c r="AG22" s="17">
        <f t="shared" si="3"/>
        <v>8583.1128810901773</v>
      </c>
      <c r="AH22" s="17">
        <v>7897.5180564418115</v>
      </c>
      <c r="AI22" s="15">
        <f t="shared" si="4"/>
        <v>40.972427162657333</v>
      </c>
      <c r="AJ22" s="17">
        <f t="shared" si="5"/>
        <v>0.30000000000000004</v>
      </c>
      <c r="AK22" s="15">
        <f t="shared" si="6"/>
        <v>1.0315446707880052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4.1867299999999998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3"/>
        <v>8390.476938996022</v>
      </c>
      <c r="AH23" s="17">
        <v>7014.2257290262514</v>
      </c>
      <c r="AI23" s="15">
        <f t="shared" si="4"/>
        <v>16.607531394084681</v>
      </c>
      <c r="AJ23" s="17">
        <f t="shared" si="5"/>
        <v>0.5</v>
      </c>
      <c r="AK23" s="15">
        <f t="shared" si="6"/>
        <v>1.0083930960362335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4.8018999999999998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3"/>
        <v>7917.1878769925906</v>
      </c>
      <c r="AH24" s="17">
        <v>5770.6652719702761</v>
      </c>
      <c r="AI24" s="15">
        <f t="shared" si="4"/>
        <v>8.9717346082796681</v>
      </c>
      <c r="AJ24" s="17">
        <f t="shared" si="5"/>
        <v>0.75000000000000011</v>
      </c>
      <c r="AK24" s="15">
        <f t="shared" si="6"/>
        <v>0.95151177379153717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5.2301700000000002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3"/>
        <v>6713.504203256457</v>
      </c>
      <c r="AH25" s="17">
        <v>4492.6388074188026</v>
      </c>
      <c r="AI25" s="15">
        <f t="shared" si="4"/>
        <v>6.4822134047165632</v>
      </c>
      <c r="AJ25" s="17">
        <f t="shared" si="5"/>
        <v>1</v>
      </c>
      <c r="AK25" s="15">
        <f t="shared" si="6"/>
        <v>0.80684940057580368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4.9999000000000002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3"/>
        <v>4473.9528831488433</v>
      </c>
      <c r="AH26" s="17">
        <v>3131.8296547972859</v>
      </c>
      <c r="AI26" s="15">
        <f t="shared" si="4"/>
        <v>5.2568237321193818</v>
      </c>
      <c r="AJ26" s="17">
        <f t="shared" si="5"/>
        <v>1.3300000000000003</v>
      </c>
      <c r="AK26" s="15">
        <f t="shared" si="6"/>
        <v>0.53769329588295456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4.7023599999999997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3"/>
        <v>2965.8126776277786</v>
      </c>
      <c r="AH27" s="17">
        <v>2207.4754743782323</v>
      </c>
      <c r="AI27" s="15">
        <f t="shared" si="4"/>
        <v>4.7303796685404089</v>
      </c>
      <c r="AJ27" s="17">
        <f t="shared" si="5"/>
        <v>1.6700000000000004</v>
      </c>
      <c r="AK27" s="15">
        <f t="shared" si="6"/>
        <v>0.35644040857282244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4.5145099999999996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3"/>
        <v>2105.5332422070505</v>
      </c>
      <c r="AH28" s="17">
        <v>1632.3734685989571</v>
      </c>
      <c r="AI28" s="15">
        <f t="shared" si="4"/>
        <v>4.460107331472865</v>
      </c>
      <c r="AJ28" s="17">
        <f t="shared" si="5"/>
        <v>2</v>
      </c>
      <c r="AK28" s="15">
        <f t="shared" si="6"/>
        <v>0.25304940355040562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4.3186099999999996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3"/>
        <v>1359.9984228081821</v>
      </c>
      <c r="AH29" s="17">
        <v>1102.2052187691497</v>
      </c>
      <c r="AI29" s="15">
        <f t="shared" si="4"/>
        <v>4.2274876589709889</v>
      </c>
      <c r="AJ29" s="17">
        <f t="shared" si="5"/>
        <v>2.5000000000000004</v>
      </c>
      <c r="AK29" s="15">
        <f t="shared" si="6"/>
        <v>0.16344875626867952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3.7707999999999999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30" t="s">
        <v>219</v>
      </c>
      <c r="AG30" s="17">
        <f t="shared" si="3"/>
        <v>6850.5097526290283</v>
      </c>
      <c r="AH30" s="17">
        <v>6358.5403983774268</v>
      </c>
      <c r="AI30" s="15">
        <f t="shared" si="4"/>
        <v>40.972427162657347</v>
      </c>
      <c r="AJ30" s="17">
        <f t="shared" si="5"/>
        <v>0.3</v>
      </c>
      <c r="AK30" s="15">
        <f t="shared" si="6"/>
        <v>1.022584715605128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4.15998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30" t="s">
        <v>219</v>
      </c>
      <c r="AG31" s="17">
        <f t="shared" si="3"/>
        <v>6712.2750406424184</v>
      </c>
      <c r="AH31" s="17">
        <v>5647.3739398382841</v>
      </c>
      <c r="AI31" s="15">
        <f t="shared" si="4"/>
        <v>16.607531394084681</v>
      </c>
      <c r="AJ31" s="17">
        <f t="shared" si="5"/>
        <v>0.5</v>
      </c>
      <c r="AK31" s="15">
        <f t="shared" si="6"/>
        <v>1.0019502360192349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4.7866499999999998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3"/>
        <v>6354.1332757870341</v>
      </c>
      <c r="AH32" s="17">
        <v>4646.1442690095619</v>
      </c>
      <c r="AI32" s="15">
        <f t="shared" si="4"/>
        <v>8.9717346082796681</v>
      </c>
      <c r="AJ32" s="17">
        <f t="shared" si="5"/>
        <v>0.75</v>
      </c>
      <c r="AK32" s="15">
        <f t="shared" si="6"/>
        <v>0.94848993773699208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5.2483599999999999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3"/>
        <v>5424.0524957134421</v>
      </c>
      <c r="AH33" s="17">
        <v>3617.1649305682245</v>
      </c>
      <c r="AI33" s="15">
        <f t="shared" si="4"/>
        <v>6.4822134047165632</v>
      </c>
      <c r="AJ33" s="17">
        <f t="shared" si="5"/>
        <v>1</v>
      </c>
      <c r="AK33" s="15">
        <f t="shared" si="6"/>
        <v>0.80965554083443292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5.0301400000000003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3"/>
        <v>3623.9063640361328</v>
      </c>
      <c r="AH34" s="17">
        <v>2521.5346439913133</v>
      </c>
      <c r="AI34" s="15">
        <f t="shared" si="4"/>
        <v>5.2568237321193827</v>
      </c>
      <c r="AJ34" s="17">
        <f t="shared" si="5"/>
        <v>1.33</v>
      </c>
      <c r="AK34" s="15">
        <f t="shared" si="6"/>
        <v>0.54094532997713651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4.7291600000000003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3"/>
        <v>2401.47825073389</v>
      </c>
      <c r="AH35" s="17">
        <v>1777.3079949861317</v>
      </c>
      <c r="AI35" s="15">
        <f t="shared" si="4"/>
        <v>4.7303796685404089</v>
      </c>
      <c r="AJ35" s="17">
        <f t="shared" si="5"/>
        <v>1.67</v>
      </c>
      <c r="AK35" s="15">
        <f t="shared" si="6"/>
        <v>0.35847185723897146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4.53925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3"/>
        <v>1704.5211433542947</v>
      </c>
      <c r="AH36" s="17">
        <v>1314.2752661210623</v>
      </c>
      <c r="AI36" s="15">
        <f t="shared" si="4"/>
        <v>4.460107331472865</v>
      </c>
      <c r="AJ36" s="17">
        <f t="shared" si="5"/>
        <v>2</v>
      </c>
      <c r="AK36" s="15">
        <f t="shared" si="6"/>
        <v>0.25443614147851684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4.3318300000000001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3"/>
        <v>1098.3294550452199</v>
      </c>
      <c r="AH37" s="17">
        <v>887.42011867000087</v>
      </c>
      <c r="AI37" s="15">
        <f t="shared" si="4"/>
        <v>4.2274876589709898</v>
      </c>
      <c r="AJ37" s="17">
        <f t="shared" si="5"/>
        <v>2.5</v>
      </c>
      <c r="AK37" s="15">
        <f t="shared" si="6"/>
        <v>0.16394910072161045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3.56602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3"/>
        <v>5358.4755134244606</v>
      </c>
      <c r="AH38" s="17">
        <v>5259.2706426171508</v>
      </c>
      <c r="AI38" s="15">
        <f t="shared" si="4"/>
        <v>40.97242716265734</v>
      </c>
      <c r="AJ38" s="17">
        <f t="shared" si="5"/>
        <v>0.30000000000000004</v>
      </c>
      <c r="AK38" s="15">
        <f t="shared" si="6"/>
        <v>0.96705143405701643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3.9458799999999998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30" t="s">
        <v>219</v>
      </c>
      <c r="AG39" s="17">
        <f t="shared" si="3"/>
        <v>5266.1164686734091</v>
      </c>
      <c r="AH39" s="17">
        <v>4671.0512332754497</v>
      </c>
      <c r="AI39" s="15">
        <f t="shared" si="4"/>
        <v>16.607531394084678</v>
      </c>
      <c r="AJ39" s="17">
        <f t="shared" si="5"/>
        <v>0.5</v>
      </c>
      <c r="AK39" s="15">
        <f t="shared" si="6"/>
        <v>0.95038327042523729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4.5824999999999996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3"/>
        <v>5031.4736860741577</v>
      </c>
      <c r="AH40" s="17">
        <v>3842.9149811804809</v>
      </c>
      <c r="AI40" s="15">
        <f t="shared" si="4"/>
        <v>8.9717346082796681</v>
      </c>
      <c r="AJ40" s="17">
        <f t="shared" si="5"/>
        <v>0.75</v>
      </c>
      <c r="AK40" s="15">
        <f t="shared" si="6"/>
        <v>0.90803696524286626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5.17584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3"/>
        <v>4424.3471422789435</v>
      </c>
      <c r="AH41" s="17">
        <v>2991.8264471035236</v>
      </c>
      <c r="AI41" s="15">
        <f t="shared" si="4"/>
        <v>6.482213404716564</v>
      </c>
      <c r="AJ41" s="17">
        <f t="shared" si="5"/>
        <v>1</v>
      </c>
      <c r="AK41" s="15">
        <f t="shared" si="6"/>
        <v>0.79846800419035469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5.0453099999999997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3"/>
        <v>3006.4420439952364</v>
      </c>
      <c r="AH42" s="17">
        <v>2085.6096362727617</v>
      </c>
      <c r="AI42" s="15">
        <f t="shared" si="4"/>
        <v>5.2568237321193818</v>
      </c>
      <c r="AJ42" s="17">
        <f t="shared" si="5"/>
        <v>1.33</v>
      </c>
      <c r="AK42" s="15">
        <f t="shared" si="6"/>
        <v>0.54257672406472723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4.7479800000000001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3"/>
        <v>1994.2133369069072</v>
      </c>
      <c r="AH43" s="17">
        <v>1470.0455097060592</v>
      </c>
      <c r="AI43" s="15">
        <f t="shared" si="4"/>
        <v>4.7303796685404098</v>
      </c>
      <c r="AJ43" s="17">
        <f t="shared" si="5"/>
        <v>1.67</v>
      </c>
      <c r="AK43" s="15">
        <f t="shared" si="6"/>
        <v>0.35989841932467742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4.5579499999999999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3"/>
        <v>1415.6501279426466</v>
      </c>
      <c r="AH44" s="17">
        <v>1087.0622643511365</v>
      </c>
      <c r="AI44" s="15">
        <f t="shared" si="4"/>
        <v>4.4601073314728659</v>
      </c>
      <c r="AJ44" s="17">
        <f t="shared" si="5"/>
        <v>2</v>
      </c>
      <c r="AK44" s="15">
        <f t="shared" si="6"/>
        <v>0.25548432253169695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4.3418999999999999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3"/>
        <v>910.5611739661415</v>
      </c>
      <c r="AH45" s="17">
        <v>734.00219002775179</v>
      </c>
      <c r="AI45" s="15">
        <f t="shared" si="4"/>
        <v>4.2274876589709898</v>
      </c>
      <c r="AJ45" s="17">
        <f t="shared" si="5"/>
        <v>2.5</v>
      </c>
      <c r="AK45" s="15">
        <f t="shared" si="6"/>
        <v>0.1643302254297053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3.4832800000000002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3"/>
        <v>4650.6698823138076</v>
      </c>
      <c r="AH46" s="17">
        <v>4672.9934395450055</v>
      </c>
      <c r="AI46" s="15">
        <f t="shared" si="4"/>
        <v>40.972427162657333</v>
      </c>
      <c r="AJ46" s="17">
        <f t="shared" si="5"/>
        <v>0.3</v>
      </c>
      <c r="AK46" s="15">
        <f t="shared" si="6"/>
        <v>0.94461358018803199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3.8262999999999998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30" t="s">
        <v>219</v>
      </c>
      <c r="AG47" s="17">
        <f t="shared" si="3"/>
        <v>4537.2765986906061</v>
      </c>
      <c r="AH47" s="17">
        <v>4150.3457897752714</v>
      </c>
      <c r="AI47" s="15">
        <f t="shared" si="4"/>
        <v>16.607531394084678</v>
      </c>
      <c r="AJ47" s="17">
        <f t="shared" si="5"/>
        <v>0.5</v>
      </c>
      <c r="AK47" s="15">
        <f t="shared" si="6"/>
        <v>0.92158187973990247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4.4325099999999997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3"/>
        <v>4324.2630751185179</v>
      </c>
      <c r="AH48" s="17">
        <v>3414.5260276716385</v>
      </c>
      <c r="AI48" s="15">
        <f t="shared" si="4"/>
        <v>8.9717346082796645</v>
      </c>
      <c r="AJ48" s="17">
        <f t="shared" si="5"/>
        <v>0.75</v>
      </c>
      <c r="AK48" s="15">
        <f t="shared" si="6"/>
        <v>0.87831596918901456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5.0134100000000004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3"/>
        <v>3807.7745480286712</v>
      </c>
      <c r="AH49" s="17">
        <v>2658.3125892556859</v>
      </c>
      <c r="AI49" s="15">
        <f t="shared" si="4"/>
        <v>6.4822134047165605</v>
      </c>
      <c r="AJ49" s="17">
        <f t="shared" si="5"/>
        <v>1</v>
      </c>
      <c r="AK49" s="15">
        <f t="shared" si="6"/>
        <v>0.77341020527836435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5.0176499999999997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3"/>
        <v>2656.6539990824458</v>
      </c>
      <c r="AH50" s="17">
        <v>1853.1162988228673</v>
      </c>
      <c r="AI50" s="15">
        <f t="shared" si="4"/>
        <v>5.25682373211938</v>
      </c>
      <c r="AJ50" s="17">
        <f t="shared" si="5"/>
        <v>1.3300000000000003</v>
      </c>
      <c r="AK50" s="15">
        <f t="shared" si="6"/>
        <v>0.53960214526032668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4.7486699999999997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3"/>
        <v>1772.1659045874046</v>
      </c>
      <c r="AH51" s="17">
        <v>1306.1721842233544</v>
      </c>
      <c r="AI51" s="15">
        <f t="shared" si="4"/>
        <v>4.7303796685404071</v>
      </c>
      <c r="AJ51" s="17">
        <f t="shared" si="5"/>
        <v>1.67</v>
      </c>
      <c r="AK51" s="15">
        <f t="shared" si="6"/>
        <v>0.35995072154779856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4.5639200000000004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3"/>
        <v>1259.4880464468436</v>
      </c>
      <c r="AH52" s="17">
        <v>965.88199674051077</v>
      </c>
      <c r="AI52" s="15">
        <f t="shared" si="4"/>
        <v>4.4601073314728623</v>
      </c>
      <c r="AJ52" s="17">
        <f t="shared" si="5"/>
        <v>2</v>
      </c>
      <c r="AK52" s="15">
        <f t="shared" si="6"/>
        <v>0.25581895573423657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4.3458800000000002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3"/>
        <v>809.79798670752143</v>
      </c>
      <c r="AH53" s="17">
        <v>652.17929475188566</v>
      </c>
      <c r="AI53" s="15">
        <f t="shared" si="4"/>
        <v>4.2274876589709889</v>
      </c>
      <c r="AJ53" s="17">
        <f t="shared" si="5"/>
        <v>2.5</v>
      </c>
      <c r="AK53" s="15">
        <f t="shared" si="6"/>
        <v>0.16448085863111728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3.7947500000000001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3"/>
        <v>17639.155036711119</v>
      </c>
      <c r="AH54" s="17">
        <v>16269.067166081799</v>
      </c>
      <c r="AI54" s="15">
        <f t="shared" si="4"/>
        <v>40.972427162657333</v>
      </c>
      <c r="AJ54" s="17">
        <f t="shared" si="5"/>
        <v>0.30000000000000004</v>
      </c>
      <c r="AK54" s="15">
        <f t="shared" si="6"/>
        <v>1.0290795983723771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4.1539599999999997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3"/>
        <v>17149.285422647696</v>
      </c>
      <c r="AH55" s="17">
        <v>14449.464843009309</v>
      </c>
      <c r="AI55" s="15">
        <f t="shared" si="4"/>
        <v>16.607531394084681</v>
      </c>
      <c r="AJ55" s="17">
        <f t="shared" si="5"/>
        <v>0.5</v>
      </c>
      <c r="AK55" s="15">
        <f t="shared" si="6"/>
        <v>1.0005002914471848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4.6958099999999998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3"/>
        <v>15949.254215724253</v>
      </c>
      <c r="AH56" s="17">
        <v>11887.701963034044</v>
      </c>
      <c r="AI56" s="15">
        <f t="shared" si="4"/>
        <v>8.9717346082796663</v>
      </c>
      <c r="AJ56" s="17">
        <f t="shared" si="5"/>
        <v>0.75000000000000011</v>
      </c>
      <c r="AK56" s="15">
        <f t="shared" si="6"/>
        <v>0.93048970251109764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5.0381099999999996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3"/>
        <v>13322.113517276264</v>
      </c>
      <c r="AH57" s="17">
        <v>9254.938322201564</v>
      </c>
      <c r="AI57" s="15">
        <f t="shared" si="4"/>
        <v>6.4822134047165623</v>
      </c>
      <c r="AJ57" s="17">
        <f t="shared" si="5"/>
        <v>1</v>
      </c>
      <c r="AK57" s="15">
        <f t="shared" si="6"/>
        <v>0.77722063212762937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4.8282600000000002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3"/>
        <v>8900.0564443529838</v>
      </c>
      <c r="AH58" s="17">
        <v>6451.6404574806329</v>
      </c>
      <c r="AI58" s="15">
        <f t="shared" si="4"/>
        <v>5.2568237321193845</v>
      </c>
      <c r="AJ58" s="17">
        <f t="shared" si="5"/>
        <v>1.33</v>
      </c>
      <c r="AK58" s="15">
        <f t="shared" si="6"/>
        <v>0.51923499125579187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4.5578200000000004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3"/>
        <v>5921.8450180297968</v>
      </c>
      <c r="AH59" s="17">
        <v>4547.4497814973574</v>
      </c>
      <c r="AI59" s="15">
        <f t="shared" si="4"/>
        <v>4.730379668540408</v>
      </c>
      <c r="AJ59" s="17">
        <f t="shared" si="5"/>
        <v>1.6700000000000002</v>
      </c>
      <c r="AK59" s="15">
        <f t="shared" si="6"/>
        <v>0.34548422983382437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4.3850100000000003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3"/>
        <v>4213.0255780189855</v>
      </c>
      <c r="AH60" s="17">
        <v>3362.7265440823276</v>
      </c>
      <c r="AI60" s="15">
        <f t="shared" si="4"/>
        <v>4.4601073314728641</v>
      </c>
      <c r="AJ60" s="17">
        <f t="shared" si="5"/>
        <v>2</v>
      </c>
      <c r="AK60" s="15">
        <f t="shared" si="6"/>
        <v>0.2457906096259759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4.1953399999999998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3"/>
        <v>2721.6583425236845</v>
      </c>
      <c r="AH61" s="17">
        <v>2270.5678678802901</v>
      </c>
      <c r="AI61" s="15">
        <f t="shared" si="4"/>
        <v>4.2274876589709889</v>
      </c>
      <c r="AJ61" s="17">
        <f t="shared" si="5"/>
        <v>2.5000000000000004</v>
      </c>
      <c r="AK61" s="15">
        <f t="shared" si="6"/>
        <v>0.1587832902540961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3.7541500000000001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30" t="s">
        <v>219</v>
      </c>
      <c r="AG62" s="17">
        <f t="shared" si="3"/>
        <v>12449.049093788224</v>
      </c>
      <c r="AH62" s="17">
        <v>11606.268217375113</v>
      </c>
      <c r="AI62" s="15">
        <f t="shared" si="4"/>
        <v>40.972427162657333</v>
      </c>
      <c r="AJ62" s="17">
        <f t="shared" si="5"/>
        <v>0.30000000000000004</v>
      </c>
      <c r="AK62" s="15">
        <f t="shared" si="6"/>
        <v>1.0180694839527398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4.10656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3"/>
        <v>12094.609241656679</v>
      </c>
      <c r="AH63" s="17">
        <v>10308.173348446966</v>
      </c>
      <c r="AI63" s="15">
        <f t="shared" si="4"/>
        <v>16.607531394084681</v>
      </c>
      <c r="AJ63" s="17">
        <f t="shared" si="5"/>
        <v>0.5</v>
      </c>
      <c r="AK63" s="15">
        <f t="shared" si="6"/>
        <v>0.98908378435164335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4.6426400000000001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3"/>
        <v>11249.282507033404</v>
      </c>
      <c r="AH64" s="17">
        <v>8480.6249837628839</v>
      </c>
      <c r="AI64" s="15">
        <f t="shared" si="4"/>
        <v>8.9717346082796681</v>
      </c>
      <c r="AJ64" s="17">
        <f t="shared" si="5"/>
        <v>0.75</v>
      </c>
      <c r="AK64" s="15">
        <f t="shared" si="6"/>
        <v>0.9199538977228896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4.9895199999999997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3"/>
        <v>9412.2662304061814</v>
      </c>
      <c r="AH65" s="17">
        <v>6602.4250441769227</v>
      </c>
      <c r="AI65" s="15">
        <f t="shared" si="4"/>
        <v>6.4822134047165632</v>
      </c>
      <c r="AJ65" s="17">
        <f t="shared" si="5"/>
        <v>1</v>
      </c>
      <c r="AK65" s="15">
        <f t="shared" si="6"/>
        <v>0.76972473574682743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4.79514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3"/>
        <v>6305.7007185475568</v>
      </c>
      <c r="AH66" s="17">
        <v>4602.566872899738</v>
      </c>
      <c r="AI66" s="15">
        <f t="shared" si="4"/>
        <v>5.2568237321193818</v>
      </c>
      <c r="AJ66" s="17">
        <f t="shared" si="5"/>
        <v>1.33</v>
      </c>
      <c r="AK66" s="15">
        <f t="shared" si="6"/>
        <v>0.51567323962883072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4.5303399999999998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3"/>
        <v>4199.1425192635161</v>
      </c>
      <c r="AH67" s="17">
        <v>3244.127111303414</v>
      </c>
      <c r="AI67" s="15">
        <f t="shared" si="4"/>
        <v>4.7303796685404098</v>
      </c>
      <c r="AJ67" s="17">
        <f t="shared" si="5"/>
        <v>1.67</v>
      </c>
      <c r="AK67" s="15">
        <f t="shared" si="6"/>
        <v>0.34340123694778807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4.3597000000000001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3"/>
        <v>2988.2027695659808</v>
      </c>
      <c r="AH68" s="17">
        <v>2398.9516924285917</v>
      </c>
      <c r="AI68" s="15">
        <f t="shared" si="4"/>
        <v>4.4601073314728641</v>
      </c>
      <c r="AJ68" s="17">
        <f t="shared" si="5"/>
        <v>2</v>
      </c>
      <c r="AK68" s="15">
        <f t="shared" si="6"/>
        <v>0.24437192179410472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4.1729200000000004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3"/>
        <v>1931.2409104435485</v>
      </c>
      <c r="AH69" s="17">
        <v>1619.8113518956557</v>
      </c>
      <c r="AI69" s="15">
        <f t="shared" si="4"/>
        <v>4.2274876589709907</v>
      </c>
      <c r="AJ69" s="17">
        <f t="shared" si="5"/>
        <v>2.5</v>
      </c>
      <c r="AK69" s="15">
        <f t="shared" si="6"/>
        <v>0.15793474845116792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3.7400199999999999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30" t="s">
        <v>219</v>
      </c>
      <c r="AG70" s="17">
        <f t="shared" si="3"/>
        <v>10479.272610152415</v>
      </c>
      <c r="AH70" s="17">
        <v>9806.7534760598755</v>
      </c>
      <c r="AI70" s="15">
        <f t="shared" si="4"/>
        <v>40.972427162657347</v>
      </c>
      <c r="AJ70" s="17">
        <f t="shared" si="5"/>
        <v>0.3</v>
      </c>
      <c r="AK70" s="15">
        <f t="shared" si="6"/>
        <v>1.0142376387126046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7">2*C71*F71+(E71-2*F71)*H71</f>
        <v>14974.155000000001</v>
      </c>
      <c r="M71" s="15"/>
      <c r="N71" s="15"/>
      <c r="O71" s="15"/>
      <c r="P71" s="15">
        <f t="shared" ref="P71:P134" si="8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9">L71*T71/(S71*1000)</f>
        <v>4.1518828485211712</v>
      </c>
      <c r="W71" s="15">
        <v>4.0919299999999996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10">W71*S71</f>
        <v>10182.971304879755</v>
      </c>
      <c r="AH71" s="17">
        <v>8709.9240620145374</v>
      </c>
      <c r="AI71" s="15">
        <f t="shared" ref="AI71:AI134" si="11">(PI()^2*U71*P71/K71^2)/(S71*1000)</f>
        <v>16.607531394084681</v>
      </c>
      <c r="AJ71" s="17">
        <f t="shared" ref="AJ71:AJ134" si="12">(V71/AI71)^0.5</f>
        <v>0.5</v>
      </c>
      <c r="AK71" s="15">
        <f t="shared" ref="AK71:AK134" si="13">W71/V71</f>
        <v>0.98556008184514987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7"/>
        <v>14974.155000000001</v>
      </c>
      <c r="M72" s="15"/>
      <c r="N72" s="15"/>
      <c r="O72" s="15"/>
      <c r="P72" s="15">
        <f t="shared" si="8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9"/>
        <v>5.0466007171573137</v>
      </c>
      <c r="W72" s="15">
        <v>4.62378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10"/>
        <v>9466.5042030472559</v>
      </c>
      <c r="AH72" s="17">
        <v>7165.7312222176215</v>
      </c>
      <c r="AI72" s="15">
        <f t="shared" si="11"/>
        <v>8.9717346082796663</v>
      </c>
      <c r="AJ72" s="17">
        <f t="shared" si="12"/>
        <v>0.75000000000000011</v>
      </c>
      <c r="AK72" s="15">
        <f t="shared" si="13"/>
        <v>0.91621672867444859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7"/>
        <v>14974.155000000001</v>
      </c>
      <c r="M73" s="15"/>
      <c r="N73" s="15"/>
      <c r="O73" s="15"/>
      <c r="P73" s="15">
        <f t="shared" si="8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9"/>
        <v>6.4822134047165623</v>
      </c>
      <c r="W73" s="15">
        <v>4.9765800000000002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10"/>
        <v>7932.2990759017321</v>
      </c>
      <c r="AH73" s="17">
        <v>5578.7401720973157</v>
      </c>
      <c r="AI73" s="15">
        <f t="shared" si="11"/>
        <v>6.4822134047165614</v>
      </c>
      <c r="AJ73" s="17">
        <f t="shared" si="12"/>
        <v>1</v>
      </c>
      <c r="AK73" s="15">
        <f t="shared" si="13"/>
        <v>0.76772850402903448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7"/>
        <v>14974.155000000001</v>
      </c>
      <c r="M74" s="15"/>
      <c r="N74" s="15"/>
      <c r="O74" s="15"/>
      <c r="P74" s="15">
        <f t="shared" si="8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9"/>
        <v>9.2987954997459781</v>
      </c>
      <c r="W74" s="15">
        <v>4.7967000000000004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10"/>
        <v>5329.7553656727778</v>
      </c>
      <c r="AH74" s="17">
        <v>3888.9536097430987</v>
      </c>
      <c r="AI74" s="15">
        <f t="shared" si="11"/>
        <v>5.2568237321193818</v>
      </c>
      <c r="AJ74" s="17">
        <f t="shared" si="12"/>
        <v>1.3300000000000003</v>
      </c>
      <c r="AK74" s="15">
        <f t="shared" si="13"/>
        <v>0.51584100329241944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7"/>
        <v>14974.155000000001</v>
      </c>
      <c r="M75" s="15"/>
      <c r="N75" s="15"/>
      <c r="O75" s="15"/>
      <c r="P75" s="15">
        <f t="shared" si="8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9"/>
        <v>13.192555857592348</v>
      </c>
      <c r="W75" s="15">
        <v>4.5366099999999996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10"/>
        <v>3552.9894595870874</v>
      </c>
      <c r="AH75" s="17">
        <v>2741.1355855043321</v>
      </c>
      <c r="AI75" s="15">
        <f t="shared" si="11"/>
        <v>4.7303796685404098</v>
      </c>
      <c r="AJ75" s="17">
        <f t="shared" si="12"/>
        <v>1.67</v>
      </c>
      <c r="AK75" s="15">
        <f t="shared" si="13"/>
        <v>0.34387650497527888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7"/>
        <v>14974.155000000001</v>
      </c>
      <c r="M76" s="15"/>
      <c r="N76" s="15"/>
      <c r="O76" s="15"/>
      <c r="P76" s="15">
        <f t="shared" si="8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9"/>
        <v>17.840429325891453</v>
      </c>
      <c r="W76" s="15">
        <v>4.3674600000000003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10"/>
        <v>2529.3856466759762</v>
      </c>
      <c r="AH76" s="17">
        <v>2027.001910347414</v>
      </c>
      <c r="AI76" s="15">
        <f t="shared" si="11"/>
        <v>4.4601073314728623</v>
      </c>
      <c r="AJ76" s="17">
        <f t="shared" si="12"/>
        <v>2</v>
      </c>
      <c r="AK76" s="15">
        <f t="shared" si="13"/>
        <v>0.24480688890494323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7"/>
        <v>14974.155000000001</v>
      </c>
      <c r="M77" s="15"/>
      <c r="N77" s="15"/>
      <c r="O77" s="15"/>
      <c r="P77" s="15">
        <f t="shared" si="8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9"/>
        <v>26.421797868568689</v>
      </c>
      <c r="W77" s="15">
        <v>4.1822800000000004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10"/>
        <v>1635.4683888885143</v>
      </c>
      <c r="AH77" s="17">
        <v>1368.6647859803263</v>
      </c>
      <c r="AI77" s="15">
        <f t="shared" si="11"/>
        <v>4.2274876589709898</v>
      </c>
      <c r="AJ77" s="17">
        <f t="shared" si="12"/>
        <v>2.5</v>
      </c>
      <c r="AK77" s="15">
        <f t="shared" si="13"/>
        <v>0.15828900140725213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7"/>
        <v>11352.126200000002</v>
      </c>
      <c r="M78" s="15"/>
      <c r="N78" s="15"/>
      <c r="O78" s="15"/>
      <c r="P78" s="15">
        <f t="shared" si="8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9"/>
        <v>3.6400171434814044</v>
      </c>
      <c r="W78" s="15">
        <v>3.56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30" t="s">
        <v>219</v>
      </c>
      <c r="AG78" s="17">
        <f t="shared" si="10"/>
        <v>7660.7778750760881</v>
      </c>
      <c r="AH78" s="17">
        <v>7531.6636412264916</v>
      </c>
      <c r="AI78" s="15">
        <f t="shared" si="11"/>
        <v>40.444634927571173</v>
      </c>
      <c r="AJ78" s="17">
        <f t="shared" si="12"/>
        <v>0.29999999999999993</v>
      </c>
      <c r="AK78" s="15">
        <f t="shared" si="13"/>
        <v>0.97801737180697068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7"/>
        <v>11352.126200000002</v>
      </c>
      <c r="M79" s="15"/>
      <c r="N79" s="15"/>
      <c r="O79" s="15"/>
      <c r="P79" s="15">
        <f t="shared" si="8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9"/>
        <v>4.0444374085352681</v>
      </c>
      <c r="W79" s="15">
        <v>3.85555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10"/>
        <v>7467.1439231198965</v>
      </c>
      <c r="AH79" s="17">
        <v>6778.5409943898112</v>
      </c>
      <c r="AI79" s="15">
        <f t="shared" si="11"/>
        <v>16.177749634141076</v>
      </c>
      <c r="AJ79" s="17">
        <f t="shared" si="12"/>
        <v>0.49999999999999994</v>
      </c>
      <c r="AK79" s="15">
        <f t="shared" si="13"/>
        <v>0.95329698807140761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7"/>
        <v>11352.126200000002</v>
      </c>
      <c r="M80" s="15"/>
      <c r="N80" s="15"/>
      <c r="O80" s="15"/>
      <c r="P80" s="15">
        <f t="shared" si="8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9"/>
        <v>4.7855497672286047</v>
      </c>
      <c r="W80" s="15">
        <v>4.2478100000000003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10"/>
        <v>6952.7969621070588</v>
      </c>
      <c r="AH80" s="17">
        <v>5728.7848014329038</v>
      </c>
      <c r="AI80" s="15">
        <f t="shared" si="11"/>
        <v>8.5076440306286312</v>
      </c>
      <c r="AJ80" s="17">
        <f t="shared" si="12"/>
        <v>0.75</v>
      </c>
      <c r="AK80" s="15">
        <f t="shared" si="13"/>
        <v>0.88763260369560026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7"/>
        <v>11352.126200000002</v>
      </c>
      <c r="M81" s="15"/>
      <c r="N81" s="15"/>
      <c r="O81" s="15"/>
      <c r="P81" s="15">
        <f t="shared" si="8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9"/>
        <v>5.9498687306909055</v>
      </c>
      <c r="W81" s="15">
        <v>4.46793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10"/>
        <v>5882.0034829145961</v>
      </c>
      <c r="AH81" s="17">
        <v>4607.7293489828817</v>
      </c>
      <c r="AI81" s="15">
        <f t="shared" si="11"/>
        <v>5.9498687306909064</v>
      </c>
      <c r="AJ81" s="17">
        <f t="shared" si="12"/>
        <v>1</v>
      </c>
      <c r="AK81" s="15">
        <f t="shared" si="13"/>
        <v>0.75092917209304189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7"/>
        <v>11352.126200000002</v>
      </c>
      <c r="M82" s="15"/>
      <c r="N82" s="15"/>
      <c r="O82" s="15"/>
      <c r="P82" s="15">
        <f t="shared" si="8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9"/>
        <v>8.2678062833636066</v>
      </c>
      <c r="W82" s="15">
        <v>4.2423000000000002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10"/>
        <v>4019.1793440859951</v>
      </c>
      <c r="AH82" s="17">
        <v>3315.9200679586502</v>
      </c>
      <c r="AI82" s="15">
        <f t="shared" si="11"/>
        <v>4.6739817306595102</v>
      </c>
      <c r="AJ82" s="17">
        <f t="shared" si="12"/>
        <v>1.3299999999999998</v>
      </c>
      <c r="AK82" s="15">
        <f t="shared" si="13"/>
        <v>0.51311071578156253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7"/>
        <v>11352.126200000002</v>
      </c>
      <c r="M83" s="15"/>
      <c r="N83" s="15"/>
      <c r="O83" s="15"/>
      <c r="P83" s="15">
        <f t="shared" si="8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9"/>
        <v>11.529072044075583</v>
      </c>
      <c r="W83" s="15">
        <v>3.964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10"/>
        <v>2693.1813227021626</v>
      </c>
      <c r="AH83" s="17">
        <v>2377.9350730215865</v>
      </c>
      <c r="AI83" s="15">
        <f t="shared" si="11"/>
        <v>4.1339137452313057</v>
      </c>
      <c r="AJ83" s="17">
        <f t="shared" si="12"/>
        <v>1.6699999999999995</v>
      </c>
      <c r="AK83" s="15">
        <f t="shared" si="13"/>
        <v>0.34382645757140284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7"/>
        <v>11352.126200000002</v>
      </c>
      <c r="M84" s="15"/>
      <c r="N84" s="15"/>
      <c r="O84" s="15"/>
      <c r="P84" s="15">
        <f t="shared" si="8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9"/>
        <v>15.453225589593025</v>
      </c>
      <c r="W84" s="15">
        <v>3.7894100000000002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10"/>
        <v>1920.784991001073</v>
      </c>
      <c r="AH84" s="17">
        <v>1774.0881742814197</v>
      </c>
      <c r="AI84" s="15">
        <f t="shared" si="11"/>
        <v>3.8633063973982571</v>
      </c>
      <c r="AJ84" s="17">
        <f t="shared" si="12"/>
        <v>1.9999999999999998</v>
      </c>
      <c r="AK84" s="15">
        <f t="shared" si="13"/>
        <v>0.24521806001149549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7"/>
        <v>11352.126200000002</v>
      </c>
      <c r="M85" s="15"/>
      <c r="N85" s="15"/>
      <c r="O85" s="15"/>
      <c r="P85" s="15">
        <f t="shared" si="8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9"/>
        <v>22.723407091517466</v>
      </c>
      <c r="W85" s="15">
        <v>3.6276600000000001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10"/>
        <v>1250.4877123283502</v>
      </c>
      <c r="AH85" s="17">
        <v>1206.4821381136119</v>
      </c>
      <c r="AI85" s="15">
        <f t="shared" si="11"/>
        <v>3.6357451346427956</v>
      </c>
      <c r="AJ85" s="17">
        <f t="shared" si="12"/>
        <v>2.4999999999999996</v>
      </c>
      <c r="AK85" s="15">
        <f t="shared" si="13"/>
        <v>0.15964419355732035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7"/>
        <v>8243.1917999999987</v>
      </c>
      <c r="M86" s="15"/>
      <c r="N86" s="15"/>
      <c r="O86" s="15"/>
      <c r="P86" s="15">
        <f t="shared" si="8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9"/>
        <v>3.579772442265349</v>
      </c>
      <c r="W86" s="15">
        <v>2.9957799999999999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30" t="s">
        <v>219</v>
      </c>
      <c r="AG86" s="17">
        <f t="shared" si="10"/>
        <v>4759.9127528156214</v>
      </c>
      <c r="AH86" s="17">
        <v>5561.0540943776496</v>
      </c>
      <c r="AI86" s="15">
        <f t="shared" si="11"/>
        <v>39.775249358503878</v>
      </c>
      <c r="AJ86" s="17">
        <f t="shared" si="12"/>
        <v>0.3</v>
      </c>
      <c r="AK86" s="15">
        <f t="shared" si="13"/>
        <v>0.83686324991769945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7"/>
        <v>8243.1917999999987</v>
      </c>
      <c r="M87" s="15"/>
      <c r="N87" s="15"/>
      <c r="O87" s="15"/>
      <c r="P87" s="15">
        <f t="shared" si="8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9"/>
        <v>3.9151788481239378</v>
      </c>
      <c r="W87" s="15">
        <v>3.1944300000000001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10"/>
        <v>4640.7296167482509</v>
      </c>
      <c r="AH87" s="17">
        <v>5084.6484845868827</v>
      </c>
      <c r="AI87" s="15">
        <f t="shared" si="11"/>
        <v>15.660715392495755</v>
      </c>
      <c r="AJ87" s="17">
        <f t="shared" si="12"/>
        <v>0.49999999999999994</v>
      </c>
      <c r="AK87" s="15">
        <f t="shared" si="13"/>
        <v>0.81590908714954269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7"/>
        <v>8243.1917999999987</v>
      </c>
      <c r="M88" s="15"/>
      <c r="N88" s="15"/>
      <c r="O88" s="15"/>
      <c r="P88" s="15">
        <f t="shared" si="8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9"/>
        <v>4.4887743646013156</v>
      </c>
      <c r="W88" s="15">
        <v>3.4530500000000002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10"/>
        <v>4375.4183841199847</v>
      </c>
      <c r="AH88" s="17">
        <v>4434.9095276407661</v>
      </c>
      <c r="AI88" s="15">
        <f t="shared" si="11"/>
        <v>7.9800433148467818</v>
      </c>
      <c r="AJ88" s="17">
        <f t="shared" si="12"/>
        <v>0.75000000000000011</v>
      </c>
      <c r="AK88" s="15">
        <f t="shared" si="13"/>
        <v>0.76926343797338392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7"/>
        <v>8243.1917999999987</v>
      </c>
      <c r="M89" s="15"/>
      <c r="N89" s="15"/>
      <c r="O89" s="15"/>
      <c r="P89" s="15">
        <f t="shared" si="8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9"/>
        <v>5.3502261361358254</v>
      </c>
      <c r="W89" s="15">
        <v>3.6126999999999998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10"/>
        <v>3840.6457966624043</v>
      </c>
      <c r="AH89" s="17">
        <v>3720.8349124805318</v>
      </c>
      <c r="AI89" s="15">
        <f t="shared" si="11"/>
        <v>5.3502261361358263</v>
      </c>
      <c r="AJ89" s="17">
        <f t="shared" si="12"/>
        <v>1</v>
      </c>
      <c r="AK89" s="15">
        <f t="shared" si="13"/>
        <v>0.67524248659314701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7"/>
        <v>8243.1917999999987</v>
      </c>
      <c r="M90" s="15"/>
      <c r="N90" s="15"/>
      <c r="O90" s="15"/>
      <c r="P90" s="15">
        <f t="shared" si="8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9"/>
        <v>7.0777999108743144</v>
      </c>
      <c r="W90" s="15">
        <v>3.47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10"/>
        <v>2788.5323653211244</v>
      </c>
      <c r="AH90" s="17">
        <v>2812.640714300846</v>
      </c>
      <c r="AI90" s="15">
        <f t="shared" si="11"/>
        <v>4.0012436603959021</v>
      </c>
      <c r="AJ90" s="17">
        <f t="shared" si="12"/>
        <v>1.3300000000000003</v>
      </c>
      <c r="AK90" s="15">
        <f t="shared" si="13"/>
        <v>0.4902653428601027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7"/>
        <v>8243.1917999999987</v>
      </c>
      <c r="M91" s="15"/>
      <c r="N91" s="15"/>
      <c r="O91" s="15"/>
      <c r="P91" s="15">
        <f t="shared" si="8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9"/>
        <v>9.5751241412328767</v>
      </c>
      <c r="W91" s="15">
        <v>3.2255400000000001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10"/>
        <v>1916.030925093828</v>
      </c>
      <c r="AH91" s="17">
        <v>2079.0652845193049</v>
      </c>
      <c r="AI91" s="15">
        <f t="shared" si="11"/>
        <v>3.4332977665864242</v>
      </c>
      <c r="AJ91" s="17">
        <f t="shared" si="12"/>
        <v>1.67</v>
      </c>
      <c r="AK91" s="15">
        <f t="shared" si="13"/>
        <v>0.33686665075286271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7"/>
        <v>8243.1917999999987</v>
      </c>
      <c r="M92" s="15"/>
      <c r="N92" s="15"/>
      <c r="O92" s="15"/>
      <c r="P92" s="15">
        <f t="shared" si="8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9"/>
        <v>12.628667990084828</v>
      </c>
      <c r="W92" s="15">
        <v>3.0622699999999998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10"/>
        <v>1379.210102879531</v>
      </c>
      <c r="AH92" s="17">
        <v>1576.3585053174145</v>
      </c>
      <c r="AI92" s="15">
        <f t="shared" si="11"/>
        <v>3.157166997521208</v>
      </c>
      <c r="AJ92" s="17">
        <f t="shared" si="12"/>
        <v>1.9999999999999996</v>
      </c>
      <c r="AK92" s="15">
        <f t="shared" si="13"/>
        <v>0.24248558932773323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7"/>
        <v>8243.1917999999987</v>
      </c>
      <c r="M93" s="15"/>
      <c r="N93" s="15"/>
      <c r="O93" s="15"/>
      <c r="P93" s="15">
        <f t="shared" si="8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9"/>
        <v>18.330994895013209</v>
      </c>
      <c r="W93" s="15">
        <v>2.9116900000000001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10"/>
        <v>903.44890149324578</v>
      </c>
      <c r="AH93" s="17">
        <v>1085.9916939050379</v>
      </c>
      <c r="AI93" s="15">
        <f t="shared" si="11"/>
        <v>2.9329591832021134</v>
      </c>
      <c r="AJ93" s="17">
        <f t="shared" si="12"/>
        <v>2.5</v>
      </c>
      <c r="AK93" s="15">
        <f t="shared" si="13"/>
        <v>0.1588397147386747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7"/>
        <v>6100.2647999999999</v>
      </c>
      <c r="M94" s="15"/>
      <c r="N94" s="15"/>
      <c r="O94" s="15"/>
      <c r="P94" s="15">
        <f t="shared" si="8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9"/>
        <v>3.5262254695970014</v>
      </c>
      <c r="W94" s="15">
        <v>2.51911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10"/>
        <v>3007.0097198969361</v>
      </c>
      <c r="AH94" s="17">
        <v>4177.8779091184097</v>
      </c>
      <c r="AI94" s="15">
        <f t="shared" si="11"/>
        <v>39.180282995522248</v>
      </c>
      <c r="AJ94" s="17">
        <f t="shared" si="12"/>
        <v>0.3</v>
      </c>
      <c r="AK94" s="15">
        <f t="shared" si="13"/>
        <v>0.71439277542507773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7"/>
        <v>6100.2647999999999</v>
      </c>
      <c r="M95" s="15"/>
      <c r="N95" s="15"/>
      <c r="O95" s="15"/>
      <c r="P95" s="15">
        <f t="shared" si="8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9"/>
        <v>3.8064187849652202</v>
      </c>
      <c r="W95" s="15">
        <v>2.6395200000000001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10"/>
        <v>2918.8122956575194</v>
      </c>
      <c r="AH95" s="17">
        <v>3870.3412115844235</v>
      </c>
      <c r="AI95" s="15">
        <f t="shared" si="11"/>
        <v>15.225675139860888</v>
      </c>
      <c r="AJ95" s="17">
        <f t="shared" si="12"/>
        <v>0.49999999999999989</v>
      </c>
      <c r="AK95" s="15">
        <f t="shared" si="13"/>
        <v>0.6934392007589143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7"/>
        <v>6100.2647999999999</v>
      </c>
      <c r="M96" s="15"/>
      <c r="N96" s="15"/>
      <c r="O96" s="15"/>
      <c r="P96" s="15">
        <f t="shared" si="8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9"/>
        <v>4.2560041696402848</v>
      </c>
      <c r="W96" s="15">
        <v>2.73576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10"/>
        <v>2705.6631613108566</v>
      </c>
      <c r="AH96" s="17">
        <v>3461.4955495321219</v>
      </c>
      <c r="AI96" s="15">
        <f t="shared" si="11"/>
        <v>7.5662296349160654</v>
      </c>
      <c r="AJ96" s="17">
        <f t="shared" si="12"/>
        <v>0.74999999999999989</v>
      </c>
      <c r="AK96" s="15">
        <f t="shared" si="13"/>
        <v>0.64280012212281856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7"/>
        <v>6100.2647999999999</v>
      </c>
      <c r="M97" s="15"/>
      <c r="N97" s="15"/>
      <c r="O97" s="15"/>
      <c r="P97" s="15">
        <f t="shared" si="8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9"/>
        <v>4.8938041375788819</v>
      </c>
      <c r="W97" s="15">
        <v>2.7417600000000002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10"/>
        <v>2358.1999745013504</v>
      </c>
      <c r="AH97" s="17">
        <v>3010.3655720248034</v>
      </c>
      <c r="AI97" s="15">
        <f t="shared" si="11"/>
        <v>4.8938041375788837</v>
      </c>
      <c r="AJ97" s="17">
        <f t="shared" si="12"/>
        <v>0.99999999999999978</v>
      </c>
      <c r="AK97" s="15">
        <f t="shared" si="13"/>
        <v>0.56025127343090497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7"/>
        <v>6100.2647999999999</v>
      </c>
      <c r="M98" s="15"/>
      <c r="N98" s="15"/>
      <c r="O98" s="15"/>
      <c r="P98" s="15">
        <f t="shared" si="8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9"/>
        <v>6.155059297226269</v>
      </c>
      <c r="W98" s="15">
        <v>2.62154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10"/>
        <v>1792.7594705365573</v>
      </c>
      <c r="AH98" s="17">
        <v>2393.5008227522562</v>
      </c>
      <c r="AI98" s="15">
        <f t="shared" si="11"/>
        <v>3.479597092671304</v>
      </c>
      <c r="AJ98" s="17">
        <f t="shared" si="12"/>
        <v>1.3299999999999998</v>
      </c>
      <c r="AK98" s="15">
        <f t="shared" si="13"/>
        <v>0.42591628665240922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7"/>
        <v>6100.2647999999999</v>
      </c>
      <c r="M99" s="15"/>
      <c r="N99" s="15"/>
      <c r="O99" s="15"/>
      <c r="P99" s="15">
        <f t="shared" si="8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9"/>
        <v>8.0207118288040604</v>
      </c>
      <c r="W99" s="15">
        <v>2.4704700000000002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10"/>
        <v>1296.4759034442393</v>
      </c>
      <c r="AH99" s="17">
        <v>1836.7620987321591</v>
      </c>
      <c r="AI99" s="15">
        <f t="shared" si="11"/>
        <v>2.8759409906429285</v>
      </c>
      <c r="AJ99" s="17">
        <f t="shared" si="12"/>
        <v>1.6699999999999997</v>
      </c>
      <c r="AK99" s="15">
        <f t="shared" si="13"/>
        <v>0.30801131529598452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7"/>
        <v>6100.2647999999999</v>
      </c>
      <c r="M100" s="31"/>
      <c r="N100" s="31"/>
      <c r="O100" s="31"/>
      <c r="P100" s="31">
        <f t="shared" si="8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9"/>
        <v>10.351921652800185</v>
      </c>
      <c r="W100" s="31">
        <v>2.3635299999999999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10"/>
        <v>961.03215895208143</v>
      </c>
      <c r="AH100" s="34">
        <v>1423.1308916460907</v>
      </c>
      <c r="AI100" s="31">
        <f t="shared" si="11"/>
        <v>2.587980413200047</v>
      </c>
      <c r="AJ100" s="34">
        <f t="shared" si="12"/>
        <v>1.9999999999999996</v>
      </c>
      <c r="AK100" s="31">
        <f t="shared" si="13"/>
        <v>0.22831799537051822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7"/>
        <v>6100.2647999999999</v>
      </c>
      <c r="M101" s="42"/>
      <c r="N101" s="42"/>
      <c r="O101" s="42"/>
      <c r="P101" s="42">
        <f t="shared" si="8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9"/>
        <v>14.763070859683028</v>
      </c>
      <c r="W101" s="42">
        <v>2.2573500000000002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10"/>
        <v>643.60583819193334</v>
      </c>
      <c r="AH101" s="43">
        <v>997.90481479246318</v>
      </c>
      <c r="AI101" s="42">
        <f t="shared" si="11"/>
        <v>2.3620913375492854</v>
      </c>
      <c r="AJ101" s="43">
        <f t="shared" si="12"/>
        <v>2.4999999999999996</v>
      </c>
      <c r="AK101" s="42">
        <f t="shared" si="13"/>
        <v>0.15290517951550811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7"/>
        <v>15434.550000000001</v>
      </c>
      <c r="M102" s="36"/>
      <c r="N102" s="36"/>
      <c r="O102" s="36"/>
      <c r="P102" s="36">
        <f t="shared" si="8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3.76694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54" t="s">
        <v>219</v>
      </c>
      <c r="AG102" s="39">
        <f t="shared" si="10"/>
        <v>7251.064133670895</v>
      </c>
      <c r="AH102" s="39">
        <v>6737.2255644762408</v>
      </c>
      <c r="AI102" s="36">
        <f t="shared" si="11"/>
        <v>40.860238702785502</v>
      </c>
      <c r="AJ102" s="39">
        <f t="shared" si="12"/>
        <v>0.30044773224364668</v>
      </c>
      <c r="AK102" s="36">
        <f t="shared" si="13"/>
        <v>1.021292029847618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7"/>
        <v>15434.550000000001</v>
      </c>
      <c r="M103" s="15"/>
      <c r="N103" s="15"/>
      <c r="O103" s="15"/>
      <c r="P103" s="15">
        <f t="shared" si="8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9"/>
        <v>4.153939239175422</v>
      </c>
      <c r="W103" s="15">
        <v>4.1360299999999999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30" t="s">
        <v>219</v>
      </c>
      <c r="AG103" s="17">
        <f t="shared" si="10"/>
        <v>7069.2826144031851</v>
      </c>
      <c r="AH103" s="17">
        <v>5982.1831926777968</v>
      </c>
      <c r="AI103" s="15">
        <f t="shared" si="11"/>
        <v>16.566271697353649</v>
      </c>
      <c r="AJ103" s="17">
        <f t="shared" si="12"/>
        <v>0.50074622040607786</v>
      </c>
      <c r="AK103" s="15">
        <f t="shared" si="13"/>
        <v>0.99568861311053336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7"/>
        <v>15434.550000000001</v>
      </c>
      <c r="M104" s="15"/>
      <c r="N104" s="15"/>
      <c r="O104" s="15"/>
      <c r="P104" s="15">
        <f t="shared" si="8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9"/>
        <v>5.0517068854483735</v>
      </c>
      <c r="W104" s="15">
        <v>4.7036499999999997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10"/>
        <v>6610.7184099787546</v>
      </c>
      <c r="AH104" s="17">
        <v>4919.0552942769218</v>
      </c>
      <c r="AI104" s="15">
        <f t="shared" si="11"/>
        <v>8.9540654712066541</v>
      </c>
      <c r="AJ104" s="17">
        <f t="shared" si="12"/>
        <v>0.75111933060911673</v>
      </c>
      <c r="AK104" s="15">
        <f t="shared" si="13"/>
        <v>0.93110113208449119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7"/>
        <v>15434.550000000001</v>
      </c>
      <c r="M105" s="15"/>
      <c r="N105" s="15"/>
      <c r="O105" s="15"/>
      <c r="P105" s="15">
        <f t="shared" si="8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9"/>
        <v>6.4926212516107089</v>
      </c>
      <c r="W105" s="15">
        <v>5.0484999999999998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10"/>
        <v>5520.6993325858584</v>
      </c>
      <c r="AH105" s="17">
        <v>3827.3641010301089</v>
      </c>
      <c r="AI105" s="15">
        <f t="shared" si="11"/>
        <v>6.4732848441679556</v>
      </c>
      <c r="AJ105" s="17">
        <f t="shared" si="12"/>
        <v>1.0014924408121557</v>
      </c>
      <c r="AK105" s="15">
        <f t="shared" si="13"/>
        <v>0.77757500466357143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7"/>
        <v>15434.550000000001</v>
      </c>
      <c r="M106" s="15"/>
      <c r="N106" s="15"/>
      <c r="O106" s="15"/>
      <c r="P106" s="15">
        <f t="shared" si="8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9"/>
        <v>9.3187330614180777</v>
      </c>
      <c r="W106" s="15">
        <v>4.8466500000000003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10"/>
        <v>3692.6367760140092</v>
      </c>
      <c r="AH106" s="17">
        <v>2666.6313259775375</v>
      </c>
      <c r="AI106" s="15">
        <f t="shared" si="11"/>
        <v>5.2524053885061557</v>
      </c>
      <c r="AJ106" s="17">
        <f t="shared" si="12"/>
        <v>1.3319849462801672</v>
      </c>
      <c r="AK106" s="15">
        <f t="shared" si="13"/>
        <v>0.52009752485199545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7"/>
        <v>15434.550000000001</v>
      </c>
      <c r="M107" s="15"/>
      <c r="N107" s="15"/>
      <c r="O107" s="15"/>
      <c r="P107" s="15">
        <f t="shared" si="8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9"/>
        <v>13.224532825935254</v>
      </c>
      <c r="W107" s="15">
        <v>4.5906500000000001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10"/>
        <v>2464.5954779234312</v>
      </c>
      <c r="AH107" s="17">
        <v>1879.0550734061646</v>
      </c>
      <c r="AI107" s="15">
        <f t="shared" si="11"/>
        <v>4.727723243414192</v>
      </c>
      <c r="AJ107" s="17">
        <f t="shared" si="12"/>
        <v>1.6724923761562998</v>
      </c>
      <c r="AK107" s="15">
        <f t="shared" si="13"/>
        <v>0.34713135506738357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7"/>
        <v>15434.550000000001</v>
      </c>
      <c r="M108" s="15"/>
      <c r="N108" s="15"/>
      <c r="O108" s="15"/>
      <c r="P108" s="15">
        <f t="shared" si="8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9"/>
        <v>17.886215442179413</v>
      </c>
      <c r="W108" s="15">
        <v>4.4244899999999996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10"/>
        <v>1756.2913563866989</v>
      </c>
      <c r="AH108" s="17">
        <v>1389.3171297377658</v>
      </c>
      <c r="AI108" s="15">
        <f t="shared" si="11"/>
        <v>4.4582366217904346</v>
      </c>
      <c r="AJ108" s="17">
        <f t="shared" si="12"/>
        <v>2.0029848816243114</v>
      </c>
      <c r="AK108" s="15">
        <f t="shared" si="13"/>
        <v>0.24736870772372185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7"/>
        <v>15434.550000000001</v>
      </c>
      <c r="M109" s="15"/>
      <c r="N109" s="15"/>
      <c r="O109" s="15"/>
      <c r="P109" s="15">
        <f t="shared" si="8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9"/>
        <v>26.492657579321744</v>
      </c>
      <c r="W109" s="15">
        <v>4.2664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10"/>
        <v>1143.3727780803295</v>
      </c>
      <c r="AH109" s="17">
        <v>937.98160586938718</v>
      </c>
      <c r="AI109" s="15">
        <f t="shared" si="11"/>
        <v>4.2262010893651905</v>
      </c>
      <c r="AJ109" s="17">
        <f t="shared" si="12"/>
        <v>2.5037311020303892</v>
      </c>
      <c r="AK109" s="15">
        <f t="shared" si="13"/>
        <v>0.16104084640153443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7"/>
        <v>11835.099999999999</v>
      </c>
      <c r="M110" s="15"/>
      <c r="N110" s="15"/>
      <c r="O110" s="15"/>
      <c r="P110" s="15">
        <f t="shared" si="8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9"/>
        <v>3.6875184446391596</v>
      </c>
      <c r="W110" s="15">
        <v>3.7887200000000001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10"/>
        <v>5593.5570608754952</v>
      </c>
      <c r="AH110" s="17">
        <v>5167.2991704491842</v>
      </c>
      <c r="AI110" s="15">
        <f t="shared" si="11"/>
        <v>40.972427162657326</v>
      </c>
      <c r="AJ110" s="17">
        <f t="shared" si="12"/>
        <v>0.30000000000000004</v>
      </c>
      <c r="AK110" s="15">
        <f t="shared" si="13"/>
        <v>1.0274443523144854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7"/>
        <v>11835.099999999999</v>
      </c>
      <c r="M111" s="15"/>
      <c r="N111" s="15"/>
      <c r="O111" s="15"/>
      <c r="P111" s="15">
        <f t="shared" si="8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9"/>
        <v>4.1518828485211703</v>
      </c>
      <c r="W111" s="15">
        <v>4.1504599999999998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10"/>
        <v>5442.2802934355923</v>
      </c>
      <c r="AH111" s="17">
        <v>4589.3662454341384</v>
      </c>
      <c r="AI111" s="15">
        <f t="shared" si="11"/>
        <v>16.607531394084678</v>
      </c>
      <c r="AJ111" s="17">
        <f t="shared" si="12"/>
        <v>0.5</v>
      </c>
      <c r="AK111" s="15">
        <f t="shared" si="13"/>
        <v>0.99965730041692358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7"/>
        <v>11835.099999999999</v>
      </c>
      <c r="M112" s="15"/>
      <c r="N112" s="15"/>
      <c r="O112" s="15"/>
      <c r="P112" s="15">
        <f t="shared" si="8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9"/>
        <v>5.0466007171573128</v>
      </c>
      <c r="W112" s="15">
        <v>4.7194599999999998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10"/>
        <v>5091.2348174897379</v>
      </c>
      <c r="AH112" s="17">
        <v>3775.7120223953771</v>
      </c>
      <c r="AI112" s="15">
        <f t="shared" si="11"/>
        <v>8.9717346082796627</v>
      </c>
      <c r="AJ112" s="17">
        <f t="shared" si="12"/>
        <v>0.75000000000000022</v>
      </c>
      <c r="AK112" s="15">
        <f t="shared" si="13"/>
        <v>0.93517602531044153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7"/>
        <v>11835.099999999999</v>
      </c>
      <c r="M113" s="15"/>
      <c r="N113" s="15"/>
      <c r="O113" s="15"/>
      <c r="P113" s="15">
        <f t="shared" si="8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9"/>
        <v>6.4822134047165632</v>
      </c>
      <c r="W113" s="15">
        <v>5.0766099999999996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10"/>
        <v>4263.6371713634544</v>
      </c>
      <c r="AH113" s="17">
        <v>2939.506895304562</v>
      </c>
      <c r="AI113" s="15">
        <f t="shared" si="11"/>
        <v>6.4822134047165623</v>
      </c>
      <c r="AJ113" s="17">
        <f t="shared" si="12"/>
        <v>1</v>
      </c>
      <c r="AK113" s="15">
        <f t="shared" si="13"/>
        <v>0.78315996142709154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7"/>
        <v>11835.099999999999</v>
      </c>
      <c r="M114" s="15"/>
      <c r="N114" s="15"/>
      <c r="O114" s="15"/>
      <c r="P114" s="15">
        <f t="shared" si="8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9"/>
        <v>9.2987954997459781</v>
      </c>
      <c r="W114" s="15">
        <v>4.8897199999999996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10"/>
        <v>2862.7739560298101</v>
      </c>
      <c r="AH114" s="17">
        <v>2049.137546956541</v>
      </c>
      <c r="AI114" s="15">
        <f t="shared" si="11"/>
        <v>5.2568237321193818</v>
      </c>
      <c r="AJ114" s="17">
        <f t="shared" si="12"/>
        <v>1.3300000000000003</v>
      </c>
      <c r="AK114" s="15">
        <f t="shared" si="13"/>
        <v>0.52584444943794872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7"/>
        <v>11835.099999999999</v>
      </c>
      <c r="M115" s="15"/>
      <c r="N115" s="15"/>
      <c r="O115" s="15"/>
      <c r="P115" s="15">
        <f t="shared" si="8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9"/>
        <v>13.19255585759235</v>
      </c>
      <c r="W115" s="15">
        <v>4.6315499999999998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10"/>
        <v>1911.2926015612654</v>
      </c>
      <c r="AH115" s="17">
        <v>1444.3380953383705</v>
      </c>
      <c r="AI115" s="15">
        <f t="shared" si="11"/>
        <v>4.7303796685404098</v>
      </c>
      <c r="AJ115" s="17">
        <f t="shared" si="12"/>
        <v>1.67</v>
      </c>
      <c r="AK115" s="15">
        <f t="shared" si="13"/>
        <v>0.35107298767543449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7"/>
        <v>11835.099999999999</v>
      </c>
      <c r="M116" s="15"/>
      <c r="N116" s="15"/>
      <c r="O116" s="15"/>
      <c r="P116" s="15">
        <f t="shared" si="8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9"/>
        <v>17.840429325891453</v>
      </c>
      <c r="W116" s="15">
        <v>4.4625500000000002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10"/>
        <v>1361.7818993313958</v>
      </c>
      <c r="AH116" s="17">
        <v>1068.0522677975339</v>
      </c>
      <c r="AI116" s="15">
        <f t="shared" si="11"/>
        <v>4.4601073314728623</v>
      </c>
      <c r="AJ116" s="17">
        <f t="shared" si="12"/>
        <v>2</v>
      </c>
      <c r="AK116" s="15">
        <f t="shared" si="13"/>
        <v>0.25013691758659595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7"/>
        <v>11835.099999999999</v>
      </c>
      <c r="M117" s="15"/>
      <c r="N117" s="15"/>
      <c r="O117" s="15"/>
      <c r="P117" s="15">
        <f t="shared" si="8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9"/>
        <v>26.421797868568682</v>
      </c>
      <c r="W117" s="15">
        <v>4.3020500000000004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10"/>
        <v>886.42674566674953</v>
      </c>
      <c r="AH117" s="17">
        <v>721.16632996678868</v>
      </c>
      <c r="AI117" s="15">
        <f t="shared" si="11"/>
        <v>4.2274876589709889</v>
      </c>
      <c r="AJ117" s="17">
        <f t="shared" si="12"/>
        <v>2.5</v>
      </c>
      <c r="AK117" s="15">
        <f t="shared" si="13"/>
        <v>0.16282200103868444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7"/>
        <v>10343.099999999999</v>
      </c>
      <c r="M118" s="15"/>
      <c r="N118" s="15"/>
      <c r="O118" s="15"/>
      <c r="P118" s="15">
        <f t="shared" si="8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9"/>
        <v>3.6875184446391605</v>
      </c>
      <c r="W118" s="15">
        <v>3.79623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10"/>
        <v>4898.0912413435872</v>
      </c>
      <c r="AH118" s="17">
        <v>4515.8800559245765</v>
      </c>
      <c r="AI118" s="15">
        <f t="shared" si="11"/>
        <v>40.972427162657333</v>
      </c>
      <c r="AJ118" s="17">
        <f t="shared" si="12"/>
        <v>0.30000000000000004</v>
      </c>
      <c r="AK118" s="15">
        <f t="shared" si="13"/>
        <v>1.0294809522970338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7"/>
        <v>10343.099999999999</v>
      </c>
      <c r="M119" s="15"/>
      <c r="N119" s="15"/>
      <c r="O119" s="15"/>
      <c r="P119" s="15">
        <f t="shared" si="8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9"/>
        <v>4.1518828485211703</v>
      </c>
      <c r="W119" s="15">
        <v>4.1552800000000003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10"/>
        <v>4761.7189459769488</v>
      </c>
      <c r="AH119" s="17">
        <v>4010.8046415450513</v>
      </c>
      <c r="AI119" s="15">
        <f t="shared" si="11"/>
        <v>16.607531394084681</v>
      </c>
      <c r="AJ119" s="17">
        <f t="shared" si="12"/>
        <v>0.5</v>
      </c>
      <c r="AK119" s="15">
        <f t="shared" si="13"/>
        <v>1.0008182194928839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7"/>
        <v>10343.099999999999</v>
      </c>
      <c r="M120" s="15"/>
      <c r="N120" s="15"/>
      <c r="O120" s="15"/>
      <c r="P120" s="15">
        <f t="shared" si="8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9"/>
        <v>5.046600717157312</v>
      </c>
      <c r="W120" s="15">
        <v>4.7193899999999998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10"/>
        <v>4449.3388133127519</v>
      </c>
      <c r="AH120" s="17">
        <v>3299.7242962744403</v>
      </c>
      <c r="AI120" s="15">
        <f t="shared" si="11"/>
        <v>8.9717346082796663</v>
      </c>
      <c r="AJ120" s="17">
        <f t="shared" si="12"/>
        <v>0.75</v>
      </c>
      <c r="AK120" s="15">
        <f t="shared" si="13"/>
        <v>0.93516215458756846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7"/>
        <v>10343.099999999999</v>
      </c>
      <c r="M121" s="15"/>
      <c r="N121" s="15"/>
      <c r="O121" s="15"/>
      <c r="P121" s="15">
        <f t="shared" si="8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9"/>
        <v>6.4822134047165623</v>
      </c>
      <c r="W121" s="15">
        <v>5.0902900000000004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10"/>
        <v>3736.1796962620938</v>
      </c>
      <c r="AH121" s="17">
        <v>2568.935942140296</v>
      </c>
      <c r="AI121" s="15">
        <f t="shared" si="11"/>
        <v>6.4822134047165623</v>
      </c>
      <c r="AJ121" s="17">
        <f t="shared" si="12"/>
        <v>1</v>
      </c>
      <c r="AK121" s="15">
        <f t="shared" si="13"/>
        <v>0.7852703516820696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7"/>
        <v>10343.099999999999</v>
      </c>
      <c r="M122" s="15"/>
      <c r="N122" s="15"/>
      <c r="O122" s="15"/>
      <c r="P122" s="15">
        <f t="shared" si="8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9"/>
        <v>9.2987954997459781</v>
      </c>
      <c r="W122" s="15">
        <v>4.9102399999999999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10"/>
        <v>2512.3756661686125</v>
      </c>
      <c r="AH122" s="17">
        <v>1790.8116164566586</v>
      </c>
      <c r="AI122" s="15">
        <f t="shared" si="11"/>
        <v>5.2568237321193827</v>
      </c>
      <c r="AJ122" s="17">
        <f t="shared" si="12"/>
        <v>1.33</v>
      </c>
      <c r="AK122" s="15">
        <f t="shared" si="13"/>
        <v>0.52805118685900088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7"/>
        <v>10343.099999999999</v>
      </c>
      <c r="M123" s="15"/>
      <c r="N123" s="15"/>
      <c r="O123" s="15"/>
      <c r="P123" s="15">
        <f t="shared" si="8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9"/>
        <v>13.192555857592344</v>
      </c>
      <c r="W123" s="15">
        <v>4.6495899999999999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10"/>
        <v>1676.8502199373877</v>
      </c>
      <c r="AH123" s="17">
        <v>1262.2566225798096</v>
      </c>
      <c r="AI123" s="15">
        <f t="shared" si="11"/>
        <v>4.7303796685404098</v>
      </c>
      <c r="AJ123" s="17">
        <f t="shared" si="12"/>
        <v>1.6699999999999997</v>
      </c>
      <c r="AK123" s="15">
        <f t="shared" si="13"/>
        <v>0.35244042550891691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7"/>
        <v>10343.099999999999</v>
      </c>
      <c r="M124" s="15"/>
      <c r="N124" s="15"/>
      <c r="O124" s="15"/>
      <c r="P124" s="15">
        <f t="shared" si="8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9"/>
        <v>17.840429325891456</v>
      </c>
      <c r="W124" s="15">
        <v>4.4792100000000001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10"/>
        <v>1194.550949877161</v>
      </c>
      <c r="AH124" s="17">
        <v>933.4075260079486</v>
      </c>
      <c r="AI124" s="15">
        <f t="shared" si="11"/>
        <v>4.4601073314728641</v>
      </c>
      <c r="AJ124" s="17">
        <f t="shared" si="12"/>
        <v>2</v>
      </c>
      <c r="AK124" s="15">
        <f t="shared" si="13"/>
        <v>0.25107075161579284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7"/>
        <v>10343.099999999999</v>
      </c>
      <c r="M125" s="15"/>
      <c r="N125" s="15"/>
      <c r="O125" s="15"/>
      <c r="P125" s="15">
        <f t="shared" si="8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9"/>
        <v>26.421797868568685</v>
      </c>
      <c r="W125" s="15">
        <v>4.3168100000000003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10"/>
        <v>777.33661264181831</v>
      </c>
      <c r="AH125" s="17">
        <v>630.25200188249289</v>
      </c>
      <c r="AI125" s="15">
        <f t="shared" si="11"/>
        <v>4.2274876589709889</v>
      </c>
      <c r="AJ125" s="17">
        <f t="shared" si="12"/>
        <v>2.5</v>
      </c>
      <c r="AK125" s="15">
        <f t="shared" si="13"/>
        <v>0.16338063070020184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7"/>
        <v>8515.4</v>
      </c>
      <c r="M126" s="15"/>
      <c r="N126" s="15"/>
      <c r="O126" s="15"/>
      <c r="P126" s="15">
        <f t="shared" si="8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9"/>
        <v>3.6875184446391613</v>
      </c>
      <c r="W126" s="15">
        <v>3.7535599999999998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10"/>
        <v>3987.2369561743976</v>
      </c>
      <c r="AH126" s="17">
        <v>3717.8916406319318</v>
      </c>
      <c r="AI126" s="15">
        <f t="shared" si="11"/>
        <v>40.972427162657347</v>
      </c>
      <c r="AJ126" s="17">
        <f t="shared" si="12"/>
        <v>0.3</v>
      </c>
      <c r="AK126" s="15">
        <f t="shared" si="13"/>
        <v>1.0179094847530452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7"/>
        <v>8515.4</v>
      </c>
      <c r="M127" s="15"/>
      <c r="N127" s="15"/>
      <c r="O127" s="15"/>
      <c r="P127" s="15">
        <f t="shared" si="8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9"/>
        <v>4.1518828485211712</v>
      </c>
      <c r="W127" s="15">
        <v>4.1168199999999997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10"/>
        <v>3884.0040389443498</v>
      </c>
      <c r="AH127" s="17">
        <v>3302.0666767809194</v>
      </c>
      <c r="AI127" s="15">
        <f t="shared" si="11"/>
        <v>16.607531394084685</v>
      </c>
      <c r="AJ127" s="17">
        <f t="shared" si="12"/>
        <v>0.5</v>
      </c>
      <c r="AK127" s="15">
        <f t="shared" si="13"/>
        <v>0.99155495234320967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7"/>
        <v>8515.4</v>
      </c>
      <c r="M128" s="15"/>
      <c r="N128" s="15"/>
      <c r="O128" s="15"/>
      <c r="P128" s="15">
        <f t="shared" si="8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9"/>
        <v>5.046600717157312</v>
      </c>
      <c r="W128" s="15">
        <v>4.6888500000000004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10"/>
        <v>3639.4040945140778</v>
      </c>
      <c r="AH128" s="17">
        <v>2716.6393317762927</v>
      </c>
      <c r="AI128" s="15">
        <f t="shared" si="11"/>
        <v>8.9717346082796663</v>
      </c>
      <c r="AJ128" s="17">
        <f t="shared" si="12"/>
        <v>0.75</v>
      </c>
      <c r="AK128" s="15">
        <f t="shared" si="13"/>
        <v>0.92911055635112183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7"/>
        <v>8515.4</v>
      </c>
      <c r="M129" s="15"/>
      <c r="N129" s="15"/>
      <c r="O129" s="15"/>
      <c r="P129" s="15">
        <f t="shared" si="8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9"/>
        <v>6.4822134047165614</v>
      </c>
      <c r="W129" s="15">
        <v>5.1034199999999998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10"/>
        <v>3083.9041511244563</v>
      </c>
      <c r="AH129" s="17">
        <v>2114.9865245140704</v>
      </c>
      <c r="AI129" s="15">
        <f t="shared" si="11"/>
        <v>6.4822134047165614</v>
      </c>
      <c r="AJ129" s="17">
        <f t="shared" si="12"/>
        <v>1</v>
      </c>
      <c r="AK129" s="15">
        <f t="shared" si="13"/>
        <v>0.78729589437562641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7"/>
        <v>8515.4</v>
      </c>
      <c r="M130" s="15"/>
      <c r="N130" s="15"/>
      <c r="O130" s="15"/>
      <c r="P130" s="15">
        <f t="shared" si="8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9"/>
        <v>9.2987954997459781</v>
      </c>
      <c r="W130" s="15">
        <v>4.93947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10"/>
        <v>2080.7338870941462</v>
      </c>
      <c r="AH130" s="17">
        <v>1474.3623515943029</v>
      </c>
      <c r="AI130" s="15">
        <f t="shared" si="11"/>
        <v>5.2568237321193827</v>
      </c>
      <c r="AJ130" s="17">
        <f t="shared" si="12"/>
        <v>1.33</v>
      </c>
      <c r="AK130" s="15">
        <f t="shared" si="13"/>
        <v>0.53119460473509017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7"/>
        <v>8515.4</v>
      </c>
      <c r="M131" s="15"/>
      <c r="N131" s="15"/>
      <c r="O131" s="15"/>
      <c r="P131" s="15">
        <f t="shared" si="8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9"/>
        <v>13.192555857592346</v>
      </c>
      <c r="W131" s="15">
        <v>4.67659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10"/>
        <v>1388.5554900279315</v>
      </c>
      <c r="AH131" s="17">
        <v>1039.206818450572</v>
      </c>
      <c r="AI131" s="15">
        <f t="shared" si="11"/>
        <v>4.7303796685404107</v>
      </c>
      <c r="AJ131" s="17">
        <f t="shared" si="12"/>
        <v>1.6699999999999997</v>
      </c>
      <c r="AK131" s="15">
        <f t="shared" si="13"/>
        <v>0.35448703423973843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7"/>
        <v>8515.4</v>
      </c>
      <c r="M132" s="15"/>
      <c r="N132" s="15"/>
      <c r="O132" s="15"/>
      <c r="P132" s="15">
        <f t="shared" si="8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9"/>
        <v>17.840429325891453</v>
      </c>
      <c r="W132" s="15">
        <v>4.5040699999999996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10"/>
        <v>988.92354043718728</v>
      </c>
      <c r="AH132" s="17">
        <v>768.46771731570686</v>
      </c>
      <c r="AI132" s="15">
        <f t="shared" si="11"/>
        <v>4.4601073314728632</v>
      </c>
      <c r="AJ132" s="17">
        <f t="shared" si="12"/>
        <v>2</v>
      </c>
      <c r="AK132" s="15">
        <f t="shared" si="13"/>
        <v>0.2524642158394324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7"/>
        <v>8515.4</v>
      </c>
      <c r="M133" s="15"/>
      <c r="N133" s="15"/>
      <c r="O133" s="15"/>
      <c r="P133" s="15">
        <f t="shared" si="8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9"/>
        <v>26.421797868568685</v>
      </c>
      <c r="W133" s="15">
        <v>4.3323900000000002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10"/>
        <v>642.28542036300541</v>
      </c>
      <c r="AH133" s="17">
        <v>518.88194997923063</v>
      </c>
      <c r="AI133" s="15">
        <f t="shared" si="11"/>
        <v>4.2274876589709889</v>
      </c>
      <c r="AJ133" s="17">
        <f t="shared" si="12"/>
        <v>2.5</v>
      </c>
      <c r="AK133" s="15">
        <f t="shared" si="13"/>
        <v>0.16397029534291466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7"/>
        <v>7396.4</v>
      </c>
      <c r="M134" s="15"/>
      <c r="N134" s="15"/>
      <c r="O134" s="15"/>
      <c r="P134" s="15">
        <f t="shared" si="8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9"/>
        <v>3.6875184446391609</v>
      </c>
      <c r="W134" s="15">
        <v>3.6109399999999998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10"/>
        <v>3331.6877536492439</v>
      </c>
      <c r="AH134" s="17">
        <v>3229.3273047384764</v>
      </c>
      <c r="AI134" s="15">
        <f t="shared" si="11"/>
        <v>40.972427162657347</v>
      </c>
      <c r="AJ134" s="17">
        <f t="shared" si="12"/>
        <v>0.3</v>
      </c>
      <c r="AK134" s="15">
        <f t="shared" si="13"/>
        <v>0.97923306804051669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4">2*C135*F135+(E135-2*F135)*H135</f>
        <v>7396.4</v>
      </c>
      <c r="M135" s="15"/>
      <c r="N135" s="15"/>
      <c r="O135" s="15"/>
      <c r="P135" s="15">
        <f t="shared" ref="P135:P198" si="15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6">L135*T135/(S135*1000)</f>
        <v>4.1518828485211703</v>
      </c>
      <c r="W135" s="15">
        <v>3.9647100000000002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17">W135*S135</f>
        <v>3248.9614404810723</v>
      </c>
      <c r="AH135" s="17">
        <v>2868.1454738641041</v>
      </c>
      <c r="AI135" s="15">
        <f t="shared" ref="AI135:AI198" si="18">(PI()^2*U135*P135/K135^2)/(S135*1000)</f>
        <v>16.607531394084685</v>
      </c>
      <c r="AJ135" s="17">
        <f t="shared" ref="AJ135:AJ198" si="19">(V135/AI135)^0.5</f>
        <v>0.49999999999999994</v>
      </c>
      <c r="AK135" s="15">
        <f t="shared" ref="AK135:AK198" si="20">W135/V135</f>
        <v>0.95491856216804438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4"/>
        <v>7396.4</v>
      </c>
      <c r="M136" s="15"/>
      <c r="N136" s="15"/>
      <c r="O136" s="15"/>
      <c r="P136" s="15">
        <f t="shared" si="15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6"/>
        <v>5.0466007171573128</v>
      </c>
      <c r="W136" s="15">
        <v>4.5472900000000003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17"/>
        <v>3065.7160561881883</v>
      </c>
      <c r="AH136" s="17">
        <v>2359.6485371855892</v>
      </c>
      <c r="AI136" s="15">
        <f t="shared" si="18"/>
        <v>8.9717346082796663</v>
      </c>
      <c r="AJ136" s="17">
        <f t="shared" si="19"/>
        <v>0.75000000000000011</v>
      </c>
      <c r="AK136" s="15">
        <f t="shared" si="20"/>
        <v>0.90105999163758532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4"/>
        <v>7396.4</v>
      </c>
      <c r="M137" s="15"/>
      <c r="N137" s="15"/>
      <c r="O137" s="15"/>
      <c r="P137" s="15">
        <f t="shared" si="15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6"/>
        <v>6.4822134047165623</v>
      </c>
      <c r="W137" s="15">
        <v>5.0523600000000002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17"/>
        <v>2651.8514060848993</v>
      </c>
      <c r="AH137" s="17">
        <v>1837.0583096408704</v>
      </c>
      <c r="AI137" s="15">
        <f t="shared" si="18"/>
        <v>6.4822134047165632</v>
      </c>
      <c r="AJ137" s="17">
        <f t="shared" si="19"/>
        <v>1</v>
      </c>
      <c r="AK137" s="15">
        <f t="shared" si="20"/>
        <v>0.77941895530989802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4"/>
        <v>7396.4</v>
      </c>
      <c r="M138" s="15"/>
      <c r="N138" s="15"/>
      <c r="O138" s="15"/>
      <c r="P138" s="15">
        <f t="shared" si="15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6"/>
        <v>9.2987954997459745</v>
      </c>
      <c r="W138" s="15">
        <v>4.9520200000000001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17"/>
        <v>1811.8987061647142</v>
      </c>
      <c r="AH138" s="17">
        <v>1280.6179037193911</v>
      </c>
      <c r="AI138" s="15">
        <f t="shared" si="18"/>
        <v>5.2568237321193827</v>
      </c>
      <c r="AJ138" s="17">
        <f t="shared" si="19"/>
        <v>1.3299999999999998</v>
      </c>
      <c r="AK138" s="15">
        <f t="shared" si="20"/>
        <v>0.53254424190049987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4"/>
        <v>7396.4</v>
      </c>
      <c r="M139" s="15"/>
      <c r="N139" s="15"/>
      <c r="O139" s="15"/>
      <c r="P139" s="15">
        <f t="shared" si="15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6"/>
        <v>13.192555857592344</v>
      </c>
      <c r="W139" s="15">
        <v>4.6923500000000002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17"/>
        <v>1210.1513187235903</v>
      </c>
      <c r="AH139" s="17">
        <v>902.64571388165109</v>
      </c>
      <c r="AI139" s="15">
        <f t="shared" si="18"/>
        <v>4.7303796685404089</v>
      </c>
      <c r="AJ139" s="17">
        <f t="shared" si="19"/>
        <v>1.67</v>
      </c>
      <c r="AK139" s="15">
        <f t="shared" si="20"/>
        <v>0.35568164733595142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4"/>
        <v>7396.4</v>
      </c>
      <c r="M140" s="15"/>
      <c r="N140" s="15"/>
      <c r="O140" s="15"/>
      <c r="P140" s="15">
        <f t="shared" si="15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6"/>
        <v>17.840429325891453</v>
      </c>
      <c r="W140" s="15">
        <v>4.5193099999999999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17"/>
        <v>861.87652672263687</v>
      </c>
      <c r="AH140" s="17">
        <v>667.48416097351787</v>
      </c>
      <c r="AI140" s="15">
        <f t="shared" si="18"/>
        <v>4.4601073314728641</v>
      </c>
      <c r="AJ140" s="17">
        <f t="shared" si="19"/>
        <v>1.9999999999999998</v>
      </c>
      <c r="AK140" s="15">
        <f t="shared" si="20"/>
        <v>0.25331845537154296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4"/>
        <v>7396.4</v>
      </c>
      <c r="M141" s="15"/>
      <c r="N141" s="15"/>
      <c r="O141" s="15"/>
      <c r="P141" s="15">
        <f t="shared" si="15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6"/>
        <v>26.421797868568685</v>
      </c>
      <c r="W141" s="15">
        <v>4.3401500000000004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17"/>
        <v>558.88260840744738</v>
      </c>
      <c r="AH141" s="17">
        <v>450.69620391600881</v>
      </c>
      <c r="AI141" s="15">
        <f t="shared" si="18"/>
        <v>4.2274876589709898</v>
      </c>
      <c r="AJ141" s="17">
        <f t="shared" si="19"/>
        <v>2.5</v>
      </c>
      <c r="AK141" s="15">
        <f t="shared" si="20"/>
        <v>0.16426399223812976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4"/>
        <v>6687.7</v>
      </c>
      <c r="M142" s="15"/>
      <c r="N142" s="15"/>
      <c r="O142" s="15"/>
      <c r="P142" s="15">
        <f t="shared" si="15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6"/>
        <v>3.6875184446391605</v>
      </c>
      <c r="W142" s="15">
        <v>3.5470899999999999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17"/>
        <v>2959.1884375910672</v>
      </c>
      <c r="AH142" s="17">
        <v>2919.9032253392879</v>
      </c>
      <c r="AI142" s="15">
        <f t="shared" si="18"/>
        <v>40.972427162657333</v>
      </c>
      <c r="AJ142" s="17">
        <f t="shared" si="19"/>
        <v>0.30000000000000004</v>
      </c>
      <c r="AK142" s="15">
        <f t="shared" si="20"/>
        <v>0.96191790041258973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4"/>
        <v>6687.7</v>
      </c>
      <c r="M143" s="15"/>
      <c r="N143" s="15"/>
      <c r="O143" s="15"/>
      <c r="P143" s="15">
        <f t="shared" si="15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6"/>
        <v>4.1518828485211703</v>
      </c>
      <c r="W143" s="15">
        <v>3.8933900000000001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17"/>
        <v>2884.8114497368692</v>
      </c>
      <c r="AH143" s="17">
        <v>2593.3287120167879</v>
      </c>
      <c r="AI143" s="15">
        <f t="shared" si="18"/>
        <v>16.607531394084685</v>
      </c>
      <c r="AJ143" s="17">
        <f t="shared" si="19"/>
        <v>0.49999999999999994</v>
      </c>
      <c r="AK143" s="15">
        <f t="shared" si="20"/>
        <v>0.93774081351711525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4"/>
        <v>6687.7</v>
      </c>
      <c r="M144" s="15"/>
      <c r="N144" s="15"/>
      <c r="O144" s="15"/>
      <c r="P144" s="15">
        <f t="shared" si="15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6"/>
        <v>5.046600717157312</v>
      </c>
      <c r="W144" s="15">
        <v>4.4436600000000004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17"/>
        <v>2708.7971999140577</v>
      </c>
      <c r="AH144" s="17">
        <v>2133.5543672781446</v>
      </c>
      <c r="AI144" s="15">
        <f t="shared" si="18"/>
        <v>8.9717346082796645</v>
      </c>
      <c r="AJ144" s="17">
        <f t="shared" si="19"/>
        <v>0.75000000000000011</v>
      </c>
      <c r="AK144" s="15">
        <f t="shared" si="20"/>
        <v>0.88052537718955093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4"/>
        <v>6687.7</v>
      </c>
      <c r="M145" s="15"/>
      <c r="N145" s="15"/>
      <c r="O145" s="15"/>
      <c r="P145" s="15">
        <f t="shared" si="15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6"/>
        <v>6.4822134047165614</v>
      </c>
      <c r="W145" s="15">
        <v>4.9420900000000003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17"/>
        <v>2345.4271073083846</v>
      </c>
      <c r="AH145" s="17">
        <v>1661.0371068878442</v>
      </c>
      <c r="AI145" s="15">
        <f t="shared" si="18"/>
        <v>6.4822134047165632</v>
      </c>
      <c r="AJ145" s="17">
        <f t="shared" si="19"/>
        <v>0.99999999999999989</v>
      </c>
      <c r="AK145" s="15">
        <f t="shared" si="20"/>
        <v>0.76240779058647734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4"/>
        <v>6687.7</v>
      </c>
      <c r="M146" s="15"/>
      <c r="N146" s="15"/>
      <c r="O146" s="15"/>
      <c r="P146" s="15">
        <f t="shared" si="15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6"/>
        <v>9.2987954997459781</v>
      </c>
      <c r="W146" s="15">
        <v>4.9302200000000003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17"/>
        <v>1631.0760738478793</v>
      </c>
      <c r="AH146" s="17">
        <v>1157.9130867319466</v>
      </c>
      <c r="AI146" s="15">
        <f t="shared" si="18"/>
        <v>5.2568237321193836</v>
      </c>
      <c r="AJ146" s="17">
        <f t="shared" si="19"/>
        <v>1.33</v>
      </c>
      <c r="AK146" s="15">
        <f t="shared" si="20"/>
        <v>0.53019985224265687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4"/>
        <v>6687.7</v>
      </c>
      <c r="M147" s="15"/>
      <c r="N147" s="15"/>
      <c r="O147" s="15"/>
      <c r="P147" s="15">
        <f t="shared" si="15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6"/>
        <v>13.192555857592346</v>
      </c>
      <c r="W147" s="15">
        <v>4.6917900000000001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17"/>
        <v>1094.0678052064839</v>
      </c>
      <c r="AH147" s="17">
        <v>816.15701432133437</v>
      </c>
      <c r="AI147" s="15">
        <f t="shared" si="18"/>
        <v>4.7303796685404098</v>
      </c>
      <c r="AJ147" s="17">
        <f t="shared" si="19"/>
        <v>1.67</v>
      </c>
      <c r="AK147" s="15">
        <f t="shared" si="20"/>
        <v>0.35563919915486764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4"/>
        <v>6687.7</v>
      </c>
      <c r="M148" s="15"/>
      <c r="N148" s="15"/>
      <c r="O148" s="15"/>
      <c r="P148" s="15">
        <f t="shared" si="15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6"/>
        <v>17.840429325891453</v>
      </c>
      <c r="W148" s="15">
        <v>4.5228700000000002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17"/>
        <v>779.90807773594599</v>
      </c>
      <c r="AH148" s="17">
        <v>603.5279086234649</v>
      </c>
      <c r="AI148" s="15">
        <f t="shared" si="18"/>
        <v>4.4601073314728641</v>
      </c>
      <c r="AJ148" s="17">
        <f t="shared" si="19"/>
        <v>1.9999999999999998</v>
      </c>
      <c r="AK148" s="15">
        <f t="shared" si="20"/>
        <v>0.25351800213888637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4"/>
        <v>6687.7</v>
      </c>
      <c r="M149" s="15"/>
      <c r="N149" s="15"/>
      <c r="O149" s="15"/>
      <c r="P149" s="15">
        <f t="shared" si="15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6"/>
        <v>26.421797868568689</v>
      </c>
      <c r="W149" s="15">
        <v>4.3432899999999997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17"/>
        <v>505.69781479839207</v>
      </c>
      <c r="AH149" s="17">
        <v>407.5118980759683</v>
      </c>
      <c r="AI149" s="15">
        <f t="shared" si="18"/>
        <v>4.2274876589709889</v>
      </c>
      <c r="AJ149" s="17">
        <f t="shared" si="19"/>
        <v>2.5000000000000004</v>
      </c>
      <c r="AK149" s="15">
        <f t="shared" si="20"/>
        <v>0.16438283350758534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4"/>
        <v>20570.9912</v>
      </c>
      <c r="M150" s="15"/>
      <c r="N150" s="15"/>
      <c r="O150" s="15"/>
      <c r="P150" s="15">
        <f t="shared" si="15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6"/>
        <v>3.6875184446391609</v>
      </c>
      <c r="W150" s="15">
        <v>3.7439200000000001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17"/>
        <v>9607.3897401965569</v>
      </c>
      <c r="AH150" s="17">
        <v>8981.4590297570321</v>
      </c>
      <c r="AI150" s="15">
        <f t="shared" si="18"/>
        <v>40.972427162657361</v>
      </c>
      <c r="AJ150" s="17">
        <f t="shared" si="19"/>
        <v>0.29999999999999993</v>
      </c>
      <c r="AK150" s="15">
        <f t="shared" si="20"/>
        <v>1.0152952605410923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4"/>
        <v>20570.9912</v>
      </c>
      <c r="M151" s="15"/>
      <c r="N151" s="15"/>
      <c r="O151" s="15"/>
      <c r="P151" s="15">
        <f t="shared" si="15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6"/>
        <v>4.1518828485211694</v>
      </c>
      <c r="W151" s="15">
        <v>4.0813600000000001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17"/>
        <v>9301.9256335738592</v>
      </c>
      <c r="AH151" s="17">
        <v>7976.9340899867948</v>
      </c>
      <c r="AI151" s="15">
        <f t="shared" si="18"/>
        <v>16.607531394084685</v>
      </c>
      <c r="AJ151" s="17">
        <f t="shared" si="19"/>
        <v>0.49999999999999989</v>
      </c>
      <c r="AK151" s="15">
        <f t="shared" si="20"/>
        <v>0.98301424893376066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4"/>
        <v>20570.9912</v>
      </c>
      <c r="M152" s="15"/>
      <c r="N152" s="15"/>
      <c r="O152" s="15"/>
      <c r="P152" s="15">
        <f t="shared" si="15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6"/>
        <v>5.046600717157312</v>
      </c>
      <c r="W152" s="15">
        <v>4.5453200000000002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17"/>
        <v>8522.7268338304548</v>
      </c>
      <c r="AH152" s="17">
        <v>6562.6939177894164</v>
      </c>
      <c r="AI152" s="15">
        <f t="shared" si="18"/>
        <v>8.9717346082796681</v>
      </c>
      <c r="AJ152" s="17">
        <f t="shared" si="19"/>
        <v>0.74999999999999989</v>
      </c>
      <c r="AK152" s="15">
        <f t="shared" si="20"/>
        <v>0.90066962986529342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4"/>
        <v>20570.9912</v>
      </c>
      <c r="M153" s="15"/>
      <c r="N153" s="15"/>
      <c r="O153" s="15"/>
      <c r="P153" s="15">
        <f t="shared" si="15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6"/>
        <v>6.4822134047165605</v>
      </c>
      <c r="W153" s="15">
        <v>4.8203199999999997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17"/>
        <v>7036.6442587891161</v>
      </c>
      <c r="AH153" s="17">
        <v>5109.2572496767662</v>
      </c>
      <c r="AI153" s="15">
        <f t="shared" si="18"/>
        <v>6.4822134047165632</v>
      </c>
      <c r="AJ153" s="17">
        <f t="shared" si="19"/>
        <v>0.99999999999999978</v>
      </c>
      <c r="AK153" s="15">
        <f t="shared" si="20"/>
        <v>0.74362254048789245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4"/>
        <v>20570.9912</v>
      </c>
      <c r="M154" s="15"/>
      <c r="N154" s="15"/>
      <c r="O154" s="15"/>
      <c r="P154" s="15">
        <f t="shared" si="15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6"/>
        <v>9.2987954997459727</v>
      </c>
      <c r="W154" s="15">
        <v>4.6899499999999996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17"/>
        <v>4772.5948251356604</v>
      </c>
      <c r="AH154" s="17">
        <v>3561.6759001641408</v>
      </c>
      <c r="AI154" s="15">
        <f t="shared" si="18"/>
        <v>5.2568237321193818</v>
      </c>
      <c r="AJ154" s="17">
        <f t="shared" si="19"/>
        <v>1.3299999999999998</v>
      </c>
      <c r="AK154" s="15">
        <f t="shared" si="20"/>
        <v>0.5043610218256892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4"/>
        <v>20570.9912</v>
      </c>
      <c r="M155" s="15"/>
      <c r="N155" s="15"/>
      <c r="O155" s="15"/>
      <c r="P155" s="15">
        <f t="shared" si="15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6"/>
        <v>13.192555857592344</v>
      </c>
      <c r="W155" s="15">
        <v>4.4666199999999998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17"/>
        <v>3203.7831626081775</v>
      </c>
      <c r="AH155" s="17">
        <v>2510.4533336457143</v>
      </c>
      <c r="AI155" s="15">
        <f t="shared" si="18"/>
        <v>4.7303796685404107</v>
      </c>
      <c r="AJ155" s="17">
        <f t="shared" si="19"/>
        <v>1.6699999999999995</v>
      </c>
      <c r="AK155" s="15">
        <f t="shared" si="20"/>
        <v>0.33857124034304925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4"/>
        <v>20570.9912</v>
      </c>
      <c r="M156" s="15"/>
      <c r="N156" s="15"/>
      <c r="O156" s="15"/>
      <c r="P156" s="15">
        <f t="shared" si="15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6"/>
        <v>17.840429325891446</v>
      </c>
      <c r="W156" s="15">
        <v>4.3136700000000001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17"/>
        <v>2287.9928702850439</v>
      </c>
      <c r="AH156" s="17">
        <v>1856.4180954958663</v>
      </c>
      <c r="AI156" s="15">
        <f t="shared" si="18"/>
        <v>4.4601073314728632</v>
      </c>
      <c r="AJ156" s="17">
        <f t="shared" si="19"/>
        <v>1.9999999999999996</v>
      </c>
      <c r="AK156" s="15">
        <f t="shared" si="20"/>
        <v>0.24179182693432497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4"/>
        <v>20570.9912</v>
      </c>
      <c r="M157" s="15"/>
      <c r="N157" s="15"/>
      <c r="O157" s="15"/>
      <c r="P157" s="15">
        <f t="shared" si="15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6"/>
        <v>26.421797868568685</v>
      </c>
      <c r="W157" s="15">
        <v>4.1641300000000001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17"/>
        <v>1491.3341524074087</v>
      </c>
      <c r="AH157" s="17">
        <v>1253.4838089651214</v>
      </c>
      <c r="AI157" s="15">
        <f t="shared" si="18"/>
        <v>4.2274876589709907</v>
      </c>
      <c r="AJ157" s="17">
        <f t="shared" si="19"/>
        <v>2.4999999999999996</v>
      </c>
      <c r="AK157" s="15">
        <f t="shared" si="20"/>
        <v>0.15760206859176834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4"/>
        <v>14282</v>
      </c>
      <c r="M158" s="15"/>
      <c r="N158" s="15"/>
      <c r="O158" s="15"/>
      <c r="P158" s="15">
        <f t="shared" si="15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6"/>
        <v>3.6875184446391609</v>
      </c>
      <c r="W158" s="15">
        <v>3.7321800000000001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17"/>
        <v>6649.2894768420128</v>
      </c>
      <c r="AH158" s="17">
        <v>6235.6352504292518</v>
      </c>
      <c r="AI158" s="15">
        <f t="shared" si="18"/>
        <v>40.972427162657333</v>
      </c>
      <c r="AJ158" s="17">
        <f t="shared" si="19"/>
        <v>0.30000000000000004</v>
      </c>
      <c r="AK158" s="15">
        <f t="shared" si="20"/>
        <v>1.0121115476522611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4"/>
        <v>14282</v>
      </c>
      <c r="M159" s="15"/>
      <c r="N159" s="15"/>
      <c r="O159" s="15"/>
      <c r="P159" s="15">
        <f t="shared" si="15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6"/>
        <v>4.1518828485211703</v>
      </c>
      <c r="W159" s="15">
        <v>4.06907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17"/>
        <v>6438.6813250093783</v>
      </c>
      <c r="AH159" s="17">
        <v>5538.2150313297197</v>
      </c>
      <c r="AI159" s="15">
        <f t="shared" si="18"/>
        <v>16.607531394084678</v>
      </c>
      <c r="AJ159" s="17">
        <f t="shared" si="19"/>
        <v>0.5</v>
      </c>
      <c r="AK159" s="15">
        <f t="shared" si="20"/>
        <v>0.98005414614464215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4"/>
        <v>14282</v>
      </c>
      <c r="M160" s="15"/>
      <c r="N160" s="15"/>
      <c r="O160" s="15"/>
      <c r="P160" s="15">
        <f t="shared" si="15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6"/>
        <v>5.0466007171573137</v>
      </c>
      <c r="W160" s="15">
        <v>4.5334099999999999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17"/>
        <v>5901.642712478455</v>
      </c>
      <c r="AH160" s="17">
        <v>4556.3382737662359</v>
      </c>
      <c r="AI160" s="15">
        <f t="shared" si="18"/>
        <v>8.9717346082796663</v>
      </c>
      <c r="AJ160" s="17">
        <f t="shared" si="19"/>
        <v>0.75000000000000011</v>
      </c>
      <c r="AK160" s="15">
        <f t="shared" si="20"/>
        <v>0.89830962544498916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4"/>
        <v>14282</v>
      </c>
      <c r="M161" s="15"/>
      <c r="N161" s="15"/>
      <c r="O161" s="15"/>
      <c r="P161" s="15">
        <f t="shared" si="15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6"/>
        <v>6.4822134047165623</v>
      </c>
      <c r="W161" s="15">
        <v>4.8170700000000002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17"/>
        <v>4882.0980033414635</v>
      </c>
      <c r="AH161" s="17">
        <v>3547.2482259330095</v>
      </c>
      <c r="AI161" s="15">
        <f t="shared" si="18"/>
        <v>6.4822134047165605</v>
      </c>
      <c r="AJ161" s="17">
        <f t="shared" si="19"/>
        <v>1</v>
      </c>
      <c r="AK161" s="15">
        <f t="shared" si="20"/>
        <v>0.74312116853404164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4"/>
        <v>14282</v>
      </c>
      <c r="M162" s="15"/>
      <c r="N162" s="15"/>
      <c r="O162" s="15"/>
      <c r="P162" s="15">
        <f t="shared" si="15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6"/>
        <v>9.2987954997459781</v>
      </c>
      <c r="W162" s="15">
        <v>4.6952100000000003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17"/>
        <v>3317.2269507424539</v>
      </c>
      <c r="AH162" s="17">
        <v>2472.7955357904307</v>
      </c>
      <c r="AI162" s="15">
        <f t="shared" si="18"/>
        <v>5.2568237321193827</v>
      </c>
      <c r="AJ162" s="17">
        <f t="shared" si="19"/>
        <v>1.33</v>
      </c>
      <c r="AK162" s="15">
        <f t="shared" si="20"/>
        <v>0.50492668648625116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4"/>
        <v>14282</v>
      </c>
      <c r="M163" s="15"/>
      <c r="N163" s="15"/>
      <c r="O163" s="15"/>
      <c r="P163" s="15">
        <f t="shared" si="15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6"/>
        <v>13.192555857592346</v>
      </c>
      <c r="W163" s="15">
        <v>4.4753499999999997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17"/>
        <v>2228.6656747471111</v>
      </c>
      <c r="AH163" s="17">
        <v>1742.9541514328239</v>
      </c>
      <c r="AI163" s="15">
        <f t="shared" si="18"/>
        <v>4.7303796685404089</v>
      </c>
      <c r="AJ163" s="17">
        <f t="shared" si="19"/>
        <v>1.67</v>
      </c>
      <c r="AK163" s="15">
        <f t="shared" si="20"/>
        <v>0.33923297716601486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4"/>
        <v>14282</v>
      </c>
      <c r="M164" s="15"/>
      <c r="N164" s="15"/>
      <c r="O164" s="15"/>
      <c r="P164" s="15">
        <f t="shared" si="15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6"/>
        <v>17.840429325891463</v>
      </c>
      <c r="W164" s="15">
        <v>4.3234700000000004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17"/>
        <v>1592.113441304793</v>
      </c>
      <c r="AH164" s="17">
        <v>1288.8714492217537</v>
      </c>
      <c r="AI164" s="15">
        <f t="shared" si="18"/>
        <v>4.4601073314728641</v>
      </c>
      <c r="AJ164" s="17">
        <f t="shared" si="19"/>
        <v>2.0000000000000004</v>
      </c>
      <c r="AK164" s="15">
        <f t="shared" si="20"/>
        <v>0.24234114106914645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4"/>
        <v>14282</v>
      </c>
      <c r="M165" s="15"/>
      <c r="N165" s="15"/>
      <c r="O165" s="15"/>
      <c r="P165" s="15">
        <f t="shared" si="15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6"/>
        <v>26.421797868568685</v>
      </c>
      <c r="W165" s="15">
        <v>4.1745599999999996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17"/>
        <v>1037.994857867925</v>
      </c>
      <c r="AH165" s="17">
        <v>870.26704671575874</v>
      </c>
      <c r="AI165" s="15">
        <f t="shared" si="18"/>
        <v>4.2274876589709898</v>
      </c>
      <c r="AJ165" s="17">
        <f t="shared" si="19"/>
        <v>2.5</v>
      </c>
      <c r="AK165" s="15">
        <f t="shared" si="20"/>
        <v>0.15799681841355873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4"/>
        <v>12053.0592</v>
      </c>
      <c r="M166" s="15"/>
      <c r="N166" s="15"/>
      <c r="O166" s="15"/>
      <c r="P166" s="15">
        <f t="shared" si="15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6"/>
        <v>3.6875184446391618</v>
      </c>
      <c r="W166" s="15">
        <v>3.7144699999999999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17"/>
        <v>5584.9305271915173</v>
      </c>
      <c r="AH166" s="17">
        <v>5262.4618977055443</v>
      </c>
      <c r="AI166" s="15">
        <f t="shared" si="18"/>
        <v>40.972427162657354</v>
      </c>
      <c r="AJ166" s="17">
        <f t="shared" si="19"/>
        <v>0.3</v>
      </c>
      <c r="AK166" s="15">
        <f t="shared" si="20"/>
        <v>1.0073088598105915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4"/>
        <v>12053.0592</v>
      </c>
      <c r="M167" s="15"/>
      <c r="N167" s="15"/>
      <c r="O167" s="15"/>
      <c r="P167" s="15">
        <f t="shared" si="15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6"/>
        <v>4.1518828485211703</v>
      </c>
      <c r="W167" s="15">
        <v>4.0472400000000004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17"/>
        <v>5404.6676036710105</v>
      </c>
      <c r="AH167" s="17">
        <v>4673.8855646931079</v>
      </c>
      <c r="AI167" s="15">
        <f t="shared" si="18"/>
        <v>16.607531394084681</v>
      </c>
      <c r="AJ167" s="17">
        <f t="shared" si="19"/>
        <v>0.5</v>
      </c>
      <c r="AK167" s="15">
        <f t="shared" si="20"/>
        <v>0.97479629066161111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4"/>
        <v>12053.0592</v>
      </c>
      <c r="M168" s="15"/>
      <c r="N168" s="15"/>
      <c r="O168" s="15"/>
      <c r="P168" s="15">
        <f t="shared" si="15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6"/>
        <v>5.0466007171573137</v>
      </c>
      <c r="W168" s="15">
        <v>4.51173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17"/>
        <v>4956.7758265056327</v>
      </c>
      <c r="AH168" s="17">
        <v>3845.2468105958719</v>
      </c>
      <c r="AI168" s="15">
        <f t="shared" si="18"/>
        <v>8.9717346082796663</v>
      </c>
      <c r="AJ168" s="17">
        <f t="shared" si="19"/>
        <v>0.75000000000000011</v>
      </c>
      <c r="AK168" s="15">
        <f t="shared" si="20"/>
        <v>0.89401366441793728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4"/>
        <v>12053.0592</v>
      </c>
      <c r="M169" s="15"/>
      <c r="N169" s="15"/>
      <c r="O169" s="15"/>
      <c r="P169" s="15">
        <f t="shared" si="15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6"/>
        <v>6.4822134047165658</v>
      </c>
      <c r="W169" s="15">
        <v>4.8057600000000003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17"/>
        <v>4110.4926412741843</v>
      </c>
      <c r="AH169" s="17">
        <v>2993.6418473789045</v>
      </c>
      <c r="AI169" s="15">
        <f t="shared" si="18"/>
        <v>6.4822134047165658</v>
      </c>
      <c r="AJ169" s="17">
        <f t="shared" si="19"/>
        <v>1</v>
      </c>
      <c r="AK169" s="15">
        <f t="shared" si="20"/>
        <v>0.74137639413464074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4"/>
        <v>12053.0592</v>
      </c>
      <c r="M170" s="15"/>
      <c r="N170" s="15"/>
      <c r="O170" s="15"/>
      <c r="P170" s="15">
        <f t="shared" si="15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6"/>
        <v>9.2987954997459834</v>
      </c>
      <c r="W170" s="15">
        <v>4.6976300000000002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17"/>
        <v>2800.9620972922412</v>
      </c>
      <c r="AH170" s="17">
        <v>2086.8751563070832</v>
      </c>
      <c r="AI170" s="15">
        <f t="shared" si="18"/>
        <v>5.2568237321193854</v>
      </c>
      <c r="AJ170" s="17">
        <f t="shared" si="19"/>
        <v>1.3300000000000003</v>
      </c>
      <c r="AK170" s="15">
        <f t="shared" si="20"/>
        <v>0.50518693524643332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4"/>
        <v>12053.0592</v>
      </c>
      <c r="M171" s="15"/>
      <c r="N171" s="15"/>
      <c r="O171" s="15"/>
      <c r="P171" s="15">
        <f t="shared" si="15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6"/>
        <v>13.192555857592355</v>
      </c>
      <c r="W171" s="15">
        <v>4.4830500000000004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17"/>
        <v>1884.0818344621966</v>
      </c>
      <c r="AH171" s="17">
        <v>1470.9375136609424</v>
      </c>
      <c r="AI171" s="15">
        <f t="shared" si="18"/>
        <v>4.7303796685404116</v>
      </c>
      <c r="AJ171" s="17">
        <f t="shared" si="19"/>
        <v>1.6700000000000002</v>
      </c>
      <c r="AK171" s="15">
        <f t="shared" si="20"/>
        <v>0.33981663965591563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4"/>
        <v>12053.0592</v>
      </c>
      <c r="M172" s="15"/>
      <c r="N172" s="15"/>
      <c r="O172" s="15"/>
      <c r="P172" s="15">
        <f t="shared" si="15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6"/>
        <v>17.840429325891463</v>
      </c>
      <c r="W172" s="15">
        <v>4.3329500000000003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17"/>
        <v>1346.5841475591267</v>
      </c>
      <c r="AH172" s="17">
        <v>1087.7218791947616</v>
      </c>
      <c r="AI172" s="15">
        <f t="shared" si="18"/>
        <v>4.4601073314728659</v>
      </c>
      <c r="AJ172" s="17">
        <f t="shared" si="19"/>
        <v>2</v>
      </c>
      <c r="AK172" s="15">
        <f t="shared" si="20"/>
        <v>0.24287251841589236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4"/>
        <v>12053.0592</v>
      </c>
      <c r="M173" s="15"/>
      <c r="N173" s="15"/>
      <c r="O173" s="15"/>
      <c r="P173" s="15">
        <f t="shared" si="15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6"/>
        <v>26.42179786856871</v>
      </c>
      <c r="W173" s="15">
        <v>4.1853999999999996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17"/>
        <v>878.27339169898289</v>
      </c>
      <c r="AH173" s="17">
        <v>734.44757274010624</v>
      </c>
      <c r="AI173" s="15">
        <f t="shared" si="18"/>
        <v>4.2274876589709933</v>
      </c>
      <c r="AJ173" s="17">
        <f t="shared" si="19"/>
        <v>2.5</v>
      </c>
      <c r="AK173" s="15">
        <f t="shared" si="20"/>
        <v>0.15840708572594669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4"/>
        <v>9236.7872000000007</v>
      </c>
      <c r="M174" s="15"/>
      <c r="N174" s="15"/>
      <c r="O174" s="15"/>
      <c r="P174" s="15">
        <f t="shared" si="15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6"/>
        <v>3.6376084013102399</v>
      </c>
      <c r="W174" s="15">
        <v>3.5032899999999998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17"/>
        <v>4092.0310004746361</v>
      </c>
      <c r="AH174" s="17">
        <v>4088.1881036571986</v>
      </c>
      <c r="AI174" s="15">
        <f t="shared" si="18"/>
        <v>40.417871125669329</v>
      </c>
      <c r="AJ174" s="17">
        <f t="shared" si="19"/>
        <v>0.30000000000000004</v>
      </c>
      <c r="AK174" s="15">
        <f t="shared" si="20"/>
        <v>0.96307507942255144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4"/>
        <v>9236.7872000000007</v>
      </c>
      <c r="M175" s="15"/>
      <c r="N175" s="15"/>
      <c r="O175" s="15"/>
      <c r="P175" s="15">
        <f t="shared" si="15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6"/>
        <v>4.0391214808227476</v>
      </c>
      <c r="W175" s="15">
        <v>3.7663600000000002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17"/>
        <v>3961.9928149555435</v>
      </c>
      <c r="AH175" s="17">
        <v>3681.7975053750579</v>
      </c>
      <c r="AI175" s="15">
        <f t="shared" si="18"/>
        <v>16.156485923290994</v>
      </c>
      <c r="AJ175" s="17">
        <f t="shared" si="19"/>
        <v>0.49999999999999994</v>
      </c>
      <c r="AK175" s="15">
        <f t="shared" si="20"/>
        <v>0.93247009724322838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4"/>
        <v>9236.7872000000007</v>
      </c>
      <c r="M176" s="15"/>
      <c r="N176" s="15"/>
      <c r="O176" s="15"/>
      <c r="P176" s="15">
        <f t="shared" si="15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6"/>
        <v>4.7729497483487631</v>
      </c>
      <c r="W176" s="15">
        <v>4.1108399999999996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17"/>
        <v>3659.5061535975306</v>
      </c>
      <c r="AH176" s="17">
        <v>3115.730978970565</v>
      </c>
      <c r="AI176" s="15">
        <f t="shared" si="18"/>
        <v>8.4852439970644689</v>
      </c>
      <c r="AJ176" s="17">
        <f t="shared" si="19"/>
        <v>0.74999999999999989</v>
      </c>
      <c r="AK176" s="15">
        <f t="shared" si="20"/>
        <v>0.86127870954899011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4"/>
        <v>9236.7872000000007</v>
      </c>
      <c r="M177" s="15"/>
      <c r="N177" s="15"/>
      <c r="O177" s="15"/>
      <c r="P177" s="15">
        <f t="shared" si="15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6"/>
        <v>5.9242146460126426</v>
      </c>
      <c r="W177" s="15">
        <v>4.2902199999999997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17"/>
        <v>3077.000364194053</v>
      </c>
      <c r="AH177" s="17">
        <v>2510.2445270124108</v>
      </c>
      <c r="AI177" s="15">
        <f t="shared" si="18"/>
        <v>5.9242146460126435</v>
      </c>
      <c r="AJ177" s="17">
        <f t="shared" si="19"/>
        <v>1</v>
      </c>
      <c r="AK177" s="15">
        <f t="shared" si="20"/>
        <v>0.72418375368751686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4"/>
        <v>9236.7872000000007</v>
      </c>
      <c r="M178" s="15"/>
      <c r="N178" s="15"/>
      <c r="O178" s="15"/>
      <c r="P178" s="15">
        <f t="shared" si="15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6"/>
        <v>8.2175319601938224</v>
      </c>
      <c r="W178" s="15">
        <v>4.1210500000000003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17"/>
        <v>2130.8125790659665</v>
      </c>
      <c r="AH178" s="17">
        <v>1809.6951084628629</v>
      </c>
      <c r="AI178" s="15">
        <f t="shared" si="18"/>
        <v>4.6455604953325906</v>
      </c>
      <c r="AJ178" s="17">
        <f t="shared" si="19"/>
        <v>1.3300000000000003</v>
      </c>
      <c r="AK178" s="15">
        <f t="shared" si="20"/>
        <v>0.50149485514173764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4"/>
        <v>9236.7872000000007</v>
      </c>
      <c r="M179" s="15"/>
      <c r="N179" s="15"/>
      <c r="O179" s="15"/>
      <c r="P179" s="15">
        <f t="shared" si="15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6"/>
        <v>11.447373274491206</v>
      </c>
      <c r="W179" s="15">
        <v>3.8852000000000002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17"/>
        <v>1442.0698787142608</v>
      </c>
      <c r="AH179" s="17">
        <v>1299.0951754092227</v>
      </c>
      <c r="AI179" s="15">
        <f t="shared" si="18"/>
        <v>4.1046194824092677</v>
      </c>
      <c r="AJ179" s="17">
        <f t="shared" si="19"/>
        <v>1.67</v>
      </c>
      <c r="AK179" s="15">
        <f t="shared" si="20"/>
        <v>0.33939663771230377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4"/>
        <v>9236.7872000000007</v>
      </c>
      <c r="M180" s="15"/>
      <c r="N180" s="15"/>
      <c r="O180" s="15"/>
      <c r="P180" s="15">
        <f t="shared" si="15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6"/>
        <v>15.335655885736587</v>
      </c>
      <c r="W180" s="15">
        <v>3.7290000000000001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17"/>
        <v>1033.1628900453113</v>
      </c>
      <c r="AH180" s="17">
        <v>969.71577236754888</v>
      </c>
      <c r="AI180" s="15">
        <f t="shared" si="18"/>
        <v>3.8339139714341477</v>
      </c>
      <c r="AJ180" s="17">
        <f t="shared" si="19"/>
        <v>1.9999999999999998</v>
      </c>
      <c r="AK180" s="15">
        <f t="shared" si="20"/>
        <v>0.24315882071064693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4"/>
        <v>9236.7872000000007</v>
      </c>
      <c r="M181" s="15"/>
      <c r="N181" s="15"/>
      <c r="O181" s="15"/>
      <c r="P181" s="15">
        <f t="shared" si="15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6"/>
        <v>22.541013831652176</v>
      </c>
      <c r="W181" s="15">
        <v>3.5812599999999999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17"/>
        <v>675.05813697936082</v>
      </c>
      <c r="AH181" s="17">
        <v>659.7408396563676</v>
      </c>
      <c r="AI181" s="15">
        <f t="shared" si="18"/>
        <v>3.6065622130643487</v>
      </c>
      <c r="AJ181" s="17">
        <f t="shared" si="19"/>
        <v>2.5</v>
      </c>
      <c r="AK181" s="15">
        <f t="shared" si="20"/>
        <v>0.1588775033255683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4"/>
        <v>6673.5511999999999</v>
      </c>
      <c r="M182" s="15"/>
      <c r="N182" s="15"/>
      <c r="O182" s="15"/>
      <c r="P182" s="15">
        <f t="shared" si="15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6"/>
        <v>3.5769651319408382</v>
      </c>
      <c r="W182" s="15">
        <v>2.9693999999999998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17"/>
        <v>2548.4072147951729</v>
      </c>
      <c r="AH182" s="17">
        <v>3003.7803097538581</v>
      </c>
      <c r="AI182" s="15">
        <f t="shared" si="18"/>
        <v>39.744057021564871</v>
      </c>
      <c r="AJ182" s="17">
        <f t="shared" si="19"/>
        <v>0.3</v>
      </c>
      <c r="AK182" s="15">
        <f t="shared" si="20"/>
        <v>0.83014507843100571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4"/>
        <v>6673.5511999999999</v>
      </c>
      <c r="M183" s="15"/>
      <c r="N183" s="15"/>
      <c r="O183" s="15"/>
      <c r="P183" s="15">
        <f t="shared" si="15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6"/>
        <v>3.9093384565392184</v>
      </c>
      <c r="W183" s="15">
        <v>3.1426599999999998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17"/>
        <v>2467.7942873917386</v>
      </c>
      <c r="AH183" s="17">
        <v>2748.3978559153984</v>
      </c>
      <c r="AI183" s="15">
        <f t="shared" si="18"/>
        <v>15.63735382615687</v>
      </c>
      <c r="AJ183" s="17">
        <f t="shared" si="19"/>
        <v>0.5</v>
      </c>
      <c r="AK183" s="15">
        <f t="shared" si="20"/>
        <v>0.80388537215119293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4"/>
        <v>6673.5511999999999</v>
      </c>
      <c r="M184" s="15"/>
      <c r="N184" s="15"/>
      <c r="O184" s="15"/>
      <c r="P184" s="15">
        <f t="shared" si="15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6"/>
        <v>4.4758647104534957</v>
      </c>
      <c r="W184" s="15">
        <v>3.3439000000000001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17"/>
        <v>2293.4599409490929</v>
      </c>
      <c r="AH184" s="17">
        <v>2400.5232792014785</v>
      </c>
      <c r="AI184" s="15">
        <f t="shared" si="18"/>
        <v>7.9570928185839929</v>
      </c>
      <c r="AJ184" s="17">
        <f t="shared" si="19"/>
        <v>0.75</v>
      </c>
      <c r="AK184" s="15">
        <f t="shared" si="20"/>
        <v>0.74709586109478165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4"/>
        <v>6673.5511999999999</v>
      </c>
      <c r="M185" s="15"/>
      <c r="N185" s="15"/>
      <c r="O185" s="15"/>
      <c r="P185" s="15">
        <f t="shared" si="15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6"/>
        <v>5.3244815494839415</v>
      </c>
      <c r="W185" s="15">
        <v>3.45112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17"/>
        <v>1989.7456436871425</v>
      </c>
      <c r="AH185" s="17">
        <v>2017.9274417884624</v>
      </c>
      <c r="AI185" s="15">
        <f t="shared" si="18"/>
        <v>5.3244815494839415</v>
      </c>
      <c r="AJ185" s="17">
        <f t="shared" si="19"/>
        <v>1</v>
      </c>
      <c r="AK185" s="15">
        <f t="shared" si="20"/>
        <v>0.64816075855018951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4"/>
        <v>6673.5511999999999</v>
      </c>
      <c r="M186" s="15"/>
      <c r="N186" s="15"/>
      <c r="O186" s="15"/>
      <c r="P186" s="15">
        <f t="shared" si="15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6"/>
        <v>7.0260453027717755</v>
      </c>
      <c r="W186" s="15">
        <v>3.33386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17"/>
        <v>1456.6366774824594</v>
      </c>
      <c r="AH186" s="17">
        <v>1529.2268935074082</v>
      </c>
      <c r="AI186" s="15">
        <f t="shared" si="18"/>
        <v>3.9719855858283535</v>
      </c>
      <c r="AJ186" s="17">
        <f t="shared" si="19"/>
        <v>1.33</v>
      </c>
      <c r="AK186" s="15">
        <f t="shared" si="20"/>
        <v>0.47450021403716142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4"/>
        <v>6673.5511999999999</v>
      </c>
      <c r="M187" s="15"/>
      <c r="N187" s="15"/>
      <c r="O187" s="15"/>
      <c r="P187" s="15">
        <f t="shared" si="15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6"/>
        <v>9.4890080926194749</v>
      </c>
      <c r="W187" s="15">
        <v>3.1316099999999998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17"/>
        <v>1013.1218517197905</v>
      </c>
      <c r="AH187" s="17">
        <v>1132.3014299415529</v>
      </c>
      <c r="AI187" s="15">
        <f t="shared" si="18"/>
        <v>3.4024196251638554</v>
      </c>
      <c r="AJ187" s="17">
        <f t="shared" si="19"/>
        <v>1.67</v>
      </c>
      <c r="AK187" s="15">
        <f t="shared" si="20"/>
        <v>0.33002501098463155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4"/>
        <v>6673.5511999999999</v>
      </c>
      <c r="M188" s="15"/>
      <c r="N188" s="15"/>
      <c r="O188" s="15"/>
      <c r="P188" s="15">
        <f t="shared" si="15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6"/>
        <v>12.503407320714025</v>
      </c>
      <c r="W188" s="15">
        <v>2.9904600000000001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17"/>
        <v>734.21701848465989</v>
      </c>
      <c r="AH188" s="17">
        <v>859.31915648305255</v>
      </c>
      <c r="AI188" s="15">
        <f t="shared" si="18"/>
        <v>3.1258518301785059</v>
      </c>
      <c r="AJ188" s="17">
        <f t="shared" si="19"/>
        <v>2</v>
      </c>
      <c r="AK188" s="15">
        <f t="shared" si="20"/>
        <v>0.23917160525081779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4"/>
        <v>6673.5511999999999</v>
      </c>
      <c r="M189" s="15"/>
      <c r="N189" s="15"/>
      <c r="O189" s="15"/>
      <c r="P189" s="15">
        <f t="shared" si="15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6"/>
        <v>18.135533336385102</v>
      </c>
      <c r="W189" s="15">
        <v>2.8563299999999998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17"/>
        <v>483.49599137468476</v>
      </c>
      <c r="AH189" s="17">
        <v>592.45114178382642</v>
      </c>
      <c r="AI189" s="15">
        <f t="shared" si="18"/>
        <v>2.9016853338216162</v>
      </c>
      <c r="AJ189" s="17">
        <f t="shared" si="19"/>
        <v>2.5</v>
      </c>
      <c r="AK189" s="15">
        <f t="shared" si="20"/>
        <v>0.15749909015740823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4"/>
        <v>4949.6792000000005</v>
      </c>
      <c r="M190" s="15"/>
      <c r="N190" s="15"/>
      <c r="O190" s="15"/>
      <c r="P190" s="15">
        <f t="shared" si="15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6"/>
        <v>3.5243204697778556</v>
      </c>
      <c r="W190" s="15">
        <v>2.5618500000000002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17"/>
        <v>1655.0578907164086</v>
      </c>
      <c r="AH190" s="17">
        <v>2261.1404326980228</v>
      </c>
      <c r="AI190" s="15">
        <f t="shared" si="18"/>
        <v>39.159116330865075</v>
      </c>
      <c r="AJ190" s="17">
        <f t="shared" si="19"/>
        <v>0.29999999999999993</v>
      </c>
      <c r="AK190" s="15">
        <f t="shared" si="20"/>
        <v>0.72690608642677668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4"/>
        <v>4949.6792000000005</v>
      </c>
      <c r="M191" s="15"/>
      <c r="N191" s="15"/>
      <c r="O191" s="15"/>
      <c r="P191" s="15">
        <f t="shared" si="15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6"/>
        <v>3.8026487608664294</v>
      </c>
      <c r="W191" s="15">
        <v>2.66547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17"/>
        <v>1595.961718678496</v>
      </c>
      <c r="AH191" s="17">
        <v>2095.6401742937405</v>
      </c>
      <c r="AI191" s="15">
        <f t="shared" si="18"/>
        <v>15.210595043465721</v>
      </c>
      <c r="AJ191" s="17">
        <f t="shared" si="19"/>
        <v>0.49999999999999994</v>
      </c>
      <c r="AK191" s="15">
        <f t="shared" si="20"/>
        <v>0.70095088124643823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4"/>
        <v>4949.6792000000005</v>
      </c>
      <c r="M192" s="15"/>
      <c r="N192" s="15"/>
      <c r="O192" s="15"/>
      <c r="P192" s="15">
        <f t="shared" si="15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6"/>
        <v>4.2482306644885917</v>
      </c>
      <c r="W192" s="15">
        <v>2.73455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17"/>
        <v>1465.5905739701907</v>
      </c>
      <c r="AH192" s="17">
        <v>1875.8358811854484</v>
      </c>
      <c r="AI192" s="15">
        <f t="shared" si="18"/>
        <v>7.5524100702019421</v>
      </c>
      <c r="AJ192" s="17">
        <f t="shared" si="19"/>
        <v>0.74999999999999989</v>
      </c>
      <c r="AK192" s="15">
        <f t="shared" si="20"/>
        <v>0.64369150735114078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4"/>
        <v>4949.6792000000005</v>
      </c>
      <c r="M193" s="15"/>
      <c r="N193" s="15"/>
      <c r="O193" s="15"/>
      <c r="P193" s="15">
        <f t="shared" si="15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6"/>
        <v>4.8789086510952355</v>
      </c>
      <c r="W193" s="15">
        <v>2.69834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17"/>
        <v>1259.2410374364592</v>
      </c>
      <c r="AH193" s="17">
        <v>1633.3537030276418</v>
      </c>
      <c r="AI193" s="15">
        <f t="shared" si="18"/>
        <v>4.8789086510952373</v>
      </c>
      <c r="AJ193" s="17">
        <f t="shared" si="19"/>
        <v>0.99999999999999978</v>
      </c>
      <c r="AK193" s="15">
        <f t="shared" si="20"/>
        <v>0.55306220980265053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4"/>
        <v>4949.6792000000005</v>
      </c>
      <c r="M194" s="15"/>
      <c r="N194" s="15"/>
      <c r="O194" s="15"/>
      <c r="P194" s="15">
        <f t="shared" si="15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6"/>
        <v>6.124860598043588</v>
      </c>
      <c r="W194" s="15">
        <v>2.5503200000000001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17"/>
        <v>948.05460490529799</v>
      </c>
      <c r="AH194" s="17">
        <v>1301.0881446910751</v>
      </c>
      <c r="AI194" s="15">
        <f t="shared" si="18"/>
        <v>3.4625250709726885</v>
      </c>
      <c r="AJ194" s="17">
        <f t="shared" si="19"/>
        <v>1.3299999999999998</v>
      </c>
      <c r="AK194" s="15">
        <f t="shared" si="20"/>
        <v>0.41638825229991799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4"/>
        <v>4949.6792000000005</v>
      </c>
      <c r="M195" s="15"/>
      <c r="N195" s="15"/>
      <c r="O195" s="15"/>
      <c r="P195" s="15">
        <f t="shared" si="15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6"/>
        <v>7.9690827511854847</v>
      </c>
      <c r="W195" s="15">
        <v>2.3979200000000001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17"/>
        <v>685.11146818361885</v>
      </c>
      <c r="AH195" s="17">
        <v>999.98754697515585</v>
      </c>
      <c r="AI195" s="15">
        <f t="shared" si="18"/>
        <v>2.8574286461276803</v>
      </c>
      <c r="AJ195" s="17">
        <f t="shared" si="19"/>
        <v>1.6699999999999997</v>
      </c>
      <c r="AK195" s="15">
        <f t="shared" si="20"/>
        <v>0.30090288617511024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4"/>
        <v>4949.6792000000005</v>
      </c>
      <c r="M196" s="15"/>
      <c r="N196" s="15"/>
      <c r="O196" s="15"/>
      <c r="P196" s="15">
        <f t="shared" si="15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6"/>
        <v>10.275594826355903</v>
      </c>
      <c r="W196" s="15">
        <v>2.2959399999999999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17"/>
        <v>508.73128622374327</v>
      </c>
      <c r="AH196" s="17">
        <v>775.52527582737423</v>
      </c>
      <c r="AI196" s="15">
        <f t="shared" si="18"/>
        <v>2.5688987065889761</v>
      </c>
      <c r="AJ196" s="17">
        <f t="shared" si="19"/>
        <v>1.9999999999999998</v>
      </c>
      <c r="AK196" s="15">
        <f t="shared" si="20"/>
        <v>0.22343621355243948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4"/>
        <v>4949.6792000000005</v>
      </c>
      <c r="M197" s="42"/>
      <c r="N197" s="42"/>
      <c r="O197" s="42"/>
      <c r="P197" s="42">
        <f t="shared" si="15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6"/>
        <v>14.642736662485072</v>
      </c>
      <c r="W197" s="42">
        <v>2.2006899999999998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17"/>
        <v>342.19329993248027</v>
      </c>
      <c r="AH197" s="43">
        <v>544.22774210074158</v>
      </c>
      <c r="AI197" s="42">
        <f t="shared" si="18"/>
        <v>2.3428378659976121</v>
      </c>
      <c r="AJ197" s="43">
        <f t="shared" si="19"/>
        <v>2.4999999999999996</v>
      </c>
      <c r="AK197" s="42">
        <f t="shared" si="20"/>
        <v>0.15029226098412349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4"/>
        <v>14073.1</v>
      </c>
      <c r="M198" s="49"/>
      <c r="N198" s="49"/>
      <c r="O198" s="49"/>
      <c r="P198" s="49">
        <f t="shared" si="15"/>
        <v>288390694.1583333</v>
      </c>
      <c r="Q198" s="49"/>
      <c r="R198" s="49"/>
      <c r="S198" s="49">
        <v>1716.1814715265889</v>
      </c>
      <c r="T198" s="49">
        <v>355</v>
      </c>
      <c r="U198" s="49">
        <v>210000</v>
      </c>
      <c r="V198" s="49">
        <f t="shared" si="16"/>
        <v>2.911085210328002</v>
      </c>
      <c r="W198" s="49">
        <v>3.7623500000000001</v>
      </c>
      <c r="X198" s="49"/>
      <c r="Y198" s="49"/>
      <c r="Z198" s="49"/>
      <c r="AA198" s="51"/>
      <c r="AB198" s="49">
        <v>0.3550200773318104</v>
      </c>
      <c r="AC198" s="52">
        <v>0.3</v>
      </c>
      <c r="AD198" s="49"/>
      <c r="AE198" s="49" t="s">
        <v>817</v>
      </c>
      <c r="AF198" s="55" t="s">
        <v>219</v>
      </c>
      <c r="AG198" s="52">
        <f t="shared" si="17"/>
        <v>6456.8753593980618</v>
      </c>
      <c r="AH198" s="52">
        <v>4741.8953999865516</v>
      </c>
      <c r="AI198" s="49">
        <f t="shared" si="18"/>
        <v>32.345391225866685</v>
      </c>
      <c r="AJ198" s="52">
        <f t="shared" si="19"/>
        <v>0.30000000000000004</v>
      </c>
      <c r="AK198" s="49">
        <f t="shared" si="20"/>
        <v>1.292421804298914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1">2*C199*F199+(E199-2*F199)*H199</f>
        <v>14073.1</v>
      </c>
      <c r="M199" s="25"/>
      <c r="N199" s="25"/>
      <c r="O199" s="25"/>
      <c r="P199" s="25">
        <f t="shared" ref="P199:P262" si="22">(H199*(E199-2*F199)^3)/12 + (C199*F199^3)/6 + 2*C199*F199*(E199/2 - F199/2)^2</f>
        <v>288390694.1583333</v>
      </c>
      <c r="Q199" s="25"/>
      <c r="R199" s="25"/>
      <c r="S199" s="25">
        <v>1486.1769369073534</v>
      </c>
      <c r="T199" s="25">
        <v>355</v>
      </c>
      <c r="U199" s="25">
        <v>210000</v>
      </c>
      <c r="V199" s="25">
        <f t="shared" ref="V199:V262" si="23">L199*T199/(S199*1000)</f>
        <v>3.3616121848830991</v>
      </c>
      <c r="W199" s="25">
        <v>4.1169399999999996</v>
      </c>
      <c r="X199" s="25"/>
      <c r="Y199" s="25"/>
      <c r="Z199" s="25"/>
      <c r="AA199" s="46"/>
      <c r="AB199" s="25">
        <v>0.3550200773318104</v>
      </c>
      <c r="AC199" s="47">
        <v>0.5</v>
      </c>
      <c r="AD199" s="25"/>
      <c r="AE199" s="25" t="s">
        <v>818</v>
      </c>
      <c r="AF199" s="48" t="s">
        <v>5</v>
      </c>
      <c r="AG199" s="47">
        <f t="shared" ref="AG199:AG262" si="24">W199*S199</f>
        <v>6118.5012786313591</v>
      </c>
      <c r="AH199" s="47">
        <v>4211.5414591305607</v>
      </c>
      <c r="AI199" s="25">
        <f t="shared" ref="AI199:AI262" si="25">(PI()^2*U199*P199/K199^2)/(S199*1000)</f>
        <v>13.446448739532396</v>
      </c>
      <c r="AJ199" s="47">
        <f t="shared" ref="AJ199:AJ262" si="26">(V199/AI199)^0.5</f>
        <v>0.5</v>
      </c>
      <c r="AK199" s="25">
        <f t="shared" ref="AK199:AK262" si="27">W199/V199</f>
        <v>1.2246921338855057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1"/>
        <v>14073.1</v>
      </c>
      <c r="M200" s="25"/>
      <c r="N200" s="25"/>
      <c r="O200" s="25"/>
      <c r="P200" s="25">
        <f t="shared" si="22"/>
        <v>288390694.1583333</v>
      </c>
      <c r="Q200" s="25"/>
      <c r="R200" s="25"/>
      <c r="S200" s="25">
        <v>1162.4582915054812</v>
      </c>
      <c r="T200" s="25">
        <v>355</v>
      </c>
      <c r="U200" s="25">
        <v>210000</v>
      </c>
      <c r="V200" s="25">
        <f t="shared" si="23"/>
        <v>4.2977460236700828</v>
      </c>
      <c r="W200" s="25">
        <v>4.65001</v>
      </c>
      <c r="X200" s="25"/>
      <c r="Y200" s="25"/>
      <c r="Z200" s="25"/>
      <c r="AA200" s="46"/>
      <c r="AB200" s="25">
        <v>0.3550200773318104</v>
      </c>
      <c r="AC200" s="47">
        <v>0.75</v>
      </c>
      <c r="AD200" s="25"/>
      <c r="AE200" s="25" t="s">
        <v>819</v>
      </c>
      <c r="AF200" s="48" t="s">
        <v>5</v>
      </c>
      <c r="AG200" s="47">
        <f t="shared" si="24"/>
        <v>5405.4426800834026</v>
      </c>
      <c r="AH200" s="47">
        <v>3464.8722437168653</v>
      </c>
      <c r="AI200" s="25">
        <f t="shared" si="25"/>
        <v>7.6404373754134829</v>
      </c>
      <c r="AJ200" s="47">
        <f t="shared" si="26"/>
        <v>0.74999999999999989</v>
      </c>
      <c r="AK200" s="25">
        <f t="shared" si="27"/>
        <v>1.0819648193238509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1"/>
        <v>14073.1</v>
      </c>
      <c r="M201" s="25"/>
      <c r="N201" s="25"/>
      <c r="O201" s="25"/>
      <c r="P201" s="25">
        <f t="shared" si="22"/>
        <v>288390694.1583333</v>
      </c>
      <c r="Q201" s="25"/>
      <c r="R201" s="25"/>
      <c r="S201" s="25">
        <v>858.69313678745459</v>
      </c>
      <c r="T201" s="25">
        <v>355</v>
      </c>
      <c r="U201" s="25">
        <v>210000</v>
      </c>
      <c r="V201" s="25">
        <f t="shared" si="23"/>
        <v>5.8180859796910287</v>
      </c>
      <c r="W201" s="25">
        <v>4.9567600000000001</v>
      </c>
      <c r="X201" s="25"/>
      <c r="Y201" s="25"/>
      <c r="Z201" s="25"/>
      <c r="AA201" s="46"/>
      <c r="AB201" s="25">
        <v>0.3550200773318104</v>
      </c>
      <c r="AC201" s="47">
        <v>1</v>
      </c>
      <c r="AD201" s="25"/>
      <c r="AE201" s="25" t="s">
        <v>820</v>
      </c>
      <c r="AF201" s="48" t="s">
        <v>5</v>
      </c>
      <c r="AG201" s="47">
        <f t="shared" si="24"/>
        <v>4256.3357927025836</v>
      </c>
      <c r="AH201" s="47">
        <v>2697.5086530284602</v>
      </c>
      <c r="AI201" s="25">
        <f t="shared" si="25"/>
        <v>5.8180859796910287</v>
      </c>
      <c r="AJ201" s="47">
        <f t="shared" si="26"/>
        <v>1</v>
      </c>
      <c r="AK201" s="25">
        <f t="shared" si="27"/>
        <v>0.8519571586433019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1"/>
        <v>14073.1</v>
      </c>
      <c r="M202" s="25"/>
      <c r="N202" s="25"/>
      <c r="O202" s="25"/>
      <c r="P202" s="25">
        <f t="shared" si="22"/>
        <v>288390694.1583333</v>
      </c>
      <c r="Q202" s="25"/>
      <c r="R202" s="25"/>
      <c r="S202" s="25">
        <v>573.47328805127768</v>
      </c>
      <c r="T202" s="25">
        <v>355</v>
      </c>
      <c r="U202" s="25">
        <v>210000</v>
      </c>
      <c r="V202" s="25">
        <f t="shared" si="23"/>
        <v>8.7117405537348809</v>
      </c>
      <c r="W202" s="25">
        <v>4.7848300000000004</v>
      </c>
      <c r="X202" s="25"/>
      <c r="Y202" s="25"/>
      <c r="Z202" s="25"/>
      <c r="AA202" s="46"/>
      <c r="AB202" s="25">
        <v>0.3550200773318104</v>
      </c>
      <c r="AC202" s="47">
        <v>1.33</v>
      </c>
      <c r="AD202" s="25"/>
      <c r="AE202" s="25" t="s">
        <v>821</v>
      </c>
      <c r="AF202" s="48" t="s">
        <v>5</v>
      </c>
      <c r="AG202" s="47">
        <f t="shared" si="24"/>
        <v>2743.9721928663953</v>
      </c>
      <c r="AH202" s="47">
        <v>1880.4399720886074</v>
      </c>
      <c r="AI202" s="25">
        <f t="shared" si="25"/>
        <v>4.9249480206540097</v>
      </c>
      <c r="AJ202" s="47">
        <f t="shared" si="26"/>
        <v>1.3300000000000003</v>
      </c>
      <c r="AK202" s="25">
        <f t="shared" si="27"/>
        <v>0.54923926745599161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1"/>
        <v>14073.1</v>
      </c>
      <c r="M203" s="25"/>
      <c r="N203" s="25"/>
      <c r="O203" s="25"/>
      <c r="P203" s="25">
        <f t="shared" si="22"/>
        <v>288390694.1583333</v>
      </c>
      <c r="Q203" s="25"/>
      <c r="R203" s="25"/>
      <c r="S203" s="25">
        <v>395.71182061702058</v>
      </c>
      <c r="T203" s="25">
        <v>355</v>
      </c>
      <c r="U203" s="25">
        <v>210000</v>
      </c>
      <c r="V203" s="25">
        <f t="shared" si="23"/>
        <v>12.625224316549293</v>
      </c>
      <c r="W203" s="25">
        <v>4.5547800000000001</v>
      </c>
      <c r="X203" s="25"/>
      <c r="Y203" s="25"/>
      <c r="Z203" s="25"/>
      <c r="AA203" s="46"/>
      <c r="AB203" s="25">
        <v>0.3550200773318104</v>
      </c>
      <c r="AC203" s="47">
        <v>1.67</v>
      </c>
      <c r="AD203" s="25"/>
      <c r="AE203" s="25" t="s">
        <v>822</v>
      </c>
      <c r="AF203" s="48" t="s">
        <v>5</v>
      </c>
      <c r="AG203" s="47">
        <f t="shared" si="24"/>
        <v>1802.3802863099929</v>
      </c>
      <c r="AH203" s="47">
        <v>1325.4313219327296</v>
      </c>
      <c r="AI203" s="25">
        <f t="shared" si="25"/>
        <v>4.5269548268311128</v>
      </c>
      <c r="AJ203" s="47">
        <f t="shared" si="26"/>
        <v>1.6700000000000002</v>
      </c>
      <c r="AK203" s="25">
        <f t="shared" si="27"/>
        <v>0.36076824346237879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1"/>
        <v>14073.1</v>
      </c>
      <c r="M204" s="25"/>
      <c r="N204" s="25"/>
      <c r="O204" s="25"/>
      <c r="P204" s="25">
        <f t="shared" si="22"/>
        <v>288390694.1583333</v>
      </c>
      <c r="Q204" s="25"/>
      <c r="R204" s="25"/>
      <c r="S204" s="25">
        <v>289.47799541641052</v>
      </c>
      <c r="T204" s="25">
        <v>355</v>
      </c>
      <c r="U204" s="25">
        <v>210000</v>
      </c>
      <c r="V204" s="25">
        <f t="shared" si="23"/>
        <v>17.258481055920633</v>
      </c>
      <c r="W204" s="25">
        <v>4.4004000000000003</v>
      </c>
      <c r="X204" s="25"/>
      <c r="Y204" s="25"/>
      <c r="Z204" s="25"/>
      <c r="AA204" s="46"/>
      <c r="AB204" s="25">
        <v>0.3550200773318104</v>
      </c>
      <c r="AC204" s="47">
        <v>2</v>
      </c>
      <c r="AD204" s="25"/>
      <c r="AE204" s="25" t="s">
        <v>823</v>
      </c>
      <c r="AF204" s="48" t="s">
        <v>5</v>
      </c>
      <c r="AG204" s="47">
        <f t="shared" si="24"/>
        <v>1273.8189710303729</v>
      </c>
      <c r="AH204" s="47">
        <v>980.12365232843217</v>
      </c>
      <c r="AI204" s="25">
        <f t="shared" si="25"/>
        <v>4.3146202639801583</v>
      </c>
      <c r="AJ204" s="47">
        <f t="shared" si="26"/>
        <v>2</v>
      </c>
      <c r="AK204" s="25">
        <f t="shared" si="27"/>
        <v>0.25497029464770971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1"/>
        <v>14073.1</v>
      </c>
      <c r="M205" s="25"/>
      <c r="N205" s="25"/>
      <c r="O205" s="25"/>
      <c r="P205" s="25">
        <f t="shared" si="22"/>
        <v>288390694.1583333</v>
      </c>
      <c r="Q205" s="25"/>
      <c r="R205" s="25"/>
      <c r="S205" s="25">
        <v>193.74263831518905</v>
      </c>
      <c r="T205" s="25">
        <v>355</v>
      </c>
      <c r="U205" s="25">
        <v>210000</v>
      </c>
      <c r="V205" s="25">
        <f t="shared" si="23"/>
        <v>25.786530747415384</v>
      </c>
      <c r="W205" s="25">
        <v>4.2514399999999997</v>
      </c>
      <c r="X205" s="25"/>
      <c r="Y205" s="25"/>
      <c r="Z205" s="25"/>
      <c r="AA205" s="46"/>
      <c r="AB205" s="25">
        <v>0.3550200773318104</v>
      </c>
      <c r="AC205" s="47">
        <v>2.5</v>
      </c>
      <c r="AD205" s="25"/>
      <c r="AE205" s="25" t="s">
        <v>824</v>
      </c>
      <c r="AF205" s="48" t="s">
        <v>5</v>
      </c>
      <c r="AG205" s="47">
        <f t="shared" si="24"/>
        <v>823.68520223872724</v>
      </c>
      <c r="AH205" s="47">
        <v>661.79549313716848</v>
      </c>
      <c r="AI205" s="25">
        <f t="shared" si="25"/>
        <v>4.1258449195864602</v>
      </c>
      <c r="AJ205" s="47">
        <f t="shared" si="26"/>
        <v>2.5000000000000004</v>
      </c>
      <c r="AK205" s="25">
        <f t="shared" si="27"/>
        <v>0.16487056912167708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1"/>
        <v>10828</v>
      </c>
      <c r="M206" s="15"/>
      <c r="N206" s="15"/>
      <c r="O206" s="15"/>
      <c r="P206" s="15">
        <f t="shared" si="22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3"/>
        <v>2.7448987988286588</v>
      </c>
      <c r="W206" s="15">
        <v>3.7850700000000002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4"/>
        <v>5300.5895816664706</v>
      </c>
      <c r="AH206" s="17">
        <v>3648.4671743293502</v>
      </c>
      <c r="AI206" s="15">
        <f t="shared" si="25"/>
        <v>30.498875542540652</v>
      </c>
      <c r="AJ206" s="17">
        <f>(V206/AI206)^0.5</f>
        <v>0.30000000000000004</v>
      </c>
      <c r="AK206" s="15">
        <f t="shared" si="27"/>
        <v>1.3789470131340424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1"/>
        <v>10828</v>
      </c>
      <c r="M207" s="15"/>
      <c r="N207" s="15"/>
      <c r="O207" s="15"/>
      <c r="P207" s="15">
        <f t="shared" si="22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3"/>
        <v>2.9849206021309302</v>
      </c>
      <c r="W207" s="15">
        <v>4.1339800000000002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4"/>
        <v>5323.6830051210081</v>
      </c>
      <c r="AH207" s="17">
        <v>3240.4069408634709</v>
      </c>
      <c r="AI207" s="15">
        <f t="shared" si="25"/>
        <v>11.939682408523723</v>
      </c>
      <c r="AJ207" s="17">
        <f t="shared" si="26"/>
        <v>0.5</v>
      </c>
      <c r="AK207" s="15">
        <f t="shared" si="27"/>
        <v>1.3849547612920619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1"/>
        <v>10828</v>
      </c>
      <c r="M208" s="15"/>
      <c r="N208" s="15"/>
      <c r="O208" s="15"/>
      <c r="P208" s="15">
        <f t="shared" si="22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3"/>
        <v>3.3843370771900361</v>
      </c>
      <c r="W208" s="15">
        <v>4.6548400000000001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4"/>
        <v>5286.9809541714512</v>
      </c>
      <c r="AH208" s="17">
        <v>2665.911324083977</v>
      </c>
      <c r="AI208" s="15">
        <f t="shared" si="25"/>
        <v>6.0165992483378412</v>
      </c>
      <c r="AJ208" s="17">
        <f t="shared" si="26"/>
        <v>0.75000000000000011</v>
      </c>
      <c r="AK208" s="15">
        <f t="shared" si="27"/>
        <v>1.3754067321996317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1"/>
        <v>10828</v>
      </c>
      <c r="M209" s="15"/>
      <c r="N209" s="15"/>
      <c r="O209" s="15"/>
      <c r="P209" s="15">
        <f t="shared" si="22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3"/>
        <v>3.9707524229134541</v>
      </c>
      <c r="W209" s="15">
        <v>4.9769899999999998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4"/>
        <v>4818.0417470003977</v>
      </c>
      <c r="AH209" s="17">
        <v>2075.4932243068097</v>
      </c>
      <c r="AI209" s="15">
        <f t="shared" si="25"/>
        <v>3.970752422913455</v>
      </c>
      <c r="AJ209" s="17">
        <f t="shared" si="26"/>
        <v>0.99999999999999989</v>
      </c>
      <c r="AK209" s="15">
        <f t="shared" si="27"/>
        <v>1.2534123183505459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1"/>
        <v>10828</v>
      </c>
      <c r="M210" s="15"/>
      <c r="N210" s="15"/>
      <c r="O210" s="15"/>
      <c r="P210" s="15">
        <f t="shared" si="22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3"/>
        <v>5.1431965986464254</v>
      </c>
      <c r="W210" s="15">
        <v>4.8196199999999996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4"/>
        <v>3602.1042064920703</v>
      </c>
      <c r="AH210" s="17">
        <v>1446.8314740729086</v>
      </c>
      <c r="AI210" s="15">
        <f t="shared" si="25"/>
        <v>2.9075677532061874</v>
      </c>
      <c r="AJ210" s="17">
        <f t="shared" si="26"/>
        <v>1.33</v>
      </c>
      <c r="AK210" s="15">
        <f t="shared" si="27"/>
        <v>0.93708648066620981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1"/>
        <v>10828</v>
      </c>
      <c r="M211" s="15"/>
      <c r="N211" s="15"/>
      <c r="O211" s="15"/>
      <c r="P211" s="15">
        <f t="shared" si="22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3"/>
        <v>6.8561196557376993</v>
      </c>
      <c r="W211" s="15">
        <v>4.5868200000000003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4"/>
        <v>2571.6384421681901</v>
      </c>
      <c r="AH211" s="17">
        <v>1019.8016324681555</v>
      </c>
      <c r="AI211" s="15">
        <f t="shared" si="25"/>
        <v>2.4583598034127077</v>
      </c>
      <c r="AJ211" s="17">
        <f t="shared" si="26"/>
        <v>1.67</v>
      </c>
      <c r="AK211" s="15">
        <f t="shared" si="27"/>
        <v>0.66901107774007651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1"/>
        <v>10828</v>
      </c>
      <c r="M212" s="15"/>
      <c r="N212" s="15"/>
      <c r="O212" s="15"/>
      <c r="P212" s="15">
        <f t="shared" si="22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3"/>
        <v>8.9682422809441604</v>
      </c>
      <c r="W212" s="15">
        <v>4.4311299999999996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4"/>
        <v>1899.2571028541388</v>
      </c>
      <c r="AH212" s="17">
        <v>754.11806264520703</v>
      </c>
      <c r="AI212" s="15">
        <f t="shared" si="25"/>
        <v>2.2420605702360406</v>
      </c>
      <c r="AJ212" s="17">
        <f t="shared" si="26"/>
        <v>1.9999999999999998</v>
      </c>
      <c r="AK212" s="15">
        <f t="shared" si="27"/>
        <v>0.49409124566307971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1"/>
        <v>10828</v>
      </c>
      <c r="M213" s="15"/>
      <c r="N213" s="15"/>
      <c r="O213" s="15"/>
      <c r="P213" s="15">
        <f t="shared" si="22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3"/>
        <v>12.931222240603375</v>
      </c>
      <c r="W213" s="15">
        <v>4.2813499999999998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4"/>
        <v>1272.6757156276435</v>
      </c>
      <c r="AH213" s="17">
        <v>509.19282885002309</v>
      </c>
      <c r="AI213" s="15">
        <f t="shared" si="25"/>
        <v>2.0689955584965403</v>
      </c>
      <c r="AJ213" s="17">
        <f t="shared" si="26"/>
        <v>2.5</v>
      </c>
      <c r="AK213" s="15">
        <f t="shared" si="27"/>
        <v>0.33108625931404845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1"/>
        <v>9336</v>
      </c>
      <c r="M214" s="25"/>
      <c r="N214" s="25"/>
      <c r="O214" s="25"/>
      <c r="P214" s="25">
        <f t="shared" si="22"/>
        <v>233468362</v>
      </c>
      <c r="Q214" s="25"/>
      <c r="R214" s="25"/>
      <c r="S214" s="25">
        <v>1208.5055241940518</v>
      </c>
      <c r="T214" s="25">
        <v>355</v>
      </c>
      <c r="U214" s="25">
        <v>210000</v>
      </c>
      <c r="V214" s="25">
        <f t="shared" si="23"/>
        <v>2.7424616053867705</v>
      </c>
      <c r="W214" s="25">
        <v>3.7909000000000002</v>
      </c>
      <c r="X214" s="25"/>
      <c r="Y214" s="25"/>
      <c r="Z214" s="25"/>
      <c r="AA214" s="46"/>
      <c r="AB214" s="25">
        <v>0.60172287236842936</v>
      </c>
      <c r="AC214" s="47">
        <v>0.3</v>
      </c>
      <c r="AD214" s="25"/>
      <c r="AE214" s="25" t="s">
        <v>833</v>
      </c>
      <c r="AF214" s="48" t="s">
        <v>5</v>
      </c>
      <c r="AG214" s="47">
        <f t="shared" si="24"/>
        <v>4581.3235916672311</v>
      </c>
      <c r="AH214" s="47">
        <v>3145.7415533375333</v>
      </c>
      <c r="AI214" s="25">
        <f t="shared" si="25"/>
        <v>30.47179561540856</v>
      </c>
      <c r="AJ214" s="47">
        <f t="shared" si="26"/>
        <v>0.30000000000000004</v>
      </c>
      <c r="AK214" s="25">
        <f t="shared" si="27"/>
        <v>1.3822982945518276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1"/>
        <v>9336</v>
      </c>
      <c r="M215" s="25"/>
      <c r="N215" s="25"/>
      <c r="O215" s="25"/>
      <c r="P215" s="25">
        <f t="shared" si="22"/>
        <v>233468362</v>
      </c>
      <c r="Q215" s="25"/>
      <c r="R215" s="25"/>
      <c r="S215" s="25">
        <v>1112.1889830654911</v>
      </c>
      <c r="T215" s="25">
        <v>355</v>
      </c>
      <c r="U215" s="25">
        <v>210000</v>
      </c>
      <c r="V215" s="25">
        <f t="shared" si="23"/>
        <v>2.9799611850721228</v>
      </c>
      <c r="W215" s="25">
        <v>4.1351500000000003</v>
      </c>
      <c r="X215" s="25"/>
      <c r="Y215" s="25"/>
      <c r="Z215" s="25"/>
      <c r="AA215" s="46"/>
      <c r="AB215" s="25">
        <v>0.60172287236842936</v>
      </c>
      <c r="AC215" s="47">
        <v>0.5</v>
      </c>
      <c r="AD215" s="25"/>
      <c r="AE215" s="25" t="s">
        <v>834</v>
      </c>
      <c r="AF215" s="48" t="s">
        <v>5</v>
      </c>
      <c r="AG215" s="47">
        <f t="shared" si="24"/>
        <v>4599.0682733232661</v>
      </c>
      <c r="AH215" s="47">
        <v>2793.9083117751534</v>
      </c>
      <c r="AI215" s="25">
        <f t="shared" si="25"/>
        <v>11.91984474028849</v>
      </c>
      <c r="AJ215" s="47">
        <f t="shared" si="26"/>
        <v>0.5</v>
      </c>
      <c r="AK215" s="25">
        <f t="shared" si="27"/>
        <v>1.3876523025584035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1"/>
        <v>9336</v>
      </c>
      <c r="M216" s="25"/>
      <c r="N216" s="25"/>
      <c r="O216" s="25"/>
      <c r="P216" s="25">
        <f t="shared" si="22"/>
        <v>233468362</v>
      </c>
      <c r="Q216" s="25"/>
      <c r="R216" s="25"/>
      <c r="S216" s="25">
        <v>982.38871509707292</v>
      </c>
      <c r="T216" s="25">
        <v>355</v>
      </c>
      <c r="U216" s="25">
        <v>210000</v>
      </c>
      <c r="V216" s="25">
        <f t="shared" si="23"/>
        <v>3.3736951056817723</v>
      </c>
      <c r="W216" s="25">
        <v>4.6562400000000004</v>
      </c>
      <c r="X216" s="25"/>
      <c r="Y216" s="25"/>
      <c r="Z216" s="25"/>
      <c r="AA216" s="46"/>
      <c r="AB216" s="25">
        <v>0.60172287236842936</v>
      </c>
      <c r="AC216" s="47">
        <v>0.75</v>
      </c>
      <c r="AD216" s="25"/>
      <c r="AE216" s="25" t="s">
        <v>835</v>
      </c>
      <c r="AF216" s="48" t="s">
        <v>5</v>
      </c>
      <c r="AG216" s="47">
        <f t="shared" si="24"/>
        <v>4574.2376307835948</v>
      </c>
      <c r="AH216" s="47">
        <v>2298.5729702297758</v>
      </c>
      <c r="AI216" s="25">
        <f t="shared" si="25"/>
        <v>5.9976801878787063</v>
      </c>
      <c r="AJ216" s="47">
        <f t="shared" si="26"/>
        <v>0.75</v>
      </c>
      <c r="AK216" s="25">
        <f t="shared" si="27"/>
        <v>1.3801602854265769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1"/>
        <v>9336</v>
      </c>
      <c r="M217" s="25"/>
      <c r="N217" s="25"/>
      <c r="O217" s="25"/>
      <c r="P217" s="25">
        <f t="shared" si="22"/>
        <v>233468362</v>
      </c>
      <c r="Q217" s="25"/>
      <c r="R217" s="25"/>
      <c r="S217" s="25">
        <v>839.09160956163043</v>
      </c>
      <c r="T217" s="25">
        <v>355</v>
      </c>
      <c r="U217" s="25">
        <v>210000</v>
      </c>
      <c r="V217" s="25">
        <f t="shared" si="23"/>
        <v>3.9498428565284915</v>
      </c>
      <c r="W217" s="25">
        <v>4.9907599999999999</v>
      </c>
      <c r="X217" s="25"/>
      <c r="Y217" s="25"/>
      <c r="Z217" s="25"/>
      <c r="AA217" s="46"/>
      <c r="AB217" s="25">
        <v>0.60172287236842936</v>
      </c>
      <c r="AC217" s="47">
        <v>1</v>
      </c>
      <c r="AD217" s="25"/>
      <c r="AE217" s="25" t="s">
        <v>836</v>
      </c>
      <c r="AF217" s="48" t="s">
        <v>5</v>
      </c>
      <c r="AG217" s="47">
        <f t="shared" si="24"/>
        <v>4187.7048413358025</v>
      </c>
      <c r="AH217" s="47">
        <v>1789.5091191474298</v>
      </c>
      <c r="AI217" s="25">
        <f t="shared" si="25"/>
        <v>3.9498428565284911</v>
      </c>
      <c r="AJ217" s="47">
        <f t="shared" si="26"/>
        <v>1</v>
      </c>
      <c r="AK217" s="25">
        <f t="shared" si="27"/>
        <v>1.2635338116682364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1"/>
        <v>9336</v>
      </c>
      <c r="M218" s="25"/>
      <c r="N218" s="25"/>
      <c r="O218" s="25"/>
      <c r="P218" s="25">
        <f t="shared" si="22"/>
        <v>233468362</v>
      </c>
      <c r="Q218" s="25"/>
      <c r="R218" s="25"/>
      <c r="S218" s="25">
        <v>649.74418012703484</v>
      </c>
      <c r="T218" s="25">
        <v>355</v>
      </c>
      <c r="U218" s="25">
        <v>210000</v>
      </c>
      <c r="V218" s="25">
        <f t="shared" si="23"/>
        <v>5.1008998639310743</v>
      </c>
      <c r="W218" s="25">
        <v>4.8428399999999998</v>
      </c>
      <c r="X218" s="25"/>
      <c r="Y218" s="25"/>
      <c r="Z218" s="25"/>
      <c r="AA218" s="46"/>
      <c r="AB218" s="25">
        <v>0.60172287236842936</v>
      </c>
      <c r="AC218" s="47">
        <v>1.33</v>
      </c>
      <c r="AD218" s="25"/>
      <c r="AE218" s="25" t="s">
        <v>837</v>
      </c>
      <c r="AF218" s="48" t="s">
        <v>5</v>
      </c>
      <c r="AG218" s="47">
        <f t="shared" si="24"/>
        <v>3146.6071052864095</v>
      </c>
      <c r="AH218" s="47">
        <v>1247.4712451001726</v>
      </c>
      <c r="AI218" s="25">
        <f t="shared" si="25"/>
        <v>2.8836564327723861</v>
      </c>
      <c r="AJ218" s="47">
        <f t="shared" si="26"/>
        <v>1.33</v>
      </c>
      <c r="AK218" s="25">
        <f t="shared" si="27"/>
        <v>0.94940895316219809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1"/>
        <v>9336</v>
      </c>
      <c r="M219" s="25"/>
      <c r="N219" s="25"/>
      <c r="O219" s="25"/>
      <c r="P219" s="25">
        <f t="shared" si="22"/>
        <v>233468362</v>
      </c>
      <c r="Q219" s="25"/>
      <c r="R219" s="25"/>
      <c r="S219" s="25">
        <v>488.47605365671728</v>
      </c>
      <c r="T219" s="25">
        <v>355</v>
      </c>
      <c r="U219" s="25">
        <v>210000</v>
      </c>
      <c r="V219" s="25">
        <f t="shared" si="23"/>
        <v>6.7849385352452751</v>
      </c>
      <c r="W219" s="25">
        <v>4.6082900000000002</v>
      </c>
      <c r="X219" s="25"/>
      <c r="Y219" s="25"/>
      <c r="Z219" s="25"/>
      <c r="AA219" s="46"/>
      <c r="AB219" s="25">
        <v>0.60172287236842936</v>
      </c>
      <c r="AC219" s="47">
        <v>1.67</v>
      </c>
      <c r="AD219" s="25"/>
      <c r="AE219" s="25" t="s">
        <v>838</v>
      </c>
      <c r="AF219" s="48" t="s">
        <v>5</v>
      </c>
      <c r="AG219" s="47">
        <f t="shared" si="24"/>
        <v>2251.0393133057137</v>
      </c>
      <c r="AH219" s="47">
        <v>879.28223501317882</v>
      </c>
      <c r="AI219" s="25">
        <f t="shared" si="25"/>
        <v>2.4328367941644649</v>
      </c>
      <c r="AJ219" s="47">
        <f t="shared" si="26"/>
        <v>1.67</v>
      </c>
      <c r="AK219" s="25">
        <f t="shared" si="27"/>
        <v>0.6791940672802883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1"/>
        <v>9336</v>
      </c>
      <c r="M220" s="25"/>
      <c r="N220" s="25"/>
      <c r="O220" s="25"/>
      <c r="P220" s="25">
        <f t="shared" si="22"/>
        <v>233468362</v>
      </c>
      <c r="Q220" s="25"/>
      <c r="R220" s="25"/>
      <c r="S220" s="25">
        <v>373.90048224066749</v>
      </c>
      <c r="T220" s="25">
        <v>355</v>
      </c>
      <c r="U220" s="25">
        <v>210000</v>
      </c>
      <c r="V220" s="25">
        <f t="shared" si="23"/>
        <v>8.8640698726531895</v>
      </c>
      <c r="W220" s="25">
        <v>4.4514100000000001</v>
      </c>
      <c r="X220" s="25"/>
      <c r="Y220" s="25"/>
      <c r="Z220" s="25"/>
      <c r="AA220" s="46"/>
      <c r="AB220" s="25">
        <v>0.60172287236842936</v>
      </c>
      <c r="AC220" s="47">
        <v>2</v>
      </c>
      <c r="AD220" s="25"/>
      <c r="AE220" s="25" t="s">
        <v>839</v>
      </c>
      <c r="AF220" s="48" t="s">
        <v>5</v>
      </c>
      <c r="AG220" s="47">
        <f t="shared" si="24"/>
        <v>1664.3843456509296</v>
      </c>
      <c r="AH220" s="47">
        <v>650.20744669889643</v>
      </c>
      <c r="AI220" s="25">
        <f t="shared" si="25"/>
        <v>2.2160174681632974</v>
      </c>
      <c r="AJ220" s="47">
        <f t="shared" si="26"/>
        <v>2</v>
      </c>
      <c r="AK220" s="25">
        <f t="shared" si="27"/>
        <v>0.50218579771501803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1"/>
        <v>9336</v>
      </c>
      <c r="M221" s="25"/>
      <c r="N221" s="25"/>
      <c r="O221" s="25"/>
      <c r="P221" s="25">
        <f t="shared" si="22"/>
        <v>233468362</v>
      </c>
      <c r="Q221" s="25"/>
      <c r="R221" s="25"/>
      <c r="S221" s="25">
        <v>259.57565126460429</v>
      </c>
      <c r="T221" s="25">
        <v>355</v>
      </c>
      <c r="U221" s="25">
        <v>210000</v>
      </c>
      <c r="V221" s="25">
        <f t="shared" si="23"/>
        <v>12.768069670068993</v>
      </c>
      <c r="W221" s="25">
        <v>4.2993399999999999</v>
      </c>
      <c r="X221" s="25"/>
      <c r="Y221" s="25"/>
      <c r="Z221" s="25"/>
      <c r="AA221" s="46"/>
      <c r="AB221" s="25">
        <v>0.60172287236842936</v>
      </c>
      <c r="AC221" s="47">
        <v>2.5</v>
      </c>
      <c r="AD221" s="25"/>
      <c r="AE221" s="25" t="s">
        <v>840</v>
      </c>
      <c r="AF221" s="48" t="s">
        <v>5</v>
      </c>
      <c r="AG221" s="47">
        <f t="shared" si="24"/>
        <v>1116.0039805079639</v>
      </c>
      <c r="AH221" s="47">
        <v>439.03068435018616</v>
      </c>
      <c r="AI221" s="25">
        <f t="shared" si="25"/>
        <v>2.0428911472110389</v>
      </c>
      <c r="AJ221" s="47">
        <f t="shared" si="26"/>
        <v>2.5</v>
      </c>
      <c r="AK221" s="25">
        <f t="shared" si="27"/>
        <v>0.33672591950829855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1"/>
        <v>7955.9</v>
      </c>
      <c r="M222" s="15"/>
      <c r="N222" s="15"/>
      <c r="O222" s="15"/>
      <c r="P222" s="15">
        <f t="shared" si="22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3"/>
        <v>2.7456166755651035</v>
      </c>
      <c r="W222" s="15">
        <v>3.7282099999999998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4"/>
        <v>3835.1127096712303</v>
      </c>
      <c r="AH222" s="17">
        <v>2680.7203539201037</v>
      </c>
      <c r="AI222" s="15">
        <f t="shared" si="25"/>
        <v>30.506851950723373</v>
      </c>
      <c r="AJ222" s="17">
        <f t="shared" si="26"/>
        <v>0.3</v>
      </c>
      <c r="AK222" s="15">
        <f t="shared" si="27"/>
        <v>1.3578770966754341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1"/>
        <v>7955.9</v>
      </c>
      <c r="M223" s="15"/>
      <c r="N223" s="15"/>
      <c r="O223" s="15"/>
      <c r="P223" s="15">
        <f t="shared" si="22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3"/>
        <v>2.9863842289002154</v>
      </c>
      <c r="W223" s="15">
        <v>4.0675100000000004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4"/>
        <v>3846.8089223152851</v>
      </c>
      <c r="AH223" s="17">
        <v>2380.8970798684604</v>
      </c>
      <c r="AI223" s="15">
        <f t="shared" si="25"/>
        <v>11.945536915600862</v>
      </c>
      <c r="AJ223" s="17">
        <f t="shared" si="26"/>
        <v>0.5</v>
      </c>
      <c r="AK223" s="15">
        <f t="shared" si="27"/>
        <v>1.3620183098468637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1"/>
        <v>7955.9</v>
      </c>
      <c r="M224" s="15"/>
      <c r="N224" s="15"/>
      <c r="O224" s="15"/>
      <c r="P224" s="15">
        <f t="shared" si="22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3"/>
        <v>3.3874861245934356</v>
      </c>
      <c r="W224" s="15">
        <v>4.5698400000000001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4"/>
        <v>3810.1417969436166</v>
      </c>
      <c r="AH224" s="17">
        <v>1958.7849929146394</v>
      </c>
      <c r="AI224" s="15">
        <f t="shared" si="25"/>
        <v>6.0221975548327746</v>
      </c>
      <c r="AJ224" s="17">
        <f t="shared" si="26"/>
        <v>0.75</v>
      </c>
      <c r="AK224" s="15">
        <f t="shared" si="27"/>
        <v>1.3490357840354166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1"/>
        <v>7955.9</v>
      </c>
      <c r="M225" s="15"/>
      <c r="N225" s="15"/>
      <c r="O225" s="15"/>
      <c r="P225" s="15">
        <f t="shared" si="22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3"/>
        <v>3.9769488535168853</v>
      </c>
      <c r="W225" s="15">
        <v>4.9027500000000002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4"/>
        <v>3481.8287856857414</v>
      </c>
      <c r="AH225" s="17">
        <v>1524.9738218750047</v>
      </c>
      <c r="AI225" s="15">
        <f t="shared" si="25"/>
        <v>3.9769488535168853</v>
      </c>
      <c r="AJ225" s="17">
        <f t="shared" si="26"/>
        <v>1</v>
      </c>
      <c r="AK225" s="15">
        <f t="shared" si="27"/>
        <v>1.2327918161845135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1"/>
        <v>7955.9</v>
      </c>
      <c r="M226" s="15"/>
      <c r="N226" s="15"/>
      <c r="O226" s="15"/>
      <c r="P226" s="15">
        <f t="shared" si="22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3"/>
        <v>5.1557258301999545</v>
      </c>
      <c r="W226" s="15">
        <v>4.74275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4"/>
        <v>2598.1133051940228</v>
      </c>
      <c r="AH226" s="17">
        <v>1063.0630333003928</v>
      </c>
      <c r="AI226" s="15">
        <f t="shared" si="25"/>
        <v>2.9146508170048917</v>
      </c>
      <c r="AJ226" s="17">
        <f t="shared" si="26"/>
        <v>1.3300000000000003</v>
      </c>
      <c r="AK226" s="15">
        <f t="shared" si="27"/>
        <v>0.91989957499661346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1"/>
        <v>7955.9</v>
      </c>
      <c r="M227" s="15"/>
      <c r="N227" s="15"/>
      <c r="O227" s="15"/>
      <c r="P227" s="15">
        <f t="shared" si="22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3"/>
        <v>6.8771831471333398</v>
      </c>
      <c r="W227" s="15">
        <v>4.4982800000000003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4"/>
        <v>1847.3686254459835</v>
      </c>
      <c r="AH227" s="17">
        <v>749.30179236732522</v>
      </c>
      <c r="AI227" s="15">
        <f t="shared" si="25"/>
        <v>2.465912419639765</v>
      </c>
      <c r="AJ227" s="17">
        <f t="shared" si="26"/>
        <v>1.67</v>
      </c>
      <c r="AK227" s="15">
        <f t="shared" si="27"/>
        <v>0.65408756808738577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1"/>
        <v>7955.9</v>
      </c>
      <c r="M228" s="15"/>
      <c r="N228" s="15"/>
      <c r="O228" s="15"/>
      <c r="P228" s="15">
        <f t="shared" si="22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3"/>
        <v>8.9990499789363909</v>
      </c>
      <c r="W228" s="15">
        <v>4.3365400000000003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4"/>
        <v>1361.0195439183008</v>
      </c>
      <c r="AH228" s="17">
        <v>554.0901269485596</v>
      </c>
      <c r="AI228" s="15">
        <f t="shared" si="25"/>
        <v>2.2497624947340977</v>
      </c>
      <c r="AJ228" s="17">
        <f t="shared" si="26"/>
        <v>2</v>
      </c>
      <c r="AK228" s="15">
        <f t="shared" si="27"/>
        <v>0.4818886449292219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1"/>
        <v>7955.9</v>
      </c>
      <c r="M229" s="15"/>
      <c r="N229" s="15"/>
      <c r="O229" s="15"/>
      <c r="P229" s="15">
        <f t="shared" si="22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3"/>
        <v>12.97945480988513</v>
      </c>
      <c r="W229" s="15">
        <v>4.1801399999999997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4"/>
        <v>909.60333782575003</v>
      </c>
      <c r="AH229" s="17">
        <v>374.13070068783702</v>
      </c>
      <c r="AI229" s="15">
        <f t="shared" si="25"/>
        <v>2.0767127695816208</v>
      </c>
      <c r="AJ229" s="17">
        <f t="shared" si="26"/>
        <v>2.5</v>
      </c>
      <c r="AK229" s="15">
        <f t="shared" si="27"/>
        <v>0.32205821132151191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1"/>
        <v>7023.4</v>
      </c>
      <c r="M230" s="25"/>
      <c r="N230" s="25"/>
      <c r="O230" s="25"/>
      <c r="P230" s="25">
        <f t="shared" si="22"/>
        <v>206655884.88333333</v>
      </c>
      <c r="Q230" s="25"/>
      <c r="R230" s="25"/>
      <c r="S230" s="25">
        <v>906.42027233744943</v>
      </c>
      <c r="T230" s="25">
        <v>355</v>
      </c>
      <c r="U230" s="25">
        <v>210000</v>
      </c>
      <c r="V230" s="25">
        <f t="shared" si="23"/>
        <v>2.750718486878426</v>
      </c>
      <c r="W230" s="25">
        <v>3.6194000000000002</v>
      </c>
      <c r="X230" s="25"/>
      <c r="Y230" s="25"/>
      <c r="Z230" s="25"/>
      <c r="AA230" s="46"/>
      <c r="AB230" s="25">
        <v>1.1133153135475653</v>
      </c>
      <c r="AC230" s="47">
        <v>0.3</v>
      </c>
      <c r="AD230" s="25"/>
      <c r="AE230" s="25" t="s">
        <v>849</v>
      </c>
      <c r="AF230" s="48" t="s">
        <v>5</v>
      </c>
      <c r="AG230" s="47">
        <f t="shared" si="24"/>
        <v>3280.6975336981645</v>
      </c>
      <c r="AH230" s="47">
        <v>2366.5168408002178</v>
      </c>
      <c r="AI230" s="25">
        <f t="shared" si="25"/>
        <v>30.563538743093631</v>
      </c>
      <c r="AJ230" s="47">
        <f t="shared" si="26"/>
        <v>0.3</v>
      </c>
      <c r="AK230" s="25">
        <f t="shared" si="27"/>
        <v>1.3158016777308872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1"/>
        <v>7023.4</v>
      </c>
      <c r="M231" s="25"/>
      <c r="N231" s="25"/>
      <c r="O231" s="25"/>
      <c r="P231" s="25">
        <f t="shared" si="22"/>
        <v>206655884.88333333</v>
      </c>
      <c r="Q231" s="25"/>
      <c r="R231" s="25"/>
      <c r="S231" s="25">
        <v>831.98333314564513</v>
      </c>
      <c r="T231" s="25">
        <v>355</v>
      </c>
      <c r="U231" s="25">
        <v>210000</v>
      </c>
      <c r="V231" s="25">
        <f t="shared" si="23"/>
        <v>2.9968232543470044</v>
      </c>
      <c r="W231" s="25">
        <v>3.9556900000000002</v>
      </c>
      <c r="X231" s="25"/>
      <c r="Y231" s="25"/>
      <c r="Z231" s="25"/>
      <c r="AA231" s="46"/>
      <c r="AB231" s="25">
        <v>1.1133153135475653</v>
      </c>
      <c r="AC231" s="47">
        <v>0.5</v>
      </c>
      <c r="AD231" s="25"/>
      <c r="AE231" s="25" t="s">
        <v>850</v>
      </c>
      <c r="AF231" s="48" t="s">
        <v>5</v>
      </c>
      <c r="AG231" s="47">
        <f t="shared" si="24"/>
        <v>3291.0681510908971</v>
      </c>
      <c r="AH231" s="47">
        <v>2101.8354366882622</v>
      </c>
      <c r="AI231" s="25">
        <f t="shared" si="25"/>
        <v>11.987293017388019</v>
      </c>
      <c r="AJ231" s="47">
        <f t="shared" si="26"/>
        <v>0.5</v>
      </c>
      <c r="AK231" s="25">
        <f t="shared" si="27"/>
        <v>1.3199610601866907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1"/>
        <v>7023.4</v>
      </c>
      <c r="M232" s="25"/>
      <c r="N232" s="25"/>
      <c r="O232" s="25"/>
      <c r="P232" s="25">
        <f t="shared" si="22"/>
        <v>206655884.88333333</v>
      </c>
      <c r="Q232" s="25"/>
      <c r="R232" s="25"/>
      <c r="S232" s="25">
        <v>731.16299472543812</v>
      </c>
      <c r="T232" s="25">
        <v>355</v>
      </c>
      <c r="U232" s="25">
        <v>210000</v>
      </c>
      <c r="V232" s="25">
        <f t="shared" si="23"/>
        <v>3.4100563321537787</v>
      </c>
      <c r="W232" s="25">
        <v>4.4817</v>
      </c>
      <c r="X232" s="25"/>
      <c r="Y232" s="25"/>
      <c r="Z232" s="25"/>
      <c r="AA232" s="46"/>
      <c r="AB232" s="25">
        <v>1.1133153135475653</v>
      </c>
      <c r="AC232" s="47">
        <v>0.75</v>
      </c>
      <c r="AD232" s="25"/>
      <c r="AE232" s="25" t="s">
        <v>851</v>
      </c>
      <c r="AF232" s="48" t="s">
        <v>5</v>
      </c>
      <c r="AG232" s="47">
        <f t="shared" si="24"/>
        <v>3276.853193460996</v>
      </c>
      <c r="AH232" s="47">
        <v>1729.1985217557631</v>
      </c>
      <c r="AI232" s="25">
        <f t="shared" si="25"/>
        <v>6.0623223682733851</v>
      </c>
      <c r="AJ232" s="47">
        <f t="shared" si="26"/>
        <v>0.74999999999999989</v>
      </c>
      <c r="AK232" s="25">
        <f t="shared" si="27"/>
        <v>1.3142598137577908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1"/>
        <v>7023.4</v>
      </c>
      <c r="M233" s="25"/>
      <c r="N233" s="25"/>
      <c r="O233" s="25"/>
      <c r="P233" s="25">
        <f t="shared" si="22"/>
        <v>206655884.88333333</v>
      </c>
      <c r="Q233" s="25"/>
      <c r="R233" s="25"/>
      <c r="S233" s="25">
        <v>619.99777901243829</v>
      </c>
      <c r="T233" s="25">
        <v>355</v>
      </c>
      <c r="U233" s="25">
        <v>210000</v>
      </c>
      <c r="V233" s="25">
        <f t="shared" si="23"/>
        <v>4.0214773091146503</v>
      </c>
      <c r="W233" s="25">
        <v>4.9136199999999999</v>
      </c>
      <c r="X233" s="25"/>
      <c r="Y233" s="25"/>
      <c r="Z233" s="25"/>
      <c r="AA233" s="46"/>
      <c r="AB233" s="25">
        <v>1.1133153135475653</v>
      </c>
      <c r="AC233" s="47">
        <v>1</v>
      </c>
      <c r="AD233" s="25"/>
      <c r="AE233" s="25" t="s">
        <v>852</v>
      </c>
      <c r="AF233" s="48" t="s">
        <v>5</v>
      </c>
      <c r="AG233" s="47">
        <f t="shared" si="24"/>
        <v>3046.4334869110971</v>
      </c>
      <c r="AH233" s="47">
        <v>1346.2337561503921</v>
      </c>
      <c r="AI233" s="25">
        <f t="shared" si="25"/>
        <v>4.0214773091146512</v>
      </c>
      <c r="AJ233" s="47">
        <f t="shared" si="26"/>
        <v>0.99999999999999989</v>
      </c>
      <c r="AK233" s="25">
        <f t="shared" si="27"/>
        <v>1.2218445169050971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1"/>
        <v>7023.4</v>
      </c>
      <c r="M234" s="25"/>
      <c r="N234" s="25"/>
      <c r="O234" s="25"/>
      <c r="P234" s="25">
        <f t="shared" si="22"/>
        <v>206655884.88333333</v>
      </c>
      <c r="Q234" s="25"/>
      <c r="R234" s="25"/>
      <c r="S234" s="25">
        <v>475.30619519555006</v>
      </c>
      <c r="T234" s="25">
        <v>355</v>
      </c>
      <c r="U234" s="25">
        <v>210000</v>
      </c>
      <c r="V234" s="25">
        <f t="shared" si="23"/>
        <v>5.2456858867034244</v>
      </c>
      <c r="W234" s="25">
        <v>4.8308900000000001</v>
      </c>
      <c r="X234" s="25"/>
      <c r="Y234" s="25"/>
      <c r="Z234" s="25"/>
      <c r="AA234" s="46"/>
      <c r="AB234" s="25">
        <v>1.1133153135475653</v>
      </c>
      <c r="AC234" s="47">
        <v>1.33</v>
      </c>
      <c r="AD234" s="25"/>
      <c r="AE234" s="25" t="s">
        <v>853</v>
      </c>
      <c r="AF234" s="48" t="s">
        <v>5</v>
      </c>
      <c r="AG234" s="47">
        <f t="shared" si="24"/>
        <v>2296.151945308231</v>
      </c>
      <c r="AH234" s="47">
        <v>938.46289019243318</v>
      </c>
      <c r="AI234" s="25">
        <f t="shared" si="25"/>
        <v>2.9655073134170533</v>
      </c>
      <c r="AJ234" s="47">
        <f t="shared" si="26"/>
        <v>1.3299999999999998</v>
      </c>
      <c r="AK234" s="25">
        <f t="shared" si="27"/>
        <v>0.92092628196537007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1"/>
        <v>7023.4</v>
      </c>
      <c r="M235" s="25"/>
      <c r="N235" s="25"/>
      <c r="O235" s="25"/>
      <c r="P235" s="25">
        <f t="shared" si="22"/>
        <v>206655884.88333333</v>
      </c>
      <c r="Q235" s="25"/>
      <c r="R235" s="25"/>
      <c r="S235" s="25">
        <v>354.76099016254932</v>
      </c>
      <c r="T235" s="25">
        <v>355</v>
      </c>
      <c r="U235" s="25">
        <v>210000</v>
      </c>
      <c r="V235" s="25">
        <f t="shared" si="23"/>
        <v>7.028131810257892</v>
      </c>
      <c r="W235" s="25">
        <v>4.5969600000000002</v>
      </c>
      <c r="X235" s="25"/>
      <c r="Y235" s="25"/>
      <c r="Z235" s="25"/>
      <c r="AA235" s="46"/>
      <c r="AB235" s="25">
        <v>1.1133153135475653</v>
      </c>
      <c r="AC235" s="47">
        <v>1.67</v>
      </c>
      <c r="AD235" s="25"/>
      <c r="AE235" s="25" t="s">
        <v>854</v>
      </c>
      <c r="AF235" s="48" t="s">
        <v>5</v>
      </c>
      <c r="AG235" s="47">
        <f t="shared" si="24"/>
        <v>1630.8220813376329</v>
      </c>
      <c r="AH235" s="47">
        <v>661.47716895796475</v>
      </c>
      <c r="AI235" s="25">
        <f t="shared" si="25"/>
        <v>2.5200372226533383</v>
      </c>
      <c r="AJ235" s="47">
        <f t="shared" si="26"/>
        <v>1.6699999999999995</v>
      </c>
      <c r="AK235" s="25">
        <f t="shared" si="27"/>
        <v>0.65407993533793984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1"/>
        <v>7023.4</v>
      </c>
      <c r="M236" s="25"/>
      <c r="N236" s="25"/>
      <c r="O236" s="25"/>
      <c r="P236" s="25">
        <f t="shared" si="22"/>
        <v>206655884.88333333</v>
      </c>
      <c r="Q236" s="25"/>
      <c r="R236" s="25"/>
      <c r="S236" s="25">
        <v>270.43566572926699</v>
      </c>
      <c r="T236" s="25">
        <v>355</v>
      </c>
      <c r="U236" s="25">
        <v>210000</v>
      </c>
      <c r="V236" s="25">
        <f t="shared" si="23"/>
        <v>9.2195938478619475</v>
      </c>
      <c r="W236" s="25">
        <v>4.4367900000000002</v>
      </c>
      <c r="X236" s="25"/>
      <c r="Y236" s="25"/>
      <c r="Z236" s="25"/>
      <c r="AA236" s="46"/>
      <c r="AB236" s="25">
        <v>1.1133153135475653</v>
      </c>
      <c r="AC236" s="47">
        <v>2</v>
      </c>
      <c r="AD236" s="25"/>
      <c r="AE236" s="25" t="s">
        <v>855</v>
      </c>
      <c r="AF236" s="48" t="s">
        <v>5</v>
      </c>
      <c r="AG236" s="47">
        <f t="shared" si="24"/>
        <v>1199.8662573509546</v>
      </c>
      <c r="AH236" s="47">
        <v>489.14599198211556</v>
      </c>
      <c r="AI236" s="25">
        <f t="shared" si="25"/>
        <v>2.3048984619654873</v>
      </c>
      <c r="AJ236" s="47">
        <f t="shared" si="26"/>
        <v>1.9999999999999998</v>
      </c>
      <c r="AK236" s="25">
        <f t="shared" si="27"/>
        <v>0.48123486492074763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1"/>
        <v>7023.4</v>
      </c>
      <c r="M237" s="25"/>
      <c r="N237" s="25"/>
      <c r="O237" s="25"/>
      <c r="P237" s="25">
        <f t="shared" si="22"/>
        <v>206655884.88333333</v>
      </c>
      <c r="Q237" s="25"/>
      <c r="R237" s="25"/>
      <c r="S237" s="25">
        <v>187.12180366949787</v>
      </c>
      <c r="T237" s="25">
        <v>355</v>
      </c>
      <c r="U237" s="25">
        <v>210000</v>
      </c>
      <c r="V237" s="25">
        <f t="shared" si="23"/>
        <v>13.324513504603559</v>
      </c>
      <c r="W237" s="25">
        <v>4.2720000000000002</v>
      </c>
      <c r="X237" s="25"/>
      <c r="Y237" s="25"/>
      <c r="Z237" s="25"/>
      <c r="AA237" s="46"/>
      <c r="AB237" s="25">
        <v>1.1133153135475653</v>
      </c>
      <c r="AC237" s="47">
        <v>2.5</v>
      </c>
      <c r="AD237" s="25"/>
      <c r="AE237" s="25" t="s">
        <v>856</v>
      </c>
      <c r="AF237" s="48" t="s">
        <v>5</v>
      </c>
      <c r="AG237" s="47">
        <f t="shared" si="24"/>
        <v>799.3843452760949</v>
      </c>
      <c r="AH237" s="47">
        <v>330.2793603754389</v>
      </c>
      <c r="AI237" s="25">
        <f t="shared" si="25"/>
        <v>2.1319221607365697</v>
      </c>
      <c r="AJ237" s="47">
        <f t="shared" si="26"/>
        <v>2.5</v>
      </c>
      <c r="AK237" s="25">
        <f t="shared" si="27"/>
        <v>0.32061208077308367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1"/>
        <v>6456.4400000000005</v>
      </c>
      <c r="M238" s="15"/>
      <c r="N238" s="15"/>
      <c r="O238" s="15"/>
      <c r="P238" s="15">
        <f t="shared" si="22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3"/>
        <v>2.753689402273837</v>
      </c>
      <c r="W238" s="15">
        <v>3.57917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4"/>
        <v>2979.1258226799123</v>
      </c>
      <c r="AH238" s="17">
        <v>2175.4811048233278</v>
      </c>
      <c r="AI238" s="15">
        <f t="shared" si="25"/>
        <v>30.596548914153747</v>
      </c>
      <c r="AJ238" s="17">
        <f t="shared" si="26"/>
        <v>0.3</v>
      </c>
      <c r="AK238" s="15">
        <f t="shared" si="27"/>
        <v>1.2997725876580448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1"/>
        <v>6456.4400000000005</v>
      </c>
      <c r="M239" s="15"/>
      <c r="N239" s="15"/>
      <c r="O239" s="15"/>
      <c r="P239" s="15">
        <f t="shared" si="22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3"/>
        <v>3.0029325145181676</v>
      </c>
      <c r="W239" s="15">
        <v>3.9019599999999999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4"/>
        <v>2978.2332862005755</v>
      </c>
      <c r="AH239" s="17">
        <v>1932.165957634702</v>
      </c>
      <c r="AI239" s="15">
        <f t="shared" si="25"/>
        <v>12.01173005807267</v>
      </c>
      <c r="AJ239" s="17">
        <f t="shared" si="26"/>
        <v>0.5</v>
      </c>
      <c r="AK239" s="15">
        <f t="shared" si="27"/>
        <v>1.2993831799866753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1"/>
        <v>6456.4400000000005</v>
      </c>
      <c r="M240" s="15"/>
      <c r="N240" s="15"/>
      <c r="O240" s="15"/>
      <c r="P240" s="15">
        <f t="shared" si="22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3"/>
        <v>3.4233543894104845</v>
      </c>
      <c r="W240" s="15">
        <v>4.4175599999999999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4"/>
        <v>2957.6860248510825</v>
      </c>
      <c r="AH240" s="17">
        <v>1589.6099472911669</v>
      </c>
      <c r="AI240" s="15">
        <f t="shared" si="25"/>
        <v>6.0859633589519735</v>
      </c>
      <c r="AJ240" s="17">
        <f t="shared" si="26"/>
        <v>0.74999999999999989</v>
      </c>
      <c r="AK240" s="15">
        <f t="shared" si="27"/>
        <v>1.2904185478619763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1"/>
        <v>6456.4400000000005</v>
      </c>
      <c r="M241" s="15"/>
      <c r="N241" s="15"/>
      <c r="O241" s="15"/>
      <c r="P241" s="15">
        <f t="shared" si="22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3"/>
        <v>4.0478042801811949</v>
      </c>
      <c r="W241" s="15">
        <v>4.8622100000000001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4"/>
        <v>2753.1868046503319</v>
      </c>
      <c r="AH241" s="17">
        <v>1237.5597961898284</v>
      </c>
      <c r="AI241" s="15">
        <f t="shared" si="25"/>
        <v>4.0478042801811949</v>
      </c>
      <c r="AJ241" s="17">
        <f t="shared" si="26"/>
        <v>1</v>
      </c>
      <c r="AK241" s="15">
        <f t="shared" si="27"/>
        <v>1.2011969115716112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1"/>
        <v>6456.4400000000005</v>
      </c>
      <c r="M242" s="15"/>
      <c r="N242" s="15"/>
      <c r="O242" s="15"/>
      <c r="P242" s="15">
        <f t="shared" si="22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3"/>
        <v>5.2988044173753579</v>
      </c>
      <c r="W242" s="15">
        <v>4.8546399999999998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4"/>
        <v>2099.9096666941164</v>
      </c>
      <c r="AH242" s="17">
        <v>862.70600318279378</v>
      </c>
      <c r="AI242" s="15">
        <f t="shared" si="25"/>
        <v>2.9955364448953348</v>
      </c>
      <c r="AJ242" s="17">
        <f t="shared" si="26"/>
        <v>1.33</v>
      </c>
      <c r="AK242" s="15">
        <f t="shared" si="27"/>
        <v>0.9161764839028792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1"/>
        <v>6456.4400000000005</v>
      </c>
      <c r="M243" s="15"/>
      <c r="N243" s="15"/>
      <c r="O243" s="15"/>
      <c r="P243" s="15">
        <f t="shared" si="22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3"/>
        <v>7.1170313264346836</v>
      </c>
      <c r="W243" s="15">
        <v>4.6417000000000002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4"/>
        <v>1494.8570466486394</v>
      </c>
      <c r="AH243" s="17">
        <v>608.07979792507365</v>
      </c>
      <c r="AI243" s="15">
        <f t="shared" si="25"/>
        <v>2.5519134161980297</v>
      </c>
      <c r="AJ243" s="17">
        <f t="shared" si="26"/>
        <v>1.67</v>
      </c>
      <c r="AK243" s="15">
        <f t="shared" si="27"/>
        <v>0.65219608950706776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1"/>
        <v>6456.4400000000005</v>
      </c>
      <c r="M244" s="15"/>
      <c r="N244" s="15"/>
      <c r="O244" s="15"/>
      <c r="P244" s="15">
        <f t="shared" si="22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3"/>
        <v>9.3492960162750052</v>
      </c>
      <c r="W244" s="15">
        <v>4.4858500000000001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4"/>
        <v>1099.7331317643423</v>
      </c>
      <c r="AH244" s="17">
        <v>449.65995792251766</v>
      </c>
      <c r="AI244" s="15">
        <f t="shared" si="25"/>
        <v>2.3373240040687513</v>
      </c>
      <c r="AJ244" s="17">
        <f t="shared" si="26"/>
        <v>2</v>
      </c>
      <c r="AK244" s="15">
        <f t="shared" si="27"/>
        <v>0.47980617922367119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1"/>
        <v>6456.4400000000005</v>
      </c>
      <c r="M245" s="15"/>
      <c r="N245" s="15"/>
      <c r="O245" s="15"/>
      <c r="P245" s="15">
        <f t="shared" si="22"/>
        <v>200082503.39666668</v>
      </c>
      <c r="Q245" s="15"/>
      <c r="R245" s="15"/>
      <c r="S245" s="15">
        <v>169.43821345192075</v>
      </c>
      <c r="T245" s="15">
        <v>355</v>
      </c>
      <c r="U245" s="15">
        <v>210000</v>
      </c>
      <c r="V245" s="15">
        <f t="shared" si="23"/>
        <v>13.527268455591814</v>
      </c>
      <c r="W245" s="15">
        <v>4.3204900000000004</v>
      </c>
      <c r="X245" s="15"/>
      <c r="Y245" s="15"/>
      <c r="Z245" s="15"/>
      <c r="AA245" s="16"/>
      <c r="AB245" s="15">
        <v>1.5137471488237149</v>
      </c>
      <c r="AC245" s="17">
        <v>2.5</v>
      </c>
      <c r="AD245" s="15"/>
      <c r="AE245" s="15" t="s">
        <v>864</v>
      </c>
      <c r="AF245" s="22" t="s">
        <v>5</v>
      </c>
      <c r="AG245" s="17">
        <f t="shared" si="24"/>
        <v>732.05610683688917</v>
      </c>
      <c r="AH245" s="17">
        <v>303.61774546550089</v>
      </c>
      <c r="AI245" s="15">
        <f t="shared" si="25"/>
        <v>2.1643629528946904</v>
      </c>
      <c r="AJ245" s="17">
        <f t="shared" si="26"/>
        <v>2.5</v>
      </c>
      <c r="AK245" s="15">
        <f t="shared" si="27"/>
        <v>0.31939116268621287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1"/>
        <v>18131.148799999999</v>
      </c>
      <c r="M246" s="25"/>
      <c r="N246" s="25"/>
      <c r="O246" s="25"/>
      <c r="P246" s="25">
        <f t="shared" si="22"/>
        <v>296599421.04640174</v>
      </c>
      <c r="Q246" s="25"/>
      <c r="R246" s="25"/>
      <c r="S246" s="25">
        <v>2211.050985785047</v>
      </c>
      <c r="T246" s="25">
        <v>355</v>
      </c>
      <c r="U246" s="25">
        <v>210000</v>
      </c>
      <c r="V246" s="25">
        <f t="shared" si="23"/>
        <v>2.911085210328002</v>
      </c>
      <c r="W246" s="25">
        <v>3.7243900000000001</v>
      </c>
      <c r="X246" s="25"/>
      <c r="Y246" s="25"/>
      <c r="Z246" s="25"/>
      <c r="AA246" s="46"/>
      <c r="AB246" s="25">
        <v>0.35499999999999998</v>
      </c>
      <c r="AC246" s="47">
        <v>0.3</v>
      </c>
      <c r="AD246" s="25"/>
      <c r="AE246" s="25" t="s">
        <v>865</v>
      </c>
      <c r="AF246" s="48" t="s">
        <v>5</v>
      </c>
      <c r="AG246" s="47">
        <f t="shared" si="24"/>
        <v>8234.8161809479716</v>
      </c>
      <c r="AH246" s="47">
        <v>6109.2446647285724</v>
      </c>
      <c r="AI246" s="25">
        <f t="shared" si="25"/>
        <v>32.345391225866685</v>
      </c>
      <c r="AJ246" s="47">
        <f t="shared" si="26"/>
        <v>0.30000000000000004</v>
      </c>
      <c r="AK246" s="25">
        <f t="shared" si="27"/>
        <v>1.2793819936244188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1"/>
        <v>18131.148799999999</v>
      </c>
      <c r="M247" s="25"/>
      <c r="N247" s="25"/>
      <c r="O247" s="25"/>
      <c r="P247" s="25">
        <f t="shared" si="22"/>
        <v>296599421.04640174</v>
      </c>
      <c r="Q247" s="25"/>
      <c r="R247" s="25"/>
      <c r="S247" s="25">
        <v>1914.7234927766756</v>
      </c>
      <c r="T247" s="25">
        <v>355</v>
      </c>
      <c r="U247" s="25">
        <v>210000</v>
      </c>
      <c r="V247" s="25">
        <f t="shared" si="23"/>
        <v>3.3616121848830995</v>
      </c>
      <c r="W247" s="25">
        <v>4.03911</v>
      </c>
      <c r="X247" s="25"/>
      <c r="Y247" s="25"/>
      <c r="Z247" s="25"/>
      <c r="AA247" s="46"/>
      <c r="AB247" s="25">
        <v>0.35499999999999998</v>
      </c>
      <c r="AC247" s="47">
        <v>0.5</v>
      </c>
      <c r="AD247" s="25"/>
      <c r="AE247" s="25" t="s">
        <v>866</v>
      </c>
      <c r="AF247" s="48" t="s">
        <v>5</v>
      </c>
      <c r="AG247" s="47">
        <f t="shared" si="24"/>
        <v>7733.7788069091985</v>
      </c>
      <c r="AH247" s="47">
        <v>5425.9605113916132</v>
      </c>
      <c r="AI247" s="25">
        <f t="shared" si="25"/>
        <v>13.4464487395324</v>
      </c>
      <c r="AJ247" s="47">
        <f t="shared" si="26"/>
        <v>0.5</v>
      </c>
      <c r="AK247" s="25">
        <f t="shared" si="27"/>
        <v>1.2015395524098686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1"/>
        <v>18131.148799999999</v>
      </c>
      <c r="M248" s="25"/>
      <c r="N248" s="25"/>
      <c r="O248" s="25"/>
      <c r="P248" s="25">
        <f t="shared" si="22"/>
        <v>296599421.04640174</v>
      </c>
      <c r="Q248" s="25"/>
      <c r="R248" s="25"/>
      <c r="S248" s="25">
        <v>1497.6589562413155</v>
      </c>
      <c r="T248" s="25">
        <v>355</v>
      </c>
      <c r="U248" s="25">
        <v>210000</v>
      </c>
      <c r="V248" s="25">
        <f t="shared" si="23"/>
        <v>4.2977460236700828</v>
      </c>
      <c r="W248" s="25">
        <v>4.4412099999999999</v>
      </c>
      <c r="X248" s="25"/>
      <c r="Y248" s="25"/>
      <c r="Z248" s="25"/>
      <c r="AA248" s="46"/>
      <c r="AB248" s="25">
        <v>0.35499999999999998</v>
      </c>
      <c r="AC248" s="47">
        <v>0.75</v>
      </c>
      <c r="AD248" s="25"/>
      <c r="AE248" s="25" t="s">
        <v>867</v>
      </c>
      <c r="AF248" s="48" t="s">
        <v>5</v>
      </c>
      <c r="AG248" s="47">
        <f t="shared" si="24"/>
        <v>6651.4179330484931</v>
      </c>
      <c r="AH248" s="47">
        <v>4463.9854917410057</v>
      </c>
      <c r="AI248" s="25">
        <f t="shared" si="25"/>
        <v>7.6404373754134793</v>
      </c>
      <c r="AJ248" s="47">
        <f t="shared" si="26"/>
        <v>0.75000000000000011</v>
      </c>
      <c r="AK248" s="25">
        <f t="shared" si="27"/>
        <v>1.0333812132079887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1"/>
        <v>18131.148799999999</v>
      </c>
      <c r="M249" s="25"/>
      <c r="N249" s="25"/>
      <c r="O249" s="25"/>
      <c r="P249" s="25">
        <f t="shared" si="22"/>
        <v>296599421.04640174</v>
      </c>
      <c r="Q249" s="25"/>
      <c r="R249" s="25"/>
      <c r="S249" s="25">
        <v>1106.3015992661242</v>
      </c>
      <c r="T249" s="25">
        <v>355</v>
      </c>
      <c r="U249" s="25">
        <v>210000</v>
      </c>
      <c r="V249" s="25">
        <f t="shared" si="23"/>
        <v>5.8180859796910287</v>
      </c>
      <c r="W249" s="25">
        <v>4.6783099999999997</v>
      </c>
      <c r="X249" s="25"/>
      <c r="Y249" s="25"/>
      <c r="Z249" s="25"/>
      <c r="AA249" s="46"/>
      <c r="AB249" s="25">
        <v>0.35499999999999998</v>
      </c>
      <c r="AC249" s="47">
        <v>1</v>
      </c>
      <c r="AD249" s="25"/>
      <c r="AE249" s="25" t="s">
        <v>868</v>
      </c>
      <c r="AF249" s="48" t="s">
        <v>5</v>
      </c>
      <c r="AG249" s="47">
        <f t="shared" si="24"/>
        <v>5175.6218348627008</v>
      </c>
      <c r="AH249" s="47">
        <v>3475.34877016056</v>
      </c>
      <c r="AI249" s="25">
        <f t="shared" si="25"/>
        <v>5.8180859796910296</v>
      </c>
      <c r="AJ249" s="47">
        <f t="shared" si="26"/>
        <v>1</v>
      </c>
      <c r="AK249" s="25">
        <f t="shared" si="27"/>
        <v>0.80409777654204462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1"/>
        <v>18131.148799999999</v>
      </c>
      <c r="M250" s="25"/>
      <c r="N250" s="25"/>
      <c r="O250" s="25"/>
      <c r="P250" s="25">
        <f t="shared" si="22"/>
        <v>296599421.04640174</v>
      </c>
      <c r="Q250" s="25"/>
      <c r="R250" s="25"/>
      <c r="S250" s="25">
        <v>738.83718004440948</v>
      </c>
      <c r="T250" s="25">
        <v>355</v>
      </c>
      <c r="U250" s="25">
        <v>210000</v>
      </c>
      <c r="V250" s="25">
        <f t="shared" si="23"/>
        <v>8.7117405537348791</v>
      </c>
      <c r="W250" s="25">
        <v>4.5830099999999998</v>
      </c>
      <c r="X250" s="25"/>
      <c r="Y250" s="25"/>
      <c r="Z250" s="25"/>
      <c r="AA250" s="46"/>
      <c r="AB250" s="25">
        <v>0.35499999999999998</v>
      </c>
      <c r="AC250" s="47">
        <v>1.33</v>
      </c>
      <c r="AD250" s="25"/>
      <c r="AE250" s="25" t="s">
        <v>869</v>
      </c>
      <c r="AF250" s="48" t="s">
        <v>5</v>
      </c>
      <c r="AG250" s="47">
        <f t="shared" si="24"/>
        <v>3386.0981845153287</v>
      </c>
      <c r="AH250" s="47">
        <v>2422.6742468543816</v>
      </c>
      <c r="AI250" s="25">
        <f t="shared" si="25"/>
        <v>4.9249480206540097</v>
      </c>
      <c r="AJ250" s="47">
        <f t="shared" si="26"/>
        <v>1.33</v>
      </c>
      <c r="AK250" s="25">
        <f t="shared" si="27"/>
        <v>0.5260728291587129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1"/>
        <v>18131.148799999999</v>
      </c>
      <c r="M251" s="25"/>
      <c r="N251" s="25"/>
      <c r="O251" s="25"/>
      <c r="P251" s="25">
        <f t="shared" si="22"/>
        <v>296599421.04640174</v>
      </c>
      <c r="Q251" s="25"/>
      <c r="R251" s="25"/>
      <c r="S251" s="25">
        <v>509.81730404289794</v>
      </c>
      <c r="T251" s="25">
        <v>355</v>
      </c>
      <c r="U251" s="25">
        <v>210000</v>
      </c>
      <c r="V251" s="25">
        <f t="shared" si="23"/>
        <v>12.625224316549295</v>
      </c>
      <c r="W251" s="25">
        <v>4.3964999999999996</v>
      </c>
      <c r="X251" s="25"/>
      <c r="Y251" s="25"/>
      <c r="Z251" s="25"/>
      <c r="AA251" s="46"/>
      <c r="AB251" s="25">
        <v>0.35499999999999998</v>
      </c>
      <c r="AC251" s="47">
        <v>1.67</v>
      </c>
      <c r="AD251" s="25"/>
      <c r="AE251" s="25" t="s">
        <v>870</v>
      </c>
      <c r="AF251" s="48" t="s">
        <v>5</v>
      </c>
      <c r="AG251" s="47">
        <f t="shared" si="24"/>
        <v>2241.4117772246004</v>
      </c>
      <c r="AH251" s="47">
        <v>1707.6260754306461</v>
      </c>
      <c r="AI251" s="25">
        <f t="shared" si="25"/>
        <v>4.5269548268311155</v>
      </c>
      <c r="AJ251" s="47">
        <f t="shared" si="26"/>
        <v>1.6699999999999997</v>
      </c>
      <c r="AK251" s="25">
        <f t="shared" si="27"/>
        <v>0.34823143650897476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1"/>
        <v>18131.148799999999</v>
      </c>
      <c r="M252" s="25"/>
      <c r="N252" s="25"/>
      <c r="O252" s="25"/>
      <c r="P252" s="25">
        <f t="shared" si="22"/>
        <v>296599421.04640174</v>
      </c>
      <c r="Q252" s="25"/>
      <c r="R252" s="25"/>
      <c r="S252" s="25">
        <v>372.95042380290454</v>
      </c>
      <c r="T252" s="25">
        <v>355</v>
      </c>
      <c r="U252" s="25">
        <v>210000</v>
      </c>
      <c r="V252" s="25">
        <f t="shared" si="23"/>
        <v>17.258481055920633</v>
      </c>
      <c r="W252" s="25">
        <v>4.2612800000000002</v>
      </c>
      <c r="X252" s="25"/>
      <c r="Y252" s="25"/>
      <c r="Z252" s="25"/>
      <c r="AA252" s="46"/>
      <c r="AB252" s="25">
        <v>0.35499999999999998</v>
      </c>
      <c r="AC252" s="47">
        <v>2</v>
      </c>
      <c r="AD252" s="25"/>
      <c r="AE252" s="25" t="s">
        <v>871</v>
      </c>
      <c r="AF252" s="48" t="s">
        <v>5</v>
      </c>
      <c r="AG252" s="47">
        <f t="shared" si="24"/>
        <v>1589.2461819428411</v>
      </c>
      <c r="AH252" s="47">
        <v>1262.7472115430339</v>
      </c>
      <c r="AI252" s="25">
        <f t="shared" si="25"/>
        <v>4.3146202639801592</v>
      </c>
      <c r="AJ252" s="47">
        <f t="shared" si="26"/>
        <v>1.9999999999999998</v>
      </c>
      <c r="AK252" s="25">
        <f t="shared" si="27"/>
        <v>0.24690933032824117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1"/>
        <v>18131.148799999999</v>
      </c>
      <c r="M253" s="25"/>
      <c r="N253" s="25"/>
      <c r="O253" s="25"/>
      <c r="P253" s="25">
        <f t="shared" si="22"/>
        <v>296599421.04640174</v>
      </c>
      <c r="Q253" s="25"/>
      <c r="R253" s="25"/>
      <c r="S253" s="25">
        <v>249.60929746802586</v>
      </c>
      <c r="T253" s="25">
        <v>355</v>
      </c>
      <c r="U253" s="25">
        <v>210000</v>
      </c>
      <c r="V253" s="25">
        <f t="shared" si="23"/>
        <v>25.786530747415377</v>
      </c>
      <c r="W253" s="25">
        <v>4.1258100000000004</v>
      </c>
      <c r="X253" s="25"/>
      <c r="Y253" s="25"/>
      <c r="Z253" s="25"/>
      <c r="AA253" s="46"/>
      <c r="AB253" s="25">
        <v>0.35499999999999998</v>
      </c>
      <c r="AC253" s="47">
        <v>2.5</v>
      </c>
      <c r="AD253" s="25"/>
      <c r="AE253" s="25" t="s">
        <v>872</v>
      </c>
      <c r="AF253" s="48" t="s">
        <v>5</v>
      </c>
      <c r="AG253" s="47">
        <f t="shared" si="24"/>
        <v>1029.8405355865559</v>
      </c>
      <c r="AH253" s="47">
        <v>852.62753488850217</v>
      </c>
      <c r="AI253" s="25">
        <f t="shared" si="25"/>
        <v>4.1258449195864602</v>
      </c>
      <c r="AJ253" s="47">
        <f t="shared" si="26"/>
        <v>2.5</v>
      </c>
      <c r="AK253" s="25">
        <f t="shared" si="27"/>
        <v>0.15999864582068826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1"/>
        <v>12891.42</v>
      </c>
      <c r="M254" s="15"/>
      <c r="N254" s="15"/>
      <c r="O254" s="15"/>
      <c r="P254" s="15">
        <f t="shared" si="22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3"/>
        <v>2.9110852103280007</v>
      </c>
      <c r="W254" s="15">
        <v>3.72417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4"/>
        <v>5854.6871129466717</v>
      </c>
      <c r="AH254" s="17">
        <v>4343.7313170015586</v>
      </c>
      <c r="AI254" s="15">
        <f t="shared" si="25"/>
        <v>32.345391225866678</v>
      </c>
      <c r="AJ254" s="17">
        <f t="shared" si="26"/>
        <v>0.3</v>
      </c>
      <c r="AK254" s="15">
        <f t="shared" si="27"/>
        <v>1.2793064204329445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1"/>
        <v>12891.42</v>
      </c>
      <c r="M255" s="15"/>
      <c r="N255" s="15"/>
      <c r="O255" s="15"/>
      <c r="P255" s="15">
        <f t="shared" si="22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3"/>
        <v>3.3616121848830991</v>
      </c>
      <c r="W255" s="15">
        <v>4.0393499999999998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4"/>
        <v>5499.1173437449479</v>
      </c>
      <c r="AH255" s="17">
        <v>3857.9097567035624</v>
      </c>
      <c r="AI255" s="15">
        <f t="shared" si="25"/>
        <v>13.446448739532393</v>
      </c>
      <c r="AJ255" s="17">
        <f t="shared" si="26"/>
        <v>0.5</v>
      </c>
      <c r="AK255" s="15">
        <f t="shared" si="27"/>
        <v>1.2016109467250962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1"/>
        <v>12891.42</v>
      </c>
      <c r="M256" s="15"/>
      <c r="N256" s="15"/>
      <c r="O256" s="15"/>
      <c r="P256" s="15">
        <f t="shared" si="22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3"/>
        <v>4.2977460236700828</v>
      </c>
      <c r="W256" s="15">
        <v>4.4467100000000004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4"/>
        <v>4735.0783640846403</v>
      </c>
      <c r="AH256" s="17">
        <v>3173.9363281790424</v>
      </c>
      <c r="AI256" s="15">
        <f t="shared" si="25"/>
        <v>7.6404373754134793</v>
      </c>
      <c r="AJ256" s="17">
        <f t="shared" si="26"/>
        <v>0.75000000000000011</v>
      </c>
      <c r="AK256" s="15">
        <f t="shared" si="27"/>
        <v>1.0346609537905427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1"/>
        <v>12891.42</v>
      </c>
      <c r="M257" s="15"/>
      <c r="N257" s="15"/>
      <c r="O257" s="15"/>
      <c r="P257" s="15">
        <f t="shared" si="22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3"/>
        <v>5.8180859796910269</v>
      </c>
      <c r="W257" s="15">
        <v>4.69217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4"/>
        <v>3690.8187175909288</v>
      </c>
      <c r="AH257" s="17">
        <v>2471.0061748885573</v>
      </c>
      <c r="AI257" s="15">
        <f t="shared" si="25"/>
        <v>5.8180859796910251</v>
      </c>
      <c r="AJ257" s="17">
        <f t="shared" si="26"/>
        <v>1</v>
      </c>
      <c r="AK257" s="15">
        <f t="shared" si="27"/>
        <v>0.80648000328265701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1"/>
        <v>12891.42</v>
      </c>
      <c r="M258" s="15"/>
      <c r="N258" s="15"/>
      <c r="O258" s="15"/>
      <c r="P258" s="15">
        <f t="shared" si="22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3"/>
        <v>8.7117405537348755</v>
      </c>
      <c r="W258" s="15">
        <v>4.6032799999999998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4"/>
        <v>2418.1963982405714</v>
      </c>
      <c r="AH258" s="17">
        <v>1722.544532830899</v>
      </c>
      <c r="AI258" s="15">
        <f t="shared" si="25"/>
        <v>4.9249480206540079</v>
      </c>
      <c r="AJ258" s="17">
        <f t="shared" si="26"/>
        <v>1.33</v>
      </c>
      <c r="AK258" s="15">
        <f t="shared" si="27"/>
        <v>0.52839957429936235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1"/>
        <v>12891.42</v>
      </c>
      <c r="M259" s="15"/>
      <c r="N259" s="15"/>
      <c r="O259" s="15"/>
      <c r="P259" s="15">
        <f t="shared" si="22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3"/>
        <v>12.625224316549291</v>
      </c>
      <c r="W259" s="15">
        <v>4.4178499999999996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4"/>
        <v>1601.4042395415415</v>
      </c>
      <c r="AH259" s="17">
        <v>1214.1384522379599</v>
      </c>
      <c r="AI259" s="15">
        <f t="shared" si="25"/>
        <v>4.5269548268311137</v>
      </c>
      <c r="AJ259" s="17">
        <f t="shared" si="26"/>
        <v>1.67</v>
      </c>
      <c r="AK259" s="15">
        <f t="shared" si="27"/>
        <v>0.34992249557174443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1"/>
        <v>12891.42</v>
      </c>
      <c r="M260" s="15"/>
      <c r="N260" s="15"/>
      <c r="O260" s="15"/>
      <c r="P260" s="15">
        <f t="shared" si="22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3"/>
        <v>17.25848105592063</v>
      </c>
      <c r="W260" s="15">
        <v>4.28294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4"/>
        <v>1135.7128277711245</v>
      </c>
      <c r="AH260" s="17">
        <v>897.82533017599519</v>
      </c>
      <c r="AI260" s="15">
        <f t="shared" si="25"/>
        <v>4.3146202639801565</v>
      </c>
      <c r="AJ260" s="17">
        <f t="shared" si="26"/>
        <v>2</v>
      </c>
      <c r="AK260" s="15">
        <f t="shared" si="27"/>
        <v>0.24816436545733617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1"/>
        <v>12891.42</v>
      </c>
      <c r="M261" s="15"/>
      <c r="N261" s="15"/>
      <c r="O261" s="15"/>
      <c r="P261" s="15">
        <f t="shared" si="22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3"/>
        <v>25.78653074741537</v>
      </c>
      <c r="W261" s="15">
        <v>4.14757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4"/>
        <v>736.08830584701718</v>
      </c>
      <c r="AH261" s="17">
        <v>606.22632228424141</v>
      </c>
      <c r="AI261" s="15">
        <f t="shared" si="25"/>
        <v>4.1258449195864584</v>
      </c>
      <c r="AJ261" s="17">
        <f t="shared" si="26"/>
        <v>2.5</v>
      </c>
      <c r="AK261" s="15">
        <f t="shared" si="27"/>
        <v>0.16084249721788257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1"/>
        <v>10789.875</v>
      </c>
      <c r="M262" s="15"/>
      <c r="N262" s="15"/>
      <c r="O262" s="15"/>
      <c r="P262" s="15">
        <f t="shared" si="22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3"/>
        <v>2.8911870903522612</v>
      </c>
      <c r="W262" s="15">
        <v>3.6962600000000001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4"/>
        <v>4897.0110383750616</v>
      </c>
      <c r="AH262" s="17">
        <v>3635.621052144154</v>
      </c>
      <c r="AI262" s="15">
        <f t="shared" si="25"/>
        <v>32.124301003914006</v>
      </c>
      <c r="AJ262" s="17">
        <f t="shared" si="26"/>
        <v>0.30000000000000004</v>
      </c>
      <c r="AK262" s="15">
        <f t="shared" si="27"/>
        <v>1.2784575624089582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8">2*C263*F263+(E263-2*F263)*H263</f>
        <v>10789.875</v>
      </c>
      <c r="M263" s="15"/>
      <c r="N263" s="15"/>
      <c r="O263" s="15"/>
      <c r="P263" s="15">
        <f t="shared" ref="P263:P293" si="29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0">L263*T263/(S263*1000)</f>
        <v>3.3122797553375851</v>
      </c>
      <c r="W263" s="15">
        <v>4.0148200000000003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31">W263*S263</f>
        <v>4642.8412595829022</v>
      </c>
      <c r="AH263" s="17">
        <v>3228.9975841382748</v>
      </c>
      <c r="AI263" s="15">
        <f t="shared" ref="AI263:AI293" si="32">(PI()^2*U263*P263/K263^2)/(S263*1000)</f>
        <v>13.249119021350337</v>
      </c>
      <c r="AJ263" s="17">
        <f t="shared" ref="AJ263:AJ293" si="33">(V263/AI263)^0.5</f>
        <v>0.5</v>
      </c>
      <c r="AK263" s="15">
        <f t="shared" ref="AK263:AK293" si="34">W263/V263</f>
        <v>1.2121017234520437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8"/>
        <v>10789.875</v>
      </c>
      <c r="M264" s="15"/>
      <c r="N264" s="15"/>
      <c r="O264" s="15"/>
      <c r="P264" s="15">
        <f t="shared" si="29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0"/>
        <v>4.1691232378070389</v>
      </c>
      <c r="W264" s="15">
        <v>4.4275099999999998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31"/>
        <v>4067.7999285202891</v>
      </c>
      <c r="AH264" s="17">
        <v>2656.5247458395461</v>
      </c>
      <c r="AI264" s="15">
        <f t="shared" si="32"/>
        <v>7.4117746449902908</v>
      </c>
      <c r="AJ264" s="17">
        <f t="shared" si="33"/>
        <v>0.75</v>
      </c>
      <c r="AK264" s="15">
        <f t="shared" si="34"/>
        <v>1.0619762831306643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8"/>
        <v>10789.875</v>
      </c>
      <c r="M265" s="15"/>
      <c r="N265" s="15"/>
      <c r="O265" s="15"/>
      <c r="P265" s="15">
        <f t="shared" si="29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0"/>
        <v>5.5595153970707152</v>
      </c>
      <c r="W265" s="15">
        <v>4.6842300000000003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31"/>
        <v>3227.3498064683076</v>
      </c>
      <c r="AH265" s="17">
        <v>2068.1854870352267</v>
      </c>
      <c r="AI265" s="15">
        <f t="shared" si="32"/>
        <v>5.5595153970707143</v>
      </c>
      <c r="AJ265" s="17">
        <f t="shared" si="33"/>
        <v>1</v>
      </c>
      <c r="AK265" s="15">
        <f t="shared" si="34"/>
        <v>0.84256084666445952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8"/>
        <v>10789.875</v>
      </c>
      <c r="M266" s="15"/>
      <c r="N266" s="15"/>
      <c r="O266" s="15"/>
      <c r="P266" s="15">
        <f t="shared" si="29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0"/>
        <v>8.230125332653234</v>
      </c>
      <c r="W266" s="15">
        <v>4.6084899999999998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31"/>
        <v>2144.8502064385279</v>
      </c>
      <c r="AH266" s="17">
        <v>1441.7372322970468</v>
      </c>
      <c r="AI266" s="15">
        <f t="shared" si="32"/>
        <v>4.6526798194659005</v>
      </c>
      <c r="AJ266" s="17">
        <f t="shared" si="33"/>
        <v>1.3300000000000003</v>
      </c>
      <c r="AK266" s="15">
        <f t="shared" si="34"/>
        <v>0.55995380552902363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8"/>
        <v>10789.875</v>
      </c>
      <c r="M267" s="15"/>
      <c r="N267" s="15"/>
      <c r="O267" s="15"/>
      <c r="P267" s="15">
        <f t="shared" si="29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0"/>
        <v>11.862065132834765</v>
      </c>
      <c r="W267" s="15">
        <v>4.42774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31"/>
        <v>1429.7712929506092</v>
      </c>
      <c r="AH267" s="17">
        <v>1016.210947462813</v>
      </c>
      <c r="AI267" s="15">
        <f t="shared" si="32"/>
        <v>4.2533131818404275</v>
      </c>
      <c r="AJ267" s="17">
        <f t="shared" si="33"/>
        <v>1.6699999999999997</v>
      </c>
      <c r="AK267" s="15">
        <f t="shared" si="34"/>
        <v>0.37326889967445914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8"/>
        <v>10789.875</v>
      </c>
      <c r="M268" s="15"/>
      <c r="N268" s="15"/>
      <c r="O268" s="15"/>
      <c r="P268" s="15">
        <f t="shared" si="29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0"/>
        <v>16.170215908836894</v>
      </c>
      <c r="W268" s="15">
        <v>4.29467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31"/>
        <v>1017.3227258226513</v>
      </c>
      <c r="AH268" s="17">
        <v>751.46283996896477</v>
      </c>
      <c r="AI268" s="15">
        <f t="shared" si="32"/>
        <v>4.0425539772092227</v>
      </c>
      <c r="AJ268" s="17">
        <f t="shared" si="33"/>
        <v>2</v>
      </c>
      <c r="AK268" s="15">
        <f t="shared" si="34"/>
        <v>0.26559138258957921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8"/>
        <v>10789.875</v>
      </c>
      <c r="M269" s="15"/>
      <c r="N269" s="15"/>
      <c r="O269" s="15"/>
      <c r="P269" s="15">
        <f t="shared" si="29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0"/>
        <v>24.105129959147668</v>
      </c>
      <c r="W269" s="15">
        <v>4.1603700000000003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31"/>
        <v>661.10013416599429</v>
      </c>
      <c r="AH269" s="17">
        <v>507.39997914556182</v>
      </c>
      <c r="AI269" s="15">
        <f t="shared" si="32"/>
        <v>3.8568207934636272</v>
      </c>
      <c r="AJ269" s="17">
        <f t="shared" si="33"/>
        <v>2.5</v>
      </c>
      <c r="AK269" s="15">
        <f t="shared" si="34"/>
        <v>0.17259272225666553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8"/>
        <v>8214.7431679999991</v>
      </c>
      <c r="M270" s="15"/>
      <c r="N270" s="15"/>
      <c r="O270" s="15"/>
      <c r="P270" s="15">
        <f t="shared" si="29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0"/>
        <v>2.8446831395789016</v>
      </c>
      <c r="W270" s="15">
        <v>3.5057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31"/>
        <v>3593.8768634013213</v>
      </c>
      <c r="AH270" s="17">
        <v>2804.879544008154</v>
      </c>
      <c r="AI270" s="15">
        <f t="shared" si="32"/>
        <v>31.607590439765573</v>
      </c>
      <c r="AJ270" s="17">
        <f t="shared" si="33"/>
        <v>0.3</v>
      </c>
      <c r="AK270" s="15">
        <f t="shared" si="34"/>
        <v>1.2323692404346125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8"/>
        <v>8214.7431679999991</v>
      </c>
      <c r="M271" s="15"/>
      <c r="N271" s="15"/>
      <c r="O271" s="15"/>
      <c r="P271" s="15">
        <f t="shared" si="29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0"/>
        <v>3.2015814648520129</v>
      </c>
      <c r="W271" s="15">
        <v>3.7813500000000002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31"/>
        <v>3444.3292772224304</v>
      </c>
      <c r="AH271" s="17">
        <v>2525.1386907777101</v>
      </c>
      <c r="AI271" s="15">
        <f t="shared" si="32"/>
        <v>12.806325859408053</v>
      </c>
      <c r="AJ271" s="17">
        <f t="shared" si="33"/>
        <v>0.5</v>
      </c>
      <c r="AK271" s="15">
        <f t="shared" si="34"/>
        <v>1.1810881720527409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8"/>
        <v>8214.7431679999991</v>
      </c>
      <c r="M272" s="15"/>
      <c r="N272" s="15"/>
      <c r="O272" s="15"/>
      <c r="P272" s="15">
        <f t="shared" si="29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0"/>
        <v>3.8882369295280319</v>
      </c>
      <c r="W272" s="15">
        <v>4.1646099999999997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31"/>
        <v>3123.5176169956776</v>
      </c>
      <c r="AH272" s="17">
        <v>2135.33388901322</v>
      </c>
      <c r="AI272" s="15">
        <f t="shared" si="32"/>
        <v>6.9124212080498344</v>
      </c>
      <c r="AJ272" s="17">
        <f t="shared" si="33"/>
        <v>0.75</v>
      </c>
      <c r="AK272" s="15">
        <f t="shared" si="34"/>
        <v>1.0710792771842519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8"/>
        <v>8214.7431679999991</v>
      </c>
      <c r="M273" s="15"/>
      <c r="N273" s="15"/>
      <c r="O273" s="15"/>
      <c r="P273" s="15">
        <f t="shared" si="29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0"/>
        <v>4.9894858845790759</v>
      </c>
      <c r="W273" s="15">
        <v>4.4014899999999999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31"/>
        <v>2572.5644512766398</v>
      </c>
      <c r="AH273" s="17">
        <v>1718.7553355681105</v>
      </c>
      <c r="AI273" s="15">
        <f t="shared" si="32"/>
        <v>4.9894858845790768</v>
      </c>
      <c r="AJ273" s="17">
        <f t="shared" si="33"/>
        <v>0.99999999999999989</v>
      </c>
      <c r="AK273" s="15">
        <f t="shared" si="34"/>
        <v>0.88215301171682126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8"/>
        <v>8214.7431679999991</v>
      </c>
      <c r="M274" s="15"/>
      <c r="N274" s="15"/>
      <c r="O274" s="15"/>
      <c r="P274" s="15">
        <f t="shared" si="29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0"/>
        <v>7.1511521922535621</v>
      </c>
      <c r="W274" s="15">
        <v>4.3392900000000001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31"/>
        <v>1769.5587973403617</v>
      </c>
      <c r="AH274" s="17">
        <v>1237.8619461624439</v>
      </c>
      <c r="AI274" s="15">
        <f t="shared" si="32"/>
        <v>4.0427113981873264</v>
      </c>
      <c r="AJ274" s="17">
        <f t="shared" si="33"/>
        <v>1.33</v>
      </c>
      <c r="AK274" s="15">
        <f t="shared" si="34"/>
        <v>0.60679592369751367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8"/>
        <v>8214.7431679999991</v>
      </c>
      <c r="M275" s="15"/>
      <c r="N275" s="15"/>
      <c r="O275" s="15"/>
      <c r="P275" s="15">
        <f t="shared" si="29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0"/>
        <v>10.140956944938353</v>
      </c>
      <c r="W275" s="15">
        <v>4.1644199999999998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31"/>
        <v>1197.5617813927256</v>
      </c>
      <c r="AH275" s="17">
        <v>888.10027026159901</v>
      </c>
      <c r="AI275" s="15">
        <f t="shared" si="32"/>
        <v>3.6361852145786351</v>
      </c>
      <c r="AJ275" s="17">
        <f t="shared" si="33"/>
        <v>1.6699999999999997</v>
      </c>
      <c r="AK275" s="15">
        <f t="shared" si="34"/>
        <v>0.41065355297446393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8"/>
        <v>8214.7431679999991</v>
      </c>
      <c r="M276" s="15"/>
      <c r="N276" s="15"/>
      <c r="O276" s="15"/>
      <c r="P276" s="15">
        <f t="shared" si="29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0"/>
        <v>13.71051354620892</v>
      </c>
      <c r="W276" s="15">
        <v>4.03444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31"/>
        <v>858.1276224138104</v>
      </c>
      <c r="AH276" s="17">
        <v>662.73183271056735</v>
      </c>
      <c r="AI276" s="15">
        <f t="shared" si="32"/>
        <v>3.4276283865522306</v>
      </c>
      <c r="AJ276" s="17">
        <f t="shared" si="33"/>
        <v>2</v>
      </c>
      <c r="AK276" s="15">
        <f t="shared" si="34"/>
        <v>0.29425885371854349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8"/>
        <v>8214.7431679999991</v>
      </c>
      <c r="M277" s="15"/>
      <c r="N277" s="15"/>
      <c r="O277" s="15"/>
      <c r="P277" s="15">
        <f t="shared" si="29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0"/>
        <v>20.301520490919771</v>
      </c>
      <c r="W277" s="15">
        <v>3.9036400000000002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31"/>
        <v>560.74258143912732</v>
      </c>
      <c r="AH277" s="17">
        <v>450.77963648270901</v>
      </c>
      <c r="AI277" s="15">
        <f t="shared" si="32"/>
        <v>3.2482432785471631</v>
      </c>
      <c r="AJ277" s="17">
        <f t="shared" si="33"/>
        <v>2.5</v>
      </c>
      <c r="AK277" s="15">
        <f t="shared" si="34"/>
        <v>0.19228313474086708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8"/>
        <v>5956.734199999999</v>
      </c>
      <c r="M278" s="15"/>
      <c r="N278" s="15"/>
      <c r="O278" s="15"/>
      <c r="P278" s="15">
        <f t="shared" si="29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0"/>
        <v>2.7906738114181695</v>
      </c>
      <c r="W278" s="15">
        <v>2.9887999999999999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31"/>
        <v>2264.7712971545643</v>
      </c>
      <c r="AH278" s="17">
        <v>2067.8430712119402</v>
      </c>
      <c r="AI278" s="15">
        <f t="shared" si="32"/>
        <v>31.007486793535218</v>
      </c>
      <c r="AJ278" s="17">
        <f t="shared" si="33"/>
        <v>0.3</v>
      </c>
      <c r="AK278" s="15">
        <f t="shared" si="34"/>
        <v>1.0709958246539557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8"/>
        <v>5956.734199999999</v>
      </c>
      <c r="M279" s="15"/>
      <c r="N279" s="15"/>
      <c r="O279" s="15"/>
      <c r="P279" s="15">
        <f t="shared" si="29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0"/>
        <v>3.0809170507267503</v>
      </c>
      <c r="W279" s="15">
        <v>3.19211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31"/>
        <v>2190.9598426060284</v>
      </c>
      <c r="AH279" s="17">
        <v>1890.963876434048</v>
      </c>
      <c r="AI279" s="15">
        <f t="shared" si="32"/>
        <v>12.323668202906997</v>
      </c>
      <c r="AJ279" s="17">
        <f t="shared" si="33"/>
        <v>0.5</v>
      </c>
      <c r="AK279" s="15">
        <f t="shared" si="34"/>
        <v>1.0360908610788533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8"/>
        <v>5956.734199999999</v>
      </c>
      <c r="M280" s="15"/>
      <c r="N280" s="15"/>
      <c r="O280" s="15"/>
      <c r="P280" s="15">
        <f t="shared" si="29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0"/>
        <v>3.5986891981251095</v>
      </c>
      <c r="W280" s="15">
        <v>3.4209499999999999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31"/>
        <v>2010.1985758030596</v>
      </c>
      <c r="AH280" s="17">
        <v>1649.7885578004339</v>
      </c>
      <c r="AI280" s="15">
        <f t="shared" si="32"/>
        <v>6.3976696855557487</v>
      </c>
      <c r="AJ280" s="17">
        <f t="shared" si="33"/>
        <v>0.75000000000000011</v>
      </c>
      <c r="AK280" s="15">
        <f t="shared" si="34"/>
        <v>0.95061001705351211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8"/>
        <v>5956.734199999999</v>
      </c>
      <c r="M281" s="15"/>
      <c r="N281" s="15"/>
      <c r="O281" s="15"/>
      <c r="P281" s="15">
        <f t="shared" si="29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0"/>
        <v>4.3997247670094577</v>
      </c>
      <c r="W281" s="15">
        <v>3.5671900000000001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31"/>
        <v>1714.4992806666112</v>
      </c>
      <c r="AH281" s="17">
        <v>1384.6930686849744</v>
      </c>
      <c r="AI281" s="15">
        <f t="shared" si="32"/>
        <v>4.3997247670094568</v>
      </c>
      <c r="AJ281" s="17">
        <f t="shared" si="33"/>
        <v>1</v>
      </c>
      <c r="AK281" s="15">
        <f t="shared" si="34"/>
        <v>0.81077571641479274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8"/>
        <v>5956.734199999999</v>
      </c>
      <c r="M282" s="15"/>
      <c r="N282" s="15"/>
      <c r="O282" s="15"/>
      <c r="P282" s="15">
        <f t="shared" si="29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0"/>
        <v>6.0024172991011691</v>
      </c>
      <c r="W282" s="15">
        <v>3.5343200000000001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31"/>
        <v>1245.1344746421221</v>
      </c>
      <c r="AH282" s="17">
        <v>1047.2396604996427</v>
      </c>
      <c r="AI282" s="15">
        <f t="shared" si="32"/>
        <v>3.3933050478269933</v>
      </c>
      <c r="AJ282" s="17">
        <f t="shared" si="33"/>
        <v>1.33</v>
      </c>
      <c r="AK282" s="15">
        <f t="shared" si="34"/>
        <v>0.58881610922473626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8"/>
        <v>5956.734199999999</v>
      </c>
      <c r="M283" s="15"/>
      <c r="N283" s="15"/>
      <c r="O283" s="15"/>
      <c r="P283" s="15">
        <f t="shared" si="29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0"/>
        <v>8.280673684824535</v>
      </c>
      <c r="W283" s="15">
        <v>3.3925999999999998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31"/>
        <v>866.37031136780229</v>
      </c>
      <c r="AH283" s="17">
        <v>774.36690657034842</v>
      </c>
      <c r="AI283" s="15">
        <f t="shared" si="32"/>
        <v>2.9691540337855553</v>
      </c>
      <c r="AJ283" s="17">
        <f t="shared" si="33"/>
        <v>1.67</v>
      </c>
      <c r="AK283" s="15">
        <f t="shared" si="34"/>
        <v>0.40970096505763809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8"/>
        <v>5956.734199999999</v>
      </c>
      <c r="M284" s="15"/>
      <c r="N284" s="15"/>
      <c r="O284" s="15"/>
      <c r="P284" s="15">
        <f t="shared" si="29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0"/>
        <v>11.036973934902585</v>
      </c>
      <c r="W284" s="15">
        <v>3.2807900000000001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31"/>
        <v>628.58641412997258</v>
      </c>
      <c r="AH284" s="17">
        <v>587.23834536877882</v>
      </c>
      <c r="AI284" s="15">
        <f t="shared" si="32"/>
        <v>2.7592434837256459</v>
      </c>
      <c r="AJ284" s="17">
        <f t="shared" si="33"/>
        <v>2</v>
      </c>
      <c r="AK284" s="15">
        <f t="shared" si="34"/>
        <v>0.29725448473018951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8"/>
        <v>5956.734199999999</v>
      </c>
      <c r="M285" s="15"/>
      <c r="N285" s="15"/>
      <c r="O285" s="15"/>
      <c r="P285" s="15">
        <f t="shared" si="29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0"/>
        <v>16.156501607500473</v>
      </c>
      <c r="W285" s="15">
        <v>3.1668400000000001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31"/>
        <v>414.49125127654861</v>
      </c>
      <c r="AH285" s="17">
        <v>404.62332413956238</v>
      </c>
      <c r="AI285" s="15">
        <f t="shared" si="32"/>
        <v>2.5850402572000752</v>
      </c>
      <c r="AJ285" s="17">
        <f t="shared" si="33"/>
        <v>2.5</v>
      </c>
      <c r="AK285" s="15">
        <f t="shared" si="34"/>
        <v>0.19601025500036656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8"/>
        <v>4372.38</v>
      </c>
      <c r="M286" s="15"/>
      <c r="N286" s="15"/>
      <c r="O286" s="15"/>
      <c r="P286" s="15">
        <f t="shared" si="29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0"/>
        <v>2.7431735379410425</v>
      </c>
      <c r="W286" s="15">
        <v>2.61165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31"/>
        <v>1477.7737370664759</v>
      </c>
      <c r="AH286" s="17">
        <v>1541.2741945736698</v>
      </c>
      <c r="AI286" s="15">
        <f t="shared" si="32"/>
        <v>30.479705977122688</v>
      </c>
      <c r="AJ286" s="17">
        <f t="shared" si="33"/>
        <v>0.30000000000000004</v>
      </c>
      <c r="AK286" s="15">
        <f t="shared" si="34"/>
        <v>0.95205424078282674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8"/>
        <v>4372.38</v>
      </c>
      <c r="M287" s="15"/>
      <c r="N287" s="15"/>
      <c r="O287" s="15"/>
      <c r="P287" s="15">
        <f t="shared" si="29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0"/>
        <v>2.9814083581291553</v>
      </c>
      <c r="W287" s="15">
        <v>2.7257500000000001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31"/>
        <v>1419.0928381678996</v>
      </c>
      <c r="AH287" s="17">
        <v>1428.3016898637995</v>
      </c>
      <c r="AI287" s="15">
        <f t="shared" si="32"/>
        <v>11.925633432516623</v>
      </c>
      <c r="AJ287" s="17">
        <f t="shared" si="33"/>
        <v>0.5</v>
      </c>
      <c r="AK287" s="15">
        <f t="shared" si="34"/>
        <v>0.91424913080689763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8"/>
        <v>4372.38</v>
      </c>
      <c r="M288" s="15"/>
      <c r="N288" s="15"/>
      <c r="O288" s="15"/>
      <c r="P288" s="15">
        <f t="shared" si="29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0"/>
        <v>3.3767959281699285</v>
      </c>
      <c r="W288" s="15">
        <v>2.8110300000000001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31"/>
        <v>1292.1321046817582</v>
      </c>
      <c r="AH288" s="17">
        <v>1278.2236339801821</v>
      </c>
      <c r="AI288" s="15">
        <f t="shared" si="32"/>
        <v>6.0031927611909834</v>
      </c>
      <c r="AJ288" s="17">
        <f t="shared" si="33"/>
        <v>0.75</v>
      </c>
      <c r="AK288" s="15">
        <f t="shared" si="34"/>
        <v>0.83245480621135792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8"/>
        <v>4372.38</v>
      </c>
      <c r="M289" s="15"/>
      <c r="N289" s="15"/>
      <c r="O289" s="15"/>
      <c r="P289" s="15">
        <f t="shared" si="29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0"/>
        <v>3.9559304461454823</v>
      </c>
      <c r="W289" s="15">
        <v>2.7968299999999999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31"/>
        <v>1097.3967619670705</v>
      </c>
      <c r="AH289" s="17">
        <v>1112.6517344021763</v>
      </c>
      <c r="AI289" s="15">
        <f t="shared" si="32"/>
        <v>3.9559304461454827</v>
      </c>
      <c r="AJ289" s="17">
        <f t="shared" si="33"/>
        <v>1</v>
      </c>
      <c r="AK289" s="15">
        <f t="shared" si="34"/>
        <v>0.70699675792458172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8"/>
        <v>4372.38</v>
      </c>
      <c r="M290" s="15"/>
      <c r="N290" s="15"/>
      <c r="O290" s="15"/>
      <c r="P290" s="15">
        <f t="shared" si="29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0"/>
        <v>5.1132167736268945</v>
      </c>
      <c r="W290" s="15">
        <v>2.69272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31"/>
        <v>817.41620513446719</v>
      </c>
      <c r="AH290" s="17">
        <v>885.89345278992414</v>
      </c>
      <c r="AI290" s="15">
        <f t="shared" si="32"/>
        <v>2.8906194661240843</v>
      </c>
      <c r="AJ290" s="17">
        <f t="shared" si="33"/>
        <v>1.3300000000000003</v>
      </c>
      <c r="AK290" s="15">
        <f t="shared" si="34"/>
        <v>0.52661956635372731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8"/>
        <v>4372.38</v>
      </c>
      <c r="M291" s="15"/>
      <c r="N291" s="15"/>
      <c r="O291" s="15"/>
      <c r="P291" s="15">
        <f t="shared" si="29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0"/>
        <v>6.805678519766702</v>
      </c>
      <c r="W291" s="15">
        <v>2.5809799999999998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31"/>
        <v>588.65313449147925</v>
      </c>
      <c r="AH291" s="17">
        <v>680.61378951775089</v>
      </c>
      <c r="AI291" s="15">
        <f t="shared" si="32"/>
        <v>2.4402734123728722</v>
      </c>
      <c r="AJ291" s="17">
        <f t="shared" si="33"/>
        <v>1.67</v>
      </c>
      <c r="AK291" s="15">
        <f t="shared" si="34"/>
        <v>0.37923918864279171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8"/>
        <v>4372.38</v>
      </c>
      <c r="M292" s="15"/>
      <c r="N292" s="15"/>
      <c r="O292" s="15"/>
      <c r="P292" s="15">
        <f t="shared" si="29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0"/>
        <v>8.8944325223111029</v>
      </c>
      <c r="W292" s="15">
        <v>2.5017399999999999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31"/>
        <v>436.58637685825113</v>
      </c>
      <c r="AH292" s="17">
        <v>527.71404147143915</v>
      </c>
      <c r="AI292" s="15">
        <f t="shared" si="32"/>
        <v>2.2236081305777762</v>
      </c>
      <c r="AJ292" s="17">
        <f t="shared" si="33"/>
        <v>1.9999999999999998</v>
      </c>
      <c r="AK292" s="15">
        <f t="shared" si="34"/>
        <v>0.28127033329271411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28"/>
        <v>4372.38</v>
      </c>
      <c r="M293" s="42"/>
      <c r="N293" s="42"/>
      <c r="O293" s="42"/>
      <c r="P293" s="42">
        <f t="shared" si="29"/>
        <v>80673246.275399998</v>
      </c>
      <c r="Q293" s="42"/>
      <c r="R293" s="42"/>
      <c r="S293" s="42">
        <v>121.11730518961791</v>
      </c>
      <c r="T293" s="42">
        <v>355</v>
      </c>
      <c r="U293" s="42">
        <v>210000</v>
      </c>
      <c r="V293" s="42">
        <f t="shared" si="30"/>
        <v>12.815632725397306</v>
      </c>
      <c r="W293" s="42">
        <v>2.42503</v>
      </c>
      <c r="X293" s="42"/>
      <c r="Y293" s="42"/>
      <c r="Z293" s="42"/>
      <c r="AA293" s="41"/>
      <c r="AB293" s="42">
        <v>1.5093980321271014</v>
      </c>
      <c r="AC293" s="43">
        <v>2.5</v>
      </c>
      <c r="AD293" s="42"/>
      <c r="AE293" s="42" t="s">
        <v>912</v>
      </c>
      <c r="AF293" s="44" t="s">
        <v>5</v>
      </c>
      <c r="AG293" s="43">
        <f t="shared" si="31"/>
        <v>293.71309860397912</v>
      </c>
      <c r="AH293" s="43">
        <v>370.25188473625445</v>
      </c>
      <c r="AI293" s="42">
        <f t="shared" si="32"/>
        <v>2.0505012360635688</v>
      </c>
      <c r="AJ293" s="43">
        <f t="shared" si="33"/>
        <v>2.5</v>
      </c>
      <c r="AK293" s="42">
        <f t="shared" si="34"/>
        <v>0.18922436776720442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Read_Filename_dat">
                <anchor moveWithCells="1" sizeWithCells="1">
                  <from>
                    <xdr:col>19</xdr:col>
                    <xdr:colOff>142875</xdr:colOff>
                    <xdr:row>1</xdr:row>
                    <xdr:rowOff>9525</xdr:rowOff>
                  </from>
                  <to>
                    <xdr:col>22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08C7-8124-431F-96F9-4CDA62C16E18}">
  <sheetPr codeName="Sheet6"/>
  <dimension ref="A1:AP297"/>
  <sheetViews>
    <sheetView tabSelected="1" zoomScale="90" zoomScaleNormal="90" workbookViewId="0">
      <pane ySplit="5" topLeftCell="A160" activePane="bottomLeft" state="frozen"/>
      <selection pane="bottomLeft" activeCell="T183" sqref="T18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7.28515625" style="5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66"/>
    <col min="36" max="36" width="13.5703125" style="5" bestFit="1" customWidth="1"/>
    <col min="37" max="41" width="9.140625" style="5"/>
    <col min="42" max="42" width="14" style="5" bestFit="1" customWidth="1"/>
    <col min="43" max="16384" width="9.140625" style="5"/>
  </cols>
  <sheetData>
    <row r="1" spans="1:42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I1" s="61"/>
    </row>
    <row r="2" spans="1:42" s="1" customFormat="1" ht="14.65" customHeight="1">
      <c r="I2" s="78" t="s">
        <v>0</v>
      </c>
      <c r="J2" s="7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I2" s="61"/>
    </row>
    <row r="3" spans="1:42" s="1" customFormat="1" ht="15.4" customHeight="1">
      <c r="I3" s="80" t="s">
        <v>1</v>
      </c>
      <c r="J3" s="81"/>
      <c r="K3" s="13" t="s">
        <v>1211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  <c r="AI3" s="61"/>
    </row>
    <row r="4" spans="1:42" ht="29.25" customHeight="1">
      <c r="A4" s="25"/>
      <c r="B4" s="77" t="s">
        <v>26</v>
      </c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26" t="s">
        <v>27</v>
      </c>
      <c r="T4" s="82" t="s">
        <v>30</v>
      </c>
      <c r="U4" s="82"/>
      <c r="V4" s="82" t="s">
        <v>515</v>
      </c>
      <c r="W4" s="82"/>
      <c r="X4" s="82"/>
      <c r="Y4" s="82"/>
      <c r="Z4" s="82"/>
      <c r="AA4" s="82"/>
      <c r="AB4" s="82"/>
      <c r="AC4" s="82"/>
      <c r="AD4" s="82"/>
      <c r="AE4" s="77" t="s">
        <v>3</v>
      </c>
      <c r="AF4" s="77" t="s">
        <v>4</v>
      </c>
      <c r="AG4" s="77" t="s">
        <v>224</v>
      </c>
      <c r="AH4" s="77" t="s">
        <v>225</v>
      </c>
      <c r="AI4" s="83" t="s">
        <v>1115</v>
      </c>
      <c r="AJ4" s="77" t="s">
        <v>517</v>
      </c>
      <c r="AK4" s="77" t="s">
        <v>516</v>
      </c>
      <c r="AL4" s="77" t="s">
        <v>913</v>
      </c>
      <c r="AM4" s="76" t="s">
        <v>918</v>
      </c>
      <c r="AN4" s="76" t="s">
        <v>919</v>
      </c>
    </row>
    <row r="5" spans="1:42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77"/>
      <c r="AF5" s="77"/>
      <c r="AG5" s="77"/>
      <c r="AH5" s="77"/>
      <c r="AI5" s="83"/>
      <c r="AJ5" s="77"/>
      <c r="AK5" s="77"/>
      <c r="AL5" s="77"/>
      <c r="AM5" s="76"/>
      <c r="AN5" s="76"/>
      <c r="AO5" s="1" t="s">
        <v>36</v>
      </c>
      <c r="AP5" s="1" t="s">
        <v>1115</v>
      </c>
    </row>
    <row r="6" spans="1:42" ht="15">
      <c r="A6" s="15">
        <v>1</v>
      </c>
      <c r="B6" s="20" t="s">
        <v>1019</v>
      </c>
      <c r="C6" s="20">
        <v>100</v>
      </c>
      <c r="D6" s="15">
        <v>100</v>
      </c>
      <c r="E6" s="15">
        <v>100</v>
      </c>
      <c r="F6" s="15">
        <v>10</v>
      </c>
      <c r="G6" s="15">
        <v>10</v>
      </c>
      <c r="H6" s="15">
        <v>6</v>
      </c>
      <c r="I6" s="15">
        <v>12</v>
      </c>
      <c r="J6" s="15">
        <v>12</v>
      </c>
      <c r="K6" s="15">
        <v>686.44581645644178</v>
      </c>
      <c r="L6" s="15">
        <v>2540</v>
      </c>
      <c r="M6" s="15"/>
      <c r="N6" s="15"/>
      <c r="O6" s="15"/>
      <c r="P6" s="15">
        <v>4414500</v>
      </c>
      <c r="Q6" s="15"/>
      <c r="R6" s="15"/>
      <c r="S6" s="21">
        <v>464.05191613013022</v>
      </c>
      <c r="T6" s="15">
        <v>690</v>
      </c>
      <c r="U6" s="15">
        <v>210000</v>
      </c>
      <c r="V6" s="15">
        <f>L6*T6/(S6*1000)</f>
        <v>3.7767326005578497</v>
      </c>
      <c r="W6" s="15">
        <v>4.1281800000000004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923</v>
      </c>
      <c r="AF6" s="22" t="s">
        <v>5</v>
      </c>
      <c r="AG6" s="17">
        <f>W6*S6</f>
        <v>1915.6898391300813</v>
      </c>
      <c r="AH6" s="17">
        <v>11732.748093205439</v>
      </c>
      <c r="AI6" s="62">
        <v>41.842870074695597</v>
      </c>
      <c r="AJ6" s="17">
        <f>(V6/AI6)^0.5</f>
        <v>0.30043282782211023</v>
      </c>
      <c r="AK6" s="15">
        <f>W6/V6</f>
        <v>1.0930559392503032</v>
      </c>
      <c r="AL6" s="56">
        <v>26.521000000000001</v>
      </c>
      <c r="AM6">
        <f>AI6</f>
        <v>41.842870074695597</v>
      </c>
      <c r="AN6" s="57">
        <f t="shared" ref="AN6:AN37" si="0">AI6/AM6</f>
        <v>1</v>
      </c>
      <c r="AO6" s="5">
        <f t="shared" ref="AO6:AO37" si="1">E6/C6</f>
        <v>1</v>
      </c>
      <c r="AP6" s="5">
        <f t="shared" ref="AP6:AP69" si="2">(PI()^2*U6*P6/K6^2)/(S6*1000)</f>
        <v>41.842870074695597</v>
      </c>
    </row>
    <row r="7" spans="1:42" ht="15">
      <c r="A7" s="15">
        <v>2</v>
      </c>
      <c r="B7" s="20" t="s">
        <v>1020</v>
      </c>
      <c r="C7" s="20">
        <v>100</v>
      </c>
      <c r="D7" s="15">
        <v>100</v>
      </c>
      <c r="E7" s="15">
        <v>100</v>
      </c>
      <c r="F7" s="15">
        <v>10</v>
      </c>
      <c r="G7" s="15">
        <v>10</v>
      </c>
      <c r="H7" s="15">
        <v>6</v>
      </c>
      <c r="I7" s="15">
        <v>12</v>
      </c>
      <c r="J7" s="15">
        <v>12</v>
      </c>
      <c r="K7" s="15">
        <v>1144.0763607607362</v>
      </c>
      <c r="L7" s="15">
        <v>2540</v>
      </c>
      <c r="M7" s="15"/>
      <c r="N7" s="15"/>
      <c r="O7" s="15"/>
      <c r="P7" s="15">
        <v>4414500</v>
      </c>
      <c r="Q7" s="15"/>
      <c r="R7" s="15"/>
      <c r="S7" s="21">
        <v>412.15035742386135</v>
      </c>
      <c r="T7" s="15">
        <v>690</v>
      </c>
      <c r="U7" s="15">
        <v>210000</v>
      </c>
      <c r="V7" s="15">
        <f t="shared" ref="V7:V70" si="3">L7*T7/(S7*1000)</f>
        <v>4.2523316271144251</v>
      </c>
      <c r="W7" s="15">
        <v>4.5051199999999998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924</v>
      </c>
      <c r="AF7" s="30" t="s">
        <v>219</v>
      </c>
      <c r="AG7" s="17">
        <f t="shared" ref="AG7:AG70" si="4">W7*S7</f>
        <v>1856.7868182373861</v>
      </c>
      <c r="AH7" s="17">
        <v>10420.507171923251</v>
      </c>
      <c r="AI7" s="62">
        <v>16.960351790373267</v>
      </c>
      <c r="AJ7" s="17">
        <f t="shared" ref="AJ7:AJ70" si="5">(V7/AI7)^0.5</f>
        <v>0.50072137970351716</v>
      </c>
      <c r="AK7" s="15">
        <f t="shared" ref="AK7:AK70" si="6">W7/V7</f>
        <v>1.0594470034448169</v>
      </c>
      <c r="AL7" s="5">
        <v>26.521000000000001</v>
      </c>
      <c r="AM7">
        <v>17.158000000000001</v>
      </c>
      <c r="AN7">
        <f t="shared" si="0"/>
        <v>0.98848069648987447</v>
      </c>
      <c r="AO7" s="5">
        <f t="shared" si="1"/>
        <v>1</v>
      </c>
      <c r="AP7" s="5">
        <f t="shared" si="2"/>
        <v>16.960351790373267</v>
      </c>
    </row>
    <row r="8" spans="1:42" ht="15">
      <c r="A8" s="15">
        <v>3</v>
      </c>
      <c r="B8" s="20" t="s">
        <v>1021</v>
      </c>
      <c r="C8" s="20">
        <v>100</v>
      </c>
      <c r="D8" s="15">
        <v>100</v>
      </c>
      <c r="E8" s="15">
        <v>100</v>
      </c>
      <c r="F8" s="15">
        <v>10</v>
      </c>
      <c r="G8" s="15">
        <v>10</v>
      </c>
      <c r="H8" s="15">
        <v>6</v>
      </c>
      <c r="I8" s="15">
        <v>12</v>
      </c>
      <c r="J8" s="15">
        <v>12</v>
      </c>
      <c r="K8" s="15">
        <v>1716.1145411411044</v>
      </c>
      <c r="L8" s="15">
        <v>2540</v>
      </c>
      <c r="M8" s="15"/>
      <c r="N8" s="15"/>
      <c r="O8" s="15"/>
      <c r="P8" s="15">
        <v>4414500</v>
      </c>
      <c r="Q8" s="15"/>
      <c r="R8" s="15"/>
      <c r="S8" s="21">
        <v>339.07972829756534</v>
      </c>
      <c r="T8" s="15">
        <v>690</v>
      </c>
      <c r="U8" s="15">
        <v>210000</v>
      </c>
      <c r="V8" s="15">
        <f t="shared" si="3"/>
        <v>5.1686958957982148</v>
      </c>
      <c r="W8" s="15">
        <v>5.0947899999999997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925</v>
      </c>
      <c r="AF8" s="22" t="s">
        <v>5</v>
      </c>
      <c r="AG8" s="17">
        <f t="shared" si="4"/>
        <v>1727.5400089331529</v>
      </c>
      <c r="AH8" s="17">
        <v>8573.0430095072952</v>
      </c>
      <c r="AI8" s="62">
        <v>9.1623355401566755</v>
      </c>
      <c r="AJ8" s="17">
        <f t="shared" si="5"/>
        <v>0.75108206955527557</v>
      </c>
      <c r="AK8" s="15">
        <f t="shared" si="6"/>
        <v>0.98570124896334188</v>
      </c>
      <c r="AL8" s="5">
        <v>26.521000000000001</v>
      </c>
      <c r="AM8">
        <v>9.4640000000000004</v>
      </c>
      <c r="AN8">
        <f t="shared" si="0"/>
        <v>0.96812505707488117</v>
      </c>
      <c r="AO8" s="5">
        <f t="shared" si="1"/>
        <v>1</v>
      </c>
      <c r="AP8" s="5">
        <f t="shared" si="2"/>
        <v>9.1623355401566755</v>
      </c>
    </row>
    <row r="9" spans="1:42" ht="15">
      <c r="A9" s="15">
        <v>4</v>
      </c>
      <c r="B9" s="20" t="s">
        <v>1022</v>
      </c>
      <c r="C9" s="20">
        <v>100</v>
      </c>
      <c r="D9" s="15">
        <v>100</v>
      </c>
      <c r="E9" s="15">
        <v>100</v>
      </c>
      <c r="F9" s="15">
        <v>10</v>
      </c>
      <c r="G9" s="15">
        <v>10</v>
      </c>
      <c r="H9" s="15">
        <v>6</v>
      </c>
      <c r="I9" s="15">
        <v>12</v>
      </c>
      <c r="J9" s="15">
        <v>12</v>
      </c>
      <c r="K9" s="15">
        <v>2288.1527215214724</v>
      </c>
      <c r="L9" s="15">
        <v>2540</v>
      </c>
      <c r="M9" s="15"/>
      <c r="N9" s="15"/>
      <c r="O9" s="15"/>
      <c r="P9" s="15">
        <v>4414500</v>
      </c>
      <c r="Q9" s="15"/>
      <c r="R9" s="15"/>
      <c r="S9" s="21">
        <v>263.98390382441028</v>
      </c>
      <c r="T9" s="15">
        <v>690</v>
      </c>
      <c r="U9" s="15">
        <v>210000</v>
      </c>
      <c r="V9" s="15">
        <f t="shared" si="3"/>
        <v>6.639041148379059</v>
      </c>
      <c r="W9" s="15">
        <v>5.4213800000000001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926</v>
      </c>
      <c r="AF9" s="22" t="s">
        <v>5</v>
      </c>
      <c r="AG9" s="17">
        <f t="shared" si="4"/>
        <v>1431.1570565155814</v>
      </c>
      <c r="AH9" s="17">
        <v>6674.3752941734201</v>
      </c>
      <c r="AI9" s="62">
        <v>6.6199254492106565</v>
      </c>
      <c r="AJ9" s="17">
        <f t="shared" si="5"/>
        <v>1.0014427594070341</v>
      </c>
      <c r="AK9" s="15">
        <f t="shared" si="6"/>
        <v>0.81659081166015146</v>
      </c>
      <c r="AL9" s="5">
        <v>26.521000000000001</v>
      </c>
      <c r="AM9">
        <v>6.8571999999999997</v>
      </c>
      <c r="AN9">
        <f t="shared" si="0"/>
        <v>0.96539774969530667</v>
      </c>
      <c r="AO9" s="5">
        <f t="shared" si="1"/>
        <v>1</v>
      </c>
      <c r="AP9" s="5">
        <f t="shared" si="2"/>
        <v>6.6199254492106565</v>
      </c>
    </row>
    <row r="10" spans="1:42" ht="15">
      <c r="A10" s="15">
        <v>5</v>
      </c>
      <c r="B10" s="20" t="s">
        <v>1023</v>
      </c>
      <c r="C10" s="20">
        <v>100</v>
      </c>
      <c r="D10" s="15">
        <v>100</v>
      </c>
      <c r="E10" s="15">
        <v>100</v>
      </c>
      <c r="F10" s="15">
        <v>10</v>
      </c>
      <c r="G10" s="15">
        <v>10</v>
      </c>
      <c r="H10" s="15">
        <v>6</v>
      </c>
      <c r="I10" s="15">
        <v>12</v>
      </c>
      <c r="J10" s="15">
        <v>12</v>
      </c>
      <c r="K10" s="15">
        <v>3043.2431196235589</v>
      </c>
      <c r="L10" s="15">
        <v>2540</v>
      </c>
      <c r="M10" s="15"/>
      <c r="N10" s="15"/>
      <c r="O10" s="15"/>
      <c r="P10" s="15">
        <v>4414500</v>
      </c>
      <c r="Q10" s="15"/>
      <c r="R10" s="15"/>
      <c r="S10" s="21">
        <v>184.02383405966356</v>
      </c>
      <c r="T10" s="15">
        <v>690</v>
      </c>
      <c r="U10" s="15">
        <v>210000</v>
      </c>
      <c r="V10" s="15">
        <f t="shared" si="3"/>
        <v>9.5237663586107999</v>
      </c>
      <c r="W10" s="15">
        <v>5.1182699999999999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927</v>
      </c>
      <c r="AF10" s="22" t="s">
        <v>5</v>
      </c>
      <c r="AG10" s="17">
        <f t="shared" si="4"/>
        <v>941.88366915255415</v>
      </c>
      <c r="AH10" s="17">
        <v>4652.7235706153424</v>
      </c>
      <c r="AI10" s="62">
        <v>5.3685028606047993</v>
      </c>
      <c r="AJ10" s="17">
        <f t="shared" si="5"/>
        <v>1.3319188700113558</v>
      </c>
      <c r="AK10" s="15">
        <f t="shared" si="6"/>
        <v>0.53742078577687669</v>
      </c>
      <c r="AL10" s="5">
        <v>26.521000000000001</v>
      </c>
      <c r="AM10">
        <v>5.5839999999999996</v>
      </c>
      <c r="AN10">
        <f t="shared" si="0"/>
        <v>0.96140810540916899</v>
      </c>
      <c r="AO10" s="5">
        <f t="shared" si="1"/>
        <v>1</v>
      </c>
      <c r="AP10" s="5">
        <f t="shared" si="2"/>
        <v>5.3685028606047993</v>
      </c>
    </row>
    <row r="11" spans="1:42" ht="15">
      <c r="A11" s="15">
        <v>6</v>
      </c>
      <c r="B11" s="20" t="s">
        <v>1024</v>
      </c>
      <c r="C11" s="20">
        <v>100</v>
      </c>
      <c r="D11" s="15">
        <v>100</v>
      </c>
      <c r="E11" s="15">
        <v>100</v>
      </c>
      <c r="F11" s="15">
        <v>10</v>
      </c>
      <c r="G11" s="15">
        <v>10</v>
      </c>
      <c r="H11" s="15">
        <v>6</v>
      </c>
      <c r="I11" s="15">
        <v>12</v>
      </c>
      <c r="J11" s="15">
        <v>12</v>
      </c>
      <c r="K11" s="15">
        <v>3821.2150449408587</v>
      </c>
      <c r="L11" s="15">
        <v>2540</v>
      </c>
      <c r="M11" s="15"/>
      <c r="N11" s="15"/>
      <c r="O11" s="15"/>
      <c r="P11" s="15">
        <v>4414500</v>
      </c>
      <c r="Q11" s="15"/>
      <c r="R11" s="15"/>
      <c r="S11" s="21">
        <v>129.70951334007054</v>
      </c>
      <c r="T11" s="15">
        <v>690</v>
      </c>
      <c r="U11" s="15">
        <v>210000</v>
      </c>
      <c r="V11" s="15">
        <f t="shared" si="3"/>
        <v>13.511730596082483</v>
      </c>
      <c r="W11" s="15">
        <v>4.7576999999999998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928</v>
      </c>
      <c r="AF11" s="22" t="s">
        <v>5</v>
      </c>
      <c r="AG11" s="17">
        <f t="shared" si="4"/>
        <v>617.11895161805364</v>
      </c>
      <c r="AH11" s="17">
        <v>3279.480145244263</v>
      </c>
      <c r="AI11" s="62">
        <v>4.8308747023685159</v>
      </c>
      <c r="AJ11" s="17">
        <f t="shared" si="5"/>
        <v>1.6724094082097469</v>
      </c>
      <c r="AK11" s="15">
        <f t="shared" si="6"/>
        <v>0.35211625677168412</v>
      </c>
      <c r="AL11" s="5">
        <v>26.521000000000001</v>
      </c>
      <c r="AM11">
        <v>5.0347</v>
      </c>
      <c r="AN11">
        <f t="shared" si="0"/>
        <v>0.95951590012682308</v>
      </c>
      <c r="AO11" s="5">
        <f t="shared" si="1"/>
        <v>1</v>
      </c>
      <c r="AP11" s="5">
        <f t="shared" si="2"/>
        <v>4.8308747023685159</v>
      </c>
    </row>
    <row r="12" spans="1:42" ht="15">
      <c r="A12" s="15">
        <v>7</v>
      </c>
      <c r="B12" s="20" t="s">
        <v>1025</v>
      </c>
      <c r="C12" s="20">
        <v>100</v>
      </c>
      <c r="D12" s="15">
        <v>100</v>
      </c>
      <c r="E12" s="15">
        <v>100</v>
      </c>
      <c r="F12" s="15">
        <v>10</v>
      </c>
      <c r="G12" s="15">
        <v>10</v>
      </c>
      <c r="H12" s="15">
        <v>6</v>
      </c>
      <c r="I12" s="15">
        <v>12</v>
      </c>
      <c r="J12" s="15">
        <v>12</v>
      </c>
      <c r="K12" s="15">
        <v>4576.3054430429447</v>
      </c>
      <c r="L12" s="15">
        <v>2540</v>
      </c>
      <c r="M12" s="15"/>
      <c r="N12" s="15"/>
      <c r="O12" s="15"/>
      <c r="P12" s="15">
        <v>4414500</v>
      </c>
      <c r="Q12" s="15"/>
      <c r="R12" s="15"/>
      <c r="S12" s="16">
        <v>95.916974235399721</v>
      </c>
      <c r="T12" s="15">
        <v>690</v>
      </c>
      <c r="U12" s="15">
        <v>210000</v>
      </c>
      <c r="V12" s="15">
        <f t="shared" si="3"/>
        <v>18.272052616033989</v>
      </c>
      <c r="W12" s="15">
        <v>4.4757499999999997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929</v>
      </c>
      <c r="AF12" s="22" t="s">
        <v>5</v>
      </c>
      <c r="AG12" s="17">
        <f t="shared" si="4"/>
        <v>429.30039743409026</v>
      </c>
      <c r="AH12" s="17">
        <v>2425.0943858851406</v>
      </c>
      <c r="AI12" s="62">
        <v>4.5548605370420168</v>
      </c>
      <c r="AJ12" s="17">
        <f t="shared" si="5"/>
        <v>2.0028855188140682</v>
      </c>
      <c r="AK12" s="15">
        <f t="shared" si="6"/>
        <v>0.24495058623421787</v>
      </c>
      <c r="AL12" s="5">
        <v>26.521000000000001</v>
      </c>
      <c r="AM12">
        <v>4.7522000000000002</v>
      </c>
      <c r="AN12">
        <f t="shared" si="0"/>
        <v>0.95847408295989578</v>
      </c>
      <c r="AO12" s="5">
        <f t="shared" si="1"/>
        <v>1</v>
      </c>
      <c r="AP12" s="5">
        <f t="shared" si="2"/>
        <v>4.5548605370420168</v>
      </c>
    </row>
    <row r="13" spans="1:42" ht="15">
      <c r="A13" s="15">
        <v>8</v>
      </c>
      <c r="B13" s="20" t="s">
        <v>1026</v>
      </c>
      <c r="C13" s="20">
        <v>100</v>
      </c>
      <c r="D13" s="15">
        <v>100</v>
      </c>
      <c r="E13" s="15">
        <v>100</v>
      </c>
      <c r="F13" s="15">
        <v>10</v>
      </c>
      <c r="G13" s="15">
        <v>10</v>
      </c>
      <c r="H13" s="15">
        <v>6</v>
      </c>
      <c r="I13" s="15">
        <v>12</v>
      </c>
      <c r="J13" s="15">
        <v>12</v>
      </c>
      <c r="K13" s="15">
        <v>5720.3818038036816</v>
      </c>
      <c r="L13" s="15">
        <v>2540</v>
      </c>
      <c r="M13" s="15"/>
      <c r="N13" s="15"/>
      <c r="O13" s="15"/>
      <c r="P13" s="15">
        <v>4414500</v>
      </c>
      <c r="Q13" s="15"/>
      <c r="R13" s="15"/>
      <c r="S13" s="16">
        <v>64.764707099498324</v>
      </c>
      <c r="T13" s="15">
        <v>690</v>
      </c>
      <c r="U13" s="15">
        <v>210000</v>
      </c>
      <c r="V13" s="15">
        <f t="shared" si="3"/>
        <v>27.061034913775991</v>
      </c>
      <c r="W13" s="15">
        <v>4.2394600000000002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930</v>
      </c>
      <c r="AF13" s="22" t="s">
        <v>5</v>
      </c>
      <c r="AG13" s="17">
        <f t="shared" si="4"/>
        <v>274.56738516003918</v>
      </c>
      <c r="AH13" s="17">
        <v>1637.4633253654408</v>
      </c>
      <c r="AI13" s="62">
        <v>4.3172989521577954</v>
      </c>
      <c r="AJ13" s="17">
        <f t="shared" si="5"/>
        <v>2.5036068985175857</v>
      </c>
      <c r="AK13" s="15">
        <f t="shared" si="6"/>
        <v>0.15666289236565056</v>
      </c>
      <c r="AL13" s="5">
        <v>26.521000000000001</v>
      </c>
      <c r="AM13">
        <v>4.5082000000000004</v>
      </c>
      <c r="AN13">
        <f t="shared" si="0"/>
        <v>0.95765470745703274</v>
      </c>
      <c r="AO13" s="5">
        <f t="shared" si="1"/>
        <v>1</v>
      </c>
      <c r="AP13" s="5">
        <f t="shared" si="2"/>
        <v>4.3172989521577954</v>
      </c>
    </row>
    <row r="14" spans="1:42" ht="15">
      <c r="A14" s="15">
        <v>9</v>
      </c>
      <c r="B14" s="20" t="s">
        <v>1027</v>
      </c>
      <c r="C14" s="20">
        <v>140</v>
      </c>
      <c r="D14" s="15">
        <v>140</v>
      </c>
      <c r="E14" s="15">
        <v>140</v>
      </c>
      <c r="F14" s="15">
        <v>12</v>
      </c>
      <c r="G14" s="15">
        <v>12</v>
      </c>
      <c r="H14" s="15">
        <v>7</v>
      </c>
      <c r="I14" s="15">
        <v>12</v>
      </c>
      <c r="J14" s="15">
        <v>12</v>
      </c>
      <c r="K14" s="15">
        <v>976.42893330373772</v>
      </c>
      <c r="L14" s="15">
        <v>4256.0000000000009</v>
      </c>
      <c r="M14" s="15"/>
      <c r="N14" s="15"/>
      <c r="O14" s="15"/>
      <c r="P14" s="15">
        <v>14985898.666666668</v>
      </c>
      <c r="Q14" s="15"/>
      <c r="R14" s="15"/>
      <c r="S14" s="15">
        <v>780.65507826407395</v>
      </c>
      <c r="T14" s="15">
        <v>690</v>
      </c>
      <c r="U14" s="15">
        <v>210000</v>
      </c>
      <c r="V14" s="15">
        <f t="shared" si="3"/>
        <v>3.761763782450688</v>
      </c>
      <c r="W14" s="15">
        <v>3.9990000000000001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931</v>
      </c>
      <c r="AF14" s="22" t="s">
        <v>5</v>
      </c>
      <c r="AG14" s="17">
        <f t="shared" si="4"/>
        <v>3121.8396579780319</v>
      </c>
      <c r="AH14" s="17">
        <v>9045.6442457914309</v>
      </c>
      <c r="AI14" s="62">
        <v>41.731247047156899</v>
      </c>
      <c r="AJ14" s="17">
        <f t="shared" si="5"/>
        <v>0.30023759943100203</v>
      </c>
      <c r="AK14" s="15">
        <f t="shared" si="6"/>
        <v>1.0630651554082322</v>
      </c>
      <c r="AL14" s="56">
        <v>15.672000000000001</v>
      </c>
      <c r="AM14">
        <f>AI14</f>
        <v>41.731247047156899</v>
      </c>
      <c r="AN14" s="57">
        <f t="shared" si="0"/>
        <v>1</v>
      </c>
      <c r="AO14" s="5">
        <f t="shared" si="1"/>
        <v>1</v>
      </c>
      <c r="AP14" s="5">
        <f t="shared" si="2"/>
        <v>41.731247047156899</v>
      </c>
    </row>
    <row r="15" spans="1:42" ht="15">
      <c r="A15" s="15">
        <v>10</v>
      </c>
      <c r="B15" s="20" t="s">
        <v>1028</v>
      </c>
      <c r="C15" s="20">
        <v>140</v>
      </c>
      <c r="D15" s="15">
        <v>140</v>
      </c>
      <c r="E15" s="15">
        <v>140</v>
      </c>
      <c r="F15" s="15">
        <v>12</v>
      </c>
      <c r="G15" s="15">
        <v>12</v>
      </c>
      <c r="H15" s="15">
        <v>7</v>
      </c>
      <c r="I15" s="15">
        <v>12</v>
      </c>
      <c r="J15" s="15">
        <v>12</v>
      </c>
      <c r="K15" s="15">
        <v>1627.3815555062295</v>
      </c>
      <c r="L15" s="15">
        <v>4256.0000000000009</v>
      </c>
      <c r="M15" s="15"/>
      <c r="N15" s="15"/>
      <c r="O15" s="15"/>
      <c r="P15" s="15">
        <v>14985898.666666668</v>
      </c>
      <c r="Q15" s="15"/>
      <c r="R15" s="15"/>
      <c r="S15" s="15">
        <v>693.34326256949578</v>
      </c>
      <c r="T15" s="15">
        <v>690</v>
      </c>
      <c r="U15" s="15">
        <v>210000</v>
      </c>
      <c r="V15" s="15">
        <f t="shared" si="3"/>
        <v>4.2354778052028053</v>
      </c>
      <c r="W15" s="15">
        <v>4.3634300000000001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932</v>
      </c>
      <c r="AF15" s="22" t="s">
        <v>5</v>
      </c>
      <c r="AG15" s="17">
        <f t="shared" si="4"/>
        <v>3025.3547921936151</v>
      </c>
      <c r="AH15" s="17">
        <v>8033.9405558807684</v>
      </c>
      <c r="AI15" s="62">
        <v>16.915107145070895</v>
      </c>
      <c r="AJ15" s="17">
        <f t="shared" si="5"/>
        <v>0.50039599905166998</v>
      </c>
      <c r="AK15" s="15">
        <f t="shared" si="6"/>
        <v>1.0302096246709214</v>
      </c>
      <c r="AL15" s="5">
        <v>15.672000000000001</v>
      </c>
      <c r="AM15">
        <v>17.068000000000001</v>
      </c>
      <c r="AN15">
        <f t="shared" si="0"/>
        <v>0.99104213411476993</v>
      </c>
      <c r="AO15" s="5">
        <f t="shared" si="1"/>
        <v>1</v>
      </c>
      <c r="AP15" s="5">
        <f t="shared" si="2"/>
        <v>16.915107145070895</v>
      </c>
    </row>
    <row r="16" spans="1:42" ht="15">
      <c r="A16" s="15">
        <v>11</v>
      </c>
      <c r="B16" s="20" t="s">
        <v>1029</v>
      </c>
      <c r="C16" s="20">
        <v>140</v>
      </c>
      <c r="D16" s="15">
        <v>140</v>
      </c>
      <c r="E16" s="15">
        <v>140</v>
      </c>
      <c r="F16" s="15">
        <v>12</v>
      </c>
      <c r="G16" s="15">
        <v>12</v>
      </c>
      <c r="H16" s="15">
        <v>7</v>
      </c>
      <c r="I16" s="15">
        <v>12</v>
      </c>
      <c r="J16" s="15">
        <v>12</v>
      </c>
      <c r="K16" s="15">
        <v>2441.0723332593443</v>
      </c>
      <c r="L16" s="15">
        <v>4256</v>
      </c>
      <c r="M16" s="15"/>
      <c r="N16" s="15"/>
      <c r="O16" s="15"/>
      <c r="P16" s="15">
        <v>14985898.666666666</v>
      </c>
      <c r="Q16" s="15"/>
      <c r="R16" s="15"/>
      <c r="S16" s="15">
        <v>570.41960744251719</v>
      </c>
      <c r="T16" s="15">
        <v>690</v>
      </c>
      <c r="U16" s="15">
        <v>210000</v>
      </c>
      <c r="V16" s="15">
        <f t="shared" si="3"/>
        <v>5.1482101275698762</v>
      </c>
      <c r="W16" s="15">
        <v>4.9389500000000002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933</v>
      </c>
      <c r="AF16" s="22" t="s">
        <v>5</v>
      </c>
      <c r="AG16" s="17">
        <f t="shared" si="4"/>
        <v>2817.2739201782206</v>
      </c>
      <c r="AH16" s="17">
        <v>6609.5936392584281</v>
      </c>
      <c r="AI16" s="62">
        <v>9.1378934397344995</v>
      </c>
      <c r="AJ16" s="17">
        <f t="shared" si="5"/>
        <v>0.75059399857750508</v>
      </c>
      <c r="AK16" s="15">
        <f t="shared" si="6"/>
        <v>0.95935283867897336</v>
      </c>
      <c r="AL16" s="5">
        <v>15.672000000000001</v>
      </c>
      <c r="AM16">
        <v>9.4428000000000001</v>
      </c>
      <c r="AN16">
        <f t="shared" si="0"/>
        <v>0.96771015373983349</v>
      </c>
      <c r="AO16" s="5">
        <f t="shared" si="1"/>
        <v>1</v>
      </c>
      <c r="AP16" s="5">
        <f t="shared" si="2"/>
        <v>9.1378934397344995</v>
      </c>
    </row>
    <row r="17" spans="1:42" ht="15">
      <c r="A17" s="15">
        <v>12</v>
      </c>
      <c r="B17" s="20" t="s">
        <v>1030</v>
      </c>
      <c r="C17" s="20">
        <v>140</v>
      </c>
      <c r="D17" s="15">
        <v>140</v>
      </c>
      <c r="E17" s="15">
        <v>140</v>
      </c>
      <c r="F17" s="15">
        <v>12</v>
      </c>
      <c r="G17" s="15">
        <v>12</v>
      </c>
      <c r="H17" s="15">
        <v>7</v>
      </c>
      <c r="I17" s="15">
        <v>12</v>
      </c>
      <c r="J17" s="15">
        <v>12</v>
      </c>
      <c r="K17" s="15">
        <v>3254.7631110124589</v>
      </c>
      <c r="L17" s="15">
        <v>4256</v>
      </c>
      <c r="M17" s="15"/>
      <c r="N17" s="15"/>
      <c r="O17" s="15"/>
      <c r="P17" s="15">
        <v>14985898.666666666</v>
      </c>
      <c r="Q17" s="15"/>
      <c r="R17" s="15"/>
      <c r="S17" s="15">
        <v>444.08905111106435</v>
      </c>
      <c r="T17" s="15">
        <v>690</v>
      </c>
      <c r="U17" s="15">
        <v>210000</v>
      </c>
      <c r="V17" s="15">
        <f t="shared" si="3"/>
        <v>6.6127277685699166</v>
      </c>
      <c r="W17" s="15">
        <v>5.2645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934</v>
      </c>
      <c r="AF17" s="22" t="s">
        <v>5</v>
      </c>
      <c r="AG17" s="17">
        <f t="shared" si="4"/>
        <v>2337.9068095741982</v>
      </c>
      <c r="AH17" s="17">
        <v>5145.7701123708239</v>
      </c>
      <c r="AI17" s="62">
        <v>6.6022656634597698</v>
      </c>
      <c r="AJ17" s="17">
        <f t="shared" si="5"/>
        <v>1.00079199810334</v>
      </c>
      <c r="AK17" s="15">
        <f t="shared" si="6"/>
        <v>0.7961162449514404</v>
      </c>
      <c r="AL17" s="5">
        <v>15.672000000000001</v>
      </c>
      <c r="AM17">
        <v>6.8487</v>
      </c>
      <c r="AN17">
        <f t="shared" si="0"/>
        <v>0.96401735562366142</v>
      </c>
      <c r="AO17" s="5">
        <f t="shared" si="1"/>
        <v>1</v>
      </c>
      <c r="AP17" s="5">
        <f t="shared" si="2"/>
        <v>6.6022656634597698</v>
      </c>
    </row>
    <row r="18" spans="1:42" ht="15">
      <c r="A18" s="15">
        <v>13</v>
      </c>
      <c r="B18" s="20" t="s">
        <v>1031</v>
      </c>
      <c r="C18" s="20">
        <v>140</v>
      </c>
      <c r="D18" s="15">
        <v>140</v>
      </c>
      <c r="E18" s="15">
        <v>140</v>
      </c>
      <c r="F18" s="15">
        <v>12</v>
      </c>
      <c r="G18" s="15">
        <v>12</v>
      </c>
      <c r="H18" s="15">
        <v>7</v>
      </c>
      <c r="I18" s="15">
        <v>12</v>
      </c>
      <c r="J18" s="15">
        <v>12</v>
      </c>
      <c r="K18" s="15">
        <v>4328.8349376465703</v>
      </c>
      <c r="L18" s="15">
        <v>4256</v>
      </c>
      <c r="M18" s="15"/>
      <c r="N18" s="15"/>
      <c r="O18" s="15"/>
      <c r="P18" s="15">
        <v>14985898.666666666</v>
      </c>
      <c r="Q18" s="15"/>
      <c r="R18" s="15"/>
      <c r="S18" s="15">
        <v>309.57557891004689</v>
      </c>
      <c r="T18" s="15">
        <v>690</v>
      </c>
      <c r="U18" s="15">
        <v>210000</v>
      </c>
      <c r="V18" s="15">
        <f t="shared" si="3"/>
        <v>9.4860195702106616</v>
      </c>
      <c r="W18" s="15">
        <v>4.9804700000000004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935</v>
      </c>
      <c r="AF18" s="22" t="s">
        <v>5</v>
      </c>
      <c r="AG18" s="17">
        <f t="shared" si="4"/>
        <v>1541.8318834941213</v>
      </c>
      <c r="AH18" s="17">
        <v>3587.129107303329</v>
      </c>
      <c r="AI18" s="62">
        <v>5.3541814590952699</v>
      </c>
      <c r="AJ18" s="17">
        <f t="shared" si="5"/>
        <v>1.3310533574774421</v>
      </c>
      <c r="AK18" s="15">
        <f t="shared" si="6"/>
        <v>0.52503265074851579</v>
      </c>
      <c r="AL18" s="5">
        <v>15.672000000000001</v>
      </c>
      <c r="AM18">
        <v>5.5804</v>
      </c>
      <c r="AN18">
        <f t="shared" si="0"/>
        <v>0.95946194880210556</v>
      </c>
      <c r="AO18" s="5">
        <f t="shared" si="1"/>
        <v>1</v>
      </c>
      <c r="AP18" s="5">
        <f t="shared" si="2"/>
        <v>5.3541814590952699</v>
      </c>
    </row>
    <row r="19" spans="1:42" ht="15">
      <c r="A19" s="15">
        <v>14</v>
      </c>
      <c r="B19" s="20" t="s">
        <v>1032</v>
      </c>
      <c r="C19" s="20">
        <v>140</v>
      </c>
      <c r="D19" s="15">
        <v>140</v>
      </c>
      <c r="E19" s="15">
        <v>140</v>
      </c>
      <c r="F19" s="15">
        <v>12</v>
      </c>
      <c r="G19" s="15">
        <v>12</v>
      </c>
      <c r="H19" s="15">
        <v>7</v>
      </c>
      <c r="I19" s="15">
        <v>12</v>
      </c>
      <c r="J19" s="15">
        <v>12</v>
      </c>
      <c r="K19" s="15">
        <v>5435.454395390806</v>
      </c>
      <c r="L19" s="15">
        <v>4256</v>
      </c>
      <c r="M19" s="15"/>
      <c r="N19" s="15"/>
      <c r="O19" s="15"/>
      <c r="P19" s="15">
        <v>14985898.666666666</v>
      </c>
      <c r="Q19" s="15"/>
      <c r="R19" s="15"/>
      <c r="S19" s="15">
        <v>218.20487486079608</v>
      </c>
      <c r="T19" s="15">
        <v>690</v>
      </c>
      <c r="U19" s="15">
        <v>210000</v>
      </c>
      <c r="V19" s="15">
        <f t="shared" si="3"/>
        <v>13.458177787610982</v>
      </c>
      <c r="W19" s="15">
        <v>4.6400600000000001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936</v>
      </c>
      <c r="AF19" s="22" t="s">
        <v>5</v>
      </c>
      <c r="AG19" s="17">
        <f t="shared" si="4"/>
        <v>1012.4837116465854</v>
      </c>
      <c r="AH19" s="17">
        <v>2528.3940701151973</v>
      </c>
      <c r="AI19" s="62">
        <v>4.8179875161172898</v>
      </c>
      <c r="AJ19" s="17">
        <f t="shared" si="5"/>
        <v>1.6713226368325775</v>
      </c>
      <c r="AK19" s="15">
        <f t="shared" si="6"/>
        <v>0.34477624483988012</v>
      </c>
      <c r="AL19" s="5">
        <v>15.672000000000001</v>
      </c>
      <c r="AM19">
        <v>5.0331999999999999</v>
      </c>
      <c r="AN19">
        <f t="shared" si="0"/>
        <v>0.95724142019337399</v>
      </c>
      <c r="AO19" s="5">
        <f t="shared" si="1"/>
        <v>1</v>
      </c>
      <c r="AP19" s="5">
        <f t="shared" si="2"/>
        <v>4.8179875161172898</v>
      </c>
    </row>
    <row r="20" spans="1:42" ht="15">
      <c r="A20" s="15">
        <v>15</v>
      </c>
      <c r="B20" s="20" t="s">
        <v>1033</v>
      </c>
      <c r="C20" s="20">
        <v>140</v>
      </c>
      <c r="D20" s="15">
        <v>140</v>
      </c>
      <c r="E20" s="15">
        <v>140</v>
      </c>
      <c r="F20" s="15">
        <v>12</v>
      </c>
      <c r="G20" s="15">
        <v>12</v>
      </c>
      <c r="H20" s="15">
        <v>7</v>
      </c>
      <c r="I20" s="15">
        <v>12</v>
      </c>
      <c r="J20" s="15">
        <v>12</v>
      </c>
      <c r="K20" s="15">
        <v>6509.5262220249178</v>
      </c>
      <c r="L20" s="15">
        <v>4256</v>
      </c>
      <c r="M20" s="15"/>
      <c r="N20" s="15"/>
      <c r="O20" s="15"/>
      <c r="P20" s="15">
        <v>14985898.666666666</v>
      </c>
      <c r="Q20" s="15"/>
      <c r="R20" s="15"/>
      <c r="S20" s="15">
        <v>161.35710343148693</v>
      </c>
      <c r="T20" s="15">
        <v>690</v>
      </c>
      <c r="U20" s="15">
        <v>210000</v>
      </c>
      <c r="V20" s="15">
        <f t="shared" si="3"/>
        <v>18.199632600909403</v>
      </c>
      <c r="W20" s="15">
        <v>4.3655499999999998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937</v>
      </c>
      <c r="AF20" s="22" t="s">
        <v>5</v>
      </c>
      <c r="AG20" s="17">
        <f t="shared" si="4"/>
        <v>704.41250288532774</v>
      </c>
      <c r="AH20" s="17">
        <v>1869.6848260031022</v>
      </c>
      <c r="AI20" s="62">
        <v>4.5427096658839545</v>
      </c>
      <c r="AJ20" s="17">
        <f t="shared" si="5"/>
        <v>2.0015839962066799</v>
      </c>
      <c r="AK20" s="15">
        <f t="shared" si="6"/>
        <v>0.23987022681885684</v>
      </c>
      <c r="AL20" s="5">
        <v>15.672000000000001</v>
      </c>
      <c r="AM20">
        <v>4.7511999999999999</v>
      </c>
      <c r="AN20">
        <f t="shared" si="0"/>
        <v>0.95611838396277882</v>
      </c>
      <c r="AO20" s="5">
        <f t="shared" si="1"/>
        <v>1</v>
      </c>
      <c r="AP20" s="5">
        <f t="shared" si="2"/>
        <v>4.5427096658839545</v>
      </c>
    </row>
    <row r="21" spans="1:42" ht="15">
      <c r="A21" s="15">
        <v>16</v>
      </c>
      <c r="B21" s="20" t="s">
        <v>1034</v>
      </c>
      <c r="C21" s="20">
        <v>140</v>
      </c>
      <c r="D21" s="15">
        <v>140</v>
      </c>
      <c r="E21" s="15">
        <v>140</v>
      </c>
      <c r="F21" s="15">
        <v>12</v>
      </c>
      <c r="G21" s="15">
        <v>12</v>
      </c>
      <c r="H21" s="15">
        <v>7</v>
      </c>
      <c r="I21" s="15">
        <v>12</v>
      </c>
      <c r="J21" s="15">
        <v>12</v>
      </c>
      <c r="K21" s="15">
        <v>8136.9077775311471</v>
      </c>
      <c r="L21" s="15">
        <v>4256</v>
      </c>
      <c r="M21" s="15"/>
      <c r="N21" s="15"/>
      <c r="O21" s="15"/>
      <c r="P21" s="15">
        <v>14985898.666666666</v>
      </c>
      <c r="Q21" s="15"/>
      <c r="R21" s="15"/>
      <c r="S21" s="15">
        <v>108.95095081415604</v>
      </c>
      <c r="T21" s="15">
        <v>690</v>
      </c>
      <c r="U21" s="15">
        <v>210000</v>
      </c>
      <c r="V21" s="15">
        <f t="shared" si="3"/>
        <v>26.953780375989531</v>
      </c>
      <c r="W21" s="15">
        <v>4.13523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938</v>
      </c>
      <c r="AF21" s="22" t="s">
        <v>5</v>
      </c>
      <c r="AG21" s="17">
        <f t="shared" si="4"/>
        <v>450.53724033522252</v>
      </c>
      <c r="AH21" s="17">
        <v>1262.4417220177211</v>
      </c>
      <c r="AI21" s="62">
        <v>4.3057818172440294</v>
      </c>
      <c r="AJ21" s="17">
        <f t="shared" si="5"/>
        <v>2.5019799952583499</v>
      </c>
      <c r="AK21" s="15">
        <f t="shared" si="6"/>
        <v>0.15341929563556395</v>
      </c>
      <c r="AL21" s="5">
        <v>15.672000000000001</v>
      </c>
      <c r="AM21">
        <v>4.508</v>
      </c>
      <c r="AN21">
        <f t="shared" si="0"/>
        <v>0.95514237294676785</v>
      </c>
      <c r="AO21" s="5">
        <f t="shared" si="1"/>
        <v>1</v>
      </c>
      <c r="AP21" s="5">
        <f t="shared" si="2"/>
        <v>4.3057818172440294</v>
      </c>
    </row>
    <row r="22" spans="1:42" ht="15">
      <c r="A22" s="15">
        <v>17</v>
      </c>
      <c r="B22" s="20" t="s">
        <v>1035</v>
      </c>
      <c r="C22" s="20">
        <v>180</v>
      </c>
      <c r="D22" s="15">
        <v>180</v>
      </c>
      <c r="E22" s="15">
        <v>180</v>
      </c>
      <c r="F22" s="15">
        <v>14</v>
      </c>
      <c r="G22" s="15">
        <v>14</v>
      </c>
      <c r="H22" s="15">
        <v>8.5</v>
      </c>
      <c r="I22" s="15">
        <v>15</v>
      </c>
      <c r="J22" s="15">
        <v>15</v>
      </c>
      <c r="K22" s="15">
        <v>1261.7820921302387</v>
      </c>
      <c r="L22" s="15">
        <v>6451.0000000000009</v>
      </c>
      <c r="M22" s="15"/>
      <c r="N22" s="15"/>
      <c r="O22" s="15"/>
      <c r="P22" s="15">
        <v>37960686.333333328</v>
      </c>
      <c r="Q22" s="15"/>
      <c r="R22" s="15"/>
      <c r="S22" s="15">
        <v>1184.8293277967678</v>
      </c>
      <c r="T22" s="15">
        <v>690</v>
      </c>
      <c r="U22" s="15">
        <v>210000</v>
      </c>
      <c r="V22" s="15">
        <f t="shared" si="3"/>
        <v>3.7568195651243266</v>
      </c>
      <c r="W22" s="15">
        <v>3.9764400000000002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939</v>
      </c>
      <c r="AF22" s="22" t="s">
        <v>5</v>
      </c>
      <c r="AG22" s="17">
        <f t="shared" si="4"/>
        <v>4711.4027322241791</v>
      </c>
      <c r="AH22" s="17">
        <v>7897.5180564418115</v>
      </c>
      <c r="AI22" s="62">
        <v>41.708885153878931</v>
      </c>
      <c r="AJ22" s="17">
        <f t="shared" si="5"/>
        <v>0.30012064951855283</v>
      </c>
      <c r="AK22" s="15">
        <f t="shared" si="6"/>
        <v>1.0584591383931439</v>
      </c>
      <c r="AL22" s="56">
        <v>10.936</v>
      </c>
      <c r="AM22">
        <f>AI22</f>
        <v>41.708885153878931</v>
      </c>
      <c r="AN22" s="57">
        <f t="shared" si="0"/>
        <v>1</v>
      </c>
      <c r="AO22" s="5">
        <f t="shared" si="1"/>
        <v>1</v>
      </c>
      <c r="AP22" s="5">
        <f t="shared" si="2"/>
        <v>41.708885153878931</v>
      </c>
    </row>
    <row r="23" spans="1:42" ht="15">
      <c r="A23" s="15">
        <v>18</v>
      </c>
      <c r="B23" s="20" t="s">
        <v>1036</v>
      </c>
      <c r="C23" s="20">
        <v>180</v>
      </c>
      <c r="D23" s="15">
        <v>180</v>
      </c>
      <c r="E23" s="15">
        <v>180</v>
      </c>
      <c r="F23" s="15">
        <v>14</v>
      </c>
      <c r="G23" s="15">
        <v>14</v>
      </c>
      <c r="H23" s="15">
        <v>8.5</v>
      </c>
      <c r="I23" s="15">
        <v>15</v>
      </c>
      <c r="J23" s="15">
        <v>15</v>
      </c>
      <c r="K23" s="15">
        <v>2102.9701535503978</v>
      </c>
      <c r="L23" s="15">
        <v>6451.0000000000009</v>
      </c>
      <c r="M23" s="15"/>
      <c r="N23" s="15"/>
      <c r="O23" s="15"/>
      <c r="P23" s="15">
        <v>37960686.333333328</v>
      </c>
      <c r="Q23" s="15"/>
      <c r="R23" s="15"/>
      <c r="S23" s="15">
        <v>1052.312928712859</v>
      </c>
      <c r="T23" s="15">
        <v>690</v>
      </c>
      <c r="U23" s="15">
        <v>210000</v>
      </c>
      <c r="V23" s="15">
        <f t="shared" si="3"/>
        <v>4.2299109690161201</v>
      </c>
      <c r="W23" s="15">
        <v>4.3425500000000001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940</v>
      </c>
      <c r="AF23" s="22" t="s">
        <v>5</v>
      </c>
      <c r="AG23" s="17">
        <f t="shared" si="4"/>
        <v>4569.7215085820262</v>
      </c>
      <c r="AH23" s="17">
        <v>7014.2257290262514</v>
      </c>
      <c r="AI23" s="62">
        <v>16.906043101996978</v>
      </c>
      <c r="AJ23" s="17">
        <f t="shared" si="5"/>
        <v>0.50020108253092133</v>
      </c>
      <c r="AK23" s="15">
        <f t="shared" si="6"/>
        <v>1.0266291730036294</v>
      </c>
      <c r="AL23" s="5">
        <v>10.936</v>
      </c>
      <c r="AM23">
        <v>17.03</v>
      </c>
      <c r="AN23">
        <f t="shared" si="0"/>
        <v>0.9927212625952424</v>
      </c>
      <c r="AO23" s="5">
        <f t="shared" si="1"/>
        <v>1</v>
      </c>
      <c r="AP23" s="5">
        <f t="shared" si="2"/>
        <v>16.906043101996978</v>
      </c>
    </row>
    <row r="24" spans="1:42" ht="15">
      <c r="A24" s="15">
        <v>19</v>
      </c>
      <c r="B24" s="20" t="s">
        <v>1037</v>
      </c>
      <c r="C24" s="20">
        <v>180</v>
      </c>
      <c r="D24" s="15">
        <v>180</v>
      </c>
      <c r="E24" s="15">
        <v>180</v>
      </c>
      <c r="F24" s="15">
        <v>14</v>
      </c>
      <c r="G24" s="15">
        <v>14</v>
      </c>
      <c r="H24" s="15">
        <v>8.5</v>
      </c>
      <c r="I24" s="15">
        <v>15</v>
      </c>
      <c r="J24" s="15">
        <v>15</v>
      </c>
      <c r="K24" s="15">
        <v>3154.4552303255969</v>
      </c>
      <c r="L24" s="15">
        <v>6451</v>
      </c>
      <c r="M24" s="15"/>
      <c r="N24" s="15"/>
      <c r="O24" s="15"/>
      <c r="P24" s="15">
        <v>37960686.333333328</v>
      </c>
      <c r="Q24" s="15"/>
      <c r="R24" s="15"/>
      <c r="S24" s="15">
        <v>865.74711273394496</v>
      </c>
      <c r="T24" s="15">
        <v>690</v>
      </c>
      <c r="U24" s="15">
        <v>210000</v>
      </c>
      <c r="V24" s="15">
        <f t="shared" si="3"/>
        <v>5.1414436554614378</v>
      </c>
      <c r="W24" s="15">
        <v>4.9169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941</v>
      </c>
      <c r="AF24" s="22" t="s">
        <v>5</v>
      </c>
      <c r="AG24" s="17">
        <f t="shared" si="4"/>
        <v>4256.7919786015336</v>
      </c>
      <c r="AH24" s="17">
        <v>5770.6652719702761</v>
      </c>
      <c r="AI24" s="62">
        <v>9.1329968547449862</v>
      </c>
      <c r="AJ24" s="17">
        <f t="shared" si="5"/>
        <v>0.75030162379638188</v>
      </c>
      <c r="AK24" s="15">
        <f t="shared" si="6"/>
        <v>0.9563267302904469</v>
      </c>
      <c r="AL24" s="5">
        <v>10.936</v>
      </c>
      <c r="AM24">
        <v>9.4004999999999992</v>
      </c>
      <c r="AN24">
        <f t="shared" si="0"/>
        <v>0.97154373222115709</v>
      </c>
      <c r="AO24" s="5">
        <f t="shared" si="1"/>
        <v>1</v>
      </c>
      <c r="AP24" s="5">
        <f t="shared" si="2"/>
        <v>9.1329968547449862</v>
      </c>
    </row>
    <row r="25" spans="1:42" ht="15">
      <c r="A25" s="15">
        <v>20</v>
      </c>
      <c r="B25" s="20" t="s">
        <v>1038</v>
      </c>
      <c r="C25" s="20">
        <v>180</v>
      </c>
      <c r="D25" s="15">
        <v>180</v>
      </c>
      <c r="E25" s="15">
        <v>180</v>
      </c>
      <c r="F25" s="15">
        <v>14</v>
      </c>
      <c r="G25" s="15">
        <v>14</v>
      </c>
      <c r="H25" s="15">
        <v>8.5</v>
      </c>
      <c r="I25" s="15">
        <v>15</v>
      </c>
      <c r="J25" s="15">
        <v>15</v>
      </c>
      <c r="K25" s="15">
        <v>4205.9403071007955</v>
      </c>
      <c r="L25" s="15">
        <v>6451</v>
      </c>
      <c r="M25" s="15"/>
      <c r="N25" s="15"/>
      <c r="O25" s="15"/>
      <c r="P25" s="15">
        <v>37960686.333333328</v>
      </c>
      <c r="Q25" s="15"/>
      <c r="R25" s="15"/>
      <c r="S25" s="15">
        <v>674.01051573232496</v>
      </c>
      <c r="T25" s="15">
        <v>690</v>
      </c>
      <c r="U25" s="15">
        <v>210000</v>
      </c>
      <c r="V25" s="15">
        <f t="shared" si="3"/>
        <v>6.6040364298525809</v>
      </c>
      <c r="W25" s="15">
        <v>5.2466400000000002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942</v>
      </c>
      <c r="AF25" s="22" t="s">
        <v>5</v>
      </c>
      <c r="AG25" s="17">
        <f t="shared" si="4"/>
        <v>3536.2905322618458</v>
      </c>
      <c r="AH25" s="17">
        <v>4492.6388074188026</v>
      </c>
      <c r="AI25" s="62">
        <v>6.5987278070426756</v>
      </c>
      <c r="AJ25" s="17">
        <f t="shared" si="5"/>
        <v>1.0004021650618424</v>
      </c>
      <c r="AK25" s="15">
        <f t="shared" si="6"/>
        <v>0.79445957873329276</v>
      </c>
      <c r="AL25" s="5">
        <v>10.936</v>
      </c>
      <c r="AM25">
        <v>6.8559999999999999</v>
      </c>
      <c r="AN25">
        <f t="shared" si="0"/>
        <v>0.96247488434111372</v>
      </c>
      <c r="AO25" s="5">
        <f t="shared" si="1"/>
        <v>1</v>
      </c>
      <c r="AP25" s="5">
        <f t="shared" si="2"/>
        <v>6.5987278070426756</v>
      </c>
    </row>
    <row r="26" spans="1:42" ht="15">
      <c r="A26" s="15">
        <v>21</v>
      </c>
      <c r="B26" s="20" t="s">
        <v>1039</v>
      </c>
      <c r="C26" s="20">
        <v>180</v>
      </c>
      <c r="D26" s="15">
        <v>180</v>
      </c>
      <c r="E26" s="15">
        <v>180</v>
      </c>
      <c r="F26" s="15">
        <v>14</v>
      </c>
      <c r="G26" s="15">
        <v>14</v>
      </c>
      <c r="H26" s="15">
        <v>8.5</v>
      </c>
      <c r="I26" s="15">
        <v>15</v>
      </c>
      <c r="J26" s="15">
        <v>15</v>
      </c>
      <c r="K26" s="15">
        <v>5593.9006084440589</v>
      </c>
      <c r="L26" s="15">
        <v>6451</v>
      </c>
      <c r="M26" s="15"/>
      <c r="N26" s="15"/>
      <c r="O26" s="15"/>
      <c r="P26" s="15">
        <v>37960686.333333328</v>
      </c>
      <c r="Q26" s="15"/>
      <c r="R26" s="15"/>
      <c r="S26" s="15">
        <v>469.85440212330229</v>
      </c>
      <c r="T26" s="15">
        <v>690</v>
      </c>
      <c r="U26" s="15">
        <v>210000</v>
      </c>
      <c r="V26" s="15">
        <f t="shared" si="3"/>
        <v>9.4735517638757578</v>
      </c>
      <c r="W26" s="15">
        <v>4.9696199999999999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943</v>
      </c>
      <c r="AF26" s="22" t="s">
        <v>5</v>
      </c>
      <c r="AG26" s="17">
        <f t="shared" si="4"/>
        <v>2334.9978338800056</v>
      </c>
      <c r="AH26" s="17">
        <v>3131.8296547972859</v>
      </c>
      <c r="AI26" s="62">
        <v>5.3513123947166283</v>
      </c>
      <c r="AJ26" s="17">
        <f t="shared" si="5"/>
        <v>1.3305348795322507</v>
      </c>
      <c r="AK26" s="15">
        <f t="shared" si="6"/>
        <v>0.52457833385679009</v>
      </c>
      <c r="AL26" s="5">
        <v>10.936</v>
      </c>
      <c r="AM26">
        <v>5.5891000000000002</v>
      </c>
      <c r="AN26">
        <f t="shared" si="0"/>
        <v>0.95745511705223174</v>
      </c>
      <c r="AO26" s="5">
        <f t="shared" si="1"/>
        <v>1</v>
      </c>
      <c r="AP26" s="5">
        <f t="shared" si="2"/>
        <v>5.3513123947166283</v>
      </c>
    </row>
    <row r="27" spans="1:42" ht="15">
      <c r="A27" s="15">
        <v>22</v>
      </c>
      <c r="B27" s="20" t="s">
        <v>1040</v>
      </c>
      <c r="C27" s="20">
        <v>180</v>
      </c>
      <c r="D27" s="15">
        <v>180</v>
      </c>
      <c r="E27" s="15">
        <v>180</v>
      </c>
      <c r="F27" s="15">
        <v>14</v>
      </c>
      <c r="G27" s="15">
        <v>14</v>
      </c>
      <c r="H27" s="15">
        <v>8.5</v>
      </c>
      <c r="I27" s="15">
        <v>15</v>
      </c>
      <c r="J27" s="15">
        <v>15</v>
      </c>
      <c r="K27" s="15">
        <v>7023.9203128583285</v>
      </c>
      <c r="L27" s="15">
        <v>6451</v>
      </c>
      <c r="M27" s="15"/>
      <c r="N27" s="15"/>
      <c r="O27" s="15"/>
      <c r="P27" s="15">
        <v>37960686.333333328</v>
      </c>
      <c r="Q27" s="15"/>
      <c r="R27" s="15"/>
      <c r="S27" s="15">
        <v>331.17767680214786</v>
      </c>
      <c r="T27" s="15">
        <v>690</v>
      </c>
      <c r="U27" s="15">
        <v>210000</v>
      </c>
      <c r="V27" s="15">
        <f t="shared" si="3"/>
        <v>13.440489235206602</v>
      </c>
      <c r="W27" s="15">
        <v>4.6318700000000002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944</v>
      </c>
      <c r="AF27" s="22" t="s">
        <v>5</v>
      </c>
      <c r="AG27" s="17">
        <f t="shared" si="4"/>
        <v>1533.9719458495647</v>
      </c>
      <c r="AH27" s="17">
        <v>2207.4754743782323</v>
      </c>
      <c r="AI27" s="62">
        <v>4.8154057738911735</v>
      </c>
      <c r="AJ27" s="17">
        <f t="shared" si="5"/>
        <v>1.670671615653277</v>
      </c>
      <c r="AK27" s="15">
        <f t="shared" si="6"/>
        <v>0.34462063984003488</v>
      </c>
      <c r="AL27" s="5">
        <v>10.936</v>
      </c>
      <c r="AM27">
        <v>5.0420999999999996</v>
      </c>
      <c r="AN27">
        <f t="shared" si="0"/>
        <v>0.95503972033303064</v>
      </c>
      <c r="AO27" s="5">
        <f t="shared" si="1"/>
        <v>1</v>
      </c>
      <c r="AP27" s="5">
        <f t="shared" si="2"/>
        <v>4.8154057738911735</v>
      </c>
    </row>
    <row r="28" spans="1:42" ht="15">
      <c r="A28" s="15">
        <v>23</v>
      </c>
      <c r="B28" s="20" t="s">
        <v>1041</v>
      </c>
      <c r="C28" s="20">
        <v>180</v>
      </c>
      <c r="D28" s="15">
        <v>180</v>
      </c>
      <c r="E28" s="15">
        <v>180</v>
      </c>
      <c r="F28" s="15">
        <v>14</v>
      </c>
      <c r="G28" s="15">
        <v>14</v>
      </c>
      <c r="H28" s="15">
        <v>8.5</v>
      </c>
      <c r="I28" s="15">
        <v>15</v>
      </c>
      <c r="J28" s="15">
        <v>15</v>
      </c>
      <c r="K28" s="15">
        <v>8411.880614201591</v>
      </c>
      <c r="L28" s="15">
        <v>6451</v>
      </c>
      <c r="M28" s="15"/>
      <c r="N28" s="15"/>
      <c r="O28" s="15"/>
      <c r="P28" s="15">
        <v>37960686.333333328</v>
      </c>
      <c r="Q28" s="15"/>
      <c r="R28" s="15"/>
      <c r="S28" s="15">
        <v>244.89769389457703</v>
      </c>
      <c r="T28" s="15">
        <v>690</v>
      </c>
      <c r="U28" s="15">
        <v>210000</v>
      </c>
      <c r="V28" s="15">
        <f t="shared" si="3"/>
        <v>18.175712189091243</v>
      </c>
      <c r="W28" s="15">
        <v>4.3571099999999996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945</v>
      </c>
      <c r="AF28" s="22" t="s">
        <v>5</v>
      </c>
      <c r="AG28" s="17">
        <f t="shared" si="4"/>
        <v>1067.0461910450003</v>
      </c>
      <c r="AH28" s="17">
        <v>1632.3734685989571</v>
      </c>
      <c r="AI28" s="62">
        <v>4.5402754326431758</v>
      </c>
      <c r="AJ28" s="17">
        <f t="shared" si="5"/>
        <v>2.0008043301236849</v>
      </c>
      <c r="AK28" s="15">
        <f t="shared" si="6"/>
        <v>0.23972155559412212</v>
      </c>
      <c r="AL28" s="5">
        <v>10.936</v>
      </c>
      <c r="AM28">
        <v>4.7602000000000002</v>
      </c>
      <c r="AN28">
        <f t="shared" si="0"/>
        <v>0.95379930100482657</v>
      </c>
      <c r="AO28" s="5">
        <f t="shared" si="1"/>
        <v>1</v>
      </c>
      <c r="AP28" s="5">
        <f t="shared" si="2"/>
        <v>4.5402754326431758</v>
      </c>
    </row>
    <row r="29" spans="1:42" ht="15">
      <c r="A29" s="15">
        <v>24</v>
      </c>
      <c r="B29" s="20" t="s">
        <v>1042</v>
      </c>
      <c r="C29" s="20">
        <v>180</v>
      </c>
      <c r="D29" s="15">
        <v>180</v>
      </c>
      <c r="E29" s="15">
        <v>180</v>
      </c>
      <c r="F29" s="15">
        <v>14</v>
      </c>
      <c r="G29" s="15">
        <v>14</v>
      </c>
      <c r="H29" s="15">
        <v>8.5</v>
      </c>
      <c r="I29" s="15">
        <v>15</v>
      </c>
      <c r="J29" s="15">
        <v>15</v>
      </c>
      <c r="K29" s="15">
        <v>10514.85076775199</v>
      </c>
      <c r="L29" s="15">
        <v>6451</v>
      </c>
      <c r="M29" s="15"/>
      <c r="N29" s="15"/>
      <c r="O29" s="15"/>
      <c r="P29" s="15">
        <v>37960686.333333328</v>
      </c>
      <c r="Q29" s="15"/>
      <c r="R29" s="15"/>
      <c r="S29" s="15">
        <v>165.35892151371914</v>
      </c>
      <c r="T29" s="15">
        <v>690</v>
      </c>
      <c r="U29" s="15">
        <v>210000</v>
      </c>
      <c r="V29" s="15">
        <f t="shared" si="3"/>
        <v>26.918354082459974</v>
      </c>
      <c r="W29" s="15">
        <v>4.1267699999999996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946</v>
      </c>
      <c r="AF29" s="22" t="s">
        <v>5</v>
      </c>
      <c r="AG29" s="17">
        <f t="shared" si="4"/>
        <v>682.39823653517067</v>
      </c>
      <c r="AH29" s="17">
        <v>1102.2052187691497</v>
      </c>
      <c r="AI29" s="62">
        <v>4.3034745429522561</v>
      </c>
      <c r="AJ29" s="17">
        <f t="shared" si="5"/>
        <v>2.5010054126546066</v>
      </c>
      <c r="AK29" s="15">
        <f t="shared" si="6"/>
        <v>0.15330692164009416</v>
      </c>
      <c r="AL29" s="5">
        <v>10.936</v>
      </c>
      <c r="AM29">
        <v>4.5171000000000001</v>
      </c>
      <c r="AN29">
        <f t="shared" si="0"/>
        <v>0.95270738813669298</v>
      </c>
      <c r="AO29" s="5">
        <f t="shared" si="1"/>
        <v>1</v>
      </c>
      <c r="AP29" s="5">
        <f t="shared" si="2"/>
        <v>4.3034745429522561</v>
      </c>
    </row>
    <row r="30" spans="1:42" ht="15">
      <c r="A30" s="15">
        <v>25</v>
      </c>
      <c r="B30" s="20" t="s">
        <v>1043</v>
      </c>
      <c r="C30" s="20">
        <v>220</v>
      </c>
      <c r="D30" s="15">
        <v>220</v>
      </c>
      <c r="E30" s="15">
        <v>220</v>
      </c>
      <c r="F30" s="15">
        <v>16</v>
      </c>
      <c r="G30" s="15">
        <v>16</v>
      </c>
      <c r="H30" s="15">
        <v>9.5</v>
      </c>
      <c r="I30" s="15">
        <v>18</v>
      </c>
      <c r="J30" s="15">
        <v>18</v>
      </c>
      <c r="K30" s="15">
        <v>1552.160547580299</v>
      </c>
      <c r="L30" s="15">
        <v>8978</v>
      </c>
      <c r="M30" s="15"/>
      <c r="N30" s="15"/>
      <c r="O30" s="15"/>
      <c r="P30" s="15">
        <v>79965144</v>
      </c>
      <c r="Q30" s="15"/>
      <c r="R30" s="15"/>
      <c r="S30" s="15">
        <v>1651.500891840536</v>
      </c>
      <c r="T30" s="15">
        <v>690</v>
      </c>
      <c r="U30" s="15">
        <v>210000</v>
      </c>
      <c r="V30" s="15">
        <f t="shared" si="3"/>
        <v>3.7510243140687041</v>
      </c>
      <c r="W30" s="15">
        <v>3.9600900000000001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947</v>
      </c>
      <c r="AF30" s="22" t="s">
        <v>5</v>
      </c>
      <c r="AG30" s="17">
        <f t="shared" si="4"/>
        <v>6540.092166768789</v>
      </c>
      <c r="AH30" s="17">
        <v>6358.5403983774268</v>
      </c>
      <c r="AI30" s="62">
        <v>41.655050978908989</v>
      </c>
      <c r="AJ30" s="17">
        <f t="shared" si="5"/>
        <v>0.3000828006981579</v>
      </c>
      <c r="AK30" s="15">
        <f t="shared" si="6"/>
        <v>1.0557356253722932</v>
      </c>
      <c r="AL30" s="56">
        <v>6.1308999999999996</v>
      </c>
      <c r="AM30">
        <f>AI30</f>
        <v>41.655050978908989</v>
      </c>
      <c r="AN30" s="57">
        <f t="shared" si="0"/>
        <v>1</v>
      </c>
      <c r="AO30" s="5">
        <f t="shared" si="1"/>
        <v>1</v>
      </c>
      <c r="AP30" s="5">
        <f t="shared" si="2"/>
        <v>41.655050978908989</v>
      </c>
    </row>
    <row r="31" spans="1:42" ht="15">
      <c r="A31" s="15">
        <v>26</v>
      </c>
      <c r="B31" s="20" t="s">
        <v>1044</v>
      </c>
      <c r="C31" s="20">
        <v>220</v>
      </c>
      <c r="D31" s="15">
        <v>220</v>
      </c>
      <c r="E31" s="15">
        <v>220</v>
      </c>
      <c r="F31" s="15">
        <v>16</v>
      </c>
      <c r="G31" s="15">
        <v>16</v>
      </c>
      <c r="H31" s="15">
        <v>9.5</v>
      </c>
      <c r="I31" s="15">
        <v>18</v>
      </c>
      <c r="J31" s="15">
        <v>18</v>
      </c>
      <c r="K31" s="15">
        <v>2586.9342459671648</v>
      </c>
      <c r="L31" s="15">
        <v>8978</v>
      </c>
      <c r="M31" s="15"/>
      <c r="N31" s="15"/>
      <c r="O31" s="15"/>
      <c r="P31" s="15">
        <v>79965144</v>
      </c>
      <c r="Q31" s="15"/>
      <c r="R31" s="15"/>
      <c r="S31" s="15">
        <v>1466.7899413802422</v>
      </c>
      <c r="T31" s="15">
        <v>690</v>
      </c>
      <c r="U31" s="15">
        <v>210000</v>
      </c>
      <c r="V31" s="15">
        <f t="shared" si="3"/>
        <v>4.2233859295290124</v>
      </c>
      <c r="W31" s="15">
        <v>4.3265500000000001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948</v>
      </c>
      <c r="AF31" s="22" t="s">
        <v>5</v>
      </c>
      <c r="AG31" s="17">
        <f t="shared" si="4"/>
        <v>6346.1400208786872</v>
      </c>
      <c r="AH31" s="17">
        <v>5647.3739398382841</v>
      </c>
      <c r="AI31" s="62">
        <v>16.884222262647178</v>
      </c>
      <c r="AJ31" s="17">
        <f t="shared" si="5"/>
        <v>0.50013800116359652</v>
      </c>
      <c r="AK31" s="15">
        <f t="shared" si="6"/>
        <v>1.024426863230681</v>
      </c>
      <c r="AL31" s="5">
        <v>6.1308999999999996</v>
      </c>
      <c r="AM31">
        <v>12.726000000000001</v>
      </c>
      <c r="AN31">
        <f t="shared" si="0"/>
        <v>1.3267501385075575</v>
      </c>
      <c r="AO31" s="5">
        <f t="shared" si="1"/>
        <v>1</v>
      </c>
      <c r="AP31" s="5">
        <f t="shared" si="2"/>
        <v>16.884222262647178</v>
      </c>
    </row>
    <row r="32" spans="1:42" ht="15">
      <c r="A32" s="15">
        <v>27</v>
      </c>
      <c r="B32" s="20" t="s">
        <v>1045</v>
      </c>
      <c r="C32" s="20">
        <v>220</v>
      </c>
      <c r="D32" s="15">
        <v>220</v>
      </c>
      <c r="E32" s="15">
        <v>220</v>
      </c>
      <c r="F32" s="15">
        <v>16</v>
      </c>
      <c r="G32" s="15">
        <v>16</v>
      </c>
      <c r="H32" s="15">
        <v>9.5</v>
      </c>
      <c r="I32" s="15">
        <v>18</v>
      </c>
      <c r="J32" s="15">
        <v>18</v>
      </c>
      <c r="K32" s="15">
        <v>3880.4013689507474</v>
      </c>
      <c r="L32" s="15">
        <v>8978</v>
      </c>
      <c r="M32" s="15"/>
      <c r="N32" s="15"/>
      <c r="O32" s="15"/>
      <c r="P32" s="15">
        <v>79965144</v>
      </c>
      <c r="Q32" s="15"/>
      <c r="R32" s="15"/>
      <c r="S32" s="15">
        <v>1206.7410007880292</v>
      </c>
      <c r="T32" s="15">
        <v>690</v>
      </c>
      <c r="U32" s="15">
        <v>210000</v>
      </c>
      <c r="V32" s="15">
        <f t="shared" si="3"/>
        <v>5.133512490215085</v>
      </c>
      <c r="W32" s="15">
        <v>4.8992800000000001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949</v>
      </c>
      <c r="AF32" s="22" t="s">
        <v>5</v>
      </c>
      <c r="AG32" s="17">
        <f t="shared" si="4"/>
        <v>5912.1620503407757</v>
      </c>
      <c r="AH32" s="17">
        <v>4646.1442690095619</v>
      </c>
      <c r="AI32" s="62">
        <v>9.1212087825185453</v>
      </c>
      <c r="AJ32" s="17">
        <f t="shared" si="5"/>
        <v>0.75020700174539479</v>
      </c>
      <c r="AK32" s="15">
        <f t="shared" si="6"/>
        <v>0.95437188656664373</v>
      </c>
      <c r="AL32" s="5">
        <v>6.1308999999999996</v>
      </c>
      <c r="AM32">
        <v>9.3948</v>
      </c>
      <c r="AN32">
        <f t="shared" si="0"/>
        <v>0.97087844153345948</v>
      </c>
      <c r="AO32" s="5">
        <f t="shared" si="1"/>
        <v>1</v>
      </c>
      <c r="AP32" s="5">
        <f t="shared" si="2"/>
        <v>9.1212087825185453</v>
      </c>
    </row>
    <row r="33" spans="1:42" ht="15">
      <c r="A33" s="15">
        <v>28</v>
      </c>
      <c r="B33" s="20" t="s">
        <v>1046</v>
      </c>
      <c r="C33" s="20">
        <v>220</v>
      </c>
      <c r="D33" s="15">
        <v>220</v>
      </c>
      <c r="E33" s="15">
        <v>220</v>
      </c>
      <c r="F33" s="15">
        <v>16</v>
      </c>
      <c r="G33" s="15">
        <v>16</v>
      </c>
      <c r="H33" s="15">
        <v>9.5</v>
      </c>
      <c r="I33" s="15">
        <v>18</v>
      </c>
      <c r="J33" s="15">
        <v>18</v>
      </c>
      <c r="K33" s="15">
        <v>5173.8684919343295</v>
      </c>
      <c r="L33" s="15">
        <v>8978</v>
      </c>
      <c r="M33" s="15"/>
      <c r="N33" s="15"/>
      <c r="O33" s="15"/>
      <c r="P33" s="15">
        <v>79965144</v>
      </c>
      <c r="Q33" s="15"/>
      <c r="R33" s="15"/>
      <c r="S33" s="15">
        <v>939.48465127187308</v>
      </c>
      <c r="T33" s="15">
        <v>690</v>
      </c>
      <c r="U33" s="15">
        <v>210000</v>
      </c>
      <c r="V33" s="15">
        <f t="shared" si="3"/>
        <v>6.5938490763137656</v>
      </c>
      <c r="W33" s="15">
        <v>5.2303199999999999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950</v>
      </c>
      <c r="AF33" s="22" t="s">
        <v>5</v>
      </c>
      <c r="AG33" s="17">
        <f t="shared" si="4"/>
        <v>4913.8053612403028</v>
      </c>
      <c r="AH33" s="17">
        <v>3617.1649305682245</v>
      </c>
      <c r="AI33" s="62">
        <v>6.5902107472835203</v>
      </c>
      <c r="AJ33" s="17">
        <f t="shared" si="5"/>
        <v>1.000276002327193</v>
      </c>
      <c r="AK33" s="15">
        <f t="shared" si="6"/>
        <v>0.7932119676181556</v>
      </c>
      <c r="AL33" s="5">
        <v>6.1308999999999996</v>
      </c>
      <c r="AM33">
        <v>6.867</v>
      </c>
      <c r="AN33">
        <f t="shared" si="0"/>
        <v>0.95969284218487261</v>
      </c>
      <c r="AO33" s="5">
        <f t="shared" si="1"/>
        <v>1</v>
      </c>
      <c r="AP33" s="5">
        <f t="shared" si="2"/>
        <v>6.5902107472835203</v>
      </c>
    </row>
    <row r="34" spans="1:42" ht="15">
      <c r="A34" s="15">
        <v>29</v>
      </c>
      <c r="B34" s="20" t="s">
        <v>1047</v>
      </c>
      <c r="C34" s="20">
        <v>220</v>
      </c>
      <c r="D34" s="15">
        <v>220</v>
      </c>
      <c r="E34" s="15">
        <v>220</v>
      </c>
      <c r="F34" s="15">
        <v>16</v>
      </c>
      <c r="G34" s="15">
        <v>16</v>
      </c>
      <c r="H34" s="15">
        <v>9.5</v>
      </c>
      <c r="I34" s="15">
        <v>18</v>
      </c>
      <c r="J34" s="15">
        <v>18</v>
      </c>
      <c r="K34" s="15">
        <v>6881.2450942726591</v>
      </c>
      <c r="L34" s="15">
        <v>8978</v>
      </c>
      <c r="M34" s="15"/>
      <c r="N34" s="15"/>
      <c r="O34" s="15"/>
      <c r="P34" s="15">
        <v>79965144</v>
      </c>
      <c r="Q34" s="15"/>
      <c r="R34" s="15"/>
      <c r="S34" s="15">
        <v>654.9170804074962</v>
      </c>
      <c r="T34" s="15">
        <v>690</v>
      </c>
      <c r="U34" s="15">
        <v>210000</v>
      </c>
      <c r="V34" s="15">
        <f t="shared" si="3"/>
        <v>9.4589379103466324</v>
      </c>
      <c r="W34" s="15">
        <v>4.9584000000000001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951</v>
      </c>
      <c r="AF34" s="22" t="s">
        <v>5</v>
      </c>
      <c r="AG34" s="17">
        <f t="shared" si="4"/>
        <v>3247.3408514925291</v>
      </c>
      <c r="AH34" s="17">
        <v>2521.5346439913133</v>
      </c>
      <c r="AI34" s="62">
        <v>5.3444053894894914</v>
      </c>
      <c r="AJ34" s="17">
        <f t="shared" si="5"/>
        <v>1.3303670830951668</v>
      </c>
      <c r="AK34" s="15">
        <f t="shared" si="6"/>
        <v>0.5242026162975727</v>
      </c>
      <c r="AL34" s="5">
        <v>6.1308999999999996</v>
      </c>
      <c r="AM34">
        <v>5.6050000000000004</v>
      </c>
      <c r="AN34">
        <f t="shared" si="0"/>
        <v>0.95350675994460143</v>
      </c>
      <c r="AO34" s="5">
        <f t="shared" si="1"/>
        <v>1</v>
      </c>
      <c r="AP34" s="5">
        <f t="shared" si="2"/>
        <v>5.3444053894894914</v>
      </c>
    </row>
    <row r="35" spans="1:42" ht="15">
      <c r="A35" s="15">
        <v>30</v>
      </c>
      <c r="B35" s="20" t="s">
        <v>1048</v>
      </c>
      <c r="C35" s="20">
        <v>220</v>
      </c>
      <c r="D35" s="15">
        <v>220</v>
      </c>
      <c r="E35" s="15">
        <v>220</v>
      </c>
      <c r="F35" s="15">
        <v>16</v>
      </c>
      <c r="G35" s="15">
        <v>16</v>
      </c>
      <c r="H35" s="15">
        <v>9.5</v>
      </c>
      <c r="I35" s="15">
        <v>18</v>
      </c>
      <c r="J35" s="15">
        <v>18</v>
      </c>
      <c r="K35" s="15">
        <v>8640.3603815303304</v>
      </c>
      <c r="L35" s="15">
        <v>8978</v>
      </c>
      <c r="M35" s="15"/>
      <c r="N35" s="15"/>
      <c r="O35" s="15"/>
      <c r="P35" s="15">
        <v>79965144</v>
      </c>
      <c r="Q35" s="15"/>
      <c r="R35" s="15"/>
      <c r="S35" s="15">
        <v>461.61942126591231</v>
      </c>
      <c r="T35" s="15">
        <v>690</v>
      </c>
      <c r="U35" s="15">
        <v>210000</v>
      </c>
      <c r="V35" s="15">
        <f t="shared" si="3"/>
        <v>13.419756003791534</v>
      </c>
      <c r="W35" s="15">
        <v>4.6222000000000003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952</v>
      </c>
      <c r="AF35" s="22" t="s">
        <v>5</v>
      </c>
      <c r="AG35" s="17">
        <f t="shared" si="4"/>
        <v>2133.6972889753001</v>
      </c>
      <c r="AH35" s="17">
        <v>1777.3079949861317</v>
      </c>
      <c r="AI35" s="62">
        <v>4.8091904699810746</v>
      </c>
      <c r="AJ35" s="17">
        <f t="shared" si="5"/>
        <v>1.6704609238864121</v>
      </c>
      <c r="AK35" s="15">
        <f t="shared" si="6"/>
        <v>0.34443249181982688</v>
      </c>
      <c r="AL35" s="5">
        <v>6.1308999999999996</v>
      </c>
      <c r="AM35">
        <v>5.0594000000000001</v>
      </c>
      <c r="AN35">
        <f t="shared" si="0"/>
        <v>0.95054561212417965</v>
      </c>
      <c r="AO35" s="5">
        <f t="shared" si="1"/>
        <v>1</v>
      </c>
      <c r="AP35" s="5">
        <f t="shared" si="2"/>
        <v>4.8091904699810746</v>
      </c>
    </row>
    <row r="36" spans="1:42" ht="15">
      <c r="A36" s="15">
        <v>31</v>
      </c>
      <c r="B36" s="20" t="s">
        <v>1049</v>
      </c>
      <c r="C36" s="20">
        <v>220</v>
      </c>
      <c r="D36" s="15">
        <v>220</v>
      </c>
      <c r="E36" s="15">
        <v>220</v>
      </c>
      <c r="F36" s="15">
        <v>16</v>
      </c>
      <c r="G36" s="15">
        <v>16</v>
      </c>
      <c r="H36" s="15">
        <v>9.5</v>
      </c>
      <c r="I36" s="15">
        <v>18</v>
      </c>
      <c r="J36" s="15">
        <v>18</v>
      </c>
      <c r="K36" s="15">
        <v>10347.736983868659</v>
      </c>
      <c r="L36" s="15">
        <v>8978</v>
      </c>
      <c r="M36" s="15"/>
      <c r="N36" s="15"/>
      <c r="O36" s="15"/>
      <c r="P36" s="15">
        <v>79965144</v>
      </c>
      <c r="Q36" s="15"/>
      <c r="R36" s="15"/>
      <c r="S36" s="15">
        <v>341.35613492001528</v>
      </c>
      <c r="T36" s="15">
        <v>690</v>
      </c>
      <c r="U36" s="15">
        <v>210000</v>
      </c>
      <c r="V36" s="15">
        <f t="shared" si="3"/>
        <v>18.147674426450653</v>
      </c>
      <c r="W36" s="15">
        <v>4.3483099999999997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953</v>
      </c>
      <c r="AF36" s="22" t="s">
        <v>5</v>
      </c>
      <c r="AG36" s="17">
        <f t="shared" si="4"/>
        <v>1484.3222950340514</v>
      </c>
      <c r="AH36" s="17">
        <v>1314.2752661210623</v>
      </c>
      <c r="AI36" s="62">
        <v>4.5344152428742373</v>
      </c>
      <c r="AJ36" s="17">
        <f t="shared" si="5"/>
        <v>2.0005520046543861</v>
      </c>
      <c r="AK36" s="15">
        <f t="shared" si="6"/>
        <v>0.23960700957155359</v>
      </c>
      <c r="AL36" s="5">
        <v>6.1308999999999996</v>
      </c>
      <c r="AM36">
        <v>4.7782</v>
      </c>
      <c r="AN36">
        <f t="shared" si="0"/>
        <v>0.94897979215483597</v>
      </c>
      <c r="AO36" s="5">
        <f t="shared" si="1"/>
        <v>1</v>
      </c>
      <c r="AP36" s="5">
        <f t="shared" si="2"/>
        <v>4.5344152428742373</v>
      </c>
    </row>
    <row r="37" spans="1:42" ht="15">
      <c r="A37" s="15">
        <v>32</v>
      </c>
      <c r="B37" s="20" t="s">
        <v>1050</v>
      </c>
      <c r="C37" s="20">
        <v>220</v>
      </c>
      <c r="D37" s="15">
        <v>220</v>
      </c>
      <c r="E37" s="15">
        <v>220</v>
      </c>
      <c r="F37" s="15">
        <v>16</v>
      </c>
      <c r="G37" s="15">
        <v>16</v>
      </c>
      <c r="H37" s="15">
        <v>9.5</v>
      </c>
      <c r="I37" s="15">
        <v>18</v>
      </c>
      <c r="J37" s="15">
        <v>18</v>
      </c>
      <c r="K37" s="15">
        <v>12934.671229835823</v>
      </c>
      <c r="L37" s="15">
        <v>8978</v>
      </c>
      <c r="M37" s="15"/>
      <c r="N37" s="15"/>
      <c r="O37" s="15"/>
      <c r="P37" s="15">
        <v>79965144</v>
      </c>
      <c r="Q37" s="15"/>
      <c r="R37" s="15"/>
      <c r="S37" s="15">
        <v>230.48923583071459</v>
      </c>
      <c r="T37" s="15">
        <v>690</v>
      </c>
      <c r="U37" s="15">
        <v>210000</v>
      </c>
      <c r="V37" s="15">
        <f t="shared" si="3"/>
        <v>26.876829964197789</v>
      </c>
      <c r="W37" s="15">
        <v>4.1187100000000001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954</v>
      </c>
      <c r="AF37" s="22" t="s">
        <v>5</v>
      </c>
      <c r="AG37" s="17">
        <f t="shared" si="4"/>
        <v>949.31832050832247</v>
      </c>
      <c r="AH37" s="17">
        <v>887.42011867000087</v>
      </c>
      <c r="AI37" s="62">
        <v>4.2979199950263389</v>
      </c>
      <c r="AJ37" s="17">
        <f t="shared" si="5"/>
        <v>2.5006900058179822</v>
      </c>
      <c r="AK37" s="15">
        <f t="shared" si="6"/>
        <v>0.15324389094571311</v>
      </c>
      <c r="AL37" s="5">
        <v>6.1308999999999996</v>
      </c>
      <c r="AM37">
        <v>4.5353000000000003</v>
      </c>
      <c r="AN37">
        <f t="shared" si="0"/>
        <v>0.9476594701621367</v>
      </c>
      <c r="AO37" s="5">
        <f t="shared" si="1"/>
        <v>1</v>
      </c>
      <c r="AP37" s="5">
        <f t="shared" si="2"/>
        <v>4.2979199950263389</v>
      </c>
    </row>
    <row r="38" spans="1:42" ht="15">
      <c r="A38" s="15">
        <v>33</v>
      </c>
      <c r="B38" s="20" t="s">
        <v>1051</v>
      </c>
      <c r="C38" s="20">
        <v>260</v>
      </c>
      <c r="D38" s="15">
        <v>260</v>
      </c>
      <c r="E38" s="15">
        <v>260</v>
      </c>
      <c r="F38" s="15">
        <v>17.5</v>
      </c>
      <c r="G38" s="15">
        <v>17.5</v>
      </c>
      <c r="H38" s="15">
        <v>10</v>
      </c>
      <c r="I38" s="15">
        <v>24</v>
      </c>
      <c r="J38" s="15">
        <v>24</v>
      </c>
      <c r="K38" s="15">
        <v>1848.8314995532969</v>
      </c>
      <c r="L38" s="15">
        <v>11525</v>
      </c>
      <c r="M38" s="15"/>
      <c r="N38" s="15"/>
      <c r="O38" s="15"/>
      <c r="P38" s="15">
        <v>145667981.77083331</v>
      </c>
      <c r="Q38" s="15"/>
      <c r="R38" s="15"/>
      <c r="S38" s="15">
        <v>2123.7859871278138</v>
      </c>
      <c r="T38" s="15">
        <v>690</v>
      </c>
      <c r="U38" s="15">
        <v>210000</v>
      </c>
      <c r="V38" s="15">
        <f t="shared" si="3"/>
        <v>3.7443744559001164</v>
      </c>
      <c r="W38" s="15">
        <v>3.9997400000000001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955</v>
      </c>
      <c r="AF38" s="22" t="s">
        <v>5</v>
      </c>
      <c r="AG38" s="17">
        <f t="shared" si="4"/>
        <v>8494.5917641546021</v>
      </c>
      <c r="AH38" s="17">
        <v>5259.2706426171508</v>
      </c>
      <c r="AI38" s="62">
        <v>41.588928237593798</v>
      </c>
      <c r="AJ38" s="17">
        <f t="shared" si="5"/>
        <v>0.30005493405215333</v>
      </c>
      <c r="AK38" s="15">
        <f t="shared" si="6"/>
        <v>1.068199788003974</v>
      </c>
      <c r="AL38" s="56">
        <v>3.2757000000000001</v>
      </c>
      <c r="AM38">
        <f>AI38</f>
        <v>41.588928237593798</v>
      </c>
      <c r="AN38" s="57">
        <f t="shared" ref="AN38:AN69" si="7">AI38/AM38</f>
        <v>1</v>
      </c>
      <c r="AO38" s="5">
        <f t="shared" ref="AO38:AO70" si="8">E38/C38</f>
        <v>1</v>
      </c>
      <c r="AP38" s="5">
        <f t="shared" si="2"/>
        <v>41.588928237593798</v>
      </c>
    </row>
    <row r="39" spans="1:42" ht="15">
      <c r="A39" s="15">
        <v>34</v>
      </c>
      <c r="B39" s="20" t="s">
        <v>1052</v>
      </c>
      <c r="C39" s="20">
        <v>260</v>
      </c>
      <c r="D39" s="15">
        <v>260</v>
      </c>
      <c r="E39" s="15">
        <v>260</v>
      </c>
      <c r="F39" s="15">
        <v>17.5</v>
      </c>
      <c r="G39" s="15">
        <v>17.5</v>
      </c>
      <c r="H39" s="15">
        <v>10</v>
      </c>
      <c r="I39" s="15">
        <v>24</v>
      </c>
      <c r="J39" s="15">
        <v>24</v>
      </c>
      <c r="K39" s="15">
        <v>3081.3858325888282</v>
      </c>
      <c r="L39" s="15">
        <v>11525</v>
      </c>
      <c r="M39" s="15"/>
      <c r="N39" s="15"/>
      <c r="O39" s="15"/>
      <c r="P39" s="15">
        <v>145667981.77083331</v>
      </c>
      <c r="Q39" s="15"/>
      <c r="R39" s="15"/>
      <c r="S39" s="15">
        <v>1886.2526438551718</v>
      </c>
      <c r="T39" s="15">
        <v>690</v>
      </c>
      <c r="U39" s="15">
        <v>210000</v>
      </c>
      <c r="V39" s="15">
        <f t="shared" si="3"/>
        <v>4.215898663366211</v>
      </c>
      <c r="W39" s="15">
        <v>4.3722700000000003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956</v>
      </c>
      <c r="AF39" s="22" t="s">
        <v>5</v>
      </c>
      <c r="AG39" s="17">
        <f t="shared" si="4"/>
        <v>8247.2058471486525</v>
      </c>
      <c r="AH39" s="17">
        <v>4671.0512332754497</v>
      </c>
      <c r="AI39" s="62">
        <v>16.85742044546668</v>
      </c>
      <c r="AJ39" s="17">
        <f t="shared" si="5"/>
        <v>0.50009155675358885</v>
      </c>
      <c r="AK39" s="15">
        <f t="shared" si="6"/>
        <v>1.0370908670060237</v>
      </c>
      <c r="AL39" s="5">
        <v>3.2757000000000001</v>
      </c>
      <c r="AM39">
        <f>AI39</f>
        <v>16.85742044546668</v>
      </c>
      <c r="AN39" s="57">
        <f t="shared" si="7"/>
        <v>1</v>
      </c>
      <c r="AO39" s="5">
        <f t="shared" si="8"/>
        <v>1</v>
      </c>
      <c r="AP39" s="5">
        <f t="shared" si="2"/>
        <v>16.85742044546668</v>
      </c>
    </row>
    <row r="40" spans="1:42" ht="15">
      <c r="A40" s="15">
        <v>35</v>
      </c>
      <c r="B40" s="20" t="s">
        <v>1053</v>
      </c>
      <c r="C40" s="20">
        <v>260</v>
      </c>
      <c r="D40" s="15">
        <v>260</v>
      </c>
      <c r="E40" s="15">
        <v>260</v>
      </c>
      <c r="F40" s="15">
        <v>17.5</v>
      </c>
      <c r="G40" s="15">
        <v>17.5</v>
      </c>
      <c r="H40" s="15">
        <v>10</v>
      </c>
      <c r="I40" s="15">
        <v>24</v>
      </c>
      <c r="J40" s="15">
        <v>24</v>
      </c>
      <c r="K40" s="15">
        <v>4622.078748883242</v>
      </c>
      <c r="L40" s="15">
        <v>11525</v>
      </c>
      <c r="M40" s="15"/>
      <c r="N40" s="15"/>
      <c r="O40" s="15"/>
      <c r="P40" s="15">
        <v>145667981.77083334</v>
      </c>
      <c r="Q40" s="15"/>
      <c r="R40" s="15"/>
      <c r="S40" s="15">
        <v>1551.8366597489382</v>
      </c>
      <c r="T40" s="15">
        <v>690</v>
      </c>
      <c r="U40" s="15">
        <v>210000</v>
      </c>
      <c r="V40" s="15">
        <f t="shared" si="3"/>
        <v>5.1244117414306629</v>
      </c>
      <c r="W40" s="15">
        <v>4.9489999999999998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957</v>
      </c>
      <c r="AF40" s="22" t="s">
        <v>5</v>
      </c>
      <c r="AG40" s="17">
        <f t="shared" si="4"/>
        <v>7680.039629097495</v>
      </c>
      <c r="AH40" s="17">
        <v>3842.9149811804809</v>
      </c>
      <c r="AI40" s="62">
        <v>9.1067298822499207</v>
      </c>
      <c r="AJ40" s="17">
        <f t="shared" si="5"/>
        <v>0.75013733513038316</v>
      </c>
      <c r="AK40" s="15">
        <f t="shared" si="6"/>
        <v>0.96576938968185044</v>
      </c>
      <c r="AL40" s="5">
        <v>3.2757000000000001</v>
      </c>
      <c r="AM40">
        <v>9.3552</v>
      </c>
      <c r="AN40">
        <f t="shared" si="7"/>
        <v>0.97344042695505395</v>
      </c>
      <c r="AO40" s="5">
        <f t="shared" si="8"/>
        <v>1</v>
      </c>
      <c r="AP40" s="5">
        <f t="shared" si="2"/>
        <v>9.1067298822499207</v>
      </c>
    </row>
    <row r="41" spans="1:42" ht="15">
      <c r="A41" s="15">
        <v>36</v>
      </c>
      <c r="B41" s="20" t="s">
        <v>1054</v>
      </c>
      <c r="C41" s="20">
        <v>260</v>
      </c>
      <c r="D41" s="15">
        <v>260</v>
      </c>
      <c r="E41" s="15">
        <v>260</v>
      </c>
      <c r="F41" s="15">
        <v>17.5</v>
      </c>
      <c r="G41" s="15">
        <v>17.5</v>
      </c>
      <c r="H41" s="15">
        <v>10</v>
      </c>
      <c r="I41" s="15">
        <v>24</v>
      </c>
      <c r="J41" s="15">
        <v>24</v>
      </c>
      <c r="K41" s="15">
        <v>6162.7716651776564</v>
      </c>
      <c r="L41" s="15">
        <v>11525</v>
      </c>
      <c r="M41" s="15"/>
      <c r="N41" s="15"/>
      <c r="O41" s="15"/>
      <c r="P41" s="15">
        <v>145667981.77083334</v>
      </c>
      <c r="Q41" s="15"/>
      <c r="R41" s="15"/>
      <c r="S41" s="15">
        <v>1208.1521404867165</v>
      </c>
      <c r="T41" s="15">
        <v>690</v>
      </c>
      <c r="U41" s="15">
        <v>210000</v>
      </c>
      <c r="V41" s="15">
        <f t="shared" si="3"/>
        <v>6.5821594263751866</v>
      </c>
      <c r="W41" s="15">
        <v>5.2818500000000004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958</v>
      </c>
      <c r="AF41" s="22" t="s">
        <v>5</v>
      </c>
      <c r="AG41" s="17">
        <f t="shared" si="4"/>
        <v>6381.2783832297637</v>
      </c>
      <c r="AH41" s="17">
        <v>2991.8264471035236</v>
      </c>
      <c r="AI41" s="62">
        <v>6.5797495237292436</v>
      </c>
      <c r="AJ41" s="17">
        <f t="shared" si="5"/>
        <v>1.0001831135071775</v>
      </c>
      <c r="AK41" s="15">
        <f t="shared" si="6"/>
        <v>0.80244941786661184</v>
      </c>
      <c r="AL41" s="5">
        <v>3.2757000000000001</v>
      </c>
      <c r="AM41">
        <v>6.8621999999999996</v>
      </c>
      <c r="AN41">
        <f t="shared" si="7"/>
        <v>0.95883966129364406</v>
      </c>
      <c r="AO41" s="5">
        <f t="shared" si="8"/>
        <v>1</v>
      </c>
      <c r="AP41" s="5">
        <f t="shared" si="2"/>
        <v>6.5797495237292436</v>
      </c>
    </row>
    <row r="42" spans="1:42" ht="15">
      <c r="A42" s="15">
        <v>37</v>
      </c>
      <c r="B42" s="20" t="s">
        <v>1055</v>
      </c>
      <c r="C42" s="20">
        <v>260</v>
      </c>
      <c r="D42" s="15">
        <v>260</v>
      </c>
      <c r="E42" s="15">
        <v>260</v>
      </c>
      <c r="F42" s="15">
        <v>17.5</v>
      </c>
      <c r="G42" s="15">
        <v>17.5</v>
      </c>
      <c r="H42" s="15">
        <v>10</v>
      </c>
      <c r="I42" s="15">
        <v>24</v>
      </c>
      <c r="J42" s="15">
        <v>24</v>
      </c>
      <c r="K42" s="15">
        <v>8196.4863146862845</v>
      </c>
      <c r="L42" s="15">
        <v>11525</v>
      </c>
      <c r="M42" s="15"/>
      <c r="N42" s="15"/>
      <c r="O42" s="15"/>
      <c r="P42" s="15">
        <v>145667981.77083334</v>
      </c>
      <c r="Q42" s="15"/>
      <c r="R42" s="15"/>
      <c r="S42" s="15">
        <v>842.20585345854056</v>
      </c>
      <c r="T42" s="15">
        <v>690</v>
      </c>
      <c r="U42" s="15">
        <v>210000</v>
      </c>
      <c r="V42" s="15">
        <f t="shared" si="3"/>
        <v>9.442168998640744</v>
      </c>
      <c r="W42" s="15">
        <v>5.0070100000000002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959</v>
      </c>
      <c r="AF42" s="22" t="s">
        <v>5</v>
      </c>
      <c r="AG42" s="17">
        <f t="shared" si="4"/>
        <v>4216.9331303254476</v>
      </c>
      <c r="AH42" s="17">
        <v>2085.6096362727617</v>
      </c>
      <c r="AI42" s="62">
        <v>5.3359217428068471</v>
      </c>
      <c r="AJ42" s="17">
        <f t="shared" si="5"/>
        <v>1.3302435409645466</v>
      </c>
      <c r="AK42" s="15">
        <f t="shared" si="6"/>
        <v>0.53028176054895748</v>
      </c>
      <c r="AL42" s="5">
        <v>3.2757000000000001</v>
      </c>
      <c r="AM42">
        <v>5.6125999999999996</v>
      </c>
      <c r="AN42">
        <f t="shared" si="7"/>
        <v>0.95070408416898544</v>
      </c>
      <c r="AO42" s="5">
        <f t="shared" si="8"/>
        <v>1</v>
      </c>
      <c r="AP42" s="5">
        <f t="shared" si="2"/>
        <v>5.3359217428068471</v>
      </c>
    </row>
    <row r="43" spans="1:42" ht="15">
      <c r="A43" s="15">
        <v>38</v>
      </c>
      <c r="B43" s="20" t="s">
        <v>1056</v>
      </c>
      <c r="C43" s="20">
        <v>260</v>
      </c>
      <c r="D43" s="15">
        <v>260</v>
      </c>
      <c r="E43" s="15">
        <v>260</v>
      </c>
      <c r="F43" s="15">
        <v>17.5</v>
      </c>
      <c r="G43" s="15">
        <v>17.5</v>
      </c>
      <c r="H43" s="15">
        <v>10</v>
      </c>
      <c r="I43" s="15">
        <v>24</v>
      </c>
      <c r="J43" s="15">
        <v>24</v>
      </c>
      <c r="K43" s="15">
        <v>10291.828680846686</v>
      </c>
      <c r="L43" s="15">
        <v>11525</v>
      </c>
      <c r="M43" s="15"/>
      <c r="N43" s="15"/>
      <c r="O43" s="15"/>
      <c r="P43" s="15">
        <v>145667981.77083334</v>
      </c>
      <c r="Q43" s="15"/>
      <c r="R43" s="15"/>
      <c r="S43" s="15">
        <v>593.63023242330667</v>
      </c>
      <c r="T43" s="15">
        <v>690</v>
      </c>
      <c r="U43" s="15">
        <v>210000</v>
      </c>
      <c r="V43" s="15">
        <f t="shared" si="3"/>
        <v>13.395965309141125</v>
      </c>
      <c r="W43" s="15">
        <v>4.6631900000000002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960</v>
      </c>
      <c r="AF43" s="22" t="s">
        <v>5</v>
      </c>
      <c r="AG43" s="17">
        <f t="shared" si="4"/>
        <v>2768.2105635340395</v>
      </c>
      <c r="AH43" s="17">
        <v>1470.0455097060592</v>
      </c>
      <c r="AI43" s="62">
        <v>4.8015564172093459</v>
      </c>
      <c r="AJ43" s="17">
        <f t="shared" si="5"/>
        <v>1.6703057995569865</v>
      </c>
      <c r="AK43" s="15">
        <f t="shared" si="6"/>
        <v>0.34810406658920928</v>
      </c>
      <c r="AL43" s="5">
        <v>3.2757000000000001</v>
      </c>
      <c r="AM43">
        <v>5.0709999999999997</v>
      </c>
      <c r="AN43">
        <f t="shared" si="7"/>
        <v>0.94686578923473597</v>
      </c>
      <c r="AO43" s="5">
        <f t="shared" si="8"/>
        <v>1</v>
      </c>
      <c r="AP43" s="5">
        <f t="shared" si="2"/>
        <v>4.8015564172093459</v>
      </c>
    </row>
    <row r="44" spans="1:42" ht="15">
      <c r="A44" s="15">
        <v>39</v>
      </c>
      <c r="B44" s="20" t="s">
        <v>1057</v>
      </c>
      <c r="C44" s="20">
        <v>260</v>
      </c>
      <c r="D44" s="15">
        <v>260</v>
      </c>
      <c r="E44" s="15">
        <v>260</v>
      </c>
      <c r="F44" s="15">
        <v>17.5</v>
      </c>
      <c r="G44" s="15">
        <v>17.5</v>
      </c>
      <c r="H44" s="15">
        <v>10</v>
      </c>
      <c r="I44" s="15">
        <v>24</v>
      </c>
      <c r="J44" s="15">
        <v>24</v>
      </c>
      <c r="K44" s="15">
        <v>12325.543330355313</v>
      </c>
      <c r="L44" s="15">
        <v>11525</v>
      </c>
      <c r="M44" s="15"/>
      <c r="N44" s="15"/>
      <c r="O44" s="15"/>
      <c r="P44" s="15">
        <v>145667981.77083334</v>
      </c>
      <c r="Q44" s="15"/>
      <c r="R44" s="15"/>
      <c r="S44" s="15">
        <v>438.97486192410759</v>
      </c>
      <c r="T44" s="15">
        <v>690</v>
      </c>
      <c r="U44" s="15">
        <v>210000</v>
      </c>
      <c r="V44" s="15">
        <f t="shared" si="3"/>
        <v>18.11550202474881</v>
      </c>
      <c r="W44" s="15">
        <v>4.3874199999999997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961</v>
      </c>
      <c r="AF44" s="22" t="s">
        <v>5</v>
      </c>
      <c r="AG44" s="17">
        <f t="shared" si="4"/>
        <v>1925.9670887030679</v>
      </c>
      <c r="AH44" s="17">
        <v>1087.0622643511365</v>
      </c>
      <c r="AI44" s="62">
        <v>4.5272173650881316</v>
      </c>
      <c r="AJ44" s="17">
        <f t="shared" si="5"/>
        <v>2.0003662270143554</v>
      </c>
      <c r="AK44" s="15">
        <f t="shared" si="6"/>
        <v>0.24219146640297626</v>
      </c>
      <c r="AL44" s="5">
        <v>3.2757000000000001</v>
      </c>
      <c r="AM44">
        <v>4.7915999999999999</v>
      </c>
      <c r="AN44">
        <f t="shared" si="7"/>
        <v>0.94482372591370978</v>
      </c>
      <c r="AO44" s="5">
        <f t="shared" si="8"/>
        <v>1</v>
      </c>
      <c r="AP44" s="5">
        <f t="shared" si="2"/>
        <v>4.5272173650881316</v>
      </c>
    </row>
    <row r="45" spans="1:42" ht="15">
      <c r="A45" s="15">
        <v>40</v>
      </c>
      <c r="B45" s="20" t="s">
        <v>1058</v>
      </c>
      <c r="C45" s="20">
        <v>260</v>
      </c>
      <c r="D45" s="15">
        <v>260</v>
      </c>
      <c r="E45" s="15">
        <v>260</v>
      </c>
      <c r="F45" s="15">
        <v>17.5</v>
      </c>
      <c r="G45" s="15">
        <v>17.5</v>
      </c>
      <c r="H45" s="15">
        <v>10</v>
      </c>
      <c r="I45" s="15">
        <v>24</v>
      </c>
      <c r="J45" s="15">
        <v>24</v>
      </c>
      <c r="K45" s="15">
        <v>15406.929162944141</v>
      </c>
      <c r="L45" s="15">
        <v>11525</v>
      </c>
      <c r="M45" s="15"/>
      <c r="N45" s="15"/>
      <c r="O45" s="15"/>
      <c r="P45" s="15">
        <v>145667981.77083334</v>
      </c>
      <c r="Q45" s="15"/>
      <c r="R45" s="15"/>
      <c r="S45" s="15">
        <v>296.40299418520402</v>
      </c>
      <c r="T45" s="15">
        <v>690</v>
      </c>
      <c r="U45" s="15">
        <v>210000</v>
      </c>
      <c r="V45" s="15">
        <f t="shared" si="3"/>
        <v>26.829182417203004</v>
      </c>
      <c r="W45" s="15">
        <v>4.1562900000000003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962</v>
      </c>
      <c r="AF45" s="22" t="s">
        <v>5</v>
      </c>
      <c r="AG45" s="17">
        <f t="shared" si="4"/>
        <v>1231.9368007020216</v>
      </c>
      <c r="AH45" s="17">
        <v>734.00219002775179</v>
      </c>
      <c r="AI45" s="62">
        <v>4.2910975270339593</v>
      </c>
      <c r="AJ45" s="17">
        <f t="shared" si="5"/>
        <v>2.5004577837679443</v>
      </c>
      <c r="AK45" s="15">
        <f t="shared" si="6"/>
        <v>0.15491675949599443</v>
      </c>
      <c r="AL45" s="5">
        <v>3.2757000000000001</v>
      </c>
      <c r="AM45">
        <v>4.5498000000000003</v>
      </c>
      <c r="AN45">
        <f t="shared" si="7"/>
        <v>0.94313981428501448</v>
      </c>
      <c r="AO45" s="5">
        <f t="shared" si="8"/>
        <v>1</v>
      </c>
      <c r="AP45" s="5">
        <f t="shared" si="2"/>
        <v>4.2910975270339593</v>
      </c>
    </row>
    <row r="46" spans="1:42" ht="15">
      <c r="A46" s="15">
        <v>41</v>
      </c>
      <c r="B46" s="20" t="s">
        <v>1059</v>
      </c>
      <c r="C46" s="20">
        <v>300</v>
      </c>
      <c r="D46" s="15">
        <v>300</v>
      </c>
      <c r="E46" s="15">
        <v>300</v>
      </c>
      <c r="F46" s="15">
        <v>19</v>
      </c>
      <c r="G46" s="15">
        <v>19</v>
      </c>
      <c r="H46" s="15">
        <v>11</v>
      </c>
      <c r="I46" s="15">
        <v>27</v>
      </c>
      <c r="J46" s="15">
        <v>27</v>
      </c>
      <c r="K46" s="15">
        <v>2139.6894375254997</v>
      </c>
      <c r="L46" s="15">
        <v>14491</v>
      </c>
      <c r="M46" s="15"/>
      <c r="N46" s="15"/>
      <c r="O46" s="15"/>
      <c r="P46" s="15">
        <v>245377887.58333334</v>
      </c>
      <c r="Q46" s="15"/>
      <c r="R46" s="15"/>
      <c r="S46" s="15">
        <v>2672.4151073268222</v>
      </c>
      <c r="T46" s="15">
        <v>690</v>
      </c>
      <c r="U46" s="15">
        <v>210000</v>
      </c>
      <c r="V46" s="15">
        <f t="shared" si="3"/>
        <v>3.7414808697147515</v>
      </c>
      <c r="W46" s="15">
        <v>3.98773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963</v>
      </c>
      <c r="AF46" s="22" t="s">
        <v>5</v>
      </c>
      <c r="AG46" s="17">
        <f t="shared" si="4"/>
        <v>10656.869895940388</v>
      </c>
      <c r="AH46" s="17">
        <v>4672.9934395450055</v>
      </c>
      <c r="AI46" s="62">
        <v>41.567036201691536</v>
      </c>
      <c r="AJ46" s="17">
        <f t="shared" si="5"/>
        <v>0.30001794684021788</v>
      </c>
      <c r="AK46" s="15">
        <f t="shared" si="6"/>
        <v>1.0658159533243912</v>
      </c>
      <c r="AL46" s="56">
        <v>1.7927999999999999</v>
      </c>
      <c r="AM46">
        <f>AI46</f>
        <v>41.567036201691536</v>
      </c>
      <c r="AN46" s="57">
        <f t="shared" si="7"/>
        <v>1</v>
      </c>
      <c r="AO46" s="5">
        <f t="shared" si="8"/>
        <v>1</v>
      </c>
      <c r="AP46" s="5">
        <f t="shared" si="2"/>
        <v>41.567036201691536</v>
      </c>
    </row>
    <row r="47" spans="1:42" ht="15">
      <c r="A47" s="15">
        <v>42</v>
      </c>
      <c r="B47" s="20" t="s">
        <v>1060</v>
      </c>
      <c r="C47" s="20">
        <v>300</v>
      </c>
      <c r="D47" s="15">
        <v>300</v>
      </c>
      <c r="E47" s="15">
        <v>300</v>
      </c>
      <c r="F47" s="15">
        <v>19</v>
      </c>
      <c r="G47" s="15">
        <v>19</v>
      </c>
      <c r="H47" s="15">
        <v>11</v>
      </c>
      <c r="I47" s="15">
        <v>27</v>
      </c>
      <c r="J47" s="15">
        <v>27</v>
      </c>
      <c r="K47" s="15">
        <v>3566.1490625424999</v>
      </c>
      <c r="L47" s="15">
        <v>14491</v>
      </c>
      <c r="M47" s="15"/>
      <c r="N47" s="15"/>
      <c r="O47" s="15"/>
      <c r="P47" s="15">
        <v>245377887.58333334</v>
      </c>
      <c r="Q47" s="15"/>
      <c r="R47" s="15"/>
      <c r="S47" s="15">
        <v>2373.5207277127365</v>
      </c>
      <c r="T47" s="15">
        <v>690</v>
      </c>
      <c r="U47" s="15">
        <v>210000</v>
      </c>
      <c r="V47" s="15">
        <f t="shared" si="3"/>
        <v>4.2126406916342454</v>
      </c>
      <c r="W47" s="15">
        <v>4.3603100000000001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964</v>
      </c>
      <c r="AF47" s="22" t="s">
        <v>5</v>
      </c>
      <c r="AG47" s="17">
        <f t="shared" si="4"/>
        <v>10349.286164253122</v>
      </c>
      <c r="AH47" s="17">
        <v>4150.3457897752714</v>
      </c>
      <c r="AI47" s="62">
        <v>16.848546851718275</v>
      </c>
      <c r="AJ47" s="17">
        <f t="shared" si="5"/>
        <v>0.50002991140036313</v>
      </c>
      <c r="AK47" s="15">
        <f t="shared" si="6"/>
        <v>1.0350538579421233</v>
      </c>
      <c r="AL47" s="5">
        <v>1.7927999999999999</v>
      </c>
      <c r="AM47">
        <f>AI47</f>
        <v>16.848546851718275</v>
      </c>
      <c r="AN47" s="57">
        <f t="shared" si="7"/>
        <v>1</v>
      </c>
      <c r="AO47" s="5">
        <f t="shared" si="8"/>
        <v>1</v>
      </c>
      <c r="AP47" s="5">
        <f t="shared" si="2"/>
        <v>16.848546851718275</v>
      </c>
    </row>
    <row r="48" spans="1:42" ht="15">
      <c r="A48" s="15">
        <v>43</v>
      </c>
      <c r="B48" s="20" t="s">
        <v>1061</v>
      </c>
      <c r="C48" s="20">
        <v>300</v>
      </c>
      <c r="D48" s="15">
        <v>300</v>
      </c>
      <c r="E48" s="15">
        <v>300</v>
      </c>
      <c r="F48" s="15">
        <v>19</v>
      </c>
      <c r="G48" s="15">
        <v>19</v>
      </c>
      <c r="H48" s="15">
        <v>11</v>
      </c>
      <c r="I48" s="15">
        <v>27</v>
      </c>
      <c r="J48" s="15">
        <v>27</v>
      </c>
      <c r="K48" s="15">
        <v>5349.2235938137492</v>
      </c>
      <c r="L48" s="15">
        <v>14491.000000000002</v>
      </c>
      <c r="M48" s="15"/>
      <c r="N48" s="15"/>
      <c r="O48" s="15"/>
      <c r="P48" s="15">
        <v>245377887.58333334</v>
      </c>
      <c r="Q48" s="15"/>
      <c r="R48" s="15"/>
      <c r="S48" s="15">
        <v>1952.7164030426727</v>
      </c>
      <c r="T48" s="15">
        <v>690</v>
      </c>
      <c r="U48" s="15">
        <v>210000</v>
      </c>
      <c r="V48" s="15">
        <f t="shared" si="3"/>
        <v>5.1204516869014585</v>
      </c>
      <c r="W48" s="15">
        <v>4.9367599999999996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965</v>
      </c>
      <c r="AF48" s="22" t="s">
        <v>5</v>
      </c>
      <c r="AG48" s="17">
        <f t="shared" si="4"/>
        <v>9640.0922298849437</v>
      </c>
      <c r="AH48" s="17">
        <v>3414.5260276716385</v>
      </c>
      <c r="AI48" s="62">
        <v>9.1019361819555638</v>
      </c>
      <c r="AJ48" s="17">
        <f t="shared" si="5"/>
        <v>0.75004486710054463</v>
      </c>
      <c r="AK48" s="15">
        <f t="shared" si="6"/>
        <v>0.96412588222024287</v>
      </c>
      <c r="AL48" s="5">
        <v>1.7927999999999999</v>
      </c>
      <c r="AM48">
        <v>9.2911999999999999</v>
      </c>
      <c r="AN48">
        <f t="shared" si="7"/>
        <v>0.97962977677324392</v>
      </c>
      <c r="AO48" s="5">
        <f t="shared" si="8"/>
        <v>1</v>
      </c>
      <c r="AP48" s="5">
        <f t="shared" si="2"/>
        <v>9.1019361819555638</v>
      </c>
    </row>
    <row r="49" spans="1:42" ht="15">
      <c r="A49" s="15">
        <v>44</v>
      </c>
      <c r="B49" s="20" t="s">
        <v>1062</v>
      </c>
      <c r="C49" s="20">
        <v>300</v>
      </c>
      <c r="D49" s="15">
        <v>300</v>
      </c>
      <c r="E49" s="15">
        <v>300</v>
      </c>
      <c r="F49" s="15">
        <v>19</v>
      </c>
      <c r="G49" s="15">
        <v>19</v>
      </c>
      <c r="H49" s="15">
        <v>11</v>
      </c>
      <c r="I49" s="15">
        <v>27</v>
      </c>
      <c r="J49" s="15">
        <v>27</v>
      </c>
      <c r="K49" s="15">
        <v>7132.2981250849998</v>
      </c>
      <c r="L49" s="15">
        <v>14491.000000000002</v>
      </c>
      <c r="M49" s="15"/>
      <c r="N49" s="15"/>
      <c r="O49" s="15"/>
      <c r="P49" s="15">
        <v>245377887.58333334</v>
      </c>
      <c r="Q49" s="15"/>
      <c r="R49" s="15"/>
      <c r="S49" s="15">
        <v>1520.2492396855755</v>
      </c>
      <c r="T49" s="15">
        <v>690</v>
      </c>
      <c r="U49" s="15">
        <v>210000</v>
      </c>
      <c r="V49" s="15">
        <f t="shared" si="3"/>
        <v>6.5770728502834146</v>
      </c>
      <c r="W49" s="15">
        <v>5.2719899999999997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966</v>
      </c>
      <c r="AF49" s="22" t="s">
        <v>5</v>
      </c>
      <c r="AG49" s="17">
        <f t="shared" si="4"/>
        <v>8014.7387891299568</v>
      </c>
      <c r="AH49" s="17">
        <v>2658.3125892556859</v>
      </c>
      <c r="AI49" s="62">
        <v>6.576286003054256</v>
      </c>
      <c r="AJ49" s="17">
        <f t="shared" si="5"/>
        <v>1.0000598228007265</v>
      </c>
      <c r="AK49" s="15">
        <f t="shared" si="6"/>
        <v>0.80157086898814311</v>
      </c>
      <c r="AL49" s="5">
        <v>1.7927999999999999</v>
      </c>
      <c r="AM49">
        <v>6.8414000000000001</v>
      </c>
      <c r="AN49">
        <f t="shared" si="7"/>
        <v>0.96124857529953756</v>
      </c>
      <c r="AO49" s="5">
        <f t="shared" si="8"/>
        <v>1</v>
      </c>
      <c r="AP49" s="5">
        <f t="shared" si="2"/>
        <v>6.576286003054256</v>
      </c>
    </row>
    <row r="50" spans="1:42" ht="15">
      <c r="A50" s="15">
        <v>45</v>
      </c>
      <c r="B50" s="20" t="s">
        <v>1063</v>
      </c>
      <c r="C50" s="20">
        <v>300</v>
      </c>
      <c r="D50" s="15">
        <v>300</v>
      </c>
      <c r="E50" s="15">
        <v>300</v>
      </c>
      <c r="F50" s="15">
        <v>19</v>
      </c>
      <c r="G50" s="15">
        <v>19</v>
      </c>
      <c r="H50" s="15">
        <v>11</v>
      </c>
      <c r="I50" s="15">
        <v>27</v>
      </c>
      <c r="J50" s="15">
        <v>27</v>
      </c>
      <c r="K50" s="15">
        <v>9485.9565063630507</v>
      </c>
      <c r="L50" s="15">
        <v>14491.000000000002</v>
      </c>
      <c r="M50" s="15"/>
      <c r="N50" s="15"/>
      <c r="O50" s="15"/>
      <c r="P50" s="15">
        <v>245377887.58333334</v>
      </c>
      <c r="Q50" s="15"/>
      <c r="R50" s="15"/>
      <c r="S50" s="15">
        <v>1059.7695153387556</v>
      </c>
      <c r="T50" s="15">
        <v>690</v>
      </c>
      <c r="U50" s="15">
        <v>210000</v>
      </c>
      <c r="V50" s="15">
        <f t="shared" si="3"/>
        <v>9.4348722578643773</v>
      </c>
      <c r="W50" s="15">
        <v>5.0009199999999998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967</v>
      </c>
      <c r="AF50" s="22" t="s">
        <v>5</v>
      </c>
      <c r="AG50" s="17">
        <f t="shared" si="4"/>
        <v>5299.8225646478895</v>
      </c>
      <c r="AH50" s="17">
        <v>1853.1162988228673</v>
      </c>
      <c r="AI50" s="62">
        <v>5.3331129618327866</v>
      </c>
      <c r="AJ50" s="17">
        <f t="shared" si="5"/>
        <v>1.3300795643249663</v>
      </c>
      <c r="AK50" s="15">
        <f t="shared" si="6"/>
        <v>0.53004639207823034</v>
      </c>
      <c r="AL50" s="5">
        <v>1.7927999999999999</v>
      </c>
      <c r="AM50">
        <v>5.6083999999999996</v>
      </c>
      <c r="AN50">
        <f t="shared" si="7"/>
        <v>0.95091522748605428</v>
      </c>
      <c r="AO50" s="5">
        <f t="shared" si="8"/>
        <v>1</v>
      </c>
      <c r="AP50" s="5">
        <f t="shared" si="2"/>
        <v>5.3331129618327866</v>
      </c>
    </row>
    <row r="51" spans="1:42" ht="15">
      <c r="A51" s="15">
        <v>46</v>
      </c>
      <c r="B51" s="20" t="s">
        <v>1064</v>
      </c>
      <c r="C51" s="20">
        <v>300</v>
      </c>
      <c r="D51" s="15">
        <v>300</v>
      </c>
      <c r="E51" s="15">
        <v>300</v>
      </c>
      <c r="F51" s="15">
        <v>19</v>
      </c>
      <c r="G51" s="15">
        <v>19</v>
      </c>
      <c r="H51" s="15">
        <v>11</v>
      </c>
      <c r="I51" s="15">
        <v>27</v>
      </c>
      <c r="J51" s="15">
        <v>27</v>
      </c>
      <c r="K51" s="15">
        <v>11910.937868891948</v>
      </c>
      <c r="L51" s="15">
        <v>14491.000000000002</v>
      </c>
      <c r="M51" s="15"/>
      <c r="N51" s="15"/>
      <c r="O51" s="15"/>
      <c r="P51" s="15">
        <v>245377887.58333334</v>
      </c>
      <c r="Q51" s="15"/>
      <c r="R51" s="15"/>
      <c r="S51" s="15">
        <v>746.98035061406756</v>
      </c>
      <c r="T51" s="15">
        <v>690</v>
      </c>
      <c r="U51" s="15">
        <v>210000</v>
      </c>
      <c r="V51" s="15">
        <f t="shared" si="3"/>
        <v>13.385613144683568</v>
      </c>
      <c r="W51" s="15">
        <v>4.6584199999999996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968</v>
      </c>
      <c r="AF51" s="22" t="s">
        <v>5</v>
      </c>
      <c r="AG51" s="17">
        <f t="shared" si="4"/>
        <v>3479.7482049075843</v>
      </c>
      <c r="AH51" s="17">
        <v>1306.1721842233544</v>
      </c>
      <c r="AI51" s="62">
        <v>4.7990289213125576</v>
      </c>
      <c r="AJ51" s="17">
        <f t="shared" si="5"/>
        <v>1.6700999040772129</v>
      </c>
      <c r="AK51" s="15">
        <f t="shared" si="6"/>
        <v>0.34801693053935362</v>
      </c>
      <c r="AL51" s="5">
        <v>1.7927999999999999</v>
      </c>
      <c r="AM51">
        <v>5.0728999999999997</v>
      </c>
      <c r="AN51">
        <f t="shared" si="7"/>
        <v>0.94601291594798986</v>
      </c>
      <c r="AO51" s="5">
        <f t="shared" si="8"/>
        <v>1</v>
      </c>
      <c r="AP51" s="5">
        <f t="shared" si="2"/>
        <v>4.7990289213125576</v>
      </c>
    </row>
    <row r="52" spans="1:42" ht="13.5" customHeight="1">
      <c r="A52" s="15">
        <v>47</v>
      </c>
      <c r="B52" s="20" t="s">
        <v>1065</v>
      </c>
      <c r="C52" s="20">
        <v>300</v>
      </c>
      <c r="D52" s="15">
        <v>300</v>
      </c>
      <c r="E52" s="15">
        <v>300</v>
      </c>
      <c r="F52" s="15">
        <v>19</v>
      </c>
      <c r="G52" s="15">
        <v>19</v>
      </c>
      <c r="H52" s="15">
        <v>11</v>
      </c>
      <c r="I52" s="15">
        <v>27</v>
      </c>
      <c r="J52" s="15">
        <v>27</v>
      </c>
      <c r="K52" s="15">
        <v>14264.59625017</v>
      </c>
      <c r="L52" s="15">
        <v>14491.000000000002</v>
      </c>
      <c r="M52" s="15"/>
      <c r="N52" s="15"/>
      <c r="O52" s="15"/>
      <c r="P52" s="15">
        <v>245377887.58333334</v>
      </c>
      <c r="Q52" s="15"/>
      <c r="R52" s="15"/>
      <c r="S52" s="15">
        <v>552.37347823789446</v>
      </c>
      <c r="T52" s="15">
        <v>690</v>
      </c>
      <c r="U52" s="15">
        <v>210000</v>
      </c>
      <c r="V52" s="15">
        <f t="shared" si="3"/>
        <v>18.101502686002881</v>
      </c>
      <c r="W52" s="15">
        <v>4.38286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969</v>
      </c>
      <c r="AF52" s="22" t="s">
        <v>5</v>
      </c>
      <c r="AG52" s="17">
        <f t="shared" si="4"/>
        <v>2420.9756228297383</v>
      </c>
      <c r="AH52" s="17">
        <v>965.88199674051077</v>
      </c>
      <c r="AI52" s="62">
        <v>4.5248342787886315</v>
      </c>
      <c r="AJ52" s="17">
        <f t="shared" si="5"/>
        <v>2.0001196456014525</v>
      </c>
      <c r="AK52" s="15">
        <f t="shared" si="6"/>
        <v>0.24212685963298938</v>
      </c>
      <c r="AL52" s="5">
        <v>1.7927999999999999</v>
      </c>
      <c r="AM52">
        <v>4.7961999999999998</v>
      </c>
      <c r="AN52">
        <f t="shared" si="7"/>
        <v>0.94342068278817226</v>
      </c>
      <c r="AO52" s="5">
        <f t="shared" si="8"/>
        <v>1</v>
      </c>
      <c r="AP52" s="5">
        <f t="shared" si="2"/>
        <v>4.5248342787886315</v>
      </c>
    </row>
    <row r="53" spans="1:42" ht="15">
      <c r="A53" s="15">
        <v>48</v>
      </c>
      <c r="B53" s="20" t="s">
        <v>1066</v>
      </c>
      <c r="C53" s="20">
        <v>300</v>
      </c>
      <c r="D53" s="15">
        <v>300</v>
      </c>
      <c r="E53" s="15">
        <v>300</v>
      </c>
      <c r="F53" s="15">
        <v>19</v>
      </c>
      <c r="G53" s="15">
        <v>19</v>
      </c>
      <c r="H53" s="15">
        <v>11</v>
      </c>
      <c r="I53" s="15">
        <v>27</v>
      </c>
      <c r="J53" s="15">
        <v>27</v>
      </c>
      <c r="K53" s="15">
        <v>17830.745312712497</v>
      </c>
      <c r="L53" s="15">
        <v>14491.000000000002</v>
      </c>
      <c r="M53" s="15"/>
      <c r="N53" s="15"/>
      <c r="O53" s="15"/>
      <c r="P53" s="15">
        <v>245377887.58333334</v>
      </c>
      <c r="Q53" s="15"/>
      <c r="R53" s="15"/>
      <c r="S53" s="15">
        <v>372.97159144961091</v>
      </c>
      <c r="T53" s="15">
        <v>690</v>
      </c>
      <c r="U53" s="15">
        <v>210000</v>
      </c>
      <c r="V53" s="15">
        <f t="shared" si="3"/>
        <v>26.80844930075822</v>
      </c>
      <c r="W53" s="15">
        <v>4.1518100000000002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970</v>
      </c>
      <c r="AF53" s="22" t="s">
        <v>5</v>
      </c>
      <c r="AG53" s="17">
        <f t="shared" si="4"/>
        <v>1548.5071830964091</v>
      </c>
      <c r="AH53" s="17">
        <v>652.17929475188566</v>
      </c>
      <c r="AI53" s="62">
        <v>4.288838732082926</v>
      </c>
      <c r="AJ53" s="17">
        <f t="shared" si="5"/>
        <v>2.5001495570018153</v>
      </c>
      <c r="AK53" s="15">
        <f t="shared" si="6"/>
        <v>0.15486945751400008</v>
      </c>
      <c r="AL53" s="5">
        <v>1.7927999999999999</v>
      </c>
      <c r="AM53">
        <v>4.5563000000000002</v>
      </c>
      <c r="AN53">
        <f t="shared" si="7"/>
        <v>0.9412985826400645</v>
      </c>
      <c r="AO53" s="5">
        <f t="shared" si="8"/>
        <v>1</v>
      </c>
      <c r="AP53" s="5">
        <f t="shared" si="2"/>
        <v>4.288838732082926</v>
      </c>
    </row>
    <row r="54" spans="1:42" ht="15">
      <c r="A54" s="15">
        <v>49</v>
      </c>
      <c r="B54" s="20" t="s">
        <v>1067</v>
      </c>
      <c r="C54" s="20">
        <v>300</v>
      </c>
      <c r="D54" s="15">
        <v>300</v>
      </c>
      <c r="E54" s="15">
        <v>340</v>
      </c>
      <c r="F54" s="15">
        <v>21.5</v>
      </c>
      <c r="G54" s="15">
        <v>21.5</v>
      </c>
      <c r="H54" s="15">
        <v>12</v>
      </c>
      <c r="I54" s="15">
        <v>27</v>
      </c>
      <c r="J54" s="15">
        <v>27</v>
      </c>
      <c r="K54" s="15">
        <v>2410.4373500593292</v>
      </c>
      <c r="L54" s="15">
        <v>16722</v>
      </c>
      <c r="M54" s="15"/>
      <c r="N54" s="15"/>
      <c r="O54" s="15"/>
      <c r="P54" s="15">
        <v>359460612.875</v>
      </c>
      <c r="Q54" s="15"/>
      <c r="R54" s="15"/>
      <c r="S54" s="15">
        <v>3080.70594643809</v>
      </c>
      <c r="T54" s="15">
        <v>690</v>
      </c>
      <c r="U54" s="15">
        <v>210000</v>
      </c>
      <c r="V54" s="15">
        <f t="shared" si="3"/>
        <v>3.7453039013153577</v>
      </c>
      <c r="W54" s="15">
        <v>3.9433199999999999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971</v>
      </c>
      <c r="AF54" s="22" t="s">
        <v>5</v>
      </c>
      <c r="AG54" s="17">
        <f t="shared" si="4"/>
        <v>12148.209372708248</v>
      </c>
      <c r="AH54" s="17">
        <v>16269.067166081799</v>
      </c>
      <c r="AI54" s="62">
        <v>41.622523517234264</v>
      </c>
      <c r="AJ54" s="17">
        <f t="shared" si="5"/>
        <v>0.29997103931219959</v>
      </c>
      <c r="AK54" s="15">
        <f t="shared" si="6"/>
        <v>1.0528705023416387</v>
      </c>
      <c r="AL54" s="56">
        <v>29.24</v>
      </c>
      <c r="AM54">
        <f>AI54</f>
        <v>41.622523517234264</v>
      </c>
      <c r="AN54" s="57">
        <f t="shared" si="7"/>
        <v>1</v>
      </c>
      <c r="AO54" s="5">
        <f t="shared" si="8"/>
        <v>1.1333333333333333</v>
      </c>
      <c r="AP54" s="5">
        <f t="shared" si="2"/>
        <v>41.622523517234264</v>
      </c>
    </row>
    <row r="55" spans="1:42" ht="15">
      <c r="A55" s="15">
        <v>50</v>
      </c>
      <c r="B55" s="20" t="s">
        <v>1068</v>
      </c>
      <c r="C55" s="20">
        <v>300</v>
      </c>
      <c r="D55" s="15">
        <v>300</v>
      </c>
      <c r="E55" s="15">
        <v>340</v>
      </c>
      <c r="F55" s="15">
        <v>21.5</v>
      </c>
      <c r="G55" s="15">
        <v>21.5</v>
      </c>
      <c r="H55" s="15">
        <v>12</v>
      </c>
      <c r="I55" s="15">
        <v>27</v>
      </c>
      <c r="J55" s="15">
        <v>27</v>
      </c>
      <c r="K55" s="15">
        <v>4017.3955834322151</v>
      </c>
      <c r="L55" s="15">
        <v>16722</v>
      </c>
      <c r="M55" s="15"/>
      <c r="N55" s="15"/>
      <c r="O55" s="15"/>
      <c r="P55" s="15">
        <v>359460612.875</v>
      </c>
      <c r="Q55" s="15"/>
      <c r="R55" s="15"/>
      <c r="S55" s="15">
        <v>2736.1465663816343</v>
      </c>
      <c r="T55" s="15">
        <v>690</v>
      </c>
      <c r="U55" s="15">
        <v>210000</v>
      </c>
      <c r="V55" s="15">
        <f t="shared" si="3"/>
        <v>4.2169451526342936</v>
      </c>
      <c r="W55" s="15">
        <v>4.3146399999999998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972</v>
      </c>
      <c r="AF55" s="22" t="s">
        <v>5</v>
      </c>
      <c r="AG55" s="17">
        <f t="shared" si="4"/>
        <v>11805.487421172855</v>
      </c>
      <c r="AH55" s="17">
        <v>14449.464843009309</v>
      </c>
      <c r="AI55" s="62">
        <v>16.871037765697842</v>
      </c>
      <c r="AJ55" s="17">
        <f t="shared" si="5"/>
        <v>0.49995173218699923</v>
      </c>
      <c r="AK55" s="15">
        <f t="shared" si="6"/>
        <v>1.0231672084482002</v>
      </c>
      <c r="AL55" s="5">
        <v>29.24</v>
      </c>
      <c r="AM55">
        <v>14.923</v>
      </c>
      <c r="AN55">
        <f t="shared" si="7"/>
        <v>1.1305392860482371</v>
      </c>
      <c r="AO55" s="5">
        <f t="shared" si="8"/>
        <v>1.1333333333333333</v>
      </c>
      <c r="AP55" s="5">
        <f t="shared" si="2"/>
        <v>16.871037765697842</v>
      </c>
    </row>
    <row r="56" spans="1:42" ht="15">
      <c r="A56" s="15">
        <v>51</v>
      </c>
      <c r="B56" s="20" t="s">
        <v>1069</v>
      </c>
      <c r="C56" s="20">
        <v>300</v>
      </c>
      <c r="D56" s="15">
        <v>300</v>
      </c>
      <c r="E56" s="15">
        <v>340</v>
      </c>
      <c r="F56" s="15">
        <v>21.5</v>
      </c>
      <c r="G56" s="15">
        <v>21.5</v>
      </c>
      <c r="H56" s="15">
        <v>12</v>
      </c>
      <c r="I56" s="15">
        <v>27</v>
      </c>
      <c r="J56" s="15">
        <v>27</v>
      </c>
      <c r="K56" s="15">
        <v>6026.0933751483226</v>
      </c>
      <c r="L56" s="15">
        <v>16722.000000000004</v>
      </c>
      <c r="M56" s="15"/>
      <c r="N56" s="15"/>
      <c r="O56" s="15"/>
      <c r="P56" s="15">
        <v>359460612.87499994</v>
      </c>
      <c r="Q56" s="15"/>
      <c r="R56" s="15"/>
      <c r="S56" s="15">
        <v>2251.0518736657723</v>
      </c>
      <c r="T56" s="15">
        <v>690</v>
      </c>
      <c r="U56" s="15">
        <v>210000</v>
      </c>
      <c r="V56" s="15">
        <f t="shared" si="3"/>
        <v>5.1256837458882778</v>
      </c>
      <c r="W56" s="15">
        <v>4.8881399999999999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973</v>
      </c>
      <c r="AF56" s="22" t="s">
        <v>5</v>
      </c>
      <c r="AG56" s="17">
        <f t="shared" si="4"/>
        <v>11003.456705740608</v>
      </c>
      <c r="AH56" s="17">
        <v>11887.701963034044</v>
      </c>
      <c r="AI56" s="62">
        <v>9.1140862424633013</v>
      </c>
      <c r="AJ56" s="17">
        <f t="shared" si="5"/>
        <v>0.74992759828049904</v>
      </c>
      <c r="AK56" s="15">
        <f t="shared" si="6"/>
        <v>0.95365618370840166</v>
      </c>
      <c r="AL56" s="5">
        <v>29.24</v>
      </c>
      <c r="AM56">
        <v>8.7571999999999992</v>
      </c>
      <c r="AN56">
        <f t="shared" si="7"/>
        <v>1.0407534648590078</v>
      </c>
      <c r="AO56" s="5">
        <f t="shared" si="8"/>
        <v>1.1333333333333333</v>
      </c>
      <c r="AP56" s="5">
        <f t="shared" si="2"/>
        <v>9.1140862424633013</v>
      </c>
    </row>
    <row r="57" spans="1:42" ht="15">
      <c r="A57" s="15">
        <v>52</v>
      </c>
      <c r="B57" s="20" t="s">
        <v>1070</v>
      </c>
      <c r="C57" s="20">
        <v>300</v>
      </c>
      <c r="D57" s="15">
        <v>300</v>
      </c>
      <c r="E57" s="15">
        <v>340</v>
      </c>
      <c r="F57" s="15">
        <v>21.5</v>
      </c>
      <c r="G57" s="15">
        <v>21.5</v>
      </c>
      <c r="H57" s="15">
        <v>12</v>
      </c>
      <c r="I57" s="15">
        <v>27</v>
      </c>
      <c r="J57" s="15">
        <v>27</v>
      </c>
      <c r="K57" s="15">
        <v>8034.7911668644301</v>
      </c>
      <c r="L57" s="15">
        <v>16722.000000000004</v>
      </c>
      <c r="M57" s="15"/>
      <c r="N57" s="15"/>
      <c r="O57" s="15"/>
      <c r="P57" s="15">
        <v>359460612.87499994</v>
      </c>
      <c r="Q57" s="15"/>
      <c r="R57" s="15"/>
      <c r="S57" s="15">
        <v>1752.5124970020527</v>
      </c>
      <c r="T57" s="15">
        <v>690</v>
      </c>
      <c r="U57" s="15">
        <v>210000</v>
      </c>
      <c r="V57" s="15">
        <f t="shared" si="3"/>
        <v>6.5837932794989298</v>
      </c>
      <c r="W57" s="15">
        <v>5.2006699999999997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974</v>
      </c>
      <c r="AF57" s="22" t="s">
        <v>5</v>
      </c>
      <c r="AG57" s="17">
        <f t="shared" si="4"/>
        <v>9114.239167783664</v>
      </c>
      <c r="AH57" s="17">
        <v>9254.938322201564</v>
      </c>
      <c r="AI57" s="62">
        <v>6.5850646047996415</v>
      </c>
      <c r="AJ57" s="17">
        <f t="shared" si="5"/>
        <v>0.9999034643739988</v>
      </c>
      <c r="AK57" s="15">
        <f t="shared" si="6"/>
        <v>0.78992000192263101</v>
      </c>
      <c r="AL57" s="5">
        <v>29.24</v>
      </c>
      <c r="AM57">
        <v>6.5262000000000002</v>
      </c>
      <c r="AN57">
        <f t="shared" si="7"/>
        <v>1.0090197365694649</v>
      </c>
      <c r="AO57" s="5">
        <f t="shared" si="8"/>
        <v>1.1333333333333333</v>
      </c>
      <c r="AP57" s="5">
        <f t="shared" si="2"/>
        <v>6.5850646047996415</v>
      </c>
    </row>
    <row r="58" spans="1:42" ht="15">
      <c r="A58" s="15">
        <v>53</v>
      </c>
      <c r="B58" s="20" t="s">
        <v>1071</v>
      </c>
      <c r="C58" s="20">
        <v>300</v>
      </c>
      <c r="D58" s="15">
        <v>300</v>
      </c>
      <c r="E58" s="15">
        <v>340</v>
      </c>
      <c r="F58" s="15">
        <v>21.5</v>
      </c>
      <c r="G58" s="15">
        <v>21.5</v>
      </c>
      <c r="H58" s="15">
        <v>12</v>
      </c>
      <c r="I58" s="15">
        <v>27</v>
      </c>
      <c r="J58" s="15">
        <v>27</v>
      </c>
      <c r="K58" s="15">
        <v>10686.272251929693</v>
      </c>
      <c r="L58" s="15">
        <v>16722.000000000004</v>
      </c>
      <c r="M58" s="15"/>
      <c r="N58" s="15"/>
      <c r="O58" s="15"/>
      <c r="P58" s="15">
        <v>359460612.87499994</v>
      </c>
      <c r="Q58" s="15"/>
      <c r="R58" s="15"/>
      <c r="S58" s="15">
        <v>1221.6808080477019</v>
      </c>
      <c r="T58" s="15">
        <v>690</v>
      </c>
      <c r="U58" s="15">
        <v>210000</v>
      </c>
      <c r="V58" s="15">
        <f t="shared" si="3"/>
        <v>9.4445127761632826</v>
      </c>
      <c r="W58" s="15">
        <v>4.9683000000000002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975</v>
      </c>
      <c r="AF58" s="22" t="s">
        <v>5</v>
      </c>
      <c r="AG58" s="17">
        <f t="shared" si="4"/>
        <v>6069.6767586233973</v>
      </c>
      <c r="AH58" s="17">
        <v>6451.6404574806329</v>
      </c>
      <c r="AI58" s="62">
        <v>5.3402320674698185</v>
      </c>
      <c r="AJ58" s="17">
        <f t="shared" si="5"/>
        <v>1.3298716076174186</v>
      </c>
      <c r="AK58" s="15">
        <f t="shared" si="6"/>
        <v>0.52605148807033653</v>
      </c>
      <c r="AL58" s="5">
        <v>29.24</v>
      </c>
      <c r="AM58">
        <v>5.3661000000000003</v>
      </c>
      <c r="AN58">
        <f t="shared" si="7"/>
        <v>0.99517937933877831</v>
      </c>
      <c r="AO58" s="5">
        <f t="shared" si="8"/>
        <v>1.1333333333333333</v>
      </c>
      <c r="AP58" s="5">
        <f t="shared" si="2"/>
        <v>5.3402320674698185</v>
      </c>
    </row>
    <row r="59" spans="1:42" ht="15">
      <c r="A59" s="15">
        <v>54</v>
      </c>
      <c r="B59" s="20" t="s">
        <v>1072</v>
      </c>
      <c r="C59" s="20">
        <v>300</v>
      </c>
      <c r="D59" s="15">
        <v>300</v>
      </c>
      <c r="E59" s="15">
        <v>340</v>
      </c>
      <c r="F59" s="15">
        <v>21.5</v>
      </c>
      <c r="G59" s="15">
        <v>21.5</v>
      </c>
      <c r="H59" s="15">
        <v>12</v>
      </c>
      <c r="I59" s="15">
        <v>27</v>
      </c>
      <c r="J59" s="15">
        <v>27</v>
      </c>
      <c r="K59" s="15">
        <v>13418.101248663597</v>
      </c>
      <c r="L59" s="15">
        <v>16722.000000000004</v>
      </c>
      <c r="M59" s="15"/>
      <c r="N59" s="15"/>
      <c r="O59" s="15"/>
      <c r="P59" s="15">
        <v>359460612.87499994</v>
      </c>
      <c r="Q59" s="15"/>
      <c r="R59" s="15"/>
      <c r="S59" s="15">
        <v>861.10380146408113</v>
      </c>
      <c r="T59" s="15">
        <v>690</v>
      </c>
      <c r="U59" s="15">
        <v>210000</v>
      </c>
      <c r="V59" s="15">
        <f t="shared" si="3"/>
        <v>13.399290515710595</v>
      </c>
      <c r="W59" s="15">
        <v>4.6319600000000003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976</v>
      </c>
      <c r="AF59" s="22" t="s">
        <v>5</v>
      </c>
      <c r="AG59" s="17">
        <f t="shared" si="4"/>
        <v>3988.5983642295655</v>
      </c>
      <c r="AH59" s="17">
        <v>4547.4497814973574</v>
      </c>
      <c r="AI59" s="62">
        <v>4.805435084859158</v>
      </c>
      <c r="AJ59" s="17">
        <f t="shared" si="5"/>
        <v>1.669838785504578</v>
      </c>
      <c r="AK59" s="15">
        <f t="shared" si="6"/>
        <v>0.34568695966171137</v>
      </c>
      <c r="AL59" s="5">
        <v>29.24</v>
      </c>
      <c r="AM59">
        <v>4.8705999999999996</v>
      </c>
      <c r="AN59">
        <f t="shared" si="7"/>
        <v>0.98662076230015983</v>
      </c>
      <c r="AO59" s="5">
        <f t="shared" si="8"/>
        <v>1.1333333333333333</v>
      </c>
      <c r="AP59" s="5">
        <f t="shared" si="2"/>
        <v>4.805435084859158</v>
      </c>
    </row>
    <row r="60" spans="1:42" ht="15">
      <c r="A60" s="15">
        <v>55</v>
      </c>
      <c r="B60" s="20" t="s">
        <v>1073</v>
      </c>
      <c r="C60" s="20">
        <v>300</v>
      </c>
      <c r="D60" s="15">
        <v>300</v>
      </c>
      <c r="E60" s="15">
        <v>340</v>
      </c>
      <c r="F60" s="15">
        <v>21.5</v>
      </c>
      <c r="G60" s="15">
        <v>21.5</v>
      </c>
      <c r="H60" s="15">
        <v>12</v>
      </c>
      <c r="I60" s="15">
        <v>27</v>
      </c>
      <c r="J60" s="15">
        <v>27</v>
      </c>
      <c r="K60" s="15">
        <v>16069.58233372886</v>
      </c>
      <c r="L60" s="15">
        <v>16722.000000000004</v>
      </c>
      <c r="M60" s="15"/>
      <c r="N60" s="15"/>
      <c r="O60" s="15"/>
      <c r="P60" s="15">
        <v>359460612.87499994</v>
      </c>
      <c r="Q60" s="15"/>
      <c r="R60" s="15"/>
      <c r="S60" s="15">
        <v>636.76494508533108</v>
      </c>
      <c r="T60" s="15">
        <v>690</v>
      </c>
      <c r="U60" s="15">
        <v>210000</v>
      </c>
      <c r="V60" s="15">
        <f t="shared" si="3"/>
        <v>18.119998735881733</v>
      </c>
      <c r="W60" s="15">
        <v>4.3562200000000004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977</v>
      </c>
      <c r="AF60" s="22" t="s">
        <v>5</v>
      </c>
      <c r="AG60" s="17">
        <f t="shared" si="4"/>
        <v>2773.888189079621</v>
      </c>
      <c r="AH60" s="17">
        <v>3362.7265440823276</v>
      </c>
      <c r="AI60" s="62">
        <v>4.53087442334422</v>
      </c>
      <c r="AJ60" s="17">
        <f t="shared" si="5"/>
        <v>1.9998069287479976</v>
      </c>
      <c r="AK60" s="15">
        <f t="shared" si="6"/>
        <v>0.24040950904558789</v>
      </c>
      <c r="AL60" s="5">
        <v>29.24</v>
      </c>
      <c r="AM60">
        <v>4.6132999999999997</v>
      </c>
      <c r="AN60">
        <f t="shared" si="7"/>
        <v>0.98213305515449245</v>
      </c>
      <c r="AO60" s="5">
        <f t="shared" si="8"/>
        <v>1.1333333333333333</v>
      </c>
      <c r="AP60" s="5">
        <f t="shared" si="2"/>
        <v>4.53087442334422</v>
      </c>
    </row>
    <row r="61" spans="1:42" ht="15">
      <c r="A61" s="15">
        <v>56</v>
      </c>
      <c r="B61" s="20" t="s">
        <v>1074</v>
      </c>
      <c r="C61" s="20">
        <v>300</v>
      </c>
      <c r="D61" s="15">
        <v>300</v>
      </c>
      <c r="E61" s="15">
        <v>340</v>
      </c>
      <c r="F61" s="15">
        <v>21.5</v>
      </c>
      <c r="G61" s="15">
        <v>21.5</v>
      </c>
      <c r="H61" s="15">
        <v>12</v>
      </c>
      <c r="I61" s="15">
        <v>27</v>
      </c>
      <c r="J61" s="15">
        <v>27</v>
      </c>
      <c r="K61" s="15">
        <v>20086.977917161075</v>
      </c>
      <c r="L61" s="15">
        <v>16722.000000000004</v>
      </c>
      <c r="M61" s="15"/>
      <c r="N61" s="15"/>
      <c r="O61" s="15"/>
      <c r="P61" s="15">
        <v>359460612.87499994</v>
      </c>
      <c r="Q61" s="15"/>
      <c r="R61" s="15"/>
      <c r="S61" s="15">
        <v>429.9540877766695</v>
      </c>
      <c r="T61" s="15">
        <v>690</v>
      </c>
      <c r="U61" s="15">
        <v>210000</v>
      </c>
      <c r="V61" s="15">
        <f t="shared" si="3"/>
        <v>26.835842077150488</v>
      </c>
      <c r="W61" s="15">
        <v>4.1250799999999996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978</v>
      </c>
      <c r="AF61" s="22" t="s">
        <v>5</v>
      </c>
      <c r="AG61" s="17">
        <f t="shared" si="4"/>
        <v>1773.5950084057836</v>
      </c>
      <c r="AH61" s="17">
        <v>2270.5678678802901</v>
      </c>
      <c r="AI61" s="62">
        <v>4.2945638491416505</v>
      </c>
      <c r="AJ61" s="17">
        <f t="shared" si="5"/>
        <v>2.4997586609349969</v>
      </c>
      <c r="AK61" s="15">
        <f t="shared" si="6"/>
        <v>0.1537153180489283</v>
      </c>
      <c r="AL61" s="5">
        <v>29.24</v>
      </c>
      <c r="AM61">
        <v>4.3894000000000002</v>
      </c>
      <c r="AN61">
        <f t="shared" si="7"/>
        <v>0.97839427920482303</v>
      </c>
      <c r="AO61" s="5">
        <f t="shared" si="8"/>
        <v>1.1333333333333333</v>
      </c>
      <c r="AP61" s="5">
        <f t="shared" si="2"/>
        <v>4.2945638491416505</v>
      </c>
    </row>
    <row r="62" spans="1:42" ht="15">
      <c r="A62" s="15">
        <v>57</v>
      </c>
      <c r="B62" s="20" t="s">
        <v>1075</v>
      </c>
      <c r="C62" s="20">
        <v>300</v>
      </c>
      <c r="D62" s="15">
        <v>300</v>
      </c>
      <c r="E62" s="15">
        <v>400</v>
      </c>
      <c r="F62" s="15">
        <v>24</v>
      </c>
      <c r="G62" s="15">
        <v>24</v>
      </c>
      <c r="H62" s="15">
        <v>13.5</v>
      </c>
      <c r="I62" s="15">
        <v>27</v>
      </c>
      <c r="J62" s="15">
        <v>27</v>
      </c>
      <c r="K62" s="15">
        <v>2808.2947617670206</v>
      </c>
      <c r="L62" s="15">
        <v>19476.000000000004</v>
      </c>
      <c r="M62" s="15"/>
      <c r="N62" s="15"/>
      <c r="O62" s="15"/>
      <c r="P62" s="15">
        <v>568755647.99999988</v>
      </c>
      <c r="Q62" s="15"/>
      <c r="R62" s="15"/>
      <c r="S62" s="15">
        <v>3583.6783458565537</v>
      </c>
      <c r="T62" s="15">
        <v>690</v>
      </c>
      <c r="U62" s="15">
        <v>210000</v>
      </c>
      <c r="V62" s="15">
        <f t="shared" si="3"/>
        <v>3.7499012754695231</v>
      </c>
      <c r="W62" s="15">
        <v>3.8998300000000001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979</v>
      </c>
      <c r="AF62" s="22" t="s">
        <v>5</v>
      </c>
      <c r="AG62" s="17">
        <f t="shared" si="4"/>
        <v>13975.736323521764</v>
      </c>
      <c r="AH62" s="17">
        <v>11606.268217375113</v>
      </c>
      <c r="AI62" s="62">
        <v>41.70905597023517</v>
      </c>
      <c r="AJ62" s="17">
        <f t="shared" si="5"/>
        <v>0.2998435678446128</v>
      </c>
      <c r="AK62" s="15">
        <f t="shared" si="6"/>
        <v>1.0399820457971136</v>
      </c>
      <c r="AL62" s="56">
        <v>14.43</v>
      </c>
      <c r="AM62">
        <f>AI62</f>
        <v>41.70905597023517</v>
      </c>
      <c r="AN62" s="57">
        <f t="shared" si="7"/>
        <v>1</v>
      </c>
      <c r="AO62" s="5">
        <f t="shared" si="8"/>
        <v>1.3333333333333333</v>
      </c>
      <c r="AP62" s="5">
        <f t="shared" si="2"/>
        <v>41.70905597023517</v>
      </c>
    </row>
    <row r="63" spans="1:42" ht="15">
      <c r="A63" s="15">
        <v>58</v>
      </c>
      <c r="B63" s="20" t="s">
        <v>1076</v>
      </c>
      <c r="C63" s="20">
        <v>300</v>
      </c>
      <c r="D63" s="15">
        <v>300</v>
      </c>
      <c r="E63" s="15">
        <v>400</v>
      </c>
      <c r="F63" s="15">
        <v>24</v>
      </c>
      <c r="G63" s="15">
        <v>24</v>
      </c>
      <c r="H63" s="15">
        <v>13.5</v>
      </c>
      <c r="I63" s="15">
        <v>27</v>
      </c>
      <c r="J63" s="15">
        <v>27</v>
      </c>
      <c r="K63" s="15">
        <v>4680.4912696117008</v>
      </c>
      <c r="L63" s="15">
        <v>19476.000000000004</v>
      </c>
      <c r="M63" s="15"/>
      <c r="N63" s="15"/>
      <c r="O63" s="15"/>
      <c r="P63" s="15">
        <v>568755647.99999988</v>
      </c>
      <c r="Q63" s="15"/>
      <c r="R63" s="15"/>
      <c r="S63" s="15">
        <v>3182.8643731378193</v>
      </c>
      <c r="T63" s="15">
        <v>690</v>
      </c>
      <c r="U63" s="15">
        <v>210000</v>
      </c>
      <c r="V63" s="15">
        <f t="shared" si="3"/>
        <v>4.2221214681390107</v>
      </c>
      <c r="W63" s="15">
        <v>4.2827400000000004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980</v>
      </c>
      <c r="AF63" s="30" t="s">
        <v>219</v>
      </c>
      <c r="AG63" s="17">
        <f t="shared" si="4"/>
        <v>13631.380565412266</v>
      </c>
      <c r="AH63" s="17">
        <v>10308.173348446966</v>
      </c>
      <c r="AI63" s="62">
        <v>16.90611233973063</v>
      </c>
      <c r="AJ63" s="17">
        <f t="shared" si="5"/>
        <v>0.49973927974102139</v>
      </c>
      <c r="AK63" s="15">
        <f t="shared" si="6"/>
        <v>1.0143573633109397</v>
      </c>
      <c r="AL63" s="5">
        <v>14.43</v>
      </c>
      <c r="AM63">
        <v>14.925000000000001</v>
      </c>
      <c r="AN63">
        <f t="shared" si="7"/>
        <v>1.1327378452080823</v>
      </c>
      <c r="AO63" s="5">
        <f t="shared" si="8"/>
        <v>1.3333333333333333</v>
      </c>
      <c r="AP63" s="5">
        <f t="shared" si="2"/>
        <v>16.90611233973063</v>
      </c>
    </row>
    <row r="64" spans="1:42" ht="15">
      <c r="A64" s="15">
        <v>59</v>
      </c>
      <c r="B64" s="20" t="s">
        <v>1077</v>
      </c>
      <c r="C64" s="20">
        <v>300</v>
      </c>
      <c r="D64" s="15">
        <v>300</v>
      </c>
      <c r="E64" s="15">
        <v>400</v>
      </c>
      <c r="F64" s="15">
        <v>24</v>
      </c>
      <c r="G64" s="15">
        <v>24</v>
      </c>
      <c r="H64" s="15">
        <v>13.5</v>
      </c>
      <c r="I64" s="15">
        <v>27</v>
      </c>
      <c r="J64" s="15">
        <v>27</v>
      </c>
      <c r="K64" s="15">
        <v>7020.7369044175512</v>
      </c>
      <c r="L64" s="15">
        <v>19476</v>
      </c>
      <c r="M64" s="15"/>
      <c r="N64" s="15"/>
      <c r="O64" s="15"/>
      <c r="P64" s="15">
        <v>568755648</v>
      </c>
      <c r="Q64" s="15"/>
      <c r="R64" s="15"/>
      <c r="S64" s="15">
        <v>2618.5705469173272</v>
      </c>
      <c r="T64" s="15">
        <v>690</v>
      </c>
      <c r="U64" s="15">
        <v>210000</v>
      </c>
      <c r="V64" s="15">
        <f t="shared" si="3"/>
        <v>5.1319755413197488</v>
      </c>
      <c r="W64" s="15">
        <v>4.8812199999999999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981</v>
      </c>
      <c r="AF64" s="22" t="s">
        <v>5</v>
      </c>
      <c r="AG64" s="17">
        <f t="shared" si="4"/>
        <v>12781.818925023796</v>
      </c>
      <c r="AH64" s="17">
        <v>8480.6249837628839</v>
      </c>
      <c r="AI64" s="62">
        <v>9.133034258411822</v>
      </c>
      <c r="AJ64" s="17">
        <f t="shared" si="5"/>
        <v>0.74960891961153198</v>
      </c>
      <c r="AK64" s="15">
        <f t="shared" si="6"/>
        <v>0.95113859384153177</v>
      </c>
      <c r="AL64" s="5">
        <v>14.43</v>
      </c>
      <c r="AM64">
        <v>8.7510999999999992</v>
      </c>
      <c r="AN64">
        <f t="shared" si="7"/>
        <v>1.043644142840537</v>
      </c>
      <c r="AO64" s="5">
        <f t="shared" si="8"/>
        <v>1.3333333333333333</v>
      </c>
      <c r="AP64" s="5">
        <f t="shared" si="2"/>
        <v>9.133034258411822</v>
      </c>
    </row>
    <row r="65" spans="1:42" ht="15">
      <c r="A65" s="15">
        <v>60</v>
      </c>
      <c r="B65" s="20" t="s">
        <v>1078</v>
      </c>
      <c r="C65" s="20">
        <v>300</v>
      </c>
      <c r="D65" s="15">
        <v>300</v>
      </c>
      <c r="E65" s="15">
        <v>400</v>
      </c>
      <c r="F65" s="15">
        <v>24</v>
      </c>
      <c r="G65" s="15">
        <v>24</v>
      </c>
      <c r="H65" s="15">
        <v>13.5</v>
      </c>
      <c r="I65" s="15">
        <v>27</v>
      </c>
      <c r="J65" s="15">
        <v>27</v>
      </c>
      <c r="K65" s="15">
        <v>9360.9825392234015</v>
      </c>
      <c r="L65" s="15">
        <v>19476</v>
      </c>
      <c r="M65" s="15"/>
      <c r="N65" s="15"/>
      <c r="O65" s="15"/>
      <c r="P65" s="15">
        <v>568755648</v>
      </c>
      <c r="Q65" s="15"/>
      <c r="R65" s="15"/>
      <c r="S65" s="15">
        <v>2038.6369863085104</v>
      </c>
      <c r="T65" s="15">
        <v>690</v>
      </c>
      <c r="U65" s="15">
        <v>210000</v>
      </c>
      <c r="V65" s="15">
        <f t="shared" si="3"/>
        <v>6.5918749096835709</v>
      </c>
      <c r="W65" s="15">
        <v>5.2413800000000004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982</v>
      </c>
      <c r="AF65" s="22" t="s">
        <v>5</v>
      </c>
      <c r="AG65" s="17">
        <f t="shared" si="4"/>
        <v>10685.271127297701</v>
      </c>
      <c r="AH65" s="17">
        <v>6602.4250441769227</v>
      </c>
      <c r="AI65" s="62">
        <v>6.5987548317554117</v>
      </c>
      <c r="AJ65" s="17">
        <f t="shared" si="5"/>
        <v>0.99947855948204256</v>
      </c>
      <c r="AK65" s="15">
        <f t="shared" si="6"/>
        <v>0.79512734568132182</v>
      </c>
      <c r="AL65" s="5">
        <v>14.43</v>
      </c>
      <c r="AM65">
        <v>6.5186000000000002</v>
      </c>
      <c r="AN65">
        <f t="shared" si="7"/>
        <v>1.0122963261674918</v>
      </c>
      <c r="AO65" s="5">
        <f t="shared" si="8"/>
        <v>1.3333333333333333</v>
      </c>
      <c r="AP65" s="5">
        <f t="shared" si="2"/>
        <v>6.5987548317554117</v>
      </c>
    </row>
    <row r="66" spans="1:42" ht="15">
      <c r="A66" s="15">
        <v>61</v>
      </c>
      <c r="B66" s="20" t="s">
        <v>1079</v>
      </c>
      <c r="C66" s="20">
        <v>300</v>
      </c>
      <c r="D66" s="15">
        <v>300</v>
      </c>
      <c r="E66" s="15">
        <v>400</v>
      </c>
      <c r="F66" s="15">
        <v>24</v>
      </c>
      <c r="G66" s="15">
        <v>24</v>
      </c>
      <c r="H66" s="15">
        <v>13.5</v>
      </c>
      <c r="I66" s="15">
        <v>27</v>
      </c>
      <c r="J66" s="15">
        <v>27</v>
      </c>
      <c r="K66" s="15">
        <v>12450.106777167126</v>
      </c>
      <c r="L66" s="15">
        <v>19476</v>
      </c>
      <c r="M66" s="15"/>
      <c r="N66" s="15"/>
      <c r="O66" s="15"/>
      <c r="P66" s="15">
        <v>568755648</v>
      </c>
      <c r="Q66" s="15"/>
      <c r="R66" s="15"/>
      <c r="S66" s="15">
        <v>1421.1388991575302</v>
      </c>
      <c r="T66" s="15">
        <v>690</v>
      </c>
      <c r="U66" s="15">
        <v>210000</v>
      </c>
      <c r="V66" s="15">
        <f t="shared" si="3"/>
        <v>9.456105949929654</v>
      </c>
      <c r="W66" s="15">
        <v>4.9779799999999996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983</v>
      </c>
      <c r="AF66" s="22" t="s">
        <v>5</v>
      </c>
      <c r="AG66" s="17">
        <f t="shared" si="4"/>
        <v>7074.4010172282015</v>
      </c>
      <c r="AH66" s="17">
        <v>4602.566872899738</v>
      </c>
      <c r="AI66" s="62">
        <v>5.3513343107108149</v>
      </c>
      <c r="AJ66" s="17">
        <f t="shared" si="5"/>
        <v>1.3293064841111166</v>
      </c>
      <c r="AK66" s="15">
        <f t="shared" si="6"/>
        <v>0.52643022681413931</v>
      </c>
      <c r="AL66" s="5">
        <v>14.43</v>
      </c>
      <c r="AM66">
        <v>5.3555999999999999</v>
      </c>
      <c r="AN66">
        <f t="shared" si="7"/>
        <v>0.99920350860983176</v>
      </c>
      <c r="AO66" s="5">
        <f t="shared" si="8"/>
        <v>1.3333333333333333</v>
      </c>
      <c r="AP66" s="5">
        <f t="shared" si="2"/>
        <v>5.3513343107108149</v>
      </c>
    </row>
    <row r="67" spans="1:42" ht="15">
      <c r="A67" s="15">
        <v>62</v>
      </c>
      <c r="B67" s="20" t="s">
        <v>1080</v>
      </c>
      <c r="C67" s="20">
        <v>300</v>
      </c>
      <c r="D67" s="15">
        <v>300</v>
      </c>
      <c r="E67" s="15">
        <v>400</v>
      </c>
      <c r="F67" s="15">
        <v>24</v>
      </c>
      <c r="G67" s="15">
        <v>24</v>
      </c>
      <c r="H67" s="15">
        <v>13.5</v>
      </c>
      <c r="I67" s="15">
        <v>27</v>
      </c>
      <c r="J67" s="15">
        <v>27</v>
      </c>
      <c r="K67" s="15">
        <v>15632.84084050308</v>
      </c>
      <c r="L67" s="15">
        <v>19476</v>
      </c>
      <c r="M67" s="15"/>
      <c r="N67" s="15"/>
      <c r="O67" s="15"/>
      <c r="P67" s="15">
        <v>568755648</v>
      </c>
      <c r="Q67" s="15"/>
      <c r="R67" s="15"/>
      <c r="S67" s="15">
        <v>1001.6921772133189</v>
      </c>
      <c r="T67" s="15">
        <v>690</v>
      </c>
      <c r="U67" s="15">
        <v>210000</v>
      </c>
      <c r="V67" s="15">
        <f t="shared" si="3"/>
        <v>13.415738193529059</v>
      </c>
      <c r="W67" s="15">
        <v>4.61294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984</v>
      </c>
      <c r="AF67" s="22" t="s">
        <v>5</v>
      </c>
      <c r="AG67" s="17">
        <f t="shared" si="4"/>
        <v>4620.7459119544073</v>
      </c>
      <c r="AH67" s="17">
        <v>3244.127111303414</v>
      </c>
      <c r="AI67" s="62">
        <v>4.8154254951104098</v>
      </c>
      <c r="AJ67" s="17">
        <f t="shared" si="5"/>
        <v>1.6691291943350111</v>
      </c>
      <c r="AK67" s="15">
        <f t="shared" si="6"/>
        <v>0.3438454100293194</v>
      </c>
      <c r="AL67" s="5">
        <v>14.43</v>
      </c>
      <c r="AM67">
        <v>4.8601000000000001</v>
      </c>
      <c r="AN67">
        <f t="shared" si="7"/>
        <v>0.99080790418106823</v>
      </c>
      <c r="AO67" s="5">
        <f t="shared" si="8"/>
        <v>1.3333333333333333</v>
      </c>
      <c r="AP67" s="5">
        <f t="shared" si="2"/>
        <v>4.8154254951104098</v>
      </c>
    </row>
    <row r="68" spans="1:42" ht="15">
      <c r="A68" s="15">
        <v>63</v>
      </c>
      <c r="B68" s="20" t="s">
        <v>1081</v>
      </c>
      <c r="C68" s="20">
        <v>300</v>
      </c>
      <c r="D68" s="15">
        <v>300</v>
      </c>
      <c r="E68" s="15">
        <v>400</v>
      </c>
      <c r="F68" s="15">
        <v>24</v>
      </c>
      <c r="G68" s="15">
        <v>24</v>
      </c>
      <c r="H68" s="15">
        <v>13.5</v>
      </c>
      <c r="I68" s="15">
        <v>27</v>
      </c>
      <c r="J68" s="15">
        <v>27</v>
      </c>
      <c r="K68" s="15">
        <v>18721.965078446803</v>
      </c>
      <c r="L68" s="15">
        <v>19476</v>
      </c>
      <c r="M68" s="15"/>
      <c r="N68" s="15"/>
      <c r="O68" s="15"/>
      <c r="P68" s="15">
        <v>568755648</v>
      </c>
      <c r="Q68" s="15"/>
      <c r="R68" s="15"/>
      <c r="S68" s="15">
        <v>740.72656877273209</v>
      </c>
      <c r="T68" s="15">
        <v>690</v>
      </c>
      <c r="U68" s="15">
        <v>210000</v>
      </c>
      <c r="V68" s="15">
        <f t="shared" si="3"/>
        <v>18.142241100201645</v>
      </c>
      <c r="W68" s="15">
        <v>4.3356000000000003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985</v>
      </c>
      <c r="AF68" s="22" t="s">
        <v>5</v>
      </c>
      <c r="AG68" s="17">
        <f t="shared" si="4"/>
        <v>3211.4941115710576</v>
      </c>
      <c r="AH68" s="17">
        <v>2398.9516924285917</v>
      </c>
      <c r="AI68" s="62">
        <v>4.5402940270818162</v>
      </c>
      <c r="AJ68" s="17">
        <f t="shared" si="5"/>
        <v>1.9989571189640851</v>
      </c>
      <c r="AK68" s="15">
        <f t="shared" si="6"/>
        <v>0.23897819327027969</v>
      </c>
      <c r="AL68" s="5">
        <v>14.43</v>
      </c>
      <c r="AM68">
        <v>4.6029</v>
      </c>
      <c r="AN68">
        <f t="shared" si="7"/>
        <v>0.98639858069517394</v>
      </c>
      <c r="AO68" s="5">
        <f t="shared" si="8"/>
        <v>1.3333333333333333</v>
      </c>
      <c r="AP68" s="5">
        <f t="shared" si="2"/>
        <v>4.5402940270818162</v>
      </c>
    </row>
    <row r="69" spans="1:42" ht="15">
      <c r="A69" s="15">
        <v>64</v>
      </c>
      <c r="B69" s="20" t="s">
        <v>1082</v>
      </c>
      <c r="C69" s="20">
        <v>300</v>
      </c>
      <c r="D69" s="15">
        <v>300</v>
      </c>
      <c r="E69" s="15">
        <v>400</v>
      </c>
      <c r="F69" s="15">
        <v>24</v>
      </c>
      <c r="G69" s="15">
        <v>24</v>
      </c>
      <c r="H69" s="15">
        <v>13.5</v>
      </c>
      <c r="I69" s="15">
        <v>27</v>
      </c>
      <c r="J69" s="15">
        <v>27</v>
      </c>
      <c r="K69" s="15">
        <v>23402.456348058506</v>
      </c>
      <c r="L69" s="15">
        <v>19476</v>
      </c>
      <c r="M69" s="15"/>
      <c r="N69" s="15"/>
      <c r="O69" s="15"/>
      <c r="P69" s="15">
        <v>568755648</v>
      </c>
      <c r="Q69" s="15"/>
      <c r="R69" s="15"/>
      <c r="S69" s="15">
        <v>500.15067353612579</v>
      </c>
      <c r="T69" s="15">
        <v>690</v>
      </c>
      <c r="U69" s="15">
        <v>210000</v>
      </c>
      <c r="V69" s="15">
        <f t="shared" si="3"/>
        <v>26.868783170856499</v>
      </c>
      <c r="W69" s="15">
        <v>4.10358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986</v>
      </c>
      <c r="AF69" s="22" t="s">
        <v>5</v>
      </c>
      <c r="AG69" s="17">
        <f t="shared" si="4"/>
        <v>2052.4083009093752</v>
      </c>
      <c r="AH69" s="17">
        <v>1619.8113518956557</v>
      </c>
      <c r="AI69" s="62">
        <v>4.3034921675863824</v>
      </c>
      <c r="AJ69" s="17">
        <f t="shared" si="5"/>
        <v>2.4986963987051065</v>
      </c>
      <c r="AK69" s="15">
        <f t="shared" si="6"/>
        <v>0.15272667816423446</v>
      </c>
      <c r="AL69" s="5">
        <v>14.43</v>
      </c>
      <c r="AM69">
        <v>4.3789999999999996</v>
      </c>
      <c r="AN69">
        <f t="shared" si="7"/>
        <v>0.98275683205900499</v>
      </c>
      <c r="AO69" s="5">
        <f t="shared" si="8"/>
        <v>1.3333333333333333</v>
      </c>
      <c r="AP69" s="5">
        <f t="shared" si="2"/>
        <v>4.3034921675863824</v>
      </c>
    </row>
    <row r="70" spans="1:42" ht="15">
      <c r="A70" s="15">
        <v>65</v>
      </c>
      <c r="B70" s="20" t="s">
        <v>1083</v>
      </c>
      <c r="C70" s="20">
        <v>300</v>
      </c>
      <c r="D70" s="15">
        <v>300</v>
      </c>
      <c r="E70" s="15">
        <v>500</v>
      </c>
      <c r="F70" s="15">
        <v>28</v>
      </c>
      <c r="G70" s="15">
        <v>28</v>
      </c>
      <c r="H70" s="15">
        <v>14.5</v>
      </c>
      <c r="I70" s="15">
        <v>27</v>
      </c>
      <c r="J70" s="15">
        <v>27</v>
      </c>
      <c r="K70" s="15">
        <v>3482.6201370257904</v>
      </c>
      <c r="L70" s="15">
        <v>23644</v>
      </c>
      <c r="M70" s="15"/>
      <c r="N70" s="15"/>
      <c r="O70" s="15"/>
      <c r="P70" s="15">
        <v>1062753941.3333334</v>
      </c>
      <c r="Q70" s="15"/>
      <c r="R70" s="15"/>
      <c r="S70" s="15">
        <v>4348.241301222567</v>
      </c>
      <c r="T70" s="15">
        <v>690</v>
      </c>
      <c r="U70" s="15">
        <v>210000</v>
      </c>
      <c r="V70" s="15">
        <f t="shared" si="3"/>
        <v>3.7519444919979477</v>
      </c>
      <c r="W70" s="15">
        <v>3.8555600000000001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987</v>
      </c>
      <c r="AF70" s="22" t="s">
        <v>5</v>
      </c>
      <c r="AG70" s="17">
        <f t="shared" si="4"/>
        <v>16764.90523134168</v>
      </c>
      <c r="AH70" s="17">
        <v>9806.7534760598755</v>
      </c>
      <c r="AI70" s="62">
        <v>41.76629137034881</v>
      </c>
      <c r="AJ70" s="17">
        <f t="shared" si="5"/>
        <v>0.29971966972608888</v>
      </c>
      <c r="AK70" s="15">
        <f t="shared" si="6"/>
        <v>1.027616482126279</v>
      </c>
      <c r="AL70" s="56">
        <v>10.167</v>
      </c>
      <c r="AM70">
        <f>AI70</f>
        <v>41.76629137034881</v>
      </c>
      <c r="AN70" s="57">
        <f t="shared" ref="AN70:AN101" si="9">AI70/AM70</f>
        <v>1</v>
      </c>
      <c r="AO70" s="5">
        <f t="shared" si="8"/>
        <v>1.6666666666666667</v>
      </c>
      <c r="AP70" s="5">
        <f t="shared" ref="AP70:AP101" si="10">(PI()^2*U70*P70/K70^2)/(S70*1000)</f>
        <v>41.76629137034881</v>
      </c>
    </row>
    <row r="71" spans="1:42" ht="15">
      <c r="A71" s="15">
        <v>66</v>
      </c>
      <c r="B71" s="20" t="s">
        <v>1084</v>
      </c>
      <c r="C71" s="20">
        <v>300</v>
      </c>
      <c r="D71" s="15">
        <v>300</v>
      </c>
      <c r="E71" s="15">
        <v>500</v>
      </c>
      <c r="F71" s="15">
        <v>28</v>
      </c>
      <c r="G71" s="15">
        <v>28</v>
      </c>
      <c r="H71" s="15">
        <v>14.5</v>
      </c>
      <c r="I71" s="15">
        <v>27</v>
      </c>
      <c r="J71" s="15">
        <v>27</v>
      </c>
      <c r="K71" s="15">
        <v>5804.3668950429837</v>
      </c>
      <c r="L71" s="15">
        <v>23644</v>
      </c>
      <c r="M71" s="15"/>
      <c r="N71" s="15"/>
      <c r="O71" s="15"/>
      <c r="P71" s="15">
        <v>1062753941.3333334</v>
      </c>
      <c r="Q71" s="15"/>
      <c r="R71" s="15"/>
      <c r="S71" s="15">
        <v>3861.9153249256815</v>
      </c>
      <c r="T71" s="15">
        <v>690</v>
      </c>
      <c r="U71" s="15">
        <v>210000</v>
      </c>
      <c r="V71" s="15">
        <f t="shared" ref="V71:V134" si="11">L71*T71/(S71*1000)</f>
        <v>4.2244219842686359</v>
      </c>
      <c r="W71" s="15">
        <v>4.2374599999999996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988</v>
      </c>
      <c r="AF71" s="22" t="s">
        <v>5</v>
      </c>
      <c r="AG71" s="17">
        <f t="shared" ref="AG71:AG134" si="12">W71*S71</f>
        <v>16364.711712759576</v>
      </c>
      <c r="AH71" s="17">
        <v>8709.9240620145374</v>
      </c>
      <c r="AI71" s="62">
        <v>16.929311812402013</v>
      </c>
      <c r="AJ71" s="17">
        <f t="shared" ref="AJ71:AJ134" si="13">(V71/AI71)^0.5</f>
        <v>0.4995327828768148</v>
      </c>
      <c r="AK71" s="15">
        <f t="shared" ref="AK71:AK134" si="14">W71/V71</f>
        <v>1.0030863431210035</v>
      </c>
      <c r="AL71" s="5">
        <v>10.167</v>
      </c>
      <c r="AM71">
        <f>AI71</f>
        <v>16.929311812402013</v>
      </c>
      <c r="AN71" s="57">
        <f t="shared" si="9"/>
        <v>1</v>
      </c>
      <c r="AO71" s="5">
        <f t="shared" ref="AO71:AO134" si="15">E71/C71</f>
        <v>1.6666666666666667</v>
      </c>
      <c r="AP71" s="5">
        <f t="shared" si="10"/>
        <v>16.929311812402013</v>
      </c>
    </row>
    <row r="72" spans="1:42" ht="15">
      <c r="A72" s="15">
        <v>67</v>
      </c>
      <c r="B72" s="20" t="s">
        <v>1085</v>
      </c>
      <c r="C72" s="20">
        <v>300</v>
      </c>
      <c r="D72" s="15">
        <v>300</v>
      </c>
      <c r="E72" s="15">
        <v>500</v>
      </c>
      <c r="F72" s="15">
        <v>28</v>
      </c>
      <c r="G72" s="15">
        <v>28</v>
      </c>
      <c r="H72" s="15">
        <v>14.5</v>
      </c>
      <c r="I72" s="15">
        <v>27</v>
      </c>
      <c r="J72" s="15">
        <v>27</v>
      </c>
      <c r="K72" s="15">
        <v>8706.5503425644765</v>
      </c>
      <c r="L72" s="15">
        <v>23644</v>
      </c>
      <c r="M72" s="15"/>
      <c r="N72" s="15"/>
      <c r="O72" s="15"/>
      <c r="P72" s="15">
        <v>1062753941.3333336</v>
      </c>
      <c r="Q72" s="15"/>
      <c r="R72" s="15"/>
      <c r="S72" s="15">
        <v>3177.2317444269443</v>
      </c>
      <c r="T72" s="15">
        <v>690</v>
      </c>
      <c r="U72" s="15">
        <v>210000</v>
      </c>
      <c r="V72" s="15">
        <f t="shared" si="11"/>
        <v>5.1347718115357397</v>
      </c>
      <c r="W72" s="15">
        <v>4.8365299999999998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989</v>
      </c>
      <c r="AF72" s="22" t="s">
        <v>5</v>
      </c>
      <c r="AG72" s="17">
        <f t="shared" si="12"/>
        <v>15366.776648873249</v>
      </c>
      <c r="AH72" s="17">
        <v>7165.7312222176215</v>
      </c>
      <c r="AI72" s="62">
        <v>9.1455670970933038</v>
      </c>
      <c r="AJ72" s="17">
        <f t="shared" si="13"/>
        <v>0.74929917431522208</v>
      </c>
      <c r="AK72" s="15">
        <f t="shared" si="14"/>
        <v>0.94191722193657912</v>
      </c>
      <c r="AL72" s="5">
        <v>10.167</v>
      </c>
      <c r="AM72">
        <v>8.7955000000000005</v>
      </c>
      <c r="AN72">
        <f t="shared" si="9"/>
        <v>1.0398007045754423</v>
      </c>
      <c r="AO72" s="5">
        <f t="shared" si="15"/>
        <v>1.6666666666666667</v>
      </c>
      <c r="AP72" s="5">
        <f t="shared" si="10"/>
        <v>9.1455670970933038</v>
      </c>
    </row>
    <row r="73" spans="1:42" ht="15">
      <c r="A73" s="15">
        <v>68</v>
      </c>
      <c r="B73" s="20" t="s">
        <v>1086</v>
      </c>
      <c r="C73" s="20">
        <v>300</v>
      </c>
      <c r="D73" s="15">
        <v>300</v>
      </c>
      <c r="E73" s="15">
        <v>500</v>
      </c>
      <c r="F73" s="15">
        <v>28</v>
      </c>
      <c r="G73" s="15">
        <v>28</v>
      </c>
      <c r="H73" s="15">
        <v>14.5</v>
      </c>
      <c r="I73" s="15">
        <v>27</v>
      </c>
      <c r="J73" s="15">
        <v>27</v>
      </c>
      <c r="K73" s="15">
        <v>11608.733790085967</v>
      </c>
      <c r="L73" s="15">
        <v>23644</v>
      </c>
      <c r="M73" s="15"/>
      <c r="N73" s="15"/>
      <c r="O73" s="15"/>
      <c r="P73" s="15">
        <v>1062753941.3333336</v>
      </c>
      <c r="Q73" s="15"/>
      <c r="R73" s="15"/>
      <c r="S73" s="15">
        <v>2473.5717568837281</v>
      </c>
      <c r="T73" s="15">
        <v>690</v>
      </c>
      <c r="U73" s="15">
        <v>210000</v>
      </c>
      <c r="V73" s="15">
        <f t="shared" si="11"/>
        <v>6.595466638313038</v>
      </c>
      <c r="W73" s="15">
        <v>5.1991199999999997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990</v>
      </c>
      <c r="AF73" s="22" t="s">
        <v>5</v>
      </c>
      <c r="AG73" s="17">
        <f t="shared" si="12"/>
        <v>12860.396392649327</v>
      </c>
      <c r="AH73" s="17">
        <v>5578.7401720973157</v>
      </c>
      <c r="AI73" s="62">
        <v>6.6078099964974983</v>
      </c>
      <c r="AJ73" s="17">
        <f t="shared" si="13"/>
        <v>0.99906556575362937</v>
      </c>
      <c r="AK73" s="15">
        <f t="shared" si="14"/>
        <v>0.78828690752498598</v>
      </c>
      <c r="AL73" s="5">
        <v>10.167</v>
      </c>
      <c r="AM73">
        <v>6.5507999999999997</v>
      </c>
      <c r="AN73">
        <f t="shared" si="9"/>
        <v>1.008702753327456</v>
      </c>
      <c r="AO73" s="5">
        <f t="shared" si="15"/>
        <v>1.6666666666666667</v>
      </c>
      <c r="AP73" s="5">
        <f t="shared" si="10"/>
        <v>6.6078099964974983</v>
      </c>
    </row>
    <row r="74" spans="1:42" ht="15">
      <c r="A74" s="15">
        <v>69</v>
      </c>
      <c r="B74" s="20" t="s">
        <v>1087</v>
      </c>
      <c r="C74" s="20">
        <v>300</v>
      </c>
      <c r="D74" s="15">
        <v>300</v>
      </c>
      <c r="E74" s="15">
        <v>500</v>
      </c>
      <c r="F74" s="15">
        <v>28</v>
      </c>
      <c r="G74" s="15">
        <v>28</v>
      </c>
      <c r="H74" s="15">
        <v>14.5</v>
      </c>
      <c r="I74" s="15">
        <v>27</v>
      </c>
      <c r="J74" s="15">
        <v>27</v>
      </c>
      <c r="K74" s="15">
        <v>15439.615940814338</v>
      </c>
      <c r="L74" s="15">
        <v>23644</v>
      </c>
      <c r="M74" s="15"/>
      <c r="N74" s="15"/>
      <c r="O74" s="15"/>
      <c r="P74" s="15">
        <v>1062753941.3333336</v>
      </c>
      <c r="Q74" s="15"/>
      <c r="R74" s="15"/>
      <c r="S74" s="15">
        <v>1724.3330064026056</v>
      </c>
      <c r="T74" s="15">
        <v>690</v>
      </c>
      <c r="U74" s="15">
        <v>210000</v>
      </c>
      <c r="V74" s="15">
        <f t="shared" si="11"/>
        <v>9.4612583180994001</v>
      </c>
      <c r="W74" s="15">
        <v>4.9427700000000003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991</v>
      </c>
      <c r="AF74" s="22" t="s">
        <v>5</v>
      </c>
      <c r="AG74" s="17">
        <f t="shared" si="12"/>
        <v>8522.9814540566076</v>
      </c>
      <c r="AH74" s="17">
        <v>3888.9536097430987</v>
      </c>
      <c r="AI74" s="62">
        <v>5.3586776982148123</v>
      </c>
      <c r="AJ74" s="17">
        <f t="shared" si="13"/>
        <v>1.3287572024523269</v>
      </c>
      <c r="AK74" s="15">
        <f t="shared" si="14"/>
        <v>0.52242205358080906</v>
      </c>
      <c r="AL74" s="5">
        <v>10.167</v>
      </c>
      <c r="AM74">
        <v>5.3807</v>
      </c>
      <c r="AN74">
        <f t="shared" si="9"/>
        <v>0.99590716788053824</v>
      </c>
      <c r="AO74" s="5">
        <f t="shared" si="15"/>
        <v>1.6666666666666667</v>
      </c>
      <c r="AP74" s="5">
        <f t="shared" si="10"/>
        <v>5.3586776982148123</v>
      </c>
    </row>
    <row r="75" spans="1:42" ht="15">
      <c r="A75" s="15">
        <v>70</v>
      </c>
      <c r="B75" s="20" t="s">
        <v>1088</v>
      </c>
      <c r="C75" s="20">
        <v>300</v>
      </c>
      <c r="D75" s="15">
        <v>300</v>
      </c>
      <c r="E75" s="15">
        <v>500</v>
      </c>
      <c r="F75" s="15">
        <v>28</v>
      </c>
      <c r="G75" s="15">
        <v>28</v>
      </c>
      <c r="H75" s="15">
        <v>14.5</v>
      </c>
      <c r="I75" s="15">
        <v>27</v>
      </c>
      <c r="J75" s="15">
        <v>27</v>
      </c>
      <c r="K75" s="15">
        <v>19386.585429443563</v>
      </c>
      <c r="L75" s="15">
        <v>23644</v>
      </c>
      <c r="M75" s="15"/>
      <c r="N75" s="15"/>
      <c r="O75" s="15"/>
      <c r="P75" s="15">
        <v>1062753941.3333336</v>
      </c>
      <c r="Q75" s="15"/>
      <c r="R75" s="15"/>
      <c r="S75" s="15">
        <v>1215.3990608857093</v>
      </c>
      <c r="T75" s="15">
        <v>690</v>
      </c>
      <c r="U75" s="15">
        <v>210000</v>
      </c>
      <c r="V75" s="15">
        <f t="shared" si="11"/>
        <v>13.423048054777237</v>
      </c>
      <c r="W75" s="15">
        <v>4.5849799999999998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992</v>
      </c>
      <c r="AF75" s="22" t="s">
        <v>5</v>
      </c>
      <c r="AG75" s="17">
        <f t="shared" si="12"/>
        <v>5572.5803861797594</v>
      </c>
      <c r="AH75" s="17">
        <v>2741.1355855043321</v>
      </c>
      <c r="AI75" s="62">
        <v>4.8220334798398374</v>
      </c>
      <c r="AJ75" s="17">
        <f t="shared" si="13"/>
        <v>1.6684394948085608</v>
      </c>
      <c r="AK75" s="15">
        <f t="shared" si="14"/>
        <v>0.34157517586836134</v>
      </c>
      <c r="AL75" s="5">
        <v>10.167</v>
      </c>
      <c r="AM75">
        <v>4.8826000000000001</v>
      </c>
      <c r="AN75">
        <f t="shared" si="9"/>
        <v>0.98759543682460926</v>
      </c>
      <c r="AO75" s="5">
        <f t="shared" si="15"/>
        <v>1.6666666666666667</v>
      </c>
      <c r="AP75" s="5">
        <f t="shared" si="10"/>
        <v>4.8220334798398374</v>
      </c>
    </row>
    <row r="76" spans="1:42" ht="15">
      <c r="A76" s="15">
        <v>71</v>
      </c>
      <c r="B76" s="20" t="s">
        <v>1089</v>
      </c>
      <c r="C76" s="20">
        <v>300</v>
      </c>
      <c r="D76" s="15">
        <v>300</v>
      </c>
      <c r="E76" s="15">
        <v>500</v>
      </c>
      <c r="F76" s="15">
        <v>28</v>
      </c>
      <c r="G76" s="15">
        <v>28</v>
      </c>
      <c r="H76" s="15">
        <v>14.5</v>
      </c>
      <c r="I76" s="15">
        <v>27</v>
      </c>
      <c r="J76" s="15">
        <v>27</v>
      </c>
      <c r="K76" s="15">
        <v>23217.467580171935</v>
      </c>
      <c r="L76" s="15">
        <v>23644</v>
      </c>
      <c r="M76" s="15"/>
      <c r="N76" s="15"/>
      <c r="O76" s="15"/>
      <c r="P76" s="15">
        <v>1062753941.3333336</v>
      </c>
      <c r="Q76" s="15"/>
      <c r="R76" s="15"/>
      <c r="S76" s="15">
        <v>898.75751906541063</v>
      </c>
      <c r="T76" s="15">
        <v>690</v>
      </c>
      <c r="U76" s="15">
        <v>210000</v>
      </c>
      <c r="V76" s="15">
        <f t="shared" si="11"/>
        <v>18.15212630094576</v>
      </c>
      <c r="W76" s="15">
        <v>4.3072600000000003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993</v>
      </c>
      <c r="AF76" s="22" t="s">
        <v>5</v>
      </c>
      <c r="AG76" s="17">
        <f t="shared" si="12"/>
        <v>3871.1823115696807</v>
      </c>
      <c r="AH76" s="17">
        <v>2027.001910347414</v>
      </c>
      <c r="AI76" s="62">
        <v>4.5465244616775822</v>
      </c>
      <c r="AJ76" s="17">
        <f t="shared" si="13"/>
        <v>1.9981311315072585</v>
      </c>
      <c r="AK76" s="15">
        <f t="shared" si="14"/>
        <v>0.23728680203021638</v>
      </c>
      <c r="AL76" s="5">
        <v>10.167</v>
      </c>
      <c r="AM76">
        <v>4.6241000000000003</v>
      </c>
      <c r="AN76">
        <f t="shared" si="9"/>
        <v>0.98322364604519408</v>
      </c>
      <c r="AO76" s="5">
        <f t="shared" si="15"/>
        <v>1.6666666666666667</v>
      </c>
      <c r="AP76" s="5">
        <f t="shared" si="10"/>
        <v>4.5465244616775822</v>
      </c>
    </row>
    <row r="77" spans="1:42" ht="15">
      <c r="A77" s="15">
        <v>72</v>
      </c>
      <c r="B77" s="20" t="s">
        <v>1090</v>
      </c>
      <c r="C77" s="20">
        <v>300</v>
      </c>
      <c r="D77" s="15">
        <v>300</v>
      </c>
      <c r="E77" s="15">
        <v>500</v>
      </c>
      <c r="F77" s="15">
        <v>28</v>
      </c>
      <c r="G77" s="15">
        <v>28</v>
      </c>
      <c r="H77" s="15">
        <v>14.5</v>
      </c>
      <c r="I77" s="15">
        <v>27</v>
      </c>
      <c r="J77" s="15">
        <v>27</v>
      </c>
      <c r="K77" s="15">
        <v>29021.834475214921</v>
      </c>
      <c r="L77" s="15">
        <v>23644</v>
      </c>
      <c r="M77" s="15"/>
      <c r="N77" s="15"/>
      <c r="O77" s="15"/>
      <c r="P77" s="15">
        <v>1062753941.3333336</v>
      </c>
      <c r="Q77" s="15"/>
      <c r="R77" s="15"/>
      <c r="S77" s="15">
        <v>606.85575144279926</v>
      </c>
      <c r="T77" s="15">
        <v>690</v>
      </c>
      <c r="U77" s="15">
        <v>210000</v>
      </c>
      <c r="V77" s="15">
        <f t="shared" si="11"/>
        <v>26.883423220777949</v>
      </c>
      <c r="W77" s="15">
        <v>4.0750799999999998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994</v>
      </c>
      <c r="AF77" s="22" t="s">
        <v>5</v>
      </c>
      <c r="AG77" s="17">
        <f t="shared" si="12"/>
        <v>2472.9857355895224</v>
      </c>
      <c r="AH77" s="17">
        <v>1368.6647859803263</v>
      </c>
      <c r="AI77" s="62">
        <v>4.3093976499898581</v>
      </c>
      <c r="AJ77" s="17">
        <f t="shared" si="13"/>
        <v>2.4976639143840735</v>
      </c>
      <c r="AK77" s="15">
        <f t="shared" si="14"/>
        <v>0.15158337413110426</v>
      </c>
      <c r="AL77" s="5">
        <v>10.167</v>
      </c>
      <c r="AM77">
        <v>4.3993000000000002</v>
      </c>
      <c r="AN77">
        <f t="shared" si="9"/>
        <v>0.97956439660624595</v>
      </c>
      <c r="AO77" s="5">
        <f t="shared" si="15"/>
        <v>1.6666666666666667</v>
      </c>
      <c r="AP77" s="5">
        <f t="shared" si="10"/>
        <v>4.3093976499898581</v>
      </c>
    </row>
    <row r="78" spans="1:42" ht="15">
      <c r="A78" s="15">
        <v>73</v>
      </c>
      <c r="B78" s="20" t="s">
        <v>1091</v>
      </c>
      <c r="C78" s="20">
        <v>300</v>
      </c>
      <c r="D78" s="15">
        <v>300</v>
      </c>
      <c r="E78" s="15">
        <v>600</v>
      </c>
      <c r="F78" s="15">
        <v>30</v>
      </c>
      <c r="G78" s="15">
        <v>30</v>
      </c>
      <c r="H78" s="15">
        <v>15.5</v>
      </c>
      <c r="I78" s="15">
        <v>27</v>
      </c>
      <c r="J78" s="15">
        <v>27</v>
      </c>
      <c r="K78" s="15">
        <v>4133.7264896651886</v>
      </c>
      <c r="L78" s="15">
        <v>26835</v>
      </c>
      <c r="M78" s="15"/>
      <c r="N78" s="15"/>
      <c r="O78" s="15"/>
      <c r="P78" s="15">
        <v>1701257625</v>
      </c>
      <c r="Q78" s="15"/>
      <c r="R78" s="15"/>
      <c r="S78" s="15">
        <v>4934.2939630449737</v>
      </c>
      <c r="T78" s="15">
        <v>690</v>
      </c>
      <c r="U78" s="15">
        <v>210000</v>
      </c>
      <c r="V78" s="15">
        <f t="shared" si="11"/>
        <v>3.7525429450850156</v>
      </c>
      <c r="W78" s="15">
        <v>3.8304399999999998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995</v>
      </c>
      <c r="AF78" s="30" t="s">
        <v>219</v>
      </c>
      <c r="AG78" s="17">
        <f t="shared" si="12"/>
        <v>18900.516967805986</v>
      </c>
      <c r="AH78" s="17">
        <v>7531.6636412264916</v>
      </c>
      <c r="AI78" s="62">
        <v>41.819672727551279</v>
      </c>
      <c r="AJ78" s="17">
        <f t="shared" si="13"/>
        <v>0.29955220492491946</v>
      </c>
      <c r="AK78" s="15">
        <f t="shared" si="14"/>
        <v>1.0207584712699989</v>
      </c>
      <c r="AL78" s="56">
        <v>5.66</v>
      </c>
      <c r="AM78">
        <f>AI78</f>
        <v>41.819672727551279</v>
      </c>
      <c r="AN78" s="57">
        <f t="shared" si="9"/>
        <v>1</v>
      </c>
      <c r="AO78" s="5">
        <f t="shared" si="15"/>
        <v>2</v>
      </c>
      <c r="AP78" s="5">
        <f t="shared" si="10"/>
        <v>41.819672727551279</v>
      </c>
    </row>
    <row r="79" spans="1:42" ht="15">
      <c r="A79" s="15">
        <v>74</v>
      </c>
      <c r="B79" s="20" t="s">
        <v>1092</v>
      </c>
      <c r="C79" s="20">
        <v>300</v>
      </c>
      <c r="D79" s="15">
        <v>300</v>
      </c>
      <c r="E79" s="15">
        <v>600</v>
      </c>
      <c r="F79" s="15">
        <v>30</v>
      </c>
      <c r="G79" s="15">
        <v>30</v>
      </c>
      <c r="H79" s="15">
        <v>15.5</v>
      </c>
      <c r="I79" s="15">
        <v>27</v>
      </c>
      <c r="J79" s="15">
        <v>27</v>
      </c>
      <c r="K79" s="15">
        <v>6889.5441494419811</v>
      </c>
      <c r="L79" s="15">
        <v>26835</v>
      </c>
      <c r="M79" s="15"/>
      <c r="N79" s="15"/>
      <c r="O79" s="15"/>
      <c r="P79" s="15">
        <v>1701257625</v>
      </c>
      <c r="Q79" s="15"/>
      <c r="R79" s="15"/>
      <c r="S79" s="15">
        <v>4382.4213408335581</v>
      </c>
      <c r="T79" s="15">
        <v>690</v>
      </c>
      <c r="U79" s="15">
        <v>210000</v>
      </c>
      <c r="V79" s="15">
        <f t="shared" si="11"/>
        <v>4.225095799774957</v>
      </c>
      <c r="W79" s="15">
        <v>4.2121599999999999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996</v>
      </c>
      <c r="AF79" s="30" t="s">
        <v>219</v>
      </c>
      <c r="AG79" s="17">
        <f t="shared" si="12"/>
        <v>18459.459875005479</v>
      </c>
      <c r="AH79" s="17">
        <v>6778.5409943898112</v>
      </c>
      <c r="AI79" s="62">
        <v>16.950949109164526</v>
      </c>
      <c r="AJ79" s="17">
        <f t="shared" si="13"/>
        <v>0.49925367487486577</v>
      </c>
      <c r="AK79" s="15">
        <f t="shared" si="14"/>
        <v>0.9969383416641947</v>
      </c>
      <c r="AL79" s="5">
        <v>5.66</v>
      </c>
      <c r="AM79">
        <f>AI79</f>
        <v>16.950949109164526</v>
      </c>
      <c r="AN79" s="57">
        <f t="shared" si="9"/>
        <v>1</v>
      </c>
      <c r="AO79" s="5">
        <f t="shared" si="15"/>
        <v>2</v>
      </c>
      <c r="AP79" s="5">
        <f t="shared" si="10"/>
        <v>16.950949109164526</v>
      </c>
    </row>
    <row r="80" spans="1:42" ht="15">
      <c r="A80" s="15">
        <v>75</v>
      </c>
      <c r="B80" s="20" t="s">
        <v>1093</v>
      </c>
      <c r="C80" s="20">
        <v>300</v>
      </c>
      <c r="D80" s="15">
        <v>300</v>
      </c>
      <c r="E80" s="15">
        <v>600</v>
      </c>
      <c r="F80" s="15">
        <v>30</v>
      </c>
      <c r="G80" s="15">
        <v>30</v>
      </c>
      <c r="H80" s="15">
        <v>15.5</v>
      </c>
      <c r="I80" s="15">
        <v>27</v>
      </c>
      <c r="J80" s="15">
        <v>27</v>
      </c>
      <c r="K80" s="15">
        <v>10334.316224162971</v>
      </c>
      <c r="L80" s="15">
        <v>26835</v>
      </c>
      <c r="M80" s="15"/>
      <c r="N80" s="15"/>
      <c r="O80" s="15"/>
      <c r="P80" s="15">
        <v>1701257625</v>
      </c>
      <c r="Q80" s="15"/>
      <c r="R80" s="15"/>
      <c r="S80" s="15">
        <v>3605.4566270995156</v>
      </c>
      <c r="T80" s="15">
        <v>690</v>
      </c>
      <c r="U80" s="15">
        <v>210000</v>
      </c>
      <c r="V80" s="15">
        <f t="shared" si="11"/>
        <v>5.1355908321925101</v>
      </c>
      <c r="W80" s="15">
        <v>4.7957700000000001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997</v>
      </c>
      <c r="AF80" s="22" t="s">
        <v>5</v>
      </c>
      <c r="AG80" s="17">
        <f t="shared" si="12"/>
        <v>17290.940728545043</v>
      </c>
      <c r="AH80" s="17">
        <v>5728.7848014329038</v>
      </c>
      <c r="AI80" s="62">
        <v>9.1572560157885281</v>
      </c>
      <c r="AJ80" s="17">
        <f t="shared" si="13"/>
        <v>0.74888051231229857</v>
      </c>
      <c r="AK80" s="15">
        <f t="shared" si="14"/>
        <v>0.93383023622864592</v>
      </c>
      <c r="AL80" s="5">
        <v>5.66</v>
      </c>
      <c r="AM80">
        <v>8.6864000000000008</v>
      </c>
      <c r="AN80">
        <f t="shared" si="9"/>
        <v>1.0542061171243009</v>
      </c>
      <c r="AO80" s="5">
        <f t="shared" si="15"/>
        <v>2</v>
      </c>
      <c r="AP80" s="5">
        <f t="shared" si="10"/>
        <v>9.1572560157885281</v>
      </c>
    </row>
    <row r="81" spans="1:42" ht="15">
      <c r="A81" s="15">
        <v>76</v>
      </c>
      <c r="B81" s="20" t="s">
        <v>1094</v>
      </c>
      <c r="C81" s="20">
        <v>300</v>
      </c>
      <c r="D81" s="15">
        <v>300</v>
      </c>
      <c r="E81" s="15">
        <v>600</v>
      </c>
      <c r="F81" s="15">
        <v>30</v>
      </c>
      <c r="G81" s="15">
        <v>30</v>
      </c>
      <c r="H81" s="15">
        <v>15.5</v>
      </c>
      <c r="I81" s="15">
        <v>27</v>
      </c>
      <c r="J81" s="15">
        <v>27</v>
      </c>
      <c r="K81" s="15">
        <v>13779.088298883962</v>
      </c>
      <c r="L81" s="15">
        <v>26835</v>
      </c>
      <c r="M81" s="15"/>
      <c r="N81" s="15"/>
      <c r="O81" s="15"/>
      <c r="P81" s="15">
        <v>1701257625</v>
      </c>
      <c r="Q81" s="15"/>
      <c r="R81" s="15"/>
      <c r="S81" s="15">
        <v>2806.9578805845558</v>
      </c>
      <c r="T81" s="15">
        <v>690</v>
      </c>
      <c r="U81" s="15">
        <v>210000</v>
      </c>
      <c r="V81" s="15">
        <f t="shared" si="11"/>
        <v>6.5965186467792556</v>
      </c>
      <c r="W81" s="15">
        <v>5.1779799999999998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998</v>
      </c>
      <c r="AF81" s="22" t="s">
        <v>5</v>
      </c>
      <c r="AG81" s="17">
        <f t="shared" si="12"/>
        <v>14534.371766509217</v>
      </c>
      <c r="AH81" s="17">
        <v>4607.7293489828817</v>
      </c>
      <c r="AI81" s="62">
        <v>6.6162554163367</v>
      </c>
      <c r="AJ81" s="17">
        <f t="shared" si="13"/>
        <v>0.99850734974973165</v>
      </c>
      <c r="AK81" s="15">
        <f t="shared" si="14"/>
        <v>0.78495647132418012</v>
      </c>
      <c r="AL81" s="5">
        <v>5.66</v>
      </c>
      <c r="AM81">
        <v>6.3487</v>
      </c>
      <c r="AN81">
        <f t="shared" si="9"/>
        <v>1.0421433390043158</v>
      </c>
      <c r="AO81" s="5">
        <f t="shared" si="15"/>
        <v>2</v>
      </c>
      <c r="AP81" s="5">
        <f t="shared" si="10"/>
        <v>6.6162554163367</v>
      </c>
    </row>
    <row r="82" spans="1:42" ht="15">
      <c r="A82" s="15">
        <v>77</v>
      </c>
      <c r="B82" s="20" t="s">
        <v>1095</v>
      </c>
      <c r="C82" s="20">
        <v>300</v>
      </c>
      <c r="D82" s="15">
        <v>300</v>
      </c>
      <c r="E82" s="15">
        <v>600</v>
      </c>
      <c r="F82" s="15">
        <v>30</v>
      </c>
      <c r="G82" s="15">
        <v>30</v>
      </c>
      <c r="H82" s="15">
        <v>15.5</v>
      </c>
      <c r="I82" s="15">
        <v>27</v>
      </c>
      <c r="J82" s="15">
        <v>27</v>
      </c>
      <c r="K82" s="15">
        <v>18326.187437515669</v>
      </c>
      <c r="L82" s="15">
        <v>26835</v>
      </c>
      <c r="M82" s="15"/>
      <c r="N82" s="15"/>
      <c r="O82" s="15"/>
      <c r="P82" s="15">
        <v>1701257625</v>
      </c>
      <c r="Q82" s="15"/>
      <c r="R82" s="15"/>
      <c r="S82" s="15">
        <v>1956.7373000618261</v>
      </c>
      <c r="T82" s="15">
        <v>690</v>
      </c>
      <c r="U82" s="15">
        <v>210000</v>
      </c>
      <c r="V82" s="15">
        <f t="shared" si="11"/>
        <v>9.4627674340418384</v>
      </c>
      <c r="W82" s="15">
        <v>4.9250600000000002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999</v>
      </c>
      <c r="AF82" s="22" t="s">
        <v>5</v>
      </c>
      <c r="AG82" s="17">
        <f t="shared" si="12"/>
        <v>9637.0486070424977</v>
      </c>
      <c r="AH82" s="17">
        <v>3315.9200679586502</v>
      </c>
      <c r="AI82" s="62">
        <v>5.3655266062446092</v>
      </c>
      <c r="AJ82" s="17">
        <f t="shared" si="13"/>
        <v>1.3280147751671429</v>
      </c>
      <c r="AK82" s="15">
        <f t="shared" si="14"/>
        <v>0.52046719253422002</v>
      </c>
      <c r="AL82" s="5">
        <v>5.66</v>
      </c>
      <c r="AM82">
        <v>5.1721000000000004</v>
      </c>
      <c r="AN82">
        <f t="shared" si="9"/>
        <v>1.0373980793574387</v>
      </c>
      <c r="AO82" s="5">
        <f t="shared" si="15"/>
        <v>2</v>
      </c>
      <c r="AP82" s="5">
        <f t="shared" si="10"/>
        <v>5.3655266062446092</v>
      </c>
    </row>
    <row r="83" spans="1:42" ht="15">
      <c r="A83" s="15">
        <v>78</v>
      </c>
      <c r="B83" s="20" t="s">
        <v>1096</v>
      </c>
      <c r="C83" s="20">
        <v>300</v>
      </c>
      <c r="D83" s="15">
        <v>300</v>
      </c>
      <c r="E83" s="15">
        <v>600</v>
      </c>
      <c r="F83" s="15">
        <v>30</v>
      </c>
      <c r="G83" s="15">
        <v>30</v>
      </c>
      <c r="H83" s="15">
        <v>15.5</v>
      </c>
      <c r="I83" s="15">
        <v>27</v>
      </c>
      <c r="J83" s="15">
        <v>27</v>
      </c>
      <c r="K83" s="15">
        <v>23011.077459136213</v>
      </c>
      <c r="L83" s="15">
        <v>26835</v>
      </c>
      <c r="M83" s="15"/>
      <c r="N83" s="15"/>
      <c r="O83" s="15"/>
      <c r="P83" s="15">
        <v>1701257625</v>
      </c>
      <c r="Q83" s="15"/>
      <c r="R83" s="15"/>
      <c r="S83" s="15">
        <v>1379.2096237006695</v>
      </c>
      <c r="T83" s="15">
        <v>690</v>
      </c>
      <c r="U83" s="15">
        <v>210000</v>
      </c>
      <c r="V83" s="15">
        <f t="shared" si="11"/>
        <v>13.425189095126679</v>
      </c>
      <c r="W83" s="15">
        <v>4.5735799999999998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1000</v>
      </c>
      <c r="AF83" s="22" t="s">
        <v>5</v>
      </c>
      <c r="AG83" s="17">
        <f t="shared" si="12"/>
        <v>6307.9255507649077</v>
      </c>
      <c r="AH83" s="17">
        <v>2377.9350730215865</v>
      </c>
      <c r="AI83" s="62">
        <v>4.8281965046903572</v>
      </c>
      <c r="AJ83" s="17">
        <f t="shared" si="13"/>
        <v>1.6675072740820513</v>
      </c>
      <c r="AK83" s="15">
        <f t="shared" si="14"/>
        <v>0.34067155163275886</v>
      </c>
      <c r="AL83" s="5">
        <v>5.66</v>
      </c>
      <c r="AM83">
        <v>4.6615000000000002</v>
      </c>
      <c r="AN83">
        <f t="shared" si="9"/>
        <v>1.0357602713054503</v>
      </c>
      <c r="AO83" s="5">
        <f t="shared" si="15"/>
        <v>2</v>
      </c>
      <c r="AP83" s="5">
        <f t="shared" si="10"/>
        <v>4.8281965046903572</v>
      </c>
    </row>
    <row r="84" spans="1:42" ht="15">
      <c r="A84" s="15">
        <v>79</v>
      </c>
      <c r="B84" s="20" t="s">
        <v>1097</v>
      </c>
      <c r="C84" s="20">
        <v>300</v>
      </c>
      <c r="D84" s="15">
        <v>300</v>
      </c>
      <c r="E84" s="15">
        <v>600</v>
      </c>
      <c r="F84" s="15">
        <v>30</v>
      </c>
      <c r="G84" s="15">
        <v>30</v>
      </c>
      <c r="H84" s="15">
        <v>15.5</v>
      </c>
      <c r="I84" s="15">
        <v>27</v>
      </c>
      <c r="J84" s="15">
        <v>27</v>
      </c>
      <c r="K84" s="15">
        <v>27558.176597767924</v>
      </c>
      <c r="L84" s="15">
        <v>26835</v>
      </c>
      <c r="M84" s="15"/>
      <c r="N84" s="15"/>
      <c r="O84" s="15"/>
      <c r="P84" s="15">
        <v>1701257625</v>
      </c>
      <c r="Q84" s="15"/>
      <c r="R84" s="15"/>
      <c r="S84" s="15">
        <v>1019.8913752368913</v>
      </c>
      <c r="T84" s="15">
        <v>690</v>
      </c>
      <c r="U84" s="15">
        <v>210000</v>
      </c>
      <c r="V84" s="15">
        <f t="shared" si="11"/>
        <v>18.155021651888401</v>
      </c>
      <c r="W84" s="15">
        <v>4.2946400000000002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1001</v>
      </c>
      <c r="AF84" s="22" t="s">
        <v>5</v>
      </c>
      <c r="AG84" s="17">
        <f t="shared" si="12"/>
        <v>4380.0662957473633</v>
      </c>
      <c r="AH84" s="17">
        <v>1774.0881742814197</v>
      </c>
      <c r="AI84" s="62">
        <v>4.5523353593741582</v>
      </c>
      <c r="AJ84" s="17">
        <f t="shared" si="13"/>
        <v>1.9970146994994631</v>
      </c>
      <c r="AK84" s="15">
        <f t="shared" si="14"/>
        <v>0.23655383520588044</v>
      </c>
      <c r="AL84" s="5">
        <v>5.66</v>
      </c>
      <c r="AM84">
        <v>4.3993000000000002</v>
      </c>
      <c r="AN84">
        <f t="shared" si="9"/>
        <v>1.0347862976778484</v>
      </c>
      <c r="AO84" s="5">
        <f t="shared" si="15"/>
        <v>2</v>
      </c>
      <c r="AP84" s="5">
        <f t="shared" si="10"/>
        <v>4.5523353593741582</v>
      </c>
    </row>
    <row r="85" spans="1:42" ht="15">
      <c r="A85" s="15">
        <v>80</v>
      </c>
      <c r="B85" s="20" t="s">
        <v>1098</v>
      </c>
      <c r="C85" s="20">
        <v>300</v>
      </c>
      <c r="D85" s="15">
        <v>300</v>
      </c>
      <c r="E85" s="15">
        <v>600</v>
      </c>
      <c r="F85" s="15">
        <v>30</v>
      </c>
      <c r="G85" s="15">
        <v>30</v>
      </c>
      <c r="H85" s="15">
        <v>15.5</v>
      </c>
      <c r="I85" s="15">
        <v>27</v>
      </c>
      <c r="J85" s="15">
        <v>27</v>
      </c>
      <c r="K85" s="15">
        <v>34447.720747209903</v>
      </c>
      <c r="L85" s="15">
        <v>26835</v>
      </c>
      <c r="M85" s="15"/>
      <c r="N85" s="15"/>
      <c r="O85" s="15"/>
      <c r="P85" s="15">
        <v>1701257625</v>
      </c>
      <c r="Q85" s="15"/>
      <c r="R85" s="15"/>
      <c r="S85" s="15">
        <v>688.64730895716559</v>
      </c>
      <c r="T85" s="15">
        <v>690</v>
      </c>
      <c r="U85" s="15">
        <v>210000</v>
      </c>
      <c r="V85" s="15">
        <f t="shared" si="11"/>
        <v>26.88771125532957</v>
      </c>
      <c r="W85" s="15">
        <v>4.0615699999999997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1002</v>
      </c>
      <c r="AF85" s="22" t="s">
        <v>5</v>
      </c>
      <c r="AG85" s="17">
        <f t="shared" si="12"/>
        <v>2796.9892506411547</v>
      </c>
      <c r="AH85" s="17">
        <v>1206.4821381136119</v>
      </c>
      <c r="AI85" s="62">
        <v>4.3149054767021173</v>
      </c>
      <c r="AJ85" s="17">
        <f t="shared" si="13"/>
        <v>2.4962683743743286</v>
      </c>
      <c r="AK85" s="15">
        <f t="shared" si="14"/>
        <v>0.15105673969162892</v>
      </c>
      <c r="AL85" s="5">
        <v>5.66</v>
      </c>
      <c r="AM85">
        <v>4.1734999999999998</v>
      </c>
      <c r="AN85">
        <f t="shared" si="9"/>
        <v>1.0338817483412286</v>
      </c>
      <c r="AO85" s="5">
        <f t="shared" si="15"/>
        <v>2</v>
      </c>
      <c r="AP85" s="5">
        <f t="shared" si="10"/>
        <v>4.3149054767021173</v>
      </c>
    </row>
    <row r="86" spans="1:42" ht="15">
      <c r="A86" s="15">
        <v>81</v>
      </c>
      <c r="B86" s="20" t="s">
        <v>1099</v>
      </c>
      <c r="C86" s="20">
        <v>300</v>
      </c>
      <c r="D86" s="15">
        <v>300</v>
      </c>
      <c r="E86" s="15">
        <v>700</v>
      </c>
      <c r="F86" s="15">
        <v>32</v>
      </c>
      <c r="G86" s="15">
        <v>32</v>
      </c>
      <c r="H86" s="15">
        <v>17</v>
      </c>
      <c r="I86" s="15">
        <v>27</v>
      </c>
      <c r="J86" s="15">
        <v>27</v>
      </c>
      <c r="K86" s="15">
        <v>4753.0179297249424</v>
      </c>
      <c r="L86" s="15">
        <v>30555.999999999989</v>
      </c>
      <c r="M86" s="15"/>
      <c r="N86" s="15"/>
      <c r="O86" s="15"/>
      <c r="P86" s="15">
        <v>2564151845.333334</v>
      </c>
      <c r="Q86" s="15"/>
      <c r="R86" s="15"/>
      <c r="S86" s="15">
        <v>5615.7766560070431</v>
      </c>
      <c r="T86" s="15">
        <v>690</v>
      </c>
      <c r="U86" s="15">
        <v>210000</v>
      </c>
      <c r="V86" s="15">
        <f t="shared" si="11"/>
        <v>3.7543587096626072</v>
      </c>
      <c r="W86" s="15">
        <v>3.8104100000000001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1003</v>
      </c>
      <c r="AF86" s="30" t="s">
        <v>219</v>
      </c>
      <c r="AG86" s="17">
        <f t="shared" si="12"/>
        <v>21398.411527815799</v>
      </c>
      <c r="AH86" s="17">
        <v>5561.0540943776496</v>
      </c>
      <c r="AI86" s="62">
        <v>41.890355658732354</v>
      </c>
      <c r="AJ86" s="17">
        <f t="shared" si="13"/>
        <v>0.2993717793402591</v>
      </c>
      <c r="AK86" s="15">
        <f t="shared" si="14"/>
        <v>1.0149296576784561</v>
      </c>
      <c r="AL86" s="56">
        <v>2.8845000000000001</v>
      </c>
      <c r="AM86">
        <f>AI86</f>
        <v>41.890355658732354</v>
      </c>
      <c r="AN86" s="57">
        <f t="shared" si="9"/>
        <v>1</v>
      </c>
      <c r="AO86" s="5">
        <f t="shared" si="15"/>
        <v>2.3333333333333335</v>
      </c>
      <c r="AP86" s="5">
        <f t="shared" si="10"/>
        <v>41.890355658732354</v>
      </c>
    </row>
    <row r="87" spans="1:42" ht="15">
      <c r="A87" s="15">
        <v>82</v>
      </c>
      <c r="B87" s="20" t="s">
        <v>1100</v>
      </c>
      <c r="C87" s="20">
        <v>300</v>
      </c>
      <c r="D87" s="15">
        <v>300</v>
      </c>
      <c r="E87" s="15">
        <v>700</v>
      </c>
      <c r="F87" s="15">
        <v>32</v>
      </c>
      <c r="G87" s="15">
        <v>32</v>
      </c>
      <c r="H87" s="15">
        <v>17</v>
      </c>
      <c r="I87" s="15">
        <v>27</v>
      </c>
      <c r="J87" s="15">
        <v>27</v>
      </c>
      <c r="K87" s="15">
        <v>7921.6965495415707</v>
      </c>
      <c r="L87" s="15">
        <v>30556</v>
      </c>
      <c r="M87" s="15"/>
      <c r="N87" s="15"/>
      <c r="O87" s="15"/>
      <c r="P87" s="15">
        <v>2564151845.3333335</v>
      </c>
      <c r="Q87" s="15"/>
      <c r="R87" s="15"/>
      <c r="S87" s="15">
        <v>4987.6840834697286</v>
      </c>
      <c r="T87" s="15">
        <v>690</v>
      </c>
      <c r="U87" s="15">
        <v>210000</v>
      </c>
      <c r="V87" s="15">
        <f t="shared" si="11"/>
        <v>4.2271402212252722</v>
      </c>
      <c r="W87" s="15">
        <v>4.1924000000000001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1004</v>
      </c>
      <c r="AF87" s="30" t="s">
        <v>219</v>
      </c>
      <c r="AG87" s="17">
        <f t="shared" si="12"/>
        <v>20910.366751538491</v>
      </c>
      <c r="AH87" s="17">
        <v>5084.6484845868827</v>
      </c>
      <c r="AI87" s="62">
        <v>16.979599327858068</v>
      </c>
      <c r="AJ87" s="17">
        <f t="shared" si="13"/>
        <v>0.49895296556709862</v>
      </c>
      <c r="AK87" s="15">
        <f t="shared" si="14"/>
        <v>0.99178162554181792</v>
      </c>
      <c r="AL87" s="5">
        <v>2.8845000000000001</v>
      </c>
      <c r="AM87">
        <f>AI87</f>
        <v>16.979599327858068</v>
      </c>
      <c r="AN87" s="57">
        <f t="shared" si="9"/>
        <v>1</v>
      </c>
      <c r="AO87" s="5">
        <f t="shared" si="15"/>
        <v>2.3333333333333335</v>
      </c>
      <c r="AP87" s="5">
        <f t="shared" si="10"/>
        <v>16.979599327858068</v>
      </c>
    </row>
    <row r="88" spans="1:42" ht="15">
      <c r="A88" s="15">
        <v>83</v>
      </c>
      <c r="B88" s="20" t="s">
        <v>1101</v>
      </c>
      <c r="C88" s="20">
        <v>300</v>
      </c>
      <c r="D88" s="15">
        <v>300</v>
      </c>
      <c r="E88" s="15">
        <v>700</v>
      </c>
      <c r="F88" s="15">
        <v>32</v>
      </c>
      <c r="G88" s="15">
        <v>32</v>
      </c>
      <c r="H88" s="15">
        <v>17</v>
      </c>
      <c r="I88" s="15">
        <v>27</v>
      </c>
      <c r="J88" s="15">
        <v>27</v>
      </c>
      <c r="K88" s="15">
        <v>11882.544824312356</v>
      </c>
      <c r="L88" s="15">
        <v>30556</v>
      </c>
      <c r="M88" s="15"/>
      <c r="N88" s="15"/>
      <c r="O88" s="15"/>
      <c r="P88" s="15">
        <v>2564151845.3333335</v>
      </c>
      <c r="Q88" s="15"/>
      <c r="R88" s="15"/>
      <c r="S88" s="15">
        <v>4103.411615188118</v>
      </c>
      <c r="T88" s="15">
        <v>690</v>
      </c>
      <c r="U88" s="15">
        <v>210000</v>
      </c>
      <c r="V88" s="15">
        <f t="shared" si="11"/>
        <v>5.1380758201205792</v>
      </c>
      <c r="W88" s="15">
        <v>4.7800599999999998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1005</v>
      </c>
      <c r="AF88" s="22" t="s">
        <v>5</v>
      </c>
      <c r="AG88" s="17">
        <f t="shared" si="12"/>
        <v>19614.553725296115</v>
      </c>
      <c r="AH88" s="17">
        <v>4434.9095276407661</v>
      </c>
      <c r="AI88" s="62">
        <v>9.1727334610805578</v>
      </c>
      <c r="AJ88" s="17">
        <f t="shared" si="13"/>
        <v>0.74842944835064795</v>
      </c>
      <c r="AK88" s="15">
        <f t="shared" si="14"/>
        <v>0.93032103210338035</v>
      </c>
      <c r="AL88" s="5">
        <v>2.8845000000000001</v>
      </c>
      <c r="AM88">
        <v>7.2363</v>
      </c>
      <c r="AN88">
        <f t="shared" si="9"/>
        <v>1.2675999421086133</v>
      </c>
      <c r="AO88" s="5">
        <f t="shared" si="15"/>
        <v>2.3333333333333335</v>
      </c>
      <c r="AP88" s="5">
        <f t="shared" si="10"/>
        <v>9.1727334610805578</v>
      </c>
    </row>
    <row r="89" spans="1:42" ht="15">
      <c r="A89" s="15">
        <v>84</v>
      </c>
      <c r="B89" s="20" t="s">
        <v>1102</v>
      </c>
      <c r="C89" s="20">
        <v>300</v>
      </c>
      <c r="D89" s="15">
        <v>300</v>
      </c>
      <c r="E89" s="15">
        <v>700</v>
      </c>
      <c r="F89" s="15">
        <v>32</v>
      </c>
      <c r="G89" s="15">
        <v>32</v>
      </c>
      <c r="H89" s="15">
        <v>17</v>
      </c>
      <c r="I89" s="15">
        <v>27</v>
      </c>
      <c r="J89" s="15">
        <v>27</v>
      </c>
      <c r="K89" s="15">
        <v>15843.393099083141</v>
      </c>
      <c r="L89" s="15">
        <v>30556</v>
      </c>
      <c r="M89" s="15"/>
      <c r="N89" s="15"/>
      <c r="O89" s="15"/>
      <c r="P89" s="15">
        <v>2564151845.3333335</v>
      </c>
      <c r="Q89" s="15"/>
      <c r="R89" s="15"/>
      <c r="S89" s="15">
        <v>3194.6310167654042</v>
      </c>
      <c r="T89" s="15">
        <v>690</v>
      </c>
      <c r="U89" s="15">
        <v>210000</v>
      </c>
      <c r="V89" s="15">
        <f t="shared" si="11"/>
        <v>6.5997105422670685</v>
      </c>
      <c r="W89" s="15">
        <v>5.1623200000000002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1006</v>
      </c>
      <c r="AF89" s="22" t="s">
        <v>5</v>
      </c>
      <c r="AG89" s="17">
        <f t="shared" si="12"/>
        <v>16491.707590468381</v>
      </c>
      <c r="AH89" s="17">
        <v>3720.8349124805318</v>
      </c>
      <c r="AI89" s="62">
        <v>6.6274381037124703</v>
      </c>
      <c r="AJ89" s="17">
        <f t="shared" si="13"/>
        <v>0.99790593113419734</v>
      </c>
      <c r="AK89" s="15">
        <f t="shared" si="14"/>
        <v>0.78220400227230125</v>
      </c>
      <c r="AL89" s="5">
        <v>2.8845000000000001</v>
      </c>
      <c r="AM89">
        <v>5.7969999999999997</v>
      </c>
      <c r="AN89">
        <f t="shared" si="9"/>
        <v>1.1432530798192981</v>
      </c>
      <c r="AO89" s="5">
        <f t="shared" si="15"/>
        <v>2.3333333333333335</v>
      </c>
      <c r="AP89" s="5">
        <f t="shared" si="10"/>
        <v>6.6274381037124703</v>
      </c>
    </row>
    <row r="90" spans="1:42" ht="15">
      <c r="A90" s="15">
        <v>85</v>
      </c>
      <c r="B90" s="20" t="s">
        <v>1103</v>
      </c>
      <c r="C90" s="20">
        <v>300</v>
      </c>
      <c r="D90" s="15">
        <v>300</v>
      </c>
      <c r="E90" s="15">
        <v>700</v>
      </c>
      <c r="F90" s="15">
        <v>32</v>
      </c>
      <c r="G90" s="15">
        <v>32</v>
      </c>
      <c r="H90" s="15">
        <v>17</v>
      </c>
      <c r="I90" s="15">
        <v>27</v>
      </c>
      <c r="J90" s="15">
        <v>27</v>
      </c>
      <c r="K90" s="15">
        <v>21071.71282178058</v>
      </c>
      <c r="L90" s="15">
        <v>30556</v>
      </c>
      <c r="M90" s="15"/>
      <c r="N90" s="15"/>
      <c r="O90" s="15"/>
      <c r="P90" s="15">
        <v>2564151845.3333335</v>
      </c>
      <c r="Q90" s="15"/>
      <c r="R90" s="15"/>
      <c r="S90" s="15">
        <v>2226.9852047575091</v>
      </c>
      <c r="T90" s="15">
        <v>690</v>
      </c>
      <c r="U90" s="15">
        <v>210000</v>
      </c>
      <c r="V90" s="15">
        <f t="shared" si="11"/>
        <v>9.4673462378461313</v>
      </c>
      <c r="W90" s="15">
        <v>4.91045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1007</v>
      </c>
      <c r="AF90" s="22" t="s">
        <v>5</v>
      </c>
      <c r="AG90" s="17">
        <f t="shared" si="12"/>
        <v>10935.499498701511</v>
      </c>
      <c r="AH90" s="17">
        <v>2812.640714300846</v>
      </c>
      <c r="AI90" s="62">
        <v>5.3745953321126976</v>
      </c>
      <c r="AJ90" s="17">
        <f t="shared" si="13"/>
        <v>1.3272148884084827</v>
      </c>
      <c r="AK90" s="15">
        <f t="shared" si="14"/>
        <v>0.51867227379624725</v>
      </c>
      <c r="AL90" s="5">
        <v>2.8845000000000001</v>
      </c>
      <c r="AM90">
        <v>4.5182000000000002</v>
      </c>
      <c r="AN90">
        <f t="shared" si="9"/>
        <v>1.1895434757453627</v>
      </c>
      <c r="AO90" s="5">
        <f t="shared" si="15"/>
        <v>2.3333333333333335</v>
      </c>
      <c r="AP90" s="5">
        <f t="shared" si="10"/>
        <v>5.3745953321126976</v>
      </c>
    </row>
    <row r="91" spans="1:42" ht="15">
      <c r="A91" s="15">
        <v>86</v>
      </c>
      <c r="B91" s="20" t="s">
        <v>1104</v>
      </c>
      <c r="C91" s="20">
        <v>300</v>
      </c>
      <c r="D91" s="15">
        <v>300</v>
      </c>
      <c r="E91" s="15">
        <v>700</v>
      </c>
      <c r="F91" s="15">
        <v>32</v>
      </c>
      <c r="G91" s="15">
        <v>32</v>
      </c>
      <c r="H91" s="15">
        <v>17</v>
      </c>
      <c r="I91" s="15">
        <v>27</v>
      </c>
      <c r="J91" s="15">
        <v>27</v>
      </c>
      <c r="K91" s="15">
        <v>26458.466475468842</v>
      </c>
      <c r="L91" s="15">
        <v>30556</v>
      </c>
      <c r="M91" s="15"/>
      <c r="N91" s="15"/>
      <c r="O91" s="15"/>
      <c r="P91" s="15">
        <v>2564151845.3333335</v>
      </c>
      <c r="Q91" s="15"/>
      <c r="R91" s="15"/>
      <c r="S91" s="15">
        <v>1569.6943203073374</v>
      </c>
      <c r="T91" s="15">
        <v>690</v>
      </c>
      <c r="U91" s="15">
        <v>210000</v>
      </c>
      <c r="V91" s="15">
        <f t="shared" si="11"/>
        <v>13.43168521873223</v>
      </c>
      <c r="W91" s="15">
        <v>4.56365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1008</v>
      </c>
      <c r="AF91" s="22" t="s">
        <v>5</v>
      </c>
      <c r="AG91" s="17">
        <f t="shared" si="12"/>
        <v>7163.5354848705801</v>
      </c>
      <c r="AH91" s="17">
        <v>2079.0652845193049</v>
      </c>
      <c r="AI91" s="62">
        <v>4.8363570439536137</v>
      </c>
      <c r="AJ91" s="17">
        <f t="shared" si="13"/>
        <v>1.6665029049941091</v>
      </c>
      <c r="AK91" s="15">
        <f t="shared" si="14"/>
        <v>0.33976749199239697</v>
      </c>
      <c r="AL91" s="5">
        <v>2.8845000000000001</v>
      </c>
      <c r="AM91">
        <v>3.9701</v>
      </c>
      <c r="AN91">
        <f t="shared" si="9"/>
        <v>1.2181952706364105</v>
      </c>
      <c r="AO91" s="5">
        <f t="shared" si="15"/>
        <v>2.3333333333333335</v>
      </c>
      <c r="AP91" s="5">
        <f t="shared" si="10"/>
        <v>4.8363570439536137</v>
      </c>
    </row>
    <row r="92" spans="1:42" ht="15">
      <c r="A92" s="15">
        <v>87</v>
      </c>
      <c r="B92" s="20" t="s">
        <v>1105</v>
      </c>
      <c r="C92" s="20">
        <v>300</v>
      </c>
      <c r="D92" s="15">
        <v>300</v>
      </c>
      <c r="E92" s="15">
        <v>700</v>
      </c>
      <c r="F92" s="15">
        <v>32</v>
      </c>
      <c r="G92" s="15">
        <v>32</v>
      </c>
      <c r="H92" s="15">
        <v>17</v>
      </c>
      <c r="I92" s="15">
        <v>27</v>
      </c>
      <c r="J92" s="15">
        <v>27</v>
      </c>
      <c r="K92" s="15">
        <v>31686.786198166283</v>
      </c>
      <c r="L92" s="15">
        <v>30556</v>
      </c>
      <c r="M92" s="15"/>
      <c r="N92" s="15"/>
      <c r="O92" s="15"/>
      <c r="P92" s="15">
        <v>2564151845.3333335</v>
      </c>
      <c r="Q92" s="15"/>
      <c r="R92" s="15"/>
      <c r="S92" s="15">
        <v>1160.7500930454903</v>
      </c>
      <c r="T92" s="15">
        <v>690</v>
      </c>
      <c r="U92" s="15">
        <v>210000</v>
      </c>
      <c r="V92" s="15">
        <f t="shared" si="11"/>
        <v>18.163806426827247</v>
      </c>
      <c r="W92" s="15">
        <v>4.2837300000000003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1009</v>
      </c>
      <c r="AF92" s="22" t="s">
        <v>5</v>
      </c>
      <c r="AG92" s="17">
        <f t="shared" si="12"/>
        <v>4972.3399960817587</v>
      </c>
      <c r="AH92" s="17">
        <v>1576.3585053174145</v>
      </c>
      <c r="AI92" s="62">
        <v>4.5600296426129603</v>
      </c>
      <c r="AJ92" s="17">
        <f t="shared" si="13"/>
        <v>1.9958118622683947</v>
      </c>
      <c r="AK92" s="15">
        <f t="shared" si="14"/>
        <v>0.23583878287059343</v>
      </c>
      <c r="AL92" s="5">
        <v>2.8845000000000001</v>
      </c>
      <c r="AM92">
        <v>3.6976</v>
      </c>
      <c r="AN92">
        <f t="shared" si="9"/>
        <v>1.2332403836577672</v>
      </c>
      <c r="AO92" s="5">
        <f t="shared" si="15"/>
        <v>2.3333333333333335</v>
      </c>
      <c r="AP92" s="5">
        <f t="shared" si="10"/>
        <v>4.5600296426129603</v>
      </c>
    </row>
    <row r="93" spans="1:42" ht="15">
      <c r="A93" s="15">
        <v>88</v>
      </c>
      <c r="B93" s="20" t="s">
        <v>1106</v>
      </c>
      <c r="C93" s="20">
        <v>300</v>
      </c>
      <c r="D93" s="15">
        <v>300</v>
      </c>
      <c r="E93" s="15">
        <v>700</v>
      </c>
      <c r="F93" s="15">
        <v>32</v>
      </c>
      <c r="G93" s="15">
        <v>32</v>
      </c>
      <c r="H93" s="15">
        <v>17</v>
      </c>
      <c r="I93" s="15">
        <v>27</v>
      </c>
      <c r="J93" s="15">
        <v>27</v>
      </c>
      <c r="K93" s="15">
        <v>39608.482747707851</v>
      </c>
      <c r="L93" s="15">
        <v>30556</v>
      </c>
      <c r="M93" s="15"/>
      <c r="N93" s="15"/>
      <c r="O93" s="15"/>
      <c r="P93" s="15">
        <v>2564151845.3333335</v>
      </c>
      <c r="Q93" s="15"/>
      <c r="R93" s="15"/>
      <c r="S93" s="15">
        <v>783.75741510892897</v>
      </c>
      <c r="T93" s="15">
        <v>690</v>
      </c>
      <c r="U93" s="15">
        <v>210000</v>
      </c>
      <c r="V93" s="15">
        <f t="shared" si="11"/>
        <v>26.900721567105983</v>
      </c>
      <c r="W93" s="15">
        <v>4.0501100000000001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1010</v>
      </c>
      <c r="AF93" s="22" t="s">
        <v>5</v>
      </c>
      <c r="AG93" s="17">
        <f t="shared" si="12"/>
        <v>3174.3037445068244</v>
      </c>
      <c r="AH93" s="17">
        <v>1085.9916939050379</v>
      </c>
      <c r="AI93" s="62">
        <v>4.3221984598119914</v>
      </c>
      <c r="AJ93" s="17">
        <f t="shared" si="13"/>
        <v>2.494764827835493</v>
      </c>
      <c r="AK93" s="15">
        <f t="shared" si="14"/>
        <v>0.15055767146976631</v>
      </c>
      <c r="AL93" s="5">
        <v>2.8845000000000001</v>
      </c>
      <c r="AM93">
        <v>3.4706999999999999</v>
      </c>
      <c r="AN93">
        <f t="shared" si="9"/>
        <v>1.2453391130930336</v>
      </c>
      <c r="AO93" s="5">
        <f t="shared" si="15"/>
        <v>2.3333333333333335</v>
      </c>
      <c r="AP93" s="5">
        <f t="shared" si="10"/>
        <v>4.3221984598119914</v>
      </c>
    </row>
    <row r="94" spans="1:42" ht="15">
      <c r="A94" s="15">
        <v>89</v>
      </c>
      <c r="B94" s="20" t="s">
        <v>1107</v>
      </c>
      <c r="C94" s="20">
        <v>300</v>
      </c>
      <c r="D94" s="15">
        <v>300</v>
      </c>
      <c r="E94" s="15">
        <v>900</v>
      </c>
      <c r="F94" s="15">
        <v>35</v>
      </c>
      <c r="G94" s="15">
        <v>35</v>
      </c>
      <c r="H94" s="15">
        <v>18.5</v>
      </c>
      <c r="I94" s="15">
        <v>30</v>
      </c>
      <c r="J94" s="15">
        <v>30</v>
      </c>
      <c r="K94" s="15">
        <v>5981.7642214877524</v>
      </c>
      <c r="L94" s="15">
        <v>37002.499999999993</v>
      </c>
      <c r="M94" s="15"/>
      <c r="N94" s="15"/>
      <c r="O94" s="15"/>
      <c r="P94" s="15">
        <v>4925970463.541666</v>
      </c>
      <c r="Q94" s="15"/>
      <c r="R94" s="15"/>
      <c r="S94" s="15">
        <v>6895.180250391827</v>
      </c>
      <c r="T94" s="15">
        <v>690</v>
      </c>
      <c r="U94" s="15">
        <v>210000</v>
      </c>
      <c r="V94" s="15">
        <f t="shared" si="11"/>
        <v>3.702836484738615</v>
      </c>
      <c r="W94" s="15">
        <v>3.7536100000000001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1011</v>
      </c>
      <c r="AF94" s="22" t="s">
        <v>5</v>
      </c>
      <c r="AG94" s="17">
        <f t="shared" si="12"/>
        <v>25881.817539673266</v>
      </c>
      <c r="AH94" s="17">
        <v>4177.8779091184097</v>
      </c>
      <c r="AI94" s="62">
        <v>41.381538997054349</v>
      </c>
      <c r="AJ94" s="17">
        <f t="shared" si="13"/>
        <v>0.29913273928922168</v>
      </c>
      <c r="AK94" s="15">
        <f t="shared" si="14"/>
        <v>1.0137120597873144</v>
      </c>
      <c r="AL94" s="56">
        <v>1.5359</v>
      </c>
      <c r="AM94">
        <f>AI94</f>
        <v>41.381538997054349</v>
      </c>
      <c r="AN94" s="57">
        <f t="shared" si="9"/>
        <v>1</v>
      </c>
      <c r="AO94" s="5">
        <f t="shared" si="15"/>
        <v>3</v>
      </c>
      <c r="AP94" s="5">
        <f t="shared" si="10"/>
        <v>41.381538997054349</v>
      </c>
    </row>
    <row r="95" spans="1:42" ht="15">
      <c r="A95" s="15">
        <v>90</v>
      </c>
      <c r="B95" s="20" t="s">
        <v>1108</v>
      </c>
      <c r="C95" s="20">
        <v>300</v>
      </c>
      <c r="D95" s="15">
        <v>300</v>
      </c>
      <c r="E95" s="15">
        <v>900</v>
      </c>
      <c r="F95" s="15">
        <v>35</v>
      </c>
      <c r="G95" s="15">
        <v>35</v>
      </c>
      <c r="H95" s="15">
        <v>18.5</v>
      </c>
      <c r="I95" s="15">
        <v>30</v>
      </c>
      <c r="J95" s="15">
        <v>30</v>
      </c>
      <c r="K95" s="15">
        <v>9969.60703581292</v>
      </c>
      <c r="L95" s="15">
        <v>37002.5</v>
      </c>
      <c r="M95" s="15"/>
      <c r="N95" s="15"/>
      <c r="O95" s="15"/>
      <c r="P95" s="15">
        <v>4925970463.541666</v>
      </c>
      <c r="Q95" s="15"/>
      <c r="R95" s="15"/>
      <c r="S95" s="15">
        <v>6209.029600449695</v>
      </c>
      <c r="T95" s="15">
        <v>690</v>
      </c>
      <c r="U95" s="15">
        <v>210000</v>
      </c>
      <c r="V95" s="15">
        <f t="shared" si="11"/>
        <v>4.1120314514446568</v>
      </c>
      <c r="W95" s="15">
        <v>4.0718399999999999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1012</v>
      </c>
      <c r="AF95" s="22" t="s">
        <v>5</v>
      </c>
      <c r="AG95" s="17">
        <f t="shared" si="12"/>
        <v>25282.175088295084</v>
      </c>
      <c r="AH95" s="17">
        <v>3870.3412115844235</v>
      </c>
      <c r="AI95" s="62">
        <v>16.543638533298573</v>
      </c>
      <c r="AJ95" s="17">
        <f t="shared" si="13"/>
        <v>0.49855456548203614</v>
      </c>
      <c r="AK95" s="15">
        <f t="shared" si="14"/>
        <v>0.9902258890966078</v>
      </c>
      <c r="AL95" s="5">
        <v>1.5359</v>
      </c>
      <c r="AM95">
        <f>AI95</f>
        <v>16.543638533298573</v>
      </c>
      <c r="AN95" s="57">
        <f t="shared" si="9"/>
        <v>1</v>
      </c>
      <c r="AO95" s="5">
        <f t="shared" si="15"/>
        <v>3</v>
      </c>
      <c r="AP95" s="5">
        <f t="shared" si="10"/>
        <v>16.543638533298573</v>
      </c>
    </row>
    <row r="96" spans="1:42" ht="15">
      <c r="A96" s="15">
        <v>91</v>
      </c>
      <c r="B96" s="20" t="s">
        <v>1109</v>
      </c>
      <c r="C96" s="20">
        <v>300</v>
      </c>
      <c r="D96" s="15">
        <v>300</v>
      </c>
      <c r="E96" s="15">
        <v>900</v>
      </c>
      <c r="F96" s="15">
        <v>35</v>
      </c>
      <c r="G96" s="15">
        <v>35</v>
      </c>
      <c r="H96" s="15">
        <v>18.5</v>
      </c>
      <c r="I96" s="15">
        <v>30</v>
      </c>
      <c r="J96" s="15">
        <v>30</v>
      </c>
      <c r="K96" s="15">
        <v>14954.410553719381</v>
      </c>
      <c r="L96" s="15">
        <v>37002.5</v>
      </c>
      <c r="M96" s="15"/>
      <c r="N96" s="15"/>
      <c r="O96" s="15"/>
      <c r="P96" s="15">
        <v>4925970463.541666</v>
      </c>
      <c r="Q96" s="15"/>
      <c r="R96" s="15"/>
      <c r="S96" s="15">
        <v>5253.1624305386231</v>
      </c>
      <c r="T96" s="15">
        <v>690</v>
      </c>
      <c r="U96" s="15">
        <v>210000</v>
      </c>
      <c r="V96" s="15">
        <f t="shared" si="11"/>
        <v>4.8602580517165075</v>
      </c>
      <c r="W96" s="15">
        <v>4.5232799999999997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1013</v>
      </c>
      <c r="AF96" s="22" t="s">
        <v>5</v>
      </c>
      <c r="AG96" s="17">
        <f t="shared" si="12"/>
        <v>23761.524558806741</v>
      </c>
      <c r="AH96" s="17">
        <v>3461.4955495321219</v>
      </c>
      <c r="AI96" s="62">
        <v>8.6906330941395176</v>
      </c>
      <c r="AJ96" s="17">
        <f t="shared" si="13"/>
        <v>0.74783184822305426</v>
      </c>
      <c r="AK96" s="15">
        <f t="shared" si="14"/>
        <v>0.93066663371968561</v>
      </c>
      <c r="AL96" s="5">
        <v>1.5359</v>
      </c>
      <c r="AM96">
        <f>AI96</f>
        <v>8.6906330941395176</v>
      </c>
      <c r="AN96" s="57">
        <f t="shared" si="9"/>
        <v>1</v>
      </c>
      <c r="AO96" s="5">
        <f t="shared" si="15"/>
        <v>3</v>
      </c>
      <c r="AP96" s="5">
        <f t="shared" si="10"/>
        <v>8.6906330941395176</v>
      </c>
    </row>
    <row r="97" spans="1:42" ht="15">
      <c r="A97" s="15">
        <v>92</v>
      </c>
      <c r="B97" s="20" t="s">
        <v>1110</v>
      </c>
      <c r="C97" s="20">
        <v>300</v>
      </c>
      <c r="D97" s="15">
        <v>300</v>
      </c>
      <c r="E97" s="15">
        <v>900</v>
      </c>
      <c r="F97" s="15">
        <v>35</v>
      </c>
      <c r="G97" s="15">
        <v>35</v>
      </c>
      <c r="H97" s="15">
        <v>18.5</v>
      </c>
      <c r="I97" s="15">
        <v>30</v>
      </c>
      <c r="J97" s="15">
        <v>30</v>
      </c>
      <c r="K97" s="15">
        <v>19939.21407162584</v>
      </c>
      <c r="L97" s="15">
        <v>37002.5</v>
      </c>
      <c r="M97" s="15"/>
      <c r="N97" s="15"/>
      <c r="O97" s="15"/>
      <c r="P97" s="15">
        <v>4925970463.541666</v>
      </c>
      <c r="Q97" s="15"/>
      <c r="R97" s="15"/>
      <c r="S97" s="15">
        <v>4231.0229469572068</v>
      </c>
      <c r="T97" s="15">
        <v>690</v>
      </c>
      <c r="U97" s="15">
        <v>210000</v>
      </c>
      <c r="V97" s="15">
        <f t="shared" si="11"/>
        <v>6.0344094844395624</v>
      </c>
      <c r="W97" s="15">
        <v>4.7177300000000004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1014</v>
      </c>
      <c r="AF97" s="22" t="s">
        <v>5</v>
      </c>
      <c r="AG97" s="17">
        <f t="shared" si="12"/>
        <v>19960.823887548424</v>
      </c>
      <c r="AH97" s="17">
        <v>3010.3655720248034</v>
      </c>
      <c r="AI97" s="62">
        <v>6.0694507356822154</v>
      </c>
      <c r="AJ97" s="17">
        <f t="shared" si="13"/>
        <v>0.99710913096407228</v>
      </c>
      <c r="AK97" s="15">
        <f t="shared" si="14"/>
        <v>0.78180475026847684</v>
      </c>
      <c r="AL97" s="5">
        <v>1.5359</v>
      </c>
      <c r="AM97">
        <v>5.3754999999999997</v>
      </c>
      <c r="AN97">
        <f t="shared" si="9"/>
        <v>1.1290951047683409</v>
      </c>
      <c r="AO97" s="5">
        <f t="shared" si="15"/>
        <v>3</v>
      </c>
      <c r="AP97" s="5">
        <f t="shared" si="10"/>
        <v>6.0694507356822154</v>
      </c>
    </row>
    <row r="98" spans="1:42" ht="15">
      <c r="A98" s="15">
        <v>93</v>
      </c>
      <c r="B98" s="20" t="s">
        <v>1111</v>
      </c>
      <c r="C98" s="20">
        <v>300</v>
      </c>
      <c r="D98" s="15">
        <v>300</v>
      </c>
      <c r="E98" s="15">
        <v>900</v>
      </c>
      <c r="F98" s="15">
        <v>35</v>
      </c>
      <c r="G98" s="15">
        <v>35</v>
      </c>
      <c r="H98" s="15">
        <v>18.5</v>
      </c>
      <c r="I98" s="15">
        <v>30</v>
      </c>
      <c r="J98" s="15">
        <v>30</v>
      </c>
      <c r="K98" s="15">
        <v>26519.154715262372</v>
      </c>
      <c r="L98" s="15">
        <v>37002.5</v>
      </c>
      <c r="M98" s="15"/>
      <c r="N98" s="15"/>
      <c r="O98" s="15"/>
      <c r="P98" s="15">
        <v>4925970463.541666</v>
      </c>
      <c r="Q98" s="15"/>
      <c r="R98" s="15"/>
      <c r="S98" s="15">
        <v>3049.2671681064071</v>
      </c>
      <c r="T98" s="15">
        <v>690</v>
      </c>
      <c r="U98" s="15">
        <v>210000</v>
      </c>
      <c r="V98" s="15">
        <f t="shared" si="11"/>
        <v>8.3730691974279132</v>
      </c>
      <c r="W98" s="15">
        <v>4.3443699999999996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1015</v>
      </c>
      <c r="AF98" s="22" t="s">
        <v>5</v>
      </c>
      <c r="AG98" s="17">
        <f t="shared" si="12"/>
        <v>13247.144807106431</v>
      </c>
      <c r="AH98" s="17">
        <v>2393.5008227522562</v>
      </c>
      <c r="AI98" s="62">
        <v>4.7609762150477151</v>
      </c>
      <c r="AJ98" s="17">
        <f t="shared" si="13"/>
        <v>1.3261551441822164</v>
      </c>
      <c r="AK98" s="15">
        <f t="shared" si="14"/>
        <v>0.51885036389458339</v>
      </c>
      <c r="AL98" s="5">
        <v>1.5359</v>
      </c>
      <c r="AM98">
        <v>3.9889000000000001</v>
      </c>
      <c r="AN98">
        <f t="shared" si="9"/>
        <v>1.1935561721396162</v>
      </c>
      <c r="AO98" s="5">
        <f t="shared" si="15"/>
        <v>3</v>
      </c>
      <c r="AP98" s="5">
        <f t="shared" si="10"/>
        <v>4.7609762150477151</v>
      </c>
    </row>
    <row r="99" spans="1:42" ht="15">
      <c r="A99" s="15">
        <v>94</v>
      </c>
      <c r="B99" s="20" t="s">
        <v>1112</v>
      </c>
      <c r="C99" s="20">
        <v>300</v>
      </c>
      <c r="D99" s="15">
        <v>300</v>
      </c>
      <c r="E99" s="15">
        <v>900</v>
      </c>
      <c r="F99" s="15">
        <v>35</v>
      </c>
      <c r="G99" s="15">
        <v>35</v>
      </c>
      <c r="H99" s="15">
        <v>18.5</v>
      </c>
      <c r="I99" s="15">
        <v>30</v>
      </c>
      <c r="J99" s="15">
        <v>30</v>
      </c>
      <c r="K99" s="15">
        <v>33298.487499615148</v>
      </c>
      <c r="L99" s="15">
        <v>37002.5</v>
      </c>
      <c r="M99" s="15"/>
      <c r="N99" s="15"/>
      <c r="O99" s="15"/>
      <c r="P99" s="15">
        <v>4925970463.541666</v>
      </c>
      <c r="Q99" s="15"/>
      <c r="R99" s="15"/>
      <c r="S99" s="15">
        <v>2188.5252969434077</v>
      </c>
      <c r="T99" s="15">
        <v>690</v>
      </c>
      <c r="U99" s="15">
        <v>210000</v>
      </c>
      <c r="V99" s="15">
        <f t="shared" si="11"/>
        <v>11.66617769310629</v>
      </c>
      <c r="W99" s="15">
        <v>4.0033500000000002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1016</v>
      </c>
      <c r="AF99" s="22" t="s">
        <v>5</v>
      </c>
      <c r="AG99" s="17">
        <f t="shared" si="12"/>
        <v>8761.4327475183909</v>
      </c>
      <c r="AH99" s="17">
        <v>1836.7620987321591</v>
      </c>
      <c r="AI99" s="62">
        <v>4.207365662224503</v>
      </c>
      <c r="AJ99" s="17">
        <f t="shared" si="13"/>
        <v>1.6651722487100005</v>
      </c>
      <c r="AK99" s="15">
        <f t="shared" si="14"/>
        <v>0.34315866818706497</v>
      </c>
      <c r="AL99" s="5">
        <v>1.5359</v>
      </c>
      <c r="AM99">
        <v>3.3906999999999998</v>
      </c>
      <c r="AN99">
        <f t="shared" si="9"/>
        <v>1.2408545911535975</v>
      </c>
      <c r="AO99" s="5">
        <f t="shared" si="15"/>
        <v>3</v>
      </c>
      <c r="AP99" s="5">
        <f t="shared" si="10"/>
        <v>4.207365662224503</v>
      </c>
    </row>
    <row r="100" spans="1:42" ht="15">
      <c r="A100" s="31">
        <v>95</v>
      </c>
      <c r="B100" s="32" t="s">
        <v>1113</v>
      </c>
      <c r="C100" s="32">
        <v>300</v>
      </c>
      <c r="D100" s="31">
        <v>300</v>
      </c>
      <c r="E100" s="31">
        <v>900</v>
      </c>
      <c r="F100" s="31">
        <v>35</v>
      </c>
      <c r="G100" s="31">
        <v>35</v>
      </c>
      <c r="H100" s="31">
        <v>18.5</v>
      </c>
      <c r="I100" s="31">
        <v>30</v>
      </c>
      <c r="J100" s="31">
        <v>30</v>
      </c>
      <c r="K100" s="31">
        <v>39878.42814325168</v>
      </c>
      <c r="L100" s="31">
        <v>37002.5</v>
      </c>
      <c r="M100" s="31"/>
      <c r="N100" s="31"/>
      <c r="O100" s="31"/>
      <c r="P100" s="31">
        <v>4925970463.541666</v>
      </c>
      <c r="Q100" s="31"/>
      <c r="R100" s="31"/>
      <c r="S100" s="31">
        <v>1633.4798166840046</v>
      </c>
      <c r="T100" s="31">
        <v>690</v>
      </c>
      <c r="U100" s="31">
        <v>210000</v>
      </c>
      <c r="V100" s="31">
        <f t="shared" si="11"/>
        <v>15.630266587456154</v>
      </c>
      <c r="W100" s="31">
        <v>3.7301099999999998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1017</v>
      </c>
      <c r="AF100" s="35" t="s">
        <v>5</v>
      </c>
      <c r="AG100" s="34">
        <f t="shared" si="12"/>
        <v>6093.059399011172</v>
      </c>
      <c r="AH100" s="34">
        <v>1423.1308916460907</v>
      </c>
      <c r="AI100" s="63">
        <v>3.930257520755386</v>
      </c>
      <c r="AJ100" s="34">
        <f t="shared" si="13"/>
        <v>1.9942182619281448</v>
      </c>
      <c r="AK100" s="31">
        <f t="shared" si="14"/>
        <v>0.23864660139536878</v>
      </c>
      <c r="AL100" s="5">
        <v>1.5359</v>
      </c>
      <c r="AM100">
        <v>3.1006</v>
      </c>
      <c r="AN100">
        <f t="shared" si="9"/>
        <v>1.2675796686948932</v>
      </c>
      <c r="AO100" s="5">
        <f t="shared" si="15"/>
        <v>3</v>
      </c>
      <c r="AP100" s="5">
        <f t="shared" si="10"/>
        <v>3.930257520755386</v>
      </c>
    </row>
    <row r="101" spans="1:42" ht="15.75" thickBot="1">
      <c r="A101" s="42">
        <v>96</v>
      </c>
      <c r="B101" s="45" t="s">
        <v>1114</v>
      </c>
      <c r="C101" s="45">
        <v>300</v>
      </c>
      <c r="D101" s="42">
        <v>300</v>
      </c>
      <c r="E101" s="42">
        <v>900</v>
      </c>
      <c r="F101" s="42">
        <v>35</v>
      </c>
      <c r="G101" s="42">
        <v>35</v>
      </c>
      <c r="H101" s="42">
        <v>18.5</v>
      </c>
      <c r="I101" s="42">
        <v>30</v>
      </c>
      <c r="J101" s="42">
        <v>30</v>
      </c>
      <c r="K101" s="42">
        <v>49848.035179064602</v>
      </c>
      <c r="L101" s="42">
        <v>37002.5</v>
      </c>
      <c r="M101" s="42"/>
      <c r="N101" s="42"/>
      <c r="O101" s="42"/>
      <c r="P101" s="42">
        <v>4925970463.541666</v>
      </c>
      <c r="Q101" s="42"/>
      <c r="R101" s="42"/>
      <c r="S101" s="42">
        <v>1111.2443064541546</v>
      </c>
      <c r="T101" s="42">
        <v>690</v>
      </c>
      <c r="U101" s="42">
        <v>210000</v>
      </c>
      <c r="V101" s="42">
        <f t="shared" si="11"/>
        <v>22.975798257602442</v>
      </c>
      <c r="W101" s="42">
        <v>3.5023200000000001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1018</v>
      </c>
      <c r="AF101" s="44" t="s">
        <v>5</v>
      </c>
      <c r="AG101" s="43">
        <f t="shared" si="12"/>
        <v>3891.933159380515</v>
      </c>
      <c r="AH101" s="43">
        <v>997.90481479246318</v>
      </c>
      <c r="AI101" s="64">
        <v>3.6974746509220049</v>
      </c>
      <c r="AJ101" s="43">
        <f t="shared" si="13"/>
        <v>2.4927728274101808</v>
      </c>
      <c r="AK101" s="42">
        <f t="shared" si="14"/>
        <v>0.1524351824790732</v>
      </c>
      <c r="AL101" s="5">
        <v>1.5359</v>
      </c>
      <c r="AM101">
        <v>2.8677999999999999</v>
      </c>
      <c r="AN101">
        <f t="shared" si="9"/>
        <v>1.2893070126654596</v>
      </c>
      <c r="AO101" s="5">
        <f t="shared" si="15"/>
        <v>3</v>
      </c>
      <c r="AP101" s="5">
        <f t="shared" si="10"/>
        <v>3.6974746509220049</v>
      </c>
    </row>
    <row r="102" spans="1:42">
      <c r="A102" s="36">
        <v>97</v>
      </c>
      <c r="B102" s="37" t="s">
        <v>1019</v>
      </c>
      <c r="C102" s="37">
        <v>100</v>
      </c>
      <c r="D102" s="36">
        <v>100</v>
      </c>
      <c r="E102" s="36">
        <v>100</v>
      </c>
      <c r="F102" s="36">
        <v>10</v>
      </c>
      <c r="G102" s="36">
        <v>10</v>
      </c>
      <c r="H102" s="36">
        <v>6</v>
      </c>
      <c r="I102" s="36">
        <v>12</v>
      </c>
      <c r="J102" s="36">
        <v>12</v>
      </c>
      <c r="K102" s="36">
        <v>840.72099319323911</v>
      </c>
      <c r="L102" s="36">
        <v>2540</v>
      </c>
      <c r="M102" s="36"/>
      <c r="N102" s="36"/>
      <c r="O102" s="36"/>
      <c r="P102" s="36">
        <v>4414500</v>
      </c>
      <c r="Q102" s="36"/>
      <c r="R102" s="36"/>
      <c r="S102" s="36">
        <v>309.36794408675343</v>
      </c>
      <c r="T102" s="36">
        <v>460</v>
      </c>
      <c r="U102" s="36">
        <v>210000</v>
      </c>
      <c r="V102" s="36">
        <f>L102*T102/(S102*1000)</f>
        <v>3.776732600557851</v>
      </c>
      <c r="W102" s="36">
        <v>4.0861000000000001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1116</v>
      </c>
      <c r="AF102" s="40" t="s">
        <v>5</v>
      </c>
      <c r="AG102" s="39">
        <f t="shared" si="12"/>
        <v>1264.1083563328832</v>
      </c>
      <c r="AH102" s="39">
        <v>6737.2255644762408</v>
      </c>
      <c r="AI102" s="65">
        <v>41.842870074695604</v>
      </c>
      <c r="AJ102" s="39">
        <f t="shared" si="13"/>
        <v>0.30043282782211028</v>
      </c>
      <c r="AK102" s="36">
        <f t="shared" si="14"/>
        <v>1.0819140331503621</v>
      </c>
      <c r="AL102" s="56">
        <v>26.521000000000001</v>
      </c>
      <c r="AO102" s="5">
        <f t="shared" si="15"/>
        <v>1</v>
      </c>
      <c r="AP102" s="5">
        <f>(PI()^2*U102*P102/K102^2)/(S102*1000)</f>
        <v>41.842870074695604</v>
      </c>
    </row>
    <row r="103" spans="1:42">
      <c r="A103" s="15">
        <v>98</v>
      </c>
      <c r="B103" s="20" t="s">
        <v>1020</v>
      </c>
      <c r="C103" s="20">
        <v>100</v>
      </c>
      <c r="D103" s="15">
        <v>100</v>
      </c>
      <c r="E103" s="15">
        <v>100</v>
      </c>
      <c r="F103" s="15">
        <v>10</v>
      </c>
      <c r="G103" s="15">
        <v>10</v>
      </c>
      <c r="H103" s="15">
        <v>6</v>
      </c>
      <c r="I103" s="15">
        <v>12</v>
      </c>
      <c r="J103" s="15">
        <v>12</v>
      </c>
      <c r="K103" s="15">
        <v>1401.2016553220651</v>
      </c>
      <c r="L103" s="15">
        <v>2540</v>
      </c>
      <c r="M103" s="15"/>
      <c r="N103" s="15"/>
      <c r="O103" s="15"/>
      <c r="P103" s="15">
        <v>4414500</v>
      </c>
      <c r="Q103" s="15"/>
      <c r="R103" s="15"/>
      <c r="S103" s="15">
        <v>274.76690494924094</v>
      </c>
      <c r="T103" s="15">
        <v>460</v>
      </c>
      <c r="U103" s="15">
        <v>210000</v>
      </c>
      <c r="V103" s="15">
        <f t="shared" si="11"/>
        <v>4.2523316271144243</v>
      </c>
      <c r="W103" s="15">
        <v>4.4373899999999997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1117</v>
      </c>
      <c r="AF103" s="22" t="s">
        <v>5</v>
      </c>
      <c r="AG103" s="17">
        <f t="shared" si="12"/>
        <v>1219.2479163527121</v>
      </c>
      <c r="AH103" s="17">
        <v>5982.1831926777968</v>
      </c>
      <c r="AI103" s="62">
        <v>16.960351790373263</v>
      </c>
      <c r="AJ103" s="17">
        <f t="shared" si="13"/>
        <v>0.50072137970351716</v>
      </c>
      <c r="AK103" s="15">
        <f t="shared" si="14"/>
        <v>1.0435192710995482</v>
      </c>
      <c r="AL103" s="5">
        <v>26.521000000000001</v>
      </c>
      <c r="AO103" s="5">
        <f t="shared" si="15"/>
        <v>1</v>
      </c>
      <c r="AP103" s="5">
        <f t="shared" ref="AP103:AP166" si="16">(PI()^2*U103*P103/K103^2)/(S103*1000)</f>
        <v>16.960351790373263</v>
      </c>
    </row>
    <row r="104" spans="1:42">
      <c r="A104" s="15">
        <v>99</v>
      </c>
      <c r="B104" s="20" t="s">
        <v>1021</v>
      </c>
      <c r="C104" s="20">
        <v>100</v>
      </c>
      <c r="D104" s="15">
        <v>100</v>
      </c>
      <c r="E104" s="15">
        <v>100</v>
      </c>
      <c r="F104" s="15">
        <v>10</v>
      </c>
      <c r="G104" s="15">
        <v>10</v>
      </c>
      <c r="H104" s="15">
        <v>6</v>
      </c>
      <c r="I104" s="15">
        <v>12</v>
      </c>
      <c r="J104" s="15">
        <v>12</v>
      </c>
      <c r="K104" s="15">
        <v>2101.8024829830979</v>
      </c>
      <c r="L104" s="15">
        <v>2540</v>
      </c>
      <c r="M104" s="15"/>
      <c r="N104" s="15"/>
      <c r="O104" s="15"/>
      <c r="P104" s="15">
        <v>4414500</v>
      </c>
      <c r="Q104" s="15"/>
      <c r="R104" s="15"/>
      <c r="S104" s="15">
        <v>226.05315219837689</v>
      </c>
      <c r="T104" s="15">
        <v>460</v>
      </c>
      <c r="U104" s="15">
        <v>210000</v>
      </c>
      <c r="V104" s="15">
        <f t="shared" si="11"/>
        <v>5.1686958957982156</v>
      </c>
      <c r="W104" s="15">
        <v>4.9457100000000001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1118</v>
      </c>
      <c r="AF104" s="22" t="s">
        <v>5</v>
      </c>
      <c r="AG104" s="17">
        <f t="shared" si="12"/>
        <v>1117.9933353590345</v>
      </c>
      <c r="AH104" s="17">
        <v>4919.0552942769218</v>
      </c>
      <c r="AI104" s="62">
        <v>9.1623355401566737</v>
      </c>
      <c r="AJ104" s="17">
        <f t="shared" si="13"/>
        <v>0.75108206955527568</v>
      </c>
      <c r="AK104" s="15">
        <f t="shared" si="14"/>
        <v>0.95685838356644515</v>
      </c>
      <c r="AL104" s="5">
        <v>26.521000000000001</v>
      </c>
      <c r="AO104" s="5">
        <f t="shared" si="15"/>
        <v>1</v>
      </c>
      <c r="AP104" s="5">
        <f t="shared" si="16"/>
        <v>9.1623355401566737</v>
      </c>
    </row>
    <row r="105" spans="1:42">
      <c r="A105" s="15">
        <v>100</v>
      </c>
      <c r="B105" s="20" t="s">
        <v>1022</v>
      </c>
      <c r="C105" s="20">
        <v>100</v>
      </c>
      <c r="D105" s="15">
        <v>100</v>
      </c>
      <c r="E105" s="15">
        <v>100</v>
      </c>
      <c r="F105" s="15">
        <v>10</v>
      </c>
      <c r="G105" s="15">
        <v>10</v>
      </c>
      <c r="H105" s="15">
        <v>6</v>
      </c>
      <c r="I105" s="15">
        <v>12</v>
      </c>
      <c r="J105" s="15">
        <v>12</v>
      </c>
      <c r="K105" s="15">
        <v>2802.4033106441302</v>
      </c>
      <c r="L105" s="15">
        <v>2540</v>
      </c>
      <c r="M105" s="15"/>
      <c r="N105" s="15"/>
      <c r="O105" s="15"/>
      <c r="P105" s="15">
        <v>4414500</v>
      </c>
      <c r="Q105" s="15"/>
      <c r="R105" s="15"/>
      <c r="S105" s="15">
        <v>175.9892692162735</v>
      </c>
      <c r="T105" s="15">
        <v>460</v>
      </c>
      <c r="U105" s="15">
        <v>210000</v>
      </c>
      <c r="V105" s="15">
        <f t="shared" si="11"/>
        <v>6.6390411483790599</v>
      </c>
      <c r="W105" s="15">
        <v>5.1708400000000001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1119</v>
      </c>
      <c r="AF105" s="22" t="s">
        <v>5</v>
      </c>
      <c r="AG105" s="17">
        <f t="shared" si="12"/>
        <v>910.0123528342757</v>
      </c>
      <c r="AH105" s="17">
        <v>3827.3641010301089</v>
      </c>
      <c r="AI105" s="62">
        <v>6.6199254492106574</v>
      </c>
      <c r="AJ105" s="17">
        <f t="shared" si="13"/>
        <v>1.0014427594070341</v>
      </c>
      <c r="AK105" s="15">
        <f t="shared" si="14"/>
        <v>0.77885343446959576</v>
      </c>
      <c r="AL105" s="5">
        <v>26.521000000000001</v>
      </c>
      <c r="AO105" s="5">
        <f t="shared" si="15"/>
        <v>1</v>
      </c>
      <c r="AP105" s="5">
        <f t="shared" si="16"/>
        <v>6.6199254492106574</v>
      </c>
    </row>
    <row r="106" spans="1:42">
      <c r="A106" s="15">
        <v>101</v>
      </c>
      <c r="B106" s="20" t="s">
        <v>1023</v>
      </c>
      <c r="C106" s="20">
        <v>100</v>
      </c>
      <c r="D106" s="15">
        <v>100</v>
      </c>
      <c r="E106" s="15">
        <v>100</v>
      </c>
      <c r="F106" s="15">
        <v>10</v>
      </c>
      <c r="G106" s="15">
        <v>10</v>
      </c>
      <c r="H106" s="15">
        <v>6</v>
      </c>
      <c r="I106" s="15">
        <v>12</v>
      </c>
      <c r="J106" s="15">
        <v>12</v>
      </c>
      <c r="K106" s="15">
        <v>3727.1964031566936</v>
      </c>
      <c r="L106" s="15">
        <v>2540</v>
      </c>
      <c r="M106" s="15"/>
      <c r="N106" s="15"/>
      <c r="O106" s="15"/>
      <c r="P106" s="15">
        <v>4414500</v>
      </c>
      <c r="Q106" s="15"/>
      <c r="R106" s="15"/>
      <c r="S106" s="15">
        <v>122.6825560397757</v>
      </c>
      <c r="T106" s="15">
        <v>460</v>
      </c>
      <c r="U106" s="15">
        <v>210000</v>
      </c>
      <c r="V106" s="15">
        <f t="shared" si="11"/>
        <v>9.5237663586107999</v>
      </c>
      <c r="W106" s="15">
        <v>4.9857699999999996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1120</v>
      </c>
      <c r="AF106" s="22" t="s">
        <v>5</v>
      </c>
      <c r="AG106" s="17">
        <f t="shared" si="12"/>
        <v>611.66700742643252</v>
      </c>
      <c r="AH106" s="17">
        <v>2666.6313259775375</v>
      </c>
      <c r="AI106" s="62">
        <v>5.3685028606047993</v>
      </c>
      <c r="AJ106" s="17">
        <f t="shared" si="13"/>
        <v>1.3319188700113558</v>
      </c>
      <c r="AK106" s="15">
        <f t="shared" si="14"/>
        <v>0.52350822272032904</v>
      </c>
      <c r="AL106" s="5">
        <v>26.521000000000001</v>
      </c>
      <c r="AO106" s="5">
        <f t="shared" si="15"/>
        <v>1</v>
      </c>
      <c r="AP106" s="5">
        <f t="shared" si="16"/>
        <v>5.3685028606047993</v>
      </c>
    </row>
    <row r="107" spans="1:42">
      <c r="A107" s="15">
        <v>102</v>
      </c>
      <c r="B107" s="20" t="s">
        <v>1024</v>
      </c>
      <c r="C107" s="20">
        <v>100</v>
      </c>
      <c r="D107" s="15">
        <v>100</v>
      </c>
      <c r="E107" s="15">
        <v>100</v>
      </c>
      <c r="F107" s="15">
        <v>10</v>
      </c>
      <c r="G107" s="15">
        <v>10</v>
      </c>
      <c r="H107" s="15">
        <v>6</v>
      </c>
      <c r="I107" s="15">
        <v>12</v>
      </c>
      <c r="J107" s="15">
        <v>12</v>
      </c>
      <c r="K107" s="15">
        <v>4680.0135287756975</v>
      </c>
      <c r="L107" s="15">
        <v>2540</v>
      </c>
      <c r="M107" s="15"/>
      <c r="N107" s="15"/>
      <c r="O107" s="15"/>
      <c r="P107" s="15">
        <v>4414500</v>
      </c>
      <c r="Q107" s="15"/>
      <c r="R107" s="15"/>
      <c r="S107" s="15">
        <v>86.473008893380339</v>
      </c>
      <c r="T107" s="15">
        <v>460</v>
      </c>
      <c r="U107" s="15">
        <v>210000</v>
      </c>
      <c r="V107" s="15">
        <f t="shared" si="11"/>
        <v>13.511730596082486</v>
      </c>
      <c r="W107" s="15">
        <v>4.7047100000000004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1121</v>
      </c>
      <c r="AF107" s="22" t="s">
        <v>5</v>
      </c>
      <c r="AG107" s="17">
        <f t="shared" si="12"/>
        <v>406.83042967077546</v>
      </c>
      <c r="AH107" s="17">
        <v>1879.0550734061646</v>
      </c>
      <c r="AI107" s="62">
        <v>4.8308747023685159</v>
      </c>
      <c r="AJ107" s="17">
        <f t="shared" si="13"/>
        <v>1.6724094082097472</v>
      </c>
      <c r="AK107" s="15">
        <f t="shared" si="14"/>
        <v>0.34819447934848974</v>
      </c>
      <c r="AL107" s="5">
        <v>26.521000000000001</v>
      </c>
      <c r="AO107" s="5">
        <f t="shared" si="15"/>
        <v>1</v>
      </c>
      <c r="AP107" s="5">
        <f t="shared" si="16"/>
        <v>4.8308747023685159</v>
      </c>
    </row>
    <row r="108" spans="1:42">
      <c r="A108" s="15">
        <v>103</v>
      </c>
      <c r="B108" s="20" t="s">
        <v>1025</v>
      </c>
      <c r="C108" s="20">
        <v>100</v>
      </c>
      <c r="D108" s="15">
        <v>100</v>
      </c>
      <c r="E108" s="15">
        <v>100</v>
      </c>
      <c r="F108" s="15">
        <v>10</v>
      </c>
      <c r="G108" s="15">
        <v>10</v>
      </c>
      <c r="H108" s="15">
        <v>6</v>
      </c>
      <c r="I108" s="15">
        <v>12</v>
      </c>
      <c r="J108" s="15">
        <v>12</v>
      </c>
      <c r="K108" s="15">
        <v>5604.8066212882604</v>
      </c>
      <c r="L108" s="15">
        <v>2540</v>
      </c>
      <c r="M108" s="15"/>
      <c r="N108" s="15"/>
      <c r="O108" s="15"/>
      <c r="P108" s="15">
        <v>4414500</v>
      </c>
      <c r="Q108" s="15"/>
      <c r="R108" s="15"/>
      <c r="S108" s="15">
        <v>63.944649490266485</v>
      </c>
      <c r="T108" s="15">
        <v>460</v>
      </c>
      <c r="U108" s="15">
        <v>210000</v>
      </c>
      <c r="V108" s="15">
        <f t="shared" si="11"/>
        <v>18.272052616033985</v>
      </c>
      <c r="W108" s="15">
        <v>4.4432900000000002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1122</v>
      </c>
      <c r="AF108" s="22" t="s">
        <v>5</v>
      </c>
      <c r="AG108" s="17">
        <f t="shared" si="12"/>
        <v>284.12462163360618</v>
      </c>
      <c r="AH108" s="17">
        <v>1389.3171297377658</v>
      </c>
      <c r="AI108" s="62">
        <v>4.5548605370420159</v>
      </c>
      <c r="AJ108" s="17">
        <f t="shared" si="13"/>
        <v>2.0028855188140682</v>
      </c>
      <c r="AK108" s="15">
        <f t="shared" si="14"/>
        <v>0.2431741027333158</v>
      </c>
      <c r="AL108" s="5">
        <v>26.521000000000001</v>
      </c>
      <c r="AO108" s="5">
        <f t="shared" si="15"/>
        <v>1</v>
      </c>
      <c r="AP108" s="5">
        <f t="shared" si="16"/>
        <v>4.5548605370420159</v>
      </c>
    </row>
    <row r="109" spans="1:42">
      <c r="A109" s="15">
        <v>104</v>
      </c>
      <c r="B109" s="20" t="s">
        <v>1026</v>
      </c>
      <c r="C109" s="20">
        <v>100</v>
      </c>
      <c r="D109" s="15">
        <v>100</v>
      </c>
      <c r="E109" s="15">
        <v>100</v>
      </c>
      <c r="F109" s="15">
        <v>10</v>
      </c>
      <c r="G109" s="15">
        <v>10</v>
      </c>
      <c r="H109" s="15">
        <v>6</v>
      </c>
      <c r="I109" s="15">
        <v>12</v>
      </c>
      <c r="J109" s="15">
        <v>12</v>
      </c>
      <c r="K109" s="15">
        <v>7006.008276610326</v>
      </c>
      <c r="L109" s="15">
        <v>2540</v>
      </c>
      <c r="M109" s="15"/>
      <c r="N109" s="15"/>
      <c r="O109" s="15"/>
      <c r="P109" s="15">
        <v>4414500</v>
      </c>
      <c r="Q109" s="15"/>
      <c r="R109" s="15"/>
      <c r="S109" s="15">
        <v>43.176471399665552</v>
      </c>
      <c r="T109" s="15">
        <v>460</v>
      </c>
      <c r="U109" s="15">
        <v>210000</v>
      </c>
      <c r="V109" s="15">
        <f t="shared" si="11"/>
        <v>27.061034913775991</v>
      </c>
      <c r="W109" s="15">
        <v>4.2203499999999998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1123</v>
      </c>
      <c r="AF109" s="22" t="s">
        <v>5</v>
      </c>
      <c r="AG109" s="17">
        <f t="shared" si="12"/>
        <v>182.21982107157851</v>
      </c>
      <c r="AH109" s="17">
        <v>937.98160586938718</v>
      </c>
      <c r="AI109" s="62">
        <v>4.3172989521577962</v>
      </c>
      <c r="AJ109" s="17">
        <f t="shared" si="13"/>
        <v>2.5036068985175852</v>
      </c>
      <c r="AK109" s="15">
        <f t="shared" si="14"/>
        <v>0.15595671094794464</v>
      </c>
      <c r="AL109" s="5">
        <v>26.521000000000001</v>
      </c>
      <c r="AO109" s="5">
        <f t="shared" si="15"/>
        <v>1</v>
      </c>
      <c r="AP109" s="5">
        <f t="shared" si="16"/>
        <v>4.3172989521577962</v>
      </c>
    </row>
    <row r="110" spans="1:42">
      <c r="A110" s="15">
        <v>105</v>
      </c>
      <c r="B110" s="20" t="s">
        <v>1027</v>
      </c>
      <c r="C110" s="20">
        <v>140</v>
      </c>
      <c r="D110" s="15">
        <v>140</v>
      </c>
      <c r="E110" s="15">
        <v>140</v>
      </c>
      <c r="F110" s="15">
        <v>12</v>
      </c>
      <c r="G110" s="15">
        <v>12</v>
      </c>
      <c r="H110" s="15">
        <v>7</v>
      </c>
      <c r="I110" s="15">
        <v>12</v>
      </c>
      <c r="J110" s="15">
        <v>12</v>
      </c>
      <c r="K110" s="15">
        <v>1195.8763283421129</v>
      </c>
      <c r="L110" s="15">
        <v>4256.0000000000009</v>
      </c>
      <c r="M110" s="15"/>
      <c r="N110" s="15"/>
      <c r="O110" s="15"/>
      <c r="P110" s="15">
        <v>14985898.666666668</v>
      </c>
      <c r="Q110" s="15"/>
      <c r="R110" s="15"/>
      <c r="S110" s="15">
        <v>520.43671884271589</v>
      </c>
      <c r="T110" s="15">
        <v>460</v>
      </c>
      <c r="U110" s="15">
        <v>210000</v>
      </c>
      <c r="V110" s="15">
        <f t="shared" si="11"/>
        <v>3.7617637824506884</v>
      </c>
      <c r="W110" s="15">
        <v>3.95669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1124</v>
      </c>
      <c r="AF110" s="22" t="s">
        <v>5</v>
      </c>
      <c r="AG110" s="17">
        <f t="shared" si="12"/>
        <v>2059.2067610777854</v>
      </c>
      <c r="AH110" s="17">
        <v>5167.2991704491842</v>
      </c>
      <c r="AI110" s="62">
        <v>41.731247047156891</v>
      </c>
      <c r="AJ110" s="17">
        <f t="shared" si="13"/>
        <v>0.30023759943100203</v>
      </c>
      <c r="AK110" s="15">
        <f t="shared" si="14"/>
        <v>1.0518177718810198</v>
      </c>
      <c r="AL110" s="56">
        <v>15.672000000000001</v>
      </c>
      <c r="AO110" s="5">
        <f t="shared" si="15"/>
        <v>1</v>
      </c>
      <c r="AP110" s="5">
        <f t="shared" si="16"/>
        <v>41.731247047156891</v>
      </c>
    </row>
    <row r="111" spans="1:42">
      <c r="A111" s="15">
        <v>106</v>
      </c>
      <c r="B111" s="20" t="s">
        <v>1028</v>
      </c>
      <c r="C111" s="20">
        <v>140</v>
      </c>
      <c r="D111" s="15">
        <v>140</v>
      </c>
      <c r="E111" s="15">
        <v>140</v>
      </c>
      <c r="F111" s="15">
        <v>12</v>
      </c>
      <c r="G111" s="15">
        <v>12</v>
      </c>
      <c r="H111" s="15">
        <v>7</v>
      </c>
      <c r="I111" s="15">
        <v>12</v>
      </c>
      <c r="J111" s="15">
        <v>12</v>
      </c>
      <c r="K111" s="15">
        <v>1993.1272139035214</v>
      </c>
      <c r="L111" s="15">
        <v>4256.0000000000009</v>
      </c>
      <c r="M111" s="15"/>
      <c r="N111" s="15"/>
      <c r="O111" s="15"/>
      <c r="P111" s="15">
        <v>14985898.666666668</v>
      </c>
      <c r="Q111" s="15"/>
      <c r="R111" s="15"/>
      <c r="S111" s="15">
        <v>462.22884171299717</v>
      </c>
      <c r="T111" s="15">
        <v>460</v>
      </c>
      <c r="U111" s="15">
        <v>210000</v>
      </c>
      <c r="V111" s="15">
        <f t="shared" si="11"/>
        <v>4.2354778052028061</v>
      </c>
      <c r="W111" s="15">
        <v>4.2953700000000001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1125</v>
      </c>
      <c r="AF111" s="22" t="s">
        <v>5</v>
      </c>
      <c r="AG111" s="17">
        <f t="shared" si="12"/>
        <v>1985.4438998287567</v>
      </c>
      <c r="AH111" s="17">
        <v>4589.3662454341384</v>
      </c>
      <c r="AI111" s="62">
        <v>16.915107145070891</v>
      </c>
      <c r="AJ111" s="17">
        <f t="shared" si="13"/>
        <v>0.50039599905167009</v>
      </c>
      <c r="AK111" s="15">
        <f t="shared" si="14"/>
        <v>1.0141405993731387</v>
      </c>
      <c r="AL111" s="5">
        <v>15.672000000000001</v>
      </c>
      <c r="AO111" s="5">
        <f t="shared" si="15"/>
        <v>1</v>
      </c>
      <c r="AP111" s="5">
        <f t="shared" si="16"/>
        <v>16.915107145070891</v>
      </c>
    </row>
    <row r="112" spans="1:42">
      <c r="A112" s="15">
        <v>107</v>
      </c>
      <c r="B112" s="20" t="s">
        <v>1029</v>
      </c>
      <c r="C112" s="20">
        <v>140</v>
      </c>
      <c r="D112" s="15">
        <v>140</v>
      </c>
      <c r="E112" s="15">
        <v>140</v>
      </c>
      <c r="F112" s="15">
        <v>12</v>
      </c>
      <c r="G112" s="15">
        <v>12</v>
      </c>
      <c r="H112" s="15">
        <v>7</v>
      </c>
      <c r="I112" s="15">
        <v>12</v>
      </c>
      <c r="J112" s="15">
        <v>12</v>
      </c>
      <c r="K112" s="15">
        <v>2989.6908208552823</v>
      </c>
      <c r="L112" s="15">
        <v>4256</v>
      </c>
      <c r="M112" s="15"/>
      <c r="N112" s="15"/>
      <c r="O112" s="15"/>
      <c r="P112" s="15">
        <v>14985898.666666666</v>
      </c>
      <c r="Q112" s="15"/>
      <c r="R112" s="15"/>
      <c r="S112" s="15">
        <v>380.27973829501133</v>
      </c>
      <c r="T112" s="15">
        <v>460</v>
      </c>
      <c r="U112" s="15">
        <v>210000</v>
      </c>
      <c r="V112" s="15">
        <f t="shared" si="11"/>
        <v>5.1482101275698779</v>
      </c>
      <c r="W112" s="15">
        <v>4.7870600000000003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1126</v>
      </c>
      <c r="AF112" s="22" t="s">
        <v>5</v>
      </c>
      <c r="AG112" s="17">
        <f t="shared" si="12"/>
        <v>1820.421924002517</v>
      </c>
      <c r="AH112" s="17">
        <v>3775.7120223953771</v>
      </c>
      <c r="AI112" s="62">
        <v>9.1378934397345031</v>
      </c>
      <c r="AJ112" s="17">
        <f t="shared" si="13"/>
        <v>0.75059399857750508</v>
      </c>
      <c r="AK112" s="15">
        <f t="shared" si="14"/>
        <v>0.92984938092642455</v>
      </c>
      <c r="AL112" s="5">
        <v>15.672000000000001</v>
      </c>
      <c r="AO112" s="5">
        <f t="shared" si="15"/>
        <v>1</v>
      </c>
      <c r="AP112" s="5">
        <f t="shared" si="16"/>
        <v>9.1378934397345031</v>
      </c>
    </row>
    <row r="113" spans="1:42">
      <c r="A113" s="15">
        <v>108</v>
      </c>
      <c r="B113" s="20" t="s">
        <v>1030</v>
      </c>
      <c r="C113" s="20">
        <v>140</v>
      </c>
      <c r="D113" s="15">
        <v>140</v>
      </c>
      <c r="E113" s="15">
        <v>140</v>
      </c>
      <c r="F113" s="15">
        <v>12</v>
      </c>
      <c r="G113" s="15">
        <v>12</v>
      </c>
      <c r="H113" s="15">
        <v>7</v>
      </c>
      <c r="I113" s="15">
        <v>12</v>
      </c>
      <c r="J113" s="15">
        <v>12</v>
      </c>
      <c r="K113" s="15">
        <v>3986.2544278070427</v>
      </c>
      <c r="L113" s="15">
        <v>4256</v>
      </c>
      <c r="M113" s="15"/>
      <c r="N113" s="15"/>
      <c r="O113" s="15"/>
      <c r="P113" s="15">
        <v>14985898.666666666</v>
      </c>
      <c r="Q113" s="15"/>
      <c r="R113" s="15"/>
      <c r="S113" s="15">
        <v>296.05936740737621</v>
      </c>
      <c r="T113" s="15">
        <v>460</v>
      </c>
      <c r="U113" s="15">
        <v>210000</v>
      </c>
      <c r="V113" s="15">
        <f t="shared" si="11"/>
        <v>6.6127277685699157</v>
      </c>
      <c r="W113" s="15">
        <v>5.0206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1127</v>
      </c>
      <c r="AF113" s="22" t="s">
        <v>5</v>
      </c>
      <c r="AG113" s="17">
        <f t="shared" si="12"/>
        <v>1486.395660005473</v>
      </c>
      <c r="AH113" s="17">
        <v>2939.506895304562</v>
      </c>
      <c r="AI113" s="62">
        <v>6.6022656634597672</v>
      </c>
      <c r="AJ113" s="17">
        <f t="shared" si="13"/>
        <v>1.00079199810334</v>
      </c>
      <c r="AK113" s="15">
        <f t="shared" si="14"/>
        <v>0.75923282731564301</v>
      </c>
      <c r="AL113" s="5">
        <v>15.672000000000001</v>
      </c>
      <c r="AO113" s="5">
        <f t="shared" si="15"/>
        <v>1</v>
      </c>
      <c r="AP113" s="5">
        <f t="shared" si="16"/>
        <v>6.6022656634597672</v>
      </c>
    </row>
    <row r="114" spans="1:42">
      <c r="A114" s="15">
        <v>109</v>
      </c>
      <c r="B114" s="20" t="s">
        <v>1031</v>
      </c>
      <c r="C114" s="20">
        <v>140</v>
      </c>
      <c r="D114" s="15">
        <v>140</v>
      </c>
      <c r="E114" s="15">
        <v>140</v>
      </c>
      <c r="F114" s="15">
        <v>12</v>
      </c>
      <c r="G114" s="15">
        <v>12</v>
      </c>
      <c r="H114" s="15">
        <v>7</v>
      </c>
      <c r="I114" s="15">
        <v>12</v>
      </c>
      <c r="J114" s="15">
        <v>12</v>
      </c>
      <c r="K114" s="15">
        <v>5301.7183889833677</v>
      </c>
      <c r="L114" s="15">
        <v>4256</v>
      </c>
      <c r="M114" s="15"/>
      <c r="N114" s="15"/>
      <c r="O114" s="15"/>
      <c r="P114" s="15">
        <v>14985898.666666666</v>
      </c>
      <c r="Q114" s="15"/>
      <c r="R114" s="15"/>
      <c r="S114" s="15">
        <v>206.38371927336453</v>
      </c>
      <c r="T114" s="15">
        <v>460</v>
      </c>
      <c r="U114" s="15">
        <v>210000</v>
      </c>
      <c r="V114" s="15">
        <f t="shared" si="11"/>
        <v>9.4860195702106651</v>
      </c>
      <c r="W114" s="15">
        <v>4.8506900000000002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1128</v>
      </c>
      <c r="AF114" s="22" t="s">
        <v>5</v>
      </c>
      <c r="AG114" s="17">
        <f t="shared" si="12"/>
        <v>1001.1034432421167</v>
      </c>
      <c r="AH114" s="17">
        <v>2049.137546956541</v>
      </c>
      <c r="AI114" s="62">
        <v>5.3541814590952699</v>
      </c>
      <c r="AJ114" s="17">
        <f t="shared" si="13"/>
        <v>1.3310533574774424</v>
      </c>
      <c r="AK114" s="15">
        <f t="shared" si="14"/>
        <v>0.5113514645524051</v>
      </c>
      <c r="AL114" s="5">
        <v>15.672000000000001</v>
      </c>
      <c r="AO114" s="5">
        <f t="shared" si="15"/>
        <v>1</v>
      </c>
      <c r="AP114" s="5">
        <f t="shared" si="16"/>
        <v>5.3541814590952699</v>
      </c>
    </row>
    <row r="115" spans="1:42">
      <c r="A115" s="15">
        <v>110</v>
      </c>
      <c r="B115" s="20" t="s">
        <v>1032</v>
      </c>
      <c r="C115" s="20">
        <v>140</v>
      </c>
      <c r="D115" s="15">
        <v>140</v>
      </c>
      <c r="E115" s="15">
        <v>140</v>
      </c>
      <c r="F115" s="15">
        <v>12</v>
      </c>
      <c r="G115" s="15">
        <v>12</v>
      </c>
      <c r="H115" s="15">
        <v>7</v>
      </c>
      <c r="I115" s="15">
        <v>12</v>
      </c>
      <c r="J115" s="15">
        <v>12</v>
      </c>
      <c r="K115" s="15">
        <v>6657.0448944377613</v>
      </c>
      <c r="L115" s="15">
        <v>4256</v>
      </c>
      <c r="M115" s="15"/>
      <c r="N115" s="15"/>
      <c r="O115" s="15"/>
      <c r="P115" s="15">
        <v>14985898.666666666</v>
      </c>
      <c r="Q115" s="15"/>
      <c r="R115" s="15"/>
      <c r="S115" s="15">
        <v>145.46991657386397</v>
      </c>
      <c r="T115" s="15">
        <v>460</v>
      </c>
      <c r="U115" s="15">
        <v>210000</v>
      </c>
      <c r="V115" s="15">
        <f t="shared" si="11"/>
        <v>13.458177787610991</v>
      </c>
      <c r="W115" s="15">
        <v>4.5882500000000004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1129</v>
      </c>
      <c r="AF115" s="22" t="s">
        <v>5</v>
      </c>
      <c r="AG115" s="17">
        <f t="shared" si="12"/>
        <v>667.45234472003142</v>
      </c>
      <c r="AH115" s="17">
        <v>1444.3380953383705</v>
      </c>
      <c r="AI115" s="62">
        <v>4.8179875161172898</v>
      </c>
      <c r="AJ115" s="17">
        <f t="shared" si="13"/>
        <v>1.671322636832578</v>
      </c>
      <c r="AK115" s="15">
        <f t="shared" si="14"/>
        <v>0.34092654090390623</v>
      </c>
      <c r="AL115" s="5">
        <v>15.672000000000001</v>
      </c>
      <c r="AO115" s="5">
        <f t="shared" si="15"/>
        <v>1</v>
      </c>
      <c r="AP115" s="5">
        <f t="shared" si="16"/>
        <v>4.8179875161172898</v>
      </c>
    </row>
    <row r="116" spans="1:42">
      <c r="A116" s="15">
        <v>111</v>
      </c>
      <c r="B116" s="20" t="s">
        <v>1033</v>
      </c>
      <c r="C116" s="20">
        <v>140</v>
      </c>
      <c r="D116" s="15">
        <v>140</v>
      </c>
      <c r="E116" s="15">
        <v>140</v>
      </c>
      <c r="F116" s="15">
        <v>12</v>
      </c>
      <c r="G116" s="15">
        <v>12</v>
      </c>
      <c r="H116" s="15">
        <v>7</v>
      </c>
      <c r="I116" s="15">
        <v>12</v>
      </c>
      <c r="J116" s="15">
        <v>12</v>
      </c>
      <c r="K116" s="15">
        <v>7972.5088556140854</v>
      </c>
      <c r="L116" s="15">
        <v>4256</v>
      </c>
      <c r="M116" s="15"/>
      <c r="N116" s="15"/>
      <c r="O116" s="15"/>
      <c r="P116" s="15">
        <v>14985898.666666666</v>
      </c>
      <c r="Q116" s="15"/>
      <c r="R116" s="15"/>
      <c r="S116" s="15">
        <v>107.57140228765793</v>
      </c>
      <c r="T116" s="15">
        <v>460</v>
      </c>
      <c r="U116" s="15">
        <v>210000</v>
      </c>
      <c r="V116" s="15">
        <f t="shared" si="11"/>
        <v>18.199632600909407</v>
      </c>
      <c r="W116" s="15">
        <v>4.3353599999999997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1130</v>
      </c>
      <c r="AF116" s="22" t="s">
        <v>5</v>
      </c>
      <c r="AG116" s="17">
        <f t="shared" si="12"/>
        <v>466.36075462182066</v>
      </c>
      <c r="AH116" s="17">
        <v>1068.0522677975339</v>
      </c>
      <c r="AI116" s="62">
        <v>4.5427096658839536</v>
      </c>
      <c r="AJ116" s="17">
        <f t="shared" si="13"/>
        <v>2.0015839962066804</v>
      </c>
      <c r="AK116" s="15">
        <f t="shared" si="14"/>
        <v>0.23821140212376421</v>
      </c>
      <c r="AL116" s="5">
        <v>15.672000000000001</v>
      </c>
      <c r="AO116" s="5">
        <f t="shared" si="15"/>
        <v>1</v>
      </c>
      <c r="AP116" s="5">
        <f t="shared" si="16"/>
        <v>4.5427096658839536</v>
      </c>
    </row>
    <row r="117" spans="1:42">
      <c r="A117" s="15">
        <v>112</v>
      </c>
      <c r="B117" s="20" t="s">
        <v>1034</v>
      </c>
      <c r="C117" s="20">
        <v>140</v>
      </c>
      <c r="D117" s="15">
        <v>140</v>
      </c>
      <c r="E117" s="15">
        <v>140</v>
      </c>
      <c r="F117" s="15">
        <v>12</v>
      </c>
      <c r="G117" s="15">
        <v>12</v>
      </c>
      <c r="H117" s="15">
        <v>7</v>
      </c>
      <c r="I117" s="15">
        <v>12</v>
      </c>
      <c r="J117" s="15">
        <v>12</v>
      </c>
      <c r="K117" s="15">
        <v>9965.6360695176063</v>
      </c>
      <c r="L117" s="15">
        <v>4256</v>
      </c>
      <c r="M117" s="15"/>
      <c r="N117" s="15"/>
      <c r="O117" s="15"/>
      <c r="P117" s="15">
        <v>14985898.666666666</v>
      </c>
      <c r="Q117" s="15"/>
      <c r="R117" s="15"/>
      <c r="S117" s="15">
        <v>72.633967209437358</v>
      </c>
      <c r="T117" s="15">
        <v>460</v>
      </c>
      <c r="U117" s="15">
        <v>210000</v>
      </c>
      <c r="V117" s="15">
        <f t="shared" si="11"/>
        <v>26.953780375989538</v>
      </c>
      <c r="W117" s="15">
        <v>4.1176899999999996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1131</v>
      </c>
      <c r="AF117" s="22" t="s">
        <v>5</v>
      </c>
      <c r="AG117" s="17">
        <f t="shared" si="12"/>
        <v>299.08416043862809</v>
      </c>
      <c r="AH117" s="17">
        <v>721.16632996678868</v>
      </c>
      <c r="AI117" s="62">
        <v>4.3057818172440294</v>
      </c>
      <c r="AJ117" s="17">
        <f t="shared" si="13"/>
        <v>2.5019799952583499</v>
      </c>
      <c r="AK117" s="15">
        <f t="shared" si="14"/>
        <v>0.15276855203836429</v>
      </c>
      <c r="AL117" s="5">
        <v>15.672000000000001</v>
      </c>
      <c r="AO117" s="5">
        <f t="shared" si="15"/>
        <v>1</v>
      </c>
      <c r="AP117" s="5">
        <f t="shared" si="16"/>
        <v>4.3057818172440294</v>
      </c>
    </row>
    <row r="118" spans="1:42">
      <c r="A118" s="15">
        <v>113</v>
      </c>
      <c r="B118" s="20" t="s">
        <v>1035</v>
      </c>
      <c r="C118" s="20">
        <v>180</v>
      </c>
      <c r="D118" s="15">
        <v>180</v>
      </c>
      <c r="E118" s="15">
        <v>180</v>
      </c>
      <c r="F118" s="15">
        <v>14</v>
      </c>
      <c r="G118" s="15">
        <v>14</v>
      </c>
      <c r="H118" s="15">
        <v>8.5</v>
      </c>
      <c r="I118" s="15">
        <v>15</v>
      </c>
      <c r="J118" s="15">
        <v>15</v>
      </c>
      <c r="K118" s="15">
        <v>1545.3611461502592</v>
      </c>
      <c r="L118" s="15">
        <v>6451.0000000000009</v>
      </c>
      <c r="M118" s="15"/>
      <c r="N118" s="15"/>
      <c r="O118" s="15"/>
      <c r="P118" s="15">
        <v>37960686.333333328</v>
      </c>
      <c r="Q118" s="15"/>
      <c r="R118" s="15"/>
      <c r="S118" s="15">
        <v>789.88621853117854</v>
      </c>
      <c r="T118" s="15">
        <v>460</v>
      </c>
      <c r="U118" s="15">
        <v>210000</v>
      </c>
      <c r="V118" s="15">
        <f t="shared" si="11"/>
        <v>3.7568195651243261</v>
      </c>
      <c r="W118" s="15">
        <v>3.9358499999999998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1132</v>
      </c>
      <c r="AF118" s="22" t="s">
        <v>5</v>
      </c>
      <c r="AG118" s="17">
        <f t="shared" si="12"/>
        <v>3108.8736732059388</v>
      </c>
      <c r="AH118" s="17">
        <v>4515.8800559245765</v>
      </c>
      <c r="AI118" s="62">
        <v>41.708885153878938</v>
      </c>
      <c r="AJ118" s="17">
        <f t="shared" si="13"/>
        <v>0.30012064951855277</v>
      </c>
      <c r="AK118" s="15">
        <f t="shared" si="14"/>
        <v>1.0476547866545591</v>
      </c>
      <c r="AL118" s="56">
        <v>10.936</v>
      </c>
      <c r="AO118" s="5">
        <f t="shared" si="15"/>
        <v>1</v>
      </c>
      <c r="AP118" s="5">
        <f t="shared" si="16"/>
        <v>41.708885153878938</v>
      </c>
    </row>
    <row r="119" spans="1:42">
      <c r="A119" s="15">
        <v>114</v>
      </c>
      <c r="B119" s="20" t="s">
        <v>1036</v>
      </c>
      <c r="C119" s="20">
        <v>180</v>
      </c>
      <c r="D119" s="15">
        <v>180</v>
      </c>
      <c r="E119" s="15">
        <v>180</v>
      </c>
      <c r="F119" s="15">
        <v>14</v>
      </c>
      <c r="G119" s="15">
        <v>14</v>
      </c>
      <c r="H119" s="15">
        <v>8.5</v>
      </c>
      <c r="I119" s="15">
        <v>15</v>
      </c>
      <c r="J119" s="15">
        <v>15</v>
      </c>
      <c r="K119" s="15">
        <v>2575.601910250432</v>
      </c>
      <c r="L119" s="15">
        <v>6451.0000000000009</v>
      </c>
      <c r="M119" s="15"/>
      <c r="N119" s="15"/>
      <c r="O119" s="15"/>
      <c r="P119" s="15">
        <v>37960686.333333328</v>
      </c>
      <c r="Q119" s="15"/>
      <c r="R119" s="15"/>
      <c r="S119" s="15">
        <v>701.54195247523944</v>
      </c>
      <c r="T119" s="15">
        <v>460</v>
      </c>
      <c r="U119" s="15">
        <v>210000</v>
      </c>
      <c r="V119" s="15">
        <f t="shared" si="11"/>
        <v>4.2299109690161201</v>
      </c>
      <c r="W119" s="15">
        <v>4.2749100000000002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1133</v>
      </c>
      <c r="AF119" s="22" t="s">
        <v>5</v>
      </c>
      <c r="AG119" s="17">
        <f t="shared" si="12"/>
        <v>2999.028708055926</v>
      </c>
      <c r="AH119" s="17">
        <v>4010.8046415450513</v>
      </c>
      <c r="AI119" s="62">
        <v>16.906043101996978</v>
      </c>
      <c r="AJ119" s="17">
        <f t="shared" si="13"/>
        <v>0.50020108253092133</v>
      </c>
      <c r="AK119" s="15">
        <f t="shared" si="14"/>
        <v>1.0106382927001292</v>
      </c>
      <c r="AL119" s="5">
        <v>10.936</v>
      </c>
      <c r="AO119" s="5">
        <f t="shared" si="15"/>
        <v>1</v>
      </c>
      <c r="AP119" s="5">
        <f t="shared" si="16"/>
        <v>16.906043101996978</v>
      </c>
    </row>
    <row r="120" spans="1:42">
      <c r="A120" s="15">
        <v>115</v>
      </c>
      <c r="B120" s="20" t="s">
        <v>1037</v>
      </c>
      <c r="C120" s="20">
        <v>180</v>
      </c>
      <c r="D120" s="15">
        <v>180</v>
      </c>
      <c r="E120" s="15">
        <v>180</v>
      </c>
      <c r="F120" s="15">
        <v>14</v>
      </c>
      <c r="G120" s="15">
        <v>14</v>
      </c>
      <c r="H120" s="15">
        <v>8.5</v>
      </c>
      <c r="I120" s="15">
        <v>15</v>
      </c>
      <c r="J120" s="15">
        <v>15</v>
      </c>
      <c r="K120" s="15">
        <v>3863.4028653756482</v>
      </c>
      <c r="L120" s="15">
        <v>6451</v>
      </c>
      <c r="M120" s="15"/>
      <c r="N120" s="15"/>
      <c r="O120" s="15"/>
      <c r="P120" s="15">
        <v>37960686.333333328</v>
      </c>
      <c r="Q120" s="15"/>
      <c r="R120" s="15"/>
      <c r="S120" s="15">
        <v>577.16474182263005</v>
      </c>
      <c r="T120" s="15">
        <v>460</v>
      </c>
      <c r="U120" s="15">
        <v>210000</v>
      </c>
      <c r="V120" s="15">
        <f t="shared" si="11"/>
        <v>5.1414436554614378</v>
      </c>
      <c r="W120" s="15">
        <v>4.7670500000000002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1134</v>
      </c>
      <c r="AF120" s="22" t="s">
        <v>5</v>
      </c>
      <c r="AG120" s="17">
        <f t="shared" si="12"/>
        <v>2751.3731825055688</v>
      </c>
      <c r="AH120" s="17">
        <v>3299.7242962744403</v>
      </c>
      <c r="AI120" s="62">
        <v>9.132996854744988</v>
      </c>
      <c r="AJ120" s="17">
        <f t="shared" si="13"/>
        <v>0.75030162379638188</v>
      </c>
      <c r="AK120" s="15">
        <f t="shared" si="14"/>
        <v>0.92718121979927903</v>
      </c>
      <c r="AL120" s="5">
        <v>10.936</v>
      </c>
      <c r="AO120" s="5">
        <f t="shared" si="15"/>
        <v>1</v>
      </c>
      <c r="AP120" s="5">
        <f t="shared" si="16"/>
        <v>9.132996854744988</v>
      </c>
    </row>
    <row r="121" spans="1:42">
      <c r="A121" s="15">
        <v>116</v>
      </c>
      <c r="B121" s="20" t="s">
        <v>1038</v>
      </c>
      <c r="C121" s="20">
        <v>180</v>
      </c>
      <c r="D121" s="15">
        <v>180</v>
      </c>
      <c r="E121" s="15">
        <v>180</v>
      </c>
      <c r="F121" s="15">
        <v>14</v>
      </c>
      <c r="G121" s="15">
        <v>14</v>
      </c>
      <c r="H121" s="15">
        <v>8.5</v>
      </c>
      <c r="I121" s="15">
        <v>15</v>
      </c>
      <c r="J121" s="15">
        <v>15</v>
      </c>
      <c r="K121" s="15">
        <v>5151.2038205008639</v>
      </c>
      <c r="L121" s="15">
        <v>6451</v>
      </c>
      <c r="M121" s="15"/>
      <c r="N121" s="15"/>
      <c r="O121" s="15"/>
      <c r="P121" s="15">
        <v>37960686.333333328</v>
      </c>
      <c r="Q121" s="15"/>
      <c r="R121" s="15"/>
      <c r="S121" s="15">
        <v>449.34034382155005</v>
      </c>
      <c r="T121" s="15">
        <v>460</v>
      </c>
      <c r="U121" s="15">
        <v>210000</v>
      </c>
      <c r="V121" s="15">
        <f t="shared" si="11"/>
        <v>6.60403642985258</v>
      </c>
      <c r="W121" s="15">
        <v>5.0061499999999999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1135</v>
      </c>
      <c r="AF121" s="22" t="s">
        <v>5</v>
      </c>
      <c r="AG121" s="17">
        <f t="shared" si="12"/>
        <v>2249.4651622222527</v>
      </c>
      <c r="AH121" s="17">
        <v>2568.935942140296</v>
      </c>
      <c r="AI121" s="62">
        <v>6.5987278070426747</v>
      </c>
      <c r="AJ121" s="17">
        <f t="shared" si="13"/>
        <v>1.0004021650618424</v>
      </c>
      <c r="AK121" s="15">
        <f t="shared" si="14"/>
        <v>0.75804397101300525</v>
      </c>
      <c r="AL121" s="5">
        <v>10.936</v>
      </c>
      <c r="AO121" s="5">
        <f t="shared" si="15"/>
        <v>1</v>
      </c>
      <c r="AP121" s="5">
        <f t="shared" si="16"/>
        <v>6.5987278070426747</v>
      </c>
    </row>
    <row r="122" spans="1:42">
      <c r="A122" s="15">
        <v>117</v>
      </c>
      <c r="B122" s="20" t="s">
        <v>1039</v>
      </c>
      <c r="C122" s="20">
        <v>180</v>
      </c>
      <c r="D122" s="15">
        <v>180</v>
      </c>
      <c r="E122" s="15">
        <v>180</v>
      </c>
      <c r="F122" s="15">
        <v>14</v>
      </c>
      <c r="G122" s="15">
        <v>14</v>
      </c>
      <c r="H122" s="15">
        <v>8.5</v>
      </c>
      <c r="I122" s="15">
        <v>15</v>
      </c>
      <c r="J122" s="15">
        <v>15</v>
      </c>
      <c r="K122" s="15">
        <v>6851.1010812661498</v>
      </c>
      <c r="L122" s="15">
        <v>6451</v>
      </c>
      <c r="M122" s="15"/>
      <c r="N122" s="15"/>
      <c r="O122" s="15"/>
      <c r="P122" s="15">
        <v>37960686.333333328</v>
      </c>
      <c r="Q122" s="15"/>
      <c r="R122" s="15"/>
      <c r="S122" s="15">
        <v>313.23626808220155</v>
      </c>
      <c r="T122" s="15">
        <v>460</v>
      </c>
      <c r="U122" s="15">
        <v>210000</v>
      </c>
      <c r="V122" s="15">
        <f t="shared" si="11"/>
        <v>9.4735517638757578</v>
      </c>
      <c r="W122" s="15">
        <v>4.8397500000000004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1136</v>
      </c>
      <c r="AF122" s="22" t="s">
        <v>5</v>
      </c>
      <c r="AG122" s="17">
        <f t="shared" si="12"/>
        <v>1515.9852284508352</v>
      </c>
      <c r="AH122" s="17">
        <v>1790.8116164566586</v>
      </c>
      <c r="AI122" s="62">
        <v>5.3513123947166292</v>
      </c>
      <c r="AJ122" s="17">
        <f t="shared" si="13"/>
        <v>1.3305348795322507</v>
      </c>
      <c r="AK122" s="15">
        <f t="shared" si="14"/>
        <v>0.5108696422027037</v>
      </c>
      <c r="AL122" s="5">
        <v>10.936</v>
      </c>
      <c r="AO122" s="5">
        <f t="shared" si="15"/>
        <v>1</v>
      </c>
      <c r="AP122" s="5">
        <f t="shared" si="16"/>
        <v>5.3513123947166292</v>
      </c>
    </row>
    <row r="123" spans="1:42">
      <c r="A123" s="15">
        <v>118</v>
      </c>
      <c r="B123" s="20" t="s">
        <v>1040</v>
      </c>
      <c r="C123" s="20">
        <v>180</v>
      </c>
      <c r="D123" s="15">
        <v>180</v>
      </c>
      <c r="E123" s="15">
        <v>180</v>
      </c>
      <c r="F123" s="15">
        <v>14</v>
      </c>
      <c r="G123" s="15">
        <v>14</v>
      </c>
      <c r="H123" s="15">
        <v>8.5</v>
      </c>
      <c r="I123" s="15">
        <v>15</v>
      </c>
      <c r="J123" s="15">
        <v>15</v>
      </c>
      <c r="K123" s="15">
        <v>8602.5103802364429</v>
      </c>
      <c r="L123" s="15">
        <v>6451</v>
      </c>
      <c r="M123" s="15"/>
      <c r="N123" s="15"/>
      <c r="O123" s="15"/>
      <c r="P123" s="15">
        <v>37960686.333333328</v>
      </c>
      <c r="Q123" s="15"/>
      <c r="R123" s="15"/>
      <c r="S123" s="15">
        <v>220.78511786809855</v>
      </c>
      <c r="T123" s="15">
        <v>460</v>
      </c>
      <c r="U123" s="15">
        <v>210000</v>
      </c>
      <c r="V123" s="15">
        <f t="shared" si="11"/>
        <v>13.440489235206606</v>
      </c>
      <c r="W123" s="15">
        <v>4.5797100000000004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1137</v>
      </c>
      <c r="AF123" s="22" t="s">
        <v>5</v>
      </c>
      <c r="AG123" s="17">
        <f t="shared" si="12"/>
        <v>1011.1318121517097</v>
      </c>
      <c r="AH123" s="17">
        <v>1262.2566225798096</v>
      </c>
      <c r="AI123" s="62">
        <v>4.8154057738911762</v>
      </c>
      <c r="AJ123" s="17">
        <f t="shared" si="13"/>
        <v>1.6706716156532768</v>
      </c>
      <c r="AK123" s="15">
        <f t="shared" si="14"/>
        <v>0.34073982872615288</v>
      </c>
      <c r="AL123" s="5">
        <v>10.936</v>
      </c>
      <c r="AO123" s="5">
        <f t="shared" si="15"/>
        <v>1</v>
      </c>
      <c r="AP123" s="5">
        <f t="shared" si="16"/>
        <v>4.8154057738911762</v>
      </c>
    </row>
    <row r="124" spans="1:42">
      <c r="A124" s="15">
        <v>119</v>
      </c>
      <c r="B124" s="20" t="s">
        <v>1041</v>
      </c>
      <c r="C124" s="20">
        <v>180</v>
      </c>
      <c r="D124" s="15">
        <v>180</v>
      </c>
      <c r="E124" s="15">
        <v>180</v>
      </c>
      <c r="F124" s="15">
        <v>14</v>
      </c>
      <c r="G124" s="15">
        <v>14</v>
      </c>
      <c r="H124" s="15">
        <v>8.5</v>
      </c>
      <c r="I124" s="15">
        <v>15</v>
      </c>
      <c r="J124" s="15">
        <v>15</v>
      </c>
      <c r="K124" s="15">
        <v>10302.407641001728</v>
      </c>
      <c r="L124" s="15">
        <v>6451</v>
      </c>
      <c r="M124" s="15"/>
      <c r="N124" s="15"/>
      <c r="O124" s="15"/>
      <c r="P124" s="15">
        <v>37960686.333333328</v>
      </c>
      <c r="Q124" s="15"/>
      <c r="R124" s="15"/>
      <c r="S124" s="15">
        <v>163.26512926305142</v>
      </c>
      <c r="T124" s="15">
        <v>460</v>
      </c>
      <c r="U124" s="15">
        <v>210000</v>
      </c>
      <c r="V124" s="15">
        <f t="shared" si="11"/>
        <v>18.175712189091239</v>
      </c>
      <c r="W124" s="15">
        <v>4.3274299999999997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1138</v>
      </c>
      <c r="AF124" s="22" t="s">
        <v>5</v>
      </c>
      <c r="AG124" s="17">
        <f t="shared" si="12"/>
        <v>706.51841832680657</v>
      </c>
      <c r="AH124" s="17">
        <v>933.4075260079486</v>
      </c>
      <c r="AI124" s="62">
        <v>4.540275432643174</v>
      </c>
      <c r="AJ124" s="17">
        <f t="shared" si="13"/>
        <v>2.0008043301236853</v>
      </c>
      <c r="AK124" s="15">
        <f t="shared" si="14"/>
        <v>0.23808860720171676</v>
      </c>
      <c r="AL124" s="5">
        <v>10.936</v>
      </c>
      <c r="AO124" s="5">
        <f t="shared" si="15"/>
        <v>1</v>
      </c>
      <c r="AP124" s="5">
        <f t="shared" si="16"/>
        <v>4.540275432643174</v>
      </c>
    </row>
    <row r="125" spans="1:42">
      <c r="A125" s="15">
        <v>120</v>
      </c>
      <c r="B125" s="20" t="s">
        <v>1042</v>
      </c>
      <c r="C125" s="20">
        <v>180</v>
      </c>
      <c r="D125" s="15">
        <v>180</v>
      </c>
      <c r="E125" s="15">
        <v>180</v>
      </c>
      <c r="F125" s="15">
        <v>14</v>
      </c>
      <c r="G125" s="15">
        <v>14</v>
      </c>
      <c r="H125" s="15">
        <v>8.5</v>
      </c>
      <c r="I125" s="15">
        <v>15</v>
      </c>
      <c r="J125" s="15">
        <v>15</v>
      </c>
      <c r="K125" s="15">
        <v>12878.00955125216</v>
      </c>
      <c r="L125" s="15">
        <v>6451</v>
      </c>
      <c r="M125" s="15"/>
      <c r="N125" s="15"/>
      <c r="O125" s="15"/>
      <c r="P125" s="15">
        <v>37960686.333333328</v>
      </c>
      <c r="Q125" s="15"/>
      <c r="R125" s="15"/>
      <c r="S125" s="15">
        <v>110.23928100914608</v>
      </c>
      <c r="T125" s="15">
        <v>460</v>
      </c>
      <c r="U125" s="15">
        <v>210000</v>
      </c>
      <c r="V125" s="15">
        <f t="shared" si="11"/>
        <v>26.918354082459977</v>
      </c>
      <c r="W125" s="15">
        <v>4.1097900000000003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1139</v>
      </c>
      <c r="AF125" s="22" t="s">
        <v>5</v>
      </c>
      <c r="AG125" s="17">
        <f t="shared" si="12"/>
        <v>453.0602946985785</v>
      </c>
      <c r="AH125" s="17">
        <v>630.25200188249289</v>
      </c>
      <c r="AI125" s="62">
        <v>4.3034745429522587</v>
      </c>
      <c r="AJ125" s="17">
        <f t="shared" si="13"/>
        <v>2.5010054126546062</v>
      </c>
      <c r="AK125" s="15">
        <f t="shared" si="14"/>
        <v>0.15267612527163921</v>
      </c>
      <c r="AL125" s="5">
        <v>10.936</v>
      </c>
      <c r="AO125" s="5">
        <f t="shared" si="15"/>
        <v>1</v>
      </c>
      <c r="AP125" s="5">
        <f t="shared" si="16"/>
        <v>4.3034745429522587</v>
      </c>
    </row>
    <row r="126" spans="1:42">
      <c r="A126" s="15">
        <v>121</v>
      </c>
      <c r="B126" s="20" t="s">
        <v>1043</v>
      </c>
      <c r="C126" s="20">
        <v>220</v>
      </c>
      <c r="D126" s="15">
        <v>220</v>
      </c>
      <c r="E126" s="15">
        <v>220</v>
      </c>
      <c r="F126" s="15">
        <v>16</v>
      </c>
      <c r="G126" s="15">
        <v>16</v>
      </c>
      <c r="H126" s="15">
        <v>9.5</v>
      </c>
      <c r="I126" s="15">
        <v>18</v>
      </c>
      <c r="J126" s="15">
        <v>18</v>
      </c>
      <c r="K126" s="15">
        <v>1901.0006702253315</v>
      </c>
      <c r="L126" s="15">
        <v>8978</v>
      </c>
      <c r="M126" s="15"/>
      <c r="N126" s="15"/>
      <c r="O126" s="15"/>
      <c r="P126" s="15">
        <v>79965144</v>
      </c>
      <c r="Q126" s="15"/>
      <c r="R126" s="15"/>
      <c r="S126" s="15">
        <v>1101.0005945603573</v>
      </c>
      <c r="T126" s="15">
        <v>460</v>
      </c>
      <c r="U126" s="15">
        <v>210000</v>
      </c>
      <c r="V126" s="15">
        <f t="shared" si="11"/>
        <v>3.7510243140687045</v>
      </c>
      <c r="W126" s="15">
        <v>3.9210099999999999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/>
      <c r="AF126" s="24"/>
      <c r="AG126" s="17">
        <f t="shared" si="12"/>
        <v>4317.0343412771063</v>
      </c>
      <c r="AH126" s="17">
        <v>3717.8916406319318</v>
      </c>
      <c r="AI126" s="62">
        <v>41.655050978909003</v>
      </c>
      <c r="AJ126" s="17">
        <f t="shared" si="13"/>
        <v>0.30008280069815785</v>
      </c>
      <c r="AK126" s="15">
        <f t="shared" si="14"/>
        <v>1.0453171378531838</v>
      </c>
      <c r="AL126" s="56">
        <v>6.1308999999999996</v>
      </c>
      <c r="AO126" s="5">
        <f t="shared" si="15"/>
        <v>1</v>
      </c>
      <c r="AP126" s="5">
        <f t="shared" si="16"/>
        <v>41.655050978909003</v>
      </c>
    </row>
    <row r="127" spans="1:42">
      <c r="A127" s="15">
        <v>122</v>
      </c>
      <c r="B127" s="20" t="s">
        <v>1044</v>
      </c>
      <c r="C127" s="20">
        <v>220</v>
      </c>
      <c r="D127" s="15">
        <v>220</v>
      </c>
      <c r="E127" s="15">
        <v>220</v>
      </c>
      <c r="F127" s="15">
        <v>16</v>
      </c>
      <c r="G127" s="15">
        <v>16</v>
      </c>
      <c r="H127" s="15">
        <v>9.5</v>
      </c>
      <c r="I127" s="15">
        <v>18</v>
      </c>
      <c r="J127" s="15">
        <v>18</v>
      </c>
      <c r="K127" s="15">
        <v>3168.3344503755525</v>
      </c>
      <c r="L127" s="15">
        <v>8978</v>
      </c>
      <c r="M127" s="15"/>
      <c r="N127" s="15"/>
      <c r="O127" s="15"/>
      <c r="P127" s="15">
        <v>79965144</v>
      </c>
      <c r="Q127" s="15"/>
      <c r="R127" s="15"/>
      <c r="S127" s="15">
        <v>977.85996092016137</v>
      </c>
      <c r="T127" s="15">
        <v>460</v>
      </c>
      <c r="U127" s="15">
        <v>210000</v>
      </c>
      <c r="V127" s="15">
        <f t="shared" si="11"/>
        <v>4.2233859295290133</v>
      </c>
      <c r="W127" s="15">
        <v>4.2598700000000003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1140</v>
      </c>
      <c r="AF127" s="22" t="s">
        <v>5</v>
      </c>
      <c r="AG127" s="17">
        <f t="shared" si="12"/>
        <v>4165.5563117249685</v>
      </c>
      <c r="AH127" s="17">
        <v>3302.0666767809194</v>
      </c>
      <c r="AI127" s="62">
        <v>16.884222262647182</v>
      </c>
      <c r="AJ127" s="17">
        <f t="shared" si="13"/>
        <v>0.50013800116359652</v>
      </c>
      <c r="AK127" s="15">
        <f t="shared" si="14"/>
        <v>1.0086385831367903</v>
      </c>
      <c r="AL127" s="5">
        <v>6.1308999999999996</v>
      </c>
      <c r="AO127" s="5">
        <f t="shared" si="15"/>
        <v>1</v>
      </c>
      <c r="AP127" s="5">
        <f t="shared" si="16"/>
        <v>16.884222262647182</v>
      </c>
    </row>
    <row r="128" spans="1:42">
      <c r="A128" s="15">
        <v>123</v>
      </c>
      <c r="B128" s="20" t="s">
        <v>1045</v>
      </c>
      <c r="C128" s="20">
        <v>220</v>
      </c>
      <c r="D128" s="15">
        <v>220</v>
      </c>
      <c r="E128" s="15">
        <v>220</v>
      </c>
      <c r="F128" s="15">
        <v>16</v>
      </c>
      <c r="G128" s="15">
        <v>16</v>
      </c>
      <c r="H128" s="15">
        <v>9.5</v>
      </c>
      <c r="I128" s="15">
        <v>18</v>
      </c>
      <c r="J128" s="15">
        <v>18</v>
      </c>
      <c r="K128" s="15">
        <v>4752.5016755633287</v>
      </c>
      <c r="L128" s="15">
        <v>8978</v>
      </c>
      <c r="M128" s="15"/>
      <c r="N128" s="15"/>
      <c r="O128" s="15"/>
      <c r="P128" s="15">
        <v>79965144</v>
      </c>
      <c r="Q128" s="15"/>
      <c r="R128" s="15"/>
      <c r="S128" s="15">
        <v>804.4940005253527</v>
      </c>
      <c r="T128" s="15">
        <v>460</v>
      </c>
      <c r="U128" s="15">
        <v>210000</v>
      </c>
      <c r="V128" s="15">
        <f t="shared" si="11"/>
        <v>5.1335124902150859</v>
      </c>
      <c r="W128" s="15">
        <v>4.7510000000000003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1141</v>
      </c>
      <c r="AF128" s="22" t="s">
        <v>5</v>
      </c>
      <c r="AG128" s="17">
        <f t="shared" si="12"/>
        <v>3822.1509964959509</v>
      </c>
      <c r="AH128" s="17">
        <v>2716.6393317762927</v>
      </c>
      <c r="AI128" s="62">
        <v>9.1212087825185488</v>
      </c>
      <c r="AJ128" s="17">
        <f t="shared" si="13"/>
        <v>0.75020700174539467</v>
      </c>
      <c r="AK128" s="15">
        <f t="shared" si="14"/>
        <v>0.92548718037714195</v>
      </c>
      <c r="AL128" s="5">
        <v>6.1308999999999996</v>
      </c>
      <c r="AO128" s="5">
        <f t="shared" si="15"/>
        <v>1</v>
      </c>
      <c r="AP128" s="5">
        <f t="shared" si="16"/>
        <v>9.1212087825185488</v>
      </c>
    </row>
    <row r="129" spans="1:42">
      <c r="A129" s="15">
        <v>124</v>
      </c>
      <c r="B129" s="20" t="s">
        <v>1046</v>
      </c>
      <c r="C129" s="20">
        <v>220</v>
      </c>
      <c r="D129" s="15">
        <v>220</v>
      </c>
      <c r="E129" s="15">
        <v>220</v>
      </c>
      <c r="F129" s="15">
        <v>16</v>
      </c>
      <c r="G129" s="15">
        <v>16</v>
      </c>
      <c r="H129" s="15">
        <v>9.5</v>
      </c>
      <c r="I129" s="15">
        <v>18</v>
      </c>
      <c r="J129" s="15">
        <v>18</v>
      </c>
      <c r="K129" s="15">
        <v>6336.668900751105</v>
      </c>
      <c r="L129" s="15">
        <v>8978</v>
      </c>
      <c r="M129" s="15"/>
      <c r="N129" s="15"/>
      <c r="O129" s="15"/>
      <c r="P129" s="15">
        <v>79965144</v>
      </c>
      <c r="Q129" s="15"/>
      <c r="R129" s="15"/>
      <c r="S129" s="15">
        <v>626.32310084791527</v>
      </c>
      <c r="T129" s="15">
        <v>460</v>
      </c>
      <c r="U129" s="15">
        <v>210000</v>
      </c>
      <c r="V129" s="15">
        <f t="shared" si="11"/>
        <v>6.5938490763137665</v>
      </c>
      <c r="W129" s="15">
        <v>4.9934599999999998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1142</v>
      </c>
      <c r="AF129" s="22" t="s">
        <v>5</v>
      </c>
      <c r="AG129" s="17">
        <f t="shared" si="12"/>
        <v>3127.519351160031</v>
      </c>
      <c r="AH129" s="17">
        <v>2114.9865245140704</v>
      </c>
      <c r="AI129" s="62">
        <v>6.5902107472835221</v>
      </c>
      <c r="AJ129" s="17">
        <f t="shared" si="13"/>
        <v>1.000276002327193</v>
      </c>
      <c r="AK129" s="15">
        <f t="shared" si="14"/>
        <v>0.75729061163036959</v>
      </c>
      <c r="AL129" s="5">
        <v>6.1308999999999996</v>
      </c>
      <c r="AO129" s="5">
        <f t="shared" si="15"/>
        <v>1</v>
      </c>
      <c r="AP129" s="5">
        <f t="shared" si="16"/>
        <v>6.5902107472835221</v>
      </c>
    </row>
    <row r="130" spans="1:42">
      <c r="A130" s="15">
        <v>125</v>
      </c>
      <c r="B130" s="20" t="s">
        <v>1047</v>
      </c>
      <c r="C130" s="20">
        <v>220</v>
      </c>
      <c r="D130" s="15">
        <v>220</v>
      </c>
      <c r="E130" s="15">
        <v>220</v>
      </c>
      <c r="F130" s="15">
        <v>16</v>
      </c>
      <c r="G130" s="15">
        <v>16</v>
      </c>
      <c r="H130" s="15">
        <v>9.5</v>
      </c>
      <c r="I130" s="15">
        <v>18</v>
      </c>
      <c r="J130" s="15">
        <v>18</v>
      </c>
      <c r="K130" s="15">
        <v>8427.7696379989702</v>
      </c>
      <c r="L130" s="15">
        <v>8978</v>
      </c>
      <c r="M130" s="15"/>
      <c r="N130" s="15"/>
      <c r="O130" s="15"/>
      <c r="P130" s="15">
        <v>79965144</v>
      </c>
      <c r="Q130" s="15"/>
      <c r="R130" s="15"/>
      <c r="S130" s="15">
        <v>436.61138693833084</v>
      </c>
      <c r="T130" s="15">
        <v>460</v>
      </c>
      <c r="U130" s="15">
        <v>210000</v>
      </c>
      <c r="V130" s="15">
        <f t="shared" si="11"/>
        <v>9.4589379103466324</v>
      </c>
      <c r="W130" s="15">
        <v>4.8298800000000002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1143</v>
      </c>
      <c r="AF130" s="22" t="s">
        <v>5</v>
      </c>
      <c r="AG130" s="17">
        <f t="shared" si="12"/>
        <v>2108.7806055457054</v>
      </c>
      <c r="AH130" s="17">
        <v>1474.3623515943029</v>
      </c>
      <c r="AI130" s="62">
        <v>5.3444053894894923</v>
      </c>
      <c r="AJ130" s="17">
        <f t="shared" si="13"/>
        <v>1.3303670830951666</v>
      </c>
      <c r="AK130" s="15">
        <f t="shared" si="14"/>
        <v>0.51061546716749773</v>
      </c>
      <c r="AL130" s="5">
        <v>6.1308999999999996</v>
      </c>
      <c r="AO130" s="5">
        <f t="shared" si="15"/>
        <v>1</v>
      </c>
      <c r="AP130" s="5">
        <f t="shared" si="16"/>
        <v>5.3444053894894923</v>
      </c>
    </row>
    <row r="131" spans="1:42">
      <c r="A131" s="15">
        <v>126</v>
      </c>
      <c r="B131" s="20" t="s">
        <v>1048</v>
      </c>
      <c r="C131" s="20">
        <v>220</v>
      </c>
      <c r="D131" s="15">
        <v>220</v>
      </c>
      <c r="E131" s="15">
        <v>220</v>
      </c>
      <c r="F131" s="15">
        <v>16</v>
      </c>
      <c r="G131" s="15">
        <v>16</v>
      </c>
      <c r="H131" s="15">
        <v>9.5</v>
      </c>
      <c r="I131" s="15">
        <v>18</v>
      </c>
      <c r="J131" s="15">
        <v>18</v>
      </c>
      <c r="K131" s="15">
        <v>10582.237064254345</v>
      </c>
      <c r="L131" s="15">
        <v>8978</v>
      </c>
      <c r="M131" s="15"/>
      <c r="N131" s="15"/>
      <c r="O131" s="15"/>
      <c r="P131" s="15">
        <v>79965144</v>
      </c>
      <c r="Q131" s="15"/>
      <c r="R131" s="15"/>
      <c r="S131" s="15">
        <v>307.74628084394152</v>
      </c>
      <c r="T131" s="15">
        <v>460</v>
      </c>
      <c r="U131" s="15">
        <v>210000</v>
      </c>
      <c r="V131" s="15">
        <f t="shared" si="11"/>
        <v>13.419756003791536</v>
      </c>
      <c r="W131" s="15">
        <v>4.57125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1144</v>
      </c>
      <c r="AF131" s="22" t="s">
        <v>5</v>
      </c>
      <c r="AG131" s="17">
        <f t="shared" si="12"/>
        <v>1406.7851863078677</v>
      </c>
      <c r="AH131" s="17">
        <v>1039.206818450572</v>
      </c>
      <c r="AI131" s="62">
        <v>4.8091904699810764</v>
      </c>
      <c r="AJ131" s="17">
        <f t="shared" si="13"/>
        <v>1.6704609238864119</v>
      </c>
      <c r="AK131" s="15">
        <f t="shared" si="14"/>
        <v>0.34063585051087869</v>
      </c>
      <c r="AL131" s="5">
        <v>6.1308999999999996</v>
      </c>
      <c r="AO131" s="5">
        <f t="shared" si="15"/>
        <v>1</v>
      </c>
      <c r="AP131" s="5">
        <f t="shared" si="16"/>
        <v>4.8091904699810764</v>
      </c>
    </row>
    <row r="132" spans="1:42">
      <c r="A132" s="15">
        <v>127</v>
      </c>
      <c r="B132" s="20" t="s">
        <v>1049</v>
      </c>
      <c r="C132" s="20">
        <v>220</v>
      </c>
      <c r="D132" s="15">
        <v>220</v>
      </c>
      <c r="E132" s="15">
        <v>220</v>
      </c>
      <c r="F132" s="15">
        <v>16</v>
      </c>
      <c r="G132" s="15">
        <v>16</v>
      </c>
      <c r="H132" s="15">
        <v>9.5</v>
      </c>
      <c r="I132" s="15">
        <v>18</v>
      </c>
      <c r="J132" s="15">
        <v>18</v>
      </c>
      <c r="K132" s="15">
        <v>12673.33780150221</v>
      </c>
      <c r="L132" s="15">
        <v>8978</v>
      </c>
      <c r="M132" s="15"/>
      <c r="N132" s="15"/>
      <c r="O132" s="15"/>
      <c r="P132" s="15">
        <v>79965144</v>
      </c>
      <c r="Q132" s="15"/>
      <c r="R132" s="15"/>
      <c r="S132" s="15">
        <v>227.57075661334352</v>
      </c>
      <c r="T132" s="15">
        <v>460</v>
      </c>
      <c r="U132" s="15">
        <v>210000</v>
      </c>
      <c r="V132" s="15">
        <f t="shared" si="11"/>
        <v>18.147674426450653</v>
      </c>
      <c r="W132" s="15">
        <v>4.3198600000000003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1145</v>
      </c>
      <c r="AF132" s="22" t="s">
        <v>5</v>
      </c>
      <c r="AG132" s="17">
        <f t="shared" si="12"/>
        <v>983.07380866371818</v>
      </c>
      <c r="AH132" s="17">
        <v>768.46771731570686</v>
      </c>
      <c r="AI132" s="62">
        <v>4.5344152428742373</v>
      </c>
      <c r="AJ132" s="17">
        <f t="shared" si="13"/>
        <v>2.0005520046543861</v>
      </c>
      <c r="AK132" s="15">
        <f t="shared" si="14"/>
        <v>0.23803931558876243</v>
      </c>
      <c r="AL132" s="5">
        <v>6.1308999999999996</v>
      </c>
      <c r="AO132" s="5">
        <f t="shared" si="15"/>
        <v>1</v>
      </c>
      <c r="AP132" s="5">
        <f t="shared" si="16"/>
        <v>4.5344152428742373</v>
      </c>
    </row>
    <row r="133" spans="1:42">
      <c r="A133" s="15">
        <v>128</v>
      </c>
      <c r="B133" s="20" t="s">
        <v>1050</v>
      </c>
      <c r="C133" s="20">
        <v>220</v>
      </c>
      <c r="D133" s="15">
        <v>220</v>
      </c>
      <c r="E133" s="15">
        <v>220</v>
      </c>
      <c r="F133" s="15">
        <v>16</v>
      </c>
      <c r="G133" s="15">
        <v>16</v>
      </c>
      <c r="H133" s="15">
        <v>9.5</v>
      </c>
      <c r="I133" s="15">
        <v>18</v>
      </c>
      <c r="J133" s="15">
        <v>18</v>
      </c>
      <c r="K133" s="15">
        <v>15841.672251877762</v>
      </c>
      <c r="L133" s="15">
        <v>8978</v>
      </c>
      <c r="M133" s="15"/>
      <c r="N133" s="15"/>
      <c r="O133" s="15"/>
      <c r="P133" s="15">
        <v>79965144</v>
      </c>
      <c r="Q133" s="15"/>
      <c r="R133" s="15"/>
      <c r="S133" s="15">
        <v>153.65949055380972</v>
      </c>
      <c r="T133" s="15">
        <v>460</v>
      </c>
      <c r="U133" s="15">
        <v>210000</v>
      </c>
      <c r="V133" s="15">
        <f t="shared" si="11"/>
        <v>26.876829964197789</v>
      </c>
      <c r="W133" s="15">
        <v>4.1026699999999998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1146</v>
      </c>
      <c r="AF133" s="22" t="s">
        <v>5</v>
      </c>
      <c r="AG133" s="17">
        <f t="shared" si="12"/>
        <v>630.41418211039854</v>
      </c>
      <c r="AH133" s="17">
        <v>518.88194997923063</v>
      </c>
      <c r="AI133" s="62">
        <v>4.2979199950263398</v>
      </c>
      <c r="AJ133" s="17">
        <f t="shared" si="13"/>
        <v>2.5006900058179822</v>
      </c>
      <c r="AK133" s="15">
        <f t="shared" si="14"/>
        <v>0.1526470943732986</v>
      </c>
      <c r="AL133" s="5">
        <v>6.1308999999999996</v>
      </c>
      <c r="AO133" s="5">
        <f t="shared" si="15"/>
        <v>1</v>
      </c>
      <c r="AP133" s="5">
        <f t="shared" si="16"/>
        <v>4.2979199950263398</v>
      </c>
    </row>
    <row r="134" spans="1:42">
      <c r="A134" s="15">
        <v>129</v>
      </c>
      <c r="B134" s="20" t="s">
        <v>1051</v>
      </c>
      <c r="C134" s="20">
        <v>260</v>
      </c>
      <c r="D134" s="15">
        <v>260</v>
      </c>
      <c r="E134" s="15">
        <v>260</v>
      </c>
      <c r="F134" s="15">
        <v>17.5</v>
      </c>
      <c r="G134" s="15">
        <v>17.5</v>
      </c>
      <c r="H134" s="15">
        <v>10</v>
      </c>
      <c r="I134" s="15">
        <v>24</v>
      </c>
      <c r="J134" s="15">
        <v>24</v>
      </c>
      <c r="K134" s="15">
        <v>2264.3468971451216</v>
      </c>
      <c r="L134" s="15">
        <v>11525</v>
      </c>
      <c r="M134" s="15"/>
      <c r="N134" s="15"/>
      <c r="O134" s="15"/>
      <c r="P134" s="15">
        <v>145667981.77083331</v>
      </c>
      <c r="Q134" s="15"/>
      <c r="R134" s="15"/>
      <c r="S134" s="15">
        <v>1415.8573247518759</v>
      </c>
      <c r="T134" s="15">
        <v>460</v>
      </c>
      <c r="U134" s="15">
        <v>210000</v>
      </c>
      <c r="V134" s="15">
        <f t="shared" si="11"/>
        <v>3.7443744559001169</v>
      </c>
      <c r="W134" s="15">
        <v>3.9607399999999999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1147</v>
      </c>
      <c r="AF134" s="22" t="s">
        <v>5</v>
      </c>
      <c r="AG134" s="17">
        <f t="shared" si="12"/>
        <v>5607.8427404377453</v>
      </c>
      <c r="AH134" s="17">
        <v>3229.3273047384764</v>
      </c>
      <c r="AI134" s="62">
        <v>41.588928237593798</v>
      </c>
      <c r="AJ134" s="17">
        <f t="shared" si="13"/>
        <v>0.30005493405215333</v>
      </c>
      <c r="AK134" s="15">
        <f t="shared" si="14"/>
        <v>1.0577841630553135</v>
      </c>
      <c r="AL134" s="56">
        <v>3.2757000000000001</v>
      </c>
      <c r="AO134" s="5">
        <f t="shared" si="15"/>
        <v>1</v>
      </c>
      <c r="AP134" s="5">
        <f t="shared" si="16"/>
        <v>41.588928237593798</v>
      </c>
    </row>
    <row r="135" spans="1:42">
      <c r="A135" s="15">
        <v>130</v>
      </c>
      <c r="B135" s="20" t="s">
        <v>1052</v>
      </c>
      <c r="C135" s="20">
        <v>260</v>
      </c>
      <c r="D135" s="15">
        <v>260</v>
      </c>
      <c r="E135" s="15">
        <v>260</v>
      </c>
      <c r="F135" s="15">
        <v>17.5</v>
      </c>
      <c r="G135" s="15">
        <v>17.5</v>
      </c>
      <c r="H135" s="15">
        <v>10</v>
      </c>
      <c r="I135" s="15">
        <v>24</v>
      </c>
      <c r="J135" s="15">
        <v>24</v>
      </c>
      <c r="K135" s="15">
        <v>3773.911495241869</v>
      </c>
      <c r="L135" s="15">
        <v>11525</v>
      </c>
      <c r="M135" s="15"/>
      <c r="N135" s="15"/>
      <c r="O135" s="15"/>
      <c r="P135" s="15">
        <v>145667981.77083331</v>
      </c>
      <c r="Q135" s="15"/>
      <c r="R135" s="15"/>
      <c r="S135" s="15">
        <v>1257.5017625701146</v>
      </c>
      <c r="T135" s="15">
        <v>460</v>
      </c>
      <c r="U135" s="15">
        <v>210000</v>
      </c>
      <c r="V135" s="15">
        <f t="shared" ref="V135:V198" si="17">L135*T135/(S135*1000)</f>
        <v>4.215898663366211</v>
      </c>
      <c r="W135" s="15">
        <v>4.3046300000000004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1148</v>
      </c>
      <c r="AF135" s="22" t="s">
        <v>5</v>
      </c>
      <c r="AG135" s="17">
        <f t="shared" ref="AG135:AG198" si="18">W135*S135</f>
        <v>5413.0798122121932</v>
      </c>
      <c r="AH135" s="17">
        <v>2868.1454738641041</v>
      </c>
      <c r="AI135" s="62">
        <v>16.857420445466676</v>
      </c>
      <c r="AJ135" s="17">
        <f t="shared" ref="AJ135:AJ198" si="19">(V135/AI135)^0.5</f>
        <v>0.50009155675358885</v>
      </c>
      <c r="AK135" s="15">
        <f t="shared" ref="AK135:AK198" si="20">W135/V135</f>
        <v>1.0210468381047237</v>
      </c>
      <c r="AL135" s="5">
        <v>3.2757000000000001</v>
      </c>
      <c r="AO135" s="5">
        <f t="shared" ref="AO135:AO198" si="21">E135/C135</f>
        <v>1</v>
      </c>
      <c r="AP135" s="5">
        <f t="shared" si="16"/>
        <v>16.857420445466676</v>
      </c>
    </row>
    <row r="136" spans="1:42">
      <c r="A136" s="15">
        <v>131</v>
      </c>
      <c r="B136" s="20" t="s">
        <v>1053</v>
      </c>
      <c r="C136" s="20">
        <v>260</v>
      </c>
      <c r="D136" s="15">
        <v>260</v>
      </c>
      <c r="E136" s="15">
        <v>260</v>
      </c>
      <c r="F136" s="15">
        <v>17.5</v>
      </c>
      <c r="G136" s="15">
        <v>17.5</v>
      </c>
      <c r="H136" s="15">
        <v>10</v>
      </c>
      <c r="I136" s="15">
        <v>24</v>
      </c>
      <c r="J136" s="15">
        <v>24</v>
      </c>
      <c r="K136" s="15">
        <v>5660.8672428628033</v>
      </c>
      <c r="L136" s="15">
        <v>11525</v>
      </c>
      <c r="M136" s="15"/>
      <c r="N136" s="15"/>
      <c r="O136" s="15"/>
      <c r="P136" s="15">
        <v>145667981.77083334</v>
      </c>
      <c r="Q136" s="15"/>
      <c r="R136" s="15"/>
      <c r="S136" s="15">
        <v>1034.5577731659589</v>
      </c>
      <c r="T136" s="15">
        <v>460</v>
      </c>
      <c r="U136" s="15">
        <v>210000</v>
      </c>
      <c r="V136" s="15">
        <f t="shared" si="17"/>
        <v>5.1244117414306629</v>
      </c>
      <c r="W136" s="15">
        <v>4.8005500000000003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1149</v>
      </c>
      <c r="AF136" s="22" t="s">
        <v>5</v>
      </c>
      <c r="AG136" s="17">
        <f t="shared" si="18"/>
        <v>4966.4463179718441</v>
      </c>
      <c r="AH136" s="17">
        <v>2359.6485371855892</v>
      </c>
      <c r="AI136" s="62">
        <v>9.1067298822499207</v>
      </c>
      <c r="AJ136" s="17">
        <f t="shared" si="19"/>
        <v>0.75013733513038316</v>
      </c>
      <c r="AK136" s="15">
        <f t="shared" si="20"/>
        <v>0.93680021087840126</v>
      </c>
      <c r="AL136" s="5">
        <v>3.2757000000000001</v>
      </c>
      <c r="AO136" s="5">
        <f t="shared" si="21"/>
        <v>1</v>
      </c>
      <c r="AP136" s="5">
        <f t="shared" si="16"/>
        <v>9.1067298822499207</v>
      </c>
    </row>
    <row r="137" spans="1:42">
      <c r="A137" s="15">
        <v>132</v>
      </c>
      <c r="B137" s="20" t="s">
        <v>1054</v>
      </c>
      <c r="C137" s="20">
        <v>260</v>
      </c>
      <c r="D137" s="15">
        <v>260</v>
      </c>
      <c r="E137" s="15">
        <v>260</v>
      </c>
      <c r="F137" s="15">
        <v>17.5</v>
      </c>
      <c r="G137" s="15">
        <v>17.5</v>
      </c>
      <c r="H137" s="15">
        <v>10</v>
      </c>
      <c r="I137" s="15">
        <v>24</v>
      </c>
      <c r="J137" s="15">
        <v>24</v>
      </c>
      <c r="K137" s="15">
        <v>7547.8229904837381</v>
      </c>
      <c r="L137" s="15">
        <v>11525</v>
      </c>
      <c r="M137" s="15"/>
      <c r="N137" s="15"/>
      <c r="O137" s="15"/>
      <c r="P137" s="15">
        <v>145667981.77083334</v>
      </c>
      <c r="Q137" s="15"/>
      <c r="R137" s="15"/>
      <c r="S137" s="15">
        <v>805.43476032447768</v>
      </c>
      <c r="T137" s="15">
        <v>460</v>
      </c>
      <c r="U137" s="15">
        <v>210000</v>
      </c>
      <c r="V137" s="15">
        <f t="shared" si="17"/>
        <v>6.5821594263751866</v>
      </c>
      <c r="W137" s="15">
        <v>5.0456500000000002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1150</v>
      </c>
      <c r="AF137" s="22" t="s">
        <v>5</v>
      </c>
      <c r="AG137" s="17">
        <f t="shared" si="18"/>
        <v>4063.941898431201</v>
      </c>
      <c r="AH137" s="17">
        <v>1837.0583096408704</v>
      </c>
      <c r="AI137" s="62">
        <v>6.5797495237292427</v>
      </c>
      <c r="AJ137" s="17">
        <f t="shared" si="19"/>
        <v>1.0001831135071777</v>
      </c>
      <c r="AK137" s="15">
        <f t="shared" si="20"/>
        <v>0.76656453804229008</v>
      </c>
      <c r="AL137" s="5">
        <v>3.2757000000000001</v>
      </c>
      <c r="AO137" s="5">
        <f t="shared" si="21"/>
        <v>1</v>
      </c>
      <c r="AP137" s="5">
        <f t="shared" si="16"/>
        <v>6.5797495237292427</v>
      </c>
    </row>
    <row r="138" spans="1:42">
      <c r="A138" s="15">
        <v>133</v>
      </c>
      <c r="B138" s="20" t="s">
        <v>1055</v>
      </c>
      <c r="C138" s="20">
        <v>260</v>
      </c>
      <c r="D138" s="15">
        <v>260</v>
      </c>
      <c r="E138" s="15">
        <v>260</v>
      </c>
      <c r="F138" s="15">
        <v>17.5</v>
      </c>
      <c r="G138" s="15">
        <v>17.5</v>
      </c>
      <c r="H138" s="15">
        <v>10</v>
      </c>
      <c r="I138" s="15">
        <v>24</v>
      </c>
      <c r="J138" s="15">
        <v>24</v>
      </c>
      <c r="K138" s="15">
        <v>10038.604577343373</v>
      </c>
      <c r="L138" s="15">
        <v>11525</v>
      </c>
      <c r="M138" s="15"/>
      <c r="N138" s="15"/>
      <c r="O138" s="15"/>
      <c r="P138" s="15">
        <v>145667981.77083334</v>
      </c>
      <c r="Q138" s="15"/>
      <c r="R138" s="15"/>
      <c r="S138" s="15">
        <v>561.47056897236052</v>
      </c>
      <c r="T138" s="15">
        <v>460</v>
      </c>
      <c r="U138" s="15">
        <v>210000</v>
      </c>
      <c r="V138" s="15">
        <f t="shared" si="17"/>
        <v>9.4421689986407387</v>
      </c>
      <c r="W138" s="15">
        <v>4.8796499999999998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1151</v>
      </c>
      <c r="AF138" s="22" t="s">
        <v>5</v>
      </c>
      <c r="AG138" s="17">
        <f t="shared" si="18"/>
        <v>2739.7798618859788</v>
      </c>
      <c r="AH138" s="17">
        <v>1280.6179037193911</v>
      </c>
      <c r="AI138" s="62">
        <v>5.3359217428068453</v>
      </c>
      <c r="AJ138" s="17">
        <f t="shared" si="19"/>
        <v>1.3302435409645463</v>
      </c>
      <c r="AK138" s="15">
        <f t="shared" si="20"/>
        <v>0.5167933343178307</v>
      </c>
      <c r="AL138" s="5">
        <v>3.2757000000000001</v>
      </c>
      <c r="AO138" s="5">
        <f t="shared" si="21"/>
        <v>1</v>
      </c>
      <c r="AP138" s="5">
        <f t="shared" si="16"/>
        <v>5.3359217428068453</v>
      </c>
    </row>
    <row r="139" spans="1:42">
      <c r="A139" s="15">
        <v>134</v>
      </c>
      <c r="B139" s="20" t="s">
        <v>1056</v>
      </c>
      <c r="C139" s="20">
        <v>260</v>
      </c>
      <c r="D139" s="15">
        <v>260</v>
      </c>
      <c r="E139" s="15">
        <v>260</v>
      </c>
      <c r="F139" s="15">
        <v>17.5</v>
      </c>
      <c r="G139" s="15">
        <v>17.5</v>
      </c>
      <c r="H139" s="15">
        <v>10</v>
      </c>
      <c r="I139" s="15">
        <v>24</v>
      </c>
      <c r="J139" s="15">
        <v>24</v>
      </c>
      <c r="K139" s="15">
        <v>12604.864394107841</v>
      </c>
      <c r="L139" s="15">
        <v>11525</v>
      </c>
      <c r="M139" s="15"/>
      <c r="N139" s="15"/>
      <c r="O139" s="15"/>
      <c r="P139" s="15">
        <v>145667981.77083334</v>
      </c>
      <c r="Q139" s="15"/>
      <c r="R139" s="15"/>
      <c r="S139" s="15">
        <v>395.7534882822045</v>
      </c>
      <c r="T139" s="15">
        <v>460</v>
      </c>
      <c r="U139" s="15">
        <v>210000</v>
      </c>
      <c r="V139" s="15">
        <f t="shared" si="17"/>
        <v>13.395965309141125</v>
      </c>
      <c r="W139" s="15">
        <v>4.6143400000000003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1152</v>
      </c>
      <c r="AF139" s="22" t="s">
        <v>5</v>
      </c>
      <c r="AG139" s="17">
        <f t="shared" si="18"/>
        <v>1826.1411511201077</v>
      </c>
      <c r="AH139" s="17">
        <v>902.64571388165109</v>
      </c>
      <c r="AI139" s="62">
        <v>4.8015564172093468</v>
      </c>
      <c r="AJ139" s="17">
        <f t="shared" si="19"/>
        <v>1.6703057995569863</v>
      </c>
      <c r="AK139" s="15">
        <f t="shared" si="20"/>
        <v>0.34445744621712865</v>
      </c>
      <c r="AL139" s="5">
        <v>3.2757000000000001</v>
      </c>
      <c r="AO139" s="5">
        <f t="shared" si="21"/>
        <v>1</v>
      </c>
      <c r="AP139" s="5">
        <f t="shared" si="16"/>
        <v>4.8015564172093468</v>
      </c>
    </row>
    <row r="140" spans="1:42">
      <c r="A140" s="15">
        <v>135</v>
      </c>
      <c r="B140" s="20" t="s">
        <v>1057</v>
      </c>
      <c r="C140" s="20">
        <v>260</v>
      </c>
      <c r="D140" s="15">
        <v>260</v>
      </c>
      <c r="E140" s="15">
        <v>260</v>
      </c>
      <c r="F140" s="15">
        <v>17.5</v>
      </c>
      <c r="G140" s="15">
        <v>17.5</v>
      </c>
      <c r="H140" s="15">
        <v>10</v>
      </c>
      <c r="I140" s="15">
        <v>24</v>
      </c>
      <c r="J140" s="15">
        <v>24</v>
      </c>
      <c r="K140" s="15">
        <v>15095.645980967476</v>
      </c>
      <c r="L140" s="15">
        <v>11525</v>
      </c>
      <c r="M140" s="15"/>
      <c r="N140" s="15"/>
      <c r="O140" s="15"/>
      <c r="P140" s="15">
        <v>145667981.77083334</v>
      </c>
      <c r="Q140" s="15"/>
      <c r="R140" s="15"/>
      <c r="S140" s="15">
        <v>292.64990794940508</v>
      </c>
      <c r="T140" s="15">
        <v>460</v>
      </c>
      <c r="U140" s="15">
        <v>210000</v>
      </c>
      <c r="V140" s="15">
        <f t="shared" si="17"/>
        <v>18.115502024748807</v>
      </c>
      <c r="W140" s="15">
        <v>4.3594600000000003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1153</v>
      </c>
      <c r="AF140" s="22" t="s">
        <v>5</v>
      </c>
      <c r="AG140" s="17">
        <f t="shared" si="18"/>
        <v>1275.7955677091136</v>
      </c>
      <c r="AH140" s="17">
        <v>667.48416097351787</v>
      </c>
      <c r="AI140" s="62">
        <v>4.5272173650881307</v>
      </c>
      <c r="AJ140" s="17">
        <f t="shared" si="19"/>
        <v>2.0003662270143554</v>
      </c>
      <c r="AK140" s="15">
        <f t="shared" si="20"/>
        <v>0.2406480369158</v>
      </c>
      <c r="AL140" s="5">
        <v>3.2757000000000001</v>
      </c>
      <c r="AO140" s="5">
        <f t="shared" si="21"/>
        <v>1</v>
      </c>
      <c r="AP140" s="5">
        <f t="shared" si="16"/>
        <v>4.5272173650881307</v>
      </c>
    </row>
    <row r="141" spans="1:42">
      <c r="A141" s="15">
        <v>136</v>
      </c>
      <c r="B141" s="20" t="s">
        <v>1058</v>
      </c>
      <c r="C141" s="20">
        <v>260</v>
      </c>
      <c r="D141" s="15">
        <v>260</v>
      </c>
      <c r="E141" s="15">
        <v>260</v>
      </c>
      <c r="F141" s="15">
        <v>17.5</v>
      </c>
      <c r="G141" s="15">
        <v>17.5</v>
      </c>
      <c r="H141" s="15">
        <v>10</v>
      </c>
      <c r="I141" s="15">
        <v>24</v>
      </c>
      <c r="J141" s="15">
        <v>24</v>
      </c>
      <c r="K141" s="15">
        <v>18869.557476209346</v>
      </c>
      <c r="L141" s="15">
        <v>11525</v>
      </c>
      <c r="M141" s="15"/>
      <c r="N141" s="15"/>
      <c r="O141" s="15"/>
      <c r="P141" s="15">
        <v>145667981.77083334</v>
      </c>
      <c r="Q141" s="15"/>
      <c r="R141" s="15"/>
      <c r="S141" s="15">
        <v>197.60199612346932</v>
      </c>
      <c r="T141" s="15">
        <v>460</v>
      </c>
      <c r="U141" s="15">
        <v>210000</v>
      </c>
      <c r="V141" s="15">
        <f t="shared" si="17"/>
        <v>26.829182417203008</v>
      </c>
      <c r="W141" s="15">
        <v>4.1407800000000003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1154</v>
      </c>
      <c r="AF141" s="22" t="s">
        <v>5</v>
      </c>
      <c r="AG141" s="17">
        <f t="shared" si="18"/>
        <v>818.22639350813938</v>
      </c>
      <c r="AH141" s="17">
        <v>450.69620391600881</v>
      </c>
      <c r="AI141" s="62">
        <v>4.2910975270339611</v>
      </c>
      <c r="AJ141" s="17">
        <f t="shared" si="19"/>
        <v>2.5004577837679438</v>
      </c>
      <c r="AK141" s="15">
        <f t="shared" si="20"/>
        <v>0.15433865764559829</v>
      </c>
      <c r="AL141" s="5">
        <v>3.2757000000000001</v>
      </c>
      <c r="AO141" s="5">
        <f t="shared" si="21"/>
        <v>1</v>
      </c>
      <c r="AP141" s="5">
        <f t="shared" si="16"/>
        <v>4.2910975270339611</v>
      </c>
    </row>
    <row r="142" spans="1:42">
      <c r="A142" s="15">
        <v>137</v>
      </c>
      <c r="B142" s="20" t="s">
        <v>1059</v>
      </c>
      <c r="C142" s="20">
        <v>300</v>
      </c>
      <c r="D142" s="15">
        <v>300</v>
      </c>
      <c r="E142" s="15">
        <v>300</v>
      </c>
      <c r="F142" s="15">
        <v>19</v>
      </c>
      <c r="G142" s="15">
        <v>19</v>
      </c>
      <c r="H142" s="15">
        <v>11</v>
      </c>
      <c r="I142" s="15">
        <v>27</v>
      </c>
      <c r="J142" s="15">
        <v>27</v>
      </c>
      <c r="K142" s="15">
        <v>2620.5736649801097</v>
      </c>
      <c r="L142" s="15">
        <v>14491</v>
      </c>
      <c r="M142" s="15"/>
      <c r="N142" s="15"/>
      <c r="O142" s="15"/>
      <c r="P142" s="15">
        <v>245377887.58333334</v>
      </c>
      <c r="Q142" s="15"/>
      <c r="R142" s="15"/>
      <c r="S142" s="15">
        <v>1781.6100715512148</v>
      </c>
      <c r="T142" s="15">
        <v>460</v>
      </c>
      <c r="U142" s="15">
        <v>210000</v>
      </c>
      <c r="V142" s="15">
        <f t="shared" si="17"/>
        <v>3.7414808697147515</v>
      </c>
      <c r="W142" s="15">
        <v>3.9486400000000001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1155</v>
      </c>
      <c r="AF142" s="22" t="s">
        <v>5</v>
      </c>
      <c r="AG142" s="17">
        <f t="shared" si="18"/>
        <v>7034.9367929299888</v>
      </c>
      <c r="AH142" s="17">
        <v>2919.9032253392879</v>
      </c>
      <c r="AI142" s="62">
        <v>41.567036201691536</v>
      </c>
      <c r="AJ142" s="17">
        <f t="shared" si="19"/>
        <v>0.30001794684021788</v>
      </c>
      <c r="AK142" s="15">
        <f t="shared" si="20"/>
        <v>1.0553682184939361</v>
      </c>
      <c r="AL142" s="56">
        <v>1.7927999999999999</v>
      </c>
      <c r="AO142" s="5">
        <f t="shared" si="21"/>
        <v>1</v>
      </c>
      <c r="AP142" s="5">
        <f t="shared" si="16"/>
        <v>41.567036201691536</v>
      </c>
    </row>
    <row r="143" spans="1:42">
      <c r="A143" s="15">
        <v>138</v>
      </c>
      <c r="B143" s="20" t="s">
        <v>1060</v>
      </c>
      <c r="C143" s="20">
        <v>300</v>
      </c>
      <c r="D143" s="15">
        <v>300</v>
      </c>
      <c r="E143" s="15">
        <v>300</v>
      </c>
      <c r="F143" s="15">
        <v>19</v>
      </c>
      <c r="G143" s="15">
        <v>19</v>
      </c>
      <c r="H143" s="15">
        <v>11</v>
      </c>
      <c r="I143" s="15">
        <v>27</v>
      </c>
      <c r="J143" s="15">
        <v>27</v>
      </c>
      <c r="K143" s="15">
        <v>4367.6227749668496</v>
      </c>
      <c r="L143" s="15">
        <v>14491</v>
      </c>
      <c r="M143" s="15"/>
      <c r="N143" s="15"/>
      <c r="O143" s="15"/>
      <c r="P143" s="15">
        <v>245377887.58333334</v>
      </c>
      <c r="Q143" s="15"/>
      <c r="R143" s="15"/>
      <c r="S143" s="15">
        <v>1582.3471518084914</v>
      </c>
      <c r="T143" s="15">
        <v>460</v>
      </c>
      <c r="U143" s="15">
        <v>210000</v>
      </c>
      <c r="V143" s="15">
        <f t="shared" si="17"/>
        <v>4.2126406916342445</v>
      </c>
      <c r="W143" s="15">
        <v>4.2934299999999999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1156</v>
      </c>
      <c r="AF143" s="22" t="s">
        <v>5</v>
      </c>
      <c r="AG143" s="17">
        <f t="shared" si="18"/>
        <v>6793.696731989131</v>
      </c>
      <c r="AH143" s="17">
        <v>2593.3287120167879</v>
      </c>
      <c r="AI143" s="62">
        <v>16.848546851718275</v>
      </c>
      <c r="AJ143" s="17">
        <f t="shared" si="19"/>
        <v>0.50002991140036313</v>
      </c>
      <c r="AK143" s="15">
        <f t="shared" si="20"/>
        <v>1.0191778303158379</v>
      </c>
      <c r="AL143" s="5">
        <v>1.7927999999999999</v>
      </c>
      <c r="AO143" s="5">
        <f t="shared" si="21"/>
        <v>1</v>
      </c>
      <c r="AP143" s="5">
        <f t="shared" si="16"/>
        <v>16.848546851718275</v>
      </c>
    </row>
    <row r="144" spans="1:42">
      <c r="A144" s="15">
        <v>139</v>
      </c>
      <c r="B144" s="20" t="s">
        <v>1061</v>
      </c>
      <c r="C144" s="20">
        <v>300</v>
      </c>
      <c r="D144" s="15">
        <v>300</v>
      </c>
      <c r="E144" s="15">
        <v>300</v>
      </c>
      <c r="F144" s="15">
        <v>19</v>
      </c>
      <c r="G144" s="15">
        <v>19</v>
      </c>
      <c r="H144" s="15">
        <v>11</v>
      </c>
      <c r="I144" s="15">
        <v>27</v>
      </c>
      <c r="J144" s="15">
        <v>27</v>
      </c>
      <c r="K144" s="15">
        <v>6551.434162450274</v>
      </c>
      <c r="L144" s="15">
        <v>14491.000000000002</v>
      </c>
      <c r="M144" s="15"/>
      <c r="N144" s="15"/>
      <c r="O144" s="15"/>
      <c r="P144" s="15">
        <v>245377887.58333334</v>
      </c>
      <c r="Q144" s="15"/>
      <c r="R144" s="15"/>
      <c r="S144" s="15">
        <v>1301.8109353617817</v>
      </c>
      <c r="T144" s="15">
        <v>460</v>
      </c>
      <c r="U144" s="15">
        <v>210000</v>
      </c>
      <c r="V144" s="15">
        <f t="shared" si="17"/>
        <v>5.1204516869014594</v>
      </c>
      <c r="W144" s="15">
        <v>4.7884799999999998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1157</v>
      </c>
      <c r="AF144" s="22" t="s">
        <v>5</v>
      </c>
      <c r="AG144" s="17">
        <f t="shared" si="18"/>
        <v>6233.6956277611844</v>
      </c>
      <c r="AH144" s="17">
        <v>2133.5543672781446</v>
      </c>
      <c r="AI144" s="62">
        <v>9.1019361819555638</v>
      </c>
      <c r="AJ144" s="17">
        <f t="shared" si="19"/>
        <v>0.75004486710054474</v>
      </c>
      <c r="AK144" s="15">
        <f t="shared" si="20"/>
        <v>0.9351674994316086</v>
      </c>
      <c r="AL144" s="5">
        <v>1.7927999999999999</v>
      </c>
      <c r="AO144" s="5">
        <f t="shared" si="21"/>
        <v>1</v>
      </c>
      <c r="AP144" s="5">
        <f t="shared" si="16"/>
        <v>9.1019361819555638</v>
      </c>
    </row>
    <row r="145" spans="1:42">
      <c r="A145" s="15">
        <v>140</v>
      </c>
      <c r="B145" s="20" t="s">
        <v>1062</v>
      </c>
      <c r="C145" s="20">
        <v>300</v>
      </c>
      <c r="D145" s="15">
        <v>300</v>
      </c>
      <c r="E145" s="15">
        <v>300</v>
      </c>
      <c r="F145" s="15">
        <v>19</v>
      </c>
      <c r="G145" s="15">
        <v>19</v>
      </c>
      <c r="H145" s="15">
        <v>11</v>
      </c>
      <c r="I145" s="15">
        <v>27</v>
      </c>
      <c r="J145" s="15">
        <v>27</v>
      </c>
      <c r="K145" s="15">
        <v>8735.2455499336993</v>
      </c>
      <c r="L145" s="15">
        <v>14491.000000000002</v>
      </c>
      <c r="M145" s="15"/>
      <c r="N145" s="15"/>
      <c r="O145" s="15"/>
      <c r="P145" s="15">
        <v>245377887.58333334</v>
      </c>
      <c r="Q145" s="15"/>
      <c r="R145" s="15"/>
      <c r="S145" s="15">
        <v>1013.499493123717</v>
      </c>
      <c r="T145" s="15">
        <v>460</v>
      </c>
      <c r="U145" s="15">
        <v>210000</v>
      </c>
      <c r="V145" s="15">
        <f t="shared" si="17"/>
        <v>6.5770728502834137</v>
      </c>
      <c r="W145" s="15">
        <v>5.03803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1158</v>
      </c>
      <c r="AF145" s="22" t="s">
        <v>5</v>
      </c>
      <c r="AG145" s="17">
        <f t="shared" si="18"/>
        <v>5106.0408513420798</v>
      </c>
      <c r="AH145" s="17">
        <v>1661.0371068878442</v>
      </c>
      <c r="AI145" s="62">
        <v>6.5762860030542569</v>
      </c>
      <c r="AJ145" s="17">
        <f t="shared" si="19"/>
        <v>1.0000598228007263</v>
      </c>
      <c r="AK145" s="15">
        <f t="shared" si="20"/>
        <v>0.76599881355775246</v>
      </c>
      <c r="AL145" s="5">
        <v>1.7927999999999999</v>
      </c>
      <c r="AO145" s="5">
        <f t="shared" si="21"/>
        <v>1</v>
      </c>
      <c r="AP145" s="5">
        <f t="shared" si="16"/>
        <v>6.5762860030542569</v>
      </c>
    </row>
    <row r="146" spans="1:42">
      <c r="A146" s="15">
        <v>141</v>
      </c>
      <c r="B146" s="20" t="s">
        <v>1063</v>
      </c>
      <c r="C146" s="20">
        <v>300</v>
      </c>
      <c r="D146" s="15">
        <v>300</v>
      </c>
      <c r="E146" s="15">
        <v>300</v>
      </c>
      <c r="F146" s="15">
        <v>19</v>
      </c>
      <c r="G146" s="15">
        <v>19</v>
      </c>
      <c r="H146" s="15">
        <v>11</v>
      </c>
      <c r="I146" s="15">
        <v>27</v>
      </c>
      <c r="J146" s="15">
        <v>27</v>
      </c>
      <c r="K146" s="15">
        <v>11617.87658141182</v>
      </c>
      <c r="L146" s="15">
        <v>14491.000000000002</v>
      </c>
      <c r="M146" s="15"/>
      <c r="N146" s="15"/>
      <c r="O146" s="15"/>
      <c r="P146" s="15">
        <v>245377887.58333334</v>
      </c>
      <c r="Q146" s="15"/>
      <c r="R146" s="15"/>
      <c r="S146" s="15">
        <v>706.51301022583732</v>
      </c>
      <c r="T146" s="15">
        <v>460</v>
      </c>
      <c r="U146" s="15">
        <v>210000</v>
      </c>
      <c r="V146" s="15">
        <f t="shared" si="17"/>
        <v>9.4348722578643738</v>
      </c>
      <c r="W146" s="15">
        <v>4.8735400000000002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1159</v>
      </c>
      <c r="AF146" s="22" t="s">
        <v>5</v>
      </c>
      <c r="AG146" s="17">
        <f t="shared" si="18"/>
        <v>3443.2194158560274</v>
      </c>
      <c r="AH146" s="17">
        <v>1157.9130867319466</v>
      </c>
      <c r="AI146" s="62">
        <v>5.3331129618327866</v>
      </c>
      <c r="AJ146" s="17">
        <f t="shared" si="19"/>
        <v>1.3300795643249661</v>
      </c>
      <c r="AK146" s="15">
        <f t="shared" si="20"/>
        <v>0.51654541437354318</v>
      </c>
      <c r="AL146" s="5">
        <v>1.7927999999999999</v>
      </c>
      <c r="AO146" s="5">
        <f t="shared" si="21"/>
        <v>1</v>
      </c>
      <c r="AP146" s="5">
        <f t="shared" si="16"/>
        <v>5.3331129618327866</v>
      </c>
    </row>
    <row r="147" spans="1:42">
      <c r="A147" s="15">
        <v>142</v>
      </c>
      <c r="B147" s="20" t="s">
        <v>1064</v>
      </c>
      <c r="C147" s="20">
        <v>300</v>
      </c>
      <c r="D147" s="15">
        <v>300</v>
      </c>
      <c r="E147" s="15">
        <v>300</v>
      </c>
      <c r="F147" s="15">
        <v>19</v>
      </c>
      <c r="G147" s="15">
        <v>19</v>
      </c>
      <c r="H147" s="15">
        <v>11</v>
      </c>
      <c r="I147" s="15">
        <v>27</v>
      </c>
      <c r="J147" s="15">
        <v>27</v>
      </c>
      <c r="K147" s="15">
        <v>14587.860068389276</v>
      </c>
      <c r="L147" s="15">
        <v>14491.000000000002</v>
      </c>
      <c r="M147" s="15"/>
      <c r="N147" s="15"/>
      <c r="O147" s="15"/>
      <c r="P147" s="15">
        <v>245377887.58333334</v>
      </c>
      <c r="Q147" s="15"/>
      <c r="R147" s="15"/>
      <c r="S147" s="15">
        <v>497.98690040937828</v>
      </c>
      <c r="T147" s="15">
        <v>460</v>
      </c>
      <c r="U147" s="15">
        <v>210000</v>
      </c>
      <c r="V147" s="15">
        <f t="shared" si="17"/>
        <v>13.385613144683568</v>
      </c>
      <c r="W147" s="15">
        <v>4.6097200000000003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1160</v>
      </c>
      <c r="AF147" s="22" t="s">
        <v>5</v>
      </c>
      <c r="AG147" s="17">
        <f t="shared" si="18"/>
        <v>2295.5801745551194</v>
      </c>
      <c r="AH147" s="17">
        <v>816.15701432133437</v>
      </c>
      <c r="AI147" s="62">
        <v>4.7990289213125576</v>
      </c>
      <c r="AJ147" s="17">
        <f t="shared" si="19"/>
        <v>1.6700999040772129</v>
      </c>
      <c r="AK147" s="15">
        <f t="shared" si="20"/>
        <v>0.34437869600548454</v>
      </c>
      <c r="AL147" s="5">
        <v>1.7927999999999999</v>
      </c>
      <c r="AO147" s="5">
        <f t="shared" si="21"/>
        <v>1</v>
      </c>
      <c r="AP147" s="5">
        <f t="shared" si="16"/>
        <v>4.7990289213125576</v>
      </c>
    </row>
    <row r="148" spans="1:42">
      <c r="A148" s="15">
        <v>143</v>
      </c>
      <c r="B148" s="20" t="s">
        <v>1065</v>
      </c>
      <c r="C148" s="20">
        <v>300</v>
      </c>
      <c r="D148" s="15">
        <v>300</v>
      </c>
      <c r="E148" s="15">
        <v>300</v>
      </c>
      <c r="F148" s="15">
        <v>19</v>
      </c>
      <c r="G148" s="15">
        <v>19</v>
      </c>
      <c r="H148" s="15">
        <v>11</v>
      </c>
      <c r="I148" s="15">
        <v>27</v>
      </c>
      <c r="J148" s="15">
        <v>27</v>
      </c>
      <c r="K148" s="15">
        <v>17470.491099867399</v>
      </c>
      <c r="L148" s="15">
        <v>14491.000000000002</v>
      </c>
      <c r="M148" s="15"/>
      <c r="N148" s="15"/>
      <c r="O148" s="15"/>
      <c r="P148" s="15">
        <v>245377887.58333334</v>
      </c>
      <c r="Q148" s="15"/>
      <c r="R148" s="15"/>
      <c r="S148" s="15">
        <v>368.2489854919296</v>
      </c>
      <c r="T148" s="15">
        <v>460</v>
      </c>
      <c r="U148" s="15">
        <v>210000</v>
      </c>
      <c r="V148" s="15">
        <f t="shared" si="17"/>
        <v>18.101502686002885</v>
      </c>
      <c r="W148" s="15">
        <v>4.3551900000000003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1161</v>
      </c>
      <c r="AF148" s="22" t="s">
        <v>5</v>
      </c>
      <c r="AG148" s="17">
        <f t="shared" si="18"/>
        <v>1603.794299124597</v>
      </c>
      <c r="AH148" s="17">
        <v>603.5279086234649</v>
      </c>
      <c r="AI148" s="62">
        <v>4.5248342787886333</v>
      </c>
      <c r="AJ148" s="17">
        <f t="shared" si="19"/>
        <v>2.0001196456014525</v>
      </c>
      <c r="AK148" s="15">
        <f t="shared" si="20"/>
        <v>0.24059825725781772</v>
      </c>
      <c r="AL148" s="5">
        <v>1.7927999999999999</v>
      </c>
      <c r="AO148" s="5">
        <f t="shared" si="21"/>
        <v>1</v>
      </c>
      <c r="AP148" s="5">
        <f t="shared" si="16"/>
        <v>4.5248342787886333</v>
      </c>
    </row>
    <row r="149" spans="1:42">
      <c r="A149" s="15">
        <v>144</v>
      </c>
      <c r="B149" s="20" t="s">
        <v>1066</v>
      </c>
      <c r="C149" s="20">
        <v>300</v>
      </c>
      <c r="D149" s="15">
        <v>300</v>
      </c>
      <c r="E149" s="15">
        <v>300</v>
      </c>
      <c r="F149" s="15">
        <v>19</v>
      </c>
      <c r="G149" s="15">
        <v>19</v>
      </c>
      <c r="H149" s="15">
        <v>11</v>
      </c>
      <c r="I149" s="15">
        <v>27</v>
      </c>
      <c r="J149" s="15">
        <v>27</v>
      </c>
      <c r="K149" s="15">
        <v>21838.113874834246</v>
      </c>
      <c r="L149" s="15">
        <v>14491.000000000002</v>
      </c>
      <c r="M149" s="15"/>
      <c r="N149" s="15"/>
      <c r="O149" s="15"/>
      <c r="P149" s="15">
        <v>245377887.58333334</v>
      </c>
      <c r="Q149" s="15"/>
      <c r="R149" s="15"/>
      <c r="S149" s="15">
        <v>248.64772763307391</v>
      </c>
      <c r="T149" s="15">
        <v>460</v>
      </c>
      <c r="U149" s="15">
        <v>210000</v>
      </c>
      <c r="V149" s="15">
        <f t="shared" si="17"/>
        <v>26.80844930075822</v>
      </c>
      <c r="W149" s="15">
        <v>4.1365499999999997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1162</v>
      </c>
      <c r="AF149" s="22" t="s">
        <v>5</v>
      </c>
      <c r="AG149" s="17">
        <f t="shared" si="18"/>
        <v>1028.5437577405919</v>
      </c>
      <c r="AH149" s="17">
        <v>407.5118980759683</v>
      </c>
      <c r="AI149" s="62">
        <v>4.288838732082926</v>
      </c>
      <c r="AJ149" s="17">
        <f t="shared" si="19"/>
        <v>2.5001495570018153</v>
      </c>
      <c r="AK149" s="15">
        <f t="shared" si="20"/>
        <v>0.15430023398940149</v>
      </c>
      <c r="AL149" s="5">
        <v>1.7927999999999999</v>
      </c>
      <c r="AO149" s="5">
        <f t="shared" si="21"/>
        <v>1</v>
      </c>
      <c r="AP149" s="5">
        <f t="shared" si="16"/>
        <v>4.288838732082926</v>
      </c>
    </row>
    <row r="150" spans="1:42">
      <c r="A150" s="15">
        <v>145</v>
      </c>
      <c r="B150" s="20" t="s">
        <v>1067</v>
      </c>
      <c r="C150" s="20">
        <v>300</v>
      </c>
      <c r="D150" s="15">
        <v>300</v>
      </c>
      <c r="E150" s="15">
        <v>340</v>
      </c>
      <c r="F150" s="15">
        <v>21.5</v>
      </c>
      <c r="G150" s="15">
        <v>21.5</v>
      </c>
      <c r="H150" s="15">
        <v>12</v>
      </c>
      <c r="I150" s="15">
        <v>27</v>
      </c>
      <c r="J150" s="15">
        <v>27</v>
      </c>
      <c r="K150" s="15">
        <v>2952.1707822958961</v>
      </c>
      <c r="L150" s="15">
        <v>16722</v>
      </c>
      <c r="M150" s="15"/>
      <c r="N150" s="15"/>
      <c r="O150" s="15"/>
      <c r="P150" s="15">
        <v>359460612.875</v>
      </c>
      <c r="Q150" s="15"/>
      <c r="R150" s="15"/>
      <c r="S150" s="15">
        <v>2053.8039642920603</v>
      </c>
      <c r="T150" s="15">
        <v>460</v>
      </c>
      <c r="U150" s="15">
        <v>210000</v>
      </c>
      <c r="V150" s="15">
        <f t="shared" si="17"/>
        <v>3.7453039013153573</v>
      </c>
      <c r="W150" s="15">
        <v>3.907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1163</v>
      </c>
      <c r="AF150" s="22" t="s">
        <v>5</v>
      </c>
      <c r="AG150" s="17">
        <f t="shared" si="18"/>
        <v>8024.2120884890801</v>
      </c>
      <c r="AH150" s="17">
        <v>8981.4590297570321</v>
      </c>
      <c r="AI150" s="62">
        <v>41.622523517234249</v>
      </c>
      <c r="AJ150" s="17">
        <f t="shared" si="19"/>
        <v>0.29997103931219965</v>
      </c>
      <c r="AK150" s="15">
        <f t="shared" si="20"/>
        <v>1.0431730249253885</v>
      </c>
      <c r="AL150" s="56">
        <v>29.24</v>
      </c>
      <c r="AO150" s="5">
        <f t="shared" si="21"/>
        <v>1.1333333333333333</v>
      </c>
      <c r="AP150" s="5">
        <f t="shared" si="16"/>
        <v>41.622523517234249</v>
      </c>
    </row>
    <row r="151" spans="1:42">
      <c r="A151" s="15">
        <v>146</v>
      </c>
      <c r="B151" s="20" t="s">
        <v>1068</v>
      </c>
      <c r="C151" s="20">
        <v>300</v>
      </c>
      <c r="D151" s="15">
        <v>300</v>
      </c>
      <c r="E151" s="15">
        <v>340</v>
      </c>
      <c r="F151" s="15">
        <v>21.5</v>
      </c>
      <c r="G151" s="15">
        <v>21.5</v>
      </c>
      <c r="H151" s="15">
        <v>12</v>
      </c>
      <c r="I151" s="15">
        <v>27</v>
      </c>
      <c r="J151" s="15">
        <v>27</v>
      </c>
      <c r="K151" s="15">
        <v>4920.2846371598262</v>
      </c>
      <c r="L151" s="15">
        <v>16722</v>
      </c>
      <c r="M151" s="15"/>
      <c r="N151" s="15"/>
      <c r="O151" s="15"/>
      <c r="P151" s="15">
        <v>359460612.875</v>
      </c>
      <c r="Q151" s="15"/>
      <c r="R151" s="15"/>
      <c r="S151" s="15">
        <v>1824.0977109210894</v>
      </c>
      <c r="T151" s="15">
        <v>460</v>
      </c>
      <c r="U151" s="15">
        <v>210000</v>
      </c>
      <c r="V151" s="15">
        <f t="shared" si="17"/>
        <v>4.2169451526342945</v>
      </c>
      <c r="W151" s="15">
        <v>4.2542999999999997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1164</v>
      </c>
      <c r="AF151" s="22" t="s">
        <v>5</v>
      </c>
      <c r="AG151" s="17">
        <f t="shared" si="18"/>
        <v>7760.2588915715905</v>
      </c>
      <c r="AH151" s="17">
        <v>7976.9340899867948</v>
      </c>
      <c r="AI151" s="62">
        <v>16.871037765697842</v>
      </c>
      <c r="AJ151" s="17">
        <f t="shared" si="19"/>
        <v>0.49995173218699929</v>
      </c>
      <c r="AK151" s="15">
        <f t="shared" si="20"/>
        <v>1.0088582720461445</v>
      </c>
      <c r="AL151" s="5">
        <v>29.24</v>
      </c>
      <c r="AO151" s="5">
        <f t="shared" si="21"/>
        <v>1.1333333333333333</v>
      </c>
      <c r="AP151" s="5">
        <f t="shared" si="16"/>
        <v>16.871037765697842</v>
      </c>
    </row>
    <row r="152" spans="1:42">
      <c r="A152" s="15">
        <v>147</v>
      </c>
      <c r="B152" s="20" t="s">
        <v>1069</v>
      </c>
      <c r="C152" s="20">
        <v>300</v>
      </c>
      <c r="D152" s="15">
        <v>300</v>
      </c>
      <c r="E152" s="15">
        <v>340</v>
      </c>
      <c r="F152" s="15">
        <v>21.5</v>
      </c>
      <c r="G152" s="15">
        <v>21.5</v>
      </c>
      <c r="H152" s="15">
        <v>12</v>
      </c>
      <c r="I152" s="15">
        <v>27</v>
      </c>
      <c r="J152" s="15">
        <v>27</v>
      </c>
      <c r="K152" s="15">
        <v>7380.4269557397402</v>
      </c>
      <c r="L152" s="15">
        <v>16722.000000000004</v>
      </c>
      <c r="M152" s="15"/>
      <c r="N152" s="15"/>
      <c r="O152" s="15"/>
      <c r="P152" s="15">
        <v>359460612.87499994</v>
      </c>
      <c r="Q152" s="15"/>
      <c r="R152" s="15"/>
      <c r="S152" s="15">
        <v>1500.7012491105147</v>
      </c>
      <c r="T152" s="15">
        <v>460</v>
      </c>
      <c r="U152" s="15">
        <v>210000</v>
      </c>
      <c r="V152" s="15">
        <f t="shared" si="17"/>
        <v>5.1256837458882787</v>
      </c>
      <c r="W152" s="15">
        <v>4.7446900000000003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1165</v>
      </c>
      <c r="AF152" s="22" t="s">
        <v>5</v>
      </c>
      <c r="AG152" s="17">
        <f t="shared" si="18"/>
        <v>7120.3622096421686</v>
      </c>
      <c r="AH152" s="17">
        <v>6562.6939177894164</v>
      </c>
      <c r="AI152" s="62">
        <v>9.1140862424632996</v>
      </c>
      <c r="AJ152" s="17">
        <f t="shared" si="19"/>
        <v>0.74992759828049915</v>
      </c>
      <c r="AK152" s="15">
        <f t="shared" si="20"/>
        <v>0.92566967359351737</v>
      </c>
      <c r="AL152" s="5">
        <v>29.24</v>
      </c>
      <c r="AO152" s="5">
        <f t="shared" si="21"/>
        <v>1.1333333333333333</v>
      </c>
      <c r="AP152" s="5">
        <f t="shared" si="16"/>
        <v>9.1140862424632996</v>
      </c>
    </row>
    <row r="153" spans="1:42">
      <c r="A153" s="15">
        <v>148</v>
      </c>
      <c r="B153" s="20" t="s">
        <v>1070</v>
      </c>
      <c r="C153" s="20">
        <v>300</v>
      </c>
      <c r="D153" s="15">
        <v>300</v>
      </c>
      <c r="E153" s="15">
        <v>340</v>
      </c>
      <c r="F153" s="15">
        <v>21.5</v>
      </c>
      <c r="G153" s="15">
        <v>21.5</v>
      </c>
      <c r="H153" s="15">
        <v>12</v>
      </c>
      <c r="I153" s="15">
        <v>27</v>
      </c>
      <c r="J153" s="15">
        <v>27</v>
      </c>
      <c r="K153" s="15">
        <v>9840.5692743196523</v>
      </c>
      <c r="L153" s="15">
        <v>16722.000000000004</v>
      </c>
      <c r="M153" s="15"/>
      <c r="N153" s="15"/>
      <c r="O153" s="15"/>
      <c r="P153" s="15">
        <v>359460612.87499994</v>
      </c>
      <c r="Q153" s="15"/>
      <c r="R153" s="15"/>
      <c r="S153" s="15">
        <v>1168.341664668035</v>
      </c>
      <c r="T153" s="15">
        <v>460</v>
      </c>
      <c r="U153" s="15">
        <v>210000</v>
      </c>
      <c r="V153" s="15">
        <f t="shared" si="17"/>
        <v>6.5837932794989307</v>
      </c>
      <c r="W153" s="15">
        <v>4.9994100000000001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1166</v>
      </c>
      <c r="AF153" s="22" t="s">
        <v>5</v>
      </c>
      <c r="AG153" s="17">
        <f t="shared" si="18"/>
        <v>5841.0190017580207</v>
      </c>
      <c r="AH153" s="17">
        <v>5109.2572496767662</v>
      </c>
      <c r="AI153" s="62">
        <v>6.5850646047996415</v>
      </c>
      <c r="AJ153" s="17">
        <f t="shared" si="19"/>
        <v>0.9999034643739988</v>
      </c>
      <c r="AK153" s="15">
        <f t="shared" si="20"/>
        <v>0.75935099839290332</v>
      </c>
      <c r="AL153" s="5">
        <v>29.24</v>
      </c>
      <c r="AO153" s="5">
        <f t="shared" si="21"/>
        <v>1.1333333333333333</v>
      </c>
      <c r="AP153" s="5">
        <f t="shared" si="16"/>
        <v>6.5850646047996415</v>
      </c>
    </row>
    <row r="154" spans="1:42">
      <c r="A154" s="15">
        <v>149</v>
      </c>
      <c r="B154" s="20" t="s">
        <v>1071</v>
      </c>
      <c r="C154" s="20">
        <v>300</v>
      </c>
      <c r="D154" s="15">
        <v>300</v>
      </c>
      <c r="E154" s="15">
        <v>340</v>
      </c>
      <c r="F154" s="15">
        <v>21.5</v>
      </c>
      <c r="G154" s="15">
        <v>21.5</v>
      </c>
      <c r="H154" s="15">
        <v>12</v>
      </c>
      <c r="I154" s="15">
        <v>27</v>
      </c>
      <c r="J154" s="15">
        <v>27</v>
      </c>
      <c r="K154" s="15">
        <v>13087.957134845139</v>
      </c>
      <c r="L154" s="15">
        <v>16722.000000000004</v>
      </c>
      <c r="M154" s="15"/>
      <c r="N154" s="15"/>
      <c r="O154" s="15"/>
      <c r="P154" s="15">
        <v>359460612.87499994</v>
      </c>
      <c r="Q154" s="15"/>
      <c r="R154" s="15"/>
      <c r="S154" s="15">
        <v>814.45387203180132</v>
      </c>
      <c r="T154" s="15">
        <v>460</v>
      </c>
      <c r="U154" s="15">
        <v>210000</v>
      </c>
      <c r="V154" s="15">
        <f t="shared" si="17"/>
        <v>9.4445127761632808</v>
      </c>
      <c r="W154" s="15">
        <v>4.8396499999999998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1167</v>
      </c>
      <c r="AF154" s="22" t="s">
        <v>5</v>
      </c>
      <c r="AG154" s="17">
        <f t="shared" si="18"/>
        <v>3941.6716817787069</v>
      </c>
      <c r="AH154" s="17">
        <v>3561.6759001641408</v>
      </c>
      <c r="AI154" s="62">
        <v>5.3402320674698176</v>
      </c>
      <c r="AJ154" s="17">
        <f t="shared" si="19"/>
        <v>1.3298716076174184</v>
      </c>
      <c r="AK154" s="15">
        <f t="shared" si="20"/>
        <v>0.51242982191888664</v>
      </c>
      <c r="AL154" s="5">
        <v>29.24</v>
      </c>
      <c r="AO154" s="5">
        <f t="shared" si="21"/>
        <v>1.1333333333333333</v>
      </c>
      <c r="AP154" s="5">
        <f t="shared" si="16"/>
        <v>5.3402320674698176</v>
      </c>
    </row>
    <row r="155" spans="1:42">
      <c r="A155" s="15">
        <v>150</v>
      </c>
      <c r="B155" s="20" t="s">
        <v>1072</v>
      </c>
      <c r="C155" s="20">
        <v>300</v>
      </c>
      <c r="D155" s="15">
        <v>300</v>
      </c>
      <c r="E155" s="15">
        <v>340</v>
      </c>
      <c r="F155" s="15">
        <v>21.5</v>
      </c>
      <c r="G155" s="15">
        <v>21.5</v>
      </c>
      <c r="H155" s="15">
        <v>12</v>
      </c>
      <c r="I155" s="15">
        <v>27</v>
      </c>
      <c r="J155" s="15">
        <v>27</v>
      </c>
      <c r="K155" s="15">
        <v>16433.750688113818</v>
      </c>
      <c r="L155" s="15">
        <v>16722.000000000004</v>
      </c>
      <c r="M155" s="15"/>
      <c r="N155" s="15"/>
      <c r="O155" s="15"/>
      <c r="P155" s="15">
        <v>359460612.87499994</v>
      </c>
      <c r="Q155" s="15"/>
      <c r="R155" s="15"/>
      <c r="S155" s="15">
        <v>574.06920097605393</v>
      </c>
      <c r="T155" s="15">
        <v>460</v>
      </c>
      <c r="U155" s="15">
        <v>210000</v>
      </c>
      <c r="V155" s="15">
        <f t="shared" si="17"/>
        <v>13.3992905157106</v>
      </c>
      <c r="W155" s="15">
        <v>4.5817399999999999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1168</v>
      </c>
      <c r="AF155" s="22" t="s">
        <v>5</v>
      </c>
      <c r="AG155" s="17">
        <f t="shared" si="18"/>
        <v>2630.2358208800251</v>
      </c>
      <c r="AH155" s="17">
        <v>2510.4533336457143</v>
      </c>
      <c r="AI155" s="62">
        <v>4.8054350848591598</v>
      </c>
      <c r="AJ155" s="17">
        <f t="shared" si="19"/>
        <v>1.669838785504578</v>
      </c>
      <c r="AK155" s="15">
        <f t="shared" si="20"/>
        <v>0.34193900002600386</v>
      </c>
      <c r="AL155" s="5">
        <v>29.24</v>
      </c>
      <c r="AO155" s="5">
        <f t="shared" si="21"/>
        <v>1.1333333333333333</v>
      </c>
      <c r="AP155" s="5">
        <f t="shared" si="16"/>
        <v>4.8054350848591598</v>
      </c>
    </row>
    <row r="156" spans="1:42">
      <c r="A156" s="15">
        <v>151</v>
      </c>
      <c r="B156" s="20" t="s">
        <v>1073</v>
      </c>
      <c r="C156" s="20">
        <v>300</v>
      </c>
      <c r="D156" s="15">
        <v>300</v>
      </c>
      <c r="E156" s="15">
        <v>340</v>
      </c>
      <c r="F156" s="15">
        <v>21.5</v>
      </c>
      <c r="G156" s="15">
        <v>21.5</v>
      </c>
      <c r="H156" s="15">
        <v>12</v>
      </c>
      <c r="I156" s="15">
        <v>27</v>
      </c>
      <c r="J156" s="15">
        <v>27</v>
      </c>
      <c r="K156" s="15">
        <v>19681.138548639305</v>
      </c>
      <c r="L156" s="15">
        <v>16722.000000000004</v>
      </c>
      <c r="M156" s="15"/>
      <c r="N156" s="15"/>
      <c r="O156" s="15"/>
      <c r="P156" s="15">
        <v>359460612.87499994</v>
      </c>
      <c r="Q156" s="15"/>
      <c r="R156" s="15"/>
      <c r="S156" s="15">
        <v>424.50996339022066</v>
      </c>
      <c r="T156" s="15">
        <v>460</v>
      </c>
      <c r="U156" s="15">
        <v>210000</v>
      </c>
      <c r="V156" s="15">
        <f t="shared" si="17"/>
        <v>18.11999873588174</v>
      </c>
      <c r="W156" s="15">
        <v>4.3288200000000003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1169</v>
      </c>
      <c r="AF156" s="22" t="s">
        <v>5</v>
      </c>
      <c r="AG156" s="17">
        <f t="shared" si="18"/>
        <v>1837.6272197228552</v>
      </c>
      <c r="AH156" s="17">
        <v>1856.4180954958663</v>
      </c>
      <c r="AI156" s="62">
        <v>4.5308744233442209</v>
      </c>
      <c r="AJ156" s="17">
        <f t="shared" si="19"/>
        <v>1.9998069287479976</v>
      </c>
      <c r="AK156" s="15">
        <f t="shared" si="20"/>
        <v>0.23889736765974201</v>
      </c>
      <c r="AL156" s="5">
        <v>29.24</v>
      </c>
      <c r="AO156" s="5">
        <f t="shared" si="21"/>
        <v>1.1333333333333333</v>
      </c>
      <c r="AP156" s="5">
        <f t="shared" si="16"/>
        <v>4.5308744233442209</v>
      </c>
    </row>
    <row r="157" spans="1:42">
      <c r="A157" s="15">
        <v>152</v>
      </c>
      <c r="B157" s="20" t="s">
        <v>1074</v>
      </c>
      <c r="C157" s="20">
        <v>300</v>
      </c>
      <c r="D157" s="15">
        <v>300</v>
      </c>
      <c r="E157" s="15">
        <v>340</v>
      </c>
      <c r="F157" s="15">
        <v>21.5</v>
      </c>
      <c r="G157" s="15">
        <v>21.5</v>
      </c>
      <c r="H157" s="15">
        <v>12</v>
      </c>
      <c r="I157" s="15">
        <v>27</v>
      </c>
      <c r="J157" s="15">
        <v>27</v>
      </c>
      <c r="K157" s="15">
        <v>24601.423185799133</v>
      </c>
      <c r="L157" s="15">
        <v>16722.000000000004</v>
      </c>
      <c r="M157" s="15"/>
      <c r="N157" s="15"/>
      <c r="O157" s="15"/>
      <c r="P157" s="15">
        <v>359460612.87499994</v>
      </c>
      <c r="Q157" s="15"/>
      <c r="R157" s="15"/>
      <c r="S157" s="15">
        <v>286.63605851777965</v>
      </c>
      <c r="T157" s="15">
        <v>460</v>
      </c>
      <c r="U157" s="15">
        <v>210000</v>
      </c>
      <c r="V157" s="15">
        <f t="shared" si="17"/>
        <v>26.835842077150495</v>
      </c>
      <c r="W157" s="15">
        <v>4.1105099999999997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1170</v>
      </c>
      <c r="AF157" s="22" t="s">
        <v>5</v>
      </c>
      <c r="AG157" s="17">
        <f t="shared" si="18"/>
        <v>1178.2203848979184</v>
      </c>
      <c r="AH157" s="17">
        <v>1253.4838089651214</v>
      </c>
      <c r="AI157" s="62">
        <v>4.2945638491416505</v>
      </c>
      <c r="AJ157" s="17">
        <f t="shared" si="19"/>
        <v>2.4997586609349973</v>
      </c>
      <c r="AK157" s="15">
        <f t="shared" si="20"/>
        <v>0.15317238744298295</v>
      </c>
      <c r="AL157" s="5">
        <v>29.24</v>
      </c>
      <c r="AO157" s="5">
        <f t="shared" si="21"/>
        <v>1.1333333333333333</v>
      </c>
      <c r="AP157" s="5">
        <f t="shared" si="16"/>
        <v>4.2945638491416505</v>
      </c>
    </row>
    <row r="158" spans="1:42">
      <c r="A158" s="15">
        <v>153</v>
      </c>
      <c r="B158" s="20" t="s">
        <v>1075</v>
      </c>
      <c r="C158" s="20">
        <v>300</v>
      </c>
      <c r="D158" s="15">
        <v>300</v>
      </c>
      <c r="E158" s="15">
        <v>400</v>
      </c>
      <c r="F158" s="15">
        <v>24</v>
      </c>
      <c r="G158" s="15">
        <v>24</v>
      </c>
      <c r="H158" s="15">
        <v>13.5</v>
      </c>
      <c r="I158" s="15">
        <v>27</v>
      </c>
      <c r="J158" s="15">
        <v>27</v>
      </c>
      <c r="K158" s="15">
        <v>3439.4446068300226</v>
      </c>
      <c r="L158" s="15">
        <v>19476.000000000004</v>
      </c>
      <c r="M158" s="15"/>
      <c r="N158" s="15"/>
      <c r="O158" s="15"/>
      <c r="P158" s="15">
        <v>568755647.99999988</v>
      </c>
      <c r="Q158" s="15"/>
      <c r="R158" s="15"/>
      <c r="S158" s="15">
        <v>2389.1188972377022</v>
      </c>
      <c r="T158" s="15">
        <v>460</v>
      </c>
      <c r="U158" s="15">
        <v>210000</v>
      </c>
      <c r="V158" s="15">
        <f t="shared" si="17"/>
        <v>3.7499012754695236</v>
      </c>
      <c r="W158" s="15">
        <v>3.8643100000000001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1171</v>
      </c>
      <c r="AF158" s="22" t="s">
        <v>5</v>
      </c>
      <c r="AG158" s="17">
        <f t="shared" si="18"/>
        <v>9232.2960457846257</v>
      </c>
      <c r="AH158" s="17">
        <v>6235.6352504292518</v>
      </c>
      <c r="AI158" s="62">
        <v>41.709055970235177</v>
      </c>
      <c r="AJ158" s="17">
        <f t="shared" si="19"/>
        <v>0.2998435678446128</v>
      </c>
      <c r="AK158" s="15">
        <f t="shared" si="20"/>
        <v>1.0305097964255476</v>
      </c>
      <c r="AL158" s="56">
        <v>14.43</v>
      </c>
      <c r="AO158" s="5">
        <f t="shared" si="21"/>
        <v>1.3333333333333333</v>
      </c>
      <c r="AP158" s="5">
        <f t="shared" si="16"/>
        <v>41.709055970235177</v>
      </c>
    </row>
    <row r="159" spans="1:42">
      <c r="A159" s="15">
        <v>154</v>
      </c>
      <c r="B159" s="20" t="s">
        <v>1076</v>
      </c>
      <c r="C159" s="20">
        <v>300</v>
      </c>
      <c r="D159" s="15">
        <v>300</v>
      </c>
      <c r="E159" s="15">
        <v>400</v>
      </c>
      <c r="F159" s="15">
        <v>24</v>
      </c>
      <c r="G159" s="15">
        <v>24</v>
      </c>
      <c r="H159" s="15">
        <v>13.5</v>
      </c>
      <c r="I159" s="15">
        <v>27</v>
      </c>
      <c r="J159" s="15">
        <v>27</v>
      </c>
      <c r="K159" s="15">
        <v>5732.4076780500382</v>
      </c>
      <c r="L159" s="15">
        <v>19476.000000000004</v>
      </c>
      <c r="M159" s="15"/>
      <c r="N159" s="15"/>
      <c r="O159" s="15"/>
      <c r="P159" s="15">
        <v>568755647.99999988</v>
      </c>
      <c r="Q159" s="15"/>
      <c r="R159" s="15"/>
      <c r="S159" s="15">
        <v>2121.9095820918797</v>
      </c>
      <c r="T159" s="15">
        <v>460</v>
      </c>
      <c r="U159" s="15">
        <v>210000</v>
      </c>
      <c r="V159" s="15">
        <f t="shared" si="17"/>
        <v>4.2221214681390107</v>
      </c>
      <c r="W159" s="15">
        <v>4.2228000000000003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1172</v>
      </c>
      <c r="AF159" s="22" t="s">
        <v>5</v>
      </c>
      <c r="AG159" s="17">
        <f t="shared" si="18"/>
        <v>8960.3997832575897</v>
      </c>
      <c r="AH159" s="17">
        <v>5538.2150313297197</v>
      </c>
      <c r="AI159" s="62">
        <v>16.906112339730626</v>
      </c>
      <c r="AJ159" s="17">
        <f t="shared" si="19"/>
        <v>0.49973927974102145</v>
      </c>
      <c r="AK159" s="15">
        <f t="shared" si="20"/>
        <v>1.0001607087494071</v>
      </c>
      <c r="AL159" s="5">
        <v>14.43</v>
      </c>
      <c r="AO159" s="5">
        <f t="shared" si="21"/>
        <v>1.3333333333333333</v>
      </c>
      <c r="AP159" s="5">
        <f t="shared" si="16"/>
        <v>16.906112339730626</v>
      </c>
    </row>
    <row r="160" spans="1:42">
      <c r="A160" s="15">
        <v>155</v>
      </c>
      <c r="B160" s="20" t="s">
        <v>1077</v>
      </c>
      <c r="C160" s="20">
        <v>300</v>
      </c>
      <c r="D160" s="15">
        <v>300</v>
      </c>
      <c r="E160" s="15">
        <v>400</v>
      </c>
      <c r="F160" s="15">
        <v>24</v>
      </c>
      <c r="G160" s="15">
        <v>24</v>
      </c>
      <c r="H160" s="15">
        <v>13.5</v>
      </c>
      <c r="I160" s="15">
        <v>27</v>
      </c>
      <c r="J160" s="15">
        <v>27</v>
      </c>
      <c r="K160" s="15">
        <v>8598.6115170750563</v>
      </c>
      <c r="L160" s="15">
        <v>19476</v>
      </c>
      <c r="M160" s="15"/>
      <c r="N160" s="15"/>
      <c r="O160" s="15"/>
      <c r="P160" s="15">
        <v>568755648</v>
      </c>
      <c r="Q160" s="15"/>
      <c r="R160" s="15"/>
      <c r="S160" s="15">
        <v>1745.7136979448849</v>
      </c>
      <c r="T160" s="15">
        <v>460</v>
      </c>
      <c r="U160" s="15">
        <v>210000</v>
      </c>
      <c r="V160" s="15">
        <f t="shared" si="17"/>
        <v>5.1319755413197479</v>
      </c>
      <c r="W160" s="15">
        <v>4.7451699999999999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1173</v>
      </c>
      <c r="AF160" s="22" t="s">
        <v>5</v>
      </c>
      <c r="AG160" s="17">
        <f t="shared" si="18"/>
        <v>8283.7082680771291</v>
      </c>
      <c r="AH160" s="17">
        <v>4556.3382737662359</v>
      </c>
      <c r="AI160" s="62">
        <v>9.133034258411822</v>
      </c>
      <c r="AJ160" s="17">
        <f t="shared" si="19"/>
        <v>0.74960891961153187</v>
      </c>
      <c r="AK160" s="15">
        <f t="shared" si="20"/>
        <v>0.92462833499392005</v>
      </c>
      <c r="AL160" s="5">
        <v>14.43</v>
      </c>
      <c r="AO160" s="5">
        <f t="shared" si="21"/>
        <v>1.3333333333333333</v>
      </c>
      <c r="AP160" s="5">
        <f t="shared" si="16"/>
        <v>9.133034258411822</v>
      </c>
    </row>
    <row r="161" spans="1:42">
      <c r="A161" s="15">
        <v>156</v>
      </c>
      <c r="B161" s="20" t="s">
        <v>1078</v>
      </c>
      <c r="C161" s="20">
        <v>300</v>
      </c>
      <c r="D161" s="15">
        <v>300</v>
      </c>
      <c r="E161" s="15">
        <v>400</v>
      </c>
      <c r="F161" s="15">
        <v>24</v>
      </c>
      <c r="G161" s="15">
        <v>24</v>
      </c>
      <c r="H161" s="15">
        <v>13.5</v>
      </c>
      <c r="I161" s="15">
        <v>27</v>
      </c>
      <c r="J161" s="15">
        <v>27</v>
      </c>
      <c r="K161" s="15">
        <v>11464.815356100076</v>
      </c>
      <c r="L161" s="15">
        <v>19476</v>
      </c>
      <c r="M161" s="15"/>
      <c r="N161" s="15"/>
      <c r="O161" s="15"/>
      <c r="P161" s="15">
        <v>568755648</v>
      </c>
      <c r="Q161" s="15"/>
      <c r="R161" s="15"/>
      <c r="S161" s="15">
        <v>1359.0913242056736</v>
      </c>
      <c r="T161" s="15">
        <v>460</v>
      </c>
      <c r="U161" s="15">
        <v>210000</v>
      </c>
      <c r="V161" s="15">
        <f t="shared" si="17"/>
        <v>6.5918749096835718</v>
      </c>
      <c r="W161" s="15">
        <v>5.0716200000000002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1174</v>
      </c>
      <c r="AF161" s="22" t="s">
        <v>5</v>
      </c>
      <c r="AG161" s="17">
        <f t="shared" si="18"/>
        <v>6892.7947416679781</v>
      </c>
      <c r="AH161" s="17">
        <v>3547.2482259330095</v>
      </c>
      <c r="AI161" s="62">
        <v>6.5987548317554108</v>
      </c>
      <c r="AJ161" s="17">
        <f t="shared" si="19"/>
        <v>0.99947855948204267</v>
      </c>
      <c r="AK161" s="15">
        <f t="shared" si="20"/>
        <v>0.76937442980747517</v>
      </c>
      <c r="AL161" s="5">
        <v>14.43</v>
      </c>
      <c r="AO161" s="5">
        <f t="shared" si="21"/>
        <v>1.3333333333333333</v>
      </c>
      <c r="AP161" s="5">
        <f t="shared" si="16"/>
        <v>6.5987548317554108</v>
      </c>
    </row>
    <row r="162" spans="1:42">
      <c r="A162" s="15">
        <v>157</v>
      </c>
      <c r="B162" s="20" t="s">
        <v>1079</v>
      </c>
      <c r="C162" s="20">
        <v>300</v>
      </c>
      <c r="D162" s="15">
        <v>300</v>
      </c>
      <c r="E162" s="15">
        <v>400</v>
      </c>
      <c r="F162" s="15">
        <v>24</v>
      </c>
      <c r="G162" s="15">
        <v>24</v>
      </c>
      <c r="H162" s="15">
        <v>13.5</v>
      </c>
      <c r="I162" s="15">
        <v>27</v>
      </c>
      <c r="J162" s="15">
        <v>27</v>
      </c>
      <c r="K162" s="15">
        <v>15248.204423613102</v>
      </c>
      <c r="L162" s="15">
        <v>19476</v>
      </c>
      <c r="M162" s="15"/>
      <c r="N162" s="15"/>
      <c r="O162" s="15"/>
      <c r="P162" s="15">
        <v>568755648</v>
      </c>
      <c r="Q162" s="15"/>
      <c r="R162" s="15"/>
      <c r="S162" s="15">
        <v>947.42593277168714</v>
      </c>
      <c r="T162" s="15">
        <v>460</v>
      </c>
      <c r="U162" s="15">
        <v>210000</v>
      </c>
      <c r="V162" s="15">
        <f t="shared" si="17"/>
        <v>9.4561059499296505</v>
      </c>
      <c r="W162" s="15">
        <v>4.8748899999999997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1175</v>
      </c>
      <c r="AF162" s="22" t="s">
        <v>5</v>
      </c>
      <c r="AG162" s="17">
        <f t="shared" si="18"/>
        <v>4618.59720540937</v>
      </c>
      <c r="AH162" s="17">
        <v>2472.7955357904307</v>
      </c>
      <c r="AI162" s="62">
        <v>5.3513343107108122</v>
      </c>
      <c r="AJ162" s="17">
        <f t="shared" si="19"/>
        <v>1.3293064841111168</v>
      </c>
      <c r="AK162" s="15">
        <f t="shared" si="20"/>
        <v>0.51552827620721264</v>
      </c>
      <c r="AL162" s="5">
        <v>14.43</v>
      </c>
      <c r="AO162" s="5">
        <f t="shared" si="21"/>
        <v>1.3333333333333333</v>
      </c>
      <c r="AP162" s="5">
        <f t="shared" si="16"/>
        <v>5.3513343107108122</v>
      </c>
    </row>
    <row r="163" spans="1:42">
      <c r="A163" s="15">
        <v>158</v>
      </c>
      <c r="B163" s="20" t="s">
        <v>1080</v>
      </c>
      <c r="C163" s="20">
        <v>300</v>
      </c>
      <c r="D163" s="15">
        <v>300</v>
      </c>
      <c r="E163" s="15">
        <v>400</v>
      </c>
      <c r="F163" s="15">
        <v>24</v>
      </c>
      <c r="G163" s="15">
        <v>24</v>
      </c>
      <c r="H163" s="15">
        <v>13.5</v>
      </c>
      <c r="I163" s="15">
        <v>27</v>
      </c>
      <c r="J163" s="15">
        <v>27</v>
      </c>
      <c r="K163" s="15">
        <v>19146.241644687125</v>
      </c>
      <c r="L163" s="15">
        <v>19476</v>
      </c>
      <c r="M163" s="15"/>
      <c r="N163" s="15"/>
      <c r="O163" s="15"/>
      <c r="P163" s="15">
        <v>568755648</v>
      </c>
      <c r="Q163" s="15"/>
      <c r="R163" s="15"/>
      <c r="S163" s="15">
        <v>667.79478480887917</v>
      </c>
      <c r="T163" s="15">
        <v>460</v>
      </c>
      <c r="U163" s="15">
        <v>210000</v>
      </c>
      <c r="V163" s="15">
        <f t="shared" si="17"/>
        <v>13.41573819352906</v>
      </c>
      <c r="W163" s="15">
        <v>4.5689900000000003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1176</v>
      </c>
      <c r="AF163" s="22" t="s">
        <v>5</v>
      </c>
      <c r="AG163" s="17">
        <f t="shared" si="18"/>
        <v>3051.1476938439209</v>
      </c>
      <c r="AH163" s="17">
        <v>1742.9541514328239</v>
      </c>
      <c r="AI163" s="62">
        <v>4.8154254951104116</v>
      </c>
      <c r="AJ163" s="17">
        <f t="shared" si="19"/>
        <v>1.6691291943350108</v>
      </c>
      <c r="AK163" s="15">
        <f t="shared" si="20"/>
        <v>0.34056940692266968</v>
      </c>
      <c r="AL163" s="5">
        <v>14.43</v>
      </c>
      <c r="AO163" s="5">
        <f t="shared" si="21"/>
        <v>1.3333333333333333</v>
      </c>
      <c r="AP163" s="5">
        <f t="shared" si="16"/>
        <v>4.8154254951104116</v>
      </c>
    </row>
    <row r="164" spans="1:42">
      <c r="A164" s="15">
        <v>159</v>
      </c>
      <c r="B164" s="20" t="s">
        <v>1081</v>
      </c>
      <c r="C164" s="20">
        <v>300</v>
      </c>
      <c r="D164" s="15">
        <v>300</v>
      </c>
      <c r="E164" s="15">
        <v>400</v>
      </c>
      <c r="F164" s="15">
        <v>24</v>
      </c>
      <c r="G164" s="15">
        <v>24</v>
      </c>
      <c r="H164" s="15">
        <v>13.5</v>
      </c>
      <c r="I164" s="15">
        <v>27</v>
      </c>
      <c r="J164" s="15">
        <v>27</v>
      </c>
      <c r="K164" s="15">
        <v>22929.630712200153</v>
      </c>
      <c r="L164" s="15">
        <v>19476</v>
      </c>
      <c r="M164" s="15"/>
      <c r="N164" s="15"/>
      <c r="O164" s="15"/>
      <c r="P164" s="15">
        <v>568755648</v>
      </c>
      <c r="Q164" s="15"/>
      <c r="R164" s="15"/>
      <c r="S164" s="15">
        <v>493.81771251515448</v>
      </c>
      <c r="T164" s="15">
        <v>460</v>
      </c>
      <c r="U164" s="15">
        <v>210000</v>
      </c>
      <c r="V164" s="15">
        <f t="shared" si="17"/>
        <v>18.142241100201652</v>
      </c>
      <c r="W164" s="15">
        <v>4.3078099999999999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1177</v>
      </c>
      <c r="AF164" s="22" t="s">
        <v>5</v>
      </c>
      <c r="AG164" s="17">
        <f t="shared" si="18"/>
        <v>2127.2728801499075</v>
      </c>
      <c r="AH164" s="17">
        <v>1288.8714492217537</v>
      </c>
      <c r="AI164" s="62">
        <v>4.5402940270818171</v>
      </c>
      <c r="AJ164" s="17">
        <f t="shared" si="19"/>
        <v>1.9989571189640853</v>
      </c>
      <c r="AK164" s="15">
        <f t="shared" si="20"/>
        <v>0.23744640897491537</v>
      </c>
      <c r="AL164" s="5">
        <v>14.43</v>
      </c>
      <c r="AO164" s="5">
        <f t="shared" si="21"/>
        <v>1.3333333333333333</v>
      </c>
      <c r="AP164" s="5">
        <f t="shared" si="16"/>
        <v>4.5402940270818171</v>
      </c>
    </row>
    <row r="165" spans="1:42">
      <c r="A165" s="15">
        <v>160</v>
      </c>
      <c r="B165" s="20" t="s">
        <v>1082</v>
      </c>
      <c r="C165" s="20">
        <v>300</v>
      </c>
      <c r="D165" s="15">
        <v>300</v>
      </c>
      <c r="E165" s="15">
        <v>400</v>
      </c>
      <c r="F165" s="15">
        <v>24</v>
      </c>
      <c r="G165" s="15">
        <v>24</v>
      </c>
      <c r="H165" s="15">
        <v>13.5</v>
      </c>
      <c r="I165" s="15">
        <v>27</v>
      </c>
      <c r="J165" s="15">
        <v>27</v>
      </c>
      <c r="K165" s="15">
        <v>28662.038390250189</v>
      </c>
      <c r="L165" s="15">
        <v>19476</v>
      </c>
      <c r="M165" s="15"/>
      <c r="N165" s="15"/>
      <c r="O165" s="15"/>
      <c r="P165" s="15">
        <v>568755648</v>
      </c>
      <c r="Q165" s="15"/>
      <c r="R165" s="15"/>
      <c r="S165" s="15">
        <v>333.43378235741721</v>
      </c>
      <c r="T165" s="15">
        <v>460</v>
      </c>
      <c r="U165" s="15">
        <v>210000</v>
      </c>
      <c r="V165" s="15">
        <f t="shared" si="17"/>
        <v>26.868783170856499</v>
      </c>
      <c r="W165" s="15">
        <v>4.0891099999999998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1178</v>
      </c>
      <c r="AF165" s="22" t="s">
        <v>5</v>
      </c>
      <c r="AG165" s="17">
        <f t="shared" si="18"/>
        <v>1363.4474137755383</v>
      </c>
      <c r="AH165" s="17">
        <v>870.26704671575874</v>
      </c>
      <c r="AI165" s="62">
        <v>4.3034921675863842</v>
      </c>
      <c r="AJ165" s="17">
        <f t="shared" si="19"/>
        <v>2.4986963987051061</v>
      </c>
      <c r="AK165" s="15">
        <f t="shared" si="20"/>
        <v>0.1521881349816874</v>
      </c>
      <c r="AL165" s="5">
        <v>14.43</v>
      </c>
      <c r="AO165" s="5">
        <f t="shared" si="21"/>
        <v>1.3333333333333333</v>
      </c>
      <c r="AP165" s="5">
        <f t="shared" si="16"/>
        <v>4.3034921675863842</v>
      </c>
    </row>
    <row r="166" spans="1:42">
      <c r="A166" s="15">
        <v>161</v>
      </c>
      <c r="B166" s="20" t="s">
        <v>1083</v>
      </c>
      <c r="C166" s="20">
        <v>300</v>
      </c>
      <c r="D166" s="15">
        <v>300</v>
      </c>
      <c r="E166" s="15">
        <v>500</v>
      </c>
      <c r="F166" s="15">
        <v>28</v>
      </c>
      <c r="G166" s="15">
        <v>28</v>
      </c>
      <c r="H166" s="15">
        <v>14.5</v>
      </c>
      <c r="I166" s="15">
        <v>27</v>
      </c>
      <c r="J166" s="15">
        <v>27</v>
      </c>
      <c r="K166" s="15">
        <v>4265.3211518274102</v>
      </c>
      <c r="L166" s="15">
        <v>23644</v>
      </c>
      <c r="M166" s="15"/>
      <c r="N166" s="15"/>
      <c r="O166" s="15"/>
      <c r="P166" s="15">
        <v>1062753941.3333334</v>
      </c>
      <c r="Q166" s="15"/>
      <c r="R166" s="15"/>
      <c r="S166" s="15">
        <v>2898.8275341483782</v>
      </c>
      <c r="T166" s="15">
        <v>460</v>
      </c>
      <c r="U166" s="15">
        <v>210000</v>
      </c>
      <c r="V166" s="15">
        <f t="shared" si="17"/>
        <v>3.7519444919979477</v>
      </c>
      <c r="W166" s="15">
        <v>3.82328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1179</v>
      </c>
      <c r="AF166" s="22" t="s">
        <v>5</v>
      </c>
      <c r="AG166" s="17">
        <f t="shared" si="18"/>
        <v>11083.029334758812</v>
      </c>
      <c r="AH166" s="17">
        <v>5262.4618977055443</v>
      </c>
      <c r="AI166" s="62">
        <v>41.766291370348803</v>
      </c>
      <c r="AJ166" s="17">
        <f t="shared" si="19"/>
        <v>0.29971966972608888</v>
      </c>
      <c r="AK166" s="15">
        <f t="shared" si="20"/>
        <v>1.0190129433295707</v>
      </c>
      <c r="AL166" s="56">
        <v>10.167</v>
      </c>
      <c r="AO166" s="5">
        <f t="shared" si="21"/>
        <v>1.6666666666666667</v>
      </c>
      <c r="AP166" s="5">
        <f t="shared" si="16"/>
        <v>41.766291370348803</v>
      </c>
    </row>
    <row r="167" spans="1:42">
      <c r="A167" s="15">
        <v>162</v>
      </c>
      <c r="B167" s="20" t="s">
        <v>1084</v>
      </c>
      <c r="C167" s="20">
        <v>300</v>
      </c>
      <c r="D167" s="15">
        <v>300</v>
      </c>
      <c r="E167" s="15">
        <v>500</v>
      </c>
      <c r="F167" s="15">
        <v>28</v>
      </c>
      <c r="G167" s="15">
        <v>28</v>
      </c>
      <c r="H167" s="15">
        <v>14.5</v>
      </c>
      <c r="I167" s="15">
        <v>27</v>
      </c>
      <c r="J167" s="15">
        <v>27</v>
      </c>
      <c r="K167" s="15">
        <v>7108.868586379017</v>
      </c>
      <c r="L167" s="15">
        <v>23644</v>
      </c>
      <c r="M167" s="15"/>
      <c r="N167" s="15"/>
      <c r="O167" s="15"/>
      <c r="P167" s="15">
        <v>1062753941.3333334</v>
      </c>
      <c r="Q167" s="15"/>
      <c r="R167" s="15"/>
      <c r="S167" s="15">
        <v>2574.6102166171208</v>
      </c>
      <c r="T167" s="15">
        <v>460</v>
      </c>
      <c r="U167" s="15">
        <v>210000</v>
      </c>
      <c r="V167" s="15">
        <f t="shared" si="17"/>
        <v>4.2244219842686359</v>
      </c>
      <c r="W167" s="15">
        <v>4.1784999999999997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1180</v>
      </c>
      <c r="AF167" s="22" t="s">
        <v>5</v>
      </c>
      <c r="AG167" s="17">
        <f t="shared" si="18"/>
        <v>10758.008790134638</v>
      </c>
      <c r="AH167" s="17">
        <v>4673.8855646931079</v>
      </c>
      <c r="AI167" s="62">
        <v>16.929311812402013</v>
      </c>
      <c r="AJ167" s="17">
        <f t="shared" si="19"/>
        <v>0.4995327828768148</v>
      </c>
      <c r="AK167" s="15">
        <f t="shared" si="20"/>
        <v>0.98912940410791217</v>
      </c>
      <c r="AL167" s="5">
        <v>10.167</v>
      </c>
      <c r="AO167" s="5">
        <f t="shared" si="21"/>
        <v>1.6666666666666667</v>
      </c>
      <c r="AP167" s="5">
        <f t="shared" ref="AP167:AP230" si="22">(PI()^2*U167*P167/K167^2)/(S167*1000)</f>
        <v>16.929311812402013</v>
      </c>
    </row>
    <row r="168" spans="1:42">
      <c r="A168" s="15">
        <v>163</v>
      </c>
      <c r="B168" s="20" t="s">
        <v>1085</v>
      </c>
      <c r="C168" s="20">
        <v>300</v>
      </c>
      <c r="D168" s="15">
        <v>300</v>
      </c>
      <c r="E168" s="15">
        <v>500</v>
      </c>
      <c r="F168" s="15">
        <v>28</v>
      </c>
      <c r="G168" s="15">
        <v>28</v>
      </c>
      <c r="H168" s="15">
        <v>14.5</v>
      </c>
      <c r="I168" s="15">
        <v>27</v>
      </c>
      <c r="J168" s="15">
        <v>27</v>
      </c>
      <c r="K168" s="15">
        <v>10663.302879568526</v>
      </c>
      <c r="L168" s="15">
        <v>23644</v>
      </c>
      <c r="M168" s="15"/>
      <c r="N168" s="15"/>
      <c r="O168" s="15"/>
      <c r="P168" s="15">
        <v>1062753941.3333336</v>
      </c>
      <c r="Q168" s="15"/>
      <c r="R168" s="15"/>
      <c r="S168" s="15">
        <v>2118.1544962846297</v>
      </c>
      <c r="T168" s="15">
        <v>460</v>
      </c>
      <c r="U168" s="15">
        <v>210000</v>
      </c>
      <c r="V168" s="15">
        <f t="shared" si="17"/>
        <v>5.1347718115357397</v>
      </c>
      <c r="W168" s="15">
        <v>4.7054499999999999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1181</v>
      </c>
      <c r="AF168" s="22" t="s">
        <v>5</v>
      </c>
      <c r="AG168" s="17">
        <f t="shared" si="18"/>
        <v>9966.8700745425103</v>
      </c>
      <c r="AH168" s="17">
        <v>3845.2468105958719</v>
      </c>
      <c r="AI168" s="62">
        <v>9.1455670970933038</v>
      </c>
      <c r="AJ168" s="17">
        <f t="shared" si="19"/>
        <v>0.74929917431522208</v>
      </c>
      <c r="AK168" s="15">
        <f t="shared" si="20"/>
        <v>0.91638931051011285</v>
      </c>
      <c r="AL168" s="5">
        <v>10.167</v>
      </c>
      <c r="AO168" s="5">
        <f t="shared" si="21"/>
        <v>1.6666666666666667</v>
      </c>
      <c r="AP168" s="5">
        <f t="shared" si="22"/>
        <v>9.1455670970933038</v>
      </c>
    </row>
    <row r="169" spans="1:42">
      <c r="A169" s="15">
        <v>164</v>
      </c>
      <c r="B169" s="20" t="s">
        <v>1086</v>
      </c>
      <c r="C169" s="20">
        <v>300</v>
      </c>
      <c r="D169" s="15">
        <v>300</v>
      </c>
      <c r="E169" s="15">
        <v>500</v>
      </c>
      <c r="F169" s="15">
        <v>28</v>
      </c>
      <c r="G169" s="15">
        <v>28</v>
      </c>
      <c r="H169" s="15">
        <v>14.5</v>
      </c>
      <c r="I169" s="15">
        <v>27</v>
      </c>
      <c r="J169" s="15">
        <v>27</v>
      </c>
      <c r="K169" s="15">
        <v>14217.737172758034</v>
      </c>
      <c r="L169" s="15">
        <v>23644</v>
      </c>
      <c r="M169" s="15"/>
      <c r="N169" s="15"/>
      <c r="O169" s="15"/>
      <c r="P169" s="15">
        <v>1062753941.3333336</v>
      </c>
      <c r="Q169" s="15"/>
      <c r="R169" s="15"/>
      <c r="S169" s="15">
        <v>1649.0478379224853</v>
      </c>
      <c r="T169" s="15">
        <v>460</v>
      </c>
      <c r="U169" s="15">
        <v>210000</v>
      </c>
      <c r="V169" s="15">
        <f t="shared" si="17"/>
        <v>6.5954666383130398</v>
      </c>
      <c r="W169" s="15">
        <v>5.0321699999999998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1182</v>
      </c>
      <c r="AF169" s="22" t="s">
        <v>5</v>
      </c>
      <c r="AG169" s="17">
        <f t="shared" si="18"/>
        <v>8298.2890585583918</v>
      </c>
      <c r="AH169" s="17">
        <v>2993.6418473789045</v>
      </c>
      <c r="AI169" s="62">
        <v>6.6078099964974983</v>
      </c>
      <c r="AJ169" s="17">
        <f t="shared" si="19"/>
        <v>0.99906556575362948</v>
      </c>
      <c r="AK169" s="15">
        <f t="shared" si="20"/>
        <v>0.76297406627275532</v>
      </c>
      <c r="AL169" s="5">
        <v>10.167</v>
      </c>
      <c r="AO169" s="5">
        <f t="shared" si="21"/>
        <v>1.6666666666666667</v>
      </c>
      <c r="AP169" s="5">
        <f t="shared" si="22"/>
        <v>6.6078099964974983</v>
      </c>
    </row>
    <row r="170" spans="1:42">
      <c r="A170" s="15">
        <v>165</v>
      </c>
      <c r="B170" s="20" t="s">
        <v>1087</v>
      </c>
      <c r="C170" s="20">
        <v>300</v>
      </c>
      <c r="D170" s="15">
        <v>300</v>
      </c>
      <c r="E170" s="15">
        <v>500</v>
      </c>
      <c r="F170" s="15">
        <v>28</v>
      </c>
      <c r="G170" s="15">
        <v>28</v>
      </c>
      <c r="H170" s="15">
        <v>14.5</v>
      </c>
      <c r="I170" s="15">
        <v>27</v>
      </c>
      <c r="J170" s="15">
        <v>27</v>
      </c>
      <c r="K170" s="15">
        <v>18909.590439768188</v>
      </c>
      <c r="L170" s="15">
        <v>23644</v>
      </c>
      <c r="M170" s="15"/>
      <c r="N170" s="15"/>
      <c r="O170" s="15"/>
      <c r="P170" s="15">
        <v>1062753941.3333336</v>
      </c>
      <c r="Q170" s="15"/>
      <c r="R170" s="15"/>
      <c r="S170" s="15">
        <v>1149.5553376017365</v>
      </c>
      <c r="T170" s="15">
        <v>460</v>
      </c>
      <c r="U170" s="15">
        <v>210000</v>
      </c>
      <c r="V170" s="15">
        <f t="shared" si="17"/>
        <v>9.4612583180994072</v>
      </c>
      <c r="W170" s="15">
        <v>4.8387700000000002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1183</v>
      </c>
      <c r="AF170" s="22" t="s">
        <v>5</v>
      </c>
      <c r="AG170" s="17">
        <f t="shared" si="18"/>
        <v>5562.4338809271549</v>
      </c>
      <c r="AH170" s="17">
        <v>2086.8751563070832</v>
      </c>
      <c r="AI170" s="62">
        <v>5.3586776982148123</v>
      </c>
      <c r="AJ170" s="17">
        <f t="shared" si="19"/>
        <v>1.3287572024523275</v>
      </c>
      <c r="AK170" s="15">
        <f t="shared" si="20"/>
        <v>0.51142985819797593</v>
      </c>
      <c r="AL170" s="5">
        <v>10.167</v>
      </c>
      <c r="AO170" s="5">
        <f t="shared" si="21"/>
        <v>1.6666666666666667</v>
      </c>
      <c r="AP170" s="5">
        <f t="shared" si="22"/>
        <v>5.3586776982148123</v>
      </c>
    </row>
    <row r="171" spans="1:42">
      <c r="A171" s="15">
        <v>166</v>
      </c>
      <c r="B171" s="20" t="s">
        <v>1088</v>
      </c>
      <c r="C171" s="20">
        <v>300</v>
      </c>
      <c r="D171" s="15">
        <v>300</v>
      </c>
      <c r="E171" s="15">
        <v>500</v>
      </c>
      <c r="F171" s="15">
        <v>28</v>
      </c>
      <c r="G171" s="15">
        <v>28</v>
      </c>
      <c r="H171" s="15">
        <v>14.5</v>
      </c>
      <c r="I171" s="15">
        <v>27</v>
      </c>
      <c r="J171" s="15">
        <v>27</v>
      </c>
      <c r="K171" s="15">
        <v>23743.621078505916</v>
      </c>
      <c r="L171" s="15">
        <v>23644</v>
      </c>
      <c r="M171" s="15"/>
      <c r="N171" s="15"/>
      <c r="O171" s="15"/>
      <c r="P171" s="15">
        <v>1062753941.3333336</v>
      </c>
      <c r="Q171" s="15"/>
      <c r="R171" s="15"/>
      <c r="S171" s="15">
        <v>810.26604059047236</v>
      </c>
      <c r="T171" s="15">
        <v>460</v>
      </c>
      <c r="U171" s="15">
        <v>210000</v>
      </c>
      <c r="V171" s="15">
        <f t="shared" si="17"/>
        <v>13.423048054777244</v>
      </c>
      <c r="W171" s="15">
        <v>4.5405499999999996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1184</v>
      </c>
      <c r="AF171" s="22" t="s">
        <v>5</v>
      </c>
      <c r="AG171" s="17">
        <f t="shared" si="18"/>
        <v>3679.0534706030689</v>
      </c>
      <c r="AH171" s="17">
        <v>1470.9375136609424</v>
      </c>
      <c r="AI171" s="62">
        <v>4.8220334798398383</v>
      </c>
      <c r="AJ171" s="17">
        <f t="shared" si="19"/>
        <v>1.6684394948085612</v>
      </c>
      <c r="AK171" s="15">
        <f t="shared" si="20"/>
        <v>0.3382651974030611</v>
      </c>
      <c r="AL171" s="5">
        <v>10.167</v>
      </c>
      <c r="AO171" s="5">
        <f t="shared" si="21"/>
        <v>1.6666666666666667</v>
      </c>
      <c r="AP171" s="5">
        <f t="shared" si="22"/>
        <v>4.8220334798398383</v>
      </c>
    </row>
    <row r="172" spans="1:42">
      <c r="A172" s="15">
        <v>167</v>
      </c>
      <c r="B172" s="20" t="s">
        <v>1089</v>
      </c>
      <c r="C172" s="20">
        <v>300</v>
      </c>
      <c r="D172" s="15">
        <v>300</v>
      </c>
      <c r="E172" s="15">
        <v>500</v>
      </c>
      <c r="F172" s="15">
        <v>28</v>
      </c>
      <c r="G172" s="15">
        <v>28</v>
      </c>
      <c r="H172" s="15">
        <v>14.5</v>
      </c>
      <c r="I172" s="15">
        <v>27</v>
      </c>
      <c r="J172" s="15">
        <v>27</v>
      </c>
      <c r="K172" s="15">
        <v>28435.474345516068</v>
      </c>
      <c r="L172" s="15">
        <v>23644</v>
      </c>
      <c r="M172" s="15"/>
      <c r="N172" s="15"/>
      <c r="O172" s="15"/>
      <c r="P172" s="15">
        <v>1062753941.3333336</v>
      </c>
      <c r="Q172" s="15"/>
      <c r="R172" s="15"/>
      <c r="S172" s="15">
        <v>599.17167937694023</v>
      </c>
      <c r="T172" s="15">
        <v>460</v>
      </c>
      <c r="U172" s="15">
        <v>210000</v>
      </c>
      <c r="V172" s="15">
        <f t="shared" si="17"/>
        <v>18.152126300945763</v>
      </c>
      <c r="W172" s="15">
        <v>4.2796399999999997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1185</v>
      </c>
      <c r="AF172" s="22" t="s">
        <v>5</v>
      </c>
      <c r="AG172" s="17">
        <f t="shared" si="18"/>
        <v>2564.2390859287284</v>
      </c>
      <c r="AH172" s="17">
        <v>1087.7218791947616</v>
      </c>
      <c r="AI172" s="62">
        <v>4.5465244616775822</v>
      </c>
      <c r="AJ172" s="17">
        <f t="shared" si="19"/>
        <v>1.9981311315072587</v>
      </c>
      <c r="AK172" s="15">
        <f t="shared" si="20"/>
        <v>0.23576521720086432</v>
      </c>
      <c r="AL172" s="5">
        <v>10.167</v>
      </c>
      <c r="AO172" s="5">
        <f t="shared" si="21"/>
        <v>1.6666666666666667</v>
      </c>
      <c r="AP172" s="5">
        <f t="shared" si="22"/>
        <v>4.5465244616775822</v>
      </c>
    </row>
    <row r="173" spans="1:42">
      <c r="A173" s="15">
        <v>168</v>
      </c>
      <c r="B173" s="20" t="s">
        <v>1090</v>
      </c>
      <c r="C173" s="20">
        <v>300</v>
      </c>
      <c r="D173" s="15">
        <v>300</v>
      </c>
      <c r="E173" s="15">
        <v>500</v>
      </c>
      <c r="F173" s="15">
        <v>28</v>
      </c>
      <c r="G173" s="15">
        <v>28</v>
      </c>
      <c r="H173" s="15">
        <v>14.5</v>
      </c>
      <c r="I173" s="15">
        <v>27</v>
      </c>
      <c r="J173" s="15">
        <v>27</v>
      </c>
      <c r="K173" s="15">
        <v>35544.342931895088</v>
      </c>
      <c r="L173" s="15">
        <v>23644</v>
      </c>
      <c r="M173" s="15"/>
      <c r="N173" s="15"/>
      <c r="O173" s="15"/>
      <c r="P173" s="15">
        <v>1062753941.3333336</v>
      </c>
      <c r="Q173" s="15"/>
      <c r="R173" s="15"/>
      <c r="S173" s="15">
        <v>404.570500961866</v>
      </c>
      <c r="T173" s="15">
        <v>460</v>
      </c>
      <c r="U173" s="15">
        <v>210000</v>
      </c>
      <c r="V173" s="15">
        <f t="shared" si="17"/>
        <v>26.88342322077796</v>
      </c>
      <c r="W173" s="15">
        <v>4.0612599999999999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1186</v>
      </c>
      <c r="AF173" s="22" t="s">
        <v>5</v>
      </c>
      <c r="AG173" s="17">
        <f t="shared" si="18"/>
        <v>1643.0659927363879</v>
      </c>
      <c r="AH173" s="17">
        <v>734.44757274010624</v>
      </c>
      <c r="AI173" s="62">
        <v>4.309397649989859</v>
      </c>
      <c r="AJ173" s="17">
        <f t="shared" si="19"/>
        <v>2.497663914384074</v>
      </c>
      <c r="AK173" s="15">
        <f t="shared" si="20"/>
        <v>0.15106930269434912</v>
      </c>
      <c r="AL173" s="5">
        <v>10.167</v>
      </c>
      <c r="AO173" s="5">
        <f t="shared" si="21"/>
        <v>1.6666666666666667</v>
      </c>
      <c r="AP173" s="5">
        <f t="shared" si="22"/>
        <v>4.309397649989859</v>
      </c>
    </row>
    <row r="174" spans="1:42">
      <c r="A174" s="15">
        <v>169</v>
      </c>
      <c r="B174" s="20" t="s">
        <v>1091</v>
      </c>
      <c r="C174" s="20">
        <v>300</v>
      </c>
      <c r="D174" s="15">
        <v>300</v>
      </c>
      <c r="E174" s="15">
        <v>600</v>
      </c>
      <c r="F174" s="15">
        <v>30</v>
      </c>
      <c r="G174" s="15">
        <v>30</v>
      </c>
      <c r="H174" s="15">
        <v>15.5</v>
      </c>
      <c r="I174" s="15">
        <v>27</v>
      </c>
      <c r="J174" s="15">
        <v>27</v>
      </c>
      <c r="K174" s="15">
        <v>5062.760317952997</v>
      </c>
      <c r="L174" s="15">
        <v>26835</v>
      </c>
      <c r="M174" s="15"/>
      <c r="N174" s="15"/>
      <c r="O174" s="15"/>
      <c r="P174" s="15">
        <v>1701257625</v>
      </c>
      <c r="Q174" s="15"/>
      <c r="R174" s="15"/>
      <c r="S174" s="15">
        <v>3338.8138090647044</v>
      </c>
      <c r="T174" s="15">
        <v>460</v>
      </c>
      <c r="U174" s="15">
        <v>210000</v>
      </c>
      <c r="V174" s="15">
        <f t="shared" si="17"/>
        <v>3.6971513555162661</v>
      </c>
      <c r="W174" s="15">
        <v>3.7436699999999998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1187</v>
      </c>
      <c r="AF174" s="22" t="s">
        <v>5</v>
      </c>
      <c r="AG174" s="17">
        <f t="shared" si="18"/>
        <v>12499.417092581261</v>
      </c>
      <c r="AH174" s="17">
        <v>4088.1881036571986</v>
      </c>
      <c r="AI174" s="62">
        <v>41.202369159937746</v>
      </c>
      <c r="AJ174" s="17">
        <f t="shared" si="19"/>
        <v>0.29955220492491946</v>
      </c>
      <c r="AK174" s="15">
        <f t="shared" si="20"/>
        <v>1.012582293774456</v>
      </c>
      <c r="AL174" s="56">
        <v>5.66</v>
      </c>
      <c r="AO174" s="5">
        <f t="shared" si="21"/>
        <v>2</v>
      </c>
      <c r="AP174" s="5">
        <f t="shared" si="22"/>
        <v>41.202369159937746</v>
      </c>
    </row>
    <row r="175" spans="1:42">
      <c r="A175" s="15">
        <v>170</v>
      </c>
      <c r="B175" s="20" t="s">
        <v>1092</v>
      </c>
      <c r="C175" s="20">
        <v>300</v>
      </c>
      <c r="D175" s="15">
        <v>300</v>
      </c>
      <c r="E175" s="15">
        <v>600</v>
      </c>
      <c r="F175" s="15">
        <v>30</v>
      </c>
      <c r="G175" s="15">
        <v>30</v>
      </c>
      <c r="H175" s="15">
        <v>15.5</v>
      </c>
      <c r="I175" s="15">
        <v>27</v>
      </c>
      <c r="J175" s="15">
        <v>27</v>
      </c>
      <c r="K175" s="15">
        <v>8437.9338632549952</v>
      </c>
      <c r="L175" s="15">
        <v>26835</v>
      </c>
      <c r="M175" s="15"/>
      <c r="N175" s="15"/>
      <c r="O175" s="15"/>
      <c r="P175" s="15">
        <v>1701257625</v>
      </c>
      <c r="Q175" s="15"/>
      <c r="R175" s="15"/>
      <c r="S175" s="15">
        <v>3010.5905049607309</v>
      </c>
      <c r="T175" s="15">
        <v>460</v>
      </c>
      <c r="U175" s="15">
        <v>210000</v>
      </c>
      <c r="V175" s="15">
        <f t="shared" si="17"/>
        <v>4.1002255137853805</v>
      </c>
      <c r="W175" s="15">
        <v>4.0366600000000004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1188</v>
      </c>
      <c r="AF175" s="30" t="s">
        <v>219</v>
      </c>
      <c r="AG175" s="17">
        <f t="shared" si="18"/>
        <v>12152.730267754785</v>
      </c>
      <c r="AH175" s="17">
        <v>3681.7975053750579</v>
      </c>
      <c r="AI175" s="62">
        <v>16.449973518701256</v>
      </c>
      <c r="AJ175" s="17">
        <f t="shared" si="19"/>
        <v>0.49925367487486583</v>
      </c>
      <c r="AK175" s="15">
        <f t="shared" si="20"/>
        <v>0.98449706886324517</v>
      </c>
      <c r="AL175" s="5">
        <v>5.66</v>
      </c>
      <c r="AO175" s="5">
        <f t="shared" si="21"/>
        <v>2</v>
      </c>
      <c r="AP175" s="5">
        <f t="shared" si="22"/>
        <v>16.449973518701256</v>
      </c>
    </row>
    <row r="176" spans="1:42">
      <c r="A176" s="15">
        <v>171</v>
      </c>
      <c r="B176" s="20" t="s">
        <v>1093</v>
      </c>
      <c r="C176" s="20">
        <v>300</v>
      </c>
      <c r="D176" s="15">
        <v>300</v>
      </c>
      <c r="E176" s="15">
        <v>600</v>
      </c>
      <c r="F176" s="15">
        <v>30</v>
      </c>
      <c r="G176" s="15">
        <v>30</v>
      </c>
      <c r="H176" s="15">
        <v>15.5</v>
      </c>
      <c r="I176" s="15">
        <v>27</v>
      </c>
      <c r="J176" s="15">
        <v>27</v>
      </c>
      <c r="K176" s="15">
        <v>12656.900794882491</v>
      </c>
      <c r="L176" s="15">
        <v>26835</v>
      </c>
      <c r="M176" s="15"/>
      <c r="N176" s="15"/>
      <c r="O176" s="15"/>
      <c r="P176" s="15">
        <v>1701257625</v>
      </c>
      <c r="Q176" s="15"/>
      <c r="R176" s="15"/>
      <c r="S176" s="15">
        <v>2554.0148941464372</v>
      </c>
      <c r="T176" s="15">
        <v>460</v>
      </c>
      <c r="U176" s="15">
        <v>210000</v>
      </c>
      <c r="V176" s="15">
        <f t="shared" si="17"/>
        <v>4.8332137875513252</v>
      </c>
      <c r="W176" s="15">
        <v>4.4090299999999996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1189</v>
      </c>
      <c r="AF176" s="22" t="s">
        <v>5</v>
      </c>
      <c r="AG176" s="17">
        <f t="shared" si="18"/>
        <v>11260.728288738464</v>
      </c>
      <c r="AH176" s="17">
        <v>3115.730978970565</v>
      </c>
      <c r="AI176" s="62">
        <v>8.6180884493773409</v>
      </c>
      <c r="AJ176" s="17">
        <f t="shared" si="19"/>
        <v>0.74888051231229857</v>
      </c>
      <c r="AK176" s="15">
        <f t="shared" si="20"/>
        <v>0.91223566632953934</v>
      </c>
      <c r="AL176" s="5">
        <v>5.66</v>
      </c>
      <c r="AO176" s="5">
        <f t="shared" si="21"/>
        <v>2</v>
      </c>
      <c r="AP176" s="5">
        <f t="shared" si="22"/>
        <v>8.6180884493773409</v>
      </c>
    </row>
    <row r="177" spans="1:42">
      <c r="A177" s="15">
        <v>172</v>
      </c>
      <c r="B177" s="20" t="s">
        <v>1094</v>
      </c>
      <c r="C177" s="20">
        <v>300</v>
      </c>
      <c r="D177" s="15">
        <v>300</v>
      </c>
      <c r="E177" s="15">
        <v>600</v>
      </c>
      <c r="F177" s="15">
        <v>30</v>
      </c>
      <c r="G177" s="15">
        <v>30</v>
      </c>
      <c r="H177" s="15">
        <v>15.5</v>
      </c>
      <c r="I177" s="15">
        <v>27</v>
      </c>
      <c r="J177" s="15">
        <v>27</v>
      </c>
      <c r="K177" s="15">
        <v>16875.86772650999</v>
      </c>
      <c r="L177" s="15">
        <v>26835</v>
      </c>
      <c r="M177" s="15"/>
      <c r="N177" s="15"/>
      <c r="O177" s="15"/>
      <c r="P177" s="15">
        <v>1701257625</v>
      </c>
      <c r="Q177" s="15"/>
      <c r="R177" s="15"/>
      <c r="S177" s="15">
        <v>2064.2153071336902</v>
      </c>
      <c r="T177" s="15">
        <v>460</v>
      </c>
      <c r="U177" s="15">
        <v>210000</v>
      </c>
      <c r="V177" s="15">
        <f t="shared" si="17"/>
        <v>5.9800447934574521</v>
      </c>
      <c r="W177" s="15">
        <v>4.54176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1190</v>
      </c>
      <c r="AF177" s="22" t="s">
        <v>5</v>
      </c>
      <c r="AG177" s="17">
        <f t="shared" si="18"/>
        <v>9375.1705133275082</v>
      </c>
      <c r="AH177" s="17">
        <v>2510.2445270124108</v>
      </c>
      <c r="AI177" s="62">
        <v>5.9979370745759617</v>
      </c>
      <c r="AJ177" s="17">
        <f t="shared" si="19"/>
        <v>0.99850734974973165</v>
      </c>
      <c r="AK177" s="15">
        <f t="shared" si="20"/>
        <v>0.75948594983251183</v>
      </c>
      <c r="AL177" s="5">
        <v>5.66</v>
      </c>
      <c r="AO177" s="5">
        <f t="shared" si="21"/>
        <v>2</v>
      </c>
      <c r="AP177" s="5">
        <f t="shared" si="22"/>
        <v>5.9979370745759617</v>
      </c>
    </row>
    <row r="178" spans="1:42">
      <c r="A178" s="15">
        <v>173</v>
      </c>
      <c r="B178" s="20" t="s">
        <v>1095</v>
      </c>
      <c r="C178" s="20">
        <v>300</v>
      </c>
      <c r="D178" s="15">
        <v>300</v>
      </c>
      <c r="E178" s="15">
        <v>600</v>
      </c>
      <c r="F178" s="15">
        <v>30</v>
      </c>
      <c r="G178" s="15">
        <v>30</v>
      </c>
      <c r="H178" s="15">
        <v>15.5</v>
      </c>
      <c r="I178" s="15">
        <v>27</v>
      </c>
      <c r="J178" s="15">
        <v>27</v>
      </c>
      <c r="K178" s="15">
        <v>22444.904076258288</v>
      </c>
      <c r="L178" s="15">
        <v>26835</v>
      </c>
      <c r="M178" s="15"/>
      <c r="N178" s="15"/>
      <c r="O178" s="15"/>
      <c r="P178" s="15">
        <v>1701257625</v>
      </c>
      <c r="Q178" s="15"/>
      <c r="R178" s="15"/>
      <c r="S178" s="15">
        <v>1493.1828398588482</v>
      </c>
      <c r="T178" s="15">
        <v>460</v>
      </c>
      <c r="U178" s="15">
        <v>210000</v>
      </c>
      <c r="V178" s="15">
        <f t="shared" si="17"/>
        <v>8.2669715124551644</v>
      </c>
      <c r="W178" s="15">
        <v>4.2092499999999999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1191</v>
      </c>
      <c r="AF178" s="22" t="s">
        <v>5</v>
      </c>
      <c r="AG178" s="17">
        <f t="shared" si="18"/>
        <v>6285.1798686758566</v>
      </c>
      <c r="AH178" s="17">
        <v>1809.6951084628629</v>
      </c>
      <c r="AI178" s="62">
        <v>4.6874929466800097</v>
      </c>
      <c r="AJ178" s="17">
        <f t="shared" si="19"/>
        <v>1.3280147751671432</v>
      </c>
      <c r="AK178" s="15">
        <f t="shared" si="20"/>
        <v>0.50916469152679067</v>
      </c>
      <c r="AL178" s="5">
        <v>5.66</v>
      </c>
      <c r="AO178" s="5">
        <f t="shared" si="21"/>
        <v>2</v>
      </c>
      <c r="AP178" s="5">
        <f t="shared" si="22"/>
        <v>4.6874929466800097</v>
      </c>
    </row>
    <row r="179" spans="1:42">
      <c r="A179" s="15">
        <v>174</v>
      </c>
      <c r="B179" s="20" t="s">
        <v>1096</v>
      </c>
      <c r="C179" s="20">
        <v>300</v>
      </c>
      <c r="D179" s="15">
        <v>300</v>
      </c>
      <c r="E179" s="15">
        <v>600</v>
      </c>
      <c r="F179" s="15">
        <v>30</v>
      </c>
      <c r="G179" s="15">
        <v>30</v>
      </c>
      <c r="H179" s="15">
        <v>15.5</v>
      </c>
      <c r="I179" s="15">
        <v>27</v>
      </c>
      <c r="J179" s="15">
        <v>27</v>
      </c>
      <c r="K179" s="15">
        <v>28182.69910327168</v>
      </c>
      <c r="L179" s="15">
        <v>26835</v>
      </c>
      <c r="M179" s="15"/>
      <c r="N179" s="15"/>
      <c r="O179" s="15"/>
      <c r="P179" s="15">
        <v>1701257625</v>
      </c>
      <c r="Q179" s="15"/>
      <c r="R179" s="15"/>
      <c r="S179" s="15">
        <v>1073.9676604186752</v>
      </c>
      <c r="T179" s="15">
        <v>460</v>
      </c>
      <c r="U179" s="15">
        <v>210000</v>
      </c>
      <c r="V179" s="15">
        <f t="shared" si="17"/>
        <v>11.493921516396293</v>
      </c>
      <c r="W179" s="15">
        <v>3.8992300000000002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1192</v>
      </c>
      <c r="AF179" s="24" t="s">
        <v>218</v>
      </c>
      <c r="AG179" s="17">
        <f t="shared" si="18"/>
        <v>4187.646920534311</v>
      </c>
      <c r="AH179" s="17">
        <v>1299.0951754092227</v>
      </c>
      <c r="AI179" s="62">
        <v>4.1336409712690312</v>
      </c>
      <c r="AJ179" s="17">
        <f t="shared" si="19"/>
        <v>1.6675072740820518</v>
      </c>
      <c r="AK179" s="15">
        <f t="shared" si="20"/>
        <v>0.3392427897160839</v>
      </c>
      <c r="AL179" s="5">
        <v>5.66</v>
      </c>
      <c r="AO179" s="5">
        <f t="shared" si="21"/>
        <v>2</v>
      </c>
      <c r="AP179" s="5">
        <f t="shared" si="22"/>
        <v>4.1336409712690312</v>
      </c>
    </row>
    <row r="180" spans="1:42">
      <c r="A180" s="15">
        <v>175</v>
      </c>
      <c r="B180" s="20" t="s">
        <v>1097</v>
      </c>
      <c r="C180" s="20">
        <v>300</v>
      </c>
      <c r="D180" s="15">
        <v>300</v>
      </c>
      <c r="E180" s="15">
        <v>600</v>
      </c>
      <c r="F180" s="15">
        <v>30</v>
      </c>
      <c r="G180" s="15">
        <v>30</v>
      </c>
      <c r="H180" s="15">
        <v>15.5</v>
      </c>
      <c r="I180" s="15">
        <v>27</v>
      </c>
      <c r="J180" s="15">
        <v>27</v>
      </c>
      <c r="K180" s="15">
        <v>33751.735453019981</v>
      </c>
      <c r="L180" s="15">
        <v>26835</v>
      </c>
      <c r="M180" s="15"/>
      <c r="N180" s="15"/>
      <c r="O180" s="15"/>
      <c r="P180" s="15">
        <v>1701257625</v>
      </c>
      <c r="Q180" s="15"/>
      <c r="R180" s="15"/>
      <c r="S180" s="15">
        <v>802.47811710210078</v>
      </c>
      <c r="T180" s="15">
        <v>460</v>
      </c>
      <c r="U180" s="15">
        <v>210000</v>
      </c>
      <c r="V180" s="15">
        <f t="shared" si="17"/>
        <v>15.382475530394354</v>
      </c>
      <c r="W180" s="15">
        <v>3.6586799999999999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1193</v>
      </c>
      <c r="AF180" s="22" t="s">
        <v>5</v>
      </c>
      <c r="AG180" s="17">
        <f t="shared" si="18"/>
        <v>2936.0106374791139</v>
      </c>
      <c r="AH180" s="17">
        <v>969.71577236754888</v>
      </c>
      <c r="AI180" s="62">
        <v>3.8571249659973921</v>
      </c>
      <c r="AJ180" s="17">
        <f t="shared" si="19"/>
        <v>1.9970146994994633</v>
      </c>
      <c r="AK180" s="15">
        <f t="shared" si="20"/>
        <v>0.23784728230321481</v>
      </c>
      <c r="AL180" s="5">
        <v>5.66</v>
      </c>
      <c r="AO180" s="5">
        <f t="shared" si="21"/>
        <v>2</v>
      </c>
      <c r="AP180" s="5">
        <f t="shared" si="22"/>
        <v>3.8571249659973921</v>
      </c>
    </row>
    <row r="181" spans="1:42">
      <c r="A181" s="15">
        <v>176</v>
      </c>
      <c r="B181" s="20" t="s">
        <v>1098</v>
      </c>
      <c r="C181" s="20">
        <v>300</v>
      </c>
      <c r="D181" s="15">
        <v>300</v>
      </c>
      <c r="E181" s="15">
        <v>600</v>
      </c>
      <c r="F181" s="15">
        <v>30</v>
      </c>
      <c r="G181" s="15">
        <v>30</v>
      </c>
      <c r="H181" s="15">
        <v>15.5</v>
      </c>
      <c r="I181" s="15">
        <v>27</v>
      </c>
      <c r="J181" s="15">
        <v>27</v>
      </c>
      <c r="K181" s="15">
        <v>42189.669316274973</v>
      </c>
      <c r="L181" s="15">
        <v>26835</v>
      </c>
      <c r="M181" s="15"/>
      <c r="N181" s="15"/>
      <c r="O181" s="15"/>
      <c r="P181" s="15">
        <v>1701257625</v>
      </c>
      <c r="Q181" s="15"/>
      <c r="R181" s="15"/>
      <c r="S181" s="15">
        <v>546.40406272655252</v>
      </c>
      <c r="T181" s="15">
        <v>460</v>
      </c>
      <c r="U181" s="15">
        <v>210000</v>
      </c>
      <c r="V181" s="15">
        <f t="shared" si="17"/>
        <v>22.591523090811268</v>
      </c>
      <c r="W181" s="15">
        <v>3.4439700000000002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1194</v>
      </c>
      <c r="AF181" s="22" t="s">
        <v>5</v>
      </c>
      <c r="AG181" s="17">
        <f t="shared" si="18"/>
        <v>1881.7991999083652</v>
      </c>
      <c r="AH181" s="17">
        <v>659.7408396563676</v>
      </c>
      <c r="AI181" s="62">
        <v>3.6254587006642942</v>
      </c>
      <c r="AJ181" s="17">
        <f t="shared" si="19"/>
        <v>2.496268374374329</v>
      </c>
      <c r="AK181" s="15">
        <f t="shared" si="20"/>
        <v>0.15244523293787032</v>
      </c>
      <c r="AL181" s="5">
        <v>5.66</v>
      </c>
      <c r="AO181" s="5">
        <f t="shared" si="21"/>
        <v>2</v>
      </c>
      <c r="AP181" s="5">
        <f t="shared" si="22"/>
        <v>3.6254587006642942</v>
      </c>
    </row>
    <row r="182" spans="1:42">
      <c r="A182" s="15">
        <v>177</v>
      </c>
      <c r="B182" s="20" t="s">
        <v>1099</v>
      </c>
      <c r="C182" s="20">
        <v>300</v>
      </c>
      <c r="D182" s="15">
        <v>300</v>
      </c>
      <c r="E182" s="15">
        <v>700</v>
      </c>
      <c r="F182" s="15">
        <v>32</v>
      </c>
      <c r="G182" s="15">
        <v>32</v>
      </c>
      <c r="H182" s="15">
        <v>17</v>
      </c>
      <c r="I182" s="15">
        <v>27</v>
      </c>
      <c r="J182" s="15">
        <v>27</v>
      </c>
      <c r="K182" s="15">
        <v>5821.2343330628919</v>
      </c>
      <c r="L182" s="15">
        <v>30555.999999999989</v>
      </c>
      <c r="M182" s="15"/>
      <c r="N182" s="15"/>
      <c r="O182" s="15"/>
      <c r="P182" s="15">
        <v>2564151845.333334</v>
      </c>
      <c r="Q182" s="15"/>
      <c r="R182" s="15"/>
      <c r="S182" s="15">
        <v>3851.6089705707741</v>
      </c>
      <c r="T182" s="15">
        <v>460</v>
      </c>
      <c r="U182" s="15">
        <v>210000</v>
      </c>
      <c r="V182" s="15">
        <f t="shared" si="17"/>
        <v>3.6493216490554219</v>
      </c>
      <c r="W182" s="15">
        <v>3.6694200000000001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1195</v>
      </c>
      <c r="AF182" s="30" t="s">
        <v>219</v>
      </c>
      <c r="AG182" s="17">
        <f t="shared" si="18"/>
        <v>14133.17098879181</v>
      </c>
      <c r="AH182" s="17">
        <v>3003.7803097538581</v>
      </c>
      <c r="AI182" s="62">
        <v>40.718373925911138</v>
      </c>
      <c r="AJ182" s="17">
        <f t="shared" si="19"/>
        <v>0.2993717793402591</v>
      </c>
      <c r="AK182" s="15">
        <f t="shared" si="20"/>
        <v>1.0055074210709216</v>
      </c>
      <c r="AL182" s="56">
        <v>2.8845000000000001</v>
      </c>
      <c r="AO182" s="5">
        <f t="shared" si="21"/>
        <v>2.3333333333333335</v>
      </c>
      <c r="AP182" s="5">
        <f t="shared" si="22"/>
        <v>40.718373925911138</v>
      </c>
    </row>
    <row r="183" spans="1:42">
      <c r="A183" s="15">
        <v>178</v>
      </c>
      <c r="B183" s="20" t="s">
        <v>1100</v>
      </c>
      <c r="C183" s="20">
        <v>300</v>
      </c>
      <c r="D183" s="15">
        <v>300</v>
      </c>
      <c r="E183" s="15">
        <v>700</v>
      </c>
      <c r="F183" s="15">
        <v>32</v>
      </c>
      <c r="G183" s="15">
        <v>32</v>
      </c>
      <c r="H183" s="15">
        <v>17</v>
      </c>
      <c r="I183" s="15">
        <v>27</v>
      </c>
      <c r="J183" s="15">
        <v>27</v>
      </c>
      <c r="K183" s="15">
        <v>9702.0572217714853</v>
      </c>
      <c r="L183" s="15">
        <v>30556</v>
      </c>
      <c r="M183" s="15"/>
      <c r="N183" s="15"/>
      <c r="O183" s="15"/>
      <c r="P183" s="15">
        <v>2564151845.3333335</v>
      </c>
      <c r="Q183" s="15"/>
      <c r="R183" s="15"/>
      <c r="S183" s="15">
        <v>3517.5638347497375</v>
      </c>
      <c r="T183" s="15">
        <v>460</v>
      </c>
      <c r="U183" s="15">
        <v>210000</v>
      </c>
      <c r="V183" s="15">
        <f t="shared" si="17"/>
        <v>3.9958791539599789</v>
      </c>
      <c r="W183" s="15">
        <v>3.9115899999999999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1196</v>
      </c>
      <c r="AF183" s="22" t="s">
        <v>5</v>
      </c>
      <c r="AG183" s="17">
        <f t="shared" si="18"/>
        <v>13759.267520368725</v>
      </c>
      <c r="AH183" s="17">
        <v>2748.3978559153984</v>
      </c>
      <c r="AI183" s="62">
        <v>16.050668642620636</v>
      </c>
      <c r="AJ183" s="17">
        <f t="shared" si="19"/>
        <v>0.49895296556709862</v>
      </c>
      <c r="AK183" s="15">
        <f t="shared" si="20"/>
        <v>0.97890598020802322</v>
      </c>
      <c r="AL183" s="5">
        <v>2.8845000000000001</v>
      </c>
      <c r="AO183" s="5">
        <f t="shared" si="21"/>
        <v>2.3333333333333335</v>
      </c>
      <c r="AP183" s="5">
        <f t="shared" si="22"/>
        <v>16.050668642620636</v>
      </c>
    </row>
    <row r="184" spans="1:42">
      <c r="A184" s="15">
        <v>179</v>
      </c>
      <c r="B184" s="20" t="s">
        <v>1101</v>
      </c>
      <c r="C184" s="20">
        <v>300</v>
      </c>
      <c r="D184" s="15">
        <v>300</v>
      </c>
      <c r="E184" s="15">
        <v>700</v>
      </c>
      <c r="F184" s="15">
        <v>32</v>
      </c>
      <c r="G184" s="15">
        <v>32</v>
      </c>
      <c r="H184" s="15">
        <v>17</v>
      </c>
      <c r="I184" s="15">
        <v>27</v>
      </c>
      <c r="J184" s="15">
        <v>27</v>
      </c>
      <c r="K184" s="15">
        <v>14553.085832657229</v>
      </c>
      <c r="L184" s="15">
        <v>30556</v>
      </c>
      <c r="M184" s="15"/>
      <c r="N184" s="15"/>
      <c r="O184" s="15"/>
      <c r="P184" s="15">
        <v>2564151845.3333335</v>
      </c>
      <c r="Q184" s="15"/>
      <c r="R184" s="15"/>
      <c r="S184" s="15">
        <v>3061.0884100239455</v>
      </c>
      <c r="T184" s="15">
        <v>460</v>
      </c>
      <c r="U184" s="15">
        <v>210000</v>
      </c>
      <c r="V184" s="15">
        <f t="shared" si="17"/>
        <v>4.5917523825749447</v>
      </c>
      <c r="W184" s="15">
        <v>4.1768299999999998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1197</v>
      </c>
      <c r="AF184" s="22" t="s">
        <v>5</v>
      </c>
      <c r="AG184" s="17">
        <f t="shared" si="18"/>
        <v>12785.645903640316</v>
      </c>
      <c r="AH184" s="17">
        <v>2400.5232792014785</v>
      </c>
      <c r="AI184" s="62">
        <v>8.1974112876468084</v>
      </c>
      <c r="AJ184" s="17">
        <f t="shared" si="19"/>
        <v>0.74842944835064795</v>
      </c>
      <c r="AK184" s="15">
        <f t="shared" si="20"/>
        <v>0.90963746561127357</v>
      </c>
      <c r="AL184" s="5">
        <v>2.8845000000000001</v>
      </c>
      <c r="AO184" s="5">
        <f t="shared" si="21"/>
        <v>2.3333333333333335</v>
      </c>
      <c r="AP184" s="5">
        <f t="shared" si="22"/>
        <v>8.1974112876468084</v>
      </c>
    </row>
    <row r="185" spans="1:42">
      <c r="A185" s="15">
        <v>180</v>
      </c>
      <c r="B185" s="20" t="s">
        <v>1102</v>
      </c>
      <c r="C185" s="20">
        <v>300</v>
      </c>
      <c r="D185" s="15">
        <v>300</v>
      </c>
      <c r="E185" s="15">
        <v>700</v>
      </c>
      <c r="F185" s="15">
        <v>32</v>
      </c>
      <c r="G185" s="15">
        <v>32</v>
      </c>
      <c r="H185" s="15">
        <v>17</v>
      </c>
      <c r="I185" s="15">
        <v>27</v>
      </c>
      <c r="J185" s="15">
        <v>27</v>
      </c>
      <c r="K185" s="15">
        <v>19404.114443542971</v>
      </c>
      <c r="L185" s="15">
        <v>30556</v>
      </c>
      <c r="M185" s="15"/>
      <c r="N185" s="15"/>
      <c r="O185" s="15"/>
      <c r="P185" s="15">
        <v>2564151845.3333335</v>
      </c>
      <c r="Q185" s="15"/>
      <c r="R185" s="15"/>
      <c r="S185" s="15">
        <v>2560.0640102628854</v>
      </c>
      <c r="T185" s="15">
        <v>460</v>
      </c>
      <c r="U185" s="15">
        <v>210000</v>
      </c>
      <c r="V185" s="15">
        <f t="shared" si="17"/>
        <v>5.4903939681401379</v>
      </c>
      <c r="W185" s="15">
        <v>4.1573799999999999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1198</v>
      </c>
      <c r="AF185" s="22" t="s">
        <v>5</v>
      </c>
      <c r="AG185" s="17">
        <f t="shared" si="18"/>
        <v>10643.158914986714</v>
      </c>
      <c r="AH185" s="17">
        <v>2017.9274417884624</v>
      </c>
      <c r="AI185" s="62">
        <v>5.5134609246583217</v>
      </c>
      <c r="AJ185" s="17">
        <f t="shared" si="19"/>
        <v>0.99790593113419723</v>
      </c>
      <c r="AK185" s="15">
        <f t="shared" si="20"/>
        <v>0.75720977841018311</v>
      </c>
      <c r="AL185" s="5">
        <v>2.8845000000000001</v>
      </c>
      <c r="AO185" s="5">
        <f t="shared" si="21"/>
        <v>2.3333333333333335</v>
      </c>
      <c r="AP185" s="5">
        <f t="shared" si="22"/>
        <v>5.5134609246583217</v>
      </c>
    </row>
    <row r="186" spans="1:42">
      <c r="A186" s="15">
        <v>181</v>
      </c>
      <c r="B186" s="20" t="s">
        <v>1103</v>
      </c>
      <c r="C186" s="20">
        <v>300</v>
      </c>
      <c r="D186" s="15">
        <v>300</v>
      </c>
      <c r="E186" s="15">
        <v>700</v>
      </c>
      <c r="F186" s="15">
        <v>32</v>
      </c>
      <c r="G186" s="15">
        <v>32</v>
      </c>
      <c r="H186" s="15">
        <v>17</v>
      </c>
      <c r="I186" s="15">
        <v>27</v>
      </c>
      <c r="J186" s="15">
        <v>27</v>
      </c>
      <c r="K186" s="15">
        <v>25807.472209912154</v>
      </c>
      <c r="L186" s="15">
        <v>30556</v>
      </c>
      <c r="M186" s="15"/>
      <c r="N186" s="15"/>
      <c r="O186" s="15"/>
      <c r="P186" s="15">
        <v>2564151845.3333335</v>
      </c>
      <c r="Q186" s="15"/>
      <c r="R186" s="15"/>
      <c r="S186" s="15">
        <v>1927.3456045214512</v>
      </c>
      <c r="T186" s="15">
        <v>460</v>
      </c>
      <c r="U186" s="15">
        <v>210000</v>
      </c>
      <c r="V186" s="15">
        <f t="shared" si="17"/>
        <v>7.2928072510845636</v>
      </c>
      <c r="W186" s="15">
        <v>3.6991399999999999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1199</v>
      </c>
      <c r="AF186" s="22" t="s">
        <v>5</v>
      </c>
      <c r="AG186" s="17">
        <f t="shared" si="18"/>
        <v>7129.5212195094809</v>
      </c>
      <c r="AH186" s="17">
        <v>1529.2268935074082</v>
      </c>
      <c r="AI186" s="62">
        <v>4.1401134832261084</v>
      </c>
      <c r="AJ186" s="17">
        <f t="shared" si="19"/>
        <v>1.3272148884084825</v>
      </c>
      <c r="AK186" s="15">
        <f t="shared" si="20"/>
        <v>0.50723128592900568</v>
      </c>
      <c r="AL186" s="5">
        <v>2.8845000000000001</v>
      </c>
      <c r="AO186" s="5">
        <f t="shared" si="21"/>
        <v>2.3333333333333335</v>
      </c>
      <c r="AP186" s="5">
        <f t="shared" si="22"/>
        <v>4.1401134832261084</v>
      </c>
    </row>
    <row r="187" spans="1:42">
      <c r="A187" s="15">
        <v>182</v>
      </c>
      <c r="B187" s="20" t="s">
        <v>1104</v>
      </c>
      <c r="C187" s="20">
        <v>300</v>
      </c>
      <c r="D187" s="15">
        <v>300</v>
      </c>
      <c r="E187" s="15">
        <v>700</v>
      </c>
      <c r="F187" s="15">
        <v>32</v>
      </c>
      <c r="G187" s="15">
        <v>32</v>
      </c>
      <c r="H187" s="15">
        <v>17</v>
      </c>
      <c r="I187" s="15">
        <v>27</v>
      </c>
      <c r="J187" s="15">
        <v>27</v>
      </c>
      <c r="K187" s="15">
        <v>32404.871120716762</v>
      </c>
      <c r="L187" s="15">
        <v>30556</v>
      </c>
      <c r="M187" s="15"/>
      <c r="N187" s="15"/>
      <c r="O187" s="15"/>
      <c r="P187" s="15">
        <v>2564151845.3333335</v>
      </c>
      <c r="Q187" s="15"/>
      <c r="R187" s="15"/>
      <c r="S187" s="15">
        <v>1420.8177375977707</v>
      </c>
      <c r="T187" s="15">
        <v>460</v>
      </c>
      <c r="U187" s="15">
        <v>210000</v>
      </c>
      <c r="V187" s="15">
        <f t="shared" si="17"/>
        <v>9.8927255960110649</v>
      </c>
      <c r="W187" s="15">
        <v>3.3440300000000001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1200</v>
      </c>
      <c r="AF187" s="22" t="s">
        <v>5</v>
      </c>
      <c r="AG187" s="17">
        <f t="shared" si="18"/>
        <v>4751.2571390590729</v>
      </c>
      <c r="AH187" s="17">
        <v>1132.3014299415529</v>
      </c>
      <c r="AI187" s="62">
        <v>3.5620811790200819</v>
      </c>
      <c r="AJ187" s="17">
        <f t="shared" si="19"/>
        <v>1.6665029049941094</v>
      </c>
      <c r="AK187" s="15">
        <f t="shared" si="20"/>
        <v>0.33802918796700238</v>
      </c>
      <c r="AL187" s="5">
        <v>2.8845000000000001</v>
      </c>
      <c r="AO187" s="5">
        <f t="shared" si="21"/>
        <v>2.3333333333333335</v>
      </c>
      <c r="AP187" s="5">
        <f t="shared" si="22"/>
        <v>3.5620811790200819</v>
      </c>
    </row>
    <row r="188" spans="1:42">
      <c r="A188" s="15">
        <v>183</v>
      </c>
      <c r="B188" s="20" t="s">
        <v>1105</v>
      </c>
      <c r="C188" s="20">
        <v>300</v>
      </c>
      <c r="D188" s="15">
        <v>300</v>
      </c>
      <c r="E188" s="15">
        <v>700</v>
      </c>
      <c r="F188" s="15">
        <v>32</v>
      </c>
      <c r="G188" s="15">
        <v>32</v>
      </c>
      <c r="H188" s="15">
        <v>17</v>
      </c>
      <c r="I188" s="15">
        <v>27</v>
      </c>
      <c r="J188" s="15">
        <v>27</v>
      </c>
      <c r="K188" s="15">
        <v>38808.228887085941</v>
      </c>
      <c r="L188" s="15">
        <v>30556</v>
      </c>
      <c r="M188" s="15"/>
      <c r="N188" s="15"/>
      <c r="O188" s="15"/>
      <c r="P188" s="15">
        <v>2564151845.3333335</v>
      </c>
      <c r="Q188" s="15"/>
      <c r="R188" s="15"/>
      <c r="S188" s="15">
        <v>1075.6754954873234</v>
      </c>
      <c r="T188" s="15">
        <v>460</v>
      </c>
      <c r="U188" s="15">
        <v>210000</v>
      </c>
      <c r="V188" s="15">
        <f t="shared" si="17"/>
        <v>13.066914751676284</v>
      </c>
      <c r="W188" s="15">
        <v>3.1297999999999999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1201</v>
      </c>
      <c r="AF188" s="22" t="s">
        <v>5</v>
      </c>
      <c r="AG188" s="17">
        <f t="shared" si="18"/>
        <v>3366.6491657762244</v>
      </c>
      <c r="AH188" s="17">
        <v>859.31915648305255</v>
      </c>
      <c r="AI188" s="62">
        <v>3.2804532929361598</v>
      </c>
      <c r="AJ188" s="17">
        <f t="shared" si="19"/>
        <v>1.9958118622683947</v>
      </c>
      <c r="AK188" s="15">
        <f t="shared" si="20"/>
        <v>0.23952096263568987</v>
      </c>
      <c r="AL188" s="5">
        <v>2.8845000000000001</v>
      </c>
      <c r="AO188" s="5">
        <f t="shared" si="21"/>
        <v>2.3333333333333335</v>
      </c>
      <c r="AP188" s="5">
        <f t="shared" si="22"/>
        <v>3.2804532929361598</v>
      </c>
    </row>
    <row r="189" spans="1:42">
      <c r="A189" s="15">
        <v>184</v>
      </c>
      <c r="B189" s="20" t="s">
        <v>1106</v>
      </c>
      <c r="C189" s="20">
        <v>300</v>
      </c>
      <c r="D189" s="15">
        <v>300</v>
      </c>
      <c r="E189" s="15">
        <v>700</v>
      </c>
      <c r="F189" s="15">
        <v>32</v>
      </c>
      <c r="G189" s="15">
        <v>32</v>
      </c>
      <c r="H189" s="15">
        <v>17</v>
      </c>
      <c r="I189" s="15">
        <v>27</v>
      </c>
      <c r="J189" s="15">
        <v>27</v>
      </c>
      <c r="K189" s="15">
        <v>48510.286108857428</v>
      </c>
      <c r="L189" s="15">
        <v>30556</v>
      </c>
      <c r="M189" s="15"/>
      <c r="N189" s="15"/>
      <c r="O189" s="15"/>
      <c r="P189" s="15">
        <v>2564151845.3333335</v>
      </c>
      <c r="Q189" s="15"/>
      <c r="R189" s="15"/>
      <c r="S189" s="15">
        <v>740.1756474787378</v>
      </c>
      <c r="T189" s="15">
        <v>460</v>
      </c>
      <c r="U189" s="15">
        <v>210000</v>
      </c>
      <c r="V189" s="15">
        <f t="shared" si="17"/>
        <v>18.989762832481954</v>
      </c>
      <c r="W189" s="15">
        <v>2.9161199999999998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1202</v>
      </c>
      <c r="AF189" s="22" t="s">
        <v>5</v>
      </c>
      <c r="AG189" s="17">
        <f t="shared" si="18"/>
        <v>2158.4410091256968</v>
      </c>
      <c r="AH189" s="17">
        <v>592.45114178382642</v>
      </c>
      <c r="AI189" s="62">
        <v>3.0511272146362178</v>
      </c>
      <c r="AJ189" s="17">
        <f t="shared" si="19"/>
        <v>2.494764827835493</v>
      </c>
      <c r="AK189" s="15">
        <f t="shared" si="20"/>
        <v>0.15356273934142989</v>
      </c>
      <c r="AL189" s="5">
        <v>2.8845000000000001</v>
      </c>
      <c r="AO189" s="5">
        <f t="shared" si="21"/>
        <v>2.3333333333333335</v>
      </c>
      <c r="AP189" s="5">
        <f t="shared" si="22"/>
        <v>3.0511272146362178</v>
      </c>
    </row>
    <row r="190" spans="1:42">
      <c r="A190" s="15">
        <v>185</v>
      </c>
      <c r="B190" s="20" t="s">
        <v>1107</v>
      </c>
      <c r="C190" s="20">
        <v>300</v>
      </c>
      <c r="D190" s="15">
        <v>300</v>
      </c>
      <c r="E190" s="15">
        <v>900</v>
      </c>
      <c r="F190" s="15">
        <v>35</v>
      </c>
      <c r="G190" s="15">
        <v>35</v>
      </c>
      <c r="H190" s="15">
        <v>18.5</v>
      </c>
      <c r="I190" s="15">
        <v>30</v>
      </c>
      <c r="J190" s="15">
        <v>30</v>
      </c>
      <c r="K190" s="15">
        <v>7326.1350521408258</v>
      </c>
      <c r="L190" s="15">
        <v>37002.499999999993</v>
      </c>
      <c r="M190" s="15"/>
      <c r="N190" s="15"/>
      <c r="O190" s="15"/>
      <c r="P190" s="15">
        <v>4925970463.541666</v>
      </c>
      <c r="Q190" s="15"/>
      <c r="R190" s="15"/>
      <c r="S190" s="15">
        <v>4858.1067676793564</v>
      </c>
      <c r="T190" s="15">
        <v>460</v>
      </c>
      <c r="U190" s="15">
        <v>210000</v>
      </c>
      <c r="V190" s="15">
        <f t="shared" si="17"/>
        <v>3.503659103015297</v>
      </c>
      <c r="W190" s="15">
        <v>3.5236200000000002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1203</v>
      </c>
      <c r="AF190" s="22" t="s">
        <v>5</v>
      </c>
      <c r="AG190" s="17">
        <f t="shared" si="18"/>
        <v>17118.122168730333</v>
      </c>
      <c r="AH190" s="17">
        <v>2261.1404326980228</v>
      </c>
      <c r="AI190" s="62">
        <v>39.155605817696994</v>
      </c>
      <c r="AJ190" s="17">
        <f t="shared" si="19"/>
        <v>0.29913273928922163</v>
      </c>
      <c r="AK190" s="15">
        <f t="shared" si="20"/>
        <v>1.0056971572855147</v>
      </c>
      <c r="AL190" s="56">
        <v>1.5359</v>
      </c>
      <c r="AO190" s="5">
        <f t="shared" si="21"/>
        <v>3</v>
      </c>
      <c r="AP190" s="5">
        <f t="shared" si="22"/>
        <v>39.155605817696994</v>
      </c>
    </row>
    <row r="191" spans="1:42">
      <c r="A191" s="15">
        <v>186</v>
      </c>
      <c r="B191" s="20" t="s">
        <v>1108</v>
      </c>
      <c r="C191" s="20">
        <v>300</v>
      </c>
      <c r="D191" s="15">
        <v>300</v>
      </c>
      <c r="E191" s="15">
        <v>900</v>
      </c>
      <c r="F191" s="15">
        <v>35</v>
      </c>
      <c r="G191" s="15">
        <v>35</v>
      </c>
      <c r="H191" s="15">
        <v>18.5</v>
      </c>
      <c r="I191" s="15">
        <v>30</v>
      </c>
      <c r="J191" s="15">
        <v>30</v>
      </c>
      <c r="K191" s="15">
        <v>12210.225086901377</v>
      </c>
      <c r="L191" s="15">
        <v>37002.5</v>
      </c>
      <c r="M191" s="15"/>
      <c r="N191" s="15"/>
      <c r="O191" s="15"/>
      <c r="P191" s="15">
        <v>4925970463.541666</v>
      </c>
      <c r="Q191" s="15"/>
      <c r="R191" s="15"/>
      <c r="S191" s="15">
        <v>4586.4547253486789</v>
      </c>
      <c r="T191" s="15">
        <v>460</v>
      </c>
      <c r="U191" s="15">
        <v>210000</v>
      </c>
      <c r="V191" s="15">
        <f t="shared" si="17"/>
        <v>3.7111780273173829</v>
      </c>
      <c r="W191" s="15">
        <v>3.6203799999999999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1204</v>
      </c>
      <c r="AF191" s="30" t="s">
        <v>219</v>
      </c>
      <c r="AG191" s="17">
        <f t="shared" si="18"/>
        <v>16604.708958557851</v>
      </c>
      <c r="AH191" s="17">
        <v>2095.6401742937405</v>
      </c>
      <c r="AI191" s="62">
        <v>14.930913963483613</v>
      </c>
      <c r="AJ191" s="17">
        <f t="shared" si="19"/>
        <v>0.49855456548203625</v>
      </c>
      <c r="AK191" s="15">
        <f t="shared" si="20"/>
        <v>0.97553390684870589</v>
      </c>
      <c r="AL191" s="5">
        <v>1.5359</v>
      </c>
      <c r="AO191" s="5">
        <f t="shared" si="21"/>
        <v>3</v>
      </c>
      <c r="AP191" s="5">
        <f t="shared" si="22"/>
        <v>14.930913963483613</v>
      </c>
    </row>
    <row r="192" spans="1:42">
      <c r="A192" s="15">
        <v>187</v>
      </c>
      <c r="B192" s="20" t="s">
        <v>1109</v>
      </c>
      <c r="C192" s="20">
        <v>300</v>
      </c>
      <c r="D192" s="15">
        <v>300</v>
      </c>
      <c r="E192" s="15">
        <v>900</v>
      </c>
      <c r="F192" s="15">
        <v>35</v>
      </c>
      <c r="G192" s="15">
        <v>35</v>
      </c>
      <c r="H192" s="15">
        <v>18.5</v>
      </c>
      <c r="I192" s="15">
        <v>30</v>
      </c>
      <c r="J192" s="15">
        <v>30</v>
      </c>
      <c r="K192" s="15">
        <v>18315.337630352064</v>
      </c>
      <c r="L192" s="15">
        <v>37002.5</v>
      </c>
      <c r="M192" s="15"/>
      <c r="N192" s="15"/>
      <c r="O192" s="15"/>
      <c r="P192" s="15">
        <v>4925970463.541666</v>
      </c>
      <c r="Q192" s="15"/>
      <c r="R192" s="15"/>
      <c r="S192" s="15">
        <v>4240.8894443778963</v>
      </c>
      <c r="T192" s="15">
        <v>460</v>
      </c>
      <c r="U192" s="15">
        <v>210000</v>
      </c>
      <c r="V192" s="15">
        <f t="shared" si="17"/>
        <v>4.0135802225556159</v>
      </c>
      <c r="W192" s="15">
        <v>3.64846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1205</v>
      </c>
      <c r="AF192" s="22" t="s">
        <v>5</v>
      </c>
      <c r="AG192" s="17">
        <f t="shared" si="18"/>
        <v>15472.71550223498</v>
      </c>
      <c r="AH192" s="17">
        <v>1875.8358811854484</v>
      </c>
      <c r="AI192" s="62">
        <v>7.1766874797536415</v>
      </c>
      <c r="AJ192" s="17">
        <f t="shared" si="19"/>
        <v>0.74783184822305426</v>
      </c>
      <c r="AK192" s="15">
        <f t="shared" si="20"/>
        <v>0.9090287966579802</v>
      </c>
      <c r="AL192" s="5">
        <v>1.5359</v>
      </c>
      <c r="AO192" s="5">
        <f t="shared" si="21"/>
        <v>3</v>
      </c>
      <c r="AP192" s="5">
        <f t="shared" si="22"/>
        <v>7.1766874797536415</v>
      </c>
    </row>
    <row r="193" spans="1:42">
      <c r="A193" s="15">
        <v>188</v>
      </c>
      <c r="B193" s="20" t="s">
        <v>1110</v>
      </c>
      <c r="C193" s="20">
        <v>300</v>
      </c>
      <c r="D193" s="15">
        <v>300</v>
      </c>
      <c r="E193" s="15">
        <v>900</v>
      </c>
      <c r="F193" s="15">
        <v>35</v>
      </c>
      <c r="G193" s="15">
        <v>35</v>
      </c>
      <c r="H193" s="15">
        <v>18.5</v>
      </c>
      <c r="I193" s="15">
        <v>30</v>
      </c>
      <c r="J193" s="15">
        <v>30</v>
      </c>
      <c r="K193" s="15">
        <v>24420.450173802754</v>
      </c>
      <c r="L193" s="15">
        <v>37002.5</v>
      </c>
      <c r="M193" s="15"/>
      <c r="N193" s="15"/>
      <c r="O193" s="15"/>
      <c r="P193" s="15">
        <v>4925970463.541666</v>
      </c>
      <c r="Q193" s="15"/>
      <c r="R193" s="15"/>
      <c r="S193" s="15">
        <v>3870.7444768110322</v>
      </c>
      <c r="T193" s="15">
        <v>460</v>
      </c>
      <c r="U193" s="15">
        <v>210000</v>
      </c>
      <c r="V193" s="15">
        <f t="shared" si="17"/>
        <v>4.3973840438114156</v>
      </c>
      <c r="W193" s="15">
        <v>3.3287300000000002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1206</v>
      </c>
      <c r="AF193" s="22" t="s">
        <v>5</v>
      </c>
      <c r="AG193" s="17">
        <f t="shared" si="18"/>
        <v>12884.663262295187</v>
      </c>
      <c r="AH193" s="17">
        <v>1633.3537030276418</v>
      </c>
      <c r="AI193" s="62">
        <v>4.4229192414951264</v>
      </c>
      <c r="AJ193" s="17">
        <f t="shared" si="19"/>
        <v>0.99710913096407239</v>
      </c>
      <c r="AK193" s="15">
        <f t="shared" si="20"/>
        <v>0.75697959669559278</v>
      </c>
      <c r="AL193" s="5">
        <v>1.5359</v>
      </c>
      <c r="AO193" s="5">
        <f t="shared" si="21"/>
        <v>3</v>
      </c>
      <c r="AP193" s="5">
        <f t="shared" si="22"/>
        <v>4.4229192414951264</v>
      </c>
    </row>
    <row r="194" spans="1:42">
      <c r="A194" s="15">
        <v>189</v>
      </c>
      <c r="B194" s="20" t="s">
        <v>1111</v>
      </c>
      <c r="C194" s="20">
        <v>300</v>
      </c>
      <c r="D194" s="15">
        <v>300</v>
      </c>
      <c r="E194" s="15">
        <v>900</v>
      </c>
      <c r="F194" s="15">
        <v>35</v>
      </c>
      <c r="G194" s="15">
        <v>35</v>
      </c>
      <c r="H194" s="15">
        <v>18.5</v>
      </c>
      <c r="I194" s="15">
        <v>30</v>
      </c>
      <c r="J194" s="15">
        <v>30</v>
      </c>
      <c r="K194" s="15">
        <v>32479.198731157663</v>
      </c>
      <c r="L194" s="15">
        <v>37002.5</v>
      </c>
      <c r="M194" s="15"/>
      <c r="N194" s="15"/>
      <c r="O194" s="15"/>
      <c r="P194" s="15">
        <v>4925970463.541666</v>
      </c>
      <c r="Q194" s="15"/>
      <c r="R194" s="15"/>
      <c r="S194" s="15">
        <v>3338.0542589426918</v>
      </c>
      <c r="T194" s="15">
        <v>460</v>
      </c>
      <c r="U194" s="15">
        <v>210000</v>
      </c>
      <c r="V194" s="15">
        <f t="shared" si="17"/>
        <v>5.0991232255737344</v>
      </c>
      <c r="W194" s="15">
        <v>2.58588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1207</v>
      </c>
      <c r="AF194" s="22" t="s">
        <v>5</v>
      </c>
      <c r="AG194" s="17">
        <f t="shared" si="18"/>
        <v>8631.807747114728</v>
      </c>
      <c r="AH194" s="17">
        <v>1301.0881446910751</v>
      </c>
      <c r="AI194" s="62">
        <v>2.899391348874965</v>
      </c>
      <c r="AJ194" s="17">
        <f t="shared" si="19"/>
        <v>1.3261551441822161</v>
      </c>
      <c r="AK194" s="15">
        <f t="shared" si="20"/>
        <v>0.50712247686641199</v>
      </c>
      <c r="AL194" s="5">
        <v>1.5359</v>
      </c>
      <c r="AO194" s="5">
        <f t="shared" si="21"/>
        <v>3</v>
      </c>
      <c r="AP194" s="5">
        <f t="shared" si="22"/>
        <v>2.899391348874965</v>
      </c>
    </row>
    <row r="195" spans="1:42">
      <c r="A195" s="15">
        <v>190</v>
      </c>
      <c r="B195" s="20" t="s">
        <v>1112</v>
      </c>
      <c r="C195" s="20">
        <v>300</v>
      </c>
      <c r="D195" s="15">
        <v>300</v>
      </c>
      <c r="E195" s="15">
        <v>900</v>
      </c>
      <c r="F195" s="15">
        <v>35</v>
      </c>
      <c r="G195" s="15">
        <v>35</v>
      </c>
      <c r="H195" s="15">
        <v>18.5</v>
      </c>
      <c r="I195" s="15">
        <v>30</v>
      </c>
      <c r="J195" s="15">
        <v>30</v>
      </c>
      <c r="K195" s="15">
        <v>40782.151790250595</v>
      </c>
      <c r="L195" s="15">
        <v>37002.5</v>
      </c>
      <c r="M195" s="15"/>
      <c r="N195" s="15"/>
      <c r="O195" s="15"/>
      <c r="P195" s="15">
        <v>4925970463.541666</v>
      </c>
      <c r="Q195" s="15"/>
      <c r="R195" s="15"/>
      <c r="S195" s="15">
        <v>2774.0824880847326</v>
      </c>
      <c r="T195" s="15">
        <v>460</v>
      </c>
      <c r="U195" s="15">
        <v>210000</v>
      </c>
      <c r="V195" s="15">
        <f t="shared" si="17"/>
        <v>6.135776449730467</v>
      </c>
      <c r="W195" s="15">
        <v>2.07376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1208</v>
      </c>
      <c r="AF195" s="22" t="s">
        <v>5</v>
      </c>
      <c r="AG195" s="17">
        <f t="shared" si="18"/>
        <v>5752.7813004905956</v>
      </c>
      <c r="AH195" s="17">
        <v>999.98754697515585</v>
      </c>
      <c r="AI195" s="62">
        <v>2.2128460430477115</v>
      </c>
      <c r="AJ195" s="17">
        <f t="shared" si="19"/>
        <v>1.6651722487100005</v>
      </c>
      <c r="AK195" s="15">
        <f t="shared" si="20"/>
        <v>0.33797841511828491</v>
      </c>
      <c r="AL195" s="5">
        <v>1.5359</v>
      </c>
      <c r="AO195" s="5">
        <f t="shared" si="21"/>
        <v>3</v>
      </c>
      <c r="AP195" s="5">
        <f t="shared" si="22"/>
        <v>2.2128460430477115</v>
      </c>
    </row>
    <row r="196" spans="1:42">
      <c r="A196" s="15">
        <v>191</v>
      </c>
      <c r="B196" s="20" t="s">
        <v>1113</v>
      </c>
      <c r="C196" s="20">
        <v>300</v>
      </c>
      <c r="D196" s="15">
        <v>300</v>
      </c>
      <c r="E196" s="15">
        <v>900</v>
      </c>
      <c r="F196" s="15">
        <v>35</v>
      </c>
      <c r="G196" s="15">
        <v>35</v>
      </c>
      <c r="H196" s="15">
        <v>18.5</v>
      </c>
      <c r="I196" s="15">
        <v>30</v>
      </c>
      <c r="J196" s="15">
        <v>30</v>
      </c>
      <c r="K196" s="15">
        <v>48840.900347605508</v>
      </c>
      <c r="L196" s="15">
        <v>37002.5</v>
      </c>
      <c r="M196" s="15"/>
      <c r="N196" s="15"/>
      <c r="O196" s="15"/>
      <c r="P196" s="15">
        <v>4925970463.541666</v>
      </c>
      <c r="Q196" s="15"/>
      <c r="R196" s="15"/>
      <c r="S196" s="15">
        <v>2274.4120230030417</v>
      </c>
      <c r="T196" s="15">
        <v>460</v>
      </c>
      <c r="U196" s="15">
        <v>210000</v>
      </c>
      <c r="V196" s="15">
        <f t="shared" si="17"/>
        <v>7.483758363854391</v>
      </c>
      <c r="W196" s="15">
        <v>1.80067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1209</v>
      </c>
      <c r="AF196" s="22" t="s">
        <v>5</v>
      </c>
      <c r="AG196" s="17">
        <f t="shared" si="18"/>
        <v>4095.465497460887</v>
      </c>
      <c r="AH196" s="17">
        <v>775.52527582737423</v>
      </c>
      <c r="AI196" s="62">
        <v>1.88180396210643</v>
      </c>
      <c r="AJ196" s="17">
        <f t="shared" si="19"/>
        <v>1.9942182619281448</v>
      </c>
      <c r="AK196" s="15">
        <f t="shared" si="20"/>
        <v>0.24061038751558428</v>
      </c>
      <c r="AL196" s="5">
        <v>1.5359</v>
      </c>
      <c r="AO196" s="5">
        <f t="shared" si="21"/>
        <v>3</v>
      </c>
      <c r="AP196" s="5">
        <f t="shared" si="22"/>
        <v>1.88180396210643</v>
      </c>
    </row>
    <row r="197" spans="1:42" ht="13.5" thickBot="1">
      <c r="A197" s="42">
        <v>192</v>
      </c>
      <c r="B197" s="45" t="s">
        <v>1114</v>
      </c>
      <c r="C197" s="45">
        <v>300</v>
      </c>
      <c r="D197" s="42">
        <v>300</v>
      </c>
      <c r="E197" s="42">
        <v>900</v>
      </c>
      <c r="F197" s="42">
        <v>35</v>
      </c>
      <c r="G197" s="42">
        <v>35</v>
      </c>
      <c r="H197" s="42">
        <v>18.5</v>
      </c>
      <c r="I197" s="42">
        <v>30</v>
      </c>
      <c r="J197" s="42">
        <v>30</v>
      </c>
      <c r="K197" s="42">
        <v>61051.125434506881</v>
      </c>
      <c r="L197" s="42">
        <v>37002.5</v>
      </c>
      <c r="M197" s="42"/>
      <c r="N197" s="42"/>
      <c r="O197" s="42"/>
      <c r="P197" s="42">
        <v>4925970463.541666</v>
      </c>
      <c r="Q197" s="42"/>
      <c r="R197" s="42"/>
      <c r="S197" s="42">
        <v>1678.351225313889</v>
      </c>
      <c r="T197" s="42">
        <v>460</v>
      </c>
      <c r="U197" s="42">
        <v>210000</v>
      </c>
      <c r="V197" s="42">
        <f t="shared" si="17"/>
        <v>10.141589998134428</v>
      </c>
      <c r="W197" s="42">
        <v>1.5869599999999999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1210</v>
      </c>
      <c r="AF197" s="44" t="s">
        <v>5</v>
      </c>
      <c r="AG197" s="43">
        <f t="shared" si="18"/>
        <v>2663.476260524129</v>
      </c>
      <c r="AH197" s="43">
        <v>544.22774210074158</v>
      </c>
      <c r="AI197" s="64">
        <v>1.6320770019704725</v>
      </c>
      <c r="AJ197" s="43">
        <f t="shared" si="19"/>
        <v>2.4927728274101804</v>
      </c>
      <c r="AK197" s="42">
        <f t="shared" si="20"/>
        <v>0.15648039412872394</v>
      </c>
      <c r="AL197" s="5">
        <v>1.5359</v>
      </c>
      <c r="AO197" s="5">
        <f t="shared" si="21"/>
        <v>3</v>
      </c>
      <c r="AP197" s="5">
        <f t="shared" si="22"/>
        <v>1.6320770019704725</v>
      </c>
    </row>
    <row r="198" spans="1:42">
      <c r="A198" s="36">
        <v>193</v>
      </c>
      <c r="B198" s="37" t="s">
        <v>1019</v>
      </c>
      <c r="C198" s="37">
        <v>100</v>
      </c>
      <c r="D198" s="36">
        <v>100</v>
      </c>
      <c r="E198" s="36">
        <v>100</v>
      </c>
      <c r="F198" s="36">
        <v>10</v>
      </c>
      <c r="G198" s="36">
        <v>10</v>
      </c>
      <c r="H198" s="36">
        <v>6</v>
      </c>
      <c r="I198" s="36">
        <v>12</v>
      </c>
      <c r="J198" s="36">
        <v>12</v>
      </c>
      <c r="K198" s="36">
        <v>957.01034280263218</v>
      </c>
      <c r="L198" s="36">
        <v>2540</v>
      </c>
      <c r="M198" s="36"/>
      <c r="N198" s="36"/>
      <c r="O198" s="36"/>
      <c r="P198" s="36">
        <v>4414500</v>
      </c>
      <c r="Q198" s="36"/>
      <c r="R198" s="36"/>
      <c r="S198" s="36">
        <v>238.75134815390757</v>
      </c>
      <c r="T198" s="36">
        <v>355</v>
      </c>
      <c r="U198" s="36">
        <v>210000</v>
      </c>
      <c r="V198" s="36">
        <f t="shared" si="17"/>
        <v>3.7767326005578501</v>
      </c>
      <c r="W198" s="15">
        <v>4.0590999999999999</v>
      </c>
      <c r="X198" s="36"/>
      <c r="Y198" s="36"/>
      <c r="Z198" s="36"/>
      <c r="AA198" s="38"/>
      <c r="AB198" s="36">
        <v>0.3550200773318104</v>
      </c>
      <c r="AC198" s="39">
        <v>0.3</v>
      </c>
      <c r="AD198" s="36"/>
      <c r="AE198" s="36" t="s">
        <v>1212</v>
      </c>
      <c r="AF198" s="40" t="s">
        <v>5</v>
      </c>
      <c r="AG198" s="39">
        <f t="shared" si="18"/>
        <v>969.11559729152623</v>
      </c>
      <c r="AH198" s="39">
        <v>4741.8953999865516</v>
      </c>
      <c r="AI198" s="65">
        <v>41.842870074695597</v>
      </c>
      <c r="AJ198" s="39">
        <f t="shared" si="19"/>
        <v>0.30043282782211023</v>
      </c>
      <c r="AK198" s="36">
        <f t="shared" si="20"/>
        <v>1.0747649964417503</v>
      </c>
      <c r="AL198" s="56">
        <v>26.521000000000001</v>
      </c>
      <c r="AO198" s="5">
        <f t="shared" si="21"/>
        <v>1</v>
      </c>
      <c r="AP198" s="5">
        <f t="shared" si="22"/>
        <v>41.842870074695597</v>
      </c>
    </row>
    <row r="199" spans="1:42">
      <c r="A199" s="15">
        <v>194</v>
      </c>
      <c r="B199" s="20" t="s">
        <v>1020</v>
      </c>
      <c r="C199" s="20">
        <v>100</v>
      </c>
      <c r="D199" s="15">
        <v>100</v>
      </c>
      <c r="E199" s="15">
        <v>100</v>
      </c>
      <c r="F199" s="15">
        <v>10</v>
      </c>
      <c r="G199" s="15">
        <v>10</v>
      </c>
      <c r="H199" s="15">
        <v>6</v>
      </c>
      <c r="I199" s="15">
        <v>12</v>
      </c>
      <c r="J199" s="15">
        <v>12</v>
      </c>
      <c r="K199" s="15">
        <v>1595.0172380043869</v>
      </c>
      <c r="L199" s="15">
        <v>2540</v>
      </c>
      <c r="M199" s="15"/>
      <c r="N199" s="15"/>
      <c r="O199" s="15"/>
      <c r="P199" s="15">
        <v>4414500</v>
      </c>
      <c r="Q199" s="15"/>
      <c r="R199" s="15"/>
      <c r="S199" s="15">
        <v>212.04837229778374</v>
      </c>
      <c r="T199" s="15">
        <v>355</v>
      </c>
      <c r="U199" s="15">
        <v>210000</v>
      </c>
      <c r="V199" s="15">
        <f t="shared" ref="V199:V262" si="23">L199*T199/(S199*1000)</f>
        <v>4.2523316271144251</v>
      </c>
      <c r="W199" s="5">
        <v>4.3899900000000001</v>
      </c>
      <c r="X199" s="15"/>
      <c r="Y199" s="15"/>
      <c r="Z199" s="15"/>
      <c r="AA199" s="16"/>
      <c r="AB199" s="15">
        <v>0.3550200773318104</v>
      </c>
      <c r="AC199" s="17">
        <v>0.5</v>
      </c>
      <c r="AD199" s="15"/>
      <c r="AE199" s="15" t="s">
        <v>1213</v>
      </c>
      <c r="AF199" s="22" t="s">
        <v>5</v>
      </c>
      <c r="AG199" s="17">
        <f t="shared" ref="AG199:AG262" si="24">W199*S199</f>
        <v>930.89023390354771</v>
      </c>
      <c r="AH199" s="17">
        <v>4211.5414591305607</v>
      </c>
      <c r="AI199" s="62">
        <v>16.96035179037327</v>
      </c>
      <c r="AJ199" s="17">
        <f t="shared" ref="AJ199:AJ262" si="25">(V199/AI199)^0.5</f>
        <v>0.50072137970351704</v>
      </c>
      <c r="AK199" s="15">
        <f t="shared" ref="AK199:AK262" si="26">W199/V199</f>
        <v>1.0323724452739798</v>
      </c>
      <c r="AL199" s="5">
        <v>26.521000000000001</v>
      </c>
      <c r="AO199" s="5">
        <f t="shared" ref="AO199:AO262" si="27">E199/C199</f>
        <v>1</v>
      </c>
      <c r="AP199" s="5">
        <f t="shared" si="22"/>
        <v>16.96035179037327</v>
      </c>
    </row>
    <row r="200" spans="1:42">
      <c r="A200" s="15">
        <v>195</v>
      </c>
      <c r="B200" s="20" t="s">
        <v>1021</v>
      </c>
      <c r="C200" s="20">
        <v>100</v>
      </c>
      <c r="D200" s="15">
        <v>100</v>
      </c>
      <c r="E200" s="15">
        <v>100</v>
      </c>
      <c r="F200" s="15">
        <v>10</v>
      </c>
      <c r="G200" s="15">
        <v>10</v>
      </c>
      <c r="H200" s="15">
        <v>6</v>
      </c>
      <c r="I200" s="15">
        <v>12</v>
      </c>
      <c r="J200" s="15">
        <v>12</v>
      </c>
      <c r="K200" s="15">
        <v>2392.5258570065803</v>
      </c>
      <c r="L200" s="15">
        <v>2540</v>
      </c>
      <c r="M200" s="15"/>
      <c r="N200" s="15"/>
      <c r="O200" s="15"/>
      <c r="P200" s="15">
        <v>4414500</v>
      </c>
      <c r="Q200" s="15"/>
      <c r="R200" s="15"/>
      <c r="S200" s="15">
        <v>174.45406310961698</v>
      </c>
      <c r="T200" s="15">
        <v>355</v>
      </c>
      <c r="U200" s="15">
        <v>210000</v>
      </c>
      <c r="V200" s="15">
        <f t="shared" si="23"/>
        <v>5.1686958957982148</v>
      </c>
      <c r="W200" s="15">
        <v>4.8368000000000002</v>
      </c>
      <c r="X200" s="15"/>
      <c r="Y200" s="15"/>
      <c r="Z200" s="15"/>
      <c r="AA200" s="16"/>
      <c r="AB200" s="15">
        <v>0.3550200773318104</v>
      </c>
      <c r="AC200" s="17">
        <v>0.75</v>
      </c>
      <c r="AD200" s="15"/>
      <c r="AE200" s="15" t="s">
        <v>1214</v>
      </c>
      <c r="AF200" s="22" t="s">
        <v>5</v>
      </c>
      <c r="AG200" s="17">
        <f t="shared" si="24"/>
        <v>843.79941244859549</v>
      </c>
      <c r="AH200" s="17">
        <v>3464.8722437168653</v>
      </c>
      <c r="AI200" s="62">
        <v>9.1623355401566755</v>
      </c>
      <c r="AJ200" s="17">
        <f t="shared" si="25"/>
        <v>0.75108206955527557</v>
      </c>
      <c r="AK200" s="15">
        <f t="shared" si="26"/>
        <v>0.93578730447886815</v>
      </c>
      <c r="AL200" s="5">
        <v>26.521000000000001</v>
      </c>
      <c r="AO200" s="5">
        <f t="shared" si="27"/>
        <v>1</v>
      </c>
      <c r="AP200" s="5">
        <f t="shared" si="22"/>
        <v>9.1623355401566755</v>
      </c>
    </row>
    <row r="201" spans="1:42">
      <c r="A201" s="15">
        <v>196</v>
      </c>
      <c r="B201" s="20" t="s">
        <v>1022</v>
      </c>
      <c r="C201" s="20">
        <v>100</v>
      </c>
      <c r="D201" s="15">
        <v>100</v>
      </c>
      <c r="E201" s="15">
        <v>100</v>
      </c>
      <c r="F201" s="15">
        <v>10</v>
      </c>
      <c r="G201" s="15">
        <v>10</v>
      </c>
      <c r="H201" s="15">
        <v>6</v>
      </c>
      <c r="I201" s="15">
        <v>12</v>
      </c>
      <c r="J201" s="15">
        <v>12</v>
      </c>
      <c r="K201" s="15">
        <v>3190.0344760087737</v>
      </c>
      <c r="L201" s="15">
        <v>2540</v>
      </c>
      <c r="M201" s="15"/>
      <c r="N201" s="15"/>
      <c r="O201" s="15"/>
      <c r="P201" s="15">
        <v>4414500</v>
      </c>
      <c r="Q201" s="15"/>
      <c r="R201" s="15"/>
      <c r="S201" s="15">
        <v>135.81780559081977</v>
      </c>
      <c r="T201" s="15">
        <v>355</v>
      </c>
      <c r="U201" s="15">
        <v>210000</v>
      </c>
      <c r="V201" s="15">
        <f t="shared" si="23"/>
        <v>6.6390411483790599</v>
      </c>
      <c r="W201" s="15">
        <v>5.0160499999999999</v>
      </c>
      <c r="X201" s="15"/>
      <c r="Y201" s="15"/>
      <c r="Z201" s="15"/>
      <c r="AA201" s="16"/>
      <c r="AB201" s="15">
        <v>0.3550200773318104</v>
      </c>
      <c r="AC201" s="17">
        <v>1</v>
      </c>
      <c r="AD201" s="15"/>
      <c r="AE201" s="15" t="s">
        <v>1215</v>
      </c>
      <c r="AF201" s="22" t="s">
        <v>5</v>
      </c>
      <c r="AG201" s="17">
        <f t="shared" si="24"/>
        <v>681.26890373383151</v>
      </c>
      <c r="AH201" s="17">
        <v>2697.5086530284602</v>
      </c>
      <c r="AI201" s="62">
        <v>6.6199254492106583</v>
      </c>
      <c r="AJ201" s="17">
        <f t="shared" si="25"/>
        <v>1.0014427594070341</v>
      </c>
      <c r="AK201" s="15">
        <f t="shared" si="26"/>
        <v>0.75553832065413273</v>
      </c>
      <c r="AL201" s="5">
        <v>26.521000000000001</v>
      </c>
      <c r="AO201" s="5">
        <f t="shared" si="27"/>
        <v>1</v>
      </c>
      <c r="AP201" s="5">
        <f t="shared" si="22"/>
        <v>6.6199254492106583</v>
      </c>
    </row>
    <row r="202" spans="1:42">
      <c r="A202" s="15">
        <v>197</v>
      </c>
      <c r="B202" s="20" t="s">
        <v>1023</v>
      </c>
      <c r="C202" s="20">
        <v>100</v>
      </c>
      <c r="D202" s="15">
        <v>100</v>
      </c>
      <c r="E202" s="15">
        <v>100</v>
      </c>
      <c r="F202" s="15">
        <v>10</v>
      </c>
      <c r="G202" s="15">
        <v>10</v>
      </c>
      <c r="H202" s="15">
        <v>6</v>
      </c>
      <c r="I202" s="15">
        <v>12</v>
      </c>
      <c r="J202" s="15">
        <v>12</v>
      </c>
      <c r="K202" s="15">
        <v>4242.7458530916692</v>
      </c>
      <c r="L202" s="15">
        <v>2540</v>
      </c>
      <c r="M202" s="15"/>
      <c r="N202" s="15"/>
      <c r="O202" s="15"/>
      <c r="P202" s="15">
        <v>4414500</v>
      </c>
      <c r="Q202" s="15"/>
      <c r="R202" s="15"/>
      <c r="S202" s="15">
        <v>94.678929117652999</v>
      </c>
      <c r="T202" s="15">
        <v>355</v>
      </c>
      <c r="U202" s="15">
        <v>210000</v>
      </c>
      <c r="V202" s="15">
        <f t="shared" si="23"/>
        <v>9.5237663586107981</v>
      </c>
      <c r="W202" s="15">
        <v>4.8714300000000001</v>
      </c>
      <c r="X202" s="15"/>
      <c r="Y202" s="15"/>
      <c r="Z202" s="15"/>
      <c r="AA202" s="16"/>
      <c r="AB202" s="15">
        <v>0.3550200773318104</v>
      </c>
      <c r="AC202" s="17">
        <v>1.33</v>
      </c>
      <c r="AD202" s="15"/>
      <c r="AE202" s="15" t="s">
        <v>1216</v>
      </c>
      <c r="AF202" s="22" t="s">
        <v>5</v>
      </c>
      <c r="AG202" s="17">
        <f t="shared" si="24"/>
        <v>461.22177567160838</v>
      </c>
      <c r="AH202" s="17">
        <v>1880.4399720886074</v>
      </c>
      <c r="AI202" s="62">
        <v>5.3685028606048011</v>
      </c>
      <c r="AJ202" s="17">
        <f t="shared" si="25"/>
        <v>1.3319188700113553</v>
      </c>
      <c r="AK202" s="15">
        <f t="shared" si="26"/>
        <v>0.5115024683060978</v>
      </c>
      <c r="AL202" s="5">
        <v>26.521000000000001</v>
      </c>
      <c r="AO202" s="5">
        <f t="shared" si="27"/>
        <v>1</v>
      </c>
      <c r="AP202" s="5">
        <f t="shared" si="22"/>
        <v>5.3685028606048011</v>
      </c>
    </row>
    <row r="203" spans="1:42">
      <c r="A203" s="15">
        <v>198</v>
      </c>
      <c r="B203" s="20" t="s">
        <v>1024</v>
      </c>
      <c r="C203" s="20">
        <v>100</v>
      </c>
      <c r="D203" s="15">
        <v>100</v>
      </c>
      <c r="E203" s="15">
        <v>100</v>
      </c>
      <c r="F203" s="15">
        <v>10</v>
      </c>
      <c r="G203" s="15">
        <v>10</v>
      </c>
      <c r="H203" s="15">
        <v>6</v>
      </c>
      <c r="I203" s="15">
        <v>12</v>
      </c>
      <c r="J203" s="15">
        <v>12</v>
      </c>
      <c r="K203" s="15">
        <v>5327.3575749346519</v>
      </c>
      <c r="L203" s="15">
        <v>2540</v>
      </c>
      <c r="M203" s="15"/>
      <c r="N203" s="15"/>
      <c r="O203" s="15"/>
      <c r="P203" s="15">
        <v>4414500</v>
      </c>
      <c r="Q203" s="15"/>
      <c r="R203" s="15"/>
      <c r="S203" s="15">
        <v>66.734604689456575</v>
      </c>
      <c r="T203" s="15">
        <v>355</v>
      </c>
      <c r="U203" s="15">
        <v>210000</v>
      </c>
      <c r="V203" s="15">
        <f t="shared" si="23"/>
        <v>13.511730596082483</v>
      </c>
      <c r="W203" s="15">
        <v>4.6505599999999996</v>
      </c>
      <c r="X203" s="15"/>
      <c r="Y203" s="15"/>
      <c r="Z203" s="15"/>
      <c r="AA203" s="16"/>
      <c r="AB203" s="15">
        <v>0.3550200773318104</v>
      </c>
      <c r="AC203" s="17">
        <v>1.67</v>
      </c>
      <c r="AD203" s="15"/>
      <c r="AE203" s="15" t="s">
        <v>1217</v>
      </c>
      <c r="AF203" s="22" t="s">
        <v>5</v>
      </c>
      <c r="AG203" s="17">
        <f t="shared" si="24"/>
        <v>310.35328318459915</v>
      </c>
      <c r="AH203" s="17">
        <v>1325.4313219327296</v>
      </c>
      <c r="AI203" s="62">
        <v>4.8308747023685159</v>
      </c>
      <c r="AJ203" s="17">
        <f t="shared" si="25"/>
        <v>1.6724094082097469</v>
      </c>
      <c r="AK203" s="15">
        <f t="shared" si="26"/>
        <v>0.34418685059842424</v>
      </c>
      <c r="AL203" s="5">
        <v>26.521000000000001</v>
      </c>
      <c r="AO203" s="5">
        <f t="shared" si="27"/>
        <v>1</v>
      </c>
      <c r="AP203" s="5">
        <f t="shared" si="22"/>
        <v>4.8308747023685159</v>
      </c>
    </row>
    <row r="204" spans="1:42">
      <c r="A204" s="15">
        <v>199</v>
      </c>
      <c r="B204" s="20" t="s">
        <v>1025</v>
      </c>
      <c r="C204" s="20">
        <v>100</v>
      </c>
      <c r="D204" s="15">
        <v>100</v>
      </c>
      <c r="E204" s="15">
        <v>100</v>
      </c>
      <c r="F204" s="15">
        <v>10</v>
      </c>
      <c r="G204" s="15">
        <v>10</v>
      </c>
      <c r="H204" s="15">
        <v>6</v>
      </c>
      <c r="I204" s="15">
        <v>12</v>
      </c>
      <c r="J204" s="15">
        <v>12</v>
      </c>
      <c r="K204" s="15">
        <v>6380.0689520175474</v>
      </c>
      <c r="L204" s="15">
        <v>2540</v>
      </c>
      <c r="M204" s="15"/>
      <c r="N204" s="15"/>
      <c r="O204" s="15"/>
      <c r="P204" s="15">
        <v>4414500</v>
      </c>
      <c r="Q204" s="15"/>
      <c r="R204" s="15"/>
      <c r="S204" s="15">
        <v>49.348588193575218</v>
      </c>
      <c r="T204" s="15">
        <v>355</v>
      </c>
      <c r="U204" s="15">
        <v>210000</v>
      </c>
      <c r="V204" s="15">
        <f t="shared" si="23"/>
        <v>18.272052616033989</v>
      </c>
      <c r="W204" s="15">
        <v>4.4292699999999998</v>
      </c>
      <c r="X204" s="15"/>
      <c r="Y204" s="15"/>
      <c r="Z204" s="15"/>
      <c r="AA204" s="16"/>
      <c r="AB204" s="15">
        <v>0.3550200773318104</v>
      </c>
      <c r="AC204" s="17">
        <v>2</v>
      </c>
      <c r="AD204" s="15"/>
      <c r="AE204" s="15" t="s">
        <v>1218</v>
      </c>
      <c r="AF204" s="22" t="s">
        <v>5</v>
      </c>
      <c r="AG204" s="17">
        <f t="shared" si="24"/>
        <v>218.57822122815691</v>
      </c>
      <c r="AH204" s="17">
        <v>980.12365232843217</v>
      </c>
      <c r="AI204" s="62">
        <v>4.5548605370420168</v>
      </c>
      <c r="AJ204" s="17">
        <f t="shared" si="25"/>
        <v>2.0028855188140682</v>
      </c>
      <c r="AK204" s="15">
        <f t="shared" si="26"/>
        <v>0.2424068107221436</v>
      </c>
      <c r="AL204" s="5">
        <v>26.521000000000001</v>
      </c>
      <c r="AO204" s="5">
        <f t="shared" si="27"/>
        <v>1</v>
      </c>
      <c r="AP204" s="5">
        <f t="shared" si="22"/>
        <v>4.5548605370420168</v>
      </c>
    </row>
    <row r="205" spans="1:42">
      <c r="A205" s="15">
        <v>200</v>
      </c>
      <c r="B205" s="20" t="s">
        <v>1026</v>
      </c>
      <c r="C205" s="20">
        <v>100</v>
      </c>
      <c r="D205" s="15">
        <v>100</v>
      </c>
      <c r="E205" s="15">
        <v>100</v>
      </c>
      <c r="F205" s="15">
        <v>10</v>
      </c>
      <c r="G205" s="15">
        <v>10</v>
      </c>
      <c r="H205" s="15">
        <v>6</v>
      </c>
      <c r="I205" s="15">
        <v>12</v>
      </c>
      <c r="J205" s="15">
        <v>12</v>
      </c>
      <c r="K205" s="15">
        <v>7975.0861900219343</v>
      </c>
      <c r="L205" s="15">
        <v>2540</v>
      </c>
      <c r="M205" s="15"/>
      <c r="N205" s="15"/>
      <c r="O205" s="15"/>
      <c r="P205" s="15">
        <v>4414500</v>
      </c>
      <c r="Q205" s="15"/>
      <c r="R205" s="15"/>
      <c r="S205" s="15">
        <v>33.320972493220154</v>
      </c>
      <c r="T205" s="15">
        <v>355</v>
      </c>
      <c r="U205" s="15">
        <v>210000</v>
      </c>
      <c r="V205" s="15">
        <f t="shared" si="23"/>
        <v>27.061034913775988</v>
      </c>
      <c r="W205" s="15">
        <v>4.2117000000000004</v>
      </c>
      <c r="X205" s="15"/>
      <c r="Y205" s="15"/>
      <c r="Z205" s="15"/>
      <c r="AA205" s="16"/>
      <c r="AB205" s="15">
        <v>0.3550200773318104</v>
      </c>
      <c r="AC205" s="17">
        <v>2.5</v>
      </c>
      <c r="AD205" s="15"/>
      <c r="AE205" s="15" t="s">
        <v>1219</v>
      </c>
      <c r="AF205" s="22" t="s">
        <v>5</v>
      </c>
      <c r="AG205" s="17">
        <f t="shared" si="24"/>
        <v>140.33793984969535</v>
      </c>
      <c r="AH205" s="17">
        <v>661.79549313716848</v>
      </c>
      <c r="AI205" s="62">
        <v>4.3172989521577971</v>
      </c>
      <c r="AJ205" s="17">
        <f t="shared" si="25"/>
        <v>2.5036068985175852</v>
      </c>
      <c r="AK205" s="15">
        <f t="shared" si="26"/>
        <v>0.15563706315814058</v>
      </c>
      <c r="AL205" s="5">
        <v>26.521000000000001</v>
      </c>
      <c r="AO205" s="5">
        <f t="shared" si="27"/>
        <v>1</v>
      </c>
      <c r="AP205" s="5">
        <f t="shared" si="22"/>
        <v>4.3172989521577971</v>
      </c>
    </row>
    <row r="206" spans="1:42">
      <c r="A206" s="15">
        <v>201</v>
      </c>
      <c r="B206" s="20" t="s">
        <v>1027</v>
      </c>
      <c r="C206" s="20">
        <v>140</v>
      </c>
      <c r="D206" s="15">
        <v>140</v>
      </c>
      <c r="E206" s="15">
        <v>140</v>
      </c>
      <c r="F206" s="15">
        <v>12</v>
      </c>
      <c r="G206" s="15">
        <v>12</v>
      </c>
      <c r="H206" s="15">
        <v>7</v>
      </c>
      <c r="I206" s="15">
        <v>12</v>
      </c>
      <c r="J206" s="15">
        <v>12</v>
      </c>
      <c r="K206" s="15">
        <v>1361.2911110846781</v>
      </c>
      <c r="L206" s="15">
        <v>4256.0000000000009</v>
      </c>
      <c r="M206" s="15"/>
      <c r="N206" s="15"/>
      <c r="O206" s="15"/>
      <c r="P206" s="15">
        <v>14985898.666666668</v>
      </c>
      <c r="Q206" s="15"/>
      <c r="R206" s="15"/>
      <c r="S206" s="15">
        <v>401.64138084600899</v>
      </c>
      <c r="T206" s="15">
        <v>355</v>
      </c>
      <c r="U206" s="15">
        <v>210000</v>
      </c>
      <c r="V206" s="15">
        <f t="shared" si="23"/>
        <v>3.761763782450688</v>
      </c>
      <c r="W206" s="15">
        <v>3.9311699999999998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1220</v>
      </c>
      <c r="AF206" s="22" t="s">
        <v>5</v>
      </c>
      <c r="AG206" s="17">
        <f t="shared" si="24"/>
        <v>1578.920547140405</v>
      </c>
      <c r="AH206" s="17">
        <v>3648.4671743293502</v>
      </c>
      <c r="AI206" s="62">
        <v>41.731247047156906</v>
      </c>
      <c r="AJ206" s="17">
        <f>(V206/AI206)^0.5</f>
        <v>0.30023759943100198</v>
      </c>
      <c r="AK206" s="15">
        <f t="shared" si="26"/>
        <v>1.0450337201765891</v>
      </c>
      <c r="AL206" s="56">
        <v>15.672000000000001</v>
      </c>
      <c r="AO206" s="5">
        <f t="shared" si="27"/>
        <v>1</v>
      </c>
      <c r="AP206" s="5">
        <f t="shared" si="22"/>
        <v>41.731247047156906</v>
      </c>
    </row>
    <row r="207" spans="1:42">
      <c r="A207" s="15">
        <v>202</v>
      </c>
      <c r="B207" s="20" t="s">
        <v>1028</v>
      </c>
      <c r="C207" s="20">
        <v>140</v>
      </c>
      <c r="D207" s="15">
        <v>140</v>
      </c>
      <c r="E207" s="15">
        <v>140</v>
      </c>
      <c r="F207" s="15">
        <v>12</v>
      </c>
      <c r="G207" s="15">
        <v>12</v>
      </c>
      <c r="H207" s="15">
        <v>7</v>
      </c>
      <c r="I207" s="15">
        <v>12</v>
      </c>
      <c r="J207" s="15">
        <v>12</v>
      </c>
      <c r="K207" s="15">
        <v>2268.8185184744634</v>
      </c>
      <c r="L207" s="15">
        <v>4256.0000000000009</v>
      </c>
      <c r="M207" s="15"/>
      <c r="N207" s="15"/>
      <c r="O207" s="15"/>
      <c r="P207" s="15">
        <v>14985898.666666668</v>
      </c>
      <c r="Q207" s="15"/>
      <c r="R207" s="15"/>
      <c r="S207" s="15">
        <v>356.7200843654652</v>
      </c>
      <c r="T207" s="15">
        <v>355</v>
      </c>
      <c r="U207" s="15">
        <v>210000</v>
      </c>
      <c r="V207" s="15">
        <f t="shared" si="23"/>
        <v>4.2354778052028053</v>
      </c>
      <c r="W207" s="15">
        <v>4.2529700000000004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1221</v>
      </c>
      <c r="AF207" s="22" t="s">
        <v>5</v>
      </c>
      <c r="AG207" s="17">
        <f t="shared" si="24"/>
        <v>1517.1198172037928</v>
      </c>
      <c r="AH207" s="17">
        <v>3240.4069408634709</v>
      </c>
      <c r="AI207" s="62">
        <v>16.915107145070891</v>
      </c>
      <c r="AJ207" s="17">
        <f t="shared" si="25"/>
        <v>0.50039599905166998</v>
      </c>
      <c r="AK207" s="15">
        <f t="shared" si="26"/>
        <v>1.004129922431823</v>
      </c>
      <c r="AL207" s="5">
        <v>15.672000000000001</v>
      </c>
      <c r="AO207" s="5">
        <f t="shared" si="27"/>
        <v>1</v>
      </c>
      <c r="AP207" s="5">
        <f t="shared" si="22"/>
        <v>16.915107145070891</v>
      </c>
    </row>
    <row r="208" spans="1:42">
      <c r="A208" s="15">
        <v>203</v>
      </c>
      <c r="B208" s="20" t="s">
        <v>1029</v>
      </c>
      <c r="C208" s="20">
        <v>140</v>
      </c>
      <c r="D208" s="15">
        <v>140</v>
      </c>
      <c r="E208" s="15">
        <v>140</v>
      </c>
      <c r="F208" s="15">
        <v>12</v>
      </c>
      <c r="G208" s="15">
        <v>12</v>
      </c>
      <c r="H208" s="15">
        <v>7</v>
      </c>
      <c r="I208" s="15">
        <v>12</v>
      </c>
      <c r="J208" s="15">
        <v>12</v>
      </c>
      <c r="K208" s="15">
        <v>3403.2277777116951</v>
      </c>
      <c r="L208" s="15">
        <v>4256</v>
      </c>
      <c r="M208" s="15"/>
      <c r="N208" s="15"/>
      <c r="O208" s="15"/>
      <c r="P208" s="15">
        <v>14985898.666666666</v>
      </c>
      <c r="Q208" s="15"/>
      <c r="R208" s="15"/>
      <c r="S208" s="15">
        <v>293.47675455375884</v>
      </c>
      <c r="T208" s="15">
        <v>355</v>
      </c>
      <c r="U208" s="15">
        <v>210000</v>
      </c>
      <c r="V208" s="15">
        <f t="shared" si="23"/>
        <v>5.1482101275698762</v>
      </c>
      <c r="W208" s="15">
        <v>4.6455299999999999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1222</v>
      </c>
      <c r="AF208" s="22" t="s">
        <v>5</v>
      </c>
      <c r="AG208" s="17">
        <f t="shared" si="24"/>
        <v>1363.3550675821232</v>
      </c>
      <c r="AH208" s="17">
        <v>2665.911324083977</v>
      </c>
      <c r="AI208" s="62">
        <v>9.1378934397345013</v>
      </c>
      <c r="AJ208" s="17">
        <f t="shared" si="25"/>
        <v>0.75059399857750497</v>
      </c>
      <c r="AK208" s="15">
        <f t="shared" si="26"/>
        <v>0.9023582730475771</v>
      </c>
      <c r="AL208" s="5">
        <v>15.672000000000001</v>
      </c>
      <c r="AO208" s="5">
        <f t="shared" si="27"/>
        <v>1</v>
      </c>
      <c r="AP208" s="5">
        <f t="shared" si="22"/>
        <v>9.1378934397345013</v>
      </c>
    </row>
    <row r="209" spans="1:42">
      <c r="A209" s="15">
        <v>204</v>
      </c>
      <c r="B209" s="20" t="s">
        <v>1030</v>
      </c>
      <c r="C209" s="20">
        <v>140</v>
      </c>
      <c r="D209" s="15">
        <v>140</v>
      </c>
      <c r="E209" s="15">
        <v>140</v>
      </c>
      <c r="F209" s="15">
        <v>12</v>
      </c>
      <c r="G209" s="15">
        <v>12</v>
      </c>
      <c r="H209" s="15">
        <v>7</v>
      </c>
      <c r="I209" s="15">
        <v>12</v>
      </c>
      <c r="J209" s="15">
        <v>12</v>
      </c>
      <c r="K209" s="15">
        <v>4537.6370369489268</v>
      </c>
      <c r="L209" s="15">
        <v>4256</v>
      </c>
      <c r="M209" s="15"/>
      <c r="N209" s="15"/>
      <c r="O209" s="15"/>
      <c r="P209" s="15">
        <v>14985898.666666666</v>
      </c>
      <c r="Q209" s="15"/>
      <c r="R209" s="15"/>
      <c r="S209" s="15">
        <v>228.48059876004035</v>
      </c>
      <c r="T209" s="15">
        <v>355</v>
      </c>
      <c r="U209" s="15">
        <v>210000</v>
      </c>
      <c r="V209" s="15">
        <f t="shared" si="23"/>
        <v>6.6127277685699157</v>
      </c>
      <c r="W209" s="15">
        <v>4.8689200000000001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1223</v>
      </c>
      <c r="AF209" s="22" t="s">
        <v>5</v>
      </c>
      <c r="AG209" s="17">
        <f t="shared" si="24"/>
        <v>1112.4537569147358</v>
      </c>
      <c r="AH209" s="17">
        <v>2075.4932243068097</v>
      </c>
      <c r="AI209" s="62">
        <v>6.6022656634597681</v>
      </c>
      <c r="AJ209" s="17">
        <f t="shared" si="25"/>
        <v>1.00079199810334</v>
      </c>
      <c r="AK209" s="15">
        <f t="shared" si="26"/>
        <v>0.73629524311311012</v>
      </c>
      <c r="AL209" s="5">
        <v>15.672000000000001</v>
      </c>
      <c r="AO209" s="5">
        <f t="shared" si="27"/>
        <v>1</v>
      </c>
      <c r="AP209" s="5">
        <f t="shared" si="22"/>
        <v>6.6022656634597681</v>
      </c>
    </row>
    <row r="210" spans="1:42">
      <c r="A210" s="15">
        <v>205</v>
      </c>
      <c r="B210" s="20" t="s">
        <v>1031</v>
      </c>
      <c r="C210" s="20">
        <v>140</v>
      </c>
      <c r="D210" s="15">
        <v>140</v>
      </c>
      <c r="E210" s="15">
        <v>140</v>
      </c>
      <c r="F210" s="15">
        <v>12</v>
      </c>
      <c r="G210" s="15">
        <v>12</v>
      </c>
      <c r="H210" s="15">
        <v>7</v>
      </c>
      <c r="I210" s="15">
        <v>12</v>
      </c>
      <c r="J210" s="15">
        <v>12</v>
      </c>
      <c r="K210" s="15">
        <v>6035.0572591420732</v>
      </c>
      <c r="L210" s="15">
        <v>4256</v>
      </c>
      <c r="M210" s="15"/>
      <c r="N210" s="15"/>
      <c r="O210" s="15"/>
      <c r="P210" s="15">
        <v>14985898.666666666</v>
      </c>
      <c r="Q210" s="15"/>
      <c r="R210" s="15"/>
      <c r="S210" s="15">
        <v>159.27439204792265</v>
      </c>
      <c r="T210" s="15">
        <v>355</v>
      </c>
      <c r="U210" s="15">
        <v>210000</v>
      </c>
      <c r="V210" s="15">
        <f t="shared" si="23"/>
        <v>9.4860195702106633</v>
      </c>
      <c r="W210" s="15">
        <v>4.7382799999999996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1224</v>
      </c>
      <c r="AF210" s="22" t="s">
        <v>5</v>
      </c>
      <c r="AG210" s="17">
        <f t="shared" si="24"/>
        <v>754.6866663528308</v>
      </c>
      <c r="AH210" s="17">
        <v>1446.8314740729086</v>
      </c>
      <c r="AI210" s="62">
        <v>5.3541814590952699</v>
      </c>
      <c r="AJ210" s="17">
        <f t="shared" si="25"/>
        <v>1.3310533574774421</v>
      </c>
      <c r="AK210" s="15">
        <f t="shared" si="26"/>
        <v>0.49950139412318045</v>
      </c>
      <c r="AL210" s="5">
        <v>15.672000000000001</v>
      </c>
      <c r="AO210" s="5">
        <f t="shared" si="27"/>
        <v>1</v>
      </c>
      <c r="AP210" s="5">
        <f t="shared" si="22"/>
        <v>5.3541814590952699</v>
      </c>
    </row>
    <row r="211" spans="1:42">
      <c r="A211" s="15">
        <v>206</v>
      </c>
      <c r="B211" s="20" t="s">
        <v>1032</v>
      </c>
      <c r="C211" s="20">
        <v>140</v>
      </c>
      <c r="D211" s="15">
        <v>140</v>
      </c>
      <c r="E211" s="15">
        <v>140</v>
      </c>
      <c r="F211" s="15">
        <v>12</v>
      </c>
      <c r="G211" s="15">
        <v>12</v>
      </c>
      <c r="H211" s="15">
        <v>7</v>
      </c>
      <c r="I211" s="15">
        <v>12</v>
      </c>
      <c r="J211" s="15">
        <v>12</v>
      </c>
      <c r="K211" s="15">
        <v>7577.8538517047073</v>
      </c>
      <c r="L211" s="15">
        <v>4256</v>
      </c>
      <c r="M211" s="15"/>
      <c r="N211" s="15"/>
      <c r="O211" s="15"/>
      <c r="P211" s="15">
        <v>14985898.666666666</v>
      </c>
      <c r="Q211" s="15"/>
      <c r="R211" s="15"/>
      <c r="S211" s="15">
        <v>112.26482692113419</v>
      </c>
      <c r="T211" s="15">
        <v>355</v>
      </c>
      <c r="U211" s="15">
        <v>210000</v>
      </c>
      <c r="V211" s="15">
        <f t="shared" si="23"/>
        <v>13.458177787610987</v>
      </c>
      <c r="W211" s="15">
        <v>4.5307500000000003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1225</v>
      </c>
      <c r="AF211" s="22" t="s">
        <v>5</v>
      </c>
      <c r="AG211" s="17">
        <f t="shared" si="24"/>
        <v>508.64386457292875</v>
      </c>
      <c r="AH211" s="17">
        <v>1019.8016324681555</v>
      </c>
      <c r="AI211" s="62">
        <v>4.8179875161172898</v>
      </c>
      <c r="AJ211" s="17">
        <f t="shared" si="25"/>
        <v>1.6713226368325778</v>
      </c>
      <c r="AK211" s="15">
        <f t="shared" si="26"/>
        <v>0.33665404570378105</v>
      </c>
      <c r="AL211" s="5">
        <v>15.672000000000001</v>
      </c>
      <c r="AO211" s="5">
        <f t="shared" si="27"/>
        <v>1</v>
      </c>
      <c r="AP211" s="5">
        <f t="shared" si="22"/>
        <v>4.8179875161172898</v>
      </c>
    </row>
    <row r="212" spans="1:42">
      <c r="A212" s="15">
        <v>207</v>
      </c>
      <c r="B212" s="20" t="s">
        <v>1033</v>
      </c>
      <c r="C212" s="20">
        <v>140</v>
      </c>
      <c r="D212" s="15">
        <v>140</v>
      </c>
      <c r="E212" s="15">
        <v>140</v>
      </c>
      <c r="F212" s="15">
        <v>12</v>
      </c>
      <c r="G212" s="15">
        <v>12</v>
      </c>
      <c r="H212" s="15">
        <v>7</v>
      </c>
      <c r="I212" s="15">
        <v>12</v>
      </c>
      <c r="J212" s="15">
        <v>12</v>
      </c>
      <c r="K212" s="15">
        <v>9075.2740738978537</v>
      </c>
      <c r="L212" s="15">
        <v>4256</v>
      </c>
      <c r="M212" s="15"/>
      <c r="N212" s="15"/>
      <c r="O212" s="15"/>
      <c r="P212" s="15">
        <v>14985898.666666666</v>
      </c>
      <c r="Q212" s="15"/>
      <c r="R212" s="15"/>
      <c r="S212" s="15">
        <v>83.017060461127343</v>
      </c>
      <c r="T212" s="15">
        <v>355</v>
      </c>
      <c r="U212" s="15">
        <v>210000</v>
      </c>
      <c r="V212" s="15">
        <f t="shared" si="23"/>
        <v>18.1996326009094</v>
      </c>
      <c r="W212" s="15">
        <v>4.3223900000000004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1226</v>
      </c>
      <c r="AF212" s="22" t="s">
        <v>5</v>
      </c>
      <c r="AG212" s="17">
        <f t="shared" si="24"/>
        <v>358.83211196657226</v>
      </c>
      <c r="AH212" s="17">
        <v>754.11806264520703</v>
      </c>
      <c r="AI212" s="62">
        <v>4.5427096658839528</v>
      </c>
      <c r="AJ212" s="17">
        <f t="shared" si="25"/>
        <v>2.0015839962066799</v>
      </c>
      <c r="AK212" s="15">
        <f t="shared" si="26"/>
        <v>0.23749875037499488</v>
      </c>
      <c r="AL212" s="5">
        <v>15.672000000000001</v>
      </c>
      <c r="AO212" s="5">
        <f t="shared" si="27"/>
        <v>1</v>
      </c>
      <c r="AP212" s="5">
        <f t="shared" si="22"/>
        <v>4.5427096658839528</v>
      </c>
    </row>
    <row r="213" spans="1:42">
      <c r="A213" s="15">
        <v>208</v>
      </c>
      <c r="B213" s="20" t="s">
        <v>1034</v>
      </c>
      <c r="C213" s="20">
        <v>140</v>
      </c>
      <c r="D213" s="15">
        <v>140</v>
      </c>
      <c r="E213" s="15">
        <v>140</v>
      </c>
      <c r="F213" s="15">
        <v>12</v>
      </c>
      <c r="G213" s="15">
        <v>12</v>
      </c>
      <c r="H213" s="15">
        <v>7</v>
      </c>
      <c r="I213" s="15">
        <v>12</v>
      </c>
      <c r="J213" s="15">
        <v>12</v>
      </c>
      <c r="K213" s="15">
        <v>11344.092592372317</v>
      </c>
      <c r="L213" s="15">
        <v>4256</v>
      </c>
      <c r="M213" s="15"/>
      <c r="N213" s="15"/>
      <c r="O213" s="15"/>
      <c r="P213" s="15">
        <v>14985898.666666666</v>
      </c>
      <c r="Q213" s="15"/>
      <c r="R213" s="15"/>
      <c r="S213" s="15">
        <v>56.054474694239708</v>
      </c>
      <c r="T213" s="15">
        <v>355</v>
      </c>
      <c r="U213" s="15">
        <v>210000</v>
      </c>
      <c r="V213" s="15">
        <f t="shared" si="23"/>
        <v>26.953780375989531</v>
      </c>
      <c r="W213" s="15">
        <v>4.1099199999999998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1227</v>
      </c>
      <c r="AF213" s="22" t="s">
        <v>5</v>
      </c>
      <c r="AG213" s="17">
        <f t="shared" si="24"/>
        <v>230.37940663534965</v>
      </c>
      <c r="AH213" s="17">
        <v>509.19282885002309</v>
      </c>
      <c r="AI213" s="62">
        <v>4.3057818172440285</v>
      </c>
      <c r="AJ213" s="17">
        <f t="shared" si="25"/>
        <v>2.5019799952583499</v>
      </c>
      <c r="AK213" s="15">
        <f t="shared" si="26"/>
        <v>0.15248028078692527</v>
      </c>
      <c r="AL213" s="5">
        <v>15.672000000000001</v>
      </c>
      <c r="AO213" s="5">
        <f t="shared" si="27"/>
        <v>1</v>
      </c>
      <c r="AP213" s="5">
        <f t="shared" si="22"/>
        <v>4.3057818172440285</v>
      </c>
    </row>
    <row r="214" spans="1:42">
      <c r="A214" s="15">
        <v>209</v>
      </c>
      <c r="B214" s="20" t="s">
        <v>1035</v>
      </c>
      <c r="C214" s="20">
        <v>180</v>
      </c>
      <c r="D214" s="15">
        <v>180</v>
      </c>
      <c r="E214" s="15">
        <v>180</v>
      </c>
      <c r="F214" s="15">
        <v>14</v>
      </c>
      <c r="G214" s="15">
        <v>14</v>
      </c>
      <c r="H214" s="15">
        <v>8.5</v>
      </c>
      <c r="I214" s="15">
        <v>15</v>
      </c>
      <c r="J214" s="15">
        <v>15</v>
      </c>
      <c r="K214" s="15">
        <v>1759.1170105243204</v>
      </c>
      <c r="L214" s="15">
        <v>6451.0000000000009</v>
      </c>
      <c r="M214" s="15"/>
      <c r="N214" s="15"/>
      <c r="O214" s="15"/>
      <c r="P214" s="15">
        <v>37960686.333333328</v>
      </c>
      <c r="Q214" s="15"/>
      <c r="R214" s="15"/>
      <c r="S214" s="15">
        <v>609.58610343167038</v>
      </c>
      <c r="T214" s="15">
        <v>355</v>
      </c>
      <c r="U214" s="15">
        <v>210000</v>
      </c>
      <c r="V214" s="15">
        <f t="shared" si="23"/>
        <v>3.7568195651243266</v>
      </c>
      <c r="W214" s="15">
        <v>3.9103599999999998</v>
      </c>
      <c r="X214" s="15"/>
      <c r="Y214" s="15"/>
      <c r="Z214" s="15"/>
      <c r="AA214" s="16"/>
      <c r="AB214" s="15">
        <v>0.60172287236842936</v>
      </c>
      <c r="AC214" s="17">
        <v>0.3</v>
      </c>
      <c r="AD214" s="15"/>
      <c r="AE214" s="15" t="s">
        <v>1228</v>
      </c>
      <c r="AF214" s="22" t="s">
        <v>5</v>
      </c>
      <c r="AG214" s="17">
        <f t="shared" si="24"/>
        <v>2383.7011154150664</v>
      </c>
      <c r="AH214" s="17">
        <v>3145.7415533375333</v>
      </c>
      <c r="AI214" s="62">
        <v>41.708885153878931</v>
      </c>
      <c r="AJ214" s="17">
        <f t="shared" si="25"/>
        <v>0.30012064951855283</v>
      </c>
      <c r="AK214" s="15">
        <f t="shared" si="26"/>
        <v>1.0408697921776799</v>
      </c>
      <c r="AL214" s="56">
        <v>10.936</v>
      </c>
      <c r="AO214" s="5">
        <f t="shared" si="27"/>
        <v>1</v>
      </c>
      <c r="AP214" s="5">
        <f t="shared" si="22"/>
        <v>41.708885153878931</v>
      </c>
    </row>
    <row r="215" spans="1:42">
      <c r="A215" s="15">
        <v>210</v>
      </c>
      <c r="B215" s="20" t="s">
        <v>1036</v>
      </c>
      <c r="C215" s="20">
        <v>180</v>
      </c>
      <c r="D215" s="15">
        <v>180</v>
      </c>
      <c r="E215" s="15">
        <v>180</v>
      </c>
      <c r="F215" s="15">
        <v>14</v>
      </c>
      <c r="G215" s="15">
        <v>14</v>
      </c>
      <c r="H215" s="15">
        <v>8.5</v>
      </c>
      <c r="I215" s="15">
        <v>15</v>
      </c>
      <c r="J215" s="15">
        <v>15</v>
      </c>
      <c r="K215" s="15">
        <v>2931.8616842072011</v>
      </c>
      <c r="L215" s="15">
        <v>6451.0000000000009</v>
      </c>
      <c r="M215" s="15"/>
      <c r="N215" s="15"/>
      <c r="O215" s="15"/>
      <c r="P215" s="15">
        <v>37960686.333333328</v>
      </c>
      <c r="Q215" s="15"/>
      <c r="R215" s="15"/>
      <c r="S215" s="15">
        <v>541.40737636676079</v>
      </c>
      <c r="T215" s="15">
        <v>355</v>
      </c>
      <c r="U215" s="15">
        <v>210000</v>
      </c>
      <c r="V215" s="15">
        <f t="shared" si="23"/>
        <v>4.2299109690161201</v>
      </c>
      <c r="W215" s="15">
        <v>4.2324099999999998</v>
      </c>
      <c r="X215" s="15"/>
      <c r="Y215" s="15"/>
      <c r="Z215" s="15"/>
      <c r="AA215" s="16"/>
      <c r="AB215" s="15">
        <v>0.60172287236842936</v>
      </c>
      <c r="AC215" s="17">
        <v>0.5</v>
      </c>
      <c r="AD215" s="15"/>
      <c r="AE215" s="15" t="s">
        <v>1229</v>
      </c>
      <c r="AF215" s="22" t="s">
        <v>5</v>
      </c>
      <c r="AG215" s="17">
        <f t="shared" si="24"/>
        <v>2291.4579938084421</v>
      </c>
      <c r="AH215" s="17">
        <v>2793.9083117751534</v>
      </c>
      <c r="AI215" s="62">
        <v>16.906043101996975</v>
      </c>
      <c r="AJ215" s="17">
        <f t="shared" si="25"/>
        <v>0.50020108253092133</v>
      </c>
      <c r="AK215" s="15">
        <f t="shared" si="26"/>
        <v>1.0005907999015073</v>
      </c>
      <c r="AL215" s="5">
        <v>10.936</v>
      </c>
      <c r="AO215" s="5">
        <f t="shared" si="27"/>
        <v>1</v>
      </c>
      <c r="AP215" s="5">
        <f t="shared" si="22"/>
        <v>16.906043101996975</v>
      </c>
    </row>
    <row r="216" spans="1:42">
      <c r="A216" s="15">
        <v>211</v>
      </c>
      <c r="B216" s="20" t="s">
        <v>1037</v>
      </c>
      <c r="C216" s="20">
        <v>180</v>
      </c>
      <c r="D216" s="15">
        <v>180</v>
      </c>
      <c r="E216" s="15">
        <v>180</v>
      </c>
      <c r="F216" s="15">
        <v>14</v>
      </c>
      <c r="G216" s="15">
        <v>14</v>
      </c>
      <c r="H216" s="15">
        <v>8.5</v>
      </c>
      <c r="I216" s="15">
        <v>15</v>
      </c>
      <c r="J216" s="15">
        <v>15</v>
      </c>
      <c r="K216" s="15">
        <v>4397.7925263108009</v>
      </c>
      <c r="L216" s="15">
        <v>6451</v>
      </c>
      <c r="M216" s="15"/>
      <c r="N216" s="15"/>
      <c r="O216" s="15"/>
      <c r="P216" s="15">
        <v>37960686.333333328</v>
      </c>
      <c r="Q216" s="15"/>
      <c r="R216" s="15"/>
      <c r="S216" s="15">
        <v>445.42061597181237</v>
      </c>
      <c r="T216" s="15">
        <v>355</v>
      </c>
      <c r="U216" s="15">
        <v>210000</v>
      </c>
      <c r="V216" s="15">
        <f t="shared" si="23"/>
        <v>5.1414436554614369</v>
      </c>
      <c r="W216" s="15">
        <v>4.6290800000000001</v>
      </c>
      <c r="X216" s="15"/>
      <c r="Y216" s="15"/>
      <c r="Z216" s="15"/>
      <c r="AA216" s="16"/>
      <c r="AB216" s="15">
        <v>0.60172287236842936</v>
      </c>
      <c r="AC216" s="17">
        <v>0.75</v>
      </c>
      <c r="AD216" s="15"/>
      <c r="AE216" s="15" t="s">
        <v>1230</v>
      </c>
      <c r="AF216" s="22" t="s">
        <v>5</v>
      </c>
      <c r="AG216" s="17">
        <f t="shared" si="24"/>
        <v>2061.8876649827971</v>
      </c>
      <c r="AH216" s="17">
        <v>2298.5729702297758</v>
      </c>
      <c r="AI216" s="62">
        <v>9.1329968547449862</v>
      </c>
      <c r="AJ216" s="17">
        <f t="shared" si="25"/>
        <v>0.75030162379638188</v>
      </c>
      <c r="AK216" s="15">
        <f t="shared" si="26"/>
        <v>0.90034634437407779</v>
      </c>
      <c r="AL216" s="5">
        <v>10.936</v>
      </c>
      <c r="AO216" s="5">
        <f t="shared" si="27"/>
        <v>1</v>
      </c>
      <c r="AP216" s="5">
        <f t="shared" si="22"/>
        <v>9.1329968547449862</v>
      </c>
    </row>
    <row r="217" spans="1:42">
      <c r="A217" s="15">
        <v>212</v>
      </c>
      <c r="B217" s="20" t="s">
        <v>1038</v>
      </c>
      <c r="C217" s="20">
        <v>180</v>
      </c>
      <c r="D217" s="15">
        <v>180</v>
      </c>
      <c r="E217" s="15">
        <v>180</v>
      </c>
      <c r="F217" s="15">
        <v>14</v>
      </c>
      <c r="G217" s="15">
        <v>14</v>
      </c>
      <c r="H217" s="15">
        <v>8.5</v>
      </c>
      <c r="I217" s="15">
        <v>15</v>
      </c>
      <c r="J217" s="15">
        <v>15</v>
      </c>
      <c r="K217" s="15">
        <v>5863.7233684144021</v>
      </c>
      <c r="L217" s="15">
        <v>6451</v>
      </c>
      <c r="M217" s="15"/>
      <c r="N217" s="15"/>
      <c r="O217" s="15"/>
      <c r="P217" s="15">
        <v>37960686.333333328</v>
      </c>
      <c r="Q217" s="15"/>
      <c r="R217" s="15"/>
      <c r="S217" s="15">
        <v>346.77352621010925</v>
      </c>
      <c r="T217" s="15">
        <v>355</v>
      </c>
      <c r="U217" s="15">
        <v>210000</v>
      </c>
      <c r="V217" s="15">
        <f t="shared" si="23"/>
        <v>6.60403642985258</v>
      </c>
      <c r="W217" s="15">
        <v>4.8555400000000004</v>
      </c>
      <c r="X217" s="15"/>
      <c r="Y217" s="15"/>
      <c r="Z217" s="15"/>
      <c r="AA217" s="16"/>
      <c r="AB217" s="15">
        <v>0.60172287236842936</v>
      </c>
      <c r="AC217" s="17">
        <v>1</v>
      </c>
      <c r="AD217" s="15"/>
      <c r="AE217" s="15" t="s">
        <v>1231</v>
      </c>
      <c r="AF217" s="22" t="s">
        <v>5</v>
      </c>
      <c r="AG217" s="17">
        <f t="shared" si="24"/>
        <v>1683.772727454234</v>
      </c>
      <c r="AH217" s="17">
        <v>1789.5091191474298</v>
      </c>
      <c r="AI217" s="62">
        <v>6.5987278070426729</v>
      </c>
      <c r="AJ217" s="17">
        <f t="shared" si="25"/>
        <v>1.0004021650618427</v>
      </c>
      <c r="AK217" s="15">
        <f t="shared" si="26"/>
        <v>0.73523822158994201</v>
      </c>
      <c r="AL217" s="5">
        <v>10.936</v>
      </c>
      <c r="AO217" s="5">
        <f t="shared" si="27"/>
        <v>1</v>
      </c>
      <c r="AP217" s="5">
        <f t="shared" si="22"/>
        <v>6.5987278070426729</v>
      </c>
    </row>
    <row r="218" spans="1:42">
      <c r="A218" s="15">
        <v>213</v>
      </c>
      <c r="B218" s="20" t="s">
        <v>1039</v>
      </c>
      <c r="C218" s="20">
        <v>180</v>
      </c>
      <c r="D218" s="15">
        <v>180</v>
      </c>
      <c r="E218" s="15">
        <v>180</v>
      </c>
      <c r="F218" s="15">
        <v>14</v>
      </c>
      <c r="G218" s="15">
        <v>14</v>
      </c>
      <c r="H218" s="15">
        <v>8.5</v>
      </c>
      <c r="I218" s="15">
        <v>15</v>
      </c>
      <c r="J218" s="15">
        <v>15</v>
      </c>
      <c r="K218" s="15">
        <v>7798.7520799911545</v>
      </c>
      <c r="L218" s="15">
        <v>6451</v>
      </c>
      <c r="M218" s="15"/>
      <c r="N218" s="15"/>
      <c r="O218" s="15"/>
      <c r="P218" s="15">
        <v>37960686.333333328</v>
      </c>
      <c r="Q218" s="15"/>
      <c r="R218" s="15"/>
      <c r="S218" s="15">
        <v>241.73668515039466</v>
      </c>
      <c r="T218" s="15">
        <v>355</v>
      </c>
      <c r="U218" s="15">
        <v>210000</v>
      </c>
      <c r="V218" s="15">
        <f t="shared" si="23"/>
        <v>9.4735517638757578</v>
      </c>
      <c r="W218" s="15">
        <v>4.7275900000000002</v>
      </c>
      <c r="X218" s="15"/>
      <c r="Y218" s="15"/>
      <c r="Z218" s="15"/>
      <c r="AA218" s="16"/>
      <c r="AB218" s="15">
        <v>0.60172287236842936</v>
      </c>
      <c r="AC218" s="17">
        <v>1.33</v>
      </c>
      <c r="AD218" s="15"/>
      <c r="AE218" s="15" t="s">
        <v>1232</v>
      </c>
      <c r="AF218" s="22" t="s">
        <v>5</v>
      </c>
      <c r="AG218" s="17">
        <f t="shared" si="24"/>
        <v>1142.8319353501543</v>
      </c>
      <c r="AH218" s="17">
        <v>1247.4712451001726</v>
      </c>
      <c r="AI218" s="62">
        <v>5.3513123947166301</v>
      </c>
      <c r="AJ218" s="17">
        <f t="shared" si="25"/>
        <v>1.3305348795322505</v>
      </c>
      <c r="AK218" s="15">
        <f t="shared" si="26"/>
        <v>0.49903036557282499</v>
      </c>
      <c r="AL218" s="5">
        <v>10.936</v>
      </c>
      <c r="AO218" s="5">
        <f t="shared" si="27"/>
        <v>1</v>
      </c>
      <c r="AP218" s="5">
        <f t="shared" si="22"/>
        <v>5.3513123947166301</v>
      </c>
    </row>
    <row r="219" spans="1:42">
      <c r="A219" s="15">
        <v>214</v>
      </c>
      <c r="B219" s="20" t="s">
        <v>1040</v>
      </c>
      <c r="C219" s="20">
        <v>180</v>
      </c>
      <c r="D219" s="15">
        <v>180</v>
      </c>
      <c r="E219" s="15">
        <v>180</v>
      </c>
      <c r="F219" s="15">
        <v>14</v>
      </c>
      <c r="G219" s="15">
        <v>14</v>
      </c>
      <c r="H219" s="15">
        <v>8.5</v>
      </c>
      <c r="I219" s="15">
        <v>15</v>
      </c>
      <c r="J219" s="15">
        <v>15</v>
      </c>
      <c r="K219" s="15">
        <v>9792.4180252520509</v>
      </c>
      <c r="L219" s="15">
        <v>6451</v>
      </c>
      <c r="M219" s="15"/>
      <c r="N219" s="15"/>
      <c r="O219" s="15"/>
      <c r="P219" s="15">
        <v>37960686.333333328</v>
      </c>
      <c r="Q219" s="15"/>
      <c r="R219" s="15"/>
      <c r="S219" s="15">
        <v>170.38851487646733</v>
      </c>
      <c r="T219" s="15">
        <v>355</v>
      </c>
      <c r="U219" s="15">
        <v>210000</v>
      </c>
      <c r="V219" s="15">
        <f t="shared" si="23"/>
        <v>13.440489235206607</v>
      </c>
      <c r="W219" s="15">
        <v>4.5214800000000004</v>
      </c>
      <c r="X219" s="15"/>
      <c r="Y219" s="15"/>
      <c r="Z219" s="15"/>
      <c r="AA219" s="16"/>
      <c r="AB219" s="15">
        <v>0.60172287236842936</v>
      </c>
      <c r="AC219" s="17">
        <v>1.67</v>
      </c>
      <c r="AD219" s="15"/>
      <c r="AE219" s="15" t="s">
        <v>1233</v>
      </c>
      <c r="AF219" s="22" t="s">
        <v>5</v>
      </c>
      <c r="AG219" s="17">
        <f t="shared" si="24"/>
        <v>770.40826224364957</v>
      </c>
      <c r="AH219" s="17">
        <v>879.28223501317882</v>
      </c>
      <c r="AI219" s="62">
        <v>4.8154057738911762</v>
      </c>
      <c r="AJ219" s="17">
        <f t="shared" si="25"/>
        <v>1.670671615653277</v>
      </c>
      <c r="AK219" s="15">
        <f t="shared" si="26"/>
        <v>0.33640739714713935</v>
      </c>
      <c r="AL219" s="5">
        <v>10.936</v>
      </c>
      <c r="AO219" s="5">
        <f t="shared" si="27"/>
        <v>1</v>
      </c>
      <c r="AP219" s="5">
        <f t="shared" si="22"/>
        <v>4.8154057738911762</v>
      </c>
    </row>
    <row r="220" spans="1:42">
      <c r="A220" s="15">
        <v>215</v>
      </c>
      <c r="B220" s="20" t="s">
        <v>1041</v>
      </c>
      <c r="C220" s="20">
        <v>180</v>
      </c>
      <c r="D220" s="15">
        <v>180</v>
      </c>
      <c r="E220" s="15">
        <v>180</v>
      </c>
      <c r="F220" s="15">
        <v>14</v>
      </c>
      <c r="G220" s="15">
        <v>14</v>
      </c>
      <c r="H220" s="15">
        <v>8.5</v>
      </c>
      <c r="I220" s="15">
        <v>15</v>
      </c>
      <c r="J220" s="15">
        <v>15</v>
      </c>
      <c r="K220" s="15">
        <v>11727.446736828804</v>
      </c>
      <c r="L220" s="15">
        <v>6451</v>
      </c>
      <c r="M220" s="15"/>
      <c r="N220" s="15"/>
      <c r="O220" s="15"/>
      <c r="P220" s="15">
        <v>37960686.333333328</v>
      </c>
      <c r="Q220" s="15"/>
      <c r="R220" s="15"/>
      <c r="S220" s="15">
        <v>125.99808888778962</v>
      </c>
      <c r="T220" s="15">
        <v>355</v>
      </c>
      <c r="U220" s="15">
        <v>210000</v>
      </c>
      <c r="V220" s="15">
        <f t="shared" si="23"/>
        <v>18.175712189091247</v>
      </c>
      <c r="W220" s="15">
        <v>4.3148999999999997</v>
      </c>
      <c r="X220" s="15"/>
      <c r="Y220" s="15"/>
      <c r="Z220" s="15"/>
      <c r="AA220" s="16"/>
      <c r="AB220" s="15">
        <v>0.60172287236842936</v>
      </c>
      <c r="AC220" s="17">
        <v>2</v>
      </c>
      <c r="AD220" s="15"/>
      <c r="AE220" s="15" t="s">
        <v>1234</v>
      </c>
      <c r="AF220" s="22" t="s">
        <v>5</v>
      </c>
      <c r="AG220" s="17">
        <f t="shared" si="24"/>
        <v>543.66915374192342</v>
      </c>
      <c r="AH220" s="17">
        <v>650.20744669889643</v>
      </c>
      <c r="AI220" s="62">
        <v>4.5402754326431749</v>
      </c>
      <c r="AJ220" s="17">
        <f t="shared" si="25"/>
        <v>2.0008043301236853</v>
      </c>
      <c r="AK220" s="15">
        <f t="shared" si="26"/>
        <v>0.23739922568699837</v>
      </c>
      <c r="AL220" s="5">
        <v>10.936</v>
      </c>
      <c r="AO220" s="5">
        <f t="shared" si="27"/>
        <v>1</v>
      </c>
      <c r="AP220" s="5">
        <f t="shared" si="22"/>
        <v>4.5402754326431749</v>
      </c>
    </row>
    <row r="221" spans="1:42">
      <c r="A221" s="15">
        <v>216</v>
      </c>
      <c r="B221" s="20" t="s">
        <v>1042</v>
      </c>
      <c r="C221" s="20">
        <v>180</v>
      </c>
      <c r="D221" s="15">
        <v>180</v>
      </c>
      <c r="E221" s="15">
        <v>180</v>
      </c>
      <c r="F221" s="15">
        <v>14</v>
      </c>
      <c r="G221" s="15">
        <v>14</v>
      </c>
      <c r="H221" s="15">
        <v>8.5</v>
      </c>
      <c r="I221" s="15">
        <v>15</v>
      </c>
      <c r="J221" s="15">
        <v>15</v>
      </c>
      <c r="K221" s="15">
        <v>14659.308421036005</v>
      </c>
      <c r="L221" s="15">
        <v>6451</v>
      </c>
      <c r="M221" s="15"/>
      <c r="N221" s="15"/>
      <c r="O221" s="15"/>
      <c r="P221" s="15">
        <v>37960686.333333328</v>
      </c>
      <c r="Q221" s="15"/>
      <c r="R221" s="15"/>
      <c r="S221" s="15">
        <v>85.07596686575404</v>
      </c>
      <c r="T221" s="15">
        <v>355</v>
      </c>
      <c r="U221" s="15">
        <v>210000</v>
      </c>
      <c r="V221" s="15">
        <f t="shared" si="23"/>
        <v>26.918354082459974</v>
      </c>
      <c r="W221" s="15">
        <v>4.1024399999999996</v>
      </c>
      <c r="X221" s="15"/>
      <c r="Y221" s="15"/>
      <c r="Z221" s="15"/>
      <c r="AA221" s="16"/>
      <c r="AB221" s="15">
        <v>0.60172287236842936</v>
      </c>
      <c r="AC221" s="17">
        <v>2.5</v>
      </c>
      <c r="AD221" s="15"/>
      <c r="AE221" s="15" t="s">
        <v>1235</v>
      </c>
      <c r="AF221" s="22" t="s">
        <v>5</v>
      </c>
      <c r="AG221" s="17">
        <f t="shared" si="24"/>
        <v>349.01904950874399</v>
      </c>
      <c r="AH221" s="17">
        <v>439.03068435018616</v>
      </c>
      <c r="AI221" s="62">
        <v>4.303474542952257</v>
      </c>
      <c r="AJ221" s="17">
        <f t="shared" si="25"/>
        <v>2.5010054126546066</v>
      </c>
      <c r="AK221" s="15">
        <f t="shared" si="26"/>
        <v>0.15240307737363309</v>
      </c>
      <c r="AL221" s="5">
        <v>10.936</v>
      </c>
      <c r="AO221" s="5">
        <f t="shared" si="27"/>
        <v>1</v>
      </c>
      <c r="AP221" s="5">
        <f t="shared" si="22"/>
        <v>4.303474542952257</v>
      </c>
    </row>
    <row r="222" spans="1:42">
      <c r="A222" s="15">
        <v>217</v>
      </c>
      <c r="B222" s="20" t="s">
        <v>1043</v>
      </c>
      <c r="C222" s="20">
        <v>220</v>
      </c>
      <c r="D222" s="15">
        <v>220</v>
      </c>
      <c r="E222" s="15">
        <v>220</v>
      </c>
      <c r="F222" s="15">
        <v>16</v>
      </c>
      <c r="G222" s="15">
        <v>16</v>
      </c>
      <c r="H222" s="15">
        <v>9.5</v>
      </c>
      <c r="I222" s="15">
        <v>18</v>
      </c>
      <c r="J222" s="15">
        <v>18</v>
      </c>
      <c r="K222" s="15">
        <v>2163.948941218146</v>
      </c>
      <c r="L222" s="15">
        <v>8978</v>
      </c>
      <c r="M222" s="15"/>
      <c r="N222" s="15"/>
      <c r="O222" s="15"/>
      <c r="P222" s="15">
        <v>79965144</v>
      </c>
      <c r="Q222" s="15"/>
      <c r="R222" s="15"/>
      <c r="S222" s="15">
        <v>849.68524145418871</v>
      </c>
      <c r="T222" s="15">
        <v>355</v>
      </c>
      <c r="U222" s="15">
        <v>210000</v>
      </c>
      <c r="V222" s="15">
        <f t="shared" si="23"/>
        <v>3.751024314068705</v>
      </c>
      <c r="W222" s="15">
        <v>3.8964099999999999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1236</v>
      </c>
      <c r="AF222" s="22" t="s">
        <v>5</v>
      </c>
      <c r="AG222" s="17">
        <f t="shared" si="24"/>
        <v>3310.7220716545153</v>
      </c>
      <c r="AH222" s="17">
        <v>2680.7203539201037</v>
      </c>
      <c r="AI222" s="62">
        <v>41.655050978909017</v>
      </c>
      <c r="AJ222" s="17">
        <f t="shared" si="25"/>
        <v>0.30008280069815785</v>
      </c>
      <c r="AK222" s="15">
        <f t="shared" si="26"/>
        <v>1.0387589292306123</v>
      </c>
      <c r="AL222" s="56">
        <v>6.1308999999999996</v>
      </c>
      <c r="AO222" s="5">
        <f t="shared" si="27"/>
        <v>1</v>
      </c>
      <c r="AP222" s="5">
        <f t="shared" si="22"/>
        <v>41.655050978909017</v>
      </c>
    </row>
    <row r="223" spans="1:42">
      <c r="A223" s="15">
        <v>218</v>
      </c>
      <c r="B223" s="20" t="s">
        <v>1044</v>
      </c>
      <c r="C223" s="20">
        <v>220</v>
      </c>
      <c r="D223" s="15">
        <v>220</v>
      </c>
      <c r="E223" s="15">
        <v>220</v>
      </c>
      <c r="F223" s="15">
        <v>16</v>
      </c>
      <c r="G223" s="15">
        <v>16</v>
      </c>
      <c r="H223" s="15">
        <v>9.5</v>
      </c>
      <c r="I223" s="15">
        <v>18</v>
      </c>
      <c r="J223" s="15">
        <v>18</v>
      </c>
      <c r="K223" s="15">
        <v>3606.5815686969104</v>
      </c>
      <c r="L223" s="15">
        <v>8978</v>
      </c>
      <c r="M223" s="15"/>
      <c r="N223" s="15"/>
      <c r="O223" s="15"/>
      <c r="P223" s="15">
        <v>79965144</v>
      </c>
      <c r="Q223" s="15"/>
      <c r="R223" s="15"/>
      <c r="S223" s="15">
        <v>754.65279592751574</v>
      </c>
      <c r="T223" s="15">
        <v>355</v>
      </c>
      <c r="U223" s="15">
        <v>210000</v>
      </c>
      <c r="V223" s="15">
        <f t="shared" si="23"/>
        <v>4.2233859295290133</v>
      </c>
      <c r="W223" s="15">
        <v>4.2168000000000001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1237</v>
      </c>
      <c r="AF223" s="22" t="s">
        <v>5</v>
      </c>
      <c r="AG223" s="17">
        <f t="shared" si="24"/>
        <v>3182.2199098671485</v>
      </c>
      <c r="AH223" s="17">
        <v>2380.8970798684604</v>
      </c>
      <c r="AI223" s="62">
        <v>16.884222262647185</v>
      </c>
      <c r="AJ223" s="17">
        <f t="shared" si="25"/>
        <v>0.50013800116359641</v>
      </c>
      <c r="AK223" s="15">
        <f t="shared" si="26"/>
        <v>0.99844060437788418</v>
      </c>
      <c r="AL223" s="5">
        <v>6.1308999999999996</v>
      </c>
      <c r="AO223" s="5">
        <f t="shared" si="27"/>
        <v>1</v>
      </c>
      <c r="AP223" s="5">
        <f t="shared" si="22"/>
        <v>16.884222262647185</v>
      </c>
    </row>
    <row r="224" spans="1:42">
      <c r="A224" s="15">
        <v>219</v>
      </c>
      <c r="B224" s="20" t="s">
        <v>1045</v>
      </c>
      <c r="C224" s="20">
        <v>220</v>
      </c>
      <c r="D224" s="15">
        <v>220</v>
      </c>
      <c r="E224" s="15">
        <v>220</v>
      </c>
      <c r="F224" s="15">
        <v>16</v>
      </c>
      <c r="G224" s="15">
        <v>16</v>
      </c>
      <c r="H224" s="15">
        <v>9.5</v>
      </c>
      <c r="I224" s="15">
        <v>18</v>
      </c>
      <c r="J224" s="15">
        <v>18</v>
      </c>
      <c r="K224" s="15">
        <v>5409.8723530453653</v>
      </c>
      <c r="L224" s="15">
        <v>8978</v>
      </c>
      <c r="M224" s="15"/>
      <c r="N224" s="15"/>
      <c r="O224" s="15"/>
      <c r="P224" s="15">
        <v>79965144</v>
      </c>
      <c r="Q224" s="15"/>
      <c r="R224" s="15"/>
      <c r="S224" s="15">
        <v>620.85950040543526</v>
      </c>
      <c r="T224" s="15">
        <v>355</v>
      </c>
      <c r="U224" s="15">
        <v>210000</v>
      </c>
      <c r="V224" s="15">
        <f t="shared" si="23"/>
        <v>5.1335124902150859</v>
      </c>
      <c r="W224" s="15">
        <v>4.6154000000000002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1238</v>
      </c>
      <c r="AF224" s="22" t="s">
        <v>5</v>
      </c>
      <c r="AG224" s="17">
        <f t="shared" si="24"/>
        <v>2865.5149381712458</v>
      </c>
      <c r="AH224" s="17">
        <v>1958.7849929146394</v>
      </c>
      <c r="AI224" s="62">
        <v>9.1212087825185506</v>
      </c>
      <c r="AJ224" s="17">
        <f t="shared" si="25"/>
        <v>0.75020700174539456</v>
      </c>
      <c r="AK224" s="15">
        <f t="shared" si="26"/>
        <v>0.89907251785153874</v>
      </c>
      <c r="AL224" s="5">
        <v>6.1308999999999996</v>
      </c>
      <c r="AO224" s="5">
        <f t="shared" si="27"/>
        <v>1</v>
      </c>
      <c r="AP224" s="5">
        <f t="shared" si="22"/>
        <v>9.1212087825185506</v>
      </c>
    </row>
    <row r="225" spans="1:42">
      <c r="A225" s="15">
        <v>220</v>
      </c>
      <c r="B225" s="20" t="s">
        <v>1046</v>
      </c>
      <c r="C225" s="20">
        <v>220</v>
      </c>
      <c r="D225" s="15">
        <v>220</v>
      </c>
      <c r="E225" s="15">
        <v>220</v>
      </c>
      <c r="F225" s="15">
        <v>16</v>
      </c>
      <c r="G225" s="15">
        <v>16</v>
      </c>
      <c r="H225" s="15">
        <v>9.5</v>
      </c>
      <c r="I225" s="15">
        <v>18</v>
      </c>
      <c r="J225" s="15">
        <v>18</v>
      </c>
      <c r="K225" s="15">
        <v>7213.1631373938208</v>
      </c>
      <c r="L225" s="15">
        <v>8978</v>
      </c>
      <c r="M225" s="15"/>
      <c r="N225" s="15"/>
      <c r="O225" s="15"/>
      <c r="P225" s="15">
        <v>79965144</v>
      </c>
      <c r="Q225" s="15"/>
      <c r="R225" s="15"/>
      <c r="S225" s="15">
        <v>483.35804521958687</v>
      </c>
      <c r="T225" s="15">
        <v>355</v>
      </c>
      <c r="U225" s="15">
        <v>210000</v>
      </c>
      <c r="V225" s="15">
        <f t="shared" si="23"/>
        <v>6.5938490763137647</v>
      </c>
      <c r="W225" s="15">
        <v>4.8438499999999998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1239</v>
      </c>
      <c r="AF225" s="22" t="s">
        <v>5</v>
      </c>
      <c r="AG225" s="17">
        <f t="shared" si="24"/>
        <v>2341.3138673368958</v>
      </c>
      <c r="AH225" s="17">
        <v>1524.9738218750047</v>
      </c>
      <c r="AI225" s="62">
        <v>6.5902107472835212</v>
      </c>
      <c r="AJ225" s="17">
        <f t="shared" si="25"/>
        <v>1.0002760023271928</v>
      </c>
      <c r="AK225" s="15">
        <f t="shared" si="26"/>
        <v>0.7346012843090296</v>
      </c>
      <c r="AL225" s="5">
        <v>6.1308999999999996</v>
      </c>
      <c r="AO225" s="5">
        <f t="shared" si="27"/>
        <v>1</v>
      </c>
      <c r="AP225" s="5">
        <f t="shared" si="22"/>
        <v>6.5902107472835212</v>
      </c>
    </row>
    <row r="226" spans="1:42">
      <c r="A226" s="15">
        <v>221</v>
      </c>
      <c r="B226" s="20" t="s">
        <v>1047</v>
      </c>
      <c r="C226" s="20">
        <v>220</v>
      </c>
      <c r="D226" s="15">
        <v>220</v>
      </c>
      <c r="E226" s="15">
        <v>220</v>
      </c>
      <c r="F226" s="15">
        <v>16</v>
      </c>
      <c r="G226" s="15">
        <v>16</v>
      </c>
      <c r="H226" s="15">
        <v>9.5</v>
      </c>
      <c r="I226" s="15">
        <v>18</v>
      </c>
      <c r="J226" s="15">
        <v>18</v>
      </c>
      <c r="K226" s="15">
        <v>9593.5069727337832</v>
      </c>
      <c r="L226" s="15">
        <v>8978</v>
      </c>
      <c r="M226" s="15"/>
      <c r="N226" s="15"/>
      <c r="O226" s="15"/>
      <c r="P226" s="15">
        <v>79965144</v>
      </c>
      <c r="Q226" s="15"/>
      <c r="R226" s="15"/>
      <c r="S226" s="15">
        <v>336.95009209371176</v>
      </c>
      <c r="T226" s="15">
        <v>355</v>
      </c>
      <c r="U226" s="15">
        <v>210000</v>
      </c>
      <c r="V226" s="15">
        <f t="shared" si="23"/>
        <v>9.4589379103466342</v>
      </c>
      <c r="W226" s="15">
        <v>4.7185699999999997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1240</v>
      </c>
      <c r="AF226" s="22" t="s">
        <v>5</v>
      </c>
      <c r="AG226" s="17">
        <f t="shared" si="24"/>
        <v>1589.9225960506253</v>
      </c>
      <c r="AH226" s="17">
        <v>1063.0630333003928</v>
      </c>
      <c r="AI226" s="62">
        <v>5.3444053894894932</v>
      </c>
      <c r="AJ226" s="17">
        <f t="shared" si="25"/>
        <v>1.3303670830951666</v>
      </c>
      <c r="AK226" s="15">
        <f t="shared" si="26"/>
        <v>0.49884776120991392</v>
      </c>
      <c r="AL226" s="5">
        <v>6.1308999999999996</v>
      </c>
      <c r="AO226" s="5">
        <f t="shared" si="27"/>
        <v>1</v>
      </c>
      <c r="AP226" s="5">
        <f t="shared" si="22"/>
        <v>5.3444053894894932</v>
      </c>
    </row>
    <row r="227" spans="1:42">
      <c r="A227" s="15">
        <v>222</v>
      </c>
      <c r="B227" s="20" t="s">
        <v>1048</v>
      </c>
      <c r="C227" s="20">
        <v>220</v>
      </c>
      <c r="D227" s="15">
        <v>220</v>
      </c>
      <c r="E227" s="15">
        <v>220</v>
      </c>
      <c r="F227" s="15">
        <v>16</v>
      </c>
      <c r="G227" s="15">
        <v>16</v>
      </c>
      <c r="H227" s="15">
        <v>9.5</v>
      </c>
      <c r="I227" s="15">
        <v>18</v>
      </c>
      <c r="J227" s="15">
        <v>18</v>
      </c>
      <c r="K227" s="15">
        <v>12045.98243944768</v>
      </c>
      <c r="L227" s="15">
        <v>8978</v>
      </c>
      <c r="M227" s="15"/>
      <c r="N227" s="15"/>
      <c r="O227" s="15"/>
      <c r="P227" s="15">
        <v>79965144</v>
      </c>
      <c r="Q227" s="15"/>
      <c r="R227" s="15"/>
      <c r="S227" s="15">
        <v>237.49984717304187</v>
      </c>
      <c r="T227" s="15">
        <v>355</v>
      </c>
      <c r="U227" s="15">
        <v>210000</v>
      </c>
      <c r="V227" s="15">
        <f t="shared" si="23"/>
        <v>13.419756003791532</v>
      </c>
      <c r="W227" s="15">
        <v>4.5135899999999998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1241</v>
      </c>
      <c r="AF227" s="22" t="s">
        <v>5</v>
      </c>
      <c r="AG227" s="17">
        <f t="shared" si="24"/>
        <v>1071.9769352017699</v>
      </c>
      <c r="AH227" s="17">
        <v>749.30179236732522</v>
      </c>
      <c r="AI227" s="62">
        <v>4.8091904699810755</v>
      </c>
      <c r="AJ227" s="17">
        <f t="shared" si="25"/>
        <v>1.6704609238864119</v>
      </c>
      <c r="AK227" s="15">
        <f t="shared" si="26"/>
        <v>0.33633920011099749</v>
      </c>
      <c r="AL227" s="5">
        <v>6.1308999999999996</v>
      </c>
      <c r="AO227" s="5">
        <f t="shared" si="27"/>
        <v>1</v>
      </c>
      <c r="AP227" s="5">
        <f t="shared" si="22"/>
        <v>4.8091904699810755</v>
      </c>
    </row>
    <row r="228" spans="1:42">
      <c r="A228" s="15">
        <v>223</v>
      </c>
      <c r="B228" s="20" t="s">
        <v>1049</v>
      </c>
      <c r="C228" s="20">
        <v>220</v>
      </c>
      <c r="D228" s="15">
        <v>220</v>
      </c>
      <c r="E228" s="15">
        <v>220</v>
      </c>
      <c r="F228" s="15">
        <v>16</v>
      </c>
      <c r="G228" s="15">
        <v>16</v>
      </c>
      <c r="H228" s="15">
        <v>9.5</v>
      </c>
      <c r="I228" s="15">
        <v>18</v>
      </c>
      <c r="J228" s="15">
        <v>18</v>
      </c>
      <c r="K228" s="15">
        <v>14426.326274787642</v>
      </c>
      <c r="L228" s="15">
        <v>8978</v>
      </c>
      <c r="M228" s="15"/>
      <c r="N228" s="15"/>
      <c r="O228" s="15"/>
      <c r="P228" s="15">
        <v>79965144</v>
      </c>
      <c r="Q228" s="15"/>
      <c r="R228" s="15"/>
      <c r="S228" s="15">
        <v>175.62525782116728</v>
      </c>
      <c r="T228" s="15">
        <v>355</v>
      </c>
      <c r="U228" s="15">
        <v>210000</v>
      </c>
      <c r="V228" s="15">
        <f t="shared" si="23"/>
        <v>18.147674426450653</v>
      </c>
      <c r="W228" s="15">
        <v>4.3078900000000004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1242</v>
      </c>
      <c r="AF228" s="22" t="s">
        <v>5</v>
      </c>
      <c r="AG228" s="17">
        <f t="shared" si="24"/>
        <v>756.5742919152284</v>
      </c>
      <c r="AH228" s="17">
        <v>554.0901269485596</v>
      </c>
      <c r="AI228" s="62">
        <v>4.5344152428742381</v>
      </c>
      <c r="AJ228" s="17">
        <f t="shared" si="25"/>
        <v>2.0005520046543857</v>
      </c>
      <c r="AK228" s="15">
        <f t="shared" si="26"/>
        <v>0.23737972694292728</v>
      </c>
      <c r="AL228" s="5">
        <v>6.1308999999999996</v>
      </c>
      <c r="AO228" s="5">
        <f t="shared" si="27"/>
        <v>1</v>
      </c>
      <c r="AP228" s="5">
        <f t="shared" si="22"/>
        <v>4.5344152428742381</v>
      </c>
    </row>
    <row r="229" spans="1:42">
      <c r="A229" s="15">
        <v>224</v>
      </c>
      <c r="B229" s="20" t="s">
        <v>1050</v>
      </c>
      <c r="C229" s="20">
        <v>220</v>
      </c>
      <c r="D229" s="15">
        <v>220</v>
      </c>
      <c r="E229" s="15">
        <v>220</v>
      </c>
      <c r="F229" s="15">
        <v>16</v>
      </c>
      <c r="G229" s="15">
        <v>16</v>
      </c>
      <c r="H229" s="15">
        <v>9.5</v>
      </c>
      <c r="I229" s="15">
        <v>18</v>
      </c>
      <c r="J229" s="15">
        <v>18</v>
      </c>
      <c r="K229" s="15">
        <v>18032.907843484551</v>
      </c>
      <c r="L229" s="15">
        <v>8978</v>
      </c>
      <c r="M229" s="15"/>
      <c r="N229" s="15"/>
      <c r="O229" s="15"/>
      <c r="P229" s="15">
        <v>79965144</v>
      </c>
      <c r="Q229" s="15"/>
      <c r="R229" s="15"/>
      <c r="S229" s="15">
        <v>118.58504162304889</v>
      </c>
      <c r="T229" s="15">
        <v>355</v>
      </c>
      <c r="U229" s="15">
        <v>210000</v>
      </c>
      <c r="V229" s="15">
        <f t="shared" si="23"/>
        <v>26.876829964197768</v>
      </c>
      <c r="W229" s="15">
        <v>4.0958399999999999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1243</v>
      </c>
      <c r="AF229" s="22" t="s">
        <v>5</v>
      </c>
      <c r="AG229" s="17">
        <f t="shared" si="24"/>
        <v>485.70535688134856</v>
      </c>
      <c r="AH229" s="17">
        <v>374.13070068783702</v>
      </c>
      <c r="AI229" s="62">
        <v>4.2979199950263371</v>
      </c>
      <c r="AJ229" s="17">
        <f t="shared" si="25"/>
        <v>2.5006900058179817</v>
      </c>
      <c r="AK229" s="15">
        <f t="shared" si="26"/>
        <v>0.15239297214202749</v>
      </c>
      <c r="AL229" s="5">
        <v>6.1308999999999996</v>
      </c>
      <c r="AO229" s="5">
        <f t="shared" si="27"/>
        <v>1</v>
      </c>
      <c r="AP229" s="5">
        <f t="shared" si="22"/>
        <v>4.2979199950263371</v>
      </c>
    </row>
    <row r="230" spans="1:42">
      <c r="A230" s="15">
        <v>225</v>
      </c>
      <c r="B230" s="20" t="s">
        <v>1051</v>
      </c>
      <c r="C230" s="20">
        <v>260</v>
      </c>
      <c r="D230" s="15">
        <v>260</v>
      </c>
      <c r="E230" s="15">
        <v>260</v>
      </c>
      <c r="F230" s="15">
        <v>17.5</v>
      </c>
      <c r="G230" s="15">
        <v>17.5</v>
      </c>
      <c r="H230" s="15">
        <v>10</v>
      </c>
      <c r="I230" s="15">
        <v>24</v>
      </c>
      <c r="J230" s="15">
        <v>24</v>
      </c>
      <c r="K230" s="15">
        <v>2577.5535734277123</v>
      </c>
      <c r="L230" s="15">
        <v>11525</v>
      </c>
      <c r="M230" s="15"/>
      <c r="N230" s="15"/>
      <c r="O230" s="15"/>
      <c r="P230" s="15">
        <v>145667981.77083331</v>
      </c>
      <c r="Q230" s="15"/>
      <c r="R230" s="15"/>
      <c r="S230" s="15">
        <v>1092.67250062373</v>
      </c>
      <c r="T230" s="15">
        <v>355</v>
      </c>
      <c r="U230" s="15">
        <v>210000</v>
      </c>
      <c r="V230" s="15">
        <f t="shared" si="23"/>
        <v>3.7443744559001177</v>
      </c>
      <c r="W230" s="15">
        <v>3.93642</v>
      </c>
      <c r="X230" s="15"/>
      <c r="Y230" s="15"/>
      <c r="Z230" s="15"/>
      <c r="AA230" s="16"/>
      <c r="AB230" s="15">
        <v>1.1133153135475653</v>
      </c>
      <c r="AC230" s="17">
        <v>0.3</v>
      </c>
      <c r="AD230" s="15"/>
      <c r="AE230" s="15" t="s">
        <v>1244</v>
      </c>
      <c r="AF230" s="22" t="s">
        <v>5</v>
      </c>
      <c r="AG230" s="17">
        <f t="shared" si="24"/>
        <v>4301.2178849052634</v>
      </c>
      <c r="AH230" s="17">
        <v>2366.5168408002178</v>
      </c>
      <c r="AI230" s="62">
        <v>41.588928237593827</v>
      </c>
      <c r="AJ230" s="17">
        <f t="shared" si="25"/>
        <v>0.30005493405215328</v>
      </c>
      <c r="AK230" s="15">
        <f t="shared" si="26"/>
        <v>1.0512890861642512</v>
      </c>
      <c r="AL230" s="56">
        <v>3.2757000000000001</v>
      </c>
      <c r="AO230" s="5">
        <f t="shared" si="27"/>
        <v>1</v>
      </c>
      <c r="AP230" s="5">
        <f t="shared" si="22"/>
        <v>41.588928237593827</v>
      </c>
    </row>
    <row r="231" spans="1:42">
      <c r="A231" s="15">
        <v>226</v>
      </c>
      <c r="B231" s="20" t="s">
        <v>1052</v>
      </c>
      <c r="C231" s="20">
        <v>260</v>
      </c>
      <c r="D231" s="15">
        <v>260</v>
      </c>
      <c r="E231" s="15">
        <v>260</v>
      </c>
      <c r="F231" s="15">
        <v>17.5</v>
      </c>
      <c r="G231" s="15">
        <v>17.5</v>
      </c>
      <c r="H231" s="15">
        <v>10</v>
      </c>
      <c r="I231" s="15">
        <v>24</v>
      </c>
      <c r="J231" s="15">
        <v>24</v>
      </c>
      <c r="K231" s="15">
        <v>4295.9226223795204</v>
      </c>
      <c r="L231" s="15">
        <v>11525</v>
      </c>
      <c r="M231" s="15"/>
      <c r="N231" s="15"/>
      <c r="O231" s="15"/>
      <c r="P231" s="15">
        <v>145667981.77083331</v>
      </c>
      <c r="Q231" s="15"/>
      <c r="R231" s="15"/>
      <c r="S231" s="15">
        <v>970.46331676606678</v>
      </c>
      <c r="T231" s="15">
        <v>355</v>
      </c>
      <c r="U231" s="15">
        <v>210000</v>
      </c>
      <c r="V231" s="15">
        <f t="shared" si="23"/>
        <v>4.2158986633662101</v>
      </c>
      <c r="W231" s="15">
        <v>4.2588699999999999</v>
      </c>
      <c r="X231" s="15"/>
      <c r="Y231" s="15"/>
      <c r="Z231" s="15"/>
      <c r="AA231" s="16"/>
      <c r="AB231" s="15">
        <v>1.1133153135475653</v>
      </c>
      <c r="AC231" s="17">
        <v>0.5</v>
      </c>
      <c r="AD231" s="15"/>
      <c r="AE231" s="15" t="s">
        <v>1245</v>
      </c>
      <c r="AF231" s="22" t="s">
        <v>5</v>
      </c>
      <c r="AG231" s="17">
        <f t="shared" si="24"/>
        <v>4133.077105875499</v>
      </c>
      <c r="AH231" s="17">
        <v>2101.8354366882622</v>
      </c>
      <c r="AI231" s="62">
        <v>16.85742044546668</v>
      </c>
      <c r="AJ231" s="17">
        <f t="shared" si="25"/>
        <v>0.50009155675358874</v>
      </c>
      <c r="AK231" s="15">
        <f t="shared" si="26"/>
        <v>1.0101926872690719</v>
      </c>
      <c r="AL231" s="5">
        <v>3.2757000000000001</v>
      </c>
      <c r="AO231" s="5">
        <f t="shared" si="27"/>
        <v>1</v>
      </c>
      <c r="AP231" s="5">
        <f t="shared" ref="AP231:AP293" si="28">(PI()^2*U231*P231/K231^2)/(S231*1000)</f>
        <v>16.85742044546668</v>
      </c>
    </row>
    <row r="232" spans="1:42">
      <c r="A232" s="15">
        <v>227</v>
      </c>
      <c r="B232" s="20" t="s">
        <v>1053</v>
      </c>
      <c r="C232" s="20">
        <v>260</v>
      </c>
      <c r="D232" s="15">
        <v>260</v>
      </c>
      <c r="E232" s="15">
        <v>260</v>
      </c>
      <c r="F232" s="15">
        <v>17.5</v>
      </c>
      <c r="G232" s="15">
        <v>17.5</v>
      </c>
      <c r="H232" s="15">
        <v>10</v>
      </c>
      <c r="I232" s="15">
        <v>24</v>
      </c>
      <c r="J232" s="15">
        <v>24</v>
      </c>
      <c r="K232" s="15">
        <v>6443.883933569281</v>
      </c>
      <c r="L232" s="15">
        <v>11525</v>
      </c>
      <c r="M232" s="15"/>
      <c r="N232" s="15"/>
      <c r="O232" s="15"/>
      <c r="P232" s="15">
        <v>145667981.77083334</v>
      </c>
      <c r="Q232" s="15"/>
      <c r="R232" s="15"/>
      <c r="S232" s="15">
        <v>798.40871624764225</v>
      </c>
      <c r="T232" s="15">
        <v>355</v>
      </c>
      <c r="U232" s="15">
        <v>210000</v>
      </c>
      <c r="V232" s="15">
        <f t="shared" si="23"/>
        <v>5.124411741430662</v>
      </c>
      <c r="W232" s="15">
        <v>4.6633100000000001</v>
      </c>
      <c r="X232" s="15"/>
      <c r="Y232" s="15"/>
      <c r="Z232" s="15"/>
      <c r="AA232" s="16"/>
      <c r="AB232" s="15">
        <v>1.1133153135475653</v>
      </c>
      <c r="AC232" s="17">
        <v>0.75</v>
      </c>
      <c r="AD232" s="15"/>
      <c r="AE232" s="15" t="s">
        <v>1246</v>
      </c>
      <c r="AF232" s="22" t="s">
        <v>5</v>
      </c>
      <c r="AG232" s="17">
        <f t="shared" si="24"/>
        <v>3723.2273505647927</v>
      </c>
      <c r="AH232" s="17">
        <v>1729.1985217557631</v>
      </c>
      <c r="AI232" s="62">
        <v>9.1067298822499207</v>
      </c>
      <c r="AJ232" s="17">
        <f t="shared" si="25"/>
        <v>0.75013733513038316</v>
      </c>
      <c r="AK232" s="15">
        <f t="shared" si="26"/>
        <v>0.91001860024192183</v>
      </c>
      <c r="AL232" s="5">
        <v>3.2757000000000001</v>
      </c>
      <c r="AO232" s="5">
        <f t="shared" si="27"/>
        <v>1</v>
      </c>
      <c r="AP232" s="5">
        <f t="shared" si="28"/>
        <v>9.1067298822499207</v>
      </c>
    </row>
    <row r="233" spans="1:42">
      <c r="A233" s="15">
        <v>228</v>
      </c>
      <c r="B233" s="20" t="s">
        <v>1054</v>
      </c>
      <c r="C233" s="20">
        <v>260</v>
      </c>
      <c r="D233" s="15">
        <v>260</v>
      </c>
      <c r="E233" s="15">
        <v>260</v>
      </c>
      <c r="F233" s="15">
        <v>17.5</v>
      </c>
      <c r="G233" s="15">
        <v>17.5</v>
      </c>
      <c r="H233" s="15">
        <v>10</v>
      </c>
      <c r="I233" s="15">
        <v>24</v>
      </c>
      <c r="J233" s="15">
        <v>24</v>
      </c>
      <c r="K233" s="15">
        <v>8591.8452447590407</v>
      </c>
      <c r="L233" s="15">
        <v>11525</v>
      </c>
      <c r="M233" s="15"/>
      <c r="N233" s="15"/>
      <c r="O233" s="15"/>
      <c r="P233" s="15">
        <v>145667981.77083334</v>
      </c>
      <c r="Q233" s="15"/>
      <c r="R233" s="15"/>
      <c r="S233" s="15">
        <v>621.58552155475979</v>
      </c>
      <c r="T233" s="15">
        <v>355</v>
      </c>
      <c r="U233" s="15">
        <v>210000</v>
      </c>
      <c r="V233" s="15">
        <f t="shared" si="23"/>
        <v>6.5821594263751884</v>
      </c>
      <c r="W233" s="15">
        <v>4.8953800000000003</v>
      </c>
      <c r="X233" s="15"/>
      <c r="Y233" s="15"/>
      <c r="Z233" s="15"/>
      <c r="AA233" s="16"/>
      <c r="AB233" s="15">
        <v>1.1133153135475653</v>
      </c>
      <c r="AC233" s="17">
        <v>1</v>
      </c>
      <c r="AD233" s="15"/>
      <c r="AE233" s="15" t="s">
        <v>1247</v>
      </c>
      <c r="AF233" s="22" t="s">
        <v>5</v>
      </c>
      <c r="AG233" s="17">
        <f t="shared" si="24"/>
        <v>3042.8973305087402</v>
      </c>
      <c r="AH233" s="17">
        <v>1346.2337561503921</v>
      </c>
      <c r="AI233" s="62">
        <v>6.5797495237292472</v>
      </c>
      <c r="AJ233" s="17">
        <f t="shared" si="25"/>
        <v>1.0001831135071775</v>
      </c>
      <c r="AK233" s="15">
        <f t="shared" si="26"/>
        <v>0.74373464434541936</v>
      </c>
      <c r="AL233" s="5">
        <v>3.2757000000000001</v>
      </c>
      <c r="AO233" s="5">
        <f t="shared" si="27"/>
        <v>1</v>
      </c>
      <c r="AP233" s="5">
        <f t="shared" si="28"/>
        <v>6.5797495237292472</v>
      </c>
    </row>
    <row r="234" spans="1:42">
      <c r="A234" s="15">
        <v>229</v>
      </c>
      <c r="B234" s="20" t="s">
        <v>1055</v>
      </c>
      <c r="C234" s="20">
        <v>260</v>
      </c>
      <c r="D234" s="15">
        <v>260</v>
      </c>
      <c r="E234" s="15">
        <v>260</v>
      </c>
      <c r="F234" s="15">
        <v>17.5</v>
      </c>
      <c r="G234" s="15">
        <v>17.5</v>
      </c>
      <c r="H234" s="15">
        <v>10</v>
      </c>
      <c r="I234" s="15">
        <v>24</v>
      </c>
      <c r="J234" s="15">
        <v>24</v>
      </c>
      <c r="K234" s="15">
        <v>11427.154175529526</v>
      </c>
      <c r="L234" s="15">
        <v>11525</v>
      </c>
      <c r="M234" s="15"/>
      <c r="N234" s="15"/>
      <c r="O234" s="15"/>
      <c r="P234" s="15">
        <v>145667981.77083334</v>
      </c>
      <c r="Q234" s="15"/>
      <c r="R234" s="15"/>
      <c r="S234" s="15">
        <v>433.30880866345223</v>
      </c>
      <c r="T234" s="15">
        <v>355</v>
      </c>
      <c r="U234" s="15">
        <v>210000</v>
      </c>
      <c r="V234" s="15">
        <f t="shared" si="23"/>
        <v>9.4421689986407387</v>
      </c>
      <c r="W234" s="15">
        <v>4.7683999999999997</v>
      </c>
      <c r="X234" s="15"/>
      <c r="Y234" s="15"/>
      <c r="Z234" s="15"/>
      <c r="AA234" s="16"/>
      <c r="AB234" s="15">
        <v>1.1133153135475653</v>
      </c>
      <c r="AC234" s="17">
        <v>1.33</v>
      </c>
      <c r="AD234" s="15"/>
      <c r="AE234" s="15" t="s">
        <v>1248</v>
      </c>
      <c r="AF234" s="22" t="s">
        <v>5</v>
      </c>
      <c r="AG234" s="17">
        <f t="shared" si="24"/>
        <v>2066.1897232308056</v>
      </c>
      <c r="AH234" s="17">
        <v>938.46289019243318</v>
      </c>
      <c r="AI234" s="62">
        <v>5.3359217428068471</v>
      </c>
      <c r="AJ234" s="17">
        <f t="shared" si="25"/>
        <v>1.3302435409645461</v>
      </c>
      <c r="AK234" s="15">
        <f t="shared" si="26"/>
        <v>0.50501108386075722</v>
      </c>
      <c r="AL234" s="5">
        <v>3.2757000000000001</v>
      </c>
      <c r="AO234" s="5">
        <f t="shared" si="27"/>
        <v>1</v>
      </c>
      <c r="AP234" s="5">
        <f t="shared" si="28"/>
        <v>5.3359217428068471</v>
      </c>
    </row>
    <row r="235" spans="1:42">
      <c r="A235" s="15">
        <v>230</v>
      </c>
      <c r="B235" s="20" t="s">
        <v>1056</v>
      </c>
      <c r="C235" s="20">
        <v>260</v>
      </c>
      <c r="D235" s="15">
        <v>260</v>
      </c>
      <c r="E235" s="15">
        <v>260</v>
      </c>
      <c r="F235" s="15">
        <v>17.5</v>
      </c>
      <c r="G235" s="15">
        <v>17.5</v>
      </c>
      <c r="H235" s="15">
        <v>10</v>
      </c>
      <c r="I235" s="15">
        <v>24</v>
      </c>
      <c r="J235" s="15">
        <v>24</v>
      </c>
      <c r="K235" s="15">
        <v>14348.381558747598</v>
      </c>
      <c r="L235" s="15">
        <v>11525</v>
      </c>
      <c r="M235" s="15"/>
      <c r="N235" s="15"/>
      <c r="O235" s="15"/>
      <c r="P235" s="15">
        <v>145667981.77083334</v>
      </c>
      <c r="Q235" s="15"/>
      <c r="R235" s="15"/>
      <c r="S235" s="15">
        <v>305.41845291344043</v>
      </c>
      <c r="T235" s="15">
        <v>355</v>
      </c>
      <c r="U235" s="15">
        <v>210000</v>
      </c>
      <c r="V235" s="15">
        <f t="shared" si="23"/>
        <v>13.395965309141125</v>
      </c>
      <c r="W235" s="15">
        <v>4.5591400000000002</v>
      </c>
      <c r="X235" s="15"/>
      <c r="Y235" s="15"/>
      <c r="Z235" s="15"/>
      <c r="AA235" s="16"/>
      <c r="AB235" s="15">
        <v>1.1133153135475653</v>
      </c>
      <c r="AC235" s="17">
        <v>1.67</v>
      </c>
      <c r="AD235" s="15"/>
      <c r="AE235" s="15" t="s">
        <v>1249</v>
      </c>
      <c r="AF235" s="22" t="s">
        <v>5</v>
      </c>
      <c r="AG235" s="17">
        <f t="shared" si="24"/>
        <v>1392.445485415783</v>
      </c>
      <c r="AH235" s="17">
        <v>661.47716895796475</v>
      </c>
      <c r="AI235" s="62">
        <v>4.8015564172093468</v>
      </c>
      <c r="AJ235" s="17">
        <f t="shared" si="25"/>
        <v>1.6703057995569863</v>
      </c>
      <c r="AK235" s="15">
        <f t="shared" si="26"/>
        <v>0.34033680252134862</v>
      </c>
      <c r="AL235" s="5">
        <v>3.2757000000000001</v>
      </c>
      <c r="AO235" s="5">
        <f t="shared" si="27"/>
        <v>1</v>
      </c>
      <c r="AP235" s="5">
        <f t="shared" si="28"/>
        <v>4.8015564172093468</v>
      </c>
    </row>
    <row r="236" spans="1:42">
      <c r="A236" s="15">
        <v>231</v>
      </c>
      <c r="B236" s="20" t="s">
        <v>1057</v>
      </c>
      <c r="C236" s="20">
        <v>260</v>
      </c>
      <c r="D236" s="15">
        <v>260</v>
      </c>
      <c r="E236" s="15">
        <v>260</v>
      </c>
      <c r="F236" s="15">
        <v>17.5</v>
      </c>
      <c r="G236" s="15">
        <v>17.5</v>
      </c>
      <c r="H236" s="15">
        <v>10</v>
      </c>
      <c r="I236" s="15">
        <v>24</v>
      </c>
      <c r="J236" s="15">
        <v>24</v>
      </c>
      <c r="K236" s="15">
        <v>17183.690489518081</v>
      </c>
      <c r="L236" s="15">
        <v>11525</v>
      </c>
      <c r="M236" s="15"/>
      <c r="N236" s="15"/>
      <c r="O236" s="15"/>
      <c r="P236" s="15">
        <v>145667981.77083334</v>
      </c>
      <c r="Q236" s="15"/>
      <c r="R236" s="15"/>
      <c r="S236" s="15">
        <v>225.84938548269301</v>
      </c>
      <c r="T236" s="15">
        <v>355</v>
      </c>
      <c r="U236" s="15">
        <v>210000</v>
      </c>
      <c r="V236" s="15">
        <f t="shared" si="23"/>
        <v>18.11550202474881</v>
      </c>
      <c r="W236" s="15">
        <v>4.3478300000000001</v>
      </c>
      <c r="X236" s="15"/>
      <c r="Y236" s="15"/>
      <c r="Z236" s="15"/>
      <c r="AA236" s="16"/>
      <c r="AB236" s="15">
        <v>1.1133153135475653</v>
      </c>
      <c r="AC236" s="17">
        <v>2</v>
      </c>
      <c r="AD236" s="15"/>
      <c r="AE236" s="15" t="s">
        <v>1250</v>
      </c>
      <c r="AF236" s="22" t="s">
        <v>5</v>
      </c>
      <c r="AG236" s="17">
        <f t="shared" si="24"/>
        <v>981.95473368321711</v>
      </c>
      <c r="AH236" s="17">
        <v>489.14599198211556</v>
      </c>
      <c r="AI236" s="62">
        <v>4.5272173650881333</v>
      </c>
      <c r="AJ236" s="17">
        <f t="shared" si="25"/>
        <v>2.000366227014355</v>
      </c>
      <c r="AK236" s="15">
        <f t="shared" si="26"/>
        <v>0.24000604532295799</v>
      </c>
      <c r="AL236" s="5">
        <v>3.2757000000000001</v>
      </c>
      <c r="AO236" s="5">
        <f t="shared" si="27"/>
        <v>1</v>
      </c>
      <c r="AP236" s="5">
        <f t="shared" si="28"/>
        <v>4.5272173650881333</v>
      </c>
    </row>
    <row r="237" spans="1:42">
      <c r="A237" s="15">
        <v>232</v>
      </c>
      <c r="B237" s="20" t="s">
        <v>1058</v>
      </c>
      <c r="C237" s="20">
        <v>260</v>
      </c>
      <c r="D237" s="15">
        <v>260</v>
      </c>
      <c r="E237" s="15">
        <v>260</v>
      </c>
      <c r="F237" s="15">
        <v>17.5</v>
      </c>
      <c r="G237" s="15">
        <v>17.5</v>
      </c>
      <c r="H237" s="15">
        <v>10</v>
      </c>
      <c r="I237" s="15">
        <v>24</v>
      </c>
      <c r="J237" s="15">
        <v>24</v>
      </c>
      <c r="K237" s="15">
        <v>21479.613111897605</v>
      </c>
      <c r="L237" s="15">
        <v>11525</v>
      </c>
      <c r="M237" s="15"/>
      <c r="N237" s="15"/>
      <c r="O237" s="15"/>
      <c r="P237" s="15">
        <v>145667981.77083334</v>
      </c>
      <c r="Q237" s="15"/>
      <c r="R237" s="15"/>
      <c r="S237" s="15">
        <v>152.49719266050352</v>
      </c>
      <c r="T237" s="15">
        <v>355</v>
      </c>
      <c r="U237" s="15">
        <v>210000</v>
      </c>
      <c r="V237" s="15">
        <f t="shared" si="23"/>
        <v>26.829182417203004</v>
      </c>
      <c r="W237" s="15">
        <v>4.1343199999999998</v>
      </c>
      <c r="X237" s="15"/>
      <c r="Y237" s="15"/>
      <c r="Z237" s="15"/>
      <c r="AA237" s="16"/>
      <c r="AB237" s="15">
        <v>1.1133153135475653</v>
      </c>
      <c r="AC237" s="17">
        <v>2.5</v>
      </c>
      <c r="AD237" s="15"/>
      <c r="AE237" s="15" t="s">
        <v>1251</v>
      </c>
      <c r="AF237" s="22" t="s">
        <v>5</v>
      </c>
      <c r="AG237" s="17">
        <f t="shared" si="24"/>
        <v>630.47219356017285</v>
      </c>
      <c r="AH237" s="17">
        <v>330.2793603754389</v>
      </c>
      <c r="AI237" s="62">
        <v>4.2910975270339602</v>
      </c>
      <c r="AJ237" s="17">
        <f t="shared" si="25"/>
        <v>2.5004577837679438</v>
      </c>
      <c r="AK237" s="15">
        <f t="shared" si="26"/>
        <v>0.15409787505671635</v>
      </c>
      <c r="AL237" s="5">
        <v>3.2757000000000001</v>
      </c>
      <c r="AO237" s="5">
        <f t="shared" si="27"/>
        <v>1</v>
      </c>
      <c r="AP237" s="5">
        <f t="shared" si="28"/>
        <v>4.2910975270339602</v>
      </c>
    </row>
    <row r="238" spans="1:42">
      <c r="A238" s="15">
        <v>233</v>
      </c>
      <c r="B238" s="20" t="s">
        <v>1059</v>
      </c>
      <c r="C238" s="20">
        <v>300</v>
      </c>
      <c r="D238" s="15">
        <v>300</v>
      </c>
      <c r="E238" s="15">
        <v>300</v>
      </c>
      <c r="F238" s="15">
        <v>19</v>
      </c>
      <c r="G238" s="15">
        <v>19</v>
      </c>
      <c r="H238" s="15">
        <v>11</v>
      </c>
      <c r="I238" s="15">
        <v>27</v>
      </c>
      <c r="J238" s="15">
        <v>27</v>
      </c>
      <c r="K238" s="15">
        <v>2983.0539760123752</v>
      </c>
      <c r="L238" s="15">
        <v>14491</v>
      </c>
      <c r="M238" s="15"/>
      <c r="N238" s="15"/>
      <c r="O238" s="15"/>
      <c r="P238" s="15">
        <v>245377887.58333334</v>
      </c>
      <c r="Q238" s="15"/>
      <c r="R238" s="15"/>
      <c r="S238" s="15">
        <v>1374.9382073927852</v>
      </c>
      <c r="T238" s="15">
        <v>355</v>
      </c>
      <c r="U238" s="15">
        <v>210000</v>
      </c>
      <c r="V238" s="15">
        <f t="shared" si="23"/>
        <v>3.7414808697147519</v>
      </c>
      <c r="W238" s="15">
        <v>3.9248799999999999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1252</v>
      </c>
      <c r="AF238" s="24" t="s">
        <v>218</v>
      </c>
      <c r="AG238" s="17">
        <f t="shared" si="24"/>
        <v>5396.4674714317944</v>
      </c>
      <c r="AH238" s="17">
        <v>2175.4811048233278</v>
      </c>
      <c r="AI238" s="62">
        <v>41.56703620169155</v>
      </c>
      <c r="AJ238" s="17">
        <f t="shared" si="25"/>
        <v>0.30001794684021782</v>
      </c>
      <c r="AK238" s="15">
        <f t="shared" si="26"/>
        <v>1.0490177917972971</v>
      </c>
      <c r="AL238" s="56">
        <v>1.7927999999999999</v>
      </c>
      <c r="AO238" s="5">
        <f t="shared" si="27"/>
        <v>1</v>
      </c>
      <c r="AP238" s="5">
        <f t="shared" si="28"/>
        <v>41.56703620169155</v>
      </c>
    </row>
    <row r="239" spans="1:42">
      <c r="A239" s="15">
        <v>234</v>
      </c>
      <c r="B239" s="20" t="s">
        <v>1060</v>
      </c>
      <c r="C239" s="20">
        <v>300</v>
      </c>
      <c r="D239" s="15">
        <v>300</v>
      </c>
      <c r="E239" s="15">
        <v>300</v>
      </c>
      <c r="F239" s="15">
        <v>19</v>
      </c>
      <c r="G239" s="15">
        <v>19</v>
      </c>
      <c r="H239" s="15">
        <v>11</v>
      </c>
      <c r="I239" s="15">
        <v>27</v>
      </c>
      <c r="J239" s="15">
        <v>27</v>
      </c>
      <c r="K239" s="15">
        <v>4971.7566266872918</v>
      </c>
      <c r="L239" s="15">
        <v>14491</v>
      </c>
      <c r="M239" s="15"/>
      <c r="N239" s="15"/>
      <c r="O239" s="15"/>
      <c r="P239" s="15">
        <v>245377887.58333334</v>
      </c>
      <c r="Q239" s="15"/>
      <c r="R239" s="15"/>
      <c r="S239" s="15">
        <v>1221.1592149826399</v>
      </c>
      <c r="T239" s="15">
        <v>355</v>
      </c>
      <c r="U239" s="15">
        <v>210000</v>
      </c>
      <c r="V239" s="15">
        <f t="shared" si="23"/>
        <v>4.2126406916342445</v>
      </c>
      <c r="W239" s="15">
        <v>4.2474400000000001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1253</v>
      </c>
      <c r="AF239" s="22" t="s">
        <v>5</v>
      </c>
      <c r="AG239" s="17">
        <f t="shared" si="24"/>
        <v>5186.8004960858643</v>
      </c>
      <c r="AH239" s="17">
        <v>1932.165957634702</v>
      </c>
      <c r="AI239" s="62">
        <v>16.848546851718279</v>
      </c>
      <c r="AJ239" s="17">
        <f t="shared" si="25"/>
        <v>0.50002991140036301</v>
      </c>
      <c r="AK239" s="15">
        <f t="shared" si="26"/>
        <v>1.0082606875148081</v>
      </c>
      <c r="AL239" s="5">
        <v>1.7927999999999999</v>
      </c>
      <c r="AO239" s="5">
        <f t="shared" si="27"/>
        <v>1</v>
      </c>
      <c r="AP239" s="5">
        <f t="shared" si="28"/>
        <v>16.848546851718279</v>
      </c>
    </row>
    <row r="240" spans="1:42">
      <c r="A240" s="15">
        <v>235</v>
      </c>
      <c r="B240" s="20" t="s">
        <v>1061</v>
      </c>
      <c r="C240" s="20">
        <v>300</v>
      </c>
      <c r="D240" s="15">
        <v>300</v>
      </c>
      <c r="E240" s="15">
        <v>300</v>
      </c>
      <c r="F240" s="15">
        <v>19</v>
      </c>
      <c r="G240" s="15">
        <v>19</v>
      </c>
      <c r="H240" s="15">
        <v>11</v>
      </c>
      <c r="I240" s="15">
        <v>27</v>
      </c>
      <c r="J240" s="15">
        <v>27</v>
      </c>
      <c r="K240" s="15">
        <v>7457.6349400309382</v>
      </c>
      <c r="L240" s="15">
        <v>14491.000000000002</v>
      </c>
      <c r="M240" s="15"/>
      <c r="N240" s="15"/>
      <c r="O240" s="15"/>
      <c r="P240" s="15">
        <v>245377887.58333334</v>
      </c>
      <c r="Q240" s="15"/>
      <c r="R240" s="15"/>
      <c r="S240" s="15">
        <v>1004.6584392465924</v>
      </c>
      <c r="T240" s="15">
        <v>355</v>
      </c>
      <c r="U240" s="15">
        <v>210000</v>
      </c>
      <c r="V240" s="15">
        <f t="shared" si="23"/>
        <v>5.1204516869014594</v>
      </c>
      <c r="W240" s="15">
        <v>4.6541600000000001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1254</v>
      </c>
      <c r="AF240" s="22" t="s">
        <v>5</v>
      </c>
      <c r="AG240" s="17">
        <f t="shared" si="24"/>
        <v>4675.8411216039203</v>
      </c>
      <c r="AH240" s="17">
        <v>1589.6099472911669</v>
      </c>
      <c r="AI240" s="62">
        <v>9.1019361819555638</v>
      </c>
      <c r="AJ240" s="17">
        <f t="shared" si="25"/>
        <v>0.75004486710054474</v>
      </c>
      <c r="AK240" s="15">
        <f t="shared" si="26"/>
        <v>0.9089354386265821</v>
      </c>
      <c r="AL240" s="5">
        <v>1.7927999999999999</v>
      </c>
      <c r="AO240" s="5">
        <f t="shared" si="27"/>
        <v>1</v>
      </c>
      <c r="AP240" s="5">
        <f t="shared" si="28"/>
        <v>9.1019361819555638</v>
      </c>
    </row>
    <row r="241" spans="1:42">
      <c r="A241" s="15">
        <v>236</v>
      </c>
      <c r="B241" s="20" t="s">
        <v>1062</v>
      </c>
      <c r="C241" s="20">
        <v>300</v>
      </c>
      <c r="D241" s="15">
        <v>300</v>
      </c>
      <c r="E241" s="15">
        <v>300</v>
      </c>
      <c r="F241" s="15">
        <v>19</v>
      </c>
      <c r="G241" s="15">
        <v>19</v>
      </c>
      <c r="H241" s="15">
        <v>11</v>
      </c>
      <c r="I241" s="15">
        <v>27</v>
      </c>
      <c r="J241" s="15">
        <v>27</v>
      </c>
      <c r="K241" s="15">
        <v>9943.5132533745837</v>
      </c>
      <c r="L241" s="15">
        <v>14491.000000000002</v>
      </c>
      <c r="M241" s="15"/>
      <c r="N241" s="15"/>
      <c r="O241" s="15"/>
      <c r="P241" s="15">
        <v>245377887.58333334</v>
      </c>
      <c r="Q241" s="15"/>
      <c r="R241" s="15"/>
      <c r="S241" s="15">
        <v>782.15721751939043</v>
      </c>
      <c r="T241" s="15">
        <v>355</v>
      </c>
      <c r="U241" s="15">
        <v>210000</v>
      </c>
      <c r="V241" s="15">
        <f t="shared" si="23"/>
        <v>6.5770728502834137</v>
      </c>
      <c r="W241" s="15">
        <v>4.88809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1255</v>
      </c>
      <c r="AF241" s="22" t="s">
        <v>5</v>
      </c>
      <c r="AG241" s="17">
        <f t="shared" si="24"/>
        <v>3823.2548733843573</v>
      </c>
      <c r="AH241" s="17">
        <v>1237.5597961898284</v>
      </c>
      <c r="AI241" s="62">
        <v>6.5762860030542578</v>
      </c>
      <c r="AJ241" s="17">
        <f t="shared" si="25"/>
        <v>1.0000598228007263</v>
      </c>
      <c r="AK241" s="15">
        <f t="shared" si="26"/>
        <v>0.74320143797546145</v>
      </c>
      <c r="AL241" s="5">
        <v>1.7927999999999999</v>
      </c>
      <c r="AO241" s="5">
        <f t="shared" si="27"/>
        <v>1</v>
      </c>
      <c r="AP241" s="5">
        <f t="shared" si="28"/>
        <v>6.5762860030542578</v>
      </c>
    </row>
    <row r="242" spans="1:42">
      <c r="A242" s="15">
        <v>237</v>
      </c>
      <c r="B242" s="20" t="s">
        <v>1063</v>
      </c>
      <c r="C242" s="20">
        <v>300</v>
      </c>
      <c r="D242" s="15">
        <v>300</v>
      </c>
      <c r="E242" s="15">
        <v>300</v>
      </c>
      <c r="F242" s="15">
        <v>19</v>
      </c>
      <c r="G242" s="15">
        <v>19</v>
      </c>
      <c r="H242" s="15">
        <v>11</v>
      </c>
      <c r="I242" s="15">
        <v>27</v>
      </c>
      <c r="J242" s="15">
        <v>27</v>
      </c>
      <c r="K242" s="15">
        <v>13224.872626988197</v>
      </c>
      <c r="L242" s="15">
        <v>14491.000000000002</v>
      </c>
      <c r="M242" s="15"/>
      <c r="N242" s="15"/>
      <c r="O242" s="15"/>
      <c r="P242" s="15">
        <v>245377887.58333334</v>
      </c>
      <c r="Q242" s="15"/>
      <c r="R242" s="15"/>
      <c r="S242" s="15">
        <v>545.24373615254831</v>
      </c>
      <c r="T242" s="15">
        <v>355</v>
      </c>
      <c r="U242" s="15">
        <v>210000</v>
      </c>
      <c r="V242" s="15">
        <f t="shared" si="23"/>
        <v>9.4348722578643738</v>
      </c>
      <c r="W242" s="15">
        <v>4.7626200000000001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1256</v>
      </c>
      <c r="AF242" s="22" t="s">
        <v>5</v>
      </c>
      <c r="AG242" s="17">
        <f t="shared" si="24"/>
        <v>2596.7887226748499</v>
      </c>
      <c r="AH242" s="17">
        <v>862.70600318279378</v>
      </c>
      <c r="AI242" s="62">
        <v>5.3331129618327875</v>
      </c>
      <c r="AJ242" s="17">
        <f t="shared" si="25"/>
        <v>1.3300795643249659</v>
      </c>
      <c r="AK242" s="15">
        <f t="shared" si="26"/>
        <v>0.50478902838670137</v>
      </c>
      <c r="AL242" s="5">
        <v>1.7927999999999999</v>
      </c>
      <c r="AO242" s="5">
        <f t="shared" si="27"/>
        <v>1</v>
      </c>
      <c r="AP242" s="5">
        <f t="shared" si="28"/>
        <v>5.3331129618327875</v>
      </c>
    </row>
    <row r="243" spans="1:42">
      <c r="A243" s="15">
        <v>238</v>
      </c>
      <c r="B243" s="20" t="s">
        <v>1064</v>
      </c>
      <c r="C243" s="20">
        <v>300</v>
      </c>
      <c r="D243" s="15">
        <v>300</v>
      </c>
      <c r="E243" s="15">
        <v>300</v>
      </c>
      <c r="F243" s="15">
        <v>19</v>
      </c>
      <c r="G243" s="15">
        <v>19</v>
      </c>
      <c r="H243" s="15">
        <v>11</v>
      </c>
      <c r="I243" s="15">
        <v>27</v>
      </c>
      <c r="J243" s="15">
        <v>27</v>
      </c>
      <c r="K243" s="15">
        <v>16605.667133135554</v>
      </c>
      <c r="L243" s="15">
        <v>14491.000000000002</v>
      </c>
      <c r="M243" s="15"/>
      <c r="N243" s="15"/>
      <c r="O243" s="15"/>
      <c r="P243" s="15">
        <v>245377887.58333334</v>
      </c>
      <c r="Q243" s="15"/>
      <c r="R243" s="15"/>
      <c r="S243" s="15">
        <v>384.31597748984638</v>
      </c>
      <c r="T243" s="15">
        <v>355</v>
      </c>
      <c r="U243" s="15">
        <v>210000</v>
      </c>
      <c r="V243" s="15">
        <f t="shared" si="23"/>
        <v>13.385613144683566</v>
      </c>
      <c r="W243" s="15">
        <v>4.5542299999999996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1257</v>
      </c>
      <c r="AF243" s="22" t="s">
        <v>5</v>
      </c>
      <c r="AG243" s="17">
        <f t="shared" si="24"/>
        <v>1750.2633541635828</v>
      </c>
      <c r="AH243" s="17">
        <v>608.07979792507365</v>
      </c>
      <c r="AI243" s="62">
        <v>4.7990289213125585</v>
      </c>
      <c r="AJ243" s="17">
        <f t="shared" si="25"/>
        <v>1.6700999040772124</v>
      </c>
      <c r="AK243" s="15">
        <f t="shared" si="26"/>
        <v>0.34023320043496302</v>
      </c>
      <c r="AL243" s="5">
        <v>1.7927999999999999</v>
      </c>
      <c r="AO243" s="5">
        <f t="shared" si="27"/>
        <v>1</v>
      </c>
      <c r="AP243" s="5">
        <f t="shared" si="28"/>
        <v>4.7990289213125585</v>
      </c>
    </row>
    <row r="244" spans="1:42">
      <c r="A244" s="15">
        <v>239</v>
      </c>
      <c r="B244" s="20" t="s">
        <v>1065</v>
      </c>
      <c r="C244" s="20">
        <v>300</v>
      </c>
      <c r="D244" s="15">
        <v>300</v>
      </c>
      <c r="E244" s="15">
        <v>300</v>
      </c>
      <c r="F244" s="15">
        <v>19</v>
      </c>
      <c r="G244" s="15">
        <v>19</v>
      </c>
      <c r="H244" s="15">
        <v>11</v>
      </c>
      <c r="I244" s="15">
        <v>27</v>
      </c>
      <c r="J244" s="15">
        <v>27</v>
      </c>
      <c r="K244" s="15">
        <v>19887.026506749167</v>
      </c>
      <c r="L244" s="15">
        <v>14491.000000000002</v>
      </c>
      <c r="M244" s="15"/>
      <c r="N244" s="15"/>
      <c r="O244" s="15"/>
      <c r="P244" s="15">
        <v>245377887.58333334</v>
      </c>
      <c r="Q244" s="15"/>
      <c r="R244" s="15"/>
      <c r="S244" s="15">
        <v>284.19215184703273</v>
      </c>
      <c r="T244" s="15">
        <v>355</v>
      </c>
      <c r="U244" s="15">
        <v>210000</v>
      </c>
      <c r="V244" s="15">
        <f t="shared" si="23"/>
        <v>18.101502686002881</v>
      </c>
      <c r="W244" s="15">
        <v>4.3437299999999999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1258</v>
      </c>
      <c r="AF244" s="22" t="s">
        <v>5</v>
      </c>
      <c r="AG244" s="17">
        <f t="shared" si="24"/>
        <v>1234.4539757425114</v>
      </c>
      <c r="AH244" s="17">
        <v>449.65995792251766</v>
      </c>
      <c r="AI244" s="62">
        <v>4.5248342787886324</v>
      </c>
      <c r="AJ244" s="17">
        <f t="shared" si="25"/>
        <v>2.0001196456014525</v>
      </c>
      <c r="AK244" s="15">
        <f t="shared" si="26"/>
        <v>0.23996516064706722</v>
      </c>
      <c r="AL244" s="5">
        <v>1.7927999999999999</v>
      </c>
      <c r="AO244" s="5">
        <f t="shared" si="27"/>
        <v>1</v>
      </c>
      <c r="AP244" s="5">
        <f t="shared" si="28"/>
        <v>4.5248342787886324</v>
      </c>
    </row>
    <row r="245" spans="1:42">
      <c r="A245" s="25">
        <v>240</v>
      </c>
      <c r="B245" s="27" t="s">
        <v>1066</v>
      </c>
      <c r="C245" s="27">
        <v>300</v>
      </c>
      <c r="D245" s="25">
        <v>300</v>
      </c>
      <c r="E245" s="25">
        <v>300</v>
      </c>
      <c r="F245" s="25">
        <v>19</v>
      </c>
      <c r="G245" s="25">
        <v>19</v>
      </c>
      <c r="H245" s="25">
        <v>11</v>
      </c>
      <c r="I245" s="25">
        <v>27</v>
      </c>
      <c r="J245" s="25">
        <v>27</v>
      </c>
      <c r="K245" s="25">
        <v>24858.78313343646</v>
      </c>
      <c r="L245" s="25">
        <v>14491.000000000002</v>
      </c>
      <c r="M245" s="25"/>
      <c r="N245" s="25"/>
      <c r="O245" s="25"/>
      <c r="P245" s="25">
        <v>245377887.58333334</v>
      </c>
      <c r="Q245" s="25"/>
      <c r="R245" s="25"/>
      <c r="S245" s="25">
        <v>191.89118110813314</v>
      </c>
      <c r="T245" s="25">
        <v>355</v>
      </c>
      <c r="U245" s="25">
        <v>210000</v>
      </c>
      <c r="V245" s="25">
        <f t="shared" si="23"/>
        <v>26.80844930075822</v>
      </c>
      <c r="W245" s="25">
        <v>4.1303000000000001</v>
      </c>
      <c r="X245" s="25"/>
      <c r="Y245" s="25"/>
      <c r="Z245" s="25"/>
      <c r="AA245" s="46"/>
      <c r="AB245" s="25">
        <v>1.5137471488237149</v>
      </c>
      <c r="AC245" s="47">
        <v>2.5</v>
      </c>
      <c r="AD245" s="25"/>
      <c r="AE245" s="25" t="s">
        <v>1259</v>
      </c>
      <c r="AF245" s="48" t="s">
        <v>5</v>
      </c>
      <c r="AG245" s="47">
        <f t="shared" si="24"/>
        <v>792.56814533092233</v>
      </c>
      <c r="AH245" s="47">
        <v>303.61774546550089</v>
      </c>
      <c r="AI245" s="62">
        <v>4.288838732082926</v>
      </c>
      <c r="AJ245" s="47">
        <f t="shared" si="25"/>
        <v>2.5001495570018153</v>
      </c>
      <c r="AK245" s="25">
        <f t="shared" si="26"/>
        <v>0.15406709853535555</v>
      </c>
      <c r="AL245" s="5">
        <v>1.7927999999999999</v>
      </c>
      <c r="AO245" s="5">
        <f t="shared" si="27"/>
        <v>1</v>
      </c>
      <c r="AP245" s="5">
        <f t="shared" si="28"/>
        <v>4.288838732082926</v>
      </c>
    </row>
    <row r="246" spans="1:42">
      <c r="A246" s="15">
        <v>241</v>
      </c>
      <c r="B246" s="20" t="s">
        <v>1067</v>
      </c>
      <c r="C246" s="20">
        <v>300</v>
      </c>
      <c r="D246" s="15">
        <v>300</v>
      </c>
      <c r="E246" s="15">
        <v>340</v>
      </c>
      <c r="F246" s="15">
        <v>21.5</v>
      </c>
      <c r="G246" s="15">
        <v>21.5</v>
      </c>
      <c r="H246" s="15">
        <v>12</v>
      </c>
      <c r="I246" s="15">
        <v>27</v>
      </c>
      <c r="J246" s="15">
        <v>27</v>
      </c>
      <c r="K246" s="15">
        <v>3360.5179307417707</v>
      </c>
      <c r="L246" s="15">
        <v>16722</v>
      </c>
      <c r="M246" s="15"/>
      <c r="N246" s="15"/>
      <c r="O246" s="15"/>
      <c r="P246" s="15">
        <v>359460612.875</v>
      </c>
      <c r="Q246" s="15"/>
      <c r="R246" s="15"/>
      <c r="S246" s="15">
        <v>1585.0008854862638</v>
      </c>
      <c r="T246" s="15">
        <v>355</v>
      </c>
      <c r="U246" s="15">
        <v>210000</v>
      </c>
      <c r="V246" s="15">
        <f t="shared" si="23"/>
        <v>3.7453039013153577</v>
      </c>
      <c r="W246" s="15">
        <v>3.8854700000000002</v>
      </c>
      <c r="X246" s="15"/>
      <c r="Y246" s="15"/>
      <c r="Z246" s="15"/>
      <c r="AA246" s="16"/>
      <c r="AB246" s="15">
        <v>0.35499999999999998</v>
      </c>
      <c r="AC246" s="17">
        <v>0.3</v>
      </c>
      <c r="AD246" s="15"/>
      <c r="AE246" s="15" t="s">
        <v>1260</v>
      </c>
      <c r="AF246" s="22" t="s">
        <v>5</v>
      </c>
      <c r="AG246" s="17">
        <f t="shared" si="24"/>
        <v>6158.4733905303137</v>
      </c>
      <c r="AH246" s="17">
        <v>6109.2446647285724</v>
      </c>
      <c r="AI246" s="62">
        <v>41.622523517234264</v>
      </c>
      <c r="AJ246" s="17">
        <f t="shared" si="25"/>
        <v>0.29997103931219959</v>
      </c>
      <c r="AK246" s="15">
        <f t="shared" si="26"/>
        <v>1.0374244927455463</v>
      </c>
      <c r="AL246" s="56">
        <v>29.24</v>
      </c>
      <c r="AO246" s="5">
        <f t="shared" si="27"/>
        <v>1.1333333333333333</v>
      </c>
      <c r="AP246" s="5">
        <f t="shared" si="28"/>
        <v>41.622523517234264</v>
      </c>
    </row>
    <row r="247" spans="1:42">
      <c r="A247" s="15">
        <v>242</v>
      </c>
      <c r="B247" s="20" t="s">
        <v>1068</v>
      </c>
      <c r="C247" s="20">
        <v>300</v>
      </c>
      <c r="D247" s="15">
        <v>300</v>
      </c>
      <c r="E247" s="15">
        <v>340</v>
      </c>
      <c r="F247" s="15">
        <v>21.5</v>
      </c>
      <c r="G247" s="15">
        <v>21.5</v>
      </c>
      <c r="H247" s="15">
        <v>12</v>
      </c>
      <c r="I247" s="15">
        <v>27</v>
      </c>
      <c r="J247" s="15">
        <v>27</v>
      </c>
      <c r="K247" s="15">
        <v>5600.863217902951</v>
      </c>
      <c r="L247" s="15">
        <v>16722</v>
      </c>
      <c r="M247" s="15"/>
      <c r="N247" s="15"/>
      <c r="O247" s="15"/>
      <c r="P247" s="15">
        <v>359460612.875</v>
      </c>
      <c r="Q247" s="15"/>
      <c r="R247" s="15"/>
      <c r="S247" s="15">
        <v>1407.7275812543191</v>
      </c>
      <c r="T247" s="15">
        <v>355</v>
      </c>
      <c r="U247" s="15">
        <v>210000</v>
      </c>
      <c r="V247" s="15">
        <f t="shared" si="23"/>
        <v>4.2169451526342936</v>
      </c>
      <c r="W247" s="15">
        <v>4.2085800000000004</v>
      </c>
      <c r="X247" s="15"/>
      <c r="Y247" s="15"/>
      <c r="Z247" s="15"/>
      <c r="AA247" s="16"/>
      <c r="AB247" s="15">
        <v>0.35499999999999998</v>
      </c>
      <c r="AC247" s="17">
        <v>0.5</v>
      </c>
      <c r="AD247" s="15"/>
      <c r="AE247" s="15" t="s">
        <v>1261</v>
      </c>
      <c r="AF247" s="22" t="s">
        <v>5</v>
      </c>
      <c r="AG247" s="17">
        <f t="shared" si="24"/>
        <v>5924.5341439153035</v>
      </c>
      <c r="AH247" s="17">
        <v>5425.9605113916132</v>
      </c>
      <c r="AI247" s="62">
        <v>16.871037765697842</v>
      </c>
      <c r="AJ247" s="17">
        <f t="shared" si="25"/>
        <v>0.49995173218699923</v>
      </c>
      <c r="AK247" s="15">
        <f t="shared" si="26"/>
        <v>0.99801630034740496</v>
      </c>
      <c r="AL247" s="5">
        <v>29.24</v>
      </c>
      <c r="AO247" s="5">
        <f t="shared" si="27"/>
        <v>1.1333333333333333</v>
      </c>
      <c r="AP247" s="5">
        <f t="shared" si="28"/>
        <v>16.871037765697842</v>
      </c>
    </row>
    <row r="248" spans="1:42">
      <c r="A248" s="15">
        <v>243</v>
      </c>
      <c r="B248" s="20" t="s">
        <v>1069</v>
      </c>
      <c r="C248" s="20">
        <v>300</v>
      </c>
      <c r="D248" s="15">
        <v>300</v>
      </c>
      <c r="E248" s="15">
        <v>340</v>
      </c>
      <c r="F248" s="15">
        <v>21.5</v>
      </c>
      <c r="G248" s="15">
        <v>21.5</v>
      </c>
      <c r="H248" s="15">
        <v>12</v>
      </c>
      <c r="I248" s="15">
        <v>27</v>
      </c>
      <c r="J248" s="15">
        <v>27</v>
      </c>
      <c r="K248" s="15">
        <v>8401.2948268544278</v>
      </c>
      <c r="L248" s="15">
        <v>16722.000000000004</v>
      </c>
      <c r="M248" s="15"/>
      <c r="N248" s="15"/>
      <c r="O248" s="15"/>
      <c r="P248" s="15">
        <v>359460612.87499994</v>
      </c>
      <c r="Q248" s="15"/>
      <c r="R248" s="15"/>
      <c r="S248" s="15">
        <v>1158.1498770309406</v>
      </c>
      <c r="T248" s="15">
        <v>355</v>
      </c>
      <c r="U248" s="15">
        <v>210000</v>
      </c>
      <c r="V248" s="15">
        <f t="shared" si="23"/>
        <v>5.1256837458882778</v>
      </c>
      <c r="W248" s="15">
        <v>4.6159400000000002</v>
      </c>
      <c r="X248" s="15"/>
      <c r="Y248" s="15"/>
      <c r="Z248" s="15"/>
      <c r="AA248" s="16"/>
      <c r="AB248" s="15">
        <v>0.35499999999999998</v>
      </c>
      <c r="AC248" s="17">
        <v>0.75</v>
      </c>
      <c r="AD248" s="15"/>
      <c r="AE248" s="15" t="s">
        <v>1262</v>
      </c>
      <c r="AF248" s="22" t="s">
        <v>5</v>
      </c>
      <c r="AG248" s="17">
        <f t="shared" si="24"/>
        <v>5345.9503433822001</v>
      </c>
      <c r="AH248" s="17">
        <v>4463.9854917410057</v>
      </c>
      <c r="AI248" s="62">
        <v>9.1140862424632996</v>
      </c>
      <c r="AJ248" s="17">
        <f t="shared" si="25"/>
        <v>0.74992759828049915</v>
      </c>
      <c r="AK248" s="15">
        <f t="shared" si="26"/>
        <v>0.90055107354268904</v>
      </c>
      <c r="AL248" s="5">
        <v>29.24</v>
      </c>
      <c r="AO248" s="5">
        <f t="shared" si="27"/>
        <v>1.1333333333333333</v>
      </c>
      <c r="AP248" s="5">
        <f t="shared" si="28"/>
        <v>9.1140862424632996</v>
      </c>
    </row>
    <row r="249" spans="1:42">
      <c r="A249" s="15">
        <v>244</v>
      </c>
      <c r="B249" s="20" t="s">
        <v>1070</v>
      </c>
      <c r="C249" s="20">
        <v>300</v>
      </c>
      <c r="D249" s="15">
        <v>300</v>
      </c>
      <c r="E249" s="15">
        <v>340</v>
      </c>
      <c r="F249" s="15">
        <v>21.5</v>
      </c>
      <c r="G249" s="15">
        <v>21.5</v>
      </c>
      <c r="H249" s="15">
        <v>12</v>
      </c>
      <c r="I249" s="15">
        <v>27</v>
      </c>
      <c r="J249" s="15">
        <v>27</v>
      </c>
      <c r="K249" s="15">
        <v>11201.726435805902</v>
      </c>
      <c r="L249" s="15">
        <v>16722.000000000004</v>
      </c>
      <c r="M249" s="15"/>
      <c r="N249" s="15"/>
      <c r="O249" s="15"/>
      <c r="P249" s="15">
        <v>359460612.87499994</v>
      </c>
      <c r="Q249" s="15"/>
      <c r="R249" s="15"/>
      <c r="S249" s="15">
        <v>901.65498034163591</v>
      </c>
      <c r="T249" s="15">
        <v>355</v>
      </c>
      <c r="U249" s="15">
        <v>210000</v>
      </c>
      <c r="V249" s="15">
        <f t="shared" si="23"/>
        <v>6.5837932794989289</v>
      </c>
      <c r="W249" s="15">
        <v>4.8513000000000002</v>
      </c>
      <c r="X249" s="15"/>
      <c r="Y249" s="15"/>
      <c r="Z249" s="15"/>
      <c r="AA249" s="16"/>
      <c r="AB249" s="15">
        <v>0.35499999999999998</v>
      </c>
      <c r="AC249" s="17">
        <v>1</v>
      </c>
      <c r="AD249" s="15"/>
      <c r="AE249" s="15" t="s">
        <v>1263</v>
      </c>
      <c r="AF249" s="22" t="s">
        <v>5</v>
      </c>
      <c r="AG249" s="17">
        <f t="shared" si="24"/>
        <v>4374.1988061313787</v>
      </c>
      <c r="AH249" s="17">
        <v>3475.34877016056</v>
      </c>
      <c r="AI249" s="62">
        <v>6.5850646047996406</v>
      </c>
      <c r="AJ249" s="17">
        <f t="shared" si="25"/>
        <v>0.9999034643739988</v>
      </c>
      <c r="AK249" s="15">
        <f t="shared" si="26"/>
        <v>0.73685484857283012</v>
      </c>
      <c r="AL249" s="5">
        <v>29.24</v>
      </c>
      <c r="AO249" s="5">
        <f t="shared" si="27"/>
        <v>1.1333333333333333</v>
      </c>
      <c r="AP249" s="5">
        <f t="shared" si="28"/>
        <v>6.5850646047996406</v>
      </c>
    </row>
    <row r="250" spans="1:42">
      <c r="A250" s="15">
        <v>245</v>
      </c>
      <c r="B250" s="20" t="s">
        <v>1071</v>
      </c>
      <c r="C250" s="20">
        <v>300</v>
      </c>
      <c r="D250" s="15">
        <v>300</v>
      </c>
      <c r="E250" s="15">
        <v>340</v>
      </c>
      <c r="F250" s="15">
        <v>21.5</v>
      </c>
      <c r="G250" s="15">
        <v>21.5</v>
      </c>
      <c r="H250" s="15">
        <v>12</v>
      </c>
      <c r="I250" s="15">
        <v>27</v>
      </c>
      <c r="J250" s="15">
        <v>27</v>
      </c>
      <c r="K250" s="15">
        <v>14898.296159621852</v>
      </c>
      <c r="L250" s="15">
        <v>16722.000000000004</v>
      </c>
      <c r="M250" s="15"/>
      <c r="N250" s="15"/>
      <c r="O250" s="15"/>
      <c r="P250" s="15">
        <v>359460612.87499994</v>
      </c>
      <c r="Q250" s="15"/>
      <c r="R250" s="15"/>
      <c r="S250" s="15">
        <v>628.54592298106388</v>
      </c>
      <c r="T250" s="15">
        <v>355</v>
      </c>
      <c r="U250" s="15">
        <v>210000</v>
      </c>
      <c r="V250" s="15">
        <f t="shared" si="23"/>
        <v>9.4445127761632843</v>
      </c>
      <c r="W250" s="15">
        <v>4.7294400000000003</v>
      </c>
      <c r="X250" s="15"/>
      <c r="Y250" s="15"/>
      <c r="Z250" s="15"/>
      <c r="AA250" s="16"/>
      <c r="AB250" s="15">
        <v>0.35499999999999998</v>
      </c>
      <c r="AC250" s="17">
        <v>1.33</v>
      </c>
      <c r="AD250" s="15"/>
      <c r="AE250" s="15" t="s">
        <v>1264</v>
      </c>
      <c r="AF250" s="22" t="s">
        <v>5</v>
      </c>
      <c r="AG250" s="17">
        <f t="shared" si="24"/>
        <v>2972.6702299835629</v>
      </c>
      <c r="AH250" s="17">
        <v>2422.6742468543816</v>
      </c>
      <c r="AI250" s="62">
        <v>5.3402320674698194</v>
      </c>
      <c r="AJ250" s="17">
        <f t="shared" si="25"/>
        <v>1.3298716076174186</v>
      </c>
      <c r="AK250" s="15">
        <f t="shared" si="26"/>
        <v>0.50076061222940882</v>
      </c>
      <c r="AL250" s="5">
        <v>29.24</v>
      </c>
      <c r="AO250" s="5">
        <f t="shared" si="27"/>
        <v>1.1333333333333333</v>
      </c>
      <c r="AP250" s="5">
        <f t="shared" si="28"/>
        <v>5.3402320674698194</v>
      </c>
    </row>
    <row r="251" spans="1:42">
      <c r="A251" s="15">
        <v>246</v>
      </c>
      <c r="B251" s="20" t="s">
        <v>1072</v>
      </c>
      <c r="C251" s="20">
        <v>300</v>
      </c>
      <c r="D251" s="15">
        <v>300</v>
      </c>
      <c r="E251" s="15">
        <v>340</v>
      </c>
      <c r="F251" s="15">
        <v>21.5</v>
      </c>
      <c r="G251" s="15">
        <v>21.5</v>
      </c>
      <c r="H251" s="15">
        <v>12</v>
      </c>
      <c r="I251" s="15">
        <v>27</v>
      </c>
      <c r="J251" s="15">
        <v>27</v>
      </c>
      <c r="K251" s="15">
        <v>18706.883147795856</v>
      </c>
      <c r="L251" s="15">
        <v>16722.000000000004</v>
      </c>
      <c r="M251" s="15"/>
      <c r="N251" s="15"/>
      <c r="O251" s="15"/>
      <c r="P251" s="15">
        <v>359460612.87499994</v>
      </c>
      <c r="Q251" s="15"/>
      <c r="R251" s="15"/>
      <c r="S251" s="15">
        <v>443.03166597065041</v>
      </c>
      <c r="T251" s="15">
        <v>355</v>
      </c>
      <c r="U251" s="15">
        <v>210000</v>
      </c>
      <c r="V251" s="15">
        <f t="shared" si="23"/>
        <v>13.399290515710597</v>
      </c>
      <c r="W251" s="15">
        <v>4.5244</v>
      </c>
      <c r="X251" s="15"/>
      <c r="Y251" s="15"/>
      <c r="Z251" s="15"/>
      <c r="AA251" s="16"/>
      <c r="AB251" s="15">
        <v>0.35499999999999998</v>
      </c>
      <c r="AC251" s="17">
        <v>1.67</v>
      </c>
      <c r="AD251" s="15"/>
      <c r="AE251" s="15" t="s">
        <v>1265</v>
      </c>
      <c r="AF251" s="22" t="s">
        <v>5</v>
      </c>
      <c r="AG251" s="17">
        <f t="shared" si="24"/>
        <v>2004.4524695176108</v>
      </c>
      <c r="AH251" s="17">
        <v>1707.6260754306461</v>
      </c>
      <c r="AI251" s="62">
        <v>4.8054350848591589</v>
      </c>
      <c r="AJ251" s="17">
        <f t="shared" si="25"/>
        <v>1.6698387855045778</v>
      </c>
      <c r="AK251" s="15">
        <f t="shared" si="26"/>
        <v>0.33765966897241051</v>
      </c>
      <c r="AL251" s="5">
        <v>29.24</v>
      </c>
      <c r="AO251" s="5">
        <f t="shared" si="27"/>
        <v>1.1333333333333333</v>
      </c>
      <c r="AP251" s="5">
        <f t="shared" si="28"/>
        <v>4.8054350848591589</v>
      </c>
    </row>
    <row r="252" spans="1:42">
      <c r="A252" s="15">
        <v>247</v>
      </c>
      <c r="B252" s="20" t="s">
        <v>1073</v>
      </c>
      <c r="C252" s="20">
        <v>300</v>
      </c>
      <c r="D252" s="15">
        <v>300</v>
      </c>
      <c r="E252" s="15">
        <v>340</v>
      </c>
      <c r="F252" s="15">
        <v>21.5</v>
      </c>
      <c r="G252" s="15">
        <v>21.5</v>
      </c>
      <c r="H252" s="15">
        <v>12</v>
      </c>
      <c r="I252" s="15">
        <v>27</v>
      </c>
      <c r="J252" s="15">
        <v>27</v>
      </c>
      <c r="K252" s="15">
        <v>22403.452871611804</v>
      </c>
      <c r="L252" s="15">
        <v>16722.000000000004</v>
      </c>
      <c r="M252" s="15"/>
      <c r="N252" s="15"/>
      <c r="O252" s="15"/>
      <c r="P252" s="15">
        <v>359460612.87499994</v>
      </c>
      <c r="Q252" s="15"/>
      <c r="R252" s="15"/>
      <c r="S252" s="15">
        <v>327.61095000767034</v>
      </c>
      <c r="T252" s="15">
        <v>355</v>
      </c>
      <c r="U252" s="15">
        <v>210000</v>
      </c>
      <c r="V252" s="15">
        <f t="shared" si="23"/>
        <v>18.119998735881737</v>
      </c>
      <c r="W252" s="15">
        <v>4.3176899999999998</v>
      </c>
      <c r="X252" s="15"/>
      <c r="Y252" s="15"/>
      <c r="Z252" s="15"/>
      <c r="AA252" s="16"/>
      <c r="AB252" s="15">
        <v>0.35499999999999998</v>
      </c>
      <c r="AC252" s="17">
        <v>2</v>
      </c>
      <c r="AD252" s="15"/>
      <c r="AE252" s="15" t="s">
        <v>1266</v>
      </c>
      <c r="AF252" s="22" t="s">
        <v>5</v>
      </c>
      <c r="AG252" s="17">
        <f t="shared" si="24"/>
        <v>1414.5225227386181</v>
      </c>
      <c r="AH252" s="17">
        <v>1262.7472115430339</v>
      </c>
      <c r="AI252" s="62">
        <v>4.5308744233442209</v>
      </c>
      <c r="AJ252" s="17">
        <f t="shared" si="25"/>
        <v>1.9998069287479976</v>
      </c>
      <c r="AK252" s="15">
        <f t="shared" si="26"/>
        <v>0.23828312920629444</v>
      </c>
      <c r="AL252" s="5">
        <v>29.24</v>
      </c>
      <c r="AO252" s="5">
        <f t="shared" si="27"/>
        <v>1.1333333333333333</v>
      </c>
      <c r="AP252" s="5">
        <f t="shared" si="28"/>
        <v>4.5308744233442209</v>
      </c>
    </row>
    <row r="253" spans="1:42">
      <c r="A253" s="15">
        <v>248</v>
      </c>
      <c r="B253" s="20" t="s">
        <v>1074</v>
      </c>
      <c r="C253" s="20">
        <v>300</v>
      </c>
      <c r="D253" s="15">
        <v>300</v>
      </c>
      <c r="E253" s="15">
        <v>340</v>
      </c>
      <c r="F253" s="15">
        <v>21.5</v>
      </c>
      <c r="G253" s="15">
        <v>21.5</v>
      </c>
      <c r="H253" s="15">
        <v>12</v>
      </c>
      <c r="I253" s="15">
        <v>27</v>
      </c>
      <c r="J253" s="15">
        <v>27</v>
      </c>
      <c r="K253" s="15">
        <v>28004.316089514756</v>
      </c>
      <c r="L253" s="15">
        <v>16722.000000000004</v>
      </c>
      <c r="M253" s="15"/>
      <c r="N253" s="15"/>
      <c r="O253" s="15"/>
      <c r="P253" s="15">
        <v>359460612.87499994</v>
      </c>
      <c r="Q253" s="15"/>
      <c r="R253" s="15"/>
      <c r="S253" s="15">
        <v>221.20826255176476</v>
      </c>
      <c r="T253" s="15">
        <v>355</v>
      </c>
      <c r="U253" s="15">
        <v>210000</v>
      </c>
      <c r="V253" s="15">
        <f t="shared" si="23"/>
        <v>26.835842077150488</v>
      </c>
      <c r="W253" s="15">
        <v>4.1046899999999997</v>
      </c>
      <c r="X253" s="15"/>
      <c r="Y253" s="15"/>
      <c r="Z253" s="15"/>
      <c r="AA253" s="16"/>
      <c r="AB253" s="15">
        <v>0.35499999999999998</v>
      </c>
      <c r="AC253" s="17">
        <v>2.5</v>
      </c>
      <c r="AD253" s="15"/>
      <c r="AE253" s="15" t="s">
        <v>1267</v>
      </c>
      <c r="AF253" s="22" t="s">
        <v>5</v>
      </c>
      <c r="AG253" s="17">
        <f t="shared" si="24"/>
        <v>907.99134321360327</v>
      </c>
      <c r="AH253" s="17">
        <v>852.62753488850217</v>
      </c>
      <c r="AI253" s="62">
        <v>4.2945638491416496</v>
      </c>
      <c r="AJ253" s="17">
        <f t="shared" si="25"/>
        <v>2.4997586609349973</v>
      </c>
      <c r="AK253" s="15">
        <f t="shared" si="26"/>
        <v>0.15295551330937956</v>
      </c>
      <c r="AL253" s="5">
        <v>29.24</v>
      </c>
      <c r="AO253" s="5">
        <f t="shared" si="27"/>
        <v>1.1333333333333333</v>
      </c>
      <c r="AP253" s="5">
        <f t="shared" si="28"/>
        <v>4.2945638491416496</v>
      </c>
    </row>
    <row r="254" spans="1:42">
      <c r="A254" s="15">
        <v>249</v>
      </c>
      <c r="B254" s="20" t="s">
        <v>1075</v>
      </c>
      <c r="C254" s="20">
        <v>300</v>
      </c>
      <c r="D254" s="15">
        <v>300</v>
      </c>
      <c r="E254" s="15">
        <v>400</v>
      </c>
      <c r="F254" s="15">
        <v>24</v>
      </c>
      <c r="G254" s="15">
        <v>24</v>
      </c>
      <c r="H254" s="15">
        <v>13.5</v>
      </c>
      <c r="I254" s="15">
        <v>27</v>
      </c>
      <c r="J254" s="15">
        <v>27</v>
      </c>
      <c r="K254" s="15">
        <v>3915.1919470107682</v>
      </c>
      <c r="L254" s="15">
        <v>19476.000000000004</v>
      </c>
      <c r="M254" s="15"/>
      <c r="N254" s="15"/>
      <c r="O254" s="15"/>
      <c r="P254" s="15">
        <v>568755647.99999988</v>
      </c>
      <c r="Q254" s="15"/>
      <c r="R254" s="15"/>
      <c r="S254" s="15">
        <v>1843.7765402595312</v>
      </c>
      <c r="T254" s="15">
        <v>355</v>
      </c>
      <c r="U254" s="15">
        <v>210000</v>
      </c>
      <c r="V254" s="15">
        <f t="shared" si="23"/>
        <v>3.7499012754695231</v>
      </c>
      <c r="W254" s="15">
        <v>3.84362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1268</v>
      </c>
      <c r="AF254" s="22" t="s">
        <v>5</v>
      </c>
      <c r="AG254" s="17">
        <f t="shared" si="24"/>
        <v>7086.7763856723395</v>
      </c>
      <c r="AH254" s="17">
        <v>4343.7313170015586</v>
      </c>
      <c r="AI254" s="62">
        <v>41.70905597023517</v>
      </c>
      <c r="AJ254" s="17">
        <f t="shared" si="25"/>
        <v>0.2998435678446128</v>
      </c>
      <c r="AK254" s="15">
        <f t="shared" si="26"/>
        <v>1.0249923178360856</v>
      </c>
      <c r="AL254" s="56">
        <v>14.43</v>
      </c>
      <c r="AO254" s="5">
        <f t="shared" si="27"/>
        <v>1.3333333333333333</v>
      </c>
      <c r="AP254" s="5">
        <f t="shared" si="28"/>
        <v>41.70905597023517</v>
      </c>
    </row>
    <row r="255" spans="1:42">
      <c r="A255" s="15">
        <v>250</v>
      </c>
      <c r="B255" s="20" t="s">
        <v>1076</v>
      </c>
      <c r="C255" s="20">
        <v>300</v>
      </c>
      <c r="D255" s="15">
        <v>300</v>
      </c>
      <c r="E255" s="15">
        <v>400</v>
      </c>
      <c r="F255" s="15">
        <v>24</v>
      </c>
      <c r="G255" s="15">
        <v>24</v>
      </c>
      <c r="H255" s="15">
        <v>13.5</v>
      </c>
      <c r="I255" s="15">
        <v>27</v>
      </c>
      <c r="J255" s="15">
        <v>27</v>
      </c>
      <c r="K255" s="15">
        <v>6525.3199116846135</v>
      </c>
      <c r="L255" s="15">
        <v>19476.000000000004</v>
      </c>
      <c r="M255" s="15"/>
      <c r="N255" s="15"/>
      <c r="O255" s="15"/>
      <c r="P255" s="15">
        <v>568755647.99999988</v>
      </c>
      <c r="Q255" s="15"/>
      <c r="R255" s="15"/>
      <c r="S255" s="15">
        <v>1637.5606557448205</v>
      </c>
      <c r="T255" s="15">
        <v>355</v>
      </c>
      <c r="U255" s="15">
        <v>210000</v>
      </c>
      <c r="V255" s="15">
        <f t="shared" si="23"/>
        <v>4.2221214681390098</v>
      </c>
      <c r="W255" s="15">
        <v>4.18438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1269</v>
      </c>
      <c r="AF255" s="22" t="s">
        <v>5</v>
      </c>
      <c r="AG255" s="17">
        <f t="shared" si="24"/>
        <v>6852.1760566855119</v>
      </c>
      <c r="AH255" s="17">
        <v>3857.9097567035624</v>
      </c>
      <c r="AI255" s="62">
        <v>16.90611233973063</v>
      </c>
      <c r="AJ255" s="17">
        <f t="shared" si="25"/>
        <v>0.49973927974102134</v>
      </c>
      <c r="AK255" s="15">
        <f t="shared" si="26"/>
        <v>0.99106101792101087</v>
      </c>
      <c r="AL255" s="5">
        <v>14.43</v>
      </c>
      <c r="AO255" s="5">
        <f t="shared" si="27"/>
        <v>1.3333333333333333</v>
      </c>
      <c r="AP255" s="5">
        <f t="shared" si="28"/>
        <v>16.90611233973063</v>
      </c>
    </row>
    <row r="256" spans="1:42">
      <c r="A256" s="15">
        <v>251</v>
      </c>
      <c r="B256" s="20" t="s">
        <v>1077</v>
      </c>
      <c r="C256" s="20">
        <v>300</v>
      </c>
      <c r="D256" s="15">
        <v>300</v>
      </c>
      <c r="E256" s="15">
        <v>400</v>
      </c>
      <c r="F256" s="15">
        <v>24</v>
      </c>
      <c r="G256" s="15">
        <v>24</v>
      </c>
      <c r="H256" s="15">
        <v>13.5</v>
      </c>
      <c r="I256" s="15">
        <v>27</v>
      </c>
      <c r="J256" s="15">
        <v>27</v>
      </c>
      <c r="K256" s="15">
        <v>9787.9798675269212</v>
      </c>
      <c r="L256" s="15">
        <v>19476</v>
      </c>
      <c r="M256" s="15"/>
      <c r="N256" s="15"/>
      <c r="O256" s="15"/>
      <c r="P256" s="15">
        <v>568755648</v>
      </c>
      <c r="Q256" s="15"/>
      <c r="R256" s="15"/>
      <c r="S256" s="15">
        <v>1347.2355712400743</v>
      </c>
      <c r="T256" s="15">
        <v>355</v>
      </c>
      <c r="U256" s="15">
        <v>210000</v>
      </c>
      <c r="V256" s="15">
        <f t="shared" si="23"/>
        <v>5.1319755413197479</v>
      </c>
      <c r="W256" s="15">
        <v>4.6616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1270</v>
      </c>
      <c r="AF256" s="22" t="s">
        <v>5</v>
      </c>
      <c r="AG256" s="17">
        <f t="shared" si="24"/>
        <v>6280.27333889273</v>
      </c>
      <c r="AH256" s="17">
        <v>3173.9363281790424</v>
      </c>
      <c r="AI256" s="62">
        <v>9.133034258411822</v>
      </c>
      <c r="AJ256" s="17">
        <f t="shared" si="25"/>
        <v>0.74960891961153187</v>
      </c>
      <c r="AK256" s="15">
        <f t="shared" si="26"/>
        <v>0.90834415761872755</v>
      </c>
      <c r="AL256" s="5">
        <v>14.43</v>
      </c>
      <c r="AO256" s="5">
        <f t="shared" si="27"/>
        <v>1.3333333333333333</v>
      </c>
      <c r="AP256" s="5">
        <f t="shared" si="28"/>
        <v>9.133034258411822</v>
      </c>
    </row>
    <row r="257" spans="1:42">
      <c r="A257" s="15">
        <v>252</v>
      </c>
      <c r="B257" s="20" t="s">
        <v>1078</v>
      </c>
      <c r="C257" s="20">
        <v>300</v>
      </c>
      <c r="D257" s="15">
        <v>300</v>
      </c>
      <c r="E257" s="15">
        <v>400</v>
      </c>
      <c r="F257" s="15">
        <v>24</v>
      </c>
      <c r="G257" s="15">
        <v>24</v>
      </c>
      <c r="H257" s="15">
        <v>13.5</v>
      </c>
      <c r="I257" s="15">
        <v>27</v>
      </c>
      <c r="J257" s="15">
        <v>27</v>
      </c>
      <c r="K257" s="15">
        <v>13050.639823369227</v>
      </c>
      <c r="L257" s="15">
        <v>19476</v>
      </c>
      <c r="M257" s="15"/>
      <c r="N257" s="15"/>
      <c r="O257" s="15"/>
      <c r="P257" s="15">
        <v>568755648</v>
      </c>
      <c r="Q257" s="15"/>
      <c r="R257" s="15"/>
      <c r="S257" s="15">
        <v>1048.8639567239438</v>
      </c>
      <c r="T257" s="15">
        <v>355</v>
      </c>
      <c r="U257" s="15">
        <v>210000</v>
      </c>
      <c r="V257" s="15">
        <f t="shared" si="23"/>
        <v>6.5918749096835709</v>
      </c>
      <c r="W257" s="15">
        <v>4.9488300000000001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1271</v>
      </c>
      <c r="AF257" s="22" t="s">
        <v>5</v>
      </c>
      <c r="AG257" s="17">
        <f t="shared" si="24"/>
        <v>5190.649414954155</v>
      </c>
      <c r="AH257" s="17">
        <v>2471.0061748885573</v>
      </c>
      <c r="AI257" s="62">
        <v>6.5987548317554117</v>
      </c>
      <c r="AJ257" s="17">
        <f t="shared" si="25"/>
        <v>0.99947855948204256</v>
      </c>
      <c r="AK257" s="15">
        <f t="shared" si="26"/>
        <v>0.75074695254457702</v>
      </c>
      <c r="AL257" s="5">
        <v>14.43</v>
      </c>
      <c r="AO257" s="5">
        <f t="shared" si="27"/>
        <v>1.3333333333333333</v>
      </c>
      <c r="AP257" s="5">
        <f t="shared" si="28"/>
        <v>6.5987548317554117</v>
      </c>
    </row>
    <row r="258" spans="1:42">
      <c r="A258" s="15">
        <v>253</v>
      </c>
      <c r="B258" s="20" t="s">
        <v>1079</v>
      </c>
      <c r="C258" s="20">
        <v>300</v>
      </c>
      <c r="D258" s="15">
        <v>300</v>
      </c>
      <c r="E258" s="15">
        <v>400</v>
      </c>
      <c r="F258" s="15">
        <v>24</v>
      </c>
      <c r="G258" s="15">
        <v>24</v>
      </c>
      <c r="H258" s="15">
        <v>13.5</v>
      </c>
      <c r="I258" s="15">
        <v>27</v>
      </c>
      <c r="J258" s="15">
        <v>27</v>
      </c>
      <c r="K258" s="15">
        <v>17357.350965081074</v>
      </c>
      <c r="L258" s="15">
        <v>19476</v>
      </c>
      <c r="M258" s="15"/>
      <c r="N258" s="15"/>
      <c r="O258" s="15"/>
      <c r="P258" s="15">
        <v>568755648</v>
      </c>
      <c r="Q258" s="15"/>
      <c r="R258" s="15"/>
      <c r="S258" s="15">
        <v>731.16566550858465</v>
      </c>
      <c r="T258" s="15">
        <v>355</v>
      </c>
      <c r="U258" s="15">
        <v>210000</v>
      </c>
      <c r="V258" s="15">
        <f t="shared" si="23"/>
        <v>9.4561059499296505</v>
      </c>
      <c r="W258" s="15">
        <v>4.7905899999999999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1272</v>
      </c>
      <c r="AF258" s="22" t="s">
        <v>5</v>
      </c>
      <c r="AG258" s="17">
        <f t="shared" si="24"/>
        <v>3502.7149255287704</v>
      </c>
      <c r="AH258" s="17">
        <v>1722.544532830899</v>
      </c>
      <c r="AI258" s="62">
        <v>5.3513343107108131</v>
      </c>
      <c r="AJ258" s="17">
        <f t="shared" si="25"/>
        <v>1.3293064841111166</v>
      </c>
      <c r="AK258" s="15">
        <f t="shared" si="26"/>
        <v>0.50661340147480471</v>
      </c>
      <c r="AL258" s="5">
        <v>14.43</v>
      </c>
      <c r="AO258" s="5">
        <f t="shared" si="27"/>
        <v>1.3333333333333333</v>
      </c>
      <c r="AP258" s="5">
        <f t="shared" si="28"/>
        <v>5.3513343107108131</v>
      </c>
    </row>
    <row r="259" spans="1:42">
      <c r="A259" s="15">
        <v>254</v>
      </c>
      <c r="B259" s="20" t="s">
        <v>1080</v>
      </c>
      <c r="C259" s="20">
        <v>300</v>
      </c>
      <c r="D259" s="15">
        <v>300</v>
      </c>
      <c r="E259" s="15">
        <v>400</v>
      </c>
      <c r="F259" s="15">
        <v>24</v>
      </c>
      <c r="G259" s="15">
        <v>24</v>
      </c>
      <c r="H259" s="15">
        <v>13.5</v>
      </c>
      <c r="I259" s="15">
        <v>27</v>
      </c>
      <c r="J259" s="15">
        <v>27</v>
      </c>
      <c r="K259" s="15">
        <v>21794.568505026607</v>
      </c>
      <c r="L259" s="15">
        <v>19476</v>
      </c>
      <c r="M259" s="15"/>
      <c r="N259" s="15"/>
      <c r="O259" s="15"/>
      <c r="P259" s="15">
        <v>568755648</v>
      </c>
      <c r="Q259" s="15"/>
      <c r="R259" s="15"/>
      <c r="S259" s="15">
        <v>515.36336653728733</v>
      </c>
      <c r="T259" s="15">
        <v>355</v>
      </c>
      <c r="U259" s="15">
        <v>210000</v>
      </c>
      <c r="V259" s="15">
        <f t="shared" si="23"/>
        <v>13.415738193529057</v>
      </c>
      <c r="W259" s="15">
        <v>4.5417500000000004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1273</v>
      </c>
      <c r="AF259" s="22" t="s">
        <v>5</v>
      </c>
      <c r="AG259" s="17">
        <f t="shared" si="24"/>
        <v>2340.6515699707252</v>
      </c>
      <c r="AH259" s="17">
        <v>1214.1384522379599</v>
      </c>
      <c r="AI259" s="62">
        <v>4.8154254951104107</v>
      </c>
      <c r="AJ259" s="17">
        <f t="shared" si="25"/>
        <v>1.6691291943350108</v>
      </c>
      <c r="AK259" s="15">
        <f t="shared" si="26"/>
        <v>0.33853895585042548</v>
      </c>
      <c r="AL259" s="5">
        <v>14.43</v>
      </c>
      <c r="AO259" s="5">
        <f t="shared" si="27"/>
        <v>1.3333333333333333</v>
      </c>
      <c r="AP259" s="5">
        <f t="shared" si="28"/>
        <v>4.8154254951104107</v>
      </c>
    </row>
    <row r="260" spans="1:42">
      <c r="A260" s="15">
        <v>255</v>
      </c>
      <c r="B260" s="20" t="s">
        <v>1081</v>
      </c>
      <c r="C260" s="20">
        <v>300</v>
      </c>
      <c r="D260" s="15">
        <v>300</v>
      </c>
      <c r="E260" s="15">
        <v>400</v>
      </c>
      <c r="F260" s="15">
        <v>24</v>
      </c>
      <c r="G260" s="15">
        <v>24</v>
      </c>
      <c r="H260" s="15">
        <v>13.5</v>
      </c>
      <c r="I260" s="15">
        <v>27</v>
      </c>
      <c r="J260" s="15">
        <v>27</v>
      </c>
      <c r="K260" s="15">
        <v>26101.279646738454</v>
      </c>
      <c r="L260" s="15">
        <v>19476</v>
      </c>
      <c r="M260" s="15"/>
      <c r="N260" s="15"/>
      <c r="O260" s="15"/>
      <c r="P260" s="15">
        <v>568755648</v>
      </c>
      <c r="Q260" s="15"/>
      <c r="R260" s="15"/>
      <c r="S260" s="15">
        <v>381.09845204973897</v>
      </c>
      <c r="T260" s="15">
        <v>355</v>
      </c>
      <c r="U260" s="15">
        <v>210000</v>
      </c>
      <c r="V260" s="15">
        <f t="shared" si="23"/>
        <v>18.142241100201645</v>
      </c>
      <c r="W260" s="15">
        <v>4.2965900000000001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1274</v>
      </c>
      <c r="AF260" s="22" t="s">
        <v>5</v>
      </c>
      <c r="AG260" s="17">
        <f t="shared" si="24"/>
        <v>1637.4237980923881</v>
      </c>
      <c r="AH260" s="17">
        <v>897.82533017599519</v>
      </c>
      <c r="AI260" s="62">
        <v>4.5402940270818162</v>
      </c>
      <c r="AJ260" s="17">
        <f t="shared" si="25"/>
        <v>1.9989571189640851</v>
      </c>
      <c r="AK260" s="15">
        <f t="shared" si="26"/>
        <v>0.23682796277865831</v>
      </c>
      <c r="AL260" s="5">
        <v>14.43</v>
      </c>
      <c r="AO260" s="5">
        <f t="shared" si="27"/>
        <v>1.3333333333333333</v>
      </c>
      <c r="AP260" s="5">
        <f t="shared" si="28"/>
        <v>4.5402940270818162</v>
      </c>
    </row>
    <row r="261" spans="1:42">
      <c r="A261" s="15">
        <v>256</v>
      </c>
      <c r="B261" s="20" t="s">
        <v>1082</v>
      </c>
      <c r="C261" s="20">
        <v>300</v>
      </c>
      <c r="D261" s="15">
        <v>300</v>
      </c>
      <c r="E261" s="15">
        <v>400</v>
      </c>
      <c r="F261" s="15">
        <v>24</v>
      </c>
      <c r="G261" s="15">
        <v>24</v>
      </c>
      <c r="H261" s="15">
        <v>13.5</v>
      </c>
      <c r="I261" s="15">
        <v>27</v>
      </c>
      <c r="J261" s="15">
        <v>27</v>
      </c>
      <c r="K261" s="15">
        <v>32626.59955842307</v>
      </c>
      <c r="L261" s="15">
        <v>19476</v>
      </c>
      <c r="M261" s="15"/>
      <c r="N261" s="15"/>
      <c r="O261" s="15"/>
      <c r="P261" s="15">
        <v>568755648</v>
      </c>
      <c r="Q261" s="15"/>
      <c r="R261" s="15"/>
      <c r="S261" s="15">
        <v>257.32389725409365</v>
      </c>
      <c r="T261" s="15">
        <v>355</v>
      </c>
      <c r="U261" s="15">
        <v>210000</v>
      </c>
      <c r="V261" s="15">
        <f t="shared" si="23"/>
        <v>26.868783170856506</v>
      </c>
      <c r="W261" s="15">
        <v>4.0834799999999998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1275</v>
      </c>
      <c r="AF261" s="22" t="s">
        <v>5</v>
      </c>
      <c r="AG261" s="17">
        <f t="shared" si="24"/>
        <v>1050.7769879591463</v>
      </c>
      <c r="AH261" s="17">
        <v>606.22632228424141</v>
      </c>
      <c r="AI261" s="62">
        <v>4.3034921675863842</v>
      </c>
      <c r="AJ261" s="17">
        <f t="shared" si="25"/>
        <v>2.4986963987051065</v>
      </c>
      <c r="AK261" s="15">
        <f t="shared" si="26"/>
        <v>0.15197859813871983</v>
      </c>
      <c r="AL261" s="5">
        <v>14.43</v>
      </c>
      <c r="AO261" s="5">
        <f t="shared" si="27"/>
        <v>1.3333333333333333</v>
      </c>
      <c r="AP261" s="5">
        <f t="shared" si="28"/>
        <v>4.3034921675863842</v>
      </c>
    </row>
    <row r="262" spans="1:42">
      <c r="A262" s="15">
        <v>257</v>
      </c>
      <c r="B262" s="20" t="s">
        <v>1083</v>
      </c>
      <c r="C262" s="20">
        <v>300</v>
      </c>
      <c r="D262" s="15">
        <v>300</v>
      </c>
      <c r="E262" s="15">
        <v>500</v>
      </c>
      <c r="F262" s="15">
        <v>28</v>
      </c>
      <c r="G262" s="15">
        <v>28</v>
      </c>
      <c r="H262" s="15">
        <v>14.5</v>
      </c>
      <c r="I262" s="15">
        <v>27</v>
      </c>
      <c r="J262" s="15">
        <v>27</v>
      </c>
      <c r="K262" s="15">
        <v>4855.3045430321881</v>
      </c>
      <c r="L262" s="15">
        <v>23644</v>
      </c>
      <c r="M262" s="15"/>
      <c r="N262" s="15"/>
      <c r="O262" s="15"/>
      <c r="P262" s="15">
        <v>1062753941.3333334</v>
      </c>
      <c r="Q262" s="15"/>
      <c r="R262" s="15"/>
      <c r="S262" s="15">
        <v>2237.1386404840741</v>
      </c>
      <c r="T262" s="15">
        <v>355</v>
      </c>
      <c r="U262" s="15">
        <v>210000</v>
      </c>
      <c r="V262" s="15">
        <f t="shared" si="23"/>
        <v>3.7519444919979481</v>
      </c>
      <c r="W262" s="15">
        <v>3.8029899999999999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1276</v>
      </c>
      <c r="AF262" s="22" t="s">
        <v>5</v>
      </c>
      <c r="AG262" s="17">
        <f t="shared" si="24"/>
        <v>8507.8158783745293</v>
      </c>
      <c r="AH262" s="17">
        <v>3635.621052144154</v>
      </c>
      <c r="AI262" s="62">
        <v>41.766291370348824</v>
      </c>
      <c r="AJ262" s="17">
        <f t="shared" si="25"/>
        <v>0.29971966972608882</v>
      </c>
      <c r="AK262" s="15">
        <f t="shared" si="26"/>
        <v>1.0136050808083437</v>
      </c>
      <c r="AL262" s="56">
        <v>10.167</v>
      </c>
      <c r="AO262" s="5">
        <f t="shared" si="27"/>
        <v>1.6666666666666667</v>
      </c>
      <c r="AP262" s="5">
        <f t="shared" si="28"/>
        <v>41.766291370348824</v>
      </c>
    </row>
    <row r="263" spans="1:42">
      <c r="A263" s="15">
        <v>258</v>
      </c>
      <c r="B263" s="20" t="s">
        <v>1084</v>
      </c>
      <c r="C263" s="20">
        <v>300</v>
      </c>
      <c r="D263" s="15">
        <v>300</v>
      </c>
      <c r="E263" s="15">
        <v>500</v>
      </c>
      <c r="F263" s="15">
        <v>28</v>
      </c>
      <c r="G263" s="15">
        <v>28</v>
      </c>
      <c r="H263" s="15">
        <v>14.5</v>
      </c>
      <c r="I263" s="15">
        <v>27</v>
      </c>
      <c r="J263" s="15">
        <v>27</v>
      </c>
      <c r="K263" s="15">
        <v>8092.1742383869805</v>
      </c>
      <c r="L263" s="15">
        <v>23644</v>
      </c>
      <c r="M263" s="15"/>
      <c r="N263" s="15"/>
      <c r="O263" s="15"/>
      <c r="P263" s="15">
        <v>1062753941.3333334</v>
      </c>
      <c r="Q263" s="15"/>
      <c r="R263" s="15"/>
      <c r="S263" s="15">
        <v>1986.9274497806041</v>
      </c>
      <c r="T263" s="15">
        <v>355</v>
      </c>
      <c r="U263" s="15">
        <v>210000</v>
      </c>
      <c r="V263" s="15">
        <f t="shared" ref="V263:V293" si="29">L263*T263/(S263*1000)</f>
        <v>4.2244219842686359</v>
      </c>
      <c r="W263" s="15">
        <v>4.1447399999999996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1277</v>
      </c>
      <c r="AF263" s="22" t="s">
        <v>5</v>
      </c>
      <c r="AG263" s="17">
        <f t="shared" ref="AG263:AG293" si="30">W263*S263</f>
        <v>8235.2976782036603</v>
      </c>
      <c r="AH263" s="17">
        <v>3228.9975841382748</v>
      </c>
      <c r="AI263" s="62">
        <v>16.92931181240202</v>
      </c>
      <c r="AJ263" s="17">
        <f t="shared" ref="AJ263:AJ293" si="31">(V263/AI263)^0.5</f>
        <v>0.49953278287681468</v>
      </c>
      <c r="AK263" s="15">
        <f t="shared" ref="AK263:AK293" si="32">W263/V263</f>
        <v>0.9811377782415287</v>
      </c>
      <c r="AL263" s="5">
        <v>10.167</v>
      </c>
      <c r="AO263" s="5">
        <f t="shared" ref="AO263:AO293" si="33">E263/C263</f>
        <v>1.6666666666666667</v>
      </c>
      <c r="AP263" s="5">
        <f t="shared" si="28"/>
        <v>16.92931181240202</v>
      </c>
    </row>
    <row r="264" spans="1:42">
      <c r="A264" s="15">
        <v>259</v>
      </c>
      <c r="B264" s="20" t="s">
        <v>1085</v>
      </c>
      <c r="C264" s="20">
        <v>300</v>
      </c>
      <c r="D264" s="15">
        <v>300</v>
      </c>
      <c r="E264" s="15">
        <v>500</v>
      </c>
      <c r="F264" s="15">
        <v>28</v>
      </c>
      <c r="G264" s="15">
        <v>28</v>
      </c>
      <c r="H264" s="15">
        <v>14.5</v>
      </c>
      <c r="I264" s="15">
        <v>27</v>
      </c>
      <c r="J264" s="15">
        <v>27</v>
      </c>
      <c r="K264" s="15">
        <v>12138.261357580472</v>
      </c>
      <c r="L264" s="15">
        <v>23644</v>
      </c>
      <c r="M264" s="15"/>
      <c r="N264" s="15"/>
      <c r="O264" s="15"/>
      <c r="P264" s="15">
        <v>1062753941.3333336</v>
      </c>
      <c r="Q264" s="15"/>
      <c r="R264" s="15"/>
      <c r="S264" s="15">
        <v>1634.6627090892252</v>
      </c>
      <c r="T264" s="15">
        <v>355</v>
      </c>
      <c r="U264" s="15">
        <v>210000</v>
      </c>
      <c r="V264" s="15">
        <f t="shared" si="29"/>
        <v>5.1347718115357397</v>
      </c>
      <c r="W264" s="15">
        <v>4.6205400000000001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1278</v>
      </c>
      <c r="AF264" s="22" t="s">
        <v>5</v>
      </c>
      <c r="AG264" s="17">
        <f t="shared" si="30"/>
        <v>7553.0244338551292</v>
      </c>
      <c r="AH264" s="17">
        <v>2656.5247458395461</v>
      </c>
      <c r="AI264" s="62">
        <v>9.1455670970933056</v>
      </c>
      <c r="AJ264" s="17">
        <f t="shared" si="31"/>
        <v>0.74929917431522197</v>
      </c>
      <c r="AK264" s="15">
        <f t="shared" si="32"/>
        <v>0.89985303526429927</v>
      </c>
      <c r="AL264" s="5">
        <v>10.167</v>
      </c>
      <c r="AO264" s="5">
        <f t="shared" si="33"/>
        <v>1.6666666666666667</v>
      </c>
      <c r="AP264" s="5">
        <f t="shared" si="28"/>
        <v>9.1455670970933056</v>
      </c>
    </row>
    <row r="265" spans="1:42">
      <c r="A265" s="15">
        <v>260</v>
      </c>
      <c r="B265" s="20" t="s">
        <v>1086</v>
      </c>
      <c r="C265" s="20">
        <v>300</v>
      </c>
      <c r="D265" s="15">
        <v>300</v>
      </c>
      <c r="E265" s="15">
        <v>500</v>
      </c>
      <c r="F265" s="15">
        <v>28</v>
      </c>
      <c r="G265" s="15">
        <v>28</v>
      </c>
      <c r="H265" s="15">
        <v>14.5</v>
      </c>
      <c r="I265" s="15">
        <v>27</v>
      </c>
      <c r="J265" s="15">
        <v>27</v>
      </c>
      <c r="K265" s="15">
        <v>16184.348476773961</v>
      </c>
      <c r="L265" s="15">
        <v>23644</v>
      </c>
      <c r="M265" s="15"/>
      <c r="N265" s="15"/>
      <c r="O265" s="15"/>
      <c r="P265" s="15">
        <v>1062753941.3333336</v>
      </c>
      <c r="Q265" s="15"/>
      <c r="R265" s="15"/>
      <c r="S265" s="15">
        <v>1272.6347444836572</v>
      </c>
      <c r="T265" s="15">
        <v>355</v>
      </c>
      <c r="U265" s="15">
        <v>210000</v>
      </c>
      <c r="V265" s="15">
        <f t="shared" si="29"/>
        <v>6.5954666383130389</v>
      </c>
      <c r="W265" s="15">
        <v>4.9115799999999998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1279</v>
      </c>
      <c r="AF265" s="22" t="s">
        <v>5</v>
      </c>
      <c r="AG265" s="17">
        <f t="shared" si="30"/>
        <v>6250.647358311041</v>
      </c>
      <c r="AH265" s="17">
        <v>2068.1854870352267</v>
      </c>
      <c r="AI265" s="62">
        <v>6.6078099964975001</v>
      </c>
      <c r="AJ265" s="17">
        <f t="shared" si="31"/>
        <v>0.99906556575362926</v>
      </c>
      <c r="AK265" s="15">
        <f t="shared" si="32"/>
        <v>0.7446902955233905</v>
      </c>
      <c r="AL265" s="5">
        <v>10.167</v>
      </c>
      <c r="AO265" s="5">
        <f t="shared" si="33"/>
        <v>1.6666666666666667</v>
      </c>
      <c r="AP265" s="5">
        <f t="shared" si="28"/>
        <v>6.6078099964975001</v>
      </c>
    </row>
    <row r="266" spans="1:42">
      <c r="A266" s="15">
        <v>261</v>
      </c>
      <c r="B266" s="20" t="s">
        <v>1087</v>
      </c>
      <c r="C266" s="20">
        <v>300</v>
      </c>
      <c r="D266" s="15">
        <v>300</v>
      </c>
      <c r="E266" s="15">
        <v>500</v>
      </c>
      <c r="F266" s="15">
        <v>28</v>
      </c>
      <c r="G266" s="15">
        <v>28</v>
      </c>
      <c r="H266" s="15">
        <v>14.5</v>
      </c>
      <c r="I266" s="15">
        <v>27</v>
      </c>
      <c r="J266" s="15">
        <v>27</v>
      </c>
      <c r="K266" s="15">
        <v>21525.18347410937</v>
      </c>
      <c r="L266" s="15">
        <v>23644</v>
      </c>
      <c r="M266" s="15"/>
      <c r="N266" s="15"/>
      <c r="O266" s="15"/>
      <c r="P266" s="15">
        <v>1062753941.3333336</v>
      </c>
      <c r="Q266" s="15"/>
      <c r="R266" s="15"/>
      <c r="S266" s="15">
        <v>887.15683662742754</v>
      </c>
      <c r="T266" s="15">
        <v>355</v>
      </c>
      <c r="U266" s="15">
        <v>210000</v>
      </c>
      <c r="V266" s="15">
        <f t="shared" si="29"/>
        <v>9.4612583180994019</v>
      </c>
      <c r="W266" s="15">
        <v>4.7553700000000001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1280</v>
      </c>
      <c r="AF266" s="22" t="s">
        <v>5</v>
      </c>
      <c r="AG266" s="17">
        <f t="shared" si="30"/>
        <v>4218.7590061929704</v>
      </c>
      <c r="AH266" s="17">
        <v>1441.7372322970468</v>
      </c>
      <c r="AI266" s="62">
        <v>5.3586776982148123</v>
      </c>
      <c r="AJ266" s="17">
        <f t="shared" si="31"/>
        <v>1.3287572024523271</v>
      </c>
      <c r="AK266" s="15">
        <f t="shared" si="32"/>
        <v>0.50261496305443532</v>
      </c>
      <c r="AL266" s="5">
        <v>10.167</v>
      </c>
      <c r="AO266" s="5">
        <f t="shared" si="33"/>
        <v>1.6666666666666667</v>
      </c>
      <c r="AP266" s="5">
        <f t="shared" si="28"/>
        <v>5.3586776982148123</v>
      </c>
    </row>
    <row r="267" spans="1:42">
      <c r="A267" s="15">
        <v>262</v>
      </c>
      <c r="B267" s="20" t="s">
        <v>1088</v>
      </c>
      <c r="C267" s="20">
        <v>300</v>
      </c>
      <c r="D267" s="15">
        <v>300</v>
      </c>
      <c r="E267" s="15">
        <v>500</v>
      </c>
      <c r="F267" s="15">
        <v>28</v>
      </c>
      <c r="G267" s="15">
        <v>28</v>
      </c>
      <c r="H267" s="15">
        <v>14.5</v>
      </c>
      <c r="I267" s="15">
        <v>27</v>
      </c>
      <c r="J267" s="15">
        <v>27</v>
      </c>
      <c r="K267" s="15">
        <v>27027.861956212513</v>
      </c>
      <c r="L267" s="15">
        <v>23644</v>
      </c>
      <c r="M267" s="15"/>
      <c r="N267" s="15"/>
      <c r="O267" s="15"/>
      <c r="P267" s="15">
        <v>1062753941.3333336</v>
      </c>
      <c r="Q267" s="15"/>
      <c r="R267" s="15"/>
      <c r="S267" s="15">
        <v>625.31400958612596</v>
      </c>
      <c r="T267" s="15">
        <v>355</v>
      </c>
      <c r="U267" s="15">
        <v>210000</v>
      </c>
      <c r="V267" s="15">
        <f t="shared" si="29"/>
        <v>13.423048054777233</v>
      </c>
      <c r="W267" s="15">
        <v>4.5122900000000001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1281</v>
      </c>
      <c r="AF267" s="22" t="s">
        <v>5</v>
      </c>
      <c r="AG267" s="17">
        <f t="shared" si="30"/>
        <v>2821.5981523153805</v>
      </c>
      <c r="AH267" s="17">
        <v>1016.210947462813</v>
      </c>
      <c r="AI267" s="62">
        <v>4.8220334798398365</v>
      </c>
      <c r="AJ267" s="17">
        <f t="shared" si="31"/>
        <v>1.6684394948085608</v>
      </c>
      <c r="AK267" s="15">
        <f t="shared" si="32"/>
        <v>0.33615986336233716</v>
      </c>
      <c r="AL267" s="5">
        <v>10.167</v>
      </c>
      <c r="AO267" s="5">
        <f t="shared" si="33"/>
        <v>1.6666666666666667</v>
      </c>
      <c r="AP267" s="5">
        <f t="shared" si="28"/>
        <v>4.8220334798398365</v>
      </c>
    </row>
    <row r="268" spans="1:42">
      <c r="A268" s="15">
        <v>263</v>
      </c>
      <c r="B268" s="20" t="s">
        <v>1089</v>
      </c>
      <c r="C268" s="20">
        <v>300</v>
      </c>
      <c r="D268" s="15">
        <v>300</v>
      </c>
      <c r="E268" s="15">
        <v>500</v>
      </c>
      <c r="F268" s="15">
        <v>28</v>
      </c>
      <c r="G268" s="15">
        <v>28</v>
      </c>
      <c r="H268" s="15">
        <v>14.5</v>
      </c>
      <c r="I268" s="15">
        <v>27</v>
      </c>
      <c r="J268" s="15">
        <v>27</v>
      </c>
      <c r="K268" s="15">
        <v>32368.696953547922</v>
      </c>
      <c r="L268" s="15">
        <v>23644</v>
      </c>
      <c r="M268" s="15"/>
      <c r="N268" s="15"/>
      <c r="O268" s="15"/>
      <c r="P268" s="15">
        <v>1062753941.3333336</v>
      </c>
      <c r="Q268" s="15"/>
      <c r="R268" s="15"/>
      <c r="S268" s="15">
        <v>462.40423082350839</v>
      </c>
      <c r="T268" s="15">
        <v>355</v>
      </c>
      <c r="U268" s="15">
        <v>210000</v>
      </c>
      <c r="V268" s="15">
        <f t="shared" si="29"/>
        <v>18.152126300945756</v>
      </c>
      <c r="W268" s="15">
        <v>4.2686099999999998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1282</v>
      </c>
      <c r="AF268" s="22" t="s">
        <v>5</v>
      </c>
      <c r="AG268" s="17">
        <f t="shared" si="30"/>
        <v>1973.823323735536</v>
      </c>
      <c r="AH268" s="17">
        <v>751.46283996896477</v>
      </c>
      <c r="AI268" s="62">
        <v>4.5465244616775822</v>
      </c>
      <c r="AJ268" s="17">
        <f t="shared" si="31"/>
        <v>1.9981311315072585</v>
      </c>
      <c r="AK268" s="15">
        <f t="shared" si="32"/>
        <v>0.23515757488849107</v>
      </c>
      <c r="AL268" s="5">
        <v>10.167</v>
      </c>
      <c r="AO268" s="5">
        <f t="shared" si="33"/>
        <v>1.6666666666666667</v>
      </c>
      <c r="AP268" s="5">
        <f t="shared" si="28"/>
        <v>4.5465244616775822</v>
      </c>
    </row>
    <row r="269" spans="1:42">
      <c r="A269" s="15">
        <v>264</v>
      </c>
      <c r="B269" s="20" t="s">
        <v>1090</v>
      </c>
      <c r="C269" s="20">
        <v>300</v>
      </c>
      <c r="D269" s="15">
        <v>300</v>
      </c>
      <c r="E269" s="15">
        <v>500</v>
      </c>
      <c r="F269" s="15">
        <v>28</v>
      </c>
      <c r="G269" s="15">
        <v>28</v>
      </c>
      <c r="H269" s="15">
        <v>14.5</v>
      </c>
      <c r="I269" s="15">
        <v>27</v>
      </c>
      <c r="J269" s="15">
        <v>27</v>
      </c>
      <c r="K269" s="15">
        <v>40460.871191934901</v>
      </c>
      <c r="L269" s="15">
        <v>23644</v>
      </c>
      <c r="M269" s="15"/>
      <c r="N269" s="15"/>
      <c r="O269" s="15"/>
      <c r="P269" s="15">
        <v>1062753941.3333336</v>
      </c>
      <c r="Q269" s="15"/>
      <c r="R269" s="15"/>
      <c r="S269" s="15">
        <v>312.22288661187491</v>
      </c>
      <c r="T269" s="15">
        <v>355</v>
      </c>
      <c r="U269" s="15">
        <v>210000</v>
      </c>
      <c r="V269" s="15">
        <f t="shared" si="29"/>
        <v>26.883423220777953</v>
      </c>
      <c r="W269" s="15">
        <v>4.0560400000000003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1283</v>
      </c>
      <c r="AF269" s="22" t="s">
        <v>5</v>
      </c>
      <c r="AG269" s="17">
        <f t="shared" si="30"/>
        <v>1266.3885170132291</v>
      </c>
      <c r="AH269" s="17">
        <v>507.39997914556182</v>
      </c>
      <c r="AI269" s="62">
        <v>4.3093976499898607</v>
      </c>
      <c r="AJ269" s="17">
        <f t="shared" si="31"/>
        <v>2.4976639143840731</v>
      </c>
      <c r="AK269" s="15">
        <f t="shared" si="32"/>
        <v>0.15087513099392505</v>
      </c>
      <c r="AL269" s="5">
        <v>10.167</v>
      </c>
      <c r="AO269" s="5">
        <f t="shared" si="33"/>
        <v>1.6666666666666667</v>
      </c>
      <c r="AP269" s="5">
        <f t="shared" si="28"/>
        <v>4.3093976499898607</v>
      </c>
    </row>
    <row r="270" spans="1:42">
      <c r="A270" s="15">
        <v>265</v>
      </c>
      <c r="B270" s="20" t="s">
        <v>1091</v>
      </c>
      <c r="C270" s="20">
        <v>300</v>
      </c>
      <c r="D270" s="15">
        <v>300</v>
      </c>
      <c r="E270" s="15">
        <v>600</v>
      </c>
      <c r="F270" s="15">
        <v>30</v>
      </c>
      <c r="G270" s="15">
        <v>30</v>
      </c>
      <c r="H270" s="15">
        <v>15.5</v>
      </c>
      <c r="I270" s="15">
        <v>27</v>
      </c>
      <c r="J270" s="15">
        <v>27</v>
      </c>
      <c r="K270" s="15">
        <v>5763.0462741378396</v>
      </c>
      <c r="L270" s="15">
        <v>26835</v>
      </c>
      <c r="M270" s="15"/>
      <c r="N270" s="15"/>
      <c r="O270" s="15"/>
      <c r="P270" s="15">
        <v>1701257625</v>
      </c>
      <c r="Q270" s="15"/>
      <c r="R270" s="15"/>
      <c r="S270" s="15">
        <v>2538.6584882332832</v>
      </c>
      <c r="T270" s="15">
        <v>355</v>
      </c>
      <c r="U270" s="15">
        <v>210000</v>
      </c>
      <c r="V270" s="15">
        <f t="shared" si="29"/>
        <v>3.7525429450850165</v>
      </c>
      <c r="W270" s="15">
        <v>3.78091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1284</v>
      </c>
      <c r="AF270" s="22" t="s">
        <v>5</v>
      </c>
      <c r="AG270" s="17">
        <f t="shared" si="30"/>
        <v>9598.4392647461027</v>
      </c>
      <c r="AH270" s="17">
        <v>2804.879544008154</v>
      </c>
      <c r="AI270" s="62">
        <v>41.819672727551279</v>
      </c>
      <c r="AJ270" s="47">
        <f t="shared" si="31"/>
        <v>0.29955220492491952</v>
      </c>
      <c r="AK270" s="15">
        <f t="shared" si="32"/>
        <v>1.0075594217921311</v>
      </c>
      <c r="AL270" s="56">
        <v>5.66</v>
      </c>
      <c r="AO270" s="5">
        <f t="shared" si="33"/>
        <v>2</v>
      </c>
      <c r="AP270" s="5">
        <f t="shared" si="28"/>
        <v>41.819672727551279</v>
      </c>
    </row>
    <row r="271" spans="1:42">
      <c r="A271" s="15">
        <v>266</v>
      </c>
      <c r="B271" s="20" t="s">
        <v>1092</v>
      </c>
      <c r="C271" s="20">
        <v>300</v>
      </c>
      <c r="D271" s="15">
        <v>300</v>
      </c>
      <c r="E271" s="15">
        <v>600</v>
      </c>
      <c r="F271" s="15">
        <v>30</v>
      </c>
      <c r="G271" s="15">
        <v>30</v>
      </c>
      <c r="H271" s="15">
        <v>15.5</v>
      </c>
      <c r="I271" s="15">
        <v>27</v>
      </c>
      <c r="J271" s="15">
        <v>27</v>
      </c>
      <c r="K271" s="15">
        <v>9605.0771235630673</v>
      </c>
      <c r="L271" s="15">
        <v>26835</v>
      </c>
      <c r="M271" s="15"/>
      <c r="N271" s="15"/>
      <c r="O271" s="15"/>
      <c r="P271" s="15">
        <v>1701257625</v>
      </c>
      <c r="Q271" s="15"/>
      <c r="R271" s="15"/>
      <c r="S271" s="15">
        <v>2254.7240231824821</v>
      </c>
      <c r="T271" s="15">
        <v>355</v>
      </c>
      <c r="U271" s="15">
        <v>210000</v>
      </c>
      <c r="V271" s="15">
        <f t="shared" si="29"/>
        <v>4.2250957997749579</v>
      </c>
      <c r="W271" s="15">
        <v>4.1034600000000001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1285</v>
      </c>
      <c r="AF271" s="22" t="s">
        <v>5</v>
      </c>
      <c r="AG271" s="17">
        <f t="shared" si="30"/>
        <v>9252.169840168388</v>
      </c>
      <c r="AH271" s="17">
        <v>2525.1386907777101</v>
      </c>
      <c r="AI271" s="62">
        <v>16.950949109164526</v>
      </c>
      <c r="AJ271" s="17">
        <f t="shared" si="31"/>
        <v>0.49925367487486583</v>
      </c>
      <c r="AK271" s="15">
        <f t="shared" si="32"/>
        <v>0.9712111143653982</v>
      </c>
      <c r="AL271" s="5">
        <v>5.66</v>
      </c>
      <c r="AO271" s="5">
        <f t="shared" si="33"/>
        <v>2</v>
      </c>
      <c r="AP271" s="5">
        <f t="shared" si="28"/>
        <v>16.950949109164526</v>
      </c>
    </row>
    <row r="272" spans="1:42">
      <c r="A272" s="15">
        <v>267</v>
      </c>
      <c r="B272" s="20" t="s">
        <v>1093</v>
      </c>
      <c r="C272" s="20">
        <v>300</v>
      </c>
      <c r="D272" s="15">
        <v>300</v>
      </c>
      <c r="E272" s="15">
        <v>600</v>
      </c>
      <c r="F272" s="15">
        <v>30</v>
      </c>
      <c r="G272" s="15">
        <v>30</v>
      </c>
      <c r="H272" s="15">
        <v>15.5</v>
      </c>
      <c r="I272" s="15">
        <v>27</v>
      </c>
      <c r="J272" s="15">
        <v>27</v>
      </c>
      <c r="K272" s="15">
        <v>14407.615685344599</v>
      </c>
      <c r="L272" s="15">
        <v>26835</v>
      </c>
      <c r="M272" s="15"/>
      <c r="N272" s="15"/>
      <c r="O272" s="15"/>
      <c r="P272" s="15">
        <v>1701257625</v>
      </c>
      <c r="Q272" s="15"/>
      <c r="R272" s="15"/>
      <c r="S272" s="15">
        <v>1854.9813081454029</v>
      </c>
      <c r="T272" s="15">
        <v>355</v>
      </c>
      <c r="U272" s="15">
        <v>210000</v>
      </c>
      <c r="V272" s="15">
        <f t="shared" si="29"/>
        <v>5.1355908321925092</v>
      </c>
      <c r="W272" s="15">
        <v>4.60501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1286</v>
      </c>
      <c r="AF272" s="22" t="s">
        <v>5</v>
      </c>
      <c r="AG272" s="17">
        <f t="shared" si="30"/>
        <v>8542.207473822662</v>
      </c>
      <c r="AH272" s="17">
        <v>2135.33388901322</v>
      </c>
      <c r="AI272" s="62">
        <v>9.1572560157885263</v>
      </c>
      <c r="AJ272" s="17">
        <f t="shared" si="31"/>
        <v>0.74888051231229857</v>
      </c>
      <c r="AK272" s="15">
        <f t="shared" si="32"/>
        <v>0.89668553248702032</v>
      </c>
      <c r="AL272" s="5">
        <v>5.66</v>
      </c>
      <c r="AO272" s="5">
        <f t="shared" si="33"/>
        <v>2</v>
      </c>
      <c r="AP272" s="5">
        <f t="shared" si="28"/>
        <v>9.1572560157885263</v>
      </c>
    </row>
    <row r="273" spans="1:42">
      <c r="A273" s="15">
        <v>268</v>
      </c>
      <c r="B273" s="20" t="s">
        <v>1094</v>
      </c>
      <c r="C273" s="20">
        <v>300</v>
      </c>
      <c r="D273" s="15">
        <v>300</v>
      </c>
      <c r="E273" s="15">
        <v>600</v>
      </c>
      <c r="F273" s="15">
        <v>30</v>
      </c>
      <c r="G273" s="15">
        <v>30</v>
      </c>
      <c r="H273" s="15">
        <v>15.5</v>
      </c>
      <c r="I273" s="15">
        <v>27</v>
      </c>
      <c r="J273" s="15">
        <v>27</v>
      </c>
      <c r="K273" s="15">
        <v>19210.154247126135</v>
      </c>
      <c r="L273" s="15">
        <v>26835</v>
      </c>
      <c r="M273" s="15"/>
      <c r="N273" s="15"/>
      <c r="O273" s="15"/>
      <c r="P273" s="15">
        <v>1701257625</v>
      </c>
      <c r="Q273" s="15"/>
      <c r="R273" s="15"/>
      <c r="S273" s="15">
        <v>1444.159489286257</v>
      </c>
      <c r="T273" s="15">
        <v>355</v>
      </c>
      <c r="U273" s="15">
        <v>210000</v>
      </c>
      <c r="V273" s="15">
        <f t="shared" si="29"/>
        <v>6.5965186467792556</v>
      </c>
      <c r="W273" s="15">
        <v>4.8898700000000002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1287</v>
      </c>
      <c r="AF273" s="22" t="s">
        <v>5</v>
      </c>
      <c r="AG273" s="17">
        <f t="shared" si="30"/>
        <v>7061.7521618761893</v>
      </c>
      <c r="AH273" s="17">
        <v>1718.7553355681105</v>
      </c>
      <c r="AI273" s="62">
        <v>6.6162554163366982</v>
      </c>
      <c r="AJ273" s="17">
        <f t="shared" si="31"/>
        <v>0.99850734974973177</v>
      </c>
      <c r="AK273" s="15">
        <f t="shared" si="32"/>
        <v>0.74128040286636265</v>
      </c>
      <c r="AL273" s="5">
        <v>5.66</v>
      </c>
      <c r="AO273" s="5">
        <f t="shared" si="33"/>
        <v>2</v>
      </c>
      <c r="AP273" s="5">
        <f t="shared" si="28"/>
        <v>6.6162554163366982</v>
      </c>
    </row>
    <row r="274" spans="1:42">
      <c r="A274" s="15">
        <v>269</v>
      </c>
      <c r="B274" s="20" t="s">
        <v>1095</v>
      </c>
      <c r="C274" s="20">
        <v>300</v>
      </c>
      <c r="D274" s="15">
        <v>300</v>
      </c>
      <c r="E274" s="15">
        <v>600</v>
      </c>
      <c r="F274" s="15">
        <v>30</v>
      </c>
      <c r="G274" s="15">
        <v>30</v>
      </c>
      <c r="H274" s="15">
        <v>15.5</v>
      </c>
      <c r="I274" s="15">
        <v>27</v>
      </c>
      <c r="J274" s="15">
        <v>27</v>
      </c>
      <c r="K274" s="15">
        <v>25549.505148677759</v>
      </c>
      <c r="L274" s="15">
        <v>26835</v>
      </c>
      <c r="M274" s="15"/>
      <c r="N274" s="15"/>
      <c r="O274" s="15"/>
      <c r="P274" s="15">
        <v>1701257625</v>
      </c>
      <c r="Q274" s="15"/>
      <c r="R274" s="15"/>
      <c r="S274" s="15">
        <v>1006.7271616260115</v>
      </c>
      <c r="T274" s="15">
        <v>355</v>
      </c>
      <c r="U274" s="15">
        <v>210000</v>
      </c>
      <c r="V274" s="15">
        <f t="shared" si="29"/>
        <v>9.462767434041842</v>
      </c>
      <c r="W274" s="15">
        <v>4.7339000000000002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1288</v>
      </c>
      <c r="AF274" s="22" t="s">
        <v>5</v>
      </c>
      <c r="AG274" s="17">
        <f t="shared" si="30"/>
        <v>4765.7457104213763</v>
      </c>
      <c r="AH274" s="17">
        <v>1237.8619461624439</v>
      </c>
      <c r="AI274" s="62">
        <v>5.3655266062446092</v>
      </c>
      <c r="AJ274" s="17">
        <f t="shared" si="31"/>
        <v>1.3280147751671432</v>
      </c>
      <c r="AK274" s="15">
        <f t="shared" si="32"/>
        <v>0.50026591406759369</v>
      </c>
      <c r="AL274" s="5">
        <v>5.66</v>
      </c>
      <c r="AO274" s="5">
        <f t="shared" si="33"/>
        <v>2</v>
      </c>
      <c r="AP274" s="5">
        <f t="shared" si="28"/>
        <v>5.3655266062446092</v>
      </c>
    </row>
    <row r="275" spans="1:42">
      <c r="A275" s="15">
        <v>270</v>
      </c>
      <c r="B275" s="20" t="s">
        <v>1096</v>
      </c>
      <c r="C275" s="20">
        <v>300</v>
      </c>
      <c r="D275" s="15">
        <v>300</v>
      </c>
      <c r="E275" s="15">
        <v>600</v>
      </c>
      <c r="F275" s="15">
        <v>30</v>
      </c>
      <c r="G275" s="15">
        <v>30</v>
      </c>
      <c r="H275" s="15">
        <v>15.5</v>
      </c>
      <c r="I275" s="15">
        <v>27</v>
      </c>
      <c r="J275" s="15">
        <v>27</v>
      </c>
      <c r="K275" s="15">
        <v>32080.957592700641</v>
      </c>
      <c r="L275" s="15">
        <v>26835</v>
      </c>
      <c r="M275" s="15"/>
      <c r="N275" s="15"/>
      <c r="O275" s="15"/>
      <c r="P275" s="15">
        <v>1701257625</v>
      </c>
      <c r="Q275" s="15"/>
      <c r="R275" s="15"/>
      <c r="S275" s="15">
        <v>709.59335712135885</v>
      </c>
      <c r="T275" s="15">
        <v>355</v>
      </c>
      <c r="U275" s="15">
        <v>210000</v>
      </c>
      <c r="V275" s="15">
        <f t="shared" si="29"/>
        <v>13.425189095126681</v>
      </c>
      <c r="W275" s="15">
        <v>4.4943999999999997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1289</v>
      </c>
      <c r="AF275" s="22" t="s">
        <v>5</v>
      </c>
      <c r="AG275" s="17">
        <f t="shared" si="30"/>
        <v>3189.1963842462351</v>
      </c>
      <c r="AH275" s="17">
        <v>888.10027026159901</v>
      </c>
      <c r="AI275" s="62">
        <v>4.8281965046903563</v>
      </c>
      <c r="AJ275" s="17">
        <f t="shared" si="31"/>
        <v>1.6675072740820518</v>
      </c>
      <c r="AK275" s="15">
        <f t="shared" si="32"/>
        <v>0.334773683123127</v>
      </c>
      <c r="AL275" s="5">
        <v>5.66</v>
      </c>
      <c r="AO275" s="5">
        <f t="shared" si="33"/>
        <v>2</v>
      </c>
      <c r="AP275" s="5">
        <f t="shared" si="28"/>
        <v>4.8281965046903563</v>
      </c>
    </row>
    <row r="276" spans="1:42">
      <c r="A276" s="15">
        <v>271</v>
      </c>
      <c r="B276" s="20" t="s">
        <v>1097</v>
      </c>
      <c r="C276" s="20">
        <v>300</v>
      </c>
      <c r="D276" s="15">
        <v>300</v>
      </c>
      <c r="E276" s="15">
        <v>600</v>
      </c>
      <c r="F276" s="15">
        <v>30</v>
      </c>
      <c r="G276" s="15">
        <v>30</v>
      </c>
      <c r="H276" s="15">
        <v>15.5</v>
      </c>
      <c r="I276" s="15">
        <v>27</v>
      </c>
      <c r="J276" s="15">
        <v>27</v>
      </c>
      <c r="K276" s="15">
        <v>38420.308494252269</v>
      </c>
      <c r="L276" s="15">
        <v>26835</v>
      </c>
      <c r="M276" s="15"/>
      <c r="N276" s="15"/>
      <c r="O276" s="15"/>
      <c r="P276" s="15">
        <v>1701257625</v>
      </c>
      <c r="Q276" s="15"/>
      <c r="R276" s="15"/>
      <c r="S276" s="15">
        <v>524.72672204216849</v>
      </c>
      <c r="T276" s="15">
        <v>355</v>
      </c>
      <c r="U276" s="15">
        <v>210000</v>
      </c>
      <c r="V276" s="15">
        <f t="shared" si="29"/>
        <v>18.155021651888408</v>
      </c>
      <c r="W276" s="15">
        <v>4.2550400000000002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1290</v>
      </c>
      <c r="AF276" s="22" t="s">
        <v>5</v>
      </c>
      <c r="AG276" s="17">
        <f t="shared" si="30"/>
        <v>2232.7331913583089</v>
      </c>
      <c r="AH276" s="17">
        <v>662.73183271056735</v>
      </c>
      <c r="AI276" s="62">
        <v>4.5523353593741582</v>
      </c>
      <c r="AJ276" s="17">
        <f t="shared" si="31"/>
        <v>1.9970146994994635</v>
      </c>
      <c r="AK276" s="15">
        <f t="shared" si="32"/>
        <v>0.2343726205117144</v>
      </c>
      <c r="AL276" s="5">
        <v>5.66</v>
      </c>
      <c r="AO276" s="5">
        <f t="shared" si="33"/>
        <v>2</v>
      </c>
      <c r="AP276" s="5">
        <f t="shared" si="28"/>
        <v>4.5523353593741582</v>
      </c>
    </row>
    <row r="277" spans="1:42">
      <c r="A277" s="15">
        <v>272</v>
      </c>
      <c r="B277" s="20" t="s">
        <v>1098</v>
      </c>
      <c r="C277" s="20">
        <v>300</v>
      </c>
      <c r="D277" s="15">
        <v>300</v>
      </c>
      <c r="E277" s="15">
        <v>600</v>
      </c>
      <c r="F277" s="15">
        <v>30</v>
      </c>
      <c r="G277" s="15">
        <v>30</v>
      </c>
      <c r="H277" s="15">
        <v>15.5</v>
      </c>
      <c r="I277" s="15">
        <v>27</v>
      </c>
      <c r="J277" s="15">
        <v>27</v>
      </c>
      <c r="K277" s="15">
        <v>48025.385617815329</v>
      </c>
      <c r="L277" s="15">
        <v>26835</v>
      </c>
      <c r="M277" s="15"/>
      <c r="N277" s="15"/>
      <c r="O277" s="15"/>
      <c r="P277" s="15">
        <v>1701257625</v>
      </c>
      <c r="Q277" s="15"/>
      <c r="R277" s="15"/>
      <c r="S277" s="15">
        <v>354.3040502605707</v>
      </c>
      <c r="T277" s="15">
        <v>355</v>
      </c>
      <c r="U277" s="15">
        <v>210000</v>
      </c>
      <c r="V277" s="15">
        <f t="shared" si="29"/>
        <v>26.887711255329567</v>
      </c>
      <c r="W277" s="15">
        <v>4.0423400000000003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1291</v>
      </c>
      <c r="AF277" s="22" t="s">
        <v>5</v>
      </c>
      <c r="AG277" s="17">
        <f t="shared" si="30"/>
        <v>1432.2174345303156</v>
      </c>
      <c r="AH277" s="17">
        <v>450.77963648270901</v>
      </c>
      <c r="AI277" s="62">
        <v>4.3149054767021164</v>
      </c>
      <c r="AJ277" s="17">
        <f t="shared" si="31"/>
        <v>2.496268374374329</v>
      </c>
      <c r="AK277" s="15">
        <f t="shared" si="32"/>
        <v>0.15034154307941494</v>
      </c>
      <c r="AL277" s="5">
        <v>5.66</v>
      </c>
      <c r="AO277" s="5">
        <f t="shared" si="33"/>
        <v>2</v>
      </c>
      <c r="AP277" s="5">
        <f t="shared" si="28"/>
        <v>4.3149054767021164</v>
      </c>
    </row>
    <row r="278" spans="1:42">
      <c r="A278" s="15">
        <v>273</v>
      </c>
      <c r="B278" s="20" t="s">
        <v>1099</v>
      </c>
      <c r="C278" s="20">
        <v>300</v>
      </c>
      <c r="D278" s="15">
        <v>300</v>
      </c>
      <c r="E278" s="15">
        <v>700</v>
      </c>
      <c r="F278" s="15">
        <v>32</v>
      </c>
      <c r="G278" s="15">
        <v>32</v>
      </c>
      <c r="H278" s="15">
        <v>17</v>
      </c>
      <c r="I278" s="15">
        <v>27</v>
      </c>
      <c r="J278" s="15">
        <v>27</v>
      </c>
      <c r="K278" s="15">
        <v>6626.4331564496615</v>
      </c>
      <c r="L278" s="15">
        <v>30555.999999999989</v>
      </c>
      <c r="M278" s="15"/>
      <c r="N278" s="15"/>
      <c r="O278" s="15"/>
      <c r="P278" s="15">
        <v>2564151845.333334</v>
      </c>
      <c r="Q278" s="15"/>
      <c r="R278" s="15"/>
      <c r="S278" s="15">
        <v>3105.4393116605811</v>
      </c>
      <c r="T278" s="15">
        <v>355</v>
      </c>
      <c r="U278" s="15">
        <v>210000</v>
      </c>
      <c r="V278" s="15">
        <f t="shared" si="29"/>
        <v>3.4930259172250713</v>
      </c>
      <c r="W278" s="15">
        <v>3.50061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1292</v>
      </c>
      <c r="AF278" s="22" t="s">
        <v>5</v>
      </c>
      <c r="AG278" s="17">
        <f t="shared" si="30"/>
        <v>10870.931908792147</v>
      </c>
      <c r="AH278" s="17">
        <v>2067.8430712119402</v>
      </c>
      <c r="AI278" s="62">
        <v>38.974458572947</v>
      </c>
      <c r="AJ278" s="17">
        <f t="shared" si="31"/>
        <v>0.2993717793402591</v>
      </c>
      <c r="AK278" s="15">
        <f t="shared" si="32"/>
        <v>1.0021712071294775</v>
      </c>
      <c r="AL278" s="56">
        <v>2.8845000000000001</v>
      </c>
      <c r="AO278" s="5">
        <f t="shared" si="33"/>
        <v>2.3333333333333335</v>
      </c>
      <c r="AP278" s="5">
        <f t="shared" si="28"/>
        <v>38.974458572947</v>
      </c>
    </row>
    <row r="279" spans="1:42">
      <c r="A279" s="15">
        <v>274</v>
      </c>
      <c r="B279" s="20" t="s">
        <v>1100</v>
      </c>
      <c r="C279" s="20">
        <v>300</v>
      </c>
      <c r="D279" s="15">
        <v>300</v>
      </c>
      <c r="E279" s="15">
        <v>700</v>
      </c>
      <c r="F279" s="15">
        <v>32</v>
      </c>
      <c r="G279" s="15">
        <v>32</v>
      </c>
      <c r="H279" s="15">
        <v>17</v>
      </c>
      <c r="I279" s="15">
        <v>27</v>
      </c>
      <c r="J279" s="15">
        <v>27</v>
      </c>
      <c r="K279" s="15">
        <v>11044.055260749436</v>
      </c>
      <c r="L279" s="15">
        <v>30556</v>
      </c>
      <c r="M279" s="15"/>
      <c r="N279" s="15"/>
      <c r="O279" s="15"/>
      <c r="P279" s="15">
        <v>2564151845.3333335</v>
      </c>
      <c r="Q279" s="15"/>
      <c r="R279" s="15"/>
      <c r="S279" s="15">
        <v>2939.0222148719727</v>
      </c>
      <c r="T279" s="15">
        <v>355</v>
      </c>
      <c r="U279" s="15">
        <v>210000</v>
      </c>
      <c r="V279" s="15">
        <f t="shared" si="29"/>
        <v>3.6908125243526015</v>
      </c>
      <c r="W279" s="15">
        <v>3.5647500000000001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1293</v>
      </c>
      <c r="AF279" s="22" t="s">
        <v>5</v>
      </c>
      <c r="AG279" s="17">
        <f t="shared" si="30"/>
        <v>10476.879440464865</v>
      </c>
      <c r="AH279" s="17">
        <v>1890.963876434048</v>
      </c>
      <c r="AI279" s="62">
        <v>14.825275381941927</v>
      </c>
      <c r="AJ279" s="17">
        <f t="shared" si="31"/>
        <v>0.49895296556709862</v>
      </c>
      <c r="AK279" s="15">
        <f t="shared" si="32"/>
        <v>0.96584423524066321</v>
      </c>
      <c r="AL279" s="5">
        <v>2.8845000000000001</v>
      </c>
      <c r="AO279" s="5">
        <f t="shared" si="33"/>
        <v>2.3333333333333335</v>
      </c>
      <c r="AP279" s="5">
        <f t="shared" si="28"/>
        <v>14.825275381941927</v>
      </c>
    </row>
    <row r="280" spans="1:42">
      <c r="A280" s="15">
        <v>275</v>
      </c>
      <c r="B280" s="20" t="s">
        <v>1101</v>
      </c>
      <c r="C280" s="20">
        <v>300</v>
      </c>
      <c r="D280" s="15">
        <v>300</v>
      </c>
      <c r="E280" s="15">
        <v>700</v>
      </c>
      <c r="F280" s="15">
        <v>32</v>
      </c>
      <c r="G280" s="15">
        <v>32</v>
      </c>
      <c r="H280" s="15">
        <v>17</v>
      </c>
      <c r="I280" s="15">
        <v>27</v>
      </c>
      <c r="J280" s="15">
        <v>27</v>
      </c>
      <c r="K280" s="15">
        <v>16566.082891124155</v>
      </c>
      <c r="L280" s="15">
        <v>30556</v>
      </c>
      <c r="M280" s="15"/>
      <c r="N280" s="15"/>
      <c r="O280" s="15"/>
      <c r="P280" s="15">
        <v>2564151845.3333335</v>
      </c>
      <c r="Q280" s="15"/>
      <c r="R280" s="15"/>
      <c r="S280" s="15">
        <v>2728.5504653573526</v>
      </c>
      <c r="T280" s="15">
        <v>355</v>
      </c>
      <c r="U280" s="15">
        <v>210000</v>
      </c>
      <c r="V280" s="15">
        <f t="shared" si="29"/>
        <v>3.9755101244130158</v>
      </c>
      <c r="W280" s="15">
        <v>3.5524499999999999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1294</v>
      </c>
      <c r="AF280" s="22" t="s">
        <v>5</v>
      </c>
      <c r="AG280" s="17">
        <f t="shared" si="30"/>
        <v>9693.039100658727</v>
      </c>
      <c r="AH280" s="17">
        <v>1649.7885578004339</v>
      </c>
      <c r="AI280" s="62">
        <v>7.097266762834967</v>
      </c>
      <c r="AJ280" s="17">
        <f t="shared" si="31"/>
        <v>0.74842944835064795</v>
      </c>
      <c r="AK280" s="15">
        <f t="shared" si="32"/>
        <v>0.89358343679844587</v>
      </c>
      <c r="AL280" s="5">
        <v>2.8845000000000001</v>
      </c>
      <c r="AO280" s="5">
        <f t="shared" si="33"/>
        <v>2.3333333333333335</v>
      </c>
      <c r="AP280" s="5">
        <f t="shared" si="28"/>
        <v>7.097266762834967</v>
      </c>
    </row>
    <row r="281" spans="1:42">
      <c r="A281" s="15">
        <v>276</v>
      </c>
      <c r="B281" s="20" t="s">
        <v>1102</v>
      </c>
      <c r="C281" s="20">
        <v>300</v>
      </c>
      <c r="D281" s="15">
        <v>300</v>
      </c>
      <c r="E281" s="15">
        <v>700</v>
      </c>
      <c r="F281" s="15">
        <v>32</v>
      </c>
      <c r="G281" s="15">
        <v>32</v>
      </c>
      <c r="H281" s="15">
        <v>17</v>
      </c>
      <c r="I281" s="15">
        <v>27</v>
      </c>
      <c r="J281" s="15">
        <v>27</v>
      </c>
      <c r="K281" s="15">
        <v>22088.110521498871</v>
      </c>
      <c r="L281" s="15">
        <v>30556</v>
      </c>
      <c r="M281" s="15"/>
      <c r="N281" s="15"/>
      <c r="O281" s="15"/>
      <c r="P281" s="15">
        <v>2564151845.3333335</v>
      </c>
      <c r="Q281" s="15"/>
      <c r="R281" s="15"/>
      <c r="S281" s="15">
        <v>2504.5616011805828</v>
      </c>
      <c r="T281" s="15">
        <v>355</v>
      </c>
      <c r="U281" s="15">
        <v>210000</v>
      </c>
      <c r="V281" s="15">
        <f t="shared" si="29"/>
        <v>4.3310493919921305</v>
      </c>
      <c r="W281" s="15">
        <v>3.2024900000000001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1295</v>
      </c>
      <c r="AF281" s="22" t="s">
        <v>5</v>
      </c>
      <c r="AG281" s="17">
        <f t="shared" si="30"/>
        <v>8020.833482164805</v>
      </c>
      <c r="AH281" s="17">
        <v>1384.6930686849744</v>
      </c>
      <c r="AI281" s="62">
        <v>4.349245559440754</v>
      </c>
      <c r="AJ281" s="17">
        <f t="shared" si="31"/>
        <v>0.99790593113419723</v>
      </c>
      <c r="AK281" s="15">
        <f t="shared" si="32"/>
        <v>0.73942587815350846</v>
      </c>
      <c r="AL281" s="5">
        <v>2.8845000000000001</v>
      </c>
      <c r="AO281" s="5">
        <f t="shared" si="33"/>
        <v>2.3333333333333335</v>
      </c>
      <c r="AP281" s="5">
        <f t="shared" si="28"/>
        <v>4.349245559440754</v>
      </c>
    </row>
    <row r="282" spans="1:42">
      <c r="A282" s="15">
        <v>277</v>
      </c>
      <c r="B282" s="20" t="s">
        <v>1103</v>
      </c>
      <c r="C282" s="20">
        <v>300</v>
      </c>
      <c r="D282" s="15">
        <v>300</v>
      </c>
      <c r="E282" s="15">
        <v>700</v>
      </c>
      <c r="F282" s="15">
        <v>32</v>
      </c>
      <c r="G282" s="15">
        <v>32</v>
      </c>
      <c r="H282" s="15">
        <v>17</v>
      </c>
      <c r="I282" s="15">
        <v>27</v>
      </c>
      <c r="J282" s="15">
        <v>27</v>
      </c>
      <c r="K282" s="15">
        <v>29377.186993593503</v>
      </c>
      <c r="L282" s="15">
        <v>30556</v>
      </c>
      <c r="M282" s="15"/>
      <c r="N282" s="15"/>
      <c r="O282" s="15"/>
      <c r="P282" s="15">
        <v>2564151845.3333335</v>
      </c>
      <c r="Q282" s="15"/>
      <c r="R282" s="15"/>
      <c r="S282" s="15">
        <v>2182.2307051556245</v>
      </c>
      <c r="T282" s="15">
        <v>355</v>
      </c>
      <c r="U282" s="15">
        <v>210000</v>
      </c>
      <c r="V282" s="15">
        <f t="shared" si="29"/>
        <v>4.9707759928281394</v>
      </c>
      <c r="W282" s="15">
        <v>2.4771800000000002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1296</v>
      </c>
      <c r="AF282" s="22" t="s">
        <v>5</v>
      </c>
      <c r="AG282" s="17">
        <f t="shared" si="30"/>
        <v>5405.7782581974107</v>
      </c>
      <c r="AH282" s="17">
        <v>1047.2396604996427</v>
      </c>
      <c r="AI282" s="62">
        <v>2.8219005386360503</v>
      </c>
      <c r="AJ282" s="17">
        <f t="shared" si="31"/>
        <v>1.3272148884084825</v>
      </c>
      <c r="AK282" s="15">
        <f t="shared" si="32"/>
        <v>0.49834874948581226</v>
      </c>
      <c r="AL282" s="5">
        <v>2.8845000000000001</v>
      </c>
      <c r="AO282" s="5">
        <f t="shared" si="33"/>
        <v>2.3333333333333335</v>
      </c>
      <c r="AP282" s="5">
        <f t="shared" si="28"/>
        <v>2.8219005386360503</v>
      </c>
    </row>
    <row r="283" spans="1:42">
      <c r="A283" s="15">
        <v>278</v>
      </c>
      <c r="B283" s="20" t="s">
        <v>1104</v>
      </c>
      <c r="C283" s="20">
        <v>300</v>
      </c>
      <c r="D283" s="15">
        <v>300</v>
      </c>
      <c r="E283" s="15">
        <v>700</v>
      </c>
      <c r="F283" s="15">
        <v>32</v>
      </c>
      <c r="G283" s="15">
        <v>32</v>
      </c>
      <c r="H283" s="15">
        <v>17</v>
      </c>
      <c r="I283" s="15">
        <v>27</v>
      </c>
      <c r="J283" s="15">
        <v>27</v>
      </c>
      <c r="K283" s="15">
        <v>36887.14457090311</v>
      </c>
      <c r="L283" s="15">
        <v>30556</v>
      </c>
      <c r="M283" s="15"/>
      <c r="N283" s="15"/>
      <c r="O283" s="15"/>
      <c r="P283" s="15">
        <v>2564151845.3333335</v>
      </c>
      <c r="Q283" s="15"/>
      <c r="R283" s="15"/>
      <c r="S283" s="15">
        <v>1835.7420577438875</v>
      </c>
      <c r="T283" s="15">
        <v>355</v>
      </c>
      <c r="U283" s="15">
        <v>210000</v>
      </c>
      <c r="V283" s="15">
        <f t="shared" si="29"/>
        <v>5.9089892037072707</v>
      </c>
      <c r="W283" s="15">
        <v>1.9736400000000001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1297</v>
      </c>
      <c r="AF283" s="22" t="s">
        <v>5</v>
      </c>
      <c r="AG283" s="17">
        <f t="shared" si="30"/>
        <v>3623.0939548456463</v>
      </c>
      <c r="AH283" s="17">
        <v>774.36690657034842</v>
      </c>
      <c r="AI283" s="62">
        <v>2.1276542066471156</v>
      </c>
      <c r="AJ283" s="17">
        <f t="shared" si="31"/>
        <v>1.6665029049941091</v>
      </c>
      <c r="AK283" s="15">
        <f t="shared" si="32"/>
        <v>0.33400636419537677</v>
      </c>
      <c r="AL283" s="5">
        <v>2.8845000000000001</v>
      </c>
      <c r="AO283" s="5">
        <f t="shared" si="33"/>
        <v>2.3333333333333335</v>
      </c>
      <c r="AP283" s="5">
        <f t="shared" si="28"/>
        <v>2.1276542066471156</v>
      </c>
    </row>
    <row r="284" spans="1:42">
      <c r="A284" s="15">
        <v>279</v>
      </c>
      <c r="B284" s="20" t="s">
        <v>1105</v>
      </c>
      <c r="C284" s="20">
        <v>300</v>
      </c>
      <c r="D284" s="15">
        <v>300</v>
      </c>
      <c r="E284" s="15">
        <v>700</v>
      </c>
      <c r="F284" s="15">
        <v>32</v>
      </c>
      <c r="G284" s="15">
        <v>32</v>
      </c>
      <c r="H284" s="15">
        <v>17</v>
      </c>
      <c r="I284" s="15">
        <v>27</v>
      </c>
      <c r="J284" s="15">
        <v>27</v>
      </c>
      <c r="K284" s="15">
        <v>44176.221042997742</v>
      </c>
      <c r="L284" s="15">
        <v>30556</v>
      </c>
      <c r="M284" s="15"/>
      <c r="N284" s="15"/>
      <c r="O284" s="15"/>
      <c r="P284" s="15">
        <v>2564151845.3333335</v>
      </c>
      <c r="Q284" s="15"/>
      <c r="R284" s="15"/>
      <c r="S284" s="15">
        <v>1520.7588774237888</v>
      </c>
      <c r="T284" s="15">
        <v>355</v>
      </c>
      <c r="U284" s="15">
        <v>210000</v>
      </c>
      <c r="V284" s="15">
        <f t="shared" si="29"/>
        <v>7.1328730418958903</v>
      </c>
      <c r="W284" s="15">
        <v>1.70069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1298</v>
      </c>
      <c r="AF284" s="22" t="s">
        <v>5</v>
      </c>
      <c r="AG284" s="17">
        <f t="shared" si="30"/>
        <v>2586.3394152458636</v>
      </c>
      <c r="AH284" s="17">
        <v>587.23834536877882</v>
      </c>
      <c r="AI284" s="62">
        <v>1.7907101487274339</v>
      </c>
      <c r="AJ284" s="17">
        <f t="shared" si="31"/>
        <v>1.9958118622683945</v>
      </c>
      <c r="AK284" s="15">
        <f t="shared" si="32"/>
        <v>0.23842987110674316</v>
      </c>
      <c r="AL284" s="5">
        <v>2.8845000000000001</v>
      </c>
      <c r="AO284" s="5">
        <f t="shared" si="33"/>
        <v>2.3333333333333335</v>
      </c>
      <c r="AP284" s="5">
        <f t="shared" si="28"/>
        <v>1.7907101487274339</v>
      </c>
    </row>
    <row r="285" spans="1:42">
      <c r="A285" s="15">
        <v>280</v>
      </c>
      <c r="B285" s="20" t="s">
        <v>1106</v>
      </c>
      <c r="C285" s="20">
        <v>300</v>
      </c>
      <c r="D285" s="15">
        <v>300</v>
      </c>
      <c r="E285" s="15">
        <v>700</v>
      </c>
      <c r="F285" s="15">
        <v>32</v>
      </c>
      <c r="G285" s="15">
        <v>32</v>
      </c>
      <c r="H285" s="15">
        <v>17</v>
      </c>
      <c r="I285" s="15">
        <v>27</v>
      </c>
      <c r="J285" s="15">
        <v>27</v>
      </c>
      <c r="K285" s="15">
        <v>55220.276303747181</v>
      </c>
      <c r="L285" s="15">
        <v>30556</v>
      </c>
      <c r="M285" s="15"/>
      <c r="N285" s="15"/>
      <c r="O285" s="15"/>
      <c r="P285" s="15">
        <v>2564151845.3333335</v>
      </c>
      <c r="Q285" s="15"/>
      <c r="R285" s="15"/>
      <c r="S285" s="15">
        <v>1134.1395971997256</v>
      </c>
      <c r="T285" s="15">
        <v>355</v>
      </c>
      <c r="U285" s="15">
        <v>210000</v>
      </c>
      <c r="V285" s="15">
        <f t="shared" si="29"/>
        <v>9.5644134344510867</v>
      </c>
      <c r="W285" s="15">
        <v>1.48611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1299</v>
      </c>
      <c r="AF285" s="22" t="s">
        <v>5</v>
      </c>
      <c r="AG285" s="17">
        <f t="shared" si="30"/>
        <v>1685.4561967944842</v>
      </c>
      <c r="AH285" s="17">
        <v>404.62332413956238</v>
      </c>
      <c r="AI285" s="62">
        <v>1.5367354705436231</v>
      </c>
      <c r="AJ285" s="17">
        <f t="shared" si="31"/>
        <v>2.494764827835493</v>
      </c>
      <c r="AK285" s="15">
        <f t="shared" si="32"/>
        <v>0.15537910507371222</v>
      </c>
      <c r="AL285" s="5">
        <v>2.8845000000000001</v>
      </c>
      <c r="AO285" s="5">
        <f t="shared" si="33"/>
        <v>2.3333333333333335</v>
      </c>
      <c r="AP285" s="5">
        <f t="shared" si="28"/>
        <v>1.5367354705436231</v>
      </c>
    </row>
    <row r="286" spans="1:42">
      <c r="A286" s="15">
        <v>281</v>
      </c>
      <c r="B286" s="20" t="s">
        <v>1107</v>
      </c>
      <c r="C286" s="20">
        <v>300</v>
      </c>
      <c r="D286" s="15">
        <v>300</v>
      </c>
      <c r="E286" s="15">
        <v>900</v>
      </c>
      <c r="F286" s="15">
        <v>35</v>
      </c>
      <c r="G286" s="15">
        <v>35</v>
      </c>
      <c r="H286" s="15">
        <v>18.5</v>
      </c>
      <c r="I286" s="15">
        <v>30</v>
      </c>
      <c r="J286" s="15">
        <v>30</v>
      </c>
      <c r="K286" s="15">
        <v>8339.4932140776891</v>
      </c>
      <c r="L286" s="15">
        <v>37002.499999999993</v>
      </c>
      <c r="M286" s="15"/>
      <c r="N286" s="15"/>
      <c r="O286" s="15"/>
      <c r="P286" s="15">
        <v>4925970463.541666</v>
      </c>
      <c r="Q286" s="15"/>
      <c r="R286" s="15"/>
      <c r="S286" s="15">
        <v>3776.8153878154867</v>
      </c>
      <c r="T286" s="15">
        <v>355</v>
      </c>
      <c r="U286" s="15">
        <v>210000</v>
      </c>
      <c r="V286" s="15">
        <f t="shared" si="29"/>
        <v>3.4780327210003787</v>
      </c>
      <c r="W286" s="15">
        <v>3.4823400000000002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1300</v>
      </c>
      <c r="AF286" s="22" t="s">
        <v>5</v>
      </c>
      <c r="AG286" s="17">
        <f t="shared" si="30"/>
        <v>13152.155297605383</v>
      </c>
      <c r="AH286" s="17">
        <v>1541.2741945736698</v>
      </c>
      <c r="AI286" s="62">
        <v>38.869214795280932</v>
      </c>
      <c r="AJ286" s="17">
        <f t="shared" si="31"/>
        <v>0.29913273928922168</v>
      </c>
      <c r="AK286" s="15">
        <f t="shared" si="32"/>
        <v>1.0012384239439767</v>
      </c>
      <c r="AL286" s="56">
        <v>1.5359</v>
      </c>
      <c r="AO286" s="5">
        <f t="shared" si="33"/>
        <v>3</v>
      </c>
      <c r="AP286" s="5">
        <f t="shared" si="28"/>
        <v>38.869214795280932</v>
      </c>
    </row>
    <row r="287" spans="1:42">
      <c r="A287" s="15">
        <v>282</v>
      </c>
      <c r="B287" s="20" t="s">
        <v>1108</v>
      </c>
      <c r="C287" s="20">
        <v>300</v>
      </c>
      <c r="D287" s="15">
        <v>300</v>
      </c>
      <c r="E287" s="15">
        <v>900</v>
      </c>
      <c r="F287" s="15">
        <v>35</v>
      </c>
      <c r="G287" s="15">
        <v>35</v>
      </c>
      <c r="H287" s="15">
        <v>18.5</v>
      </c>
      <c r="I287" s="15">
        <v>30</v>
      </c>
      <c r="J287" s="15">
        <v>30</v>
      </c>
      <c r="K287" s="15">
        <v>13899.155356796147</v>
      </c>
      <c r="L287" s="15">
        <v>37002.5</v>
      </c>
      <c r="M287" s="15"/>
      <c r="N287" s="15"/>
      <c r="O287" s="15"/>
      <c r="P287" s="15">
        <v>4925970463.541666</v>
      </c>
      <c r="Q287" s="15"/>
      <c r="R287" s="15"/>
      <c r="S287" s="15">
        <v>3584.7599611769901</v>
      </c>
      <c r="T287" s="15">
        <v>355</v>
      </c>
      <c r="U287" s="15">
        <v>210000</v>
      </c>
      <c r="V287" s="15">
        <f t="shared" si="29"/>
        <v>3.6643701788297904</v>
      </c>
      <c r="W287" s="15">
        <v>3.5383300000000002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1301</v>
      </c>
      <c r="AF287" s="30" t="s">
        <v>219</v>
      </c>
      <c r="AG287" s="17">
        <f t="shared" si="30"/>
        <v>12684.06371343138</v>
      </c>
      <c r="AH287" s="17">
        <v>1428.3016898637995</v>
      </c>
      <c r="AI287" s="62">
        <v>14.742595334347627</v>
      </c>
      <c r="AJ287" s="17">
        <f t="shared" si="31"/>
        <v>0.49855456548203619</v>
      </c>
      <c r="AK287" s="15">
        <f t="shared" si="32"/>
        <v>0.96560386296178158</v>
      </c>
      <c r="AL287" s="5">
        <v>1.5359</v>
      </c>
      <c r="AO287" s="5">
        <f t="shared" si="33"/>
        <v>3</v>
      </c>
      <c r="AP287" s="5">
        <f t="shared" si="28"/>
        <v>14.742595334347627</v>
      </c>
    </row>
    <row r="288" spans="1:42">
      <c r="A288" s="15">
        <v>283</v>
      </c>
      <c r="B288" s="20" t="s">
        <v>1109</v>
      </c>
      <c r="C288" s="20">
        <v>300</v>
      </c>
      <c r="D288" s="15">
        <v>300</v>
      </c>
      <c r="E288" s="15">
        <v>900</v>
      </c>
      <c r="F288" s="15">
        <v>35</v>
      </c>
      <c r="G288" s="15">
        <v>35</v>
      </c>
      <c r="H288" s="15">
        <v>18.5</v>
      </c>
      <c r="I288" s="15">
        <v>30</v>
      </c>
      <c r="J288" s="15">
        <v>30</v>
      </c>
      <c r="K288" s="15">
        <v>20848.733035194222</v>
      </c>
      <c r="L288" s="15">
        <v>37002.5</v>
      </c>
      <c r="M288" s="15"/>
      <c r="N288" s="15"/>
      <c r="O288" s="15"/>
      <c r="P288" s="15">
        <v>4925970463.541666</v>
      </c>
      <c r="Q288" s="15"/>
      <c r="R288" s="15"/>
      <c r="S288" s="15">
        <v>3343.4766334687056</v>
      </c>
      <c r="T288" s="15">
        <v>355</v>
      </c>
      <c r="U288" s="15">
        <v>210000</v>
      </c>
      <c r="V288" s="15">
        <f t="shared" si="29"/>
        <v>3.9288109175065808</v>
      </c>
      <c r="W288" s="15">
        <v>3.5185200000000001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1302</v>
      </c>
      <c r="AF288" s="22" t="s">
        <v>5</v>
      </c>
      <c r="AG288" s="17">
        <f t="shared" si="30"/>
        <v>11764.089404392311</v>
      </c>
      <c r="AH288" s="17">
        <v>1278.2236339801821</v>
      </c>
      <c r="AI288" s="62">
        <v>7.0251113864706571</v>
      </c>
      <c r="AJ288" s="17">
        <f t="shared" si="31"/>
        <v>0.74783184822305426</v>
      </c>
      <c r="AK288" s="15">
        <f t="shared" si="32"/>
        <v>0.89556867812641594</v>
      </c>
      <c r="AL288" s="5">
        <v>1.5359</v>
      </c>
      <c r="AO288" s="5">
        <f t="shared" si="33"/>
        <v>3</v>
      </c>
      <c r="AP288" s="5">
        <f t="shared" si="28"/>
        <v>7.0251113864706571</v>
      </c>
    </row>
    <row r="289" spans="1:42" ht="14.25" customHeight="1">
      <c r="A289" s="15">
        <v>284</v>
      </c>
      <c r="B289" s="20" t="s">
        <v>1110</v>
      </c>
      <c r="C289" s="20">
        <v>300</v>
      </c>
      <c r="D289" s="15">
        <v>300</v>
      </c>
      <c r="E289" s="15">
        <v>900</v>
      </c>
      <c r="F289" s="15">
        <v>35</v>
      </c>
      <c r="G289" s="15">
        <v>35</v>
      </c>
      <c r="H289" s="15">
        <v>18.5</v>
      </c>
      <c r="I289" s="15">
        <v>30</v>
      </c>
      <c r="J289" s="15">
        <v>30</v>
      </c>
      <c r="K289" s="15">
        <v>27798.310713592295</v>
      </c>
      <c r="L289" s="15">
        <v>37002.5</v>
      </c>
      <c r="M289" s="15"/>
      <c r="N289" s="15"/>
      <c r="O289" s="15"/>
      <c r="P289" s="15">
        <v>4925970463.541666</v>
      </c>
      <c r="Q289" s="15"/>
      <c r="R289" s="15"/>
      <c r="S289" s="15">
        <v>3088.7692519683906</v>
      </c>
      <c r="T289" s="15">
        <v>355</v>
      </c>
      <c r="U289" s="15">
        <v>210000</v>
      </c>
      <c r="V289" s="15">
        <f t="shared" si="29"/>
        <v>4.2527901660601053</v>
      </c>
      <c r="W289" s="15">
        <v>3.1454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1303</v>
      </c>
      <c r="AF289" s="22" t="s">
        <v>5</v>
      </c>
      <c r="AG289" s="17">
        <f t="shared" si="30"/>
        <v>9715.4148051413758</v>
      </c>
      <c r="AH289" s="17">
        <v>1112.6517344021763</v>
      </c>
      <c r="AI289" s="62">
        <v>4.277485720625215</v>
      </c>
      <c r="AJ289" s="17">
        <f t="shared" si="31"/>
        <v>0.99710913096407239</v>
      </c>
      <c r="AK289" s="15">
        <f t="shared" si="32"/>
        <v>0.73960855748356369</v>
      </c>
      <c r="AL289" s="5">
        <v>1.5359</v>
      </c>
      <c r="AO289" s="5">
        <f t="shared" si="33"/>
        <v>3</v>
      </c>
      <c r="AP289" s="5">
        <f t="shared" si="28"/>
        <v>4.277485720625215</v>
      </c>
    </row>
    <row r="290" spans="1:42" ht="15.75" customHeight="1">
      <c r="A290" s="15">
        <v>285</v>
      </c>
      <c r="B290" s="20" t="s">
        <v>1111</v>
      </c>
      <c r="C290" s="20">
        <v>300</v>
      </c>
      <c r="D290" s="15">
        <v>300</v>
      </c>
      <c r="E290" s="15">
        <v>900</v>
      </c>
      <c r="F290" s="15">
        <v>35</v>
      </c>
      <c r="G290" s="15">
        <v>35</v>
      </c>
      <c r="H290" s="15">
        <v>18.5</v>
      </c>
      <c r="I290" s="15">
        <v>30</v>
      </c>
      <c r="J290" s="15">
        <v>30</v>
      </c>
      <c r="K290" s="15">
        <v>36971.753249077752</v>
      </c>
      <c r="L290" s="15">
        <v>37002.5</v>
      </c>
      <c r="M290" s="15"/>
      <c r="N290" s="15"/>
      <c r="O290" s="15"/>
      <c r="P290" s="15">
        <v>4925970463.541666</v>
      </c>
      <c r="Q290" s="15"/>
      <c r="R290" s="15"/>
      <c r="S290" s="15">
        <v>2723.0171244636658</v>
      </c>
      <c r="T290" s="15">
        <v>355</v>
      </c>
      <c r="U290" s="15">
        <v>210000</v>
      </c>
      <c r="V290" s="15">
        <f t="shared" si="29"/>
        <v>4.8240194238908014</v>
      </c>
      <c r="W290" s="15">
        <v>2.4032200000000001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1304</v>
      </c>
      <c r="AF290" s="22" t="s">
        <v>5</v>
      </c>
      <c r="AG290" s="17">
        <f t="shared" si="30"/>
        <v>6544.0092138535711</v>
      </c>
      <c r="AH290" s="17">
        <v>885.89345278992414</v>
      </c>
      <c r="AI290" s="62">
        <v>2.7429657150244782</v>
      </c>
      <c r="AJ290" s="17">
        <f t="shared" si="31"/>
        <v>1.3261551441822164</v>
      </c>
      <c r="AK290" s="15">
        <f t="shared" si="32"/>
        <v>0.49817792774592284</v>
      </c>
      <c r="AL290" s="5">
        <v>1.5359</v>
      </c>
      <c r="AO290" s="5">
        <f t="shared" si="33"/>
        <v>3</v>
      </c>
      <c r="AP290" s="5">
        <f t="shared" si="28"/>
        <v>2.7429657150244782</v>
      </c>
    </row>
    <row r="291" spans="1:42" ht="15" customHeight="1">
      <c r="A291" s="15">
        <v>286</v>
      </c>
      <c r="B291" s="20" t="s">
        <v>1112</v>
      </c>
      <c r="C291" s="20">
        <v>300</v>
      </c>
      <c r="D291" s="15">
        <v>300</v>
      </c>
      <c r="E291" s="15">
        <v>900</v>
      </c>
      <c r="F291" s="15">
        <v>35</v>
      </c>
      <c r="G291" s="15">
        <v>35</v>
      </c>
      <c r="H291" s="15">
        <v>18.5</v>
      </c>
      <c r="I291" s="15">
        <v>30</v>
      </c>
      <c r="J291" s="15">
        <v>30</v>
      </c>
      <c r="K291" s="15">
        <v>46423.178891699128</v>
      </c>
      <c r="L291" s="15">
        <v>37002.5</v>
      </c>
      <c r="M291" s="15"/>
      <c r="N291" s="15"/>
      <c r="O291" s="15"/>
      <c r="P291" s="15">
        <v>4925970463.541666</v>
      </c>
      <c r="Q291" s="15"/>
      <c r="R291" s="15"/>
      <c r="S291" s="15">
        <v>2324.0112143288688</v>
      </c>
      <c r="T291" s="15">
        <v>355</v>
      </c>
      <c r="U291" s="15">
        <v>210000</v>
      </c>
      <c r="V291" s="15">
        <f t="shared" si="29"/>
        <v>5.6522478975186017</v>
      </c>
      <c r="W291" s="15">
        <v>1.8868199999999999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1305</v>
      </c>
      <c r="AF291" s="22" t="s">
        <v>5</v>
      </c>
      <c r="AG291" s="17">
        <f t="shared" si="30"/>
        <v>4384.9908394199965</v>
      </c>
      <c r="AH291" s="17">
        <v>680.61378951775089</v>
      </c>
      <c r="AI291" s="62">
        <v>2.0384631834000757</v>
      </c>
      <c r="AJ291" s="17">
        <f t="shared" si="31"/>
        <v>1.6651722487100007</v>
      </c>
      <c r="AK291" s="15">
        <f t="shared" si="32"/>
        <v>0.33381763047376856</v>
      </c>
      <c r="AL291" s="5">
        <v>1.5359</v>
      </c>
      <c r="AO291" s="5">
        <f t="shared" si="33"/>
        <v>3</v>
      </c>
      <c r="AP291" s="5">
        <f t="shared" si="28"/>
        <v>2.0384631834000757</v>
      </c>
    </row>
    <row r="292" spans="1:42" ht="13.5" customHeight="1">
      <c r="A292" s="15">
        <v>287</v>
      </c>
      <c r="B292" s="20" t="s">
        <v>1113</v>
      </c>
      <c r="C292" s="20">
        <v>300</v>
      </c>
      <c r="D292" s="15">
        <v>300</v>
      </c>
      <c r="E292" s="15">
        <v>900</v>
      </c>
      <c r="F292" s="15">
        <v>35</v>
      </c>
      <c r="G292" s="15">
        <v>35</v>
      </c>
      <c r="H292" s="15">
        <v>18.5</v>
      </c>
      <c r="I292" s="15">
        <v>30</v>
      </c>
      <c r="J292" s="15">
        <v>30</v>
      </c>
      <c r="K292" s="15">
        <v>55596.621427184589</v>
      </c>
      <c r="L292" s="15">
        <v>37002.5</v>
      </c>
      <c r="M292" s="15"/>
      <c r="N292" s="15"/>
      <c r="O292" s="15"/>
      <c r="P292" s="15">
        <v>4925970463.541666</v>
      </c>
      <c r="Q292" s="15"/>
      <c r="R292" s="15"/>
      <c r="S292" s="15">
        <v>1950.4965893073336</v>
      </c>
      <c r="T292" s="15">
        <v>355</v>
      </c>
      <c r="U292" s="15">
        <v>210000</v>
      </c>
      <c r="V292" s="15">
        <f t="shared" si="29"/>
        <v>6.7346375133446692</v>
      </c>
      <c r="W292" s="15">
        <v>1.6052900000000001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1306</v>
      </c>
      <c r="AF292" s="22" t="s">
        <v>5</v>
      </c>
      <c r="AG292" s="17">
        <f t="shared" si="30"/>
        <v>3131.1126698491698</v>
      </c>
      <c r="AH292" s="17">
        <v>527.71404147143915</v>
      </c>
      <c r="AI292" s="62">
        <v>1.6934362308078894</v>
      </c>
      <c r="AJ292" s="17">
        <f t="shared" si="31"/>
        <v>1.9942182619281446</v>
      </c>
      <c r="AK292" s="15">
        <f t="shared" si="32"/>
        <v>0.23836323734115186</v>
      </c>
      <c r="AL292" s="5">
        <v>1.5359</v>
      </c>
      <c r="AO292" s="5">
        <f t="shared" si="33"/>
        <v>3</v>
      </c>
      <c r="AP292" s="5">
        <f t="shared" si="28"/>
        <v>1.6934362308078894</v>
      </c>
    </row>
    <row r="293" spans="1:42" ht="14.25" customHeight="1" thickBot="1">
      <c r="A293" s="15">
        <v>288</v>
      </c>
      <c r="B293" s="20" t="s">
        <v>1114</v>
      </c>
      <c r="C293" s="20">
        <v>300</v>
      </c>
      <c r="D293" s="15">
        <v>300</v>
      </c>
      <c r="E293" s="15">
        <v>900</v>
      </c>
      <c r="F293" s="15">
        <v>35</v>
      </c>
      <c r="G293" s="15">
        <v>35</v>
      </c>
      <c r="H293" s="15">
        <v>18.5</v>
      </c>
      <c r="I293" s="15">
        <v>30</v>
      </c>
      <c r="J293" s="15">
        <v>30</v>
      </c>
      <c r="K293" s="15">
        <v>69495.776783980735</v>
      </c>
      <c r="L293" s="15">
        <v>37002.5</v>
      </c>
      <c r="M293" s="15"/>
      <c r="N293" s="15"/>
      <c r="O293" s="15"/>
      <c r="P293" s="15">
        <v>4925970463.541666</v>
      </c>
      <c r="Q293" s="15"/>
      <c r="R293" s="15"/>
      <c r="S293" s="15">
        <v>1475.168883937268</v>
      </c>
      <c r="T293" s="15">
        <v>355</v>
      </c>
      <c r="U293" s="15">
        <v>210000</v>
      </c>
      <c r="V293" s="15">
        <f t="shared" si="29"/>
        <v>8.9046668778288893</v>
      </c>
      <c r="W293" s="15">
        <v>1.3836599999999999</v>
      </c>
      <c r="X293" s="15"/>
      <c r="Y293" s="15"/>
      <c r="Z293" s="15"/>
      <c r="AA293" s="16"/>
      <c r="AB293" s="42">
        <v>1.5093980321271014</v>
      </c>
      <c r="AC293" s="43">
        <v>2.5</v>
      </c>
      <c r="AD293" s="15"/>
      <c r="AE293" s="15" t="s">
        <v>1307</v>
      </c>
      <c r="AF293" s="22" t="s">
        <v>5</v>
      </c>
      <c r="AG293" s="17">
        <f t="shared" si="30"/>
        <v>2041.13217794864</v>
      </c>
      <c r="AH293" s="17">
        <v>370.25188473625445</v>
      </c>
      <c r="AI293" s="62">
        <v>1.4330200712300671</v>
      </c>
      <c r="AJ293" s="17">
        <f t="shared" si="31"/>
        <v>2.4927728274101808</v>
      </c>
      <c r="AK293" s="15">
        <f t="shared" si="32"/>
        <v>0.15538593627180808</v>
      </c>
      <c r="AL293" s="5">
        <v>1.5359</v>
      </c>
      <c r="AO293" s="5">
        <f t="shared" si="33"/>
        <v>3</v>
      </c>
      <c r="AP293" s="5">
        <f t="shared" si="28"/>
        <v>1.4330200712300671</v>
      </c>
    </row>
    <row r="294" spans="1:42">
      <c r="AF294" s="10"/>
      <c r="AG294" s="6"/>
      <c r="AH294" s="6"/>
      <c r="AJ294" s="19"/>
    </row>
    <row r="295" spans="1:42">
      <c r="AF295" s="11"/>
      <c r="AG295" s="6"/>
      <c r="AH295" s="6"/>
      <c r="AJ295" s="19"/>
    </row>
    <row r="296" spans="1:42">
      <c r="AF296" s="18"/>
      <c r="AG296" s="6"/>
      <c r="AH296" s="6"/>
      <c r="AJ296" s="19"/>
    </row>
    <row r="297" spans="1:42">
      <c r="AF297" s="11"/>
      <c r="AG297" s="6"/>
      <c r="AH297" s="6"/>
      <c r="AJ297" s="19"/>
    </row>
  </sheetData>
  <mergeCells count="15">
    <mergeCell ref="AN4:AN5"/>
    <mergeCell ref="AM4:AM5"/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E6F6-9715-445A-8DC7-88798BF0B198}">
  <sheetPr codeName="Sheet7"/>
  <dimension ref="A1:AP297"/>
  <sheetViews>
    <sheetView topLeftCell="W1" zoomScaleNormal="100" workbookViewId="0">
      <pane ySplit="5" topLeftCell="A292" activePane="bottomLeft" state="frozen"/>
      <selection pane="bottomLeft" activeCell="AJ297" sqref="AJ297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3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66"/>
    <col min="36" max="36" width="13.5703125" style="5" bestFit="1" customWidth="1"/>
    <col min="37" max="41" width="9.140625" style="5"/>
    <col min="42" max="42" width="14" style="5" bestFit="1" customWidth="1"/>
    <col min="43" max="16384" width="9.140625" style="5"/>
  </cols>
  <sheetData>
    <row r="1" spans="1:42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I1" s="61"/>
    </row>
    <row r="2" spans="1:42" s="1" customFormat="1" ht="14.65" customHeight="1">
      <c r="I2" s="78" t="s">
        <v>0</v>
      </c>
      <c r="J2" s="7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I2" s="61"/>
    </row>
    <row r="3" spans="1:42" s="1" customFormat="1" ht="15.4" customHeight="1">
      <c r="I3" s="80" t="s">
        <v>1</v>
      </c>
      <c r="J3" s="81"/>
      <c r="K3" s="13" t="s">
        <v>1596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  <c r="AI3" s="61"/>
    </row>
    <row r="4" spans="1:42" ht="29.25" customHeight="1">
      <c r="A4" s="25"/>
      <c r="B4" s="77" t="s">
        <v>26</v>
      </c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26" t="s">
        <v>27</v>
      </c>
      <c r="T4" s="82" t="s">
        <v>30</v>
      </c>
      <c r="U4" s="82"/>
      <c r="V4" s="82" t="s">
        <v>515</v>
      </c>
      <c r="W4" s="82"/>
      <c r="X4" s="82"/>
      <c r="Y4" s="82"/>
      <c r="Z4" s="82"/>
      <c r="AA4" s="82"/>
      <c r="AB4" s="82"/>
      <c r="AC4" s="82"/>
      <c r="AD4" s="82"/>
      <c r="AE4" s="77" t="s">
        <v>3</v>
      </c>
      <c r="AF4" s="77" t="s">
        <v>4</v>
      </c>
      <c r="AG4" s="77" t="s">
        <v>224</v>
      </c>
      <c r="AH4" s="77" t="s">
        <v>225</v>
      </c>
      <c r="AI4" s="83" t="s">
        <v>223</v>
      </c>
      <c r="AJ4" s="77" t="s">
        <v>517</v>
      </c>
      <c r="AK4" s="77" t="s">
        <v>516</v>
      </c>
      <c r="AL4" s="77" t="s">
        <v>913</v>
      </c>
      <c r="AM4" s="76" t="s">
        <v>918</v>
      </c>
      <c r="AN4" s="76" t="s">
        <v>919</v>
      </c>
    </row>
    <row r="5" spans="1:42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77"/>
      <c r="AF5" s="77"/>
      <c r="AG5" s="77"/>
      <c r="AH5" s="77"/>
      <c r="AI5" s="83"/>
      <c r="AJ5" s="77"/>
      <c r="AK5" s="77"/>
      <c r="AL5" s="77"/>
      <c r="AM5" s="76"/>
      <c r="AN5" s="76"/>
      <c r="AO5" s="1" t="s">
        <v>36</v>
      </c>
      <c r="AP5" s="1" t="s">
        <v>1115</v>
      </c>
    </row>
    <row r="6" spans="1:42" ht="15">
      <c r="A6" s="15">
        <v>1</v>
      </c>
      <c r="B6" s="20" t="s">
        <v>1308</v>
      </c>
      <c r="C6" s="20">
        <v>46</v>
      </c>
      <c r="D6" s="15">
        <v>46</v>
      </c>
      <c r="E6" s="15">
        <v>80</v>
      </c>
      <c r="F6" s="15">
        <v>5.2</v>
      </c>
      <c r="G6" s="15">
        <v>5.2</v>
      </c>
      <c r="H6" s="15">
        <v>3.8</v>
      </c>
      <c r="I6" s="15">
        <v>5</v>
      </c>
      <c r="J6" s="15">
        <v>5</v>
      </c>
      <c r="K6" s="15">
        <v>531.75333029223259</v>
      </c>
      <c r="L6" s="15">
        <v>762.63999999999987</v>
      </c>
      <c r="M6" s="15"/>
      <c r="N6" s="15"/>
      <c r="O6" s="15"/>
      <c r="P6" s="15">
        <v>801694.6314666667</v>
      </c>
      <c r="Q6" s="15"/>
      <c r="R6" s="15"/>
      <c r="S6" s="21">
        <v>139.00600300594803</v>
      </c>
      <c r="T6" s="15">
        <v>690</v>
      </c>
      <c r="U6" s="15">
        <v>210000</v>
      </c>
      <c r="V6" s="15">
        <f>L6*T6/(S6*1000)</f>
        <v>3.7856034172674038</v>
      </c>
      <c r="W6" s="15">
        <v>4.0507499999999999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1404</v>
      </c>
      <c r="AF6" s="22" t="s">
        <v>5</v>
      </c>
      <c r="AG6" s="17">
        <f>W6*S6</f>
        <v>563.07856667634394</v>
      </c>
      <c r="AH6" s="17">
        <v>11732.748093205439</v>
      </c>
      <c r="AI6" s="62">
        <v>42.274066155942464</v>
      </c>
      <c r="AJ6" s="17">
        <f>(V6/AI6)^0.5</f>
        <v>0.29924751051933657</v>
      </c>
      <c r="AK6" s="15">
        <f>W6/V6</f>
        <v>1.0700407711814643</v>
      </c>
      <c r="AL6" s="56">
        <v>26.521000000000001</v>
      </c>
      <c r="AM6">
        <f>AI6</f>
        <v>42.274066155942464</v>
      </c>
      <c r="AN6" s="57">
        <f t="shared" ref="AN6:AN37" si="0">AI6/AM6</f>
        <v>1</v>
      </c>
      <c r="AO6" s="5">
        <f t="shared" ref="AO6:AO37" si="1">E6/C6</f>
        <v>1.7391304347826086</v>
      </c>
      <c r="AP6" s="5">
        <f t="shared" ref="AP6:AP69" si="2">(PI()^2*U6*P6/K6^2)/(S6*1000)</f>
        <v>42.274066155942464</v>
      </c>
    </row>
    <row r="7" spans="1:42" ht="15">
      <c r="A7" s="15">
        <v>2</v>
      </c>
      <c r="B7" s="20" t="s">
        <v>1309</v>
      </c>
      <c r="C7" s="20">
        <v>46</v>
      </c>
      <c r="D7" s="15">
        <v>46</v>
      </c>
      <c r="E7" s="15">
        <v>80</v>
      </c>
      <c r="F7" s="15">
        <v>5.2</v>
      </c>
      <c r="G7" s="15">
        <v>5.2</v>
      </c>
      <c r="H7" s="15">
        <v>3.8</v>
      </c>
      <c r="I7" s="15">
        <v>5</v>
      </c>
      <c r="J7" s="15">
        <v>5</v>
      </c>
      <c r="K7" s="15">
        <v>886.25555048705439</v>
      </c>
      <c r="L7" s="15">
        <v>762.63999999999987</v>
      </c>
      <c r="M7" s="15"/>
      <c r="N7" s="15"/>
      <c r="O7" s="15"/>
      <c r="P7" s="15">
        <v>801694.6314666667</v>
      </c>
      <c r="Q7" s="15"/>
      <c r="R7" s="15"/>
      <c r="S7" s="21">
        <v>123.45897480767664</v>
      </c>
      <c r="T7" s="15">
        <v>690</v>
      </c>
      <c r="U7" s="15">
        <v>210000</v>
      </c>
      <c r="V7" s="15">
        <f t="shared" ref="V7:V70" si="3">L7*T7/(S7*1000)</f>
        <v>4.2623195342399649</v>
      </c>
      <c r="W7" s="15">
        <v>4.4217300000000002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1405</v>
      </c>
      <c r="AF7" s="22" t="s">
        <v>5</v>
      </c>
      <c r="AG7" s="17">
        <f t="shared" ref="AG7:AG70" si="4">W7*S7</f>
        <v>545.9022526763481</v>
      </c>
      <c r="AH7" s="17">
        <v>10420.507171923251</v>
      </c>
      <c r="AI7" s="62">
        <v>17.135130365923217</v>
      </c>
      <c r="AJ7" s="17">
        <f t="shared" ref="AJ7:AJ70" si="5">(V7/AI7)^0.5</f>
        <v>0.498745850865561</v>
      </c>
      <c r="AK7" s="15">
        <f t="shared" ref="AK7:AK70" si="6">W7/V7</f>
        <v>1.0373999331771029</v>
      </c>
      <c r="AL7" s="5">
        <v>26.521000000000001</v>
      </c>
      <c r="AM7">
        <v>17.158000000000001</v>
      </c>
      <c r="AN7">
        <f t="shared" si="0"/>
        <v>0.99866711539358988</v>
      </c>
      <c r="AO7" s="5">
        <f t="shared" si="1"/>
        <v>1.7391304347826086</v>
      </c>
      <c r="AP7" s="5">
        <f t="shared" si="2"/>
        <v>17.135130365923217</v>
      </c>
    </row>
    <row r="8" spans="1:42" ht="15">
      <c r="A8" s="15">
        <v>3</v>
      </c>
      <c r="B8" s="20" t="s">
        <v>1310</v>
      </c>
      <c r="C8" s="20">
        <v>46</v>
      </c>
      <c r="D8" s="15">
        <v>46</v>
      </c>
      <c r="E8" s="15">
        <v>80</v>
      </c>
      <c r="F8" s="15">
        <v>5.2</v>
      </c>
      <c r="G8" s="15">
        <v>5.2</v>
      </c>
      <c r="H8" s="15">
        <v>3.8</v>
      </c>
      <c r="I8" s="15">
        <v>5</v>
      </c>
      <c r="J8" s="15">
        <v>5</v>
      </c>
      <c r="K8" s="15">
        <v>1329.3833257305816</v>
      </c>
      <c r="L8" s="15">
        <v>762.64</v>
      </c>
      <c r="M8" s="15"/>
      <c r="N8" s="15"/>
      <c r="O8" s="15"/>
      <c r="P8" s="15">
        <v>801694.6314666667</v>
      </c>
      <c r="Q8" s="15"/>
      <c r="R8" s="15"/>
      <c r="S8" s="21">
        <v>101.5707857087481</v>
      </c>
      <c r="T8" s="15">
        <v>690</v>
      </c>
      <c r="U8" s="15">
        <v>210000</v>
      </c>
      <c r="V8" s="15">
        <f t="shared" si="3"/>
        <v>5.1808361659121971</v>
      </c>
      <c r="W8" s="15">
        <v>5.0517799999999999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1406</v>
      </c>
      <c r="AF8" s="22" t="s">
        <v>5</v>
      </c>
      <c r="AG8" s="17">
        <f t="shared" si="4"/>
        <v>513.1132638277395</v>
      </c>
      <c r="AH8" s="17">
        <v>8573.0430095072952</v>
      </c>
      <c r="AI8" s="62">
        <v>9.2567545695619646</v>
      </c>
      <c r="AJ8" s="17">
        <f t="shared" si="5"/>
        <v>0.74811877629834156</v>
      </c>
      <c r="AK8" s="15">
        <f t="shared" si="6"/>
        <v>0.97508970332601241</v>
      </c>
      <c r="AL8" s="5">
        <v>26.521000000000001</v>
      </c>
      <c r="AM8">
        <v>9.4640000000000004</v>
      </c>
      <c r="AN8">
        <f t="shared" si="0"/>
        <v>0.97810170853359724</v>
      </c>
      <c r="AO8" s="5">
        <f t="shared" si="1"/>
        <v>1.7391304347826086</v>
      </c>
      <c r="AP8" s="5">
        <f t="shared" si="2"/>
        <v>9.2567545695619646</v>
      </c>
    </row>
    <row r="9" spans="1:42" ht="15">
      <c r="A9" s="15">
        <v>4</v>
      </c>
      <c r="B9" s="20" t="s">
        <v>1311</v>
      </c>
      <c r="C9" s="20">
        <v>46</v>
      </c>
      <c r="D9" s="15">
        <v>46</v>
      </c>
      <c r="E9" s="15">
        <v>80</v>
      </c>
      <c r="F9" s="15">
        <v>5.2</v>
      </c>
      <c r="G9" s="15">
        <v>5.2</v>
      </c>
      <c r="H9" s="15">
        <v>3.8</v>
      </c>
      <c r="I9" s="15">
        <v>5</v>
      </c>
      <c r="J9" s="15">
        <v>5</v>
      </c>
      <c r="K9" s="15">
        <v>1772.5111009741088</v>
      </c>
      <c r="L9" s="15">
        <v>762.64</v>
      </c>
      <c r="M9" s="15"/>
      <c r="N9" s="15"/>
      <c r="O9" s="15"/>
      <c r="P9" s="15">
        <v>801694.6314666667</v>
      </c>
      <c r="Q9" s="15"/>
      <c r="R9" s="15"/>
      <c r="S9" s="21">
        <v>79.07595261011204</v>
      </c>
      <c r="T9" s="15">
        <v>690</v>
      </c>
      <c r="U9" s="15">
        <v>210000</v>
      </c>
      <c r="V9" s="15">
        <f t="shared" si="3"/>
        <v>6.6546349760029075</v>
      </c>
      <c r="W9" s="15">
        <v>5.3896800000000002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1407</v>
      </c>
      <c r="AF9" s="22" t="s">
        <v>5</v>
      </c>
      <c r="AG9" s="17">
        <f t="shared" si="4"/>
        <v>426.1940802636687</v>
      </c>
      <c r="AH9" s="17">
        <v>6674.3752941734201</v>
      </c>
      <c r="AI9" s="62">
        <v>6.6881446202844934</v>
      </c>
      <c r="AJ9" s="17">
        <f t="shared" si="5"/>
        <v>0.99749170173112212</v>
      </c>
      <c r="AK9" s="15">
        <f t="shared" si="6"/>
        <v>0.80991369465576613</v>
      </c>
      <c r="AL9" s="5">
        <v>26.521000000000001</v>
      </c>
      <c r="AM9">
        <v>6.8571999999999997</v>
      </c>
      <c r="AN9">
        <f t="shared" si="0"/>
        <v>0.97534629590568944</v>
      </c>
      <c r="AO9" s="5">
        <f t="shared" si="1"/>
        <v>1.7391304347826086</v>
      </c>
      <c r="AP9" s="5">
        <f t="shared" si="2"/>
        <v>6.6881446202844934</v>
      </c>
    </row>
    <row r="10" spans="1:42" ht="15">
      <c r="A10" s="15">
        <v>5</v>
      </c>
      <c r="B10" s="20" t="s">
        <v>1312</v>
      </c>
      <c r="C10" s="20">
        <v>46</v>
      </c>
      <c r="D10" s="15">
        <v>46</v>
      </c>
      <c r="E10" s="15">
        <v>80</v>
      </c>
      <c r="F10" s="15">
        <v>5.2</v>
      </c>
      <c r="G10" s="15">
        <v>5.2</v>
      </c>
      <c r="H10" s="15">
        <v>3.8</v>
      </c>
      <c r="I10" s="15">
        <v>5</v>
      </c>
      <c r="J10" s="15">
        <v>5</v>
      </c>
      <c r="K10" s="15">
        <v>2357.4397642955651</v>
      </c>
      <c r="L10" s="15">
        <v>762.64</v>
      </c>
      <c r="M10" s="15"/>
      <c r="N10" s="15"/>
      <c r="O10" s="15"/>
      <c r="P10" s="15">
        <v>801694.6314666667</v>
      </c>
      <c r="Q10" s="15"/>
      <c r="R10" s="15"/>
      <c r="S10" s="21">
        <v>55.124042679936615</v>
      </c>
      <c r="T10" s="15">
        <v>690</v>
      </c>
      <c r="U10" s="15">
        <v>210000</v>
      </c>
      <c r="V10" s="15">
        <f t="shared" si="3"/>
        <v>9.5461358495669213</v>
      </c>
      <c r="W10" s="15">
        <v>5.1079800000000004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1408</v>
      </c>
      <c r="AF10" s="22" t="s">
        <v>5</v>
      </c>
      <c r="AG10" s="17">
        <f t="shared" si="4"/>
        <v>281.57250752826263</v>
      </c>
      <c r="AH10" s="17">
        <v>4652.7235706153424</v>
      </c>
      <c r="AI10" s="62">
        <v>5.4238259632390831</v>
      </c>
      <c r="AJ10" s="17">
        <f t="shared" si="5"/>
        <v>1.3266639633023927</v>
      </c>
      <c r="AK10" s="15">
        <f t="shared" si="6"/>
        <v>0.53508352285094851</v>
      </c>
      <c r="AL10" s="5">
        <v>26.521000000000001</v>
      </c>
      <c r="AM10">
        <v>5.5839999999999996</v>
      </c>
      <c r="AN10">
        <f t="shared" si="0"/>
        <v>0.97131553782934876</v>
      </c>
      <c r="AO10" s="5">
        <f t="shared" si="1"/>
        <v>1.7391304347826086</v>
      </c>
      <c r="AP10" s="5">
        <f t="shared" si="2"/>
        <v>5.4238259632390831</v>
      </c>
    </row>
    <row r="11" spans="1:42" ht="15">
      <c r="A11" s="15">
        <v>6</v>
      </c>
      <c r="B11" s="20" t="s">
        <v>1313</v>
      </c>
      <c r="C11" s="20">
        <v>46</v>
      </c>
      <c r="D11" s="15">
        <v>46</v>
      </c>
      <c r="E11" s="15">
        <v>80</v>
      </c>
      <c r="F11" s="15">
        <v>5.2</v>
      </c>
      <c r="G11" s="15">
        <v>5.2</v>
      </c>
      <c r="H11" s="15">
        <v>3.8</v>
      </c>
      <c r="I11" s="15">
        <v>5</v>
      </c>
      <c r="J11" s="15">
        <v>5</v>
      </c>
      <c r="K11" s="15">
        <v>2960.0935386267615</v>
      </c>
      <c r="L11" s="15">
        <v>762.64</v>
      </c>
      <c r="M11" s="15"/>
      <c r="N11" s="15"/>
      <c r="O11" s="15"/>
      <c r="P11" s="15">
        <v>801694.6314666667</v>
      </c>
      <c r="Q11" s="15"/>
      <c r="R11" s="15"/>
      <c r="S11" s="21">
        <v>38.854275512125639</v>
      </c>
      <c r="T11" s="15">
        <v>690</v>
      </c>
      <c r="U11" s="15">
        <v>210000</v>
      </c>
      <c r="V11" s="15">
        <f t="shared" si="3"/>
        <v>13.543467046136962</v>
      </c>
      <c r="W11" s="15">
        <v>4.73149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1409</v>
      </c>
      <c r="AF11" s="22" t="s">
        <v>5</v>
      </c>
      <c r="AG11" s="17">
        <f t="shared" si="4"/>
        <v>183.83861604286733</v>
      </c>
      <c r="AH11" s="17">
        <v>3279.480145244263</v>
      </c>
      <c r="AI11" s="62">
        <v>4.8806574786679739</v>
      </c>
      <c r="AJ11" s="17">
        <f t="shared" si="5"/>
        <v>1.6658111418909738</v>
      </c>
      <c r="AK11" s="15">
        <f t="shared" si="6"/>
        <v>0.34935589121173921</v>
      </c>
      <c r="AL11" s="5">
        <v>26.521000000000001</v>
      </c>
      <c r="AM11">
        <v>5.0347</v>
      </c>
      <c r="AN11">
        <f t="shared" si="0"/>
        <v>0.96940383313166112</v>
      </c>
      <c r="AO11" s="5">
        <f t="shared" si="1"/>
        <v>1.7391304347826086</v>
      </c>
      <c r="AP11" s="5">
        <f t="shared" si="2"/>
        <v>4.8806574786679739</v>
      </c>
    </row>
    <row r="12" spans="1:42" ht="15">
      <c r="A12" s="15">
        <v>7</v>
      </c>
      <c r="B12" s="20" t="s">
        <v>1314</v>
      </c>
      <c r="C12" s="20">
        <v>46</v>
      </c>
      <c r="D12" s="15">
        <v>46</v>
      </c>
      <c r="E12" s="15">
        <v>80</v>
      </c>
      <c r="F12" s="15">
        <v>5.2</v>
      </c>
      <c r="G12" s="15">
        <v>5.2</v>
      </c>
      <c r="H12" s="15">
        <v>3.8</v>
      </c>
      <c r="I12" s="15">
        <v>5</v>
      </c>
      <c r="J12" s="15">
        <v>5</v>
      </c>
      <c r="K12" s="15">
        <v>3545.0222019482176</v>
      </c>
      <c r="L12" s="15">
        <v>762.64</v>
      </c>
      <c r="M12" s="15"/>
      <c r="N12" s="15"/>
      <c r="O12" s="15"/>
      <c r="P12" s="15">
        <v>801694.6314666667</v>
      </c>
      <c r="Q12" s="15"/>
      <c r="R12" s="15"/>
      <c r="S12" s="16">
        <v>28.731774927416819</v>
      </c>
      <c r="T12" s="15">
        <v>690</v>
      </c>
      <c r="U12" s="15">
        <v>210000</v>
      </c>
      <c r="V12" s="15">
        <f t="shared" si="3"/>
        <v>18.314970144704208</v>
      </c>
      <c r="W12" s="15">
        <v>4.4415100000000001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1410</v>
      </c>
      <c r="AF12" s="22" t="s">
        <v>5</v>
      </c>
      <c r="AG12" s="17">
        <f t="shared" si="4"/>
        <v>127.61246565787107</v>
      </c>
      <c r="AH12" s="17">
        <v>2425.0943858851406</v>
      </c>
      <c r="AI12" s="62">
        <v>4.6017989523728104</v>
      </c>
      <c r="AJ12" s="17">
        <f t="shared" si="5"/>
        <v>1.9949834034622442</v>
      </c>
      <c r="AK12" s="15">
        <f t="shared" si="6"/>
        <v>0.24250708381767508</v>
      </c>
      <c r="AL12" s="5">
        <v>26.521000000000001</v>
      </c>
      <c r="AM12">
        <v>4.7522000000000002</v>
      </c>
      <c r="AN12">
        <f t="shared" si="0"/>
        <v>0.96835127990674008</v>
      </c>
      <c r="AO12" s="5">
        <f t="shared" si="1"/>
        <v>1.7391304347826086</v>
      </c>
      <c r="AP12" s="5">
        <f t="shared" si="2"/>
        <v>4.6017989523728104</v>
      </c>
    </row>
    <row r="13" spans="1:42" ht="15">
      <c r="A13" s="15">
        <v>8</v>
      </c>
      <c r="B13" s="20" t="s">
        <v>1315</v>
      </c>
      <c r="C13" s="20">
        <v>46</v>
      </c>
      <c r="D13" s="15">
        <v>46</v>
      </c>
      <c r="E13" s="15">
        <v>80</v>
      </c>
      <c r="F13" s="15">
        <v>5.2</v>
      </c>
      <c r="G13" s="15">
        <v>5.2</v>
      </c>
      <c r="H13" s="15">
        <v>3.8</v>
      </c>
      <c r="I13" s="15">
        <v>5</v>
      </c>
      <c r="J13" s="15">
        <v>5</v>
      </c>
      <c r="K13" s="15">
        <v>4431.2777524352723</v>
      </c>
      <c r="L13" s="15">
        <v>762.64</v>
      </c>
      <c r="M13" s="15"/>
      <c r="N13" s="15"/>
      <c r="O13" s="15"/>
      <c r="P13" s="15">
        <v>801694.6314666667</v>
      </c>
      <c r="Q13" s="15"/>
      <c r="R13" s="15"/>
      <c r="S13" s="16">
        <v>19.400163552449726</v>
      </c>
      <c r="T13" s="15">
        <v>690</v>
      </c>
      <c r="U13" s="15">
        <v>210000</v>
      </c>
      <c r="V13" s="15">
        <f t="shared" si="3"/>
        <v>27.124596067312648</v>
      </c>
      <c r="W13" s="15">
        <v>4.1993099999999997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1411</v>
      </c>
      <c r="AF13" s="22" t="s">
        <v>5</v>
      </c>
      <c r="AG13" s="17">
        <f t="shared" si="4"/>
        <v>81.467300807437653</v>
      </c>
      <c r="AH13" s="17">
        <v>1637.4633253654408</v>
      </c>
      <c r="AI13" s="62">
        <v>4.3617892652366628</v>
      </c>
      <c r="AJ13" s="17">
        <f t="shared" si="5"/>
        <v>2.4937292543278056</v>
      </c>
      <c r="AK13" s="15">
        <f t="shared" si="6"/>
        <v>0.15481557732985049</v>
      </c>
      <c r="AL13" s="5">
        <v>26.521000000000001</v>
      </c>
      <c r="AM13">
        <v>4.5082000000000004</v>
      </c>
      <c r="AN13">
        <f t="shared" si="0"/>
        <v>0.96752346063543371</v>
      </c>
      <c r="AO13" s="5">
        <f t="shared" si="1"/>
        <v>1.7391304347826086</v>
      </c>
      <c r="AP13" s="5">
        <f t="shared" si="2"/>
        <v>4.3617892652366628</v>
      </c>
    </row>
    <row r="14" spans="1:42" ht="15">
      <c r="A14" s="15">
        <v>9</v>
      </c>
      <c r="B14" s="20" t="s">
        <v>1316</v>
      </c>
      <c r="C14" s="20">
        <v>55</v>
      </c>
      <c r="D14" s="15">
        <v>55</v>
      </c>
      <c r="E14" s="15">
        <v>100</v>
      </c>
      <c r="F14" s="15">
        <v>5.7</v>
      </c>
      <c r="G14" s="15">
        <v>5.7</v>
      </c>
      <c r="H14" s="15">
        <v>4.0999999999999996</v>
      </c>
      <c r="I14" s="15">
        <v>7</v>
      </c>
      <c r="J14" s="15">
        <v>7</v>
      </c>
      <c r="K14" s="15">
        <v>667.73610203832015</v>
      </c>
      <c r="L14" s="15">
        <v>1013.6300000000001</v>
      </c>
      <c r="M14" s="15"/>
      <c r="N14" s="15"/>
      <c r="O14" s="15"/>
      <c r="P14" s="15">
        <v>1680406.4248916672</v>
      </c>
      <c r="Q14" s="15"/>
      <c r="R14" s="15"/>
      <c r="S14" s="15">
        <v>185.29518163992853</v>
      </c>
      <c r="T14" s="15">
        <v>690</v>
      </c>
      <c r="U14" s="15">
        <v>210000</v>
      </c>
      <c r="V14" s="15">
        <f t="shared" si="3"/>
        <v>3.7745433734974583</v>
      </c>
      <c r="W14" s="15">
        <v>4.0908899999999999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1412</v>
      </c>
      <c r="AF14" s="22" t="s">
        <v>5</v>
      </c>
      <c r="AG14" s="17">
        <f t="shared" si="4"/>
        <v>758.02220561896718</v>
      </c>
      <c r="AH14" s="17">
        <v>9045.6442457914309</v>
      </c>
      <c r="AI14" s="62">
        <v>42.156013228946954</v>
      </c>
      <c r="AJ14" s="17">
        <f t="shared" si="5"/>
        <v>0.29922814760714123</v>
      </c>
      <c r="AK14" s="15">
        <f t="shared" si="6"/>
        <v>1.0838105686435437</v>
      </c>
      <c r="AL14" s="56">
        <v>15.672000000000001</v>
      </c>
      <c r="AM14">
        <f>AI14</f>
        <v>42.156013228946954</v>
      </c>
      <c r="AN14" s="57">
        <f t="shared" si="0"/>
        <v>1</v>
      </c>
      <c r="AO14" s="5">
        <f t="shared" si="1"/>
        <v>1.8181818181818181</v>
      </c>
      <c r="AP14" s="5">
        <f t="shared" si="2"/>
        <v>42.156013228946954</v>
      </c>
    </row>
    <row r="15" spans="1:42" ht="15">
      <c r="A15" s="15">
        <v>10</v>
      </c>
      <c r="B15" s="20" t="s">
        <v>1317</v>
      </c>
      <c r="C15" s="20">
        <v>55</v>
      </c>
      <c r="D15" s="15">
        <v>55</v>
      </c>
      <c r="E15" s="15">
        <v>100</v>
      </c>
      <c r="F15" s="15">
        <v>5.7</v>
      </c>
      <c r="G15" s="15">
        <v>5.7</v>
      </c>
      <c r="H15" s="15">
        <v>4.0999999999999996</v>
      </c>
      <c r="I15" s="15">
        <v>7</v>
      </c>
      <c r="J15" s="15">
        <v>7</v>
      </c>
      <c r="K15" s="15">
        <v>1112.8935033972002</v>
      </c>
      <c r="L15" s="15">
        <v>1013.6300000000001</v>
      </c>
      <c r="M15" s="15"/>
      <c r="N15" s="15"/>
      <c r="O15" s="15"/>
      <c r="P15" s="15">
        <v>1680406.4248916672</v>
      </c>
      <c r="Q15" s="15"/>
      <c r="R15" s="15"/>
      <c r="S15" s="15">
        <v>164.57097296070683</v>
      </c>
      <c r="T15" s="15">
        <v>690</v>
      </c>
      <c r="U15" s="15">
        <v>210000</v>
      </c>
      <c r="V15" s="15">
        <f t="shared" si="3"/>
        <v>4.2498667135363588</v>
      </c>
      <c r="W15" s="15">
        <v>4.4684699999999999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1413</v>
      </c>
      <c r="AF15" s="22" t="s">
        <v>5</v>
      </c>
      <c r="AG15" s="17">
        <f t="shared" si="4"/>
        <v>735.38045554572966</v>
      </c>
      <c r="AH15" s="17">
        <v>8033.9405558807684</v>
      </c>
      <c r="AI15" s="62">
        <v>17.087279461619744</v>
      </c>
      <c r="AJ15" s="17">
        <f t="shared" si="5"/>
        <v>0.4987135793452353</v>
      </c>
      <c r="AK15" s="15">
        <f t="shared" si="6"/>
        <v>1.0514376805671015</v>
      </c>
      <c r="AL15" s="5">
        <v>15.672000000000001</v>
      </c>
      <c r="AM15">
        <v>17.068000000000001</v>
      </c>
      <c r="AN15">
        <f t="shared" si="0"/>
        <v>1.0011295677068046</v>
      </c>
      <c r="AO15" s="5">
        <f t="shared" si="1"/>
        <v>1.8181818181818181</v>
      </c>
      <c r="AP15" s="5">
        <f t="shared" si="2"/>
        <v>17.087279461619744</v>
      </c>
    </row>
    <row r="16" spans="1:42" ht="15">
      <c r="A16" s="15">
        <v>11</v>
      </c>
      <c r="B16" s="20" t="s">
        <v>1318</v>
      </c>
      <c r="C16" s="20">
        <v>55</v>
      </c>
      <c r="D16" s="15">
        <v>55</v>
      </c>
      <c r="E16" s="15">
        <v>100</v>
      </c>
      <c r="F16" s="15">
        <v>5.7</v>
      </c>
      <c r="G16" s="15">
        <v>5.7</v>
      </c>
      <c r="H16" s="15">
        <v>4.0999999999999996</v>
      </c>
      <c r="I16" s="15">
        <v>7</v>
      </c>
      <c r="J16" s="15">
        <v>7</v>
      </c>
      <c r="K16" s="15">
        <v>1669.3402550958003</v>
      </c>
      <c r="L16" s="15">
        <v>1013.63</v>
      </c>
      <c r="M16" s="15"/>
      <c r="N16" s="15"/>
      <c r="O16" s="15"/>
      <c r="P16" s="15">
        <v>1680406.424891667</v>
      </c>
      <c r="Q16" s="15"/>
      <c r="R16" s="15"/>
      <c r="S16" s="15">
        <v>135.39398860643024</v>
      </c>
      <c r="T16" s="15">
        <v>690</v>
      </c>
      <c r="U16" s="15">
        <v>210000</v>
      </c>
      <c r="V16" s="15">
        <f t="shared" si="3"/>
        <v>5.1656998009938473</v>
      </c>
      <c r="W16" s="15">
        <v>5.1087800000000003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1414</v>
      </c>
      <c r="AF16" s="22" t="s">
        <v>5</v>
      </c>
      <c r="AG16" s="17">
        <f t="shared" si="4"/>
        <v>691.69810111275876</v>
      </c>
      <c r="AH16" s="17">
        <v>6609.5936392584281</v>
      </c>
      <c r="AI16" s="62">
        <v>9.2309045137053864</v>
      </c>
      <c r="AJ16" s="17">
        <f t="shared" si="5"/>
        <v>0.74807036901785295</v>
      </c>
      <c r="AK16" s="15">
        <f t="shared" si="6"/>
        <v>0.98898120231785513</v>
      </c>
      <c r="AL16" s="5">
        <v>15.672000000000001</v>
      </c>
      <c r="AM16">
        <v>9.4428000000000001</v>
      </c>
      <c r="AN16">
        <f t="shared" si="0"/>
        <v>0.97756010015094952</v>
      </c>
      <c r="AO16" s="5">
        <f t="shared" si="1"/>
        <v>1.8181818181818181</v>
      </c>
      <c r="AP16" s="5">
        <f t="shared" si="2"/>
        <v>9.2309045137053864</v>
      </c>
    </row>
    <row r="17" spans="1:42" ht="15">
      <c r="A17" s="15">
        <v>12</v>
      </c>
      <c r="B17" s="20" t="s">
        <v>1319</v>
      </c>
      <c r="C17" s="20">
        <v>55</v>
      </c>
      <c r="D17" s="15">
        <v>55</v>
      </c>
      <c r="E17" s="15">
        <v>100</v>
      </c>
      <c r="F17" s="15">
        <v>5.7</v>
      </c>
      <c r="G17" s="15">
        <v>5.7</v>
      </c>
      <c r="H17" s="15">
        <v>4.0999999999999996</v>
      </c>
      <c r="I17" s="15">
        <v>7</v>
      </c>
      <c r="J17" s="15">
        <v>7</v>
      </c>
      <c r="K17" s="15">
        <v>2225.7870067944004</v>
      </c>
      <c r="L17" s="15">
        <v>1013.63</v>
      </c>
      <c r="M17" s="15"/>
      <c r="N17" s="15"/>
      <c r="O17" s="15"/>
      <c r="P17" s="15">
        <v>1680406.424891667</v>
      </c>
      <c r="Q17" s="15"/>
      <c r="R17" s="15"/>
      <c r="S17" s="15">
        <v>105.40834701659698</v>
      </c>
      <c r="T17" s="15">
        <v>690</v>
      </c>
      <c r="U17" s="15">
        <v>210000</v>
      </c>
      <c r="V17" s="15">
        <f t="shared" si="3"/>
        <v>6.6351927508157944</v>
      </c>
      <c r="W17" s="15">
        <v>5.4536199999999999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1415</v>
      </c>
      <c r="AF17" s="22" t="s">
        <v>5</v>
      </c>
      <c r="AG17" s="17">
        <f t="shared" si="4"/>
        <v>574.85706945665356</v>
      </c>
      <c r="AH17" s="17">
        <v>5145.7701123708239</v>
      </c>
      <c r="AI17" s="62">
        <v>6.6694675655228028</v>
      </c>
      <c r="AJ17" s="17">
        <f t="shared" si="5"/>
        <v>0.99742715869047061</v>
      </c>
      <c r="AK17" s="15">
        <f t="shared" si="6"/>
        <v>0.82192337205719901</v>
      </c>
      <c r="AL17" s="5">
        <v>15.672000000000001</v>
      </c>
      <c r="AM17">
        <v>6.8487</v>
      </c>
      <c r="AN17">
        <f t="shared" si="0"/>
        <v>0.97382971447468902</v>
      </c>
      <c r="AO17" s="5">
        <f t="shared" si="1"/>
        <v>1.8181818181818181</v>
      </c>
      <c r="AP17" s="5">
        <f t="shared" si="2"/>
        <v>6.6694675655228028</v>
      </c>
    </row>
    <row r="18" spans="1:42" ht="15">
      <c r="A18" s="15">
        <v>13</v>
      </c>
      <c r="B18" s="20" t="s">
        <v>1320</v>
      </c>
      <c r="C18" s="20">
        <v>55</v>
      </c>
      <c r="D18" s="15">
        <v>55</v>
      </c>
      <c r="E18" s="15">
        <v>100</v>
      </c>
      <c r="F18" s="15">
        <v>5.7</v>
      </c>
      <c r="G18" s="15">
        <v>5.7</v>
      </c>
      <c r="H18" s="15">
        <v>4.0999999999999996</v>
      </c>
      <c r="I18" s="15">
        <v>7</v>
      </c>
      <c r="J18" s="15">
        <v>7</v>
      </c>
      <c r="K18" s="15">
        <v>2960.296719036553</v>
      </c>
      <c r="L18" s="15">
        <v>1013.63</v>
      </c>
      <c r="M18" s="15"/>
      <c r="N18" s="15"/>
      <c r="O18" s="15"/>
      <c r="P18" s="15">
        <v>1680406.424891667</v>
      </c>
      <c r="Q18" s="15"/>
      <c r="R18" s="15"/>
      <c r="S18" s="15">
        <v>73.480420127388086</v>
      </c>
      <c r="T18" s="15">
        <v>690</v>
      </c>
      <c r="U18" s="15">
        <v>210000</v>
      </c>
      <c r="V18" s="15">
        <f t="shared" si="3"/>
        <v>9.5182457964650826</v>
      </c>
      <c r="W18" s="15">
        <v>5.17408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1416</v>
      </c>
      <c r="AF18" s="22" t="s">
        <v>5</v>
      </c>
      <c r="AG18" s="17">
        <f t="shared" si="4"/>
        <v>380.19357217271613</v>
      </c>
      <c r="AH18" s="17">
        <v>3587.129107303329</v>
      </c>
      <c r="AI18" s="62">
        <v>5.4086795960050269</v>
      </c>
      <c r="AJ18" s="17">
        <f t="shared" si="5"/>
        <v>1.3265781210583261</v>
      </c>
      <c r="AK18" s="15">
        <f t="shared" si="6"/>
        <v>0.54359596407161148</v>
      </c>
      <c r="AL18" s="5">
        <v>15.672000000000001</v>
      </c>
      <c r="AM18">
        <v>5.5804</v>
      </c>
      <c r="AN18">
        <f t="shared" si="0"/>
        <v>0.96922793993352208</v>
      </c>
      <c r="AO18" s="5">
        <f t="shared" si="1"/>
        <v>1.8181818181818181</v>
      </c>
      <c r="AP18" s="5">
        <f t="shared" si="2"/>
        <v>5.4086795960050269</v>
      </c>
    </row>
    <row r="19" spans="1:42" ht="15">
      <c r="A19" s="15">
        <v>14</v>
      </c>
      <c r="B19" s="20" t="s">
        <v>1321</v>
      </c>
      <c r="C19" s="20">
        <v>55</v>
      </c>
      <c r="D19" s="15">
        <v>55</v>
      </c>
      <c r="E19" s="15">
        <v>100</v>
      </c>
      <c r="F19" s="15">
        <v>5.7</v>
      </c>
      <c r="G19" s="15">
        <v>5.7</v>
      </c>
      <c r="H19" s="15">
        <v>4.0999999999999996</v>
      </c>
      <c r="I19" s="15">
        <v>7</v>
      </c>
      <c r="J19" s="15">
        <v>7</v>
      </c>
      <c r="K19" s="15">
        <v>3717.0643013466483</v>
      </c>
      <c r="L19" s="15">
        <v>1013.63</v>
      </c>
      <c r="M19" s="15"/>
      <c r="N19" s="15"/>
      <c r="O19" s="15"/>
      <c r="P19" s="15">
        <v>1680406.424891667</v>
      </c>
      <c r="Q19" s="15"/>
      <c r="R19" s="15"/>
      <c r="S19" s="15">
        <v>51.792799467797686</v>
      </c>
      <c r="T19" s="15">
        <v>690</v>
      </c>
      <c r="U19" s="15">
        <v>210000</v>
      </c>
      <c r="V19" s="15">
        <f t="shared" si="3"/>
        <v>13.503898363996655</v>
      </c>
      <c r="W19" s="15">
        <v>4.7915700000000001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1417</v>
      </c>
      <c r="AF19" s="22" t="s">
        <v>5</v>
      </c>
      <c r="AG19" s="17">
        <f t="shared" si="4"/>
        <v>248.16882414591535</v>
      </c>
      <c r="AH19" s="17">
        <v>2528.3940701151973</v>
      </c>
      <c r="AI19" s="62">
        <v>4.8670279427985399</v>
      </c>
      <c r="AJ19" s="17">
        <f t="shared" si="5"/>
        <v>1.6657033550130858</v>
      </c>
      <c r="AK19" s="15">
        <f t="shared" si="6"/>
        <v>0.35482864805729125</v>
      </c>
      <c r="AL19" s="5">
        <v>15.672000000000001</v>
      </c>
      <c r="AM19">
        <v>5.0331999999999999</v>
      </c>
      <c r="AN19">
        <f t="shared" si="0"/>
        <v>0.96698480942512521</v>
      </c>
      <c r="AO19" s="5">
        <f t="shared" si="1"/>
        <v>1.8181818181818181</v>
      </c>
      <c r="AP19" s="5">
        <f t="shared" si="2"/>
        <v>4.8670279427985399</v>
      </c>
    </row>
    <row r="20" spans="1:42" ht="15">
      <c r="A20" s="15">
        <v>15</v>
      </c>
      <c r="B20" s="20" t="s">
        <v>1322</v>
      </c>
      <c r="C20" s="20">
        <v>55</v>
      </c>
      <c r="D20" s="15">
        <v>55</v>
      </c>
      <c r="E20" s="15">
        <v>100</v>
      </c>
      <c r="F20" s="15">
        <v>5.7</v>
      </c>
      <c r="G20" s="15">
        <v>5.7</v>
      </c>
      <c r="H20" s="15">
        <v>4.0999999999999996</v>
      </c>
      <c r="I20" s="15">
        <v>7</v>
      </c>
      <c r="J20" s="15">
        <v>7</v>
      </c>
      <c r="K20" s="15">
        <v>4451.5740135888009</v>
      </c>
      <c r="L20" s="15">
        <v>1013.63</v>
      </c>
      <c r="M20" s="15"/>
      <c r="N20" s="15"/>
      <c r="O20" s="15"/>
      <c r="P20" s="15">
        <v>1680406.424891667</v>
      </c>
      <c r="Q20" s="15"/>
      <c r="R20" s="15"/>
      <c r="S20" s="15">
        <v>38.29949310739795</v>
      </c>
      <c r="T20" s="15">
        <v>690</v>
      </c>
      <c r="U20" s="15">
        <v>210000</v>
      </c>
      <c r="V20" s="15">
        <f t="shared" si="3"/>
        <v>18.261461007819513</v>
      </c>
      <c r="W20" s="15">
        <v>4.4968599999999999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1418</v>
      </c>
      <c r="AF20" s="22" t="s">
        <v>5</v>
      </c>
      <c r="AG20" s="17">
        <f t="shared" si="4"/>
        <v>172.22745857493354</v>
      </c>
      <c r="AH20" s="17">
        <v>1869.6848260031022</v>
      </c>
      <c r="AI20" s="62">
        <v>4.5889481460707016</v>
      </c>
      <c r="AJ20" s="17">
        <f t="shared" si="5"/>
        <v>1.9948543173809412</v>
      </c>
      <c r="AK20" s="15">
        <f t="shared" si="6"/>
        <v>0.24624864341765729</v>
      </c>
      <c r="AL20" s="5">
        <v>15.672000000000001</v>
      </c>
      <c r="AM20">
        <v>4.7511999999999999</v>
      </c>
      <c r="AN20">
        <f t="shared" si="0"/>
        <v>0.96585034224421229</v>
      </c>
      <c r="AO20" s="5">
        <f t="shared" si="1"/>
        <v>1.8181818181818181</v>
      </c>
      <c r="AP20" s="5">
        <f t="shared" si="2"/>
        <v>4.5889481460707016</v>
      </c>
    </row>
    <row r="21" spans="1:42" ht="15">
      <c r="A21" s="15">
        <v>16</v>
      </c>
      <c r="B21" s="20" t="s">
        <v>1323</v>
      </c>
      <c r="C21" s="20">
        <v>55</v>
      </c>
      <c r="D21" s="15">
        <v>55</v>
      </c>
      <c r="E21" s="15">
        <v>100</v>
      </c>
      <c r="F21" s="15">
        <v>5.7</v>
      </c>
      <c r="G21" s="15">
        <v>5.7</v>
      </c>
      <c r="H21" s="15">
        <v>4.0999999999999996</v>
      </c>
      <c r="I21" s="15">
        <v>7</v>
      </c>
      <c r="J21" s="15">
        <v>7</v>
      </c>
      <c r="K21" s="15">
        <v>5564.4675169860011</v>
      </c>
      <c r="L21" s="15">
        <v>1013.63</v>
      </c>
      <c r="M21" s="15"/>
      <c r="N21" s="15"/>
      <c r="O21" s="15"/>
      <c r="P21" s="15">
        <v>1680406.424891667</v>
      </c>
      <c r="Q21" s="15"/>
      <c r="R21" s="15"/>
      <c r="S21" s="15">
        <v>25.860443085624684</v>
      </c>
      <c r="T21" s="15">
        <v>690</v>
      </c>
      <c r="U21" s="15">
        <v>210000</v>
      </c>
      <c r="V21" s="15">
        <f t="shared" si="3"/>
        <v>27.045348669558773</v>
      </c>
      <c r="W21" s="15">
        <v>4.25129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1419</v>
      </c>
      <c r="AF21" s="22" t="s">
        <v>5</v>
      </c>
      <c r="AG21" s="17">
        <f t="shared" si="4"/>
        <v>109.94024308548536</v>
      </c>
      <c r="AH21" s="17">
        <v>1262.4417220177211</v>
      </c>
      <c r="AI21" s="62">
        <v>4.3496087007317188</v>
      </c>
      <c r="AJ21" s="17">
        <f t="shared" si="5"/>
        <v>2.4935678967261765</v>
      </c>
      <c r="AK21" s="15">
        <f t="shared" si="6"/>
        <v>0.15719116998425287</v>
      </c>
      <c r="AL21" s="5">
        <v>15.672000000000001</v>
      </c>
      <c r="AM21">
        <v>4.508</v>
      </c>
      <c r="AN21">
        <f t="shared" si="0"/>
        <v>0.96486439679053215</v>
      </c>
      <c r="AO21" s="5">
        <f t="shared" si="1"/>
        <v>1.8181818181818181</v>
      </c>
      <c r="AP21" s="5">
        <f t="shared" si="2"/>
        <v>4.3496087007317188</v>
      </c>
    </row>
    <row r="22" spans="1:42" ht="15">
      <c r="A22" s="15">
        <v>17</v>
      </c>
      <c r="B22" s="20" t="s">
        <v>1324</v>
      </c>
      <c r="C22" s="20">
        <v>64</v>
      </c>
      <c r="D22" s="15">
        <v>64</v>
      </c>
      <c r="E22" s="15">
        <v>120</v>
      </c>
      <c r="F22" s="15">
        <v>6.3</v>
      </c>
      <c r="G22" s="15">
        <v>6.3</v>
      </c>
      <c r="H22" s="15">
        <v>4.4000000000000004</v>
      </c>
      <c r="I22" s="15">
        <v>7</v>
      </c>
      <c r="J22" s="15">
        <v>7</v>
      </c>
      <c r="K22" s="15">
        <v>804.65616635291155</v>
      </c>
      <c r="L22" s="15">
        <v>1306.6800000000003</v>
      </c>
      <c r="M22" s="15"/>
      <c r="N22" s="15"/>
      <c r="O22" s="15"/>
      <c r="P22" s="15">
        <v>3145177.7000999991</v>
      </c>
      <c r="Q22" s="15"/>
      <c r="R22" s="15"/>
      <c r="S22" s="15">
        <v>239.31606397330296</v>
      </c>
      <c r="T22" s="15">
        <v>690</v>
      </c>
      <c r="U22" s="15">
        <v>210000</v>
      </c>
      <c r="V22" s="15">
        <f t="shared" si="3"/>
        <v>3.7674412031972069</v>
      </c>
      <c r="W22" s="15">
        <v>4.0297700000000001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1420</v>
      </c>
      <c r="AF22" s="22" t="s">
        <v>5</v>
      </c>
      <c r="AG22" s="17">
        <f t="shared" si="4"/>
        <v>964.38869511769713</v>
      </c>
      <c r="AH22" s="17">
        <v>7897.5180564418115</v>
      </c>
      <c r="AI22" s="62">
        <v>42.069920269388319</v>
      </c>
      <c r="AJ22" s="17">
        <f t="shared" si="5"/>
        <v>0.29925223117973881</v>
      </c>
      <c r="AK22" s="15">
        <f t="shared" si="6"/>
        <v>1.0696304952497122</v>
      </c>
      <c r="AL22" s="56">
        <v>10.936</v>
      </c>
      <c r="AM22">
        <f>AI22</f>
        <v>42.069920269388319</v>
      </c>
      <c r="AN22" s="57">
        <f t="shared" si="0"/>
        <v>1</v>
      </c>
      <c r="AO22" s="5">
        <f t="shared" si="1"/>
        <v>1.875</v>
      </c>
      <c r="AP22" s="5">
        <f t="shared" si="2"/>
        <v>42.069920269388319</v>
      </c>
    </row>
    <row r="23" spans="1:42" ht="15">
      <c r="A23" s="15">
        <v>18</v>
      </c>
      <c r="B23" s="20" t="s">
        <v>1325</v>
      </c>
      <c r="C23" s="20">
        <v>64</v>
      </c>
      <c r="D23" s="15">
        <v>64</v>
      </c>
      <c r="E23" s="15">
        <v>120</v>
      </c>
      <c r="F23" s="15">
        <v>6.3</v>
      </c>
      <c r="G23" s="15">
        <v>6.3</v>
      </c>
      <c r="H23" s="15">
        <v>4.4000000000000004</v>
      </c>
      <c r="I23" s="15">
        <v>7</v>
      </c>
      <c r="J23" s="15">
        <v>7</v>
      </c>
      <c r="K23" s="15">
        <v>1341.093610588186</v>
      </c>
      <c r="L23" s="15">
        <v>1306.6800000000003</v>
      </c>
      <c r="M23" s="15"/>
      <c r="N23" s="15"/>
      <c r="O23" s="15"/>
      <c r="P23" s="15">
        <v>3145177.7000999991</v>
      </c>
      <c r="Q23" s="15"/>
      <c r="R23" s="15"/>
      <c r="S23" s="15">
        <v>212.54992787533135</v>
      </c>
      <c r="T23" s="15">
        <v>690</v>
      </c>
      <c r="U23" s="15">
        <v>210000</v>
      </c>
      <c r="V23" s="15">
        <f t="shared" si="3"/>
        <v>4.2418701761631672</v>
      </c>
      <c r="W23" s="15">
        <v>4.4036200000000001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1421</v>
      </c>
      <c r="AF23" s="22" t="s">
        <v>5</v>
      </c>
      <c r="AG23" s="17">
        <f t="shared" si="4"/>
        <v>935.9891133903667</v>
      </c>
      <c r="AH23" s="17">
        <v>7014.2257290262514</v>
      </c>
      <c r="AI23" s="62">
        <v>17.052383029367789</v>
      </c>
      <c r="AJ23" s="17">
        <f t="shared" si="5"/>
        <v>0.49875371863289808</v>
      </c>
      <c r="AK23" s="15">
        <f t="shared" si="6"/>
        <v>1.0381317242441253</v>
      </c>
      <c r="AL23" s="5">
        <v>10.936</v>
      </c>
      <c r="AM23">
        <v>17.03</v>
      </c>
      <c r="AN23">
        <f t="shared" si="0"/>
        <v>1.0013143293815494</v>
      </c>
      <c r="AO23" s="5">
        <f t="shared" si="1"/>
        <v>1.875</v>
      </c>
      <c r="AP23" s="5">
        <f t="shared" si="2"/>
        <v>17.052383029367789</v>
      </c>
    </row>
    <row r="24" spans="1:42" ht="15">
      <c r="A24" s="15">
        <v>19</v>
      </c>
      <c r="B24" s="20" t="s">
        <v>1326</v>
      </c>
      <c r="C24" s="20">
        <v>64</v>
      </c>
      <c r="D24" s="15">
        <v>64</v>
      </c>
      <c r="E24" s="15">
        <v>120</v>
      </c>
      <c r="F24" s="15">
        <v>6.3</v>
      </c>
      <c r="G24" s="15">
        <v>6.3</v>
      </c>
      <c r="H24" s="15">
        <v>4.4000000000000004</v>
      </c>
      <c r="I24" s="15">
        <v>7</v>
      </c>
      <c r="J24" s="15">
        <v>7</v>
      </c>
      <c r="K24" s="15">
        <v>2011.6404158822788</v>
      </c>
      <c r="L24" s="15">
        <v>1306.68</v>
      </c>
      <c r="M24" s="15"/>
      <c r="N24" s="15"/>
      <c r="O24" s="15"/>
      <c r="P24" s="15">
        <v>3145177.7000999996</v>
      </c>
      <c r="Q24" s="15"/>
      <c r="R24" s="15"/>
      <c r="S24" s="15">
        <v>174.8666972997799</v>
      </c>
      <c r="T24" s="15">
        <v>690</v>
      </c>
      <c r="U24" s="15">
        <v>210000</v>
      </c>
      <c r="V24" s="15">
        <f t="shared" si="3"/>
        <v>5.1559800346337017</v>
      </c>
      <c r="W24" s="15">
        <v>4.9893400000000003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1422</v>
      </c>
      <c r="AF24" s="22" t="s">
        <v>5</v>
      </c>
      <c r="AG24" s="17">
        <f t="shared" si="4"/>
        <v>872.46940750568388</v>
      </c>
      <c r="AH24" s="17">
        <v>5770.6652719702761</v>
      </c>
      <c r="AI24" s="62">
        <v>9.2120527336598723</v>
      </c>
      <c r="AJ24" s="17">
        <f t="shared" si="5"/>
        <v>0.7481305779493469</v>
      </c>
      <c r="AK24" s="15">
        <f t="shared" si="6"/>
        <v>0.96768024051405388</v>
      </c>
      <c r="AL24" s="5">
        <v>10.936</v>
      </c>
      <c r="AM24">
        <v>9.4004999999999992</v>
      </c>
      <c r="AN24">
        <f t="shared" si="0"/>
        <v>0.97995348477845579</v>
      </c>
      <c r="AO24" s="5">
        <f t="shared" si="1"/>
        <v>1.875</v>
      </c>
      <c r="AP24" s="5">
        <f t="shared" si="2"/>
        <v>9.2120527336598723</v>
      </c>
    </row>
    <row r="25" spans="1:42" ht="15">
      <c r="A25" s="15">
        <v>20</v>
      </c>
      <c r="B25" s="20" t="s">
        <v>1327</v>
      </c>
      <c r="C25" s="20">
        <v>64</v>
      </c>
      <c r="D25" s="15">
        <v>64</v>
      </c>
      <c r="E25" s="15">
        <v>120</v>
      </c>
      <c r="F25" s="15">
        <v>6.3</v>
      </c>
      <c r="G25" s="15">
        <v>6.3</v>
      </c>
      <c r="H25" s="15">
        <v>4.4000000000000004</v>
      </c>
      <c r="I25" s="15">
        <v>7</v>
      </c>
      <c r="J25" s="15">
        <v>7</v>
      </c>
      <c r="K25" s="15">
        <v>2682.1872211763721</v>
      </c>
      <c r="L25" s="15">
        <v>1306.68</v>
      </c>
      <c r="M25" s="15"/>
      <c r="N25" s="15"/>
      <c r="O25" s="15"/>
      <c r="P25" s="15">
        <v>3145177.7000999996</v>
      </c>
      <c r="Q25" s="15"/>
      <c r="R25" s="15"/>
      <c r="S25" s="15">
        <v>136.13905388518862</v>
      </c>
      <c r="T25" s="15">
        <v>690</v>
      </c>
      <c r="U25" s="15">
        <v>210000</v>
      </c>
      <c r="V25" s="15">
        <f t="shared" si="3"/>
        <v>6.6227079906134962</v>
      </c>
      <c r="W25" s="15">
        <v>5.3744199999999998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1423</v>
      </c>
      <c r="AF25" s="22" t="s">
        <v>5</v>
      </c>
      <c r="AG25" s="17">
        <f t="shared" si="4"/>
        <v>731.66845398163537</v>
      </c>
      <c r="AH25" s="17">
        <v>4492.6388074188026</v>
      </c>
      <c r="AI25" s="62">
        <v>6.6558468704566511</v>
      </c>
      <c r="AJ25" s="17">
        <f t="shared" si="5"/>
        <v>0.99750743726579594</v>
      </c>
      <c r="AK25" s="15">
        <f t="shared" si="6"/>
        <v>0.81151396190459835</v>
      </c>
      <c r="AL25" s="5">
        <v>10.936</v>
      </c>
      <c r="AM25">
        <v>6.8559999999999999</v>
      </c>
      <c r="AN25">
        <f t="shared" si="0"/>
        <v>0.97080613629764456</v>
      </c>
      <c r="AO25" s="5">
        <f t="shared" si="1"/>
        <v>1.875</v>
      </c>
      <c r="AP25" s="5">
        <f t="shared" si="2"/>
        <v>6.6558468704566511</v>
      </c>
    </row>
    <row r="26" spans="1:42" ht="15">
      <c r="A26" s="15">
        <v>21</v>
      </c>
      <c r="B26" s="20" t="s">
        <v>1328</v>
      </c>
      <c r="C26" s="20">
        <v>64</v>
      </c>
      <c r="D26" s="15">
        <v>64</v>
      </c>
      <c r="E26" s="15">
        <v>120</v>
      </c>
      <c r="F26" s="15">
        <v>6.3</v>
      </c>
      <c r="G26" s="15">
        <v>6.3</v>
      </c>
      <c r="H26" s="15">
        <v>4.4000000000000004</v>
      </c>
      <c r="I26" s="15">
        <v>7</v>
      </c>
      <c r="J26" s="15">
        <v>7</v>
      </c>
      <c r="K26" s="15">
        <v>3567.3090041645751</v>
      </c>
      <c r="L26" s="15">
        <v>1306.68</v>
      </c>
      <c r="M26" s="15"/>
      <c r="N26" s="15"/>
      <c r="O26" s="15"/>
      <c r="P26" s="15">
        <v>3145177.7000999996</v>
      </c>
      <c r="Q26" s="15"/>
      <c r="R26" s="15"/>
      <c r="S26" s="15">
        <v>94.90287210038197</v>
      </c>
      <c r="T26" s="15">
        <v>690</v>
      </c>
      <c r="U26" s="15">
        <v>210000</v>
      </c>
      <c r="V26" s="15">
        <f t="shared" si="3"/>
        <v>9.5003362916807994</v>
      </c>
      <c r="W26" s="15">
        <v>5.0987600000000004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1424</v>
      </c>
      <c r="AF26" s="22" t="s">
        <v>5</v>
      </c>
      <c r="AG26" s="17">
        <f t="shared" si="4"/>
        <v>483.88696815054362</v>
      </c>
      <c r="AH26" s="17">
        <v>3131.8296547972859</v>
      </c>
      <c r="AI26" s="62">
        <v>5.3976337404305106</v>
      </c>
      <c r="AJ26" s="17">
        <f t="shared" si="5"/>
        <v>1.3266848915635086</v>
      </c>
      <c r="AK26" s="15">
        <f t="shared" si="6"/>
        <v>0.53669258050000335</v>
      </c>
      <c r="AL26" s="5">
        <v>10.936</v>
      </c>
      <c r="AM26">
        <v>5.5891000000000002</v>
      </c>
      <c r="AN26">
        <f t="shared" si="0"/>
        <v>0.96574291754137709</v>
      </c>
      <c r="AO26" s="5">
        <f t="shared" si="1"/>
        <v>1.875</v>
      </c>
      <c r="AP26" s="5">
        <f t="shared" si="2"/>
        <v>5.3976337404305106</v>
      </c>
    </row>
    <row r="27" spans="1:42" ht="15">
      <c r="A27" s="15">
        <v>22</v>
      </c>
      <c r="B27" s="20" t="s">
        <v>1329</v>
      </c>
      <c r="C27" s="20">
        <v>64</v>
      </c>
      <c r="D27" s="15">
        <v>64</v>
      </c>
      <c r="E27" s="15">
        <v>120</v>
      </c>
      <c r="F27" s="15">
        <v>6.3</v>
      </c>
      <c r="G27" s="15">
        <v>6.3</v>
      </c>
      <c r="H27" s="15">
        <v>4.4000000000000004</v>
      </c>
      <c r="I27" s="15">
        <v>7</v>
      </c>
      <c r="J27" s="15">
        <v>7</v>
      </c>
      <c r="K27" s="15">
        <v>4479.2526593645407</v>
      </c>
      <c r="L27" s="15">
        <v>1306.68</v>
      </c>
      <c r="M27" s="15"/>
      <c r="N27" s="15"/>
      <c r="O27" s="15"/>
      <c r="P27" s="15">
        <v>3145177.7000999996</v>
      </c>
      <c r="Q27" s="15"/>
      <c r="R27" s="15"/>
      <c r="S27" s="15">
        <v>66.892451282829285</v>
      </c>
      <c r="T27" s="15">
        <v>690</v>
      </c>
      <c r="U27" s="15">
        <v>210000</v>
      </c>
      <c r="V27" s="15">
        <f t="shared" si="3"/>
        <v>13.47848946644052</v>
      </c>
      <c r="W27" s="15">
        <v>4.7258899999999997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1425</v>
      </c>
      <c r="AF27" s="22" t="s">
        <v>5</v>
      </c>
      <c r="AG27" s="17">
        <f t="shared" si="4"/>
        <v>316.12636659301006</v>
      </c>
      <c r="AH27" s="17">
        <v>2207.4754743782323</v>
      </c>
      <c r="AI27" s="62">
        <v>4.857088273276795</v>
      </c>
      <c r="AJ27" s="17">
        <f t="shared" si="5"/>
        <v>1.665837420233879</v>
      </c>
      <c r="AK27" s="15">
        <f t="shared" si="6"/>
        <v>0.3506246016489295</v>
      </c>
      <c r="AL27" s="5">
        <v>10.936</v>
      </c>
      <c r="AM27">
        <v>5.0420999999999996</v>
      </c>
      <c r="AN27">
        <f t="shared" si="0"/>
        <v>0.96330661297411702</v>
      </c>
      <c r="AO27" s="5">
        <f t="shared" si="1"/>
        <v>1.875</v>
      </c>
      <c r="AP27" s="5">
        <f t="shared" si="2"/>
        <v>4.857088273276795</v>
      </c>
    </row>
    <row r="28" spans="1:42" ht="15">
      <c r="A28" s="15">
        <v>23</v>
      </c>
      <c r="B28" s="20" t="s">
        <v>1330</v>
      </c>
      <c r="C28" s="20">
        <v>64</v>
      </c>
      <c r="D28" s="15">
        <v>64</v>
      </c>
      <c r="E28" s="15">
        <v>120</v>
      </c>
      <c r="F28" s="15">
        <v>6.3</v>
      </c>
      <c r="G28" s="15">
        <v>6.3</v>
      </c>
      <c r="H28" s="15">
        <v>4.4000000000000004</v>
      </c>
      <c r="I28" s="15">
        <v>7</v>
      </c>
      <c r="J28" s="15">
        <v>7</v>
      </c>
      <c r="K28" s="15">
        <v>5364.3744423527442</v>
      </c>
      <c r="L28" s="15">
        <v>1306.68</v>
      </c>
      <c r="M28" s="15"/>
      <c r="N28" s="15"/>
      <c r="O28" s="15"/>
      <c r="P28" s="15">
        <v>3145177.7000999996</v>
      </c>
      <c r="Q28" s="15"/>
      <c r="R28" s="15"/>
      <c r="S28" s="15">
        <v>49.465311841978561</v>
      </c>
      <c r="T28" s="15">
        <v>690</v>
      </c>
      <c r="U28" s="15">
        <v>210000</v>
      </c>
      <c r="V28" s="15">
        <f t="shared" si="3"/>
        <v>18.227100293641588</v>
      </c>
      <c r="W28" s="15">
        <v>4.4353699999999998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1426</v>
      </c>
      <c r="AF28" s="22" t="s">
        <v>5</v>
      </c>
      <c r="AG28" s="17">
        <f t="shared" si="4"/>
        <v>219.39696018455643</v>
      </c>
      <c r="AH28" s="17">
        <v>1632.3734685989571</v>
      </c>
      <c r="AI28" s="62">
        <v>4.579576383968563</v>
      </c>
      <c r="AJ28" s="17">
        <f t="shared" si="5"/>
        <v>1.9950148745315921</v>
      </c>
      <c r="AK28" s="15">
        <f t="shared" si="6"/>
        <v>0.24333930951964156</v>
      </c>
      <c r="AL28" s="5">
        <v>10.936</v>
      </c>
      <c r="AM28">
        <v>4.7602000000000002</v>
      </c>
      <c r="AN28">
        <f t="shared" si="0"/>
        <v>0.96205545648682045</v>
      </c>
      <c r="AO28" s="5">
        <f t="shared" si="1"/>
        <v>1.875</v>
      </c>
      <c r="AP28" s="5">
        <f t="shared" si="2"/>
        <v>4.579576383968563</v>
      </c>
    </row>
    <row r="29" spans="1:42" ht="15">
      <c r="A29" s="15">
        <v>24</v>
      </c>
      <c r="B29" s="20" t="s">
        <v>1331</v>
      </c>
      <c r="C29" s="20">
        <v>64</v>
      </c>
      <c r="D29" s="15">
        <v>64</v>
      </c>
      <c r="E29" s="15">
        <v>120</v>
      </c>
      <c r="F29" s="15">
        <v>6.3</v>
      </c>
      <c r="G29" s="15">
        <v>6.3</v>
      </c>
      <c r="H29" s="15">
        <v>4.4000000000000004</v>
      </c>
      <c r="I29" s="15">
        <v>7</v>
      </c>
      <c r="J29" s="15">
        <v>7</v>
      </c>
      <c r="K29" s="15">
        <v>6705.4680529409297</v>
      </c>
      <c r="L29" s="15">
        <v>1306.68</v>
      </c>
      <c r="M29" s="15"/>
      <c r="N29" s="15"/>
      <c r="O29" s="15"/>
      <c r="P29" s="15">
        <v>3145177.7000999996</v>
      </c>
      <c r="Q29" s="15"/>
      <c r="R29" s="15"/>
      <c r="S29" s="15">
        <v>33.399786206441284</v>
      </c>
      <c r="T29" s="15">
        <v>690</v>
      </c>
      <c r="U29" s="15">
        <v>210000</v>
      </c>
      <c r="V29" s="15">
        <f t="shared" si="3"/>
        <v>26.994460216817828</v>
      </c>
      <c r="W29" s="15">
        <v>4.1932200000000002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1427</v>
      </c>
      <c r="AF29" s="22" t="s">
        <v>5</v>
      </c>
      <c r="AG29" s="17">
        <f t="shared" si="4"/>
        <v>140.05265151657372</v>
      </c>
      <c r="AH29" s="17">
        <v>1102.2052187691497</v>
      </c>
      <c r="AI29" s="62">
        <v>4.340725728712183</v>
      </c>
      <c r="AJ29" s="17">
        <f t="shared" si="5"/>
        <v>2.4937685931644897</v>
      </c>
      <c r="AK29" s="15">
        <f t="shared" si="6"/>
        <v>0.15533631590779431</v>
      </c>
      <c r="AL29" s="5">
        <v>10.936</v>
      </c>
      <c r="AM29">
        <v>4.5171000000000001</v>
      </c>
      <c r="AN29">
        <f t="shared" si="0"/>
        <v>0.96095409194221582</v>
      </c>
      <c r="AO29" s="5">
        <f t="shared" si="1"/>
        <v>1.875</v>
      </c>
      <c r="AP29" s="5">
        <f t="shared" si="2"/>
        <v>4.340725728712183</v>
      </c>
    </row>
    <row r="30" spans="1:42" ht="15">
      <c r="A30" s="15">
        <v>25</v>
      </c>
      <c r="B30" s="20" t="s">
        <v>1332</v>
      </c>
      <c r="C30" s="20">
        <v>82</v>
      </c>
      <c r="D30" s="15">
        <v>82</v>
      </c>
      <c r="E30" s="15">
        <v>160</v>
      </c>
      <c r="F30" s="15">
        <v>7.4</v>
      </c>
      <c r="G30" s="15">
        <v>7.4</v>
      </c>
      <c r="H30" s="15">
        <v>5</v>
      </c>
      <c r="I30" s="15">
        <v>9</v>
      </c>
      <c r="J30" s="15">
        <v>9</v>
      </c>
      <c r="K30" s="15">
        <v>1078.5647580386421</v>
      </c>
      <c r="L30" s="15">
        <v>1976.6000000000006</v>
      </c>
      <c r="M30" s="15"/>
      <c r="N30" s="15"/>
      <c r="O30" s="15"/>
      <c r="P30" s="15">
        <v>8545852.807333339</v>
      </c>
      <c r="Q30" s="15"/>
      <c r="R30" s="15"/>
      <c r="S30" s="15">
        <v>362.93350666370986</v>
      </c>
      <c r="T30" s="15">
        <v>690</v>
      </c>
      <c r="U30" s="15">
        <v>210000</v>
      </c>
      <c r="V30" s="15">
        <f t="shared" si="3"/>
        <v>3.7578619084727616</v>
      </c>
      <c r="W30" s="15">
        <v>4.0149800000000004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1428</v>
      </c>
      <c r="AF30" s="22" t="s">
        <v>5</v>
      </c>
      <c r="AG30" s="17">
        <f t="shared" si="4"/>
        <v>1457.170770584662</v>
      </c>
      <c r="AH30" s="17">
        <v>6358.5403983774268</v>
      </c>
      <c r="AI30" s="62">
        <v>41.952218524765208</v>
      </c>
      <c r="AJ30" s="17">
        <f t="shared" si="5"/>
        <v>0.29929050726081385</v>
      </c>
      <c r="AK30" s="15">
        <f t="shared" si="6"/>
        <v>1.0684213783767629</v>
      </c>
      <c r="AL30" s="56">
        <v>6.1308999999999996</v>
      </c>
      <c r="AM30">
        <f>AI30</f>
        <v>41.952218524765208</v>
      </c>
      <c r="AN30" s="57">
        <f t="shared" si="0"/>
        <v>1</v>
      </c>
      <c r="AO30" s="5">
        <f t="shared" si="1"/>
        <v>1.9512195121951219</v>
      </c>
      <c r="AP30" s="5">
        <f t="shared" si="2"/>
        <v>41.952218524765208</v>
      </c>
    </row>
    <row r="31" spans="1:42" ht="15">
      <c r="A31" s="15">
        <v>26</v>
      </c>
      <c r="B31" s="20" t="s">
        <v>1333</v>
      </c>
      <c r="C31" s="20">
        <v>82</v>
      </c>
      <c r="D31" s="15">
        <v>82</v>
      </c>
      <c r="E31" s="15">
        <v>160</v>
      </c>
      <c r="F31" s="15">
        <v>7.4</v>
      </c>
      <c r="G31" s="15">
        <v>7.4</v>
      </c>
      <c r="H31" s="15">
        <v>5</v>
      </c>
      <c r="I31" s="15">
        <v>9</v>
      </c>
      <c r="J31" s="15">
        <v>9</v>
      </c>
      <c r="K31" s="15">
        <v>1797.6079300644035</v>
      </c>
      <c r="L31" s="15">
        <v>1976.6000000000006</v>
      </c>
      <c r="M31" s="15"/>
      <c r="N31" s="15"/>
      <c r="O31" s="15"/>
      <c r="P31" s="15">
        <v>8545852.807333339</v>
      </c>
      <c r="Q31" s="15"/>
      <c r="R31" s="15"/>
      <c r="S31" s="15">
        <v>322.34146502391997</v>
      </c>
      <c r="T31" s="15">
        <v>690</v>
      </c>
      <c r="U31" s="15">
        <v>210000</v>
      </c>
      <c r="V31" s="15">
        <f t="shared" si="3"/>
        <v>4.2310845733073563</v>
      </c>
      <c r="W31" s="15">
        <v>4.3931300000000002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1429</v>
      </c>
      <c r="AF31" s="30" t="s">
        <v>219</v>
      </c>
      <c r="AG31" s="17">
        <f t="shared" si="4"/>
        <v>1416.0879602405337</v>
      </c>
      <c r="AH31" s="17">
        <v>5647.3739398382841</v>
      </c>
      <c r="AI31" s="62">
        <v>17.004674471336639</v>
      </c>
      <c r="AJ31" s="17">
        <f t="shared" si="5"/>
        <v>0.49881751210135639</v>
      </c>
      <c r="AK31" s="15">
        <f t="shared" si="6"/>
        <v>1.0382987916892372</v>
      </c>
      <c r="AL31" s="5">
        <v>6.1308999999999996</v>
      </c>
      <c r="AM31">
        <v>12.726000000000001</v>
      </c>
      <c r="AN31">
        <f t="shared" si="0"/>
        <v>1.336215187123734</v>
      </c>
      <c r="AO31" s="5">
        <f t="shared" si="1"/>
        <v>1.9512195121951219</v>
      </c>
      <c r="AP31" s="5">
        <f t="shared" si="2"/>
        <v>17.004674471336639</v>
      </c>
    </row>
    <row r="32" spans="1:42" ht="15">
      <c r="A32" s="15">
        <v>27</v>
      </c>
      <c r="B32" s="20" t="s">
        <v>1334</v>
      </c>
      <c r="C32" s="20">
        <v>82</v>
      </c>
      <c r="D32" s="15">
        <v>82</v>
      </c>
      <c r="E32" s="15">
        <v>160</v>
      </c>
      <c r="F32" s="15">
        <v>7.4</v>
      </c>
      <c r="G32" s="15">
        <v>7.4</v>
      </c>
      <c r="H32" s="15">
        <v>5</v>
      </c>
      <c r="I32" s="15">
        <v>9</v>
      </c>
      <c r="J32" s="15">
        <v>9</v>
      </c>
      <c r="K32" s="15">
        <v>2696.4118950966053</v>
      </c>
      <c r="L32" s="15">
        <v>1976.5999999999995</v>
      </c>
      <c r="M32" s="15"/>
      <c r="N32" s="15"/>
      <c r="O32" s="15"/>
      <c r="P32" s="15">
        <v>8545852.8073333371</v>
      </c>
      <c r="Q32" s="15"/>
      <c r="R32" s="15"/>
      <c r="S32" s="15">
        <v>265.19316169595066</v>
      </c>
      <c r="T32" s="15">
        <v>690</v>
      </c>
      <c r="U32" s="15">
        <v>210000</v>
      </c>
      <c r="V32" s="15">
        <f t="shared" si="3"/>
        <v>5.142870167835194</v>
      </c>
      <c r="W32" s="15">
        <v>4.9777399999999998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1430</v>
      </c>
      <c r="AF32" s="22" t="s">
        <v>5</v>
      </c>
      <c r="AG32" s="17">
        <f t="shared" si="4"/>
        <v>1320.0626087004014</v>
      </c>
      <c r="AH32" s="17">
        <v>4646.1442690095619</v>
      </c>
      <c r="AI32" s="62">
        <v>9.1862795762265073</v>
      </c>
      <c r="AJ32" s="17">
        <f t="shared" si="5"/>
        <v>0.74822626815203441</v>
      </c>
      <c r="AK32" s="15">
        <f t="shared" si="6"/>
        <v>0.96789143757352458</v>
      </c>
      <c r="AL32" s="5">
        <v>6.1308999999999996</v>
      </c>
      <c r="AM32">
        <v>9.3948</v>
      </c>
      <c r="AN32">
        <f t="shared" si="0"/>
        <v>0.977804697942107</v>
      </c>
      <c r="AO32" s="5">
        <f t="shared" si="1"/>
        <v>1.9512195121951219</v>
      </c>
      <c r="AP32" s="5">
        <f t="shared" si="2"/>
        <v>9.1862795762265073</v>
      </c>
    </row>
    <row r="33" spans="1:42" ht="15">
      <c r="A33" s="15">
        <v>28</v>
      </c>
      <c r="B33" s="20" t="s">
        <v>1335</v>
      </c>
      <c r="C33" s="20">
        <v>82</v>
      </c>
      <c r="D33" s="15">
        <v>82</v>
      </c>
      <c r="E33" s="15">
        <v>160</v>
      </c>
      <c r="F33" s="15">
        <v>7.4</v>
      </c>
      <c r="G33" s="15">
        <v>7.4</v>
      </c>
      <c r="H33" s="15">
        <v>5</v>
      </c>
      <c r="I33" s="15">
        <v>9</v>
      </c>
      <c r="J33" s="15">
        <v>9</v>
      </c>
      <c r="K33" s="15">
        <v>3595.215860128807</v>
      </c>
      <c r="L33" s="15">
        <v>1976.5999999999995</v>
      </c>
      <c r="M33" s="15"/>
      <c r="N33" s="15"/>
      <c r="O33" s="15"/>
      <c r="P33" s="15">
        <v>8545852.8073333371</v>
      </c>
      <c r="Q33" s="15"/>
      <c r="R33" s="15"/>
      <c r="S33" s="15">
        <v>206.46095962009119</v>
      </c>
      <c r="T33" s="15">
        <v>690</v>
      </c>
      <c r="U33" s="15">
        <v>210000</v>
      </c>
      <c r="V33" s="15">
        <f t="shared" si="3"/>
        <v>6.6058687439486246</v>
      </c>
      <c r="W33" s="15">
        <v>5.3660300000000003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1431</v>
      </c>
      <c r="AF33" s="22" t="s">
        <v>5</v>
      </c>
      <c r="AG33" s="17">
        <f t="shared" si="4"/>
        <v>1107.875703150198</v>
      </c>
      <c r="AH33" s="17">
        <v>3617.1649305682245</v>
      </c>
      <c r="AI33" s="62">
        <v>6.6372253759641335</v>
      </c>
      <c r="AJ33" s="17">
        <f t="shared" si="5"/>
        <v>0.99763502420271255</v>
      </c>
      <c r="AK33" s="15">
        <f t="shared" si="6"/>
        <v>0.81231253722920371</v>
      </c>
      <c r="AL33" s="5">
        <v>6.1308999999999996</v>
      </c>
      <c r="AM33">
        <v>6.867</v>
      </c>
      <c r="AN33">
        <f t="shared" si="0"/>
        <v>0.96653930041708658</v>
      </c>
      <c r="AO33" s="5">
        <f t="shared" si="1"/>
        <v>1.9512195121951219</v>
      </c>
      <c r="AP33" s="5">
        <f t="shared" si="2"/>
        <v>6.6372253759641335</v>
      </c>
    </row>
    <row r="34" spans="1:42" ht="15">
      <c r="A34" s="15">
        <v>29</v>
      </c>
      <c r="B34" s="20" t="s">
        <v>1336</v>
      </c>
      <c r="C34" s="20">
        <v>82</v>
      </c>
      <c r="D34" s="15">
        <v>82</v>
      </c>
      <c r="E34" s="15">
        <v>160</v>
      </c>
      <c r="F34" s="15">
        <v>7.4</v>
      </c>
      <c r="G34" s="15">
        <v>7.4</v>
      </c>
      <c r="H34" s="15">
        <v>5</v>
      </c>
      <c r="I34" s="15">
        <v>9</v>
      </c>
      <c r="J34" s="15">
        <v>9</v>
      </c>
      <c r="K34" s="15">
        <v>4781.6370939713133</v>
      </c>
      <c r="L34" s="15">
        <v>1976.5999999999995</v>
      </c>
      <c r="M34" s="15"/>
      <c r="N34" s="15"/>
      <c r="O34" s="15"/>
      <c r="P34" s="15">
        <v>8545852.8073333371</v>
      </c>
      <c r="Q34" s="15"/>
      <c r="R34" s="15"/>
      <c r="S34" s="15">
        <v>143.9244469927917</v>
      </c>
      <c r="T34" s="15">
        <v>690</v>
      </c>
      <c r="U34" s="15">
        <v>210000</v>
      </c>
      <c r="V34" s="15">
        <f t="shared" si="3"/>
        <v>9.4761802355113911</v>
      </c>
      <c r="W34" s="15">
        <v>5.0954499999999996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1432</v>
      </c>
      <c r="AF34" s="22" t="s">
        <v>5</v>
      </c>
      <c r="AG34" s="17">
        <f t="shared" si="4"/>
        <v>733.35982342942043</v>
      </c>
      <c r="AH34" s="17">
        <v>2521.5346439913133</v>
      </c>
      <c r="AI34" s="62">
        <v>5.38253243042048</v>
      </c>
      <c r="AJ34" s="17">
        <f t="shared" si="5"/>
        <v>1.3268545821896078</v>
      </c>
      <c r="AK34" s="15">
        <f t="shared" si="6"/>
        <v>0.53771138511117811</v>
      </c>
      <c r="AL34" s="5">
        <v>6.1308999999999996</v>
      </c>
      <c r="AM34">
        <v>5.6050000000000004</v>
      </c>
      <c r="AN34">
        <f t="shared" si="0"/>
        <v>0.96030908660490266</v>
      </c>
      <c r="AO34" s="5">
        <f t="shared" si="1"/>
        <v>1.9512195121951219</v>
      </c>
      <c r="AP34" s="5">
        <f t="shared" si="2"/>
        <v>5.38253243042048</v>
      </c>
    </row>
    <row r="35" spans="1:42" ht="15">
      <c r="A35" s="15">
        <v>30</v>
      </c>
      <c r="B35" s="20" t="s">
        <v>1337</v>
      </c>
      <c r="C35" s="20">
        <v>82</v>
      </c>
      <c r="D35" s="15">
        <v>82</v>
      </c>
      <c r="E35" s="15">
        <v>160</v>
      </c>
      <c r="F35" s="15">
        <v>7.4</v>
      </c>
      <c r="G35" s="15">
        <v>7.4</v>
      </c>
      <c r="H35" s="15">
        <v>5</v>
      </c>
      <c r="I35" s="15">
        <v>9</v>
      </c>
      <c r="J35" s="15">
        <v>9</v>
      </c>
      <c r="K35" s="15">
        <v>6004.0104864151072</v>
      </c>
      <c r="L35" s="15">
        <v>1976.5999999999995</v>
      </c>
      <c r="M35" s="15"/>
      <c r="N35" s="15"/>
      <c r="O35" s="15"/>
      <c r="P35" s="15">
        <v>8545852.8073333371</v>
      </c>
      <c r="Q35" s="15"/>
      <c r="R35" s="15"/>
      <c r="S35" s="15">
        <v>101.44539196548419</v>
      </c>
      <c r="T35" s="15">
        <v>690</v>
      </c>
      <c r="U35" s="15">
        <v>210000</v>
      </c>
      <c r="V35" s="15">
        <f t="shared" si="3"/>
        <v>13.444218348173347</v>
      </c>
      <c r="W35" s="15">
        <v>4.7240099999999998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1433</v>
      </c>
      <c r="AF35" s="22" t="s">
        <v>5</v>
      </c>
      <c r="AG35" s="17">
        <f t="shared" si="4"/>
        <v>479.22904609886695</v>
      </c>
      <c r="AH35" s="17">
        <v>1777.3079949861317</v>
      </c>
      <c r="AI35" s="62">
        <v>4.8434992823803897</v>
      </c>
      <c r="AJ35" s="17">
        <f t="shared" si="5"/>
        <v>1.6660504904185298</v>
      </c>
      <c r="AK35" s="15">
        <f t="shared" si="6"/>
        <v>0.35137855378865118</v>
      </c>
      <c r="AL35" s="5">
        <v>6.1308999999999996</v>
      </c>
      <c r="AM35">
        <v>5.0594000000000001</v>
      </c>
      <c r="AN35">
        <f t="shared" si="0"/>
        <v>0.95732681392662955</v>
      </c>
      <c r="AO35" s="5">
        <f t="shared" si="1"/>
        <v>1.9512195121951219</v>
      </c>
      <c r="AP35" s="5">
        <f t="shared" si="2"/>
        <v>4.8434992823803897</v>
      </c>
    </row>
    <row r="36" spans="1:42" ht="15">
      <c r="A36" s="15">
        <v>31</v>
      </c>
      <c r="B36" s="20" t="s">
        <v>1338</v>
      </c>
      <c r="C36" s="20">
        <v>82</v>
      </c>
      <c r="D36" s="15">
        <v>82</v>
      </c>
      <c r="E36" s="15">
        <v>160</v>
      </c>
      <c r="F36" s="15">
        <v>7.4</v>
      </c>
      <c r="G36" s="15">
        <v>7.4</v>
      </c>
      <c r="H36" s="15">
        <v>5</v>
      </c>
      <c r="I36" s="15">
        <v>9</v>
      </c>
      <c r="J36" s="15">
        <v>9</v>
      </c>
      <c r="K36" s="15">
        <v>7190.431720257614</v>
      </c>
      <c r="L36" s="15">
        <v>1976.5999999999995</v>
      </c>
      <c r="M36" s="15"/>
      <c r="N36" s="15"/>
      <c r="O36" s="15"/>
      <c r="P36" s="15">
        <v>8545852.8073333371</v>
      </c>
      <c r="Q36" s="15"/>
      <c r="R36" s="15"/>
      <c r="S36" s="15">
        <v>75.016356139911792</v>
      </c>
      <c r="T36" s="15">
        <v>690</v>
      </c>
      <c r="U36" s="15">
        <v>210000</v>
      </c>
      <c r="V36" s="15">
        <f t="shared" si="3"/>
        <v>18.180755107010231</v>
      </c>
      <c r="W36" s="15">
        <v>4.4336900000000004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1434</v>
      </c>
      <c r="AF36" s="22" t="s">
        <v>5</v>
      </c>
      <c r="AG36" s="17">
        <f t="shared" si="4"/>
        <v>332.59926805396555</v>
      </c>
      <c r="AH36" s="17">
        <v>1314.2752661210623</v>
      </c>
      <c r="AI36" s="62">
        <v>4.5667638060844995</v>
      </c>
      <c r="AJ36" s="17">
        <f t="shared" si="5"/>
        <v>1.9952700484054251</v>
      </c>
      <c r="AK36" s="15">
        <f t="shared" si="6"/>
        <v>0.243867208699733</v>
      </c>
      <c r="AL36" s="5">
        <v>6.1308999999999996</v>
      </c>
      <c r="AM36">
        <v>4.7782</v>
      </c>
      <c r="AN36">
        <f t="shared" si="0"/>
        <v>0.95574982338213121</v>
      </c>
      <c r="AO36" s="5">
        <f t="shared" si="1"/>
        <v>1.9512195121951219</v>
      </c>
      <c r="AP36" s="5">
        <f t="shared" si="2"/>
        <v>4.5667638060844995</v>
      </c>
    </row>
    <row r="37" spans="1:42" ht="15">
      <c r="A37" s="15">
        <v>32</v>
      </c>
      <c r="B37" s="20" t="s">
        <v>1339</v>
      </c>
      <c r="C37" s="20">
        <v>82</v>
      </c>
      <c r="D37" s="15">
        <v>82</v>
      </c>
      <c r="E37" s="15">
        <v>160</v>
      </c>
      <c r="F37" s="15">
        <v>7.4</v>
      </c>
      <c r="G37" s="15">
        <v>7.4</v>
      </c>
      <c r="H37" s="15">
        <v>5</v>
      </c>
      <c r="I37" s="15">
        <v>9</v>
      </c>
      <c r="J37" s="15">
        <v>9</v>
      </c>
      <c r="K37" s="15">
        <v>8988.0396503220181</v>
      </c>
      <c r="L37" s="15">
        <v>1976.5999999999995</v>
      </c>
      <c r="M37" s="15"/>
      <c r="N37" s="15"/>
      <c r="O37" s="15"/>
      <c r="P37" s="15">
        <v>8545852.8073333371</v>
      </c>
      <c r="Q37" s="15"/>
      <c r="R37" s="15"/>
      <c r="S37" s="15">
        <v>50.652268504107631</v>
      </c>
      <c r="T37" s="15">
        <v>690</v>
      </c>
      <c r="U37" s="15">
        <v>210000</v>
      </c>
      <c r="V37" s="15">
        <f t="shared" si="3"/>
        <v>26.925822678393924</v>
      </c>
      <c r="W37" s="15">
        <v>4.1914199999999999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1435</v>
      </c>
      <c r="AF37" s="22" t="s">
        <v>5</v>
      </c>
      <c r="AG37" s="17">
        <f t="shared" si="4"/>
        <v>212.30493125348681</v>
      </c>
      <c r="AH37" s="17">
        <v>887.42011867000087</v>
      </c>
      <c r="AI37" s="62">
        <v>4.328581398798355</v>
      </c>
      <c r="AJ37" s="17">
        <f t="shared" si="5"/>
        <v>2.4940875605067814</v>
      </c>
      <c r="AK37" s="15">
        <f t="shared" si="6"/>
        <v>0.15566543871520477</v>
      </c>
      <c r="AL37" s="5">
        <v>6.1308999999999996</v>
      </c>
      <c r="AM37">
        <v>4.5353000000000003</v>
      </c>
      <c r="AN37">
        <f t="shared" si="0"/>
        <v>0.95442008219927121</v>
      </c>
      <c r="AO37" s="5">
        <f t="shared" si="1"/>
        <v>1.9512195121951219</v>
      </c>
      <c r="AP37" s="5">
        <f t="shared" si="2"/>
        <v>4.328581398798355</v>
      </c>
    </row>
    <row r="38" spans="1:42" ht="15">
      <c r="A38" s="15">
        <v>33</v>
      </c>
      <c r="B38" s="20" t="s">
        <v>1340</v>
      </c>
      <c r="C38" s="20">
        <v>100</v>
      </c>
      <c r="D38" s="15">
        <v>100</v>
      </c>
      <c r="E38" s="15">
        <v>200</v>
      </c>
      <c r="F38" s="15">
        <v>8.5</v>
      </c>
      <c r="G38" s="15">
        <v>8.5</v>
      </c>
      <c r="H38" s="15">
        <v>5.6</v>
      </c>
      <c r="I38" s="15">
        <v>12</v>
      </c>
      <c r="J38" s="15">
        <v>12</v>
      </c>
      <c r="K38" s="15">
        <v>1353.1830680406397</v>
      </c>
      <c r="L38" s="15">
        <v>2772.4000000000015</v>
      </c>
      <c r="M38" s="15"/>
      <c r="N38" s="15"/>
      <c r="O38" s="15"/>
      <c r="P38" s="15">
        <v>18862982.991666663</v>
      </c>
      <c r="Q38" s="15"/>
      <c r="R38" s="15"/>
      <c r="S38" s="15">
        <v>509.85833107716877</v>
      </c>
      <c r="T38" s="15">
        <v>690</v>
      </c>
      <c r="U38" s="15">
        <v>210000</v>
      </c>
      <c r="V38" s="15">
        <f t="shared" si="3"/>
        <v>3.7519363387836231</v>
      </c>
      <c r="W38" s="15">
        <v>4.0368599999999999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1436</v>
      </c>
      <c r="AF38" s="22" t="s">
        <v>5</v>
      </c>
      <c r="AG38" s="17">
        <f t="shared" si="4"/>
        <v>2058.2267023921795</v>
      </c>
      <c r="AH38" s="17">
        <v>5259.2706426171508</v>
      </c>
      <c r="AI38" s="62">
        <v>41.876153521487744</v>
      </c>
      <c r="AJ38" s="17">
        <f t="shared" si="5"/>
        <v>0.29932592879729519</v>
      </c>
      <c r="AK38" s="15">
        <f t="shared" si="6"/>
        <v>1.0759404306174205</v>
      </c>
      <c r="AL38" s="56">
        <v>3.2757000000000001</v>
      </c>
      <c r="AM38">
        <f>AI38</f>
        <v>41.876153521487744</v>
      </c>
      <c r="AN38" s="57">
        <f t="shared" ref="AN38:AN69" si="7">AI38/AM38</f>
        <v>1</v>
      </c>
      <c r="AO38" s="5">
        <f t="shared" ref="AO38:AO70" si="8">E38/C38</f>
        <v>2</v>
      </c>
      <c r="AP38" s="5">
        <f t="shared" si="2"/>
        <v>41.876153521487744</v>
      </c>
    </row>
    <row r="39" spans="1:42" ht="15">
      <c r="A39" s="15">
        <v>34</v>
      </c>
      <c r="B39" s="20" t="s">
        <v>1341</v>
      </c>
      <c r="C39" s="20">
        <v>100</v>
      </c>
      <c r="D39" s="15">
        <v>100</v>
      </c>
      <c r="E39" s="15">
        <v>200</v>
      </c>
      <c r="F39" s="15">
        <v>8.5</v>
      </c>
      <c r="G39" s="15">
        <v>8.5</v>
      </c>
      <c r="H39" s="15">
        <v>5.6</v>
      </c>
      <c r="I39" s="15">
        <v>12</v>
      </c>
      <c r="J39" s="15">
        <v>12</v>
      </c>
      <c r="K39" s="15">
        <v>2255.3051134010661</v>
      </c>
      <c r="L39" s="15">
        <v>2772.4000000000015</v>
      </c>
      <c r="M39" s="15"/>
      <c r="N39" s="15"/>
      <c r="O39" s="15"/>
      <c r="P39" s="15">
        <v>18862982.991666663</v>
      </c>
      <c r="Q39" s="15"/>
      <c r="R39" s="15"/>
      <c r="S39" s="15">
        <v>452.83358625344243</v>
      </c>
      <c r="T39" s="15">
        <v>690</v>
      </c>
      <c r="U39" s="15">
        <v>210000</v>
      </c>
      <c r="V39" s="15">
        <f t="shared" si="3"/>
        <v>4.2244128043306297</v>
      </c>
      <c r="W39" s="15">
        <v>4.4168099999999999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1437</v>
      </c>
      <c r="AF39" s="22" t="s">
        <v>5</v>
      </c>
      <c r="AG39" s="17">
        <f t="shared" si="4"/>
        <v>2000.0799121000671</v>
      </c>
      <c r="AH39" s="17">
        <v>4671.0512332754497</v>
      </c>
      <c r="AI39" s="62">
        <v>16.973842714045162</v>
      </c>
      <c r="AJ39" s="17">
        <f t="shared" si="5"/>
        <v>0.49887654799549197</v>
      </c>
      <c r="AK39" s="15">
        <f t="shared" si="6"/>
        <v>1.0455441275701407</v>
      </c>
      <c r="AL39" s="5">
        <v>3.2757000000000001</v>
      </c>
      <c r="AM39">
        <f>AI39</f>
        <v>16.973842714045162</v>
      </c>
      <c r="AN39" s="57">
        <f t="shared" si="7"/>
        <v>1</v>
      </c>
      <c r="AO39" s="5">
        <f t="shared" si="8"/>
        <v>2</v>
      </c>
      <c r="AP39" s="5">
        <f t="shared" si="2"/>
        <v>16.973842714045162</v>
      </c>
    </row>
    <row r="40" spans="1:42" ht="15">
      <c r="A40" s="15">
        <v>35</v>
      </c>
      <c r="B40" s="20" t="s">
        <v>1342</v>
      </c>
      <c r="C40" s="20">
        <v>100</v>
      </c>
      <c r="D40" s="15">
        <v>100</v>
      </c>
      <c r="E40" s="15">
        <v>200</v>
      </c>
      <c r="F40" s="15">
        <v>8.5</v>
      </c>
      <c r="G40" s="15">
        <v>8.5</v>
      </c>
      <c r="H40" s="15">
        <v>5.6</v>
      </c>
      <c r="I40" s="15">
        <v>12</v>
      </c>
      <c r="J40" s="15">
        <v>12</v>
      </c>
      <c r="K40" s="15">
        <v>3382.957670101599</v>
      </c>
      <c r="L40" s="15">
        <v>2772.3999999999996</v>
      </c>
      <c r="M40" s="15"/>
      <c r="N40" s="15"/>
      <c r="O40" s="15"/>
      <c r="P40" s="15">
        <v>18862982.991666663</v>
      </c>
      <c r="Q40" s="15"/>
      <c r="R40" s="15"/>
      <c r="S40" s="15">
        <v>372.55017889726048</v>
      </c>
      <c r="T40" s="15">
        <v>690</v>
      </c>
      <c r="U40" s="15">
        <v>210000</v>
      </c>
      <c r="V40" s="15">
        <f t="shared" si="3"/>
        <v>5.1347606533495798</v>
      </c>
      <c r="W40" s="15">
        <v>5.0108800000000002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1438</v>
      </c>
      <c r="AF40" s="22" t="s">
        <v>5</v>
      </c>
      <c r="AG40" s="17">
        <f t="shared" si="4"/>
        <v>1866.8042404327048</v>
      </c>
      <c r="AH40" s="17">
        <v>3842.9149811804809</v>
      </c>
      <c r="AI40" s="62">
        <v>9.1696236183142723</v>
      </c>
      <c r="AJ40" s="17">
        <f t="shared" si="5"/>
        <v>0.74831482199323773</v>
      </c>
      <c r="AK40" s="15">
        <f t="shared" si="6"/>
        <v>0.97587411337882557</v>
      </c>
      <c r="AL40" s="5">
        <v>3.2757000000000001</v>
      </c>
      <c r="AM40">
        <v>9.3552</v>
      </c>
      <c r="AN40">
        <f t="shared" si="7"/>
        <v>0.98016329082374209</v>
      </c>
      <c r="AO40" s="5">
        <f t="shared" si="8"/>
        <v>2</v>
      </c>
      <c r="AP40" s="5">
        <f t="shared" si="2"/>
        <v>9.1696236183142723</v>
      </c>
    </row>
    <row r="41" spans="1:42" ht="15">
      <c r="A41" s="15">
        <v>36</v>
      </c>
      <c r="B41" s="20" t="s">
        <v>1343</v>
      </c>
      <c r="C41" s="20">
        <v>100</v>
      </c>
      <c r="D41" s="15">
        <v>100</v>
      </c>
      <c r="E41" s="15">
        <v>200</v>
      </c>
      <c r="F41" s="15">
        <v>8.5</v>
      </c>
      <c r="G41" s="15">
        <v>8.5</v>
      </c>
      <c r="H41" s="15">
        <v>5.6</v>
      </c>
      <c r="I41" s="15">
        <v>12</v>
      </c>
      <c r="J41" s="15">
        <v>12</v>
      </c>
      <c r="K41" s="15">
        <v>4510.6102268021323</v>
      </c>
      <c r="L41" s="15">
        <v>2772.3999999999996</v>
      </c>
      <c r="M41" s="15"/>
      <c r="N41" s="15"/>
      <c r="O41" s="15"/>
      <c r="P41" s="15">
        <v>18862982.991666663</v>
      </c>
      <c r="Q41" s="15"/>
      <c r="R41" s="15"/>
      <c r="S41" s="15">
        <v>290.04166981481978</v>
      </c>
      <c r="T41" s="15">
        <v>690</v>
      </c>
      <c r="U41" s="15">
        <v>210000</v>
      </c>
      <c r="V41" s="15">
        <f t="shared" si="3"/>
        <v>6.5954523059439945</v>
      </c>
      <c r="W41" s="15">
        <v>5.4067499999999997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1439</v>
      </c>
      <c r="AF41" s="22" t="s">
        <v>5</v>
      </c>
      <c r="AG41" s="17">
        <f t="shared" si="4"/>
        <v>1568.1827982712769</v>
      </c>
      <c r="AH41" s="17">
        <v>2991.8264471035236</v>
      </c>
      <c r="AI41" s="62">
        <v>6.6251911954671492</v>
      </c>
      <c r="AJ41" s="17">
        <f t="shared" si="5"/>
        <v>0.99775309599098361</v>
      </c>
      <c r="AK41" s="15">
        <f t="shared" si="6"/>
        <v>0.81976940309723645</v>
      </c>
      <c r="AL41" s="5">
        <v>3.2757000000000001</v>
      </c>
      <c r="AM41">
        <v>6.8621999999999996</v>
      </c>
      <c r="AN41">
        <f t="shared" si="7"/>
        <v>0.96546168801071808</v>
      </c>
      <c r="AO41" s="5">
        <f t="shared" si="8"/>
        <v>2</v>
      </c>
      <c r="AP41" s="5">
        <f t="shared" si="2"/>
        <v>6.6251911954671492</v>
      </c>
    </row>
    <row r="42" spans="1:42" ht="15">
      <c r="A42" s="15">
        <v>37</v>
      </c>
      <c r="B42" s="20" t="s">
        <v>1344</v>
      </c>
      <c r="C42" s="20">
        <v>100</v>
      </c>
      <c r="D42" s="15">
        <v>100</v>
      </c>
      <c r="E42" s="15">
        <v>200</v>
      </c>
      <c r="F42" s="15">
        <v>8.5</v>
      </c>
      <c r="G42" s="15">
        <v>8.5</v>
      </c>
      <c r="H42" s="15">
        <v>5.6</v>
      </c>
      <c r="I42" s="15">
        <v>12</v>
      </c>
      <c r="J42" s="15">
        <v>12</v>
      </c>
      <c r="K42" s="15">
        <v>5999.1116016468359</v>
      </c>
      <c r="L42" s="15">
        <v>2772.3999999999996</v>
      </c>
      <c r="M42" s="15"/>
      <c r="N42" s="15"/>
      <c r="O42" s="15"/>
      <c r="P42" s="15">
        <v>18862982.991666663</v>
      </c>
      <c r="Q42" s="15"/>
      <c r="R42" s="15"/>
      <c r="S42" s="15">
        <v>202.1887673571658</v>
      </c>
      <c r="T42" s="15">
        <v>690</v>
      </c>
      <c r="U42" s="15">
        <v>210000</v>
      </c>
      <c r="V42" s="15">
        <f t="shared" si="3"/>
        <v>9.4612377581825253</v>
      </c>
      <c r="W42" s="15">
        <v>5.1391200000000001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1440</v>
      </c>
      <c r="AF42" s="22" t="s">
        <v>5</v>
      </c>
      <c r="AG42" s="17">
        <f t="shared" si="4"/>
        <v>1039.072338100558</v>
      </c>
      <c r="AH42" s="17">
        <v>2085.6096362727617</v>
      </c>
      <c r="AI42" s="62">
        <v>5.3727731766465876</v>
      </c>
      <c r="AJ42" s="17">
        <f t="shared" si="5"/>
        <v>1.3270116176680082</v>
      </c>
      <c r="AK42" s="15">
        <f t="shared" si="6"/>
        <v>0.54317628743188984</v>
      </c>
      <c r="AL42" s="5">
        <v>3.2757000000000001</v>
      </c>
      <c r="AM42">
        <v>5.6125999999999996</v>
      </c>
      <c r="AN42">
        <f t="shared" si="7"/>
        <v>0.95726992421455082</v>
      </c>
      <c r="AO42" s="5">
        <f t="shared" si="8"/>
        <v>2</v>
      </c>
      <c r="AP42" s="5">
        <f t="shared" si="2"/>
        <v>5.3727731766465876</v>
      </c>
    </row>
    <row r="43" spans="1:42" ht="15">
      <c r="A43" s="15">
        <v>38</v>
      </c>
      <c r="B43" s="20" t="s">
        <v>1345</v>
      </c>
      <c r="C43" s="20">
        <v>100</v>
      </c>
      <c r="D43" s="15">
        <v>100</v>
      </c>
      <c r="E43" s="15">
        <v>200</v>
      </c>
      <c r="F43" s="15">
        <v>8.5</v>
      </c>
      <c r="G43" s="15">
        <v>8.5</v>
      </c>
      <c r="H43" s="15">
        <v>5.6</v>
      </c>
      <c r="I43" s="15">
        <v>12</v>
      </c>
      <c r="J43" s="15">
        <v>12</v>
      </c>
      <c r="K43" s="15">
        <v>7532.71907875956</v>
      </c>
      <c r="L43" s="15">
        <v>2772.3999999999996</v>
      </c>
      <c r="M43" s="15"/>
      <c r="N43" s="15"/>
      <c r="O43" s="15"/>
      <c r="P43" s="15">
        <v>18862982.991666663</v>
      </c>
      <c r="Q43" s="15"/>
      <c r="R43" s="15"/>
      <c r="S43" s="15">
        <v>142.51309756009042</v>
      </c>
      <c r="T43" s="15">
        <v>690</v>
      </c>
      <c r="U43" s="15">
        <v>210000</v>
      </c>
      <c r="V43" s="15">
        <f t="shared" si="3"/>
        <v>13.42301888563895</v>
      </c>
      <c r="W43" s="15">
        <v>4.7630699999999999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1441</v>
      </c>
      <c r="AF43" s="22" t="s">
        <v>5</v>
      </c>
      <c r="AG43" s="17">
        <f t="shared" si="4"/>
        <v>678.79985959553983</v>
      </c>
      <c r="AH43" s="17">
        <v>1470.0455097060592</v>
      </c>
      <c r="AI43" s="62">
        <v>4.8347173680563307</v>
      </c>
      <c r="AJ43" s="17">
        <f t="shared" si="5"/>
        <v>1.6662476703049425</v>
      </c>
      <c r="AK43" s="15">
        <f t="shared" si="6"/>
        <v>0.35484342535611896</v>
      </c>
      <c r="AL43" s="5">
        <v>3.2757000000000001</v>
      </c>
      <c r="AM43">
        <v>5.0709999999999997</v>
      </c>
      <c r="AN43">
        <f t="shared" si="7"/>
        <v>0.95340512089456342</v>
      </c>
      <c r="AO43" s="5">
        <f t="shared" si="8"/>
        <v>2</v>
      </c>
      <c r="AP43" s="5">
        <f t="shared" si="2"/>
        <v>4.8347173680563307</v>
      </c>
    </row>
    <row r="44" spans="1:42" ht="15">
      <c r="A44" s="15">
        <v>39</v>
      </c>
      <c r="B44" s="20" t="s">
        <v>1346</v>
      </c>
      <c r="C44" s="20">
        <v>100</v>
      </c>
      <c r="D44" s="15">
        <v>100</v>
      </c>
      <c r="E44" s="15">
        <v>200</v>
      </c>
      <c r="F44" s="15">
        <v>8.5</v>
      </c>
      <c r="G44" s="15">
        <v>8.5</v>
      </c>
      <c r="H44" s="15">
        <v>5.6</v>
      </c>
      <c r="I44" s="15">
        <v>12</v>
      </c>
      <c r="J44" s="15">
        <v>12</v>
      </c>
      <c r="K44" s="15">
        <v>9021.2204536042645</v>
      </c>
      <c r="L44" s="15">
        <v>2772.3999999999996</v>
      </c>
      <c r="M44" s="15"/>
      <c r="N44" s="15"/>
      <c r="O44" s="15"/>
      <c r="P44" s="15">
        <v>18862982.991666663</v>
      </c>
      <c r="Q44" s="15"/>
      <c r="R44" s="15"/>
      <c r="S44" s="15">
        <v>105.3849078212166</v>
      </c>
      <c r="T44" s="15">
        <v>690</v>
      </c>
      <c r="U44" s="15">
        <v>210000</v>
      </c>
      <c r="V44" s="15">
        <f t="shared" si="3"/>
        <v>18.152086855219263</v>
      </c>
      <c r="W44" s="15">
        <v>4.4701599999999999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1442</v>
      </c>
      <c r="AF44" s="22" t="s">
        <v>5</v>
      </c>
      <c r="AG44" s="17">
        <f t="shared" si="4"/>
        <v>471.08739954608961</v>
      </c>
      <c r="AH44" s="17">
        <v>1087.0622643511365</v>
      </c>
      <c r="AI44" s="62">
        <v>4.558483650324149</v>
      </c>
      <c r="AJ44" s="17">
        <f t="shared" si="5"/>
        <v>1.9955061919819672</v>
      </c>
      <c r="AK44" s="15">
        <f t="shared" si="6"/>
        <v>0.24626149244733789</v>
      </c>
      <c r="AL44" s="5">
        <v>3.2757000000000001</v>
      </c>
      <c r="AM44">
        <v>4.7915999999999999</v>
      </c>
      <c r="AN44">
        <f t="shared" si="7"/>
        <v>0.95134895448788492</v>
      </c>
      <c r="AO44" s="5">
        <f t="shared" si="8"/>
        <v>2</v>
      </c>
      <c r="AP44" s="5">
        <f t="shared" si="2"/>
        <v>4.558483650324149</v>
      </c>
    </row>
    <row r="45" spans="1:42" ht="15">
      <c r="A45" s="15">
        <v>40</v>
      </c>
      <c r="B45" s="20" t="s">
        <v>1347</v>
      </c>
      <c r="C45" s="20">
        <v>100</v>
      </c>
      <c r="D45" s="15">
        <v>100</v>
      </c>
      <c r="E45" s="15">
        <v>200</v>
      </c>
      <c r="F45" s="15">
        <v>8.5</v>
      </c>
      <c r="G45" s="15">
        <v>8.5</v>
      </c>
      <c r="H45" s="15">
        <v>5.6</v>
      </c>
      <c r="I45" s="15">
        <v>12</v>
      </c>
      <c r="J45" s="15">
        <v>12</v>
      </c>
      <c r="K45" s="15">
        <v>11276.52556700533</v>
      </c>
      <c r="L45" s="15">
        <v>2772.3999999999996</v>
      </c>
      <c r="M45" s="15"/>
      <c r="N45" s="15"/>
      <c r="O45" s="15"/>
      <c r="P45" s="15">
        <v>18862982.991666663</v>
      </c>
      <c r="Q45" s="15"/>
      <c r="R45" s="15"/>
      <c r="S45" s="15">
        <v>71.157610445448796</v>
      </c>
      <c r="T45" s="15">
        <v>690</v>
      </c>
      <c r="U45" s="15">
        <v>210000</v>
      </c>
      <c r="V45" s="15">
        <f t="shared" si="3"/>
        <v>26.883364801387192</v>
      </c>
      <c r="W45" s="15">
        <v>4.2259099999999998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1443</v>
      </c>
      <c r="AF45" s="22" t="s">
        <v>5</v>
      </c>
      <c r="AG45" s="17">
        <f t="shared" si="4"/>
        <v>300.70565755752654</v>
      </c>
      <c r="AH45" s="17">
        <v>734.00219002775179</v>
      </c>
      <c r="AI45" s="62">
        <v>4.3207330997127649</v>
      </c>
      <c r="AJ45" s="17">
        <f t="shared" si="5"/>
        <v>2.4943827399774592</v>
      </c>
      <c r="AK45" s="15">
        <f t="shared" si="6"/>
        <v>0.15719423633242299</v>
      </c>
      <c r="AL45" s="5">
        <v>3.2757000000000001</v>
      </c>
      <c r="AM45">
        <v>4.5498000000000003</v>
      </c>
      <c r="AN45">
        <f t="shared" si="7"/>
        <v>0.94965341327371855</v>
      </c>
      <c r="AO45" s="5">
        <f t="shared" si="8"/>
        <v>2</v>
      </c>
      <c r="AP45" s="5">
        <f t="shared" si="2"/>
        <v>4.3207330997127649</v>
      </c>
    </row>
    <row r="46" spans="1:42" ht="15">
      <c r="A46" s="15">
        <v>41</v>
      </c>
      <c r="B46" s="20" t="s">
        <v>1348</v>
      </c>
      <c r="C46" s="20">
        <v>120</v>
      </c>
      <c r="D46" s="15">
        <v>120</v>
      </c>
      <c r="E46" s="15">
        <v>240</v>
      </c>
      <c r="F46" s="15">
        <v>9.8000000000000007</v>
      </c>
      <c r="G46" s="15">
        <v>9.8000000000000007</v>
      </c>
      <c r="H46" s="15">
        <v>6.2</v>
      </c>
      <c r="I46" s="15">
        <v>15</v>
      </c>
      <c r="J46" s="15">
        <v>15</v>
      </c>
      <c r="K46" s="15">
        <v>1633.6678416624786</v>
      </c>
      <c r="L46" s="15">
        <v>3779.2400000000011</v>
      </c>
      <c r="M46" s="15"/>
      <c r="N46" s="15"/>
      <c r="O46" s="15"/>
      <c r="P46" s="15">
        <v>37462016.117466666</v>
      </c>
      <c r="Q46" s="15"/>
      <c r="R46" s="15"/>
      <c r="S46" s="15">
        <v>695.79345527885744</v>
      </c>
      <c r="T46" s="15">
        <v>690</v>
      </c>
      <c r="U46" s="15">
        <v>210000</v>
      </c>
      <c r="V46" s="15">
        <f t="shared" si="3"/>
        <v>3.7477725325181543</v>
      </c>
      <c r="W46" s="15">
        <v>4.0453400000000004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1444</v>
      </c>
      <c r="AF46" s="22" t="s">
        <v>5</v>
      </c>
      <c r="AG46" s="17">
        <f t="shared" si="4"/>
        <v>2814.7210963777734</v>
      </c>
      <c r="AH46" s="17">
        <v>4672.9934395450055</v>
      </c>
      <c r="AI46" s="62">
        <v>41.812133348040433</v>
      </c>
      <c r="AJ46" s="17">
        <f t="shared" si="5"/>
        <v>0.29938873038742086</v>
      </c>
      <c r="AK46" s="15">
        <f t="shared" si="6"/>
        <v>1.0793984866744055</v>
      </c>
      <c r="AL46" s="56">
        <v>1.7927999999999999</v>
      </c>
      <c r="AM46">
        <f>AI46</f>
        <v>41.812133348040433</v>
      </c>
      <c r="AN46" s="57">
        <f t="shared" si="7"/>
        <v>1</v>
      </c>
      <c r="AO46" s="5">
        <f t="shared" si="8"/>
        <v>2</v>
      </c>
      <c r="AP46" s="5">
        <f t="shared" si="2"/>
        <v>41.812133348040433</v>
      </c>
    </row>
    <row r="47" spans="1:42" ht="15">
      <c r="A47" s="15">
        <v>42</v>
      </c>
      <c r="B47" s="20" t="s">
        <v>1349</v>
      </c>
      <c r="C47" s="20">
        <v>120</v>
      </c>
      <c r="D47" s="15">
        <v>120</v>
      </c>
      <c r="E47" s="15">
        <v>240</v>
      </c>
      <c r="F47" s="15">
        <v>9.8000000000000007</v>
      </c>
      <c r="G47" s="15">
        <v>9.8000000000000007</v>
      </c>
      <c r="H47" s="15">
        <v>6.2</v>
      </c>
      <c r="I47" s="15">
        <v>15</v>
      </c>
      <c r="J47" s="15">
        <v>15</v>
      </c>
      <c r="K47" s="15">
        <v>2722.7797361041312</v>
      </c>
      <c r="L47" s="15">
        <v>3779.2400000000011</v>
      </c>
      <c r="M47" s="15"/>
      <c r="N47" s="15"/>
      <c r="O47" s="15"/>
      <c r="P47" s="15">
        <v>37462016.117466666</v>
      </c>
      <c r="Q47" s="15"/>
      <c r="R47" s="15"/>
      <c r="S47" s="15">
        <v>617.97292785220986</v>
      </c>
      <c r="T47" s="15">
        <v>690</v>
      </c>
      <c r="U47" s="15">
        <v>210000</v>
      </c>
      <c r="V47" s="15">
        <f t="shared" si="3"/>
        <v>4.2197246553551846</v>
      </c>
      <c r="W47" s="15">
        <v>4.4310900000000002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1445</v>
      </c>
      <c r="AF47" s="22" t="s">
        <v>5</v>
      </c>
      <c r="AG47" s="17">
        <f t="shared" si="4"/>
        <v>2738.2936608766486</v>
      </c>
      <c r="AH47" s="17">
        <v>4150.3457897752714</v>
      </c>
      <c r="AI47" s="62">
        <v>16.947893139806848</v>
      </c>
      <c r="AJ47" s="17">
        <f t="shared" si="5"/>
        <v>0.49898121731236816</v>
      </c>
      <c r="AK47" s="15">
        <f t="shared" si="6"/>
        <v>1.0500898427997134</v>
      </c>
      <c r="AL47" s="5">
        <v>1.7927999999999999</v>
      </c>
      <c r="AM47">
        <f>AI47</f>
        <v>16.947893139806848</v>
      </c>
      <c r="AN47" s="57">
        <f t="shared" si="7"/>
        <v>1</v>
      </c>
      <c r="AO47" s="5">
        <f t="shared" si="8"/>
        <v>2</v>
      </c>
      <c r="AP47" s="5">
        <f t="shared" si="2"/>
        <v>16.947893139806848</v>
      </c>
    </row>
    <row r="48" spans="1:42" ht="15">
      <c r="A48" s="15">
        <v>43</v>
      </c>
      <c r="B48" s="20" t="s">
        <v>1350</v>
      </c>
      <c r="C48" s="20">
        <v>120</v>
      </c>
      <c r="D48" s="15">
        <v>120</v>
      </c>
      <c r="E48" s="15">
        <v>240</v>
      </c>
      <c r="F48" s="15">
        <v>9.8000000000000007</v>
      </c>
      <c r="G48" s="15">
        <v>9.8000000000000007</v>
      </c>
      <c r="H48" s="15">
        <v>6.2</v>
      </c>
      <c r="I48" s="15">
        <v>15</v>
      </c>
      <c r="J48" s="15">
        <v>15</v>
      </c>
      <c r="K48" s="15">
        <v>4084.1696041561968</v>
      </c>
      <c r="L48" s="15">
        <v>3779.2400000000016</v>
      </c>
      <c r="M48" s="15"/>
      <c r="N48" s="15"/>
      <c r="O48" s="15"/>
      <c r="P48" s="15">
        <v>37462016.117466658</v>
      </c>
      <c r="Q48" s="15"/>
      <c r="R48" s="15"/>
      <c r="S48" s="15">
        <v>508.41176938706894</v>
      </c>
      <c r="T48" s="15">
        <v>690</v>
      </c>
      <c r="U48" s="15">
        <v>210000</v>
      </c>
      <c r="V48" s="15">
        <f t="shared" si="3"/>
        <v>5.1290622228194334</v>
      </c>
      <c r="W48" s="15">
        <v>5.0294600000000003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1446</v>
      </c>
      <c r="AF48" s="22" t="s">
        <v>5</v>
      </c>
      <c r="AG48" s="17">
        <f t="shared" si="4"/>
        <v>2557.0366576614879</v>
      </c>
      <c r="AH48" s="17">
        <v>3414.5260276716385</v>
      </c>
      <c r="AI48" s="62">
        <v>9.1556051174462318</v>
      </c>
      <c r="AJ48" s="17">
        <f t="shared" si="5"/>
        <v>0.74847182596855233</v>
      </c>
      <c r="AK48" s="15">
        <f t="shared" si="6"/>
        <v>0.98058081214606874</v>
      </c>
      <c r="AL48" s="5">
        <v>1.7927999999999999</v>
      </c>
      <c r="AM48">
        <v>9.2911999999999999</v>
      </c>
      <c r="AN48">
        <f t="shared" si="7"/>
        <v>0.98540609581606597</v>
      </c>
      <c r="AO48" s="5">
        <f t="shared" si="8"/>
        <v>2</v>
      </c>
      <c r="AP48" s="5">
        <f t="shared" si="2"/>
        <v>9.1556051174462318</v>
      </c>
    </row>
    <row r="49" spans="1:42" ht="15">
      <c r="A49" s="15">
        <v>44</v>
      </c>
      <c r="B49" s="20" t="s">
        <v>1351</v>
      </c>
      <c r="C49" s="20">
        <v>120</v>
      </c>
      <c r="D49" s="15">
        <v>120</v>
      </c>
      <c r="E49" s="15">
        <v>240</v>
      </c>
      <c r="F49" s="15">
        <v>9.8000000000000007</v>
      </c>
      <c r="G49" s="15">
        <v>9.8000000000000007</v>
      </c>
      <c r="H49" s="15">
        <v>6.2</v>
      </c>
      <c r="I49" s="15">
        <v>15</v>
      </c>
      <c r="J49" s="15">
        <v>15</v>
      </c>
      <c r="K49" s="15">
        <v>5445.5594722082624</v>
      </c>
      <c r="L49" s="15">
        <v>3779.2400000000016</v>
      </c>
      <c r="M49" s="15"/>
      <c r="N49" s="15"/>
      <c r="O49" s="15"/>
      <c r="P49" s="15">
        <v>37462016.117466658</v>
      </c>
      <c r="Q49" s="15"/>
      <c r="R49" s="15"/>
      <c r="S49" s="15">
        <v>395.81405915040057</v>
      </c>
      <c r="T49" s="15">
        <v>690</v>
      </c>
      <c r="U49" s="15">
        <v>210000</v>
      </c>
      <c r="V49" s="15">
        <f t="shared" si="3"/>
        <v>6.5881328359009652</v>
      </c>
      <c r="W49" s="15">
        <v>5.4295299999999997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1447</v>
      </c>
      <c r="AF49" s="22" t="s">
        <v>5</v>
      </c>
      <c r="AG49" s="17">
        <f t="shared" si="4"/>
        <v>2149.0843085788742</v>
      </c>
      <c r="AH49" s="17">
        <v>2658.3125892556859</v>
      </c>
      <c r="AI49" s="62">
        <v>6.6150626174152531</v>
      </c>
      <c r="AJ49" s="17">
        <f t="shared" si="5"/>
        <v>0.99796243462473644</v>
      </c>
      <c r="AK49" s="15">
        <f t="shared" si="6"/>
        <v>0.82413790602591575</v>
      </c>
      <c r="AL49" s="5">
        <v>1.7927999999999999</v>
      </c>
      <c r="AM49">
        <v>6.8414000000000001</v>
      </c>
      <c r="AN49">
        <f t="shared" si="7"/>
        <v>0.96691651086257968</v>
      </c>
      <c r="AO49" s="5">
        <f t="shared" si="8"/>
        <v>2</v>
      </c>
      <c r="AP49" s="5">
        <f t="shared" si="2"/>
        <v>6.6150626174152531</v>
      </c>
    </row>
    <row r="50" spans="1:42" ht="15">
      <c r="A50" s="15">
        <v>45</v>
      </c>
      <c r="B50" s="20" t="s">
        <v>1352</v>
      </c>
      <c r="C50" s="20">
        <v>120</v>
      </c>
      <c r="D50" s="15">
        <v>120</v>
      </c>
      <c r="E50" s="15">
        <v>240</v>
      </c>
      <c r="F50" s="15">
        <v>9.8000000000000007</v>
      </c>
      <c r="G50" s="15">
        <v>9.8000000000000007</v>
      </c>
      <c r="H50" s="15">
        <v>6.2</v>
      </c>
      <c r="I50" s="15">
        <v>15</v>
      </c>
      <c r="J50" s="15">
        <v>15</v>
      </c>
      <c r="K50" s="15">
        <v>7242.5940980369896</v>
      </c>
      <c r="L50" s="15">
        <v>3779.2400000000016</v>
      </c>
      <c r="M50" s="15"/>
      <c r="N50" s="15"/>
      <c r="O50" s="15"/>
      <c r="P50" s="15">
        <v>37462016.117466658</v>
      </c>
      <c r="Q50" s="15"/>
      <c r="R50" s="15"/>
      <c r="S50" s="15">
        <v>275.92296228797494</v>
      </c>
      <c r="T50" s="15">
        <v>690</v>
      </c>
      <c r="U50" s="15">
        <v>210000</v>
      </c>
      <c r="V50" s="15">
        <f t="shared" si="3"/>
        <v>9.4507379102375157</v>
      </c>
      <c r="W50" s="15">
        <v>5.1633800000000001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1448</v>
      </c>
      <c r="AF50" s="22" t="s">
        <v>5</v>
      </c>
      <c r="AG50" s="17">
        <f t="shared" si="4"/>
        <v>1424.6951050184841</v>
      </c>
      <c r="AH50" s="17">
        <v>1853.1162988228673</v>
      </c>
      <c r="AI50" s="62">
        <v>5.3645592925684902</v>
      </c>
      <c r="AJ50" s="17">
        <f t="shared" si="5"/>
        <v>1.3272900380508996</v>
      </c>
      <c r="AK50" s="15">
        <f t="shared" si="6"/>
        <v>0.54634675609898853</v>
      </c>
      <c r="AL50" s="5">
        <v>1.7927999999999999</v>
      </c>
      <c r="AM50">
        <v>5.6083999999999996</v>
      </c>
      <c r="AN50">
        <f t="shared" si="7"/>
        <v>0.95652223318031715</v>
      </c>
      <c r="AO50" s="5">
        <f t="shared" si="8"/>
        <v>2</v>
      </c>
      <c r="AP50" s="5">
        <f t="shared" si="2"/>
        <v>5.3645592925684902</v>
      </c>
    </row>
    <row r="51" spans="1:42" ht="15">
      <c r="A51" s="15">
        <v>46</v>
      </c>
      <c r="B51" s="20" t="s">
        <v>1353</v>
      </c>
      <c r="C51" s="20">
        <v>120</v>
      </c>
      <c r="D51" s="15">
        <v>120</v>
      </c>
      <c r="E51" s="15">
        <v>240</v>
      </c>
      <c r="F51" s="15">
        <v>9.8000000000000007</v>
      </c>
      <c r="G51" s="15">
        <v>9.8000000000000007</v>
      </c>
      <c r="H51" s="15">
        <v>6.2</v>
      </c>
      <c r="I51" s="15">
        <v>15</v>
      </c>
      <c r="J51" s="15">
        <v>15</v>
      </c>
      <c r="K51" s="15">
        <v>9094.0843185877966</v>
      </c>
      <c r="L51" s="15">
        <v>3779.2400000000016</v>
      </c>
      <c r="M51" s="15"/>
      <c r="N51" s="15"/>
      <c r="O51" s="15"/>
      <c r="P51" s="15">
        <v>37462016.117466658</v>
      </c>
      <c r="Q51" s="15"/>
      <c r="R51" s="15"/>
      <c r="S51" s="15">
        <v>194.48477063096195</v>
      </c>
      <c r="T51" s="15">
        <v>690</v>
      </c>
      <c r="U51" s="15">
        <v>210000</v>
      </c>
      <c r="V51" s="15">
        <f t="shared" si="3"/>
        <v>13.408122350865757</v>
      </c>
      <c r="W51" s="15">
        <v>4.7839299999999998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1449</v>
      </c>
      <c r="AF51" s="22" t="s">
        <v>5</v>
      </c>
      <c r="AG51" s="17">
        <f t="shared" si="4"/>
        <v>930.40152876457773</v>
      </c>
      <c r="AH51" s="17">
        <v>1306.1721842233544</v>
      </c>
      <c r="AI51" s="62">
        <v>4.8273260625412977</v>
      </c>
      <c r="AJ51" s="17">
        <f t="shared" si="5"/>
        <v>1.6665972658233097</v>
      </c>
      <c r="AK51" s="15">
        <f t="shared" si="6"/>
        <v>0.35679343272781988</v>
      </c>
      <c r="AL51" s="5">
        <v>1.7927999999999999</v>
      </c>
      <c r="AM51">
        <v>5.0728999999999997</v>
      </c>
      <c r="AN51">
        <f t="shared" si="7"/>
        <v>0.95159101550223701</v>
      </c>
      <c r="AO51" s="5">
        <f t="shared" si="8"/>
        <v>2</v>
      </c>
      <c r="AP51" s="5">
        <f t="shared" si="2"/>
        <v>4.8273260625412977</v>
      </c>
    </row>
    <row r="52" spans="1:42" ht="13.5" customHeight="1">
      <c r="A52" s="15">
        <v>47</v>
      </c>
      <c r="B52" s="20" t="s">
        <v>1354</v>
      </c>
      <c r="C52" s="20">
        <v>120</v>
      </c>
      <c r="D52" s="15">
        <v>120</v>
      </c>
      <c r="E52" s="15">
        <v>240</v>
      </c>
      <c r="F52" s="15">
        <v>9.8000000000000007</v>
      </c>
      <c r="G52" s="15">
        <v>9.8000000000000007</v>
      </c>
      <c r="H52" s="15">
        <v>6.2</v>
      </c>
      <c r="I52" s="15">
        <v>15</v>
      </c>
      <c r="J52" s="15">
        <v>15</v>
      </c>
      <c r="K52" s="15">
        <v>10891.118944416525</v>
      </c>
      <c r="L52" s="15">
        <v>3779.2400000000016</v>
      </c>
      <c r="M52" s="15"/>
      <c r="N52" s="15"/>
      <c r="O52" s="15"/>
      <c r="P52" s="15">
        <v>37462016.117466658</v>
      </c>
      <c r="Q52" s="15"/>
      <c r="R52" s="15"/>
      <c r="S52" s="15">
        <v>143.81667353018116</v>
      </c>
      <c r="T52" s="15">
        <v>690</v>
      </c>
      <c r="U52" s="15">
        <v>210000</v>
      </c>
      <c r="V52" s="15">
        <f t="shared" si="3"/>
        <v>18.131942117634626</v>
      </c>
      <c r="W52" s="15">
        <v>4.4898999999999996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1450</v>
      </c>
      <c r="AF52" s="22" t="s">
        <v>5</v>
      </c>
      <c r="AG52" s="17">
        <f t="shared" si="4"/>
        <v>645.72248248316032</v>
      </c>
      <c r="AH52" s="17">
        <v>965.88199674051077</v>
      </c>
      <c r="AI52" s="62">
        <v>4.5515146503227326</v>
      </c>
      <c r="AJ52" s="17">
        <f t="shared" si="5"/>
        <v>1.9959248692494729</v>
      </c>
      <c r="AK52" s="15">
        <f t="shared" si="6"/>
        <v>0.24762377746801026</v>
      </c>
      <c r="AL52" s="5">
        <v>1.7927999999999999</v>
      </c>
      <c r="AM52">
        <v>4.7961999999999998</v>
      </c>
      <c r="AN52">
        <f t="shared" si="7"/>
        <v>0.94898349741935961</v>
      </c>
      <c r="AO52" s="5">
        <f t="shared" si="8"/>
        <v>2</v>
      </c>
      <c r="AP52" s="5">
        <f t="shared" si="2"/>
        <v>4.5515146503227326</v>
      </c>
    </row>
    <row r="53" spans="1:42" ht="15">
      <c r="A53" s="15">
        <v>48</v>
      </c>
      <c r="B53" s="20" t="s">
        <v>1355</v>
      </c>
      <c r="C53" s="20">
        <v>120</v>
      </c>
      <c r="D53" s="15">
        <v>120</v>
      </c>
      <c r="E53" s="15">
        <v>240</v>
      </c>
      <c r="F53" s="15">
        <v>9.8000000000000007</v>
      </c>
      <c r="G53" s="15">
        <v>9.8000000000000007</v>
      </c>
      <c r="H53" s="15">
        <v>6.2</v>
      </c>
      <c r="I53" s="15">
        <v>15</v>
      </c>
      <c r="J53" s="15">
        <v>15</v>
      </c>
      <c r="K53" s="15">
        <v>13613.898680520655</v>
      </c>
      <c r="L53" s="15">
        <v>3779.2400000000016</v>
      </c>
      <c r="M53" s="15"/>
      <c r="N53" s="15"/>
      <c r="O53" s="15"/>
      <c r="P53" s="15">
        <v>37462016.117466658</v>
      </c>
      <c r="Q53" s="15"/>
      <c r="R53" s="15"/>
      <c r="S53" s="15">
        <v>97.107366151347847</v>
      </c>
      <c r="T53" s="15">
        <v>690</v>
      </c>
      <c r="U53" s="15">
        <v>210000</v>
      </c>
      <c r="V53" s="15">
        <f t="shared" si="3"/>
        <v>26.853530307224862</v>
      </c>
      <c r="W53" s="15">
        <v>4.2448399999999999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1451</v>
      </c>
      <c r="AF53" s="22" t="s">
        <v>5</v>
      </c>
      <c r="AG53" s="17">
        <f t="shared" si="4"/>
        <v>412.20523213388736</v>
      </c>
      <c r="AH53" s="17">
        <v>652.17929475188566</v>
      </c>
      <c r="AI53" s="62">
        <v>4.31412757224183</v>
      </c>
      <c r="AJ53" s="17">
        <f t="shared" si="5"/>
        <v>2.4949060865618411</v>
      </c>
      <c r="AK53" s="15">
        <f t="shared" si="6"/>
        <v>0.15807381567472856</v>
      </c>
      <c r="AL53" s="5">
        <v>1.7927999999999999</v>
      </c>
      <c r="AM53">
        <v>4.5563000000000002</v>
      </c>
      <c r="AN53">
        <f t="shared" si="7"/>
        <v>0.94684888445489312</v>
      </c>
      <c r="AO53" s="5">
        <f t="shared" si="8"/>
        <v>2</v>
      </c>
      <c r="AP53" s="5">
        <f t="shared" si="2"/>
        <v>4.31412757224183</v>
      </c>
    </row>
    <row r="54" spans="1:42" ht="15">
      <c r="A54" s="15">
        <v>49</v>
      </c>
      <c r="B54" s="20" t="s">
        <v>1356</v>
      </c>
      <c r="C54" s="20">
        <v>150</v>
      </c>
      <c r="D54" s="15">
        <v>150</v>
      </c>
      <c r="E54" s="15">
        <v>300</v>
      </c>
      <c r="F54" s="15">
        <v>10.7</v>
      </c>
      <c r="G54" s="15">
        <v>10.7</v>
      </c>
      <c r="H54" s="15">
        <v>7.1</v>
      </c>
      <c r="I54" s="15">
        <v>15</v>
      </c>
      <c r="J54" s="15">
        <v>15</v>
      </c>
      <c r="K54" s="15">
        <v>2041.60268597496</v>
      </c>
      <c r="L54" s="15">
        <v>5264.0299999999979</v>
      </c>
      <c r="M54" s="15"/>
      <c r="N54" s="15"/>
      <c r="O54" s="15"/>
      <c r="P54" s="15">
        <v>81490744.332891658</v>
      </c>
      <c r="Q54" s="15"/>
      <c r="R54" s="15"/>
      <c r="S54" s="15">
        <v>970.77789677342048</v>
      </c>
      <c r="T54" s="15">
        <v>690</v>
      </c>
      <c r="U54" s="15">
        <v>210000</v>
      </c>
      <c r="V54" s="15">
        <f t="shared" si="3"/>
        <v>3.7415156567452725</v>
      </c>
      <c r="W54" s="15">
        <v>3.9628700000000001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1452</v>
      </c>
      <c r="AF54" s="22" t="s">
        <v>5</v>
      </c>
      <c r="AG54" s="17">
        <f t="shared" si="4"/>
        <v>3847.0666037864848</v>
      </c>
      <c r="AH54" s="17">
        <v>16269.067166081799</v>
      </c>
      <c r="AI54" s="62">
        <v>41.741205592903178</v>
      </c>
      <c r="AJ54" s="17">
        <f t="shared" si="5"/>
        <v>0.29939275678022886</v>
      </c>
      <c r="AK54" s="15">
        <f t="shared" si="6"/>
        <v>1.0591616776628119</v>
      </c>
      <c r="AL54" s="56">
        <v>29.24</v>
      </c>
      <c r="AM54">
        <f>AI54</f>
        <v>41.741205592903178</v>
      </c>
      <c r="AN54" s="57">
        <f t="shared" si="7"/>
        <v>1</v>
      </c>
      <c r="AO54" s="5">
        <f t="shared" si="8"/>
        <v>2</v>
      </c>
      <c r="AP54" s="5">
        <f t="shared" si="2"/>
        <v>41.741205592903178</v>
      </c>
    </row>
    <row r="55" spans="1:42" ht="15">
      <c r="A55" s="15">
        <v>50</v>
      </c>
      <c r="B55" s="20" t="s">
        <v>1357</v>
      </c>
      <c r="C55" s="20">
        <v>150</v>
      </c>
      <c r="D55" s="15">
        <v>150</v>
      </c>
      <c r="E55" s="15">
        <v>300</v>
      </c>
      <c r="F55" s="15">
        <v>10.7</v>
      </c>
      <c r="G55" s="15">
        <v>10.7</v>
      </c>
      <c r="H55" s="15">
        <v>7.1</v>
      </c>
      <c r="I55" s="15">
        <v>15</v>
      </c>
      <c r="J55" s="15">
        <v>15</v>
      </c>
      <c r="K55" s="15">
        <v>3402.6711432915999</v>
      </c>
      <c r="L55" s="15">
        <v>5264.0299999999979</v>
      </c>
      <c r="M55" s="15"/>
      <c r="N55" s="15"/>
      <c r="O55" s="15"/>
      <c r="P55" s="15">
        <v>81490744.332891658</v>
      </c>
      <c r="Q55" s="15"/>
      <c r="R55" s="15"/>
      <c r="S55" s="15">
        <v>862.20192876469275</v>
      </c>
      <c r="T55" s="15">
        <v>690</v>
      </c>
      <c r="U55" s="15">
        <v>210000</v>
      </c>
      <c r="V55" s="15">
        <f t="shared" si="3"/>
        <v>4.2126798593502945</v>
      </c>
      <c r="W55" s="15">
        <v>4.3453799999999996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1453</v>
      </c>
      <c r="AF55" s="30" t="s">
        <v>219</v>
      </c>
      <c r="AG55" s="17">
        <f t="shared" si="4"/>
        <v>3746.5950172155203</v>
      </c>
      <c r="AH55" s="17">
        <v>14449.464843009309</v>
      </c>
      <c r="AI55" s="62">
        <v>16.919143685558574</v>
      </c>
      <c r="AJ55" s="17">
        <f t="shared" si="5"/>
        <v>0.49898792796704811</v>
      </c>
      <c r="AK55" s="15">
        <f t="shared" si="6"/>
        <v>1.0315001721185078</v>
      </c>
      <c r="AL55" s="5">
        <v>29.24</v>
      </c>
      <c r="AM55">
        <v>14.923</v>
      </c>
      <c r="AN55">
        <f t="shared" si="7"/>
        <v>1.1337628952327665</v>
      </c>
      <c r="AO55" s="5">
        <f t="shared" si="8"/>
        <v>2</v>
      </c>
      <c r="AP55" s="5">
        <f t="shared" si="2"/>
        <v>16.919143685558574</v>
      </c>
    </row>
    <row r="56" spans="1:42" ht="15">
      <c r="A56" s="15">
        <v>51</v>
      </c>
      <c r="B56" s="20" t="s">
        <v>1358</v>
      </c>
      <c r="C56" s="20">
        <v>150</v>
      </c>
      <c r="D56" s="15">
        <v>150</v>
      </c>
      <c r="E56" s="15">
        <v>300</v>
      </c>
      <c r="F56" s="15">
        <v>10.7</v>
      </c>
      <c r="G56" s="15">
        <v>10.7</v>
      </c>
      <c r="H56" s="15">
        <v>7.1</v>
      </c>
      <c r="I56" s="15">
        <v>15</v>
      </c>
      <c r="J56" s="15">
        <v>15</v>
      </c>
      <c r="K56" s="15">
        <v>5104.0067149373999</v>
      </c>
      <c r="L56" s="15">
        <v>5264.0299999999979</v>
      </c>
      <c r="M56" s="15"/>
      <c r="N56" s="15"/>
      <c r="O56" s="15"/>
      <c r="P56" s="15">
        <v>81490744.332891598</v>
      </c>
      <c r="Q56" s="15"/>
      <c r="R56" s="15"/>
      <c r="S56" s="15">
        <v>709.34111902881727</v>
      </c>
      <c r="T56" s="15">
        <v>690</v>
      </c>
      <c r="U56" s="15">
        <v>210000</v>
      </c>
      <c r="V56" s="15">
        <f t="shared" si="3"/>
        <v>5.1204992951387611</v>
      </c>
      <c r="W56" s="15">
        <v>4.9325299999999999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1454</v>
      </c>
      <c r="AF56" s="22" t="s">
        <v>5</v>
      </c>
      <c r="AG56" s="17">
        <f t="shared" si="4"/>
        <v>3498.846349843212</v>
      </c>
      <c r="AH56" s="17">
        <v>11887.701963034044</v>
      </c>
      <c r="AI56" s="62">
        <v>9.1400740630391706</v>
      </c>
      <c r="AJ56" s="17">
        <f t="shared" si="5"/>
        <v>0.74848189195057235</v>
      </c>
      <c r="AK56" s="15">
        <f t="shared" si="6"/>
        <v>0.96329082686971301</v>
      </c>
      <c r="AL56" s="5">
        <v>29.24</v>
      </c>
      <c r="AM56">
        <v>8.7571999999999992</v>
      </c>
      <c r="AN56">
        <f t="shared" si="7"/>
        <v>1.0437210595897286</v>
      </c>
      <c r="AO56" s="5">
        <f t="shared" si="8"/>
        <v>2</v>
      </c>
      <c r="AP56" s="5">
        <f t="shared" si="2"/>
        <v>9.1400740630391706</v>
      </c>
    </row>
    <row r="57" spans="1:42" ht="15">
      <c r="A57" s="15">
        <v>52</v>
      </c>
      <c r="B57" s="20" t="s">
        <v>1359</v>
      </c>
      <c r="C57" s="20">
        <v>150</v>
      </c>
      <c r="D57" s="15">
        <v>150</v>
      </c>
      <c r="E57" s="15">
        <v>300</v>
      </c>
      <c r="F57" s="15">
        <v>10.7</v>
      </c>
      <c r="G57" s="15">
        <v>10.7</v>
      </c>
      <c r="H57" s="15">
        <v>7.1</v>
      </c>
      <c r="I57" s="15">
        <v>15</v>
      </c>
      <c r="J57" s="15">
        <v>15</v>
      </c>
      <c r="K57" s="15">
        <v>6805.3422865831999</v>
      </c>
      <c r="L57" s="15">
        <v>5264.0299999999979</v>
      </c>
      <c r="M57" s="15"/>
      <c r="N57" s="15"/>
      <c r="O57" s="15"/>
      <c r="P57" s="15">
        <v>81490744.332891598</v>
      </c>
      <c r="Q57" s="15"/>
      <c r="R57" s="15"/>
      <c r="S57" s="15">
        <v>552.24368228841524</v>
      </c>
      <c r="T57" s="15">
        <v>690</v>
      </c>
      <c r="U57" s="15">
        <v>210000</v>
      </c>
      <c r="V57" s="15">
        <f t="shared" si="3"/>
        <v>6.5771340016942972</v>
      </c>
      <c r="W57" s="15">
        <v>5.3239299999999998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1455</v>
      </c>
      <c r="AF57" s="22" t="s">
        <v>5</v>
      </c>
      <c r="AG57" s="17">
        <f t="shared" si="4"/>
        <v>2940.1067074457624</v>
      </c>
      <c r="AH57" s="17">
        <v>9254.938322201564</v>
      </c>
      <c r="AI57" s="62">
        <v>6.6038411966463073</v>
      </c>
      <c r="AJ57" s="17">
        <f t="shared" si="5"/>
        <v>0.99797585593409655</v>
      </c>
      <c r="AK57" s="15">
        <f t="shared" si="6"/>
        <v>0.80946047300063118</v>
      </c>
      <c r="AL57" s="5">
        <v>29.24</v>
      </c>
      <c r="AM57">
        <v>6.5262000000000002</v>
      </c>
      <c r="AN57">
        <f t="shared" si="7"/>
        <v>1.0118968460430737</v>
      </c>
      <c r="AO57" s="5">
        <f t="shared" si="8"/>
        <v>2</v>
      </c>
      <c r="AP57" s="5">
        <f t="shared" si="2"/>
        <v>6.6038411966463073</v>
      </c>
    </row>
    <row r="58" spans="1:42" ht="15">
      <c r="A58" s="15">
        <v>53</v>
      </c>
      <c r="B58" s="20" t="s">
        <v>1360</v>
      </c>
      <c r="C58" s="20">
        <v>150</v>
      </c>
      <c r="D58" s="15">
        <v>150</v>
      </c>
      <c r="E58" s="15">
        <v>300</v>
      </c>
      <c r="F58" s="15">
        <v>10.7</v>
      </c>
      <c r="G58" s="15">
        <v>10.7</v>
      </c>
      <c r="H58" s="15">
        <v>7.1</v>
      </c>
      <c r="I58" s="15">
        <v>15</v>
      </c>
      <c r="J58" s="15">
        <v>15</v>
      </c>
      <c r="K58" s="15">
        <v>9051.1052411556575</v>
      </c>
      <c r="L58" s="15">
        <v>5264.0299999999979</v>
      </c>
      <c r="M58" s="15"/>
      <c r="N58" s="15"/>
      <c r="O58" s="15"/>
      <c r="P58" s="15">
        <v>81490744.332891598</v>
      </c>
      <c r="Q58" s="15"/>
      <c r="R58" s="15"/>
      <c r="S58" s="15">
        <v>384.97044053692662</v>
      </c>
      <c r="T58" s="15">
        <v>690</v>
      </c>
      <c r="U58" s="15">
        <v>210000</v>
      </c>
      <c r="V58" s="15">
        <f t="shared" si="3"/>
        <v>9.4349599801328061</v>
      </c>
      <c r="W58" s="15">
        <v>5.0627399999999998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1456</v>
      </c>
      <c r="AF58" s="22" t="s">
        <v>5</v>
      </c>
      <c r="AG58" s="17">
        <f t="shared" si="4"/>
        <v>1949.0052481239197</v>
      </c>
      <c r="AH58" s="17">
        <v>6451.6404574806329</v>
      </c>
      <c r="AI58" s="62">
        <v>5.3554591554203705</v>
      </c>
      <c r="AJ58" s="17">
        <f t="shared" si="5"/>
        <v>1.3273078883923486</v>
      </c>
      <c r="AK58" s="15">
        <f t="shared" si="6"/>
        <v>0.53659369098126652</v>
      </c>
      <c r="AL58" s="5">
        <v>29.24</v>
      </c>
      <c r="AM58">
        <v>5.3661000000000003</v>
      </c>
      <c r="AN58">
        <f t="shared" si="7"/>
        <v>0.99801702454676022</v>
      </c>
      <c r="AO58" s="5">
        <f t="shared" si="8"/>
        <v>2</v>
      </c>
      <c r="AP58" s="5">
        <f t="shared" si="2"/>
        <v>5.3554591554203705</v>
      </c>
    </row>
    <row r="59" spans="1:42" ht="15">
      <c r="A59" s="15">
        <v>54</v>
      </c>
      <c r="B59" s="20" t="s">
        <v>1361</v>
      </c>
      <c r="C59" s="20">
        <v>150</v>
      </c>
      <c r="D59" s="15">
        <v>150</v>
      </c>
      <c r="E59" s="15">
        <v>300</v>
      </c>
      <c r="F59" s="15">
        <v>10.7</v>
      </c>
      <c r="G59" s="15">
        <v>10.7</v>
      </c>
      <c r="H59" s="15">
        <v>7.1</v>
      </c>
      <c r="I59" s="15">
        <v>15</v>
      </c>
      <c r="J59" s="15">
        <v>15</v>
      </c>
      <c r="K59" s="15">
        <v>11364.921618593944</v>
      </c>
      <c r="L59" s="15">
        <v>5264.0299999999979</v>
      </c>
      <c r="M59" s="15"/>
      <c r="N59" s="15"/>
      <c r="O59" s="15"/>
      <c r="P59" s="15">
        <v>81490744.332891598</v>
      </c>
      <c r="Q59" s="15"/>
      <c r="R59" s="15"/>
      <c r="S59" s="15">
        <v>271.34707168511545</v>
      </c>
      <c r="T59" s="15">
        <v>690</v>
      </c>
      <c r="U59" s="15">
        <v>210000</v>
      </c>
      <c r="V59" s="15">
        <f t="shared" si="3"/>
        <v>13.385737599611765</v>
      </c>
      <c r="W59" s="15">
        <v>4.6974400000000003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1457</v>
      </c>
      <c r="AF59" s="22" t="s">
        <v>5</v>
      </c>
      <c r="AG59" s="17">
        <f t="shared" si="4"/>
        <v>1274.6365884165289</v>
      </c>
      <c r="AH59" s="17">
        <v>4547.4497814973574</v>
      </c>
      <c r="AI59" s="62">
        <v>4.8191372576773679</v>
      </c>
      <c r="AJ59" s="17">
        <f t="shared" si="5"/>
        <v>1.6666196794099413</v>
      </c>
      <c r="AK59" s="15">
        <f t="shared" si="6"/>
        <v>0.35092873777357197</v>
      </c>
      <c r="AL59" s="5">
        <v>29.24</v>
      </c>
      <c r="AM59">
        <v>4.8705999999999996</v>
      </c>
      <c r="AN59">
        <f t="shared" si="7"/>
        <v>0.98943400354727717</v>
      </c>
      <c r="AO59" s="5">
        <f t="shared" si="8"/>
        <v>2</v>
      </c>
      <c r="AP59" s="5">
        <f t="shared" si="2"/>
        <v>4.8191372576773679</v>
      </c>
    </row>
    <row r="60" spans="1:42" ht="15">
      <c r="A60" s="15">
        <v>55</v>
      </c>
      <c r="B60" s="20" t="s">
        <v>1362</v>
      </c>
      <c r="C60" s="20">
        <v>150</v>
      </c>
      <c r="D60" s="15">
        <v>150</v>
      </c>
      <c r="E60" s="15">
        <v>300</v>
      </c>
      <c r="F60" s="15">
        <v>10.7</v>
      </c>
      <c r="G60" s="15">
        <v>10.7</v>
      </c>
      <c r="H60" s="15">
        <v>7.1</v>
      </c>
      <c r="I60" s="15">
        <v>15</v>
      </c>
      <c r="J60" s="15">
        <v>15</v>
      </c>
      <c r="K60" s="15">
        <v>13610.6845731664</v>
      </c>
      <c r="L60" s="15">
        <v>5264.0299999999979</v>
      </c>
      <c r="M60" s="15"/>
      <c r="N60" s="15"/>
      <c r="O60" s="15"/>
      <c r="P60" s="15">
        <v>81490744.332891598</v>
      </c>
      <c r="Q60" s="15"/>
      <c r="R60" s="15"/>
      <c r="S60" s="15">
        <v>200.65444248052731</v>
      </c>
      <c r="T60" s="15">
        <v>690</v>
      </c>
      <c r="U60" s="15">
        <v>210000</v>
      </c>
      <c r="V60" s="15">
        <f t="shared" si="3"/>
        <v>18.101670987685644</v>
      </c>
      <c r="W60" s="15">
        <v>4.40862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1458</v>
      </c>
      <c r="AF60" s="22" t="s">
        <v>5</v>
      </c>
      <c r="AG60" s="17">
        <f t="shared" si="4"/>
        <v>884.60918820850225</v>
      </c>
      <c r="AH60" s="17">
        <v>3362.7265440823276</v>
      </c>
      <c r="AI60" s="62">
        <v>4.5437937164508719</v>
      </c>
      <c r="AJ60" s="17">
        <f t="shared" si="5"/>
        <v>1.9959517118681931</v>
      </c>
      <c r="AK60" s="15">
        <f t="shared" si="6"/>
        <v>0.24354768148195449</v>
      </c>
      <c r="AL60" s="5">
        <v>29.24</v>
      </c>
      <c r="AM60">
        <v>4.6132999999999997</v>
      </c>
      <c r="AN60">
        <f t="shared" si="7"/>
        <v>0.98493350019527715</v>
      </c>
      <c r="AO60" s="5">
        <f t="shared" si="8"/>
        <v>2</v>
      </c>
      <c r="AP60" s="5">
        <f t="shared" si="2"/>
        <v>4.5437937164508719</v>
      </c>
    </row>
    <row r="61" spans="1:42" ht="15">
      <c r="A61" s="15">
        <v>56</v>
      </c>
      <c r="B61" s="20" t="s">
        <v>1363</v>
      </c>
      <c r="C61" s="20">
        <v>150</v>
      </c>
      <c r="D61" s="15">
        <v>150</v>
      </c>
      <c r="E61" s="15">
        <v>300</v>
      </c>
      <c r="F61" s="15">
        <v>10.7</v>
      </c>
      <c r="G61" s="15">
        <v>10.7</v>
      </c>
      <c r="H61" s="15">
        <v>7.1</v>
      </c>
      <c r="I61" s="15">
        <v>15</v>
      </c>
      <c r="J61" s="15">
        <v>15</v>
      </c>
      <c r="K61" s="15">
        <v>17013.355716458002</v>
      </c>
      <c r="L61" s="15">
        <v>5264.0299999999979</v>
      </c>
      <c r="M61" s="15"/>
      <c r="N61" s="15"/>
      <c r="O61" s="15"/>
      <c r="P61" s="15">
        <v>81490744.332891598</v>
      </c>
      <c r="Q61" s="15"/>
      <c r="R61" s="15"/>
      <c r="S61" s="15">
        <v>135.48515577202551</v>
      </c>
      <c r="T61" s="15">
        <v>690</v>
      </c>
      <c r="U61" s="15">
        <v>210000</v>
      </c>
      <c r="V61" s="15">
        <f t="shared" si="3"/>
        <v>26.808698556701657</v>
      </c>
      <c r="W61" s="15">
        <v>4.1677200000000001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1459</v>
      </c>
      <c r="AF61" s="22" t="s">
        <v>5</v>
      </c>
      <c r="AG61" s="17">
        <f t="shared" si="4"/>
        <v>564.66419341418612</v>
      </c>
      <c r="AH61" s="17">
        <v>2270.5678678802901</v>
      </c>
      <c r="AI61" s="62">
        <v>4.3068093284792406</v>
      </c>
      <c r="AJ61" s="17">
        <f t="shared" si="5"/>
        <v>2.4949396398352417</v>
      </c>
      <c r="AK61" s="15">
        <f t="shared" si="6"/>
        <v>0.15546148169725868</v>
      </c>
      <c r="AL61" s="5">
        <v>29.24</v>
      </c>
      <c r="AM61">
        <v>4.3894000000000002</v>
      </c>
      <c r="AN61">
        <f t="shared" si="7"/>
        <v>0.98118406353470644</v>
      </c>
      <c r="AO61" s="5">
        <f t="shared" si="8"/>
        <v>2</v>
      </c>
      <c r="AP61" s="5">
        <f t="shared" si="2"/>
        <v>4.3068093284792406</v>
      </c>
    </row>
    <row r="62" spans="1:42" ht="15">
      <c r="A62" s="15">
        <v>57</v>
      </c>
      <c r="B62" s="20" t="s">
        <v>1364</v>
      </c>
      <c r="C62" s="20">
        <v>170</v>
      </c>
      <c r="D62" s="15">
        <v>170</v>
      </c>
      <c r="E62" s="15">
        <v>360</v>
      </c>
      <c r="F62" s="15">
        <v>12.7</v>
      </c>
      <c r="G62" s="15">
        <v>12.7</v>
      </c>
      <c r="H62" s="15">
        <v>8</v>
      </c>
      <c r="I62" s="15">
        <v>18</v>
      </c>
      <c r="J62" s="15">
        <v>18</v>
      </c>
      <c r="K62" s="15">
        <v>2449.4469354778753</v>
      </c>
      <c r="L62" s="15">
        <v>7096.399999999996</v>
      </c>
      <c r="M62" s="15"/>
      <c r="N62" s="15"/>
      <c r="O62" s="15"/>
      <c r="P62" s="15">
        <v>158133287.76633328</v>
      </c>
      <c r="Q62" s="15"/>
      <c r="R62" s="15"/>
      <c r="S62" s="15">
        <v>1308.8509447367073</v>
      </c>
      <c r="T62" s="15">
        <v>690</v>
      </c>
      <c r="U62" s="15">
        <v>210000</v>
      </c>
      <c r="V62" s="15">
        <f t="shared" si="3"/>
        <v>3.7410799294529267</v>
      </c>
      <c r="W62" s="15">
        <v>3.9558599999999999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1460</v>
      </c>
      <c r="AF62" s="22" t="s">
        <v>5</v>
      </c>
      <c r="AG62" s="17">
        <f t="shared" si="4"/>
        <v>5177.6310982461509</v>
      </c>
      <c r="AH62" s="17">
        <v>11606.268217375113</v>
      </c>
      <c r="AI62" s="62">
        <v>41.73650504173375</v>
      </c>
      <c r="AJ62" s="17">
        <f t="shared" si="5"/>
        <v>0.29939218103412951</v>
      </c>
      <c r="AK62" s="15">
        <f t="shared" si="6"/>
        <v>1.0574112487830436</v>
      </c>
      <c r="AL62" s="56">
        <v>14.43</v>
      </c>
      <c r="AM62">
        <f>AI62</f>
        <v>41.73650504173375</v>
      </c>
      <c r="AN62" s="57">
        <f t="shared" si="7"/>
        <v>1</v>
      </c>
      <c r="AO62" s="5">
        <f t="shared" si="8"/>
        <v>2.1176470588235294</v>
      </c>
      <c r="AP62" s="5">
        <f t="shared" si="2"/>
        <v>41.73650504173375</v>
      </c>
    </row>
    <row r="63" spans="1:42" ht="15">
      <c r="A63" s="15">
        <v>58</v>
      </c>
      <c r="B63" s="20" t="s">
        <v>1365</v>
      </c>
      <c r="C63" s="20">
        <v>170</v>
      </c>
      <c r="D63" s="15">
        <v>170</v>
      </c>
      <c r="E63" s="15">
        <v>360</v>
      </c>
      <c r="F63" s="15">
        <v>12.7</v>
      </c>
      <c r="G63" s="15">
        <v>12.7</v>
      </c>
      <c r="H63" s="15">
        <v>8</v>
      </c>
      <c r="I63" s="15">
        <v>18</v>
      </c>
      <c r="J63" s="15">
        <v>18</v>
      </c>
      <c r="K63" s="15">
        <v>4082.4115591297923</v>
      </c>
      <c r="L63" s="15">
        <v>7096.399999999996</v>
      </c>
      <c r="M63" s="15"/>
      <c r="N63" s="15"/>
      <c r="O63" s="15"/>
      <c r="P63" s="15">
        <v>158133287.76633328</v>
      </c>
      <c r="Q63" s="15"/>
      <c r="R63" s="15"/>
      <c r="S63" s="15">
        <v>1162.4634355275909</v>
      </c>
      <c r="T63" s="15">
        <v>690</v>
      </c>
      <c r="U63" s="15">
        <v>210000</v>
      </c>
      <c r="V63" s="15">
        <f t="shared" si="3"/>
        <v>4.2121892614864773</v>
      </c>
      <c r="W63" s="15">
        <v>4.3444099999999999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1461</v>
      </c>
      <c r="AF63" s="30" t="s">
        <v>219</v>
      </c>
      <c r="AG63" s="17">
        <f t="shared" si="4"/>
        <v>5050.2177739404215</v>
      </c>
      <c r="AH63" s="17">
        <v>10308.173348446966</v>
      </c>
      <c r="AI63" s="62">
        <v>16.91723839079031</v>
      </c>
      <c r="AJ63" s="17">
        <f t="shared" si="5"/>
        <v>0.49898696839021595</v>
      </c>
      <c r="AK63" s="15">
        <f t="shared" si="6"/>
        <v>1.031390027917896</v>
      </c>
      <c r="AL63" s="5">
        <v>14.43</v>
      </c>
      <c r="AM63">
        <v>14.925000000000001</v>
      </c>
      <c r="AN63">
        <f t="shared" si="7"/>
        <v>1.1334833092656824</v>
      </c>
      <c r="AO63" s="5">
        <f t="shared" si="8"/>
        <v>2.1176470588235294</v>
      </c>
      <c r="AP63" s="5">
        <f t="shared" si="2"/>
        <v>16.91723839079031</v>
      </c>
    </row>
    <row r="64" spans="1:42" ht="15">
      <c r="A64" s="15">
        <v>59</v>
      </c>
      <c r="B64" s="20" t="s">
        <v>1366</v>
      </c>
      <c r="C64" s="20">
        <v>170</v>
      </c>
      <c r="D64" s="15">
        <v>170</v>
      </c>
      <c r="E64" s="15">
        <v>360</v>
      </c>
      <c r="F64" s="15">
        <v>12.7</v>
      </c>
      <c r="G64" s="15">
        <v>12.7</v>
      </c>
      <c r="H64" s="15">
        <v>8</v>
      </c>
      <c r="I64" s="15">
        <v>18</v>
      </c>
      <c r="J64" s="15">
        <v>18</v>
      </c>
      <c r="K64" s="15">
        <v>6123.6173386946884</v>
      </c>
      <c r="L64" s="15">
        <v>7096.399999999996</v>
      </c>
      <c r="M64" s="15"/>
      <c r="N64" s="15"/>
      <c r="O64" s="15"/>
      <c r="P64" s="15">
        <v>158133287.76633328</v>
      </c>
      <c r="Q64" s="15"/>
      <c r="R64" s="15"/>
      <c r="S64" s="15">
        <v>956.36890463540738</v>
      </c>
      <c r="T64" s="15">
        <v>690</v>
      </c>
      <c r="U64" s="15">
        <v>210000</v>
      </c>
      <c r="V64" s="15">
        <f t="shared" si="3"/>
        <v>5.119902974957844</v>
      </c>
      <c r="W64" s="15">
        <v>4.9306700000000001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1462</v>
      </c>
      <c r="AF64" s="22" t="s">
        <v>5</v>
      </c>
      <c r="AG64" s="17">
        <f t="shared" si="4"/>
        <v>4715.5394670186643</v>
      </c>
      <c r="AH64" s="17">
        <v>8480.6249837628839</v>
      </c>
      <c r="AI64" s="62">
        <v>9.1390447830934836</v>
      </c>
      <c r="AJ64" s="17">
        <f t="shared" si="5"/>
        <v>0.74848045258532392</v>
      </c>
      <c r="AK64" s="15">
        <f t="shared" si="6"/>
        <v>0.96303973417398558</v>
      </c>
      <c r="AL64" s="5">
        <v>14.43</v>
      </c>
      <c r="AM64">
        <v>8.7510999999999992</v>
      </c>
      <c r="AN64">
        <f t="shared" si="7"/>
        <v>1.0443309736025739</v>
      </c>
      <c r="AO64" s="5">
        <f t="shared" si="8"/>
        <v>2.1176470588235294</v>
      </c>
      <c r="AP64" s="5">
        <f t="shared" si="2"/>
        <v>9.1390447830934836</v>
      </c>
    </row>
    <row r="65" spans="1:42" ht="15">
      <c r="A65" s="15">
        <v>60</v>
      </c>
      <c r="B65" s="20" t="s">
        <v>1367</v>
      </c>
      <c r="C65" s="20">
        <v>170</v>
      </c>
      <c r="D65" s="15">
        <v>170</v>
      </c>
      <c r="E65" s="15">
        <v>360</v>
      </c>
      <c r="F65" s="15">
        <v>12.7</v>
      </c>
      <c r="G65" s="15">
        <v>12.7</v>
      </c>
      <c r="H65" s="15">
        <v>8</v>
      </c>
      <c r="I65" s="15">
        <v>18</v>
      </c>
      <c r="J65" s="15">
        <v>18</v>
      </c>
      <c r="K65" s="15">
        <v>8164.8231182595846</v>
      </c>
      <c r="L65" s="15">
        <v>7096.399999999996</v>
      </c>
      <c r="M65" s="15"/>
      <c r="N65" s="15"/>
      <c r="O65" s="15"/>
      <c r="P65" s="15">
        <v>158133287.76633328</v>
      </c>
      <c r="Q65" s="15"/>
      <c r="R65" s="15"/>
      <c r="S65" s="15">
        <v>744.56234293184878</v>
      </c>
      <c r="T65" s="15">
        <v>690</v>
      </c>
      <c r="U65" s="15">
        <v>210000</v>
      </c>
      <c r="V65" s="15">
        <f t="shared" si="3"/>
        <v>6.5763680455810869</v>
      </c>
      <c r="W65" s="15">
        <v>5.3245800000000001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1463</v>
      </c>
      <c r="AF65" s="22" t="s">
        <v>5</v>
      </c>
      <c r="AG65" s="17">
        <f t="shared" si="4"/>
        <v>3964.4817599280636</v>
      </c>
      <c r="AH65" s="17">
        <v>6602.4250441769227</v>
      </c>
      <c r="AI65" s="62">
        <v>6.6030975263804725</v>
      </c>
      <c r="AJ65" s="17">
        <f t="shared" si="5"/>
        <v>0.99797393678043189</v>
      </c>
      <c r="AK65" s="15">
        <f t="shared" si="6"/>
        <v>0.80965359041572937</v>
      </c>
      <c r="AL65" s="5">
        <v>14.43</v>
      </c>
      <c r="AM65">
        <v>6.5186000000000002</v>
      </c>
      <c r="AN65">
        <f t="shared" si="7"/>
        <v>1.0129625266745117</v>
      </c>
      <c r="AO65" s="5">
        <f t="shared" si="8"/>
        <v>2.1176470588235294</v>
      </c>
      <c r="AP65" s="5">
        <f t="shared" si="2"/>
        <v>6.6030975263804725</v>
      </c>
    </row>
    <row r="66" spans="1:42" ht="15">
      <c r="A66" s="15">
        <v>61</v>
      </c>
      <c r="B66" s="20" t="s">
        <v>1368</v>
      </c>
      <c r="C66" s="20">
        <v>170</v>
      </c>
      <c r="D66" s="15">
        <v>170</v>
      </c>
      <c r="E66" s="15">
        <v>360</v>
      </c>
      <c r="F66" s="15">
        <v>12.7</v>
      </c>
      <c r="G66" s="15">
        <v>12.7</v>
      </c>
      <c r="H66" s="15">
        <v>8</v>
      </c>
      <c r="I66" s="15">
        <v>18</v>
      </c>
      <c r="J66" s="15">
        <v>18</v>
      </c>
      <c r="K66" s="15">
        <v>10859.214747285248</v>
      </c>
      <c r="L66" s="15">
        <v>7096.399999999996</v>
      </c>
      <c r="M66" s="15"/>
      <c r="N66" s="15"/>
      <c r="O66" s="15"/>
      <c r="P66" s="15">
        <v>158133287.76633328</v>
      </c>
      <c r="Q66" s="15"/>
      <c r="R66" s="15"/>
      <c r="S66" s="15">
        <v>519.03625583892529</v>
      </c>
      <c r="T66" s="15">
        <v>690</v>
      </c>
      <c r="U66" s="15">
        <v>210000</v>
      </c>
      <c r="V66" s="15">
        <f t="shared" si="3"/>
        <v>9.4338612089548395</v>
      </c>
      <c r="W66" s="15">
        <v>5.0668300000000004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1464</v>
      </c>
      <c r="AF66" s="22" t="s">
        <v>5</v>
      </c>
      <c r="AG66" s="17">
        <f t="shared" si="4"/>
        <v>2629.8684721723421</v>
      </c>
      <c r="AH66" s="17">
        <v>4602.566872899738</v>
      </c>
      <c r="AI66" s="62">
        <v>5.3548560676695933</v>
      </c>
      <c r="AJ66" s="17">
        <f t="shared" si="5"/>
        <v>1.3273053359179745</v>
      </c>
      <c r="AK66" s="15">
        <f t="shared" si="6"/>
        <v>0.53708973322508158</v>
      </c>
      <c r="AL66" s="5">
        <v>14.43</v>
      </c>
      <c r="AM66">
        <v>5.3555999999999999</v>
      </c>
      <c r="AN66">
        <f t="shared" si="7"/>
        <v>0.99986109262633382</v>
      </c>
      <c r="AO66" s="5">
        <f t="shared" si="8"/>
        <v>2.1176470588235294</v>
      </c>
      <c r="AP66" s="5">
        <f t="shared" si="2"/>
        <v>5.3548560676695933</v>
      </c>
    </row>
    <row r="67" spans="1:42" ht="15">
      <c r="A67" s="15">
        <v>62</v>
      </c>
      <c r="B67" s="20" t="s">
        <v>1369</v>
      </c>
      <c r="C67" s="20">
        <v>170</v>
      </c>
      <c r="D67" s="15">
        <v>170</v>
      </c>
      <c r="E67" s="15">
        <v>360</v>
      </c>
      <c r="F67" s="15">
        <v>12.7</v>
      </c>
      <c r="G67" s="15">
        <v>12.7</v>
      </c>
      <c r="H67" s="15">
        <v>8</v>
      </c>
      <c r="I67" s="15">
        <v>18</v>
      </c>
      <c r="J67" s="15">
        <v>18</v>
      </c>
      <c r="K67" s="15">
        <v>13635.254607493505</v>
      </c>
      <c r="L67" s="15">
        <v>7096.399999999996</v>
      </c>
      <c r="M67" s="15"/>
      <c r="N67" s="15"/>
      <c r="O67" s="15"/>
      <c r="P67" s="15">
        <v>158133287.76633328</v>
      </c>
      <c r="Q67" s="15"/>
      <c r="R67" s="15"/>
      <c r="S67" s="15">
        <v>365.84359028674407</v>
      </c>
      <c r="T67" s="15">
        <v>690</v>
      </c>
      <c r="U67" s="15">
        <v>210000</v>
      </c>
      <c r="V67" s="15">
        <f t="shared" si="3"/>
        <v>13.384178731031378</v>
      </c>
      <c r="W67" s="15">
        <v>4.70207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1465</v>
      </c>
      <c r="AF67" s="22" t="s">
        <v>5</v>
      </c>
      <c r="AG67" s="17">
        <f t="shared" si="4"/>
        <v>1720.2221705795907</v>
      </c>
      <c r="AH67" s="17">
        <v>3244.127111303414</v>
      </c>
      <c r="AI67" s="62">
        <v>4.8185945660864018</v>
      </c>
      <c r="AJ67" s="17">
        <f t="shared" si="5"/>
        <v>1.6666164744233212</v>
      </c>
      <c r="AK67" s="15">
        <f t="shared" si="6"/>
        <v>0.35131554161767092</v>
      </c>
      <c r="AL67" s="5">
        <v>14.43</v>
      </c>
      <c r="AM67">
        <v>4.8601000000000001</v>
      </c>
      <c r="AN67">
        <f t="shared" si="7"/>
        <v>0.99145996298150274</v>
      </c>
      <c r="AO67" s="5">
        <f t="shared" si="8"/>
        <v>2.1176470588235294</v>
      </c>
      <c r="AP67" s="5">
        <f t="shared" si="2"/>
        <v>4.8185945660864018</v>
      </c>
    </row>
    <row r="68" spans="1:42" ht="15">
      <c r="A68" s="15">
        <v>63</v>
      </c>
      <c r="B68" s="20" t="s">
        <v>1370</v>
      </c>
      <c r="C68" s="20">
        <v>170</v>
      </c>
      <c r="D68" s="15">
        <v>170</v>
      </c>
      <c r="E68" s="15">
        <v>360</v>
      </c>
      <c r="F68" s="15">
        <v>12.7</v>
      </c>
      <c r="G68" s="15">
        <v>12.7</v>
      </c>
      <c r="H68" s="15">
        <v>8</v>
      </c>
      <c r="I68" s="15">
        <v>18</v>
      </c>
      <c r="J68" s="15">
        <v>18</v>
      </c>
      <c r="K68" s="15">
        <v>16329.646236519169</v>
      </c>
      <c r="L68" s="15">
        <v>7096.399999999996</v>
      </c>
      <c r="M68" s="15"/>
      <c r="N68" s="15"/>
      <c r="O68" s="15"/>
      <c r="P68" s="15">
        <v>158133287.76633328</v>
      </c>
      <c r="Q68" s="15"/>
      <c r="R68" s="15"/>
      <c r="S68" s="15">
        <v>270.53227878297338</v>
      </c>
      <c r="T68" s="15">
        <v>690</v>
      </c>
      <c r="U68" s="15">
        <v>210000</v>
      </c>
      <c r="V68" s="15">
        <f t="shared" si="3"/>
        <v>18.099562913629558</v>
      </c>
      <c r="W68" s="15">
        <v>4.4128800000000004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1466</v>
      </c>
      <c r="AF68" s="22" t="s">
        <v>5</v>
      </c>
      <c r="AG68" s="17">
        <f t="shared" si="4"/>
        <v>1193.8264823958077</v>
      </c>
      <c r="AH68" s="17">
        <v>2398.9516924285917</v>
      </c>
      <c r="AI68" s="62">
        <v>4.5432820317842673</v>
      </c>
      <c r="AJ68" s="17">
        <f t="shared" si="5"/>
        <v>1.9959478735608638</v>
      </c>
      <c r="AK68" s="15">
        <f t="shared" si="6"/>
        <v>0.24381141252184374</v>
      </c>
      <c r="AL68" s="5">
        <v>14.43</v>
      </c>
      <c r="AM68">
        <v>4.6029</v>
      </c>
      <c r="AN68">
        <f t="shared" si="7"/>
        <v>0.98704773768369225</v>
      </c>
      <c r="AO68" s="5">
        <f t="shared" si="8"/>
        <v>2.1176470588235294</v>
      </c>
      <c r="AP68" s="5">
        <f t="shared" si="2"/>
        <v>4.5432820317842673</v>
      </c>
    </row>
    <row r="69" spans="1:42" ht="15">
      <c r="A69" s="15">
        <v>64</v>
      </c>
      <c r="B69" s="20" t="s">
        <v>1371</v>
      </c>
      <c r="C69" s="20">
        <v>170</v>
      </c>
      <c r="D69" s="15">
        <v>170</v>
      </c>
      <c r="E69" s="15">
        <v>360</v>
      </c>
      <c r="F69" s="15">
        <v>12.7</v>
      </c>
      <c r="G69" s="15">
        <v>12.7</v>
      </c>
      <c r="H69" s="15">
        <v>8</v>
      </c>
      <c r="I69" s="15">
        <v>18</v>
      </c>
      <c r="J69" s="15">
        <v>18</v>
      </c>
      <c r="K69" s="15">
        <v>20412.057795648961</v>
      </c>
      <c r="L69" s="15">
        <v>7096.399999999996</v>
      </c>
      <c r="M69" s="15"/>
      <c r="N69" s="15"/>
      <c r="O69" s="15"/>
      <c r="P69" s="15">
        <v>158133287.76633328</v>
      </c>
      <c r="Q69" s="15"/>
      <c r="R69" s="15"/>
      <c r="S69" s="15">
        <v>182.66781178208504</v>
      </c>
      <c r="T69" s="15">
        <v>690</v>
      </c>
      <c r="U69" s="15">
        <v>210000</v>
      </c>
      <c r="V69" s="15">
        <f t="shared" si="3"/>
        <v>26.805576484604376</v>
      </c>
      <c r="W69" s="15">
        <v>4.1718200000000003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1467</v>
      </c>
      <c r="AF69" s="22" t="s">
        <v>5</v>
      </c>
      <c r="AG69" s="17">
        <f t="shared" si="4"/>
        <v>762.05723054873806</v>
      </c>
      <c r="AH69" s="17">
        <v>1619.8113518956557</v>
      </c>
      <c r="AI69" s="62">
        <v>4.3063243310447428</v>
      </c>
      <c r="AJ69" s="17">
        <f t="shared" si="5"/>
        <v>2.4949348419510797</v>
      </c>
      <c r="AK69" s="15">
        <f t="shared" si="6"/>
        <v>0.15563254169877899</v>
      </c>
      <c r="AL69" s="5">
        <v>14.43</v>
      </c>
      <c r="AM69">
        <v>4.3789999999999996</v>
      </c>
      <c r="AN69">
        <f t="shared" si="7"/>
        <v>0.98340359238290553</v>
      </c>
      <c r="AO69" s="5">
        <f t="shared" si="8"/>
        <v>2.1176470588235294</v>
      </c>
      <c r="AP69" s="5">
        <f t="shared" si="2"/>
        <v>4.3063243310447428</v>
      </c>
    </row>
    <row r="70" spans="1:42" ht="15">
      <c r="A70" s="15">
        <v>65</v>
      </c>
      <c r="B70" s="20" t="s">
        <v>1372</v>
      </c>
      <c r="C70" s="20">
        <v>190</v>
      </c>
      <c r="D70" s="15">
        <v>190</v>
      </c>
      <c r="E70" s="15">
        <v>450</v>
      </c>
      <c r="F70" s="15">
        <v>14.6</v>
      </c>
      <c r="G70" s="15">
        <v>14.6</v>
      </c>
      <c r="H70" s="15">
        <v>9.4</v>
      </c>
      <c r="I70" s="15">
        <v>21</v>
      </c>
      <c r="J70" s="15">
        <v>21</v>
      </c>
      <c r="K70" s="15">
        <v>3023.7082421409277</v>
      </c>
      <c r="L70" s="15">
        <v>9640.760000000002</v>
      </c>
      <c r="M70" s="15"/>
      <c r="N70" s="15"/>
      <c r="O70" s="15"/>
      <c r="P70" s="15">
        <v>327594426.78013331</v>
      </c>
      <c r="Q70" s="15"/>
      <c r="R70" s="15"/>
      <c r="S70" s="15">
        <v>1778.2768814439576</v>
      </c>
      <c r="T70" s="15">
        <v>690</v>
      </c>
      <c r="U70" s="15">
        <v>210000</v>
      </c>
      <c r="V70" s="15">
        <f t="shared" si="3"/>
        <v>3.7407697695526969</v>
      </c>
      <c r="W70" s="15">
        <v>3.9398200000000001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1468</v>
      </c>
      <c r="AF70" s="22" t="s">
        <v>5</v>
      </c>
      <c r="AG70" s="17">
        <f t="shared" si="4"/>
        <v>7006.0908230505329</v>
      </c>
      <c r="AH70" s="17">
        <v>9806.7534760598755</v>
      </c>
      <c r="AI70" s="62">
        <v>41.761529376539173</v>
      </c>
      <c r="AJ70" s="17">
        <f t="shared" si="5"/>
        <v>0.29929005941332387</v>
      </c>
      <c r="AK70" s="15">
        <f t="shared" si="6"/>
        <v>1.0532110348162658</v>
      </c>
      <c r="AL70" s="56">
        <v>10.167</v>
      </c>
      <c r="AM70">
        <f>AI70</f>
        <v>41.761529376539173</v>
      </c>
      <c r="AN70" s="57">
        <f t="shared" ref="AN70:AN101" si="9">AI70/AM70</f>
        <v>1</v>
      </c>
      <c r="AO70" s="5">
        <f t="shared" si="8"/>
        <v>2.3684210526315788</v>
      </c>
      <c r="AP70" s="5">
        <f t="shared" ref="AP70:AP133" si="10">(PI()^2*U70*P70/K70^2)/(S70*1000)</f>
        <v>41.761529376539173</v>
      </c>
    </row>
    <row r="71" spans="1:42" ht="15">
      <c r="A71" s="15">
        <v>66</v>
      </c>
      <c r="B71" s="20" t="s">
        <v>1373</v>
      </c>
      <c r="C71" s="20">
        <v>190</v>
      </c>
      <c r="D71" s="15">
        <v>190</v>
      </c>
      <c r="E71" s="15">
        <v>450</v>
      </c>
      <c r="F71" s="15">
        <v>14.6</v>
      </c>
      <c r="G71" s="15">
        <v>14.6</v>
      </c>
      <c r="H71" s="15">
        <v>9.4</v>
      </c>
      <c r="I71" s="15">
        <v>21</v>
      </c>
      <c r="J71" s="15">
        <v>21</v>
      </c>
      <c r="K71" s="15">
        <v>5039.5137369015465</v>
      </c>
      <c r="L71" s="15">
        <v>9640.76</v>
      </c>
      <c r="M71" s="15"/>
      <c r="N71" s="15"/>
      <c r="O71" s="15"/>
      <c r="P71" s="15">
        <v>327594426.78013331</v>
      </c>
      <c r="Q71" s="15"/>
      <c r="R71" s="15"/>
      <c r="S71" s="15">
        <v>1579.3867599938769</v>
      </c>
      <c r="T71" s="15">
        <v>690</v>
      </c>
      <c r="U71" s="15">
        <v>210000</v>
      </c>
      <c r="V71" s="15">
        <f t="shared" ref="V71:V134" si="11">L71*T71/(S71*1000)</f>
        <v>4.2118400435532264</v>
      </c>
      <c r="W71" s="15">
        <v>4.32925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1469</v>
      </c>
      <c r="AF71" s="30" t="s">
        <v>219</v>
      </c>
      <c r="AG71" s="17">
        <f t="shared" ref="AG71:AG134" si="12">W71*S71</f>
        <v>6837.5601307034922</v>
      </c>
      <c r="AH71" s="17">
        <v>8709.9240620145374</v>
      </c>
      <c r="AI71" s="62">
        <v>16.927381612822227</v>
      </c>
      <c r="AJ71" s="17">
        <f t="shared" ref="AJ71:AJ134" si="13">(V71/AI71)^0.5</f>
        <v>0.49881676568887312</v>
      </c>
      <c r="AK71" s="15">
        <f t="shared" ref="AK71:AK134" si="14">W71/V71</f>
        <v>1.0278761670036556</v>
      </c>
      <c r="AL71" s="5">
        <v>10.167</v>
      </c>
      <c r="AM71">
        <f>AI71</f>
        <v>16.927381612822227</v>
      </c>
      <c r="AN71" s="57">
        <f t="shared" si="9"/>
        <v>1</v>
      </c>
      <c r="AO71" s="5">
        <f t="shared" ref="AO71:AO134" si="15">E71/C71</f>
        <v>2.3684210526315788</v>
      </c>
      <c r="AP71" s="5">
        <f t="shared" si="10"/>
        <v>16.927381612822227</v>
      </c>
    </row>
    <row r="72" spans="1:42" ht="15">
      <c r="A72" s="15">
        <v>67</v>
      </c>
      <c r="B72" s="20" t="s">
        <v>1374</v>
      </c>
      <c r="C72" s="20">
        <v>190</v>
      </c>
      <c r="D72" s="15">
        <v>190</v>
      </c>
      <c r="E72" s="15">
        <v>450</v>
      </c>
      <c r="F72" s="15">
        <v>14.6</v>
      </c>
      <c r="G72" s="15">
        <v>14.6</v>
      </c>
      <c r="H72" s="15">
        <v>9.4</v>
      </c>
      <c r="I72" s="15">
        <v>21</v>
      </c>
      <c r="J72" s="15">
        <v>21</v>
      </c>
      <c r="K72" s="15">
        <v>7559.2706053523198</v>
      </c>
      <c r="L72" s="15">
        <v>9640.76</v>
      </c>
      <c r="M72" s="15"/>
      <c r="N72" s="15"/>
      <c r="O72" s="15"/>
      <c r="P72" s="15">
        <v>327594426.78013331</v>
      </c>
      <c r="Q72" s="15"/>
      <c r="R72" s="15"/>
      <c r="S72" s="15">
        <v>1299.3753949477737</v>
      </c>
      <c r="T72" s="15">
        <v>690</v>
      </c>
      <c r="U72" s="15">
        <v>210000</v>
      </c>
      <c r="V72" s="15">
        <f t="shared" si="11"/>
        <v>5.1194785016437629</v>
      </c>
      <c r="W72" s="15">
        <v>4.9252599999999997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1470</v>
      </c>
      <c r="AF72" s="22" t="s">
        <v>5</v>
      </c>
      <c r="AG72" s="17">
        <f t="shared" si="12"/>
        <v>6399.7616577204717</v>
      </c>
      <c r="AH72" s="17">
        <v>7165.7312222176215</v>
      </c>
      <c r="AI72" s="62">
        <v>9.1445243630493351</v>
      </c>
      <c r="AJ72" s="17">
        <f t="shared" si="13"/>
        <v>0.74822514853330968</v>
      </c>
      <c r="AK72" s="15">
        <f t="shared" si="14"/>
        <v>0.96206283480213783</v>
      </c>
      <c r="AL72" s="5">
        <v>10.167</v>
      </c>
      <c r="AM72">
        <v>8.7955000000000005</v>
      </c>
      <c r="AN72">
        <f t="shared" si="9"/>
        <v>1.039682151446687</v>
      </c>
      <c r="AO72" s="5">
        <f t="shared" si="15"/>
        <v>2.3684210526315788</v>
      </c>
      <c r="AP72" s="5">
        <f t="shared" si="10"/>
        <v>9.1445243630493351</v>
      </c>
    </row>
    <row r="73" spans="1:42" ht="15">
      <c r="A73" s="15">
        <v>68</v>
      </c>
      <c r="B73" s="20" t="s">
        <v>1375</v>
      </c>
      <c r="C73" s="20">
        <v>190</v>
      </c>
      <c r="D73" s="15">
        <v>190</v>
      </c>
      <c r="E73" s="15">
        <v>450</v>
      </c>
      <c r="F73" s="15">
        <v>14.6</v>
      </c>
      <c r="G73" s="15">
        <v>14.6</v>
      </c>
      <c r="H73" s="15">
        <v>9.4</v>
      </c>
      <c r="I73" s="15">
        <v>21</v>
      </c>
      <c r="J73" s="15">
        <v>21</v>
      </c>
      <c r="K73" s="15">
        <v>10079.027473803093</v>
      </c>
      <c r="L73" s="15">
        <v>9640.76</v>
      </c>
      <c r="M73" s="15"/>
      <c r="N73" s="15"/>
      <c r="O73" s="15"/>
      <c r="P73" s="15">
        <v>327594426.78013331</v>
      </c>
      <c r="Q73" s="15"/>
      <c r="R73" s="15"/>
      <c r="S73" s="15">
        <v>1011.6033506747417</v>
      </c>
      <c r="T73" s="15">
        <v>690</v>
      </c>
      <c r="U73" s="15">
        <v>210000</v>
      </c>
      <c r="V73" s="15">
        <f t="shared" si="11"/>
        <v>6.5758228218234143</v>
      </c>
      <c r="W73" s="15">
        <v>5.3186900000000001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1471</v>
      </c>
      <c r="AF73" s="22" t="s">
        <v>5</v>
      </c>
      <c r="AG73" s="17">
        <f t="shared" si="12"/>
        <v>5380.4046252002418</v>
      </c>
      <c r="AH73" s="17">
        <v>5578.7401720973157</v>
      </c>
      <c r="AI73" s="62">
        <v>6.6070566054429829</v>
      </c>
      <c r="AJ73" s="17">
        <f t="shared" si="13"/>
        <v>0.99763353137774624</v>
      </c>
      <c r="AK73" s="15">
        <f t="shared" si="14"/>
        <v>0.80882501614074465</v>
      </c>
      <c r="AL73" s="5">
        <v>10.167</v>
      </c>
      <c r="AM73">
        <v>6.5507999999999997</v>
      </c>
      <c r="AN73">
        <f t="shared" si="9"/>
        <v>1.0085877458391317</v>
      </c>
      <c r="AO73" s="5">
        <f t="shared" si="15"/>
        <v>2.3684210526315788</v>
      </c>
      <c r="AP73" s="5">
        <f t="shared" si="10"/>
        <v>6.6070566054429829</v>
      </c>
    </row>
    <row r="74" spans="1:42" ht="15">
      <c r="A74" s="15">
        <v>69</v>
      </c>
      <c r="B74" s="20" t="s">
        <v>1376</v>
      </c>
      <c r="C74" s="20">
        <v>190</v>
      </c>
      <c r="D74" s="15">
        <v>190</v>
      </c>
      <c r="E74" s="15">
        <v>450</v>
      </c>
      <c r="F74" s="15">
        <v>14.6</v>
      </c>
      <c r="G74" s="15">
        <v>14.6</v>
      </c>
      <c r="H74" s="15">
        <v>9.4</v>
      </c>
      <c r="I74" s="15">
        <v>21</v>
      </c>
      <c r="J74" s="15">
        <v>21</v>
      </c>
      <c r="K74" s="15">
        <v>13405.106540158115</v>
      </c>
      <c r="L74" s="15">
        <v>9640.76</v>
      </c>
      <c r="M74" s="15"/>
      <c r="N74" s="15"/>
      <c r="O74" s="15"/>
      <c r="P74" s="15">
        <v>327594426.78013331</v>
      </c>
      <c r="Q74" s="15"/>
      <c r="R74" s="15"/>
      <c r="S74" s="15">
        <v>705.1912046220541</v>
      </c>
      <c r="T74" s="15">
        <v>690</v>
      </c>
      <c r="U74" s="15">
        <v>210000</v>
      </c>
      <c r="V74" s="15">
        <f t="shared" si="11"/>
        <v>9.4330790803966327</v>
      </c>
      <c r="W74" s="15">
        <v>5.0634199999999998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1472</v>
      </c>
      <c r="AF74" s="22" t="s">
        <v>5</v>
      </c>
      <c r="AG74" s="17">
        <f t="shared" si="12"/>
        <v>3570.6792493074008</v>
      </c>
      <c r="AH74" s="17">
        <v>3888.9536097430987</v>
      </c>
      <c r="AI74" s="62">
        <v>5.3580667272813223</v>
      </c>
      <c r="AJ74" s="17">
        <f t="shared" si="13"/>
        <v>1.3268525967324025</v>
      </c>
      <c r="AK74" s="15">
        <f t="shared" si="14"/>
        <v>0.53677277131308632</v>
      </c>
      <c r="AL74" s="5">
        <v>10.167</v>
      </c>
      <c r="AM74">
        <v>5.3807</v>
      </c>
      <c r="AN74">
        <f t="shared" si="9"/>
        <v>0.99579361928398202</v>
      </c>
      <c r="AO74" s="5">
        <f t="shared" si="15"/>
        <v>2.3684210526315788</v>
      </c>
      <c r="AP74" s="5">
        <f t="shared" si="10"/>
        <v>5.3580667272813223</v>
      </c>
    </row>
    <row r="75" spans="1:42" ht="15">
      <c r="A75" s="15">
        <v>70</v>
      </c>
      <c r="B75" s="20" t="s">
        <v>1377</v>
      </c>
      <c r="C75" s="20">
        <v>190</v>
      </c>
      <c r="D75" s="15">
        <v>190</v>
      </c>
      <c r="E75" s="15">
        <v>450</v>
      </c>
      <c r="F75" s="15">
        <v>14.6</v>
      </c>
      <c r="G75" s="15">
        <v>14.6</v>
      </c>
      <c r="H75" s="15">
        <v>9.4</v>
      </c>
      <c r="I75" s="15">
        <v>21</v>
      </c>
      <c r="J75" s="15">
        <v>21</v>
      </c>
      <c r="K75" s="15">
        <v>16831.975881251165</v>
      </c>
      <c r="L75" s="15">
        <v>9640.76</v>
      </c>
      <c r="M75" s="15"/>
      <c r="N75" s="15"/>
      <c r="O75" s="15"/>
      <c r="P75" s="15">
        <v>327594426.78013331</v>
      </c>
      <c r="Q75" s="15"/>
      <c r="R75" s="15"/>
      <c r="S75" s="15">
        <v>497.0552234748497</v>
      </c>
      <c r="T75" s="15">
        <v>690</v>
      </c>
      <c r="U75" s="15">
        <v>210000</v>
      </c>
      <c r="V75" s="15">
        <f t="shared" si="11"/>
        <v>13.383069095413274</v>
      </c>
      <c r="W75" s="15">
        <v>4.7031700000000001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1473</v>
      </c>
      <c r="AF75" s="22" t="s">
        <v>5</v>
      </c>
      <c r="AG75" s="17">
        <f t="shared" si="12"/>
        <v>2337.7352153902089</v>
      </c>
      <c r="AH75" s="17">
        <v>2741.1355855043321</v>
      </c>
      <c r="AI75" s="62">
        <v>4.821483694526667</v>
      </c>
      <c r="AJ75" s="17">
        <f t="shared" si="13"/>
        <v>1.666047997400836</v>
      </c>
      <c r="AK75" s="15">
        <f t="shared" si="14"/>
        <v>0.35142686378357701</v>
      </c>
      <c r="AL75" s="5">
        <v>10.167</v>
      </c>
      <c r="AM75">
        <v>4.8826000000000001</v>
      </c>
      <c r="AN75">
        <f t="shared" si="9"/>
        <v>0.98748283589207941</v>
      </c>
      <c r="AO75" s="5">
        <f t="shared" si="15"/>
        <v>2.3684210526315788</v>
      </c>
      <c r="AP75" s="5">
        <f t="shared" si="10"/>
        <v>4.821483694526667</v>
      </c>
    </row>
    <row r="76" spans="1:42" ht="15">
      <c r="A76" s="15">
        <v>71</v>
      </c>
      <c r="B76" s="20" t="s">
        <v>1378</v>
      </c>
      <c r="C76" s="20">
        <v>190</v>
      </c>
      <c r="D76" s="15">
        <v>190</v>
      </c>
      <c r="E76" s="15">
        <v>450</v>
      </c>
      <c r="F76" s="15">
        <v>14.6</v>
      </c>
      <c r="G76" s="15">
        <v>14.6</v>
      </c>
      <c r="H76" s="15">
        <v>9.4</v>
      </c>
      <c r="I76" s="15">
        <v>21</v>
      </c>
      <c r="J76" s="15">
        <v>21</v>
      </c>
      <c r="K76" s="15">
        <v>20158.054947606186</v>
      </c>
      <c r="L76" s="15">
        <v>9640.76</v>
      </c>
      <c r="M76" s="15"/>
      <c r="N76" s="15"/>
      <c r="O76" s="15"/>
      <c r="P76" s="15">
        <v>327594426.78013331</v>
      </c>
      <c r="Q76" s="15"/>
      <c r="R76" s="15"/>
      <c r="S76" s="15">
        <v>367.56003346193791</v>
      </c>
      <c r="T76" s="15">
        <v>690</v>
      </c>
      <c r="U76" s="15">
        <v>210000</v>
      </c>
      <c r="V76" s="15">
        <f t="shared" si="11"/>
        <v>18.098062341940803</v>
      </c>
      <c r="W76" s="15">
        <v>4.4129100000000001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1474</v>
      </c>
      <c r="AF76" s="22" t="s">
        <v>5</v>
      </c>
      <c r="AG76" s="17">
        <f t="shared" si="12"/>
        <v>1622.0093472645206</v>
      </c>
      <c r="AH76" s="17">
        <v>2027.001910347414</v>
      </c>
      <c r="AI76" s="62">
        <v>4.5460060885917351</v>
      </c>
      <c r="AJ76" s="17">
        <f t="shared" si="13"/>
        <v>1.9952670627554925</v>
      </c>
      <c r="AK76" s="15">
        <f t="shared" si="14"/>
        <v>0.24383328538842727</v>
      </c>
      <c r="AL76" s="5">
        <v>10.167</v>
      </c>
      <c r="AM76">
        <v>4.6241000000000003</v>
      </c>
      <c r="AN76">
        <f t="shared" si="9"/>
        <v>0.98311154356344688</v>
      </c>
      <c r="AO76" s="5">
        <f t="shared" si="15"/>
        <v>2.3684210526315788</v>
      </c>
      <c r="AP76" s="5">
        <f t="shared" si="10"/>
        <v>4.5460060885917351</v>
      </c>
    </row>
    <row r="77" spans="1:42" ht="15">
      <c r="A77" s="15">
        <v>72</v>
      </c>
      <c r="B77" s="20" t="s">
        <v>1379</v>
      </c>
      <c r="C77" s="20">
        <v>190</v>
      </c>
      <c r="D77" s="15">
        <v>190</v>
      </c>
      <c r="E77" s="15">
        <v>450</v>
      </c>
      <c r="F77" s="15">
        <v>14.6</v>
      </c>
      <c r="G77" s="15">
        <v>14.6</v>
      </c>
      <c r="H77" s="15">
        <v>9.4</v>
      </c>
      <c r="I77" s="15">
        <v>21</v>
      </c>
      <c r="J77" s="15">
        <v>21</v>
      </c>
      <c r="K77" s="15">
        <v>25197.568684507733</v>
      </c>
      <c r="L77" s="15">
        <v>9640.76</v>
      </c>
      <c r="M77" s="15"/>
      <c r="N77" s="15"/>
      <c r="O77" s="15"/>
      <c r="P77" s="15">
        <v>327594426.78013331</v>
      </c>
      <c r="Q77" s="15"/>
      <c r="R77" s="15"/>
      <c r="S77" s="15">
        <v>248.18253597347754</v>
      </c>
      <c r="T77" s="15">
        <v>690</v>
      </c>
      <c r="U77" s="15">
        <v>210000</v>
      </c>
      <c r="V77" s="15">
        <f t="shared" si="11"/>
        <v>26.803354127668719</v>
      </c>
      <c r="W77" s="15">
        <v>4.1709899999999998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1475</v>
      </c>
      <c r="AF77" s="22" t="s">
        <v>5</v>
      </c>
      <c r="AG77" s="17">
        <f t="shared" si="12"/>
        <v>1035.166875720015</v>
      </c>
      <c r="AH77" s="17">
        <v>1368.6647859803263</v>
      </c>
      <c r="AI77" s="62">
        <v>4.3089063129747842</v>
      </c>
      <c r="AJ77" s="17">
        <f t="shared" si="13"/>
        <v>2.4940838284443654</v>
      </c>
      <c r="AK77" s="15">
        <f t="shared" si="14"/>
        <v>0.15561447944659831</v>
      </c>
      <c r="AL77" s="5">
        <v>10.167</v>
      </c>
      <c r="AM77">
        <v>4.3993000000000002</v>
      </c>
      <c r="AN77">
        <f t="shared" si="9"/>
        <v>0.97945271133470868</v>
      </c>
      <c r="AO77" s="5">
        <f t="shared" si="15"/>
        <v>2.3684210526315788</v>
      </c>
      <c r="AP77" s="5">
        <f t="shared" si="10"/>
        <v>4.3089063129747842</v>
      </c>
    </row>
    <row r="78" spans="1:42" ht="15">
      <c r="A78" s="15">
        <v>73</v>
      </c>
      <c r="B78" s="20" t="s">
        <v>1380</v>
      </c>
      <c r="C78" s="20">
        <v>200</v>
      </c>
      <c r="D78" s="15">
        <v>200</v>
      </c>
      <c r="E78" s="15">
        <v>500</v>
      </c>
      <c r="F78" s="15">
        <v>16</v>
      </c>
      <c r="G78" s="15">
        <v>16</v>
      </c>
      <c r="H78" s="15">
        <v>10.199999999999999</v>
      </c>
      <c r="I78" s="15">
        <v>21</v>
      </c>
      <c r="J78" s="15">
        <v>21</v>
      </c>
      <c r="K78" s="15">
        <v>3343.6081823827039</v>
      </c>
      <c r="L78" s="15">
        <v>11336.799999999997</v>
      </c>
      <c r="M78" s="15"/>
      <c r="N78" s="15"/>
      <c r="O78" s="15"/>
      <c r="P78" s="15">
        <v>471182518.39999986</v>
      </c>
      <c r="Q78" s="15"/>
      <c r="R78" s="15"/>
      <c r="S78" s="15">
        <v>2090.7784234159767</v>
      </c>
      <c r="T78" s="15">
        <v>690</v>
      </c>
      <c r="U78" s="15">
        <v>210000</v>
      </c>
      <c r="V78" s="15">
        <f t="shared" si="11"/>
        <v>3.7413778104805284</v>
      </c>
      <c r="W78" s="15">
        <v>3.9050400000000001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1476</v>
      </c>
      <c r="AF78" s="22" t="s">
        <v>5</v>
      </c>
      <c r="AG78" s="17">
        <f t="shared" si="12"/>
        <v>8164.5733745763255</v>
      </c>
      <c r="AH78" s="17">
        <v>7531.6636412264916</v>
      </c>
      <c r="AI78" s="62">
        <v>41.780096709164191</v>
      </c>
      <c r="AJ78" s="17">
        <f t="shared" si="13"/>
        <v>0.2992478664070331</v>
      </c>
      <c r="AK78" s="15">
        <f t="shared" si="14"/>
        <v>1.0437438285598992</v>
      </c>
      <c r="AL78" s="56">
        <v>5.66</v>
      </c>
      <c r="AM78">
        <f>AI78</f>
        <v>41.780096709164191</v>
      </c>
      <c r="AN78" s="57">
        <f t="shared" si="9"/>
        <v>1</v>
      </c>
      <c r="AO78" s="5">
        <f t="shared" si="15"/>
        <v>2.5</v>
      </c>
      <c r="AP78" s="5">
        <f t="shared" si="10"/>
        <v>41.780096709164191</v>
      </c>
    </row>
    <row r="79" spans="1:42" ht="15">
      <c r="A79" s="15">
        <v>74</v>
      </c>
      <c r="B79" s="20" t="s">
        <v>1381</v>
      </c>
      <c r="C79" s="20">
        <v>200</v>
      </c>
      <c r="D79" s="15">
        <v>200</v>
      </c>
      <c r="E79" s="15">
        <v>500</v>
      </c>
      <c r="F79" s="15">
        <v>16</v>
      </c>
      <c r="G79" s="15">
        <v>16</v>
      </c>
      <c r="H79" s="15">
        <v>10.199999999999999</v>
      </c>
      <c r="I79" s="15">
        <v>21</v>
      </c>
      <c r="J79" s="15">
        <v>21</v>
      </c>
      <c r="K79" s="15">
        <v>5572.6803039711731</v>
      </c>
      <c r="L79" s="15">
        <v>11336.8</v>
      </c>
      <c r="M79" s="15"/>
      <c r="N79" s="15"/>
      <c r="O79" s="15"/>
      <c r="P79" s="15">
        <v>471182518.39999998</v>
      </c>
      <c r="Q79" s="15"/>
      <c r="R79" s="15"/>
      <c r="S79" s="15">
        <v>1856.9367877867971</v>
      </c>
      <c r="T79" s="15">
        <v>690</v>
      </c>
      <c r="U79" s="15">
        <v>210000</v>
      </c>
      <c r="V79" s="15">
        <f t="shared" si="11"/>
        <v>4.2125246542846355</v>
      </c>
      <c r="W79" s="15">
        <v>4.2937900000000004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1477</v>
      </c>
      <c r="AF79" s="30" t="s">
        <v>219</v>
      </c>
      <c r="AG79" s="17">
        <f t="shared" si="12"/>
        <v>7973.2966100310723</v>
      </c>
      <c r="AH79" s="17">
        <v>6778.5409943898112</v>
      </c>
      <c r="AI79" s="62">
        <v>16.934907590188679</v>
      </c>
      <c r="AJ79" s="17">
        <f t="shared" si="13"/>
        <v>0.4987464440117218</v>
      </c>
      <c r="AK79" s="15">
        <f t="shared" si="14"/>
        <v>1.0192913638220986</v>
      </c>
      <c r="AL79" s="5">
        <v>5.66</v>
      </c>
      <c r="AM79">
        <f>AI79</f>
        <v>16.934907590188679</v>
      </c>
      <c r="AN79" s="57">
        <f t="shared" si="9"/>
        <v>1</v>
      </c>
      <c r="AO79" s="5">
        <f t="shared" si="15"/>
        <v>2.5</v>
      </c>
      <c r="AP79" s="5">
        <f t="shared" si="10"/>
        <v>16.934907590188679</v>
      </c>
    </row>
    <row r="80" spans="1:42" ht="15">
      <c r="A80" s="15">
        <v>75</v>
      </c>
      <c r="B80" s="20" t="s">
        <v>1382</v>
      </c>
      <c r="C80" s="20">
        <v>200</v>
      </c>
      <c r="D80" s="15">
        <v>200</v>
      </c>
      <c r="E80" s="15">
        <v>500</v>
      </c>
      <c r="F80" s="15">
        <v>16</v>
      </c>
      <c r="G80" s="15">
        <v>16</v>
      </c>
      <c r="H80" s="15">
        <v>10.199999999999999</v>
      </c>
      <c r="I80" s="15">
        <v>21</v>
      </c>
      <c r="J80" s="15">
        <v>21</v>
      </c>
      <c r="K80" s="15">
        <v>8359.0204559567592</v>
      </c>
      <c r="L80" s="15">
        <v>11336.8</v>
      </c>
      <c r="M80" s="15"/>
      <c r="N80" s="15"/>
      <c r="O80" s="15"/>
      <c r="P80" s="15">
        <v>471182518.39999998</v>
      </c>
      <c r="Q80" s="15"/>
      <c r="R80" s="15"/>
      <c r="S80" s="15">
        <v>1527.7182468168048</v>
      </c>
      <c r="T80" s="15">
        <v>690</v>
      </c>
      <c r="U80" s="15">
        <v>210000</v>
      </c>
      <c r="V80" s="15">
        <f t="shared" si="11"/>
        <v>5.1203106438631254</v>
      </c>
      <c r="W80" s="15">
        <v>4.8878300000000001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1478</v>
      </c>
      <c r="AF80" s="22" t="s">
        <v>5</v>
      </c>
      <c r="AG80" s="17">
        <f t="shared" si="12"/>
        <v>7467.2270783385829</v>
      </c>
      <c r="AH80" s="17">
        <v>5728.7848014329038</v>
      </c>
      <c r="AI80" s="62">
        <v>9.1485900528859219</v>
      </c>
      <c r="AJ80" s="17">
        <f t="shared" si="13"/>
        <v>0.74811966601758262</v>
      </c>
      <c r="AK80" s="15">
        <f t="shared" si="14"/>
        <v>0.95459637900255889</v>
      </c>
      <c r="AL80" s="5">
        <v>5.66</v>
      </c>
      <c r="AM80">
        <v>8.6864000000000008</v>
      </c>
      <c r="AN80">
        <f t="shared" si="9"/>
        <v>1.053208469893848</v>
      </c>
      <c r="AO80" s="5">
        <f t="shared" si="15"/>
        <v>2.5</v>
      </c>
      <c r="AP80" s="5">
        <f t="shared" si="10"/>
        <v>9.1485900528859219</v>
      </c>
    </row>
    <row r="81" spans="1:42" ht="15">
      <c r="A81" s="15">
        <v>76</v>
      </c>
      <c r="B81" s="20" t="s">
        <v>1383</v>
      </c>
      <c r="C81" s="20">
        <v>200</v>
      </c>
      <c r="D81" s="15">
        <v>200</v>
      </c>
      <c r="E81" s="15">
        <v>500</v>
      </c>
      <c r="F81" s="15">
        <v>16</v>
      </c>
      <c r="G81" s="15">
        <v>16</v>
      </c>
      <c r="H81" s="15">
        <v>10.199999999999999</v>
      </c>
      <c r="I81" s="15">
        <v>21</v>
      </c>
      <c r="J81" s="15">
        <v>21</v>
      </c>
      <c r="K81" s="15">
        <v>11145.360607942346</v>
      </c>
      <c r="L81" s="15">
        <v>11336.8</v>
      </c>
      <c r="M81" s="15"/>
      <c r="N81" s="15"/>
      <c r="O81" s="15"/>
      <c r="P81" s="15">
        <v>471182518.39999998</v>
      </c>
      <c r="Q81" s="15"/>
      <c r="R81" s="15"/>
      <c r="S81" s="15">
        <v>1189.3752208759802</v>
      </c>
      <c r="T81" s="15">
        <v>690</v>
      </c>
      <c r="U81" s="15">
        <v>210000</v>
      </c>
      <c r="V81" s="15">
        <f t="shared" si="11"/>
        <v>6.5768916845592029</v>
      </c>
      <c r="W81" s="15">
        <v>5.2746899999999997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1479</v>
      </c>
      <c r="AF81" s="22" t="s">
        <v>5</v>
      </c>
      <c r="AG81" s="17">
        <f t="shared" si="12"/>
        <v>6273.5855838023235</v>
      </c>
      <c r="AH81" s="17">
        <v>4607.7293489828817</v>
      </c>
      <c r="AI81" s="62">
        <v>6.6099941275954786</v>
      </c>
      <c r="AJ81" s="17">
        <f t="shared" si="13"/>
        <v>0.9974928880234436</v>
      </c>
      <c r="AK81" s="15">
        <f t="shared" si="14"/>
        <v>0.80200347717198572</v>
      </c>
      <c r="AL81" s="5">
        <v>5.66</v>
      </c>
      <c r="AM81">
        <v>6.3487</v>
      </c>
      <c r="AN81">
        <f t="shared" si="9"/>
        <v>1.041157107375601</v>
      </c>
      <c r="AO81" s="5">
        <f t="shared" si="15"/>
        <v>2.5</v>
      </c>
      <c r="AP81" s="5">
        <f t="shared" si="10"/>
        <v>6.6099941275954786</v>
      </c>
    </row>
    <row r="82" spans="1:42" ht="15">
      <c r="A82" s="15">
        <v>77</v>
      </c>
      <c r="B82" s="20" t="s">
        <v>1384</v>
      </c>
      <c r="C82" s="20">
        <v>200</v>
      </c>
      <c r="D82" s="15">
        <v>200</v>
      </c>
      <c r="E82" s="15">
        <v>500</v>
      </c>
      <c r="F82" s="15">
        <v>16</v>
      </c>
      <c r="G82" s="15">
        <v>16</v>
      </c>
      <c r="H82" s="15">
        <v>10.199999999999999</v>
      </c>
      <c r="I82" s="15">
        <v>21</v>
      </c>
      <c r="J82" s="15">
        <v>21</v>
      </c>
      <c r="K82" s="15">
        <v>14823.329608563323</v>
      </c>
      <c r="L82" s="15">
        <v>11336.8</v>
      </c>
      <c r="M82" s="15"/>
      <c r="N82" s="15"/>
      <c r="O82" s="15"/>
      <c r="P82" s="15">
        <v>471182518.39999998</v>
      </c>
      <c r="Q82" s="15"/>
      <c r="R82" s="15"/>
      <c r="S82" s="15">
        <v>829.11641622945808</v>
      </c>
      <c r="T82" s="15">
        <v>690</v>
      </c>
      <c r="U82" s="15">
        <v>210000</v>
      </c>
      <c r="V82" s="15">
        <f t="shared" si="11"/>
        <v>9.4346123739457486</v>
      </c>
      <c r="W82" s="15">
        <v>5.0206099999999996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1480</v>
      </c>
      <c r="AF82" s="22" t="s">
        <v>5</v>
      </c>
      <c r="AG82" s="17">
        <f t="shared" si="12"/>
        <v>4162.6701704857796</v>
      </c>
      <c r="AH82" s="17">
        <v>3315.9200679586502</v>
      </c>
      <c r="AI82" s="62">
        <v>5.360448943848529</v>
      </c>
      <c r="AJ82" s="17">
        <f t="shared" si="13"/>
        <v>1.3266655410711803</v>
      </c>
      <c r="AK82" s="15">
        <f t="shared" si="14"/>
        <v>0.5321479888102999</v>
      </c>
      <c r="AL82" s="5">
        <v>5.66</v>
      </c>
      <c r="AM82">
        <v>5.1721000000000004</v>
      </c>
      <c r="AN82">
        <f t="shared" si="9"/>
        <v>1.0364163384019118</v>
      </c>
      <c r="AO82" s="5">
        <f t="shared" si="15"/>
        <v>2.5</v>
      </c>
      <c r="AP82" s="5">
        <f t="shared" si="10"/>
        <v>5.360448943848529</v>
      </c>
    </row>
    <row r="83" spans="1:42" ht="15">
      <c r="A83" s="15">
        <v>78</v>
      </c>
      <c r="B83" s="20" t="s">
        <v>1385</v>
      </c>
      <c r="C83" s="20">
        <v>200</v>
      </c>
      <c r="D83" s="15">
        <v>200</v>
      </c>
      <c r="E83" s="15">
        <v>500</v>
      </c>
      <c r="F83" s="15">
        <v>16</v>
      </c>
      <c r="G83" s="15">
        <v>16</v>
      </c>
      <c r="H83" s="15">
        <v>10.199999999999999</v>
      </c>
      <c r="I83" s="15">
        <v>21</v>
      </c>
      <c r="J83" s="15">
        <v>21</v>
      </c>
      <c r="K83" s="15">
        <v>18612.752215263718</v>
      </c>
      <c r="L83" s="15">
        <v>11336.8</v>
      </c>
      <c r="M83" s="15"/>
      <c r="N83" s="15"/>
      <c r="O83" s="15"/>
      <c r="P83" s="15">
        <v>471182518.39999998</v>
      </c>
      <c r="Q83" s="15"/>
      <c r="R83" s="15"/>
      <c r="S83" s="15">
        <v>584.40412026476304</v>
      </c>
      <c r="T83" s="15">
        <v>690</v>
      </c>
      <c r="U83" s="15">
        <v>210000</v>
      </c>
      <c r="V83" s="15">
        <f t="shared" si="11"/>
        <v>13.385244437455508</v>
      </c>
      <c r="W83" s="15">
        <v>4.6673200000000001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1481</v>
      </c>
      <c r="AF83" s="22" t="s">
        <v>5</v>
      </c>
      <c r="AG83" s="17">
        <f t="shared" si="12"/>
        <v>2727.601038594134</v>
      </c>
      <c r="AH83" s="17">
        <v>2377.9350730215865</v>
      </c>
      <c r="AI83" s="62">
        <v>4.823627344264569</v>
      </c>
      <c r="AJ83" s="17">
        <f t="shared" si="13"/>
        <v>1.6658131229991509</v>
      </c>
      <c r="AK83" s="15">
        <f t="shared" si="14"/>
        <v>0.34869142822222848</v>
      </c>
      <c r="AL83" s="5">
        <v>5.66</v>
      </c>
      <c r="AM83">
        <v>4.6615000000000002</v>
      </c>
      <c r="AN83">
        <f t="shared" si="9"/>
        <v>1.0347800802884413</v>
      </c>
      <c r="AO83" s="5">
        <f t="shared" si="15"/>
        <v>2.5</v>
      </c>
      <c r="AP83" s="5">
        <f t="shared" si="10"/>
        <v>4.823627344264569</v>
      </c>
    </row>
    <row r="84" spans="1:42" ht="15">
      <c r="A84" s="15">
        <v>79</v>
      </c>
      <c r="B84" s="20" t="s">
        <v>1386</v>
      </c>
      <c r="C84" s="20">
        <v>200</v>
      </c>
      <c r="D84" s="15">
        <v>200</v>
      </c>
      <c r="E84" s="15">
        <v>500</v>
      </c>
      <c r="F84" s="15">
        <v>16</v>
      </c>
      <c r="G84" s="15">
        <v>16</v>
      </c>
      <c r="H84" s="15">
        <v>10.199999999999999</v>
      </c>
      <c r="I84" s="15">
        <v>21</v>
      </c>
      <c r="J84" s="15">
        <v>21</v>
      </c>
      <c r="K84" s="15">
        <v>22290.721215884692</v>
      </c>
      <c r="L84" s="15">
        <v>11336.8</v>
      </c>
      <c r="M84" s="15"/>
      <c r="N84" s="15"/>
      <c r="O84" s="15"/>
      <c r="P84" s="15">
        <v>471182518.39999998</v>
      </c>
      <c r="Q84" s="15"/>
      <c r="R84" s="15"/>
      <c r="S84" s="15">
        <v>432.15238036962194</v>
      </c>
      <c r="T84" s="15">
        <v>690</v>
      </c>
      <c r="U84" s="15">
        <v>210000</v>
      </c>
      <c r="V84" s="15">
        <f t="shared" si="11"/>
        <v>18.10100407941632</v>
      </c>
      <c r="W84" s="15">
        <v>4.3792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1482</v>
      </c>
      <c r="AF84" s="22" t="s">
        <v>5</v>
      </c>
      <c r="AG84" s="17">
        <f t="shared" si="12"/>
        <v>1892.4817041146484</v>
      </c>
      <c r="AH84" s="17">
        <v>1774.0881742814197</v>
      </c>
      <c r="AI84" s="62">
        <v>4.5480272599526126</v>
      </c>
      <c r="AJ84" s="17">
        <f t="shared" si="13"/>
        <v>1.9949857760468874</v>
      </c>
      <c r="AK84" s="15">
        <f t="shared" si="14"/>
        <v>0.24193133048237014</v>
      </c>
      <c r="AL84" s="5">
        <v>5.66</v>
      </c>
      <c r="AM84">
        <v>4.3993000000000002</v>
      </c>
      <c r="AN84">
        <f t="shared" si="9"/>
        <v>1.0338070283801086</v>
      </c>
      <c r="AO84" s="5">
        <f t="shared" si="15"/>
        <v>2.5</v>
      </c>
      <c r="AP84" s="5">
        <f t="shared" si="10"/>
        <v>4.5480272599526126</v>
      </c>
    </row>
    <row r="85" spans="1:42" ht="15">
      <c r="A85" s="15">
        <v>80</v>
      </c>
      <c r="B85" s="20" t="s">
        <v>1387</v>
      </c>
      <c r="C85" s="20">
        <v>200</v>
      </c>
      <c r="D85" s="15">
        <v>200</v>
      </c>
      <c r="E85" s="15">
        <v>500</v>
      </c>
      <c r="F85" s="15">
        <v>16</v>
      </c>
      <c r="G85" s="15">
        <v>16</v>
      </c>
      <c r="H85" s="15">
        <v>10.199999999999999</v>
      </c>
      <c r="I85" s="15">
        <v>21</v>
      </c>
      <c r="J85" s="15">
        <v>21</v>
      </c>
      <c r="K85" s="15">
        <v>27863.401519855866</v>
      </c>
      <c r="L85" s="15">
        <v>11336.8</v>
      </c>
      <c r="M85" s="15"/>
      <c r="N85" s="15"/>
      <c r="O85" s="15"/>
      <c r="P85" s="15">
        <v>471182518.39999998</v>
      </c>
      <c r="Q85" s="15"/>
      <c r="R85" s="15"/>
      <c r="S85" s="15">
        <v>291.79634324473972</v>
      </c>
      <c r="T85" s="15">
        <v>690</v>
      </c>
      <c r="U85" s="15">
        <v>210000</v>
      </c>
      <c r="V85" s="15">
        <f t="shared" si="11"/>
        <v>26.807710860992827</v>
      </c>
      <c r="W85" s="15">
        <v>4.1388600000000002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1483</v>
      </c>
      <c r="AF85" s="22" t="s">
        <v>5</v>
      </c>
      <c r="AG85" s="17">
        <f t="shared" si="12"/>
        <v>1207.7042132019235</v>
      </c>
      <c r="AH85" s="17">
        <v>1206.4821381136119</v>
      </c>
      <c r="AI85" s="62">
        <v>4.3108220688859671</v>
      </c>
      <c r="AJ85" s="17">
        <f t="shared" si="13"/>
        <v>2.4937322200586092</v>
      </c>
      <c r="AK85" s="15">
        <f t="shared" si="14"/>
        <v>0.15439065354969728</v>
      </c>
      <c r="AL85" s="5">
        <v>5.66</v>
      </c>
      <c r="AM85">
        <v>4.1734999999999998</v>
      </c>
      <c r="AN85">
        <f t="shared" si="9"/>
        <v>1.0329033350631287</v>
      </c>
      <c r="AO85" s="5">
        <f t="shared" si="15"/>
        <v>2.5</v>
      </c>
      <c r="AP85" s="5">
        <f t="shared" si="10"/>
        <v>4.3108220688859671</v>
      </c>
    </row>
    <row r="86" spans="1:42" ht="15">
      <c r="A86" s="15">
        <v>81</v>
      </c>
      <c r="B86" s="20" t="s">
        <v>1388</v>
      </c>
      <c r="C86" s="20">
        <v>210</v>
      </c>
      <c r="D86" s="15">
        <v>210</v>
      </c>
      <c r="E86" s="15">
        <v>550</v>
      </c>
      <c r="F86" s="15">
        <v>17.2</v>
      </c>
      <c r="G86" s="15">
        <v>17.2</v>
      </c>
      <c r="H86" s="15">
        <v>11.1</v>
      </c>
      <c r="I86" s="15">
        <v>24</v>
      </c>
      <c r="J86" s="15">
        <v>24</v>
      </c>
      <c r="K86" s="15">
        <v>3654.592833045243</v>
      </c>
      <c r="L86" s="15">
        <v>13138.079999999994</v>
      </c>
      <c r="M86" s="15"/>
      <c r="N86" s="15"/>
      <c r="O86" s="15"/>
      <c r="P86" s="15">
        <v>652585136.02559984</v>
      </c>
      <c r="Q86" s="15"/>
      <c r="R86" s="15"/>
      <c r="S86" s="15">
        <v>2422.6429058239423</v>
      </c>
      <c r="T86" s="15">
        <v>690</v>
      </c>
      <c r="U86" s="15">
        <v>210000</v>
      </c>
      <c r="V86" s="15">
        <f t="shared" si="11"/>
        <v>3.7418949273157076</v>
      </c>
      <c r="W86" s="15">
        <v>3.9176500000000001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1484</v>
      </c>
      <c r="AF86" s="22" t="s">
        <v>5</v>
      </c>
      <c r="AG86" s="17">
        <f t="shared" si="12"/>
        <v>9491.0669800011674</v>
      </c>
      <c r="AH86" s="17">
        <v>5561.0540943776496</v>
      </c>
      <c r="AI86" s="62">
        <v>41.801206496834048</v>
      </c>
      <c r="AJ86" s="17">
        <f t="shared" si="13"/>
        <v>0.29919297056730504</v>
      </c>
      <c r="AK86" s="15">
        <f t="shared" si="14"/>
        <v>1.0469695371190908</v>
      </c>
      <c r="AL86" s="56">
        <v>2.8845000000000001</v>
      </c>
      <c r="AM86">
        <f>AI86</f>
        <v>41.801206496834048</v>
      </c>
      <c r="AN86" s="57">
        <f t="shared" si="9"/>
        <v>1</v>
      </c>
      <c r="AO86" s="5">
        <f t="shared" si="15"/>
        <v>2.6190476190476191</v>
      </c>
      <c r="AP86" s="5">
        <f t="shared" si="10"/>
        <v>41.801206496834048</v>
      </c>
    </row>
    <row r="87" spans="1:42" ht="15">
      <c r="A87" s="15">
        <v>82</v>
      </c>
      <c r="B87" s="20" t="s">
        <v>1389</v>
      </c>
      <c r="C87" s="20">
        <v>210</v>
      </c>
      <c r="D87" s="15">
        <v>210</v>
      </c>
      <c r="E87" s="15">
        <v>550</v>
      </c>
      <c r="F87" s="15">
        <v>17.2</v>
      </c>
      <c r="G87" s="15">
        <v>17.2</v>
      </c>
      <c r="H87" s="15">
        <v>11.1</v>
      </c>
      <c r="I87" s="15">
        <v>24</v>
      </c>
      <c r="J87" s="15">
        <v>24</v>
      </c>
      <c r="K87" s="15">
        <v>6090.9880550754051</v>
      </c>
      <c r="L87" s="15">
        <v>13138.079999999994</v>
      </c>
      <c r="M87" s="15"/>
      <c r="N87" s="15"/>
      <c r="O87" s="15"/>
      <c r="P87" s="15">
        <v>652585136.02559996</v>
      </c>
      <c r="Q87" s="15"/>
      <c r="R87" s="15"/>
      <c r="S87" s="15">
        <v>2151.6841216225489</v>
      </c>
      <c r="T87" s="15">
        <v>690</v>
      </c>
      <c r="U87" s="15">
        <v>210000</v>
      </c>
      <c r="V87" s="15">
        <f t="shared" si="11"/>
        <v>4.2131068909706055</v>
      </c>
      <c r="W87" s="15">
        <v>4.3079200000000002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1485</v>
      </c>
      <c r="AF87" s="30" t="s">
        <v>219</v>
      </c>
      <c r="AG87" s="17">
        <f t="shared" si="12"/>
        <v>9269.2830612202106</v>
      </c>
      <c r="AH87" s="17">
        <v>5084.6484845868827</v>
      </c>
      <c r="AI87" s="62">
        <v>16.943464111872341</v>
      </c>
      <c r="AJ87" s="17">
        <f t="shared" si="13"/>
        <v>0.49865495094550838</v>
      </c>
      <c r="AK87" s="15">
        <f t="shared" si="14"/>
        <v>1.022504320797698</v>
      </c>
      <c r="AL87" s="5">
        <v>2.8845000000000001</v>
      </c>
      <c r="AM87">
        <f>AI87</f>
        <v>16.943464111872341</v>
      </c>
      <c r="AN87" s="57">
        <f t="shared" si="9"/>
        <v>1</v>
      </c>
      <c r="AO87" s="5">
        <f t="shared" si="15"/>
        <v>2.6190476190476191</v>
      </c>
      <c r="AP87" s="5">
        <f t="shared" si="10"/>
        <v>16.943464111872341</v>
      </c>
    </row>
    <row r="88" spans="1:42" ht="15">
      <c r="A88" s="15">
        <v>83</v>
      </c>
      <c r="B88" s="20" t="s">
        <v>1390</v>
      </c>
      <c r="C88" s="20">
        <v>210</v>
      </c>
      <c r="D88" s="15">
        <v>210</v>
      </c>
      <c r="E88" s="15">
        <v>550</v>
      </c>
      <c r="F88" s="15">
        <v>17.2</v>
      </c>
      <c r="G88" s="15">
        <v>17.2</v>
      </c>
      <c r="H88" s="15">
        <v>11.1</v>
      </c>
      <c r="I88" s="15">
        <v>24</v>
      </c>
      <c r="J88" s="15">
        <v>24</v>
      </c>
      <c r="K88" s="15">
        <v>9136.4820826131072</v>
      </c>
      <c r="L88" s="15">
        <v>13138.079999999994</v>
      </c>
      <c r="M88" s="15"/>
      <c r="N88" s="15"/>
      <c r="O88" s="15"/>
      <c r="P88" s="15">
        <v>652585136.02559996</v>
      </c>
      <c r="Q88" s="15"/>
      <c r="R88" s="15"/>
      <c r="S88" s="15">
        <v>1770.2094738004466</v>
      </c>
      <c r="T88" s="15">
        <v>690</v>
      </c>
      <c r="U88" s="15">
        <v>210000</v>
      </c>
      <c r="V88" s="15">
        <f t="shared" si="11"/>
        <v>5.1210183507479705</v>
      </c>
      <c r="W88" s="15">
        <v>4.9073799999999999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1486</v>
      </c>
      <c r="AF88" s="22" t="s">
        <v>5</v>
      </c>
      <c r="AG88" s="17">
        <f t="shared" si="12"/>
        <v>8687.0905675388349</v>
      </c>
      <c r="AH88" s="17">
        <v>4434.9095276407661</v>
      </c>
      <c r="AI88" s="62">
        <v>9.1532124642422001</v>
      </c>
      <c r="AJ88" s="17">
        <f t="shared" si="13"/>
        <v>0.74798242641826262</v>
      </c>
      <c r="AK88" s="15">
        <f t="shared" si="14"/>
        <v>0.95828205717779413</v>
      </c>
      <c r="AL88" s="5">
        <v>2.8845000000000001</v>
      </c>
      <c r="AM88">
        <v>7.2363</v>
      </c>
      <c r="AN88">
        <f t="shared" si="9"/>
        <v>1.2649022931943397</v>
      </c>
      <c r="AO88" s="5">
        <f t="shared" si="15"/>
        <v>2.6190476190476191</v>
      </c>
      <c r="AP88" s="5">
        <f t="shared" si="10"/>
        <v>9.1532124642422001</v>
      </c>
    </row>
    <row r="89" spans="1:42" ht="15">
      <c r="A89" s="15">
        <v>84</v>
      </c>
      <c r="B89" s="20" t="s">
        <v>1391</v>
      </c>
      <c r="C89" s="20">
        <v>210</v>
      </c>
      <c r="D89" s="15">
        <v>210</v>
      </c>
      <c r="E89" s="15">
        <v>550</v>
      </c>
      <c r="F89" s="15">
        <v>17.2</v>
      </c>
      <c r="G89" s="15">
        <v>17.2</v>
      </c>
      <c r="H89" s="15">
        <v>11.1</v>
      </c>
      <c r="I89" s="15">
        <v>24</v>
      </c>
      <c r="J89" s="15">
        <v>24</v>
      </c>
      <c r="K89" s="15">
        <v>12181.97611015081</v>
      </c>
      <c r="L89" s="15">
        <v>13138.079999999994</v>
      </c>
      <c r="M89" s="15"/>
      <c r="N89" s="15"/>
      <c r="O89" s="15"/>
      <c r="P89" s="15">
        <v>652585136.02559996</v>
      </c>
      <c r="Q89" s="15"/>
      <c r="R89" s="15"/>
      <c r="S89" s="15">
        <v>1378.1620323545374</v>
      </c>
      <c r="T89" s="15">
        <v>690</v>
      </c>
      <c r="U89" s="15">
        <v>210000</v>
      </c>
      <c r="V89" s="15">
        <f t="shared" si="11"/>
        <v>6.577800713688446</v>
      </c>
      <c r="W89" s="15">
        <v>5.2977699999999999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1487</v>
      </c>
      <c r="AF89" s="22" t="s">
        <v>5</v>
      </c>
      <c r="AG89" s="17">
        <f t="shared" si="12"/>
        <v>7301.1854701468974</v>
      </c>
      <c r="AH89" s="17">
        <v>3720.8349124805318</v>
      </c>
      <c r="AI89" s="62">
        <v>6.6133338894324076</v>
      </c>
      <c r="AJ89" s="17">
        <f t="shared" si="13"/>
        <v>0.99730990189101676</v>
      </c>
      <c r="AK89" s="15">
        <f t="shared" si="14"/>
        <v>0.80540141463624859</v>
      </c>
      <c r="AL89" s="5">
        <v>2.8845000000000001</v>
      </c>
      <c r="AM89">
        <v>5.7969999999999997</v>
      </c>
      <c r="AN89">
        <f t="shared" si="9"/>
        <v>1.1408200602781453</v>
      </c>
      <c r="AO89" s="5">
        <f t="shared" si="15"/>
        <v>2.6190476190476191</v>
      </c>
      <c r="AP89" s="5">
        <f t="shared" si="10"/>
        <v>6.6133338894324076</v>
      </c>
    </row>
    <row r="90" spans="1:42" ht="15">
      <c r="A90" s="15">
        <v>85</v>
      </c>
      <c r="B90" s="20" t="s">
        <v>1392</v>
      </c>
      <c r="C90" s="20">
        <v>210</v>
      </c>
      <c r="D90" s="15">
        <v>210</v>
      </c>
      <c r="E90" s="15">
        <v>550</v>
      </c>
      <c r="F90" s="15">
        <v>17.2</v>
      </c>
      <c r="G90" s="15">
        <v>17.2</v>
      </c>
      <c r="H90" s="15">
        <v>11.1</v>
      </c>
      <c r="I90" s="15">
        <v>24</v>
      </c>
      <c r="J90" s="15">
        <v>24</v>
      </c>
      <c r="K90" s="15">
        <v>16202.028226500579</v>
      </c>
      <c r="L90" s="15">
        <v>13138.079999999994</v>
      </c>
      <c r="M90" s="15"/>
      <c r="N90" s="15"/>
      <c r="O90" s="15"/>
      <c r="P90" s="15">
        <v>652585136.02559996</v>
      </c>
      <c r="Q90" s="15"/>
      <c r="R90" s="15"/>
      <c r="S90" s="15">
        <v>960.72017071932009</v>
      </c>
      <c r="T90" s="15">
        <v>690</v>
      </c>
      <c r="U90" s="15">
        <v>210000</v>
      </c>
      <c r="V90" s="15">
        <f t="shared" si="11"/>
        <v>9.4359163846976912</v>
      </c>
      <c r="W90" s="15">
        <v>5.0468999999999999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1488</v>
      </c>
      <c r="AF90" s="22" t="s">
        <v>5</v>
      </c>
      <c r="AG90" s="17">
        <f t="shared" si="12"/>
        <v>4848.6586296033365</v>
      </c>
      <c r="AH90" s="17">
        <v>2812.640714300846</v>
      </c>
      <c r="AI90" s="62">
        <v>5.3631573612035055</v>
      </c>
      <c r="AJ90" s="17">
        <f t="shared" si="13"/>
        <v>1.3264221695150524</v>
      </c>
      <c r="AK90" s="15">
        <f t="shared" si="14"/>
        <v>0.53486061069644519</v>
      </c>
      <c r="AL90" s="5">
        <v>2.8845000000000001</v>
      </c>
      <c r="AM90">
        <v>4.5182000000000002</v>
      </c>
      <c r="AN90">
        <f t="shared" si="9"/>
        <v>1.1870119430754515</v>
      </c>
      <c r="AO90" s="5">
        <f t="shared" si="15"/>
        <v>2.6190476190476191</v>
      </c>
      <c r="AP90" s="5">
        <f t="shared" si="10"/>
        <v>5.3631573612035055</v>
      </c>
    </row>
    <row r="91" spans="1:42" ht="15">
      <c r="A91" s="15">
        <v>86</v>
      </c>
      <c r="B91" s="20" t="s">
        <v>1393</v>
      </c>
      <c r="C91" s="20">
        <v>210</v>
      </c>
      <c r="D91" s="15">
        <v>210</v>
      </c>
      <c r="E91" s="15">
        <v>550</v>
      </c>
      <c r="F91" s="15">
        <v>17.2</v>
      </c>
      <c r="G91" s="15">
        <v>17.2</v>
      </c>
      <c r="H91" s="15">
        <v>11.1</v>
      </c>
      <c r="I91" s="15">
        <v>24</v>
      </c>
      <c r="J91" s="15">
        <v>24</v>
      </c>
      <c r="K91" s="15">
        <v>20343.900103951852</v>
      </c>
      <c r="L91" s="15">
        <v>13138.079999999994</v>
      </c>
      <c r="M91" s="15"/>
      <c r="N91" s="15"/>
      <c r="O91" s="15"/>
      <c r="P91" s="15">
        <v>652585136.02559996</v>
      </c>
      <c r="Q91" s="15"/>
      <c r="R91" s="15"/>
      <c r="S91" s="15">
        <v>677.1652511032371</v>
      </c>
      <c r="T91" s="15">
        <v>690</v>
      </c>
      <c r="U91" s="15">
        <v>210000</v>
      </c>
      <c r="V91" s="15">
        <f t="shared" si="11"/>
        <v>13.387094487247916</v>
      </c>
      <c r="W91" s="15">
        <v>4.6935500000000001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1489</v>
      </c>
      <c r="AF91" s="22" t="s">
        <v>5</v>
      </c>
      <c r="AG91" s="17">
        <f t="shared" si="12"/>
        <v>3178.3089643155986</v>
      </c>
      <c r="AH91" s="17">
        <v>2079.0652845193049</v>
      </c>
      <c r="AI91" s="62">
        <v>4.8260645274464276</v>
      </c>
      <c r="AJ91" s="17">
        <f t="shared" si="13"/>
        <v>1.6655075361579978</v>
      </c>
      <c r="AK91" s="15">
        <f t="shared" si="14"/>
        <v>0.35060259001465283</v>
      </c>
      <c r="AL91" s="5">
        <v>2.8845000000000001</v>
      </c>
      <c r="AM91">
        <v>3.9701</v>
      </c>
      <c r="AN91">
        <f t="shared" si="9"/>
        <v>1.2156027625113794</v>
      </c>
      <c r="AO91" s="5">
        <f t="shared" si="15"/>
        <v>2.6190476190476191</v>
      </c>
      <c r="AP91" s="5">
        <f t="shared" si="10"/>
        <v>4.8260645274464276</v>
      </c>
    </row>
    <row r="92" spans="1:42" ht="15">
      <c r="A92" s="15">
        <v>87</v>
      </c>
      <c r="B92" s="20" t="s">
        <v>1394</v>
      </c>
      <c r="C92" s="20">
        <v>210</v>
      </c>
      <c r="D92" s="15">
        <v>210</v>
      </c>
      <c r="E92" s="15">
        <v>550</v>
      </c>
      <c r="F92" s="15">
        <v>17.2</v>
      </c>
      <c r="G92" s="15">
        <v>17.2</v>
      </c>
      <c r="H92" s="15">
        <v>11.1</v>
      </c>
      <c r="I92" s="15">
        <v>24</v>
      </c>
      <c r="J92" s="15">
        <v>24</v>
      </c>
      <c r="K92" s="15">
        <v>24363.95222030162</v>
      </c>
      <c r="L92" s="15">
        <v>13138.079999999994</v>
      </c>
      <c r="M92" s="15"/>
      <c r="N92" s="15"/>
      <c r="O92" s="15"/>
      <c r="P92" s="15">
        <v>652585136.02559996</v>
      </c>
      <c r="Q92" s="15"/>
      <c r="R92" s="15"/>
      <c r="S92" s="15">
        <v>500.74694037967674</v>
      </c>
      <c r="T92" s="15">
        <v>690</v>
      </c>
      <c r="U92" s="15">
        <v>210000</v>
      </c>
      <c r="V92" s="15">
        <f t="shared" si="11"/>
        <v>18.103505920828024</v>
      </c>
      <c r="W92" s="15">
        <v>4.4031599999999997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1490</v>
      </c>
      <c r="AF92" s="22" t="s">
        <v>5</v>
      </c>
      <c r="AG92" s="17">
        <f t="shared" si="12"/>
        <v>2204.8688980021775</v>
      </c>
      <c r="AH92" s="17">
        <v>1576.3585053174145</v>
      </c>
      <c r="AI92" s="62">
        <v>4.5503251935941407</v>
      </c>
      <c r="AJ92" s="17">
        <f t="shared" si="13"/>
        <v>1.9946198037820335</v>
      </c>
      <c r="AK92" s="15">
        <f t="shared" si="14"/>
        <v>0.2432213969634566</v>
      </c>
      <c r="AL92" s="5">
        <v>2.8845000000000001</v>
      </c>
      <c r="AM92">
        <v>3.6976</v>
      </c>
      <c r="AN92">
        <f t="shared" si="9"/>
        <v>1.2306158572030887</v>
      </c>
      <c r="AO92" s="5">
        <f t="shared" si="15"/>
        <v>2.6190476190476191</v>
      </c>
      <c r="AP92" s="5">
        <f t="shared" si="10"/>
        <v>4.5503251935941407</v>
      </c>
    </row>
    <row r="93" spans="1:42" ht="15">
      <c r="A93" s="15">
        <v>88</v>
      </c>
      <c r="B93" s="20" t="s">
        <v>1395</v>
      </c>
      <c r="C93" s="20">
        <v>210</v>
      </c>
      <c r="D93" s="15">
        <v>210</v>
      </c>
      <c r="E93" s="15">
        <v>550</v>
      </c>
      <c r="F93" s="15">
        <v>17.2</v>
      </c>
      <c r="G93" s="15">
        <v>17.2</v>
      </c>
      <c r="H93" s="15">
        <v>11.1</v>
      </c>
      <c r="I93" s="15">
        <v>24</v>
      </c>
      <c r="J93" s="15">
        <v>24</v>
      </c>
      <c r="K93" s="15">
        <v>30454.940275377026</v>
      </c>
      <c r="L93" s="15">
        <v>13138.079999999994</v>
      </c>
      <c r="M93" s="15"/>
      <c r="N93" s="15"/>
      <c r="O93" s="15"/>
      <c r="P93" s="15">
        <v>652585136.02559996</v>
      </c>
      <c r="Q93" s="15"/>
      <c r="R93" s="15"/>
      <c r="S93" s="15">
        <v>338.11251014933089</v>
      </c>
      <c r="T93" s="15">
        <v>690</v>
      </c>
      <c r="U93" s="15">
        <v>210000</v>
      </c>
      <c r="V93" s="15">
        <f t="shared" si="11"/>
        <v>26.811416105237345</v>
      </c>
      <c r="W93" s="15">
        <v>4.1611500000000001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1491</v>
      </c>
      <c r="AF93" s="22" t="s">
        <v>5</v>
      </c>
      <c r="AG93" s="17">
        <f t="shared" si="12"/>
        <v>1406.9368716078882</v>
      </c>
      <c r="AH93" s="17">
        <v>1085.9916939050379</v>
      </c>
      <c r="AI93" s="62">
        <v>4.3130001523688799</v>
      </c>
      <c r="AJ93" s="17">
        <f t="shared" si="13"/>
        <v>2.4932747547275418</v>
      </c>
      <c r="AK93" s="15">
        <f t="shared" si="14"/>
        <v>0.15520067957869485</v>
      </c>
      <c r="AL93" s="5">
        <v>2.8845000000000001</v>
      </c>
      <c r="AM93">
        <v>3.4706999999999999</v>
      </c>
      <c r="AN93">
        <f t="shared" si="9"/>
        <v>1.24268883866911</v>
      </c>
      <c r="AO93" s="5">
        <f t="shared" si="15"/>
        <v>2.6190476190476191</v>
      </c>
      <c r="AP93" s="5">
        <f t="shared" si="10"/>
        <v>4.3130001523688799</v>
      </c>
    </row>
    <row r="94" spans="1:42" ht="15">
      <c r="A94" s="15">
        <v>89</v>
      </c>
      <c r="B94" s="20" t="s">
        <v>1396</v>
      </c>
      <c r="C94" s="20">
        <v>220</v>
      </c>
      <c r="D94" s="15">
        <v>220</v>
      </c>
      <c r="E94" s="15">
        <v>600</v>
      </c>
      <c r="F94" s="15">
        <v>19</v>
      </c>
      <c r="G94" s="15">
        <v>19</v>
      </c>
      <c r="H94" s="15">
        <v>12</v>
      </c>
      <c r="I94" s="15">
        <v>24</v>
      </c>
      <c r="J94" s="15">
        <v>24</v>
      </c>
      <c r="K94" s="15">
        <v>3976.0707915100948</v>
      </c>
      <c r="L94" s="15">
        <v>15331.999999999993</v>
      </c>
      <c r="M94" s="15"/>
      <c r="N94" s="15"/>
      <c r="O94" s="15"/>
      <c r="P94" s="15">
        <v>901625431.00000024</v>
      </c>
      <c r="Q94" s="15"/>
      <c r="R94" s="15"/>
      <c r="S94" s="15">
        <v>2826.2258633989863</v>
      </c>
      <c r="T94" s="15">
        <v>690</v>
      </c>
      <c r="U94" s="15">
        <v>210000</v>
      </c>
      <c r="V94" s="15">
        <f t="shared" si="11"/>
        <v>3.7431827855672397</v>
      </c>
      <c r="W94" s="15">
        <v>3.8861400000000001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1492</v>
      </c>
      <c r="AF94" s="22" t="s">
        <v>5</v>
      </c>
      <c r="AG94" s="17">
        <f t="shared" si="12"/>
        <v>10983.109376789338</v>
      </c>
      <c r="AH94" s="17">
        <v>4177.8779091184097</v>
      </c>
      <c r="AI94" s="62">
        <v>41.824437637576651</v>
      </c>
      <c r="AJ94" s="17">
        <f t="shared" si="13"/>
        <v>0.29916133483161483</v>
      </c>
      <c r="AK94" s="15">
        <f t="shared" si="14"/>
        <v>1.0381913528198428</v>
      </c>
      <c r="AL94" s="56">
        <v>1.5359</v>
      </c>
      <c r="AM94">
        <f>AI94</f>
        <v>41.824437637576651</v>
      </c>
      <c r="AN94" s="57">
        <f t="shared" si="9"/>
        <v>1</v>
      </c>
      <c r="AO94" s="5">
        <f t="shared" si="15"/>
        <v>2.7272727272727271</v>
      </c>
      <c r="AP94" s="5">
        <f t="shared" si="10"/>
        <v>41.824437637576651</v>
      </c>
    </row>
    <row r="95" spans="1:42" ht="15">
      <c r="A95" s="15">
        <v>90</v>
      </c>
      <c r="B95" s="20" t="s">
        <v>1397</v>
      </c>
      <c r="C95" s="20">
        <v>220</v>
      </c>
      <c r="D95" s="15">
        <v>220</v>
      </c>
      <c r="E95" s="15">
        <v>600</v>
      </c>
      <c r="F95" s="15">
        <v>19</v>
      </c>
      <c r="G95" s="15">
        <v>19</v>
      </c>
      <c r="H95" s="15">
        <v>12</v>
      </c>
      <c r="I95" s="15">
        <v>24</v>
      </c>
      <c r="J95" s="15">
        <v>24</v>
      </c>
      <c r="K95" s="15">
        <v>6626.7846525168252</v>
      </c>
      <c r="L95" s="15">
        <v>15332</v>
      </c>
      <c r="M95" s="15"/>
      <c r="N95" s="15"/>
      <c r="O95" s="15"/>
      <c r="P95" s="15">
        <v>901625431</v>
      </c>
      <c r="Q95" s="15"/>
      <c r="R95" s="15"/>
      <c r="S95" s="15">
        <v>2510.1286284395169</v>
      </c>
      <c r="T95" s="15">
        <v>690</v>
      </c>
      <c r="U95" s="15">
        <v>210000</v>
      </c>
      <c r="V95" s="15">
        <f t="shared" si="11"/>
        <v>4.2145569275375125</v>
      </c>
      <c r="W95" s="15">
        <v>4.2757399999999999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1493</v>
      </c>
      <c r="AF95" s="30" t="s">
        <v>219</v>
      </c>
      <c r="AG95" s="17">
        <f t="shared" si="12"/>
        <v>10732.65738176398</v>
      </c>
      <c r="AH95" s="17">
        <v>3870.3412115844235</v>
      </c>
      <c r="AI95" s="62">
        <v>16.952880490786654</v>
      </c>
      <c r="AJ95" s="17">
        <f t="shared" si="13"/>
        <v>0.49860222471935822</v>
      </c>
      <c r="AK95" s="15">
        <f t="shared" si="14"/>
        <v>1.0145170829376449</v>
      </c>
      <c r="AL95" s="5">
        <v>1.5359</v>
      </c>
      <c r="AM95">
        <f>AI95</f>
        <v>16.952880490786654</v>
      </c>
      <c r="AN95" s="57">
        <f t="shared" si="9"/>
        <v>1</v>
      </c>
      <c r="AO95" s="5">
        <f t="shared" si="15"/>
        <v>2.7272727272727271</v>
      </c>
      <c r="AP95" s="5">
        <f t="shared" si="10"/>
        <v>16.952880490786654</v>
      </c>
    </row>
    <row r="96" spans="1:42" ht="15">
      <c r="A96" s="15">
        <v>91</v>
      </c>
      <c r="B96" s="20" t="s">
        <v>1398</v>
      </c>
      <c r="C96" s="20">
        <v>220</v>
      </c>
      <c r="D96" s="15">
        <v>220</v>
      </c>
      <c r="E96" s="15">
        <v>600</v>
      </c>
      <c r="F96" s="15">
        <v>19</v>
      </c>
      <c r="G96" s="15">
        <v>19</v>
      </c>
      <c r="H96" s="15">
        <v>12</v>
      </c>
      <c r="I96" s="15">
        <v>24</v>
      </c>
      <c r="J96" s="15">
        <v>24</v>
      </c>
      <c r="K96" s="15">
        <v>9940.1769787752382</v>
      </c>
      <c r="L96" s="15">
        <v>15332</v>
      </c>
      <c r="M96" s="15"/>
      <c r="N96" s="15"/>
      <c r="O96" s="15"/>
      <c r="P96" s="15">
        <v>901625431</v>
      </c>
      <c r="Q96" s="15"/>
      <c r="R96" s="15"/>
      <c r="S96" s="15">
        <v>2065.1049258896883</v>
      </c>
      <c r="T96" s="15">
        <v>690</v>
      </c>
      <c r="U96" s="15">
        <v>210000</v>
      </c>
      <c r="V96" s="15">
        <f t="shared" si="11"/>
        <v>5.1227808656949101</v>
      </c>
      <c r="W96" s="15">
        <v>4.8723900000000002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1494</v>
      </c>
      <c r="AF96" s="22" t="s">
        <v>5</v>
      </c>
      <c r="AG96" s="17">
        <f t="shared" si="12"/>
        <v>10061.996589855658</v>
      </c>
      <c r="AH96" s="17">
        <v>3461.4955495321219</v>
      </c>
      <c r="AI96" s="62">
        <v>9.1582993883964026</v>
      </c>
      <c r="AJ96" s="17">
        <f t="shared" si="13"/>
        <v>0.74790333707903744</v>
      </c>
      <c r="AK96" s="15">
        <f t="shared" si="14"/>
        <v>0.95112208149060773</v>
      </c>
      <c r="AL96" s="5">
        <v>1.5359</v>
      </c>
      <c r="AM96">
        <f>AI96</f>
        <v>9.1582993883964026</v>
      </c>
      <c r="AN96" s="57">
        <f t="shared" si="9"/>
        <v>1</v>
      </c>
      <c r="AO96" s="5">
        <f t="shared" si="15"/>
        <v>2.7272727272727271</v>
      </c>
      <c r="AP96" s="5">
        <f t="shared" si="10"/>
        <v>9.1582993883964026</v>
      </c>
    </row>
    <row r="97" spans="1:42" ht="15">
      <c r="A97" s="15">
        <v>92</v>
      </c>
      <c r="B97" s="20" t="s">
        <v>1399</v>
      </c>
      <c r="C97" s="20">
        <v>220</v>
      </c>
      <c r="D97" s="15">
        <v>220</v>
      </c>
      <c r="E97" s="15">
        <v>600</v>
      </c>
      <c r="F97" s="15">
        <v>19</v>
      </c>
      <c r="G97" s="15">
        <v>19</v>
      </c>
      <c r="H97" s="15">
        <v>12</v>
      </c>
      <c r="I97" s="15">
        <v>24</v>
      </c>
      <c r="J97" s="15">
        <v>24</v>
      </c>
      <c r="K97" s="15">
        <v>13253.56930503365</v>
      </c>
      <c r="L97" s="15">
        <v>15332</v>
      </c>
      <c r="M97" s="15"/>
      <c r="N97" s="15"/>
      <c r="O97" s="15"/>
      <c r="P97" s="15">
        <v>901625431</v>
      </c>
      <c r="Q97" s="15"/>
      <c r="R97" s="15"/>
      <c r="S97" s="15">
        <v>1607.7471303886666</v>
      </c>
      <c r="T97" s="15">
        <v>690</v>
      </c>
      <c r="U97" s="15">
        <v>210000</v>
      </c>
      <c r="V97" s="15">
        <f t="shared" si="11"/>
        <v>6.5800646134212339</v>
      </c>
      <c r="W97" s="15">
        <v>5.2573400000000001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1495</v>
      </c>
      <c r="AF97" s="22" t="s">
        <v>5</v>
      </c>
      <c r="AG97" s="17">
        <f t="shared" si="12"/>
        <v>8452.4732984775528</v>
      </c>
      <c r="AH97" s="17">
        <v>3010.3655720248034</v>
      </c>
      <c r="AI97" s="62">
        <v>6.6170092687632573</v>
      </c>
      <c r="AJ97" s="17">
        <f t="shared" si="13"/>
        <v>0.99720444943871644</v>
      </c>
      <c r="AK97" s="15">
        <f t="shared" si="14"/>
        <v>0.79897999622628368</v>
      </c>
      <c r="AL97" s="5">
        <v>1.5359</v>
      </c>
      <c r="AM97">
        <v>5.3754999999999997</v>
      </c>
      <c r="AN97">
        <f t="shared" si="9"/>
        <v>1.2309569842364911</v>
      </c>
      <c r="AO97" s="5">
        <f t="shared" si="15"/>
        <v>2.7272727272727271</v>
      </c>
      <c r="AP97" s="5">
        <f t="shared" si="10"/>
        <v>6.6170092687632573</v>
      </c>
    </row>
    <row r="98" spans="1:42" ht="15">
      <c r="A98" s="15">
        <v>93</v>
      </c>
      <c r="B98" s="20" t="s">
        <v>1400</v>
      </c>
      <c r="C98" s="20">
        <v>220</v>
      </c>
      <c r="D98" s="15">
        <v>220</v>
      </c>
      <c r="E98" s="15">
        <v>600</v>
      </c>
      <c r="F98" s="15">
        <v>19</v>
      </c>
      <c r="G98" s="15">
        <v>19</v>
      </c>
      <c r="H98" s="15">
        <v>12</v>
      </c>
      <c r="I98" s="15">
        <v>24</v>
      </c>
      <c r="J98" s="15">
        <v>24</v>
      </c>
      <c r="K98" s="15">
        <v>17627.247175694756</v>
      </c>
      <c r="L98" s="15">
        <v>15332</v>
      </c>
      <c r="M98" s="15"/>
      <c r="N98" s="15"/>
      <c r="O98" s="15"/>
      <c r="P98" s="15">
        <v>901625431</v>
      </c>
      <c r="Q98" s="15"/>
      <c r="R98" s="15"/>
      <c r="S98" s="15">
        <v>1120.7645119504671</v>
      </c>
      <c r="T98" s="15">
        <v>690</v>
      </c>
      <c r="U98" s="15">
        <v>210000</v>
      </c>
      <c r="V98" s="15">
        <f t="shared" si="11"/>
        <v>9.4391639699487104</v>
      </c>
      <c r="W98" s="15">
        <v>5.0067000000000004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1496</v>
      </c>
      <c r="AF98" s="22" t="s">
        <v>5</v>
      </c>
      <c r="AG98" s="17">
        <f t="shared" si="12"/>
        <v>5611.331681982404</v>
      </c>
      <c r="AH98" s="17">
        <v>2393.5008227522562</v>
      </c>
      <c r="AI98" s="62">
        <v>5.3661379513329353</v>
      </c>
      <c r="AJ98" s="17">
        <f t="shared" si="13"/>
        <v>1.326281917753493</v>
      </c>
      <c r="AK98" s="15">
        <f t="shared" si="14"/>
        <v>0.53041773783565338</v>
      </c>
      <c r="AL98" s="5">
        <v>1.5359</v>
      </c>
      <c r="AM98">
        <v>3.9889000000000001</v>
      </c>
      <c r="AN98">
        <f t="shared" si="9"/>
        <v>1.345267605438325</v>
      </c>
      <c r="AO98" s="5">
        <f t="shared" si="15"/>
        <v>2.7272727272727271</v>
      </c>
      <c r="AP98" s="5">
        <f t="shared" si="10"/>
        <v>5.3661379513329353</v>
      </c>
    </row>
    <row r="99" spans="1:42" ht="15">
      <c r="A99" s="15">
        <v>94</v>
      </c>
      <c r="B99" s="20" t="s">
        <v>1401</v>
      </c>
      <c r="C99" s="20">
        <v>220</v>
      </c>
      <c r="D99" s="15">
        <v>220</v>
      </c>
      <c r="E99" s="15">
        <v>600</v>
      </c>
      <c r="F99" s="15">
        <v>19</v>
      </c>
      <c r="G99" s="15">
        <v>19</v>
      </c>
      <c r="H99" s="15">
        <v>12</v>
      </c>
      <c r="I99" s="15">
        <v>24</v>
      </c>
      <c r="J99" s="15">
        <v>24</v>
      </c>
      <c r="K99" s="15">
        <v>22133.460739406193</v>
      </c>
      <c r="L99" s="15">
        <v>15332</v>
      </c>
      <c r="M99" s="15"/>
      <c r="N99" s="15"/>
      <c r="O99" s="15"/>
      <c r="P99" s="15">
        <v>901625431</v>
      </c>
      <c r="Q99" s="15"/>
      <c r="R99" s="15"/>
      <c r="S99" s="15">
        <v>789.97277801952634</v>
      </c>
      <c r="T99" s="15">
        <v>690</v>
      </c>
      <c r="U99" s="15">
        <v>210000</v>
      </c>
      <c r="V99" s="15">
        <f t="shared" si="11"/>
        <v>13.391701960315535</v>
      </c>
      <c r="W99" s="15">
        <v>4.65883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1497</v>
      </c>
      <c r="AF99" s="22" t="s">
        <v>5</v>
      </c>
      <c r="AG99" s="17">
        <f t="shared" si="12"/>
        <v>3680.3488774207099</v>
      </c>
      <c r="AH99" s="17">
        <v>1836.7620987321591</v>
      </c>
      <c r="AI99" s="62">
        <v>4.8287466266886678</v>
      </c>
      <c r="AJ99" s="17">
        <f t="shared" si="13"/>
        <v>1.6653314305626563</v>
      </c>
      <c r="AK99" s="15">
        <f t="shared" si="14"/>
        <v>0.34788931338270529</v>
      </c>
      <c r="AL99" s="5">
        <v>1.5359</v>
      </c>
      <c r="AM99">
        <v>3.3906999999999998</v>
      </c>
      <c r="AN99">
        <f t="shared" si="9"/>
        <v>1.4241149693835102</v>
      </c>
      <c r="AO99" s="5">
        <f t="shared" si="15"/>
        <v>2.7272727272727271</v>
      </c>
      <c r="AP99" s="5">
        <f t="shared" si="10"/>
        <v>4.8287466266886678</v>
      </c>
    </row>
    <row r="100" spans="1:42" ht="15">
      <c r="A100" s="31">
        <v>95</v>
      </c>
      <c r="B100" s="32" t="s">
        <v>1402</v>
      </c>
      <c r="C100" s="32">
        <v>220</v>
      </c>
      <c r="D100" s="31">
        <v>220</v>
      </c>
      <c r="E100" s="31">
        <v>600</v>
      </c>
      <c r="F100" s="31">
        <v>19</v>
      </c>
      <c r="G100" s="31">
        <v>19</v>
      </c>
      <c r="H100" s="31">
        <v>12</v>
      </c>
      <c r="I100" s="31">
        <v>24</v>
      </c>
      <c r="J100" s="31">
        <v>24</v>
      </c>
      <c r="K100" s="31">
        <v>26507.138610067301</v>
      </c>
      <c r="L100" s="31">
        <v>15332</v>
      </c>
      <c r="M100" s="31"/>
      <c r="N100" s="31"/>
      <c r="O100" s="31"/>
      <c r="P100" s="31">
        <v>901625431</v>
      </c>
      <c r="Q100" s="31"/>
      <c r="R100" s="31"/>
      <c r="S100" s="31">
        <v>584.16531405301509</v>
      </c>
      <c r="T100" s="31">
        <v>690</v>
      </c>
      <c r="U100" s="31">
        <v>210000</v>
      </c>
      <c r="V100" s="31">
        <f t="shared" si="11"/>
        <v>18.109736654168945</v>
      </c>
      <c r="W100" s="31">
        <v>4.3706800000000001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1498</v>
      </c>
      <c r="AF100" s="35" t="s">
        <v>5</v>
      </c>
      <c r="AG100" s="34">
        <f t="shared" si="12"/>
        <v>2553.1996548252323</v>
      </c>
      <c r="AH100" s="34">
        <v>1423.1308916460907</v>
      </c>
      <c r="AI100" s="63">
        <v>4.5528540499084889</v>
      </c>
      <c r="AJ100" s="34">
        <f t="shared" si="13"/>
        <v>1.9944088988774331</v>
      </c>
      <c r="AK100" s="31">
        <f t="shared" si="14"/>
        <v>0.24134420524518502</v>
      </c>
      <c r="AL100" s="5">
        <v>1.5359</v>
      </c>
      <c r="AM100">
        <v>3.1006</v>
      </c>
      <c r="AN100">
        <f t="shared" si="9"/>
        <v>1.4683783944747755</v>
      </c>
      <c r="AO100" s="5">
        <f t="shared" si="15"/>
        <v>2.7272727272727271</v>
      </c>
      <c r="AP100" s="5">
        <f t="shared" si="10"/>
        <v>4.5528540499084889</v>
      </c>
    </row>
    <row r="101" spans="1:42" ht="15.75" thickBot="1">
      <c r="A101" s="42">
        <v>96</v>
      </c>
      <c r="B101" s="45" t="s">
        <v>1403</v>
      </c>
      <c r="C101" s="45">
        <v>220</v>
      </c>
      <c r="D101" s="42">
        <v>220</v>
      </c>
      <c r="E101" s="42">
        <v>600</v>
      </c>
      <c r="F101" s="42">
        <v>19</v>
      </c>
      <c r="G101" s="42">
        <v>19</v>
      </c>
      <c r="H101" s="42">
        <v>12</v>
      </c>
      <c r="I101" s="42">
        <v>24</v>
      </c>
      <c r="J101" s="42">
        <v>24</v>
      </c>
      <c r="K101" s="42">
        <v>33133.923262584125</v>
      </c>
      <c r="L101" s="42">
        <v>15332</v>
      </c>
      <c r="M101" s="42"/>
      <c r="N101" s="42"/>
      <c r="O101" s="42"/>
      <c r="P101" s="42">
        <v>901625431</v>
      </c>
      <c r="Q101" s="42"/>
      <c r="R101" s="42"/>
      <c r="S101" s="42">
        <v>394.43795807694465</v>
      </c>
      <c r="T101" s="42">
        <v>690</v>
      </c>
      <c r="U101" s="42">
        <v>210000</v>
      </c>
      <c r="V101" s="42">
        <f t="shared" si="11"/>
        <v>26.820643863936379</v>
      </c>
      <c r="W101" s="42">
        <v>4.1303999999999998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1499</v>
      </c>
      <c r="AF101" s="44" t="s">
        <v>5</v>
      </c>
      <c r="AG101" s="43">
        <f t="shared" si="12"/>
        <v>1629.1865420410122</v>
      </c>
      <c r="AH101" s="43">
        <v>997.90481479246318</v>
      </c>
      <c r="AI101" s="64">
        <v>4.3153971146089525</v>
      </c>
      <c r="AJ101" s="43">
        <f t="shared" si="13"/>
        <v>2.4930111235967911</v>
      </c>
      <c r="AK101" s="42">
        <f t="shared" si="14"/>
        <v>0.15400077719811289</v>
      </c>
      <c r="AL101" s="5">
        <v>1.5359</v>
      </c>
      <c r="AM101">
        <v>2.8677999999999999</v>
      </c>
      <c r="AN101">
        <f t="shared" si="9"/>
        <v>1.5047761749804562</v>
      </c>
      <c r="AO101" s="5">
        <f t="shared" si="15"/>
        <v>2.7272727272727271</v>
      </c>
      <c r="AP101" s="5">
        <f t="shared" si="10"/>
        <v>4.3153971146089525</v>
      </c>
    </row>
    <row r="102" spans="1:42">
      <c r="A102" s="36">
        <v>97</v>
      </c>
      <c r="B102" s="37" t="s">
        <v>1308</v>
      </c>
      <c r="C102" s="37">
        <v>46</v>
      </c>
      <c r="D102" s="36">
        <v>46</v>
      </c>
      <c r="E102" s="36">
        <v>80</v>
      </c>
      <c r="F102" s="36">
        <v>5.2</v>
      </c>
      <c r="G102" s="36">
        <v>5.2</v>
      </c>
      <c r="H102" s="36">
        <v>3.8</v>
      </c>
      <c r="I102" s="36">
        <v>5</v>
      </c>
      <c r="J102" s="36">
        <v>5</v>
      </c>
      <c r="K102" s="36">
        <v>651.26216412080964</v>
      </c>
      <c r="L102" s="36">
        <v>762.63999999999987</v>
      </c>
      <c r="M102" s="36"/>
      <c r="N102" s="36"/>
      <c r="O102" s="36"/>
      <c r="P102" s="36">
        <v>801694.6314666667</v>
      </c>
      <c r="Q102" s="36"/>
      <c r="R102" s="36"/>
      <c r="S102" s="36">
        <v>92.670668670632011</v>
      </c>
      <c r="T102" s="36">
        <v>460</v>
      </c>
      <c r="U102" s="36">
        <v>210000</v>
      </c>
      <c r="V102" s="36">
        <f>L102*T102/(S102*1000)</f>
        <v>3.7856034172674047</v>
      </c>
      <c r="W102" s="36">
        <v>4.0037000000000003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1500</v>
      </c>
      <c r="AF102" s="40" t="s">
        <v>5</v>
      </c>
      <c r="AG102" s="39">
        <f t="shared" si="12"/>
        <v>371.02555615660941</v>
      </c>
      <c r="AH102" s="39">
        <v>6737.2255644762408</v>
      </c>
      <c r="AI102" s="65">
        <v>42.27406615594245</v>
      </c>
      <c r="AJ102" s="39">
        <f t="shared" si="13"/>
        <v>0.29924751051933662</v>
      </c>
      <c r="AK102" s="36">
        <f t="shared" si="14"/>
        <v>1.0576121053087031</v>
      </c>
      <c r="AL102" s="56">
        <v>26.521000000000001</v>
      </c>
      <c r="AO102" s="5">
        <f t="shared" si="15"/>
        <v>1.7391304347826086</v>
      </c>
      <c r="AP102" s="5">
        <f t="shared" si="10"/>
        <v>42.27406615594245</v>
      </c>
    </row>
    <row r="103" spans="1:42">
      <c r="A103" s="15">
        <v>98</v>
      </c>
      <c r="B103" s="20" t="s">
        <v>1309</v>
      </c>
      <c r="C103" s="20">
        <v>46</v>
      </c>
      <c r="D103" s="15">
        <v>46</v>
      </c>
      <c r="E103" s="15">
        <v>80</v>
      </c>
      <c r="F103" s="15">
        <v>5.2</v>
      </c>
      <c r="G103" s="15">
        <v>5.2</v>
      </c>
      <c r="H103" s="15">
        <v>3.8</v>
      </c>
      <c r="I103" s="15">
        <v>5</v>
      </c>
      <c r="J103" s="15">
        <v>5</v>
      </c>
      <c r="K103" s="15">
        <v>1085.4369402013494</v>
      </c>
      <c r="L103" s="15">
        <v>762.63999999999987</v>
      </c>
      <c r="M103" s="15"/>
      <c r="N103" s="15"/>
      <c r="O103" s="15"/>
      <c r="P103" s="15">
        <v>801694.6314666667</v>
      </c>
      <c r="Q103" s="15"/>
      <c r="R103" s="15"/>
      <c r="S103" s="15">
        <v>82.305983205117769</v>
      </c>
      <c r="T103" s="15">
        <v>460</v>
      </c>
      <c r="U103" s="15">
        <v>210000</v>
      </c>
      <c r="V103" s="15">
        <f t="shared" si="11"/>
        <v>4.2623195342399658</v>
      </c>
      <c r="W103" s="15">
        <v>4.3595499999999996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1501</v>
      </c>
      <c r="AF103" s="22" t="s">
        <v>5</v>
      </c>
      <c r="AG103" s="17">
        <f t="shared" si="12"/>
        <v>358.81704908187112</v>
      </c>
      <c r="AH103" s="17">
        <v>5982.1831926777968</v>
      </c>
      <c r="AI103" s="62">
        <v>17.135130365923217</v>
      </c>
      <c r="AJ103" s="17">
        <f t="shared" si="13"/>
        <v>0.49874585086556106</v>
      </c>
      <c r="AK103" s="15">
        <f t="shared" si="14"/>
        <v>1.0228116322530407</v>
      </c>
      <c r="AL103" s="5">
        <v>26.521000000000001</v>
      </c>
      <c r="AO103" s="5">
        <f t="shared" si="15"/>
        <v>1.7391304347826086</v>
      </c>
      <c r="AP103" s="5">
        <f t="shared" si="10"/>
        <v>17.135130365923217</v>
      </c>
    </row>
    <row r="104" spans="1:42">
      <c r="A104" s="15">
        <v>99</v>
      </c>
      <c r="B104" s="20" t="s">
        <v>1310</v>
      </c>
      <c r="C104" s="20">
        <v>46</v>
      </c>
      <c r="D104" s="15">
        <v>46</v>
      </c>
      <c r="E104" s="15">
        <v>80</v>
      </c>
      <c r="F104" s="15">
        <v>5.2</v>
      </c>
      <c r="G104" s="15">
        <v>5.2</v>
      </c>
      <c r="H104" s="15">
        <v>3.8</v>
      </c>
      <c r="I104" s="15">
        <v>5</v>
      </c>
      <c r="J104" s="15">
        <v>5</v>
      </c>
      <c r="K104" s="15">
        <v>1628.1554103020239</v>
      </c>
      <c r="L104" s="15">
        <v>762.64</v>
      </c>
      <c r="M104" s="15"/>
      <c r="N104" s="15"/>
      <c r="O104" s="15"/>
      <c r="P104" s="15">
        <v>801694.6314666667</v>
      </c>
      <c r="Q104" s="15"/>
      <c r="R104" s="15"/>
      <c r="S104" s="15">
        <v>67.713857139165412</v>
      </c>
      <c r="T104" s="15">
        <v>460</v>
      </c>
      <c r="U104" s="15">
        <v>210000</v>
      </c>
      <c r="V104" s="15">
        <f t="shared" si="11"/>
        <v>5.1808361659121971</v>
      </c>
      <c r="W104" s="15">
        <v>4.8907699999999998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1502</v>
      </c>
      <c r="AF104" s="22" t="s">
        <v>5</v>
      </c>
      <c r="AG104" s="17">
        <f t="shared" si="12"/>
        <v>331.172901080516</v>
      </c>
      <c r="AH104" s="17">
        <v>4919.0552942769218</v>
      </c>
      <c r="AI104" s="62">
        <v>9.2567545695619646</v>
      </c>
      <c r="AJ104" s="17">
        <f t="shared" si="13"/>
        <v>0.74811877629834156</v>
      </c>
      <c r="AK104" s="15">
        <f t="shared" si="14"/>
        <v>0.94401170841480853</v>
      </c>
      <c r="AL104" s="5">
        <v>26.521000000000001</v>
      </c>
      <c r="AO104" s="5">
        <f t="shared" si="15"/>
        <v>1.7391304347826086</v>
      </c>
      <c r="AP104" s="5">
        <f t="shared" si="10"/>
        <v>9.2567545695619646</v>
      </c>
    </row>
    <row r="105" spans="1:42">
      <c r="A105" s="15">
        <v>100</v>
      </c>
      <c r="B105" s="20" t="s">
        <v>1311</v>
      </c>
      <c r="C105" s="20">
        <v>46</v>
      </c>
      <c r="D105" s="15">
        <v>46</v>
      </c>
      <c r="E105" s="15">
        <v>80</v>
      </c>
      <c r="F105" s="15">
        <v>5.2</v>
      </c>
      <c r="G105" s="15">
        <v>5.2</v>
      </c>
      <c r="H105" s="15">
        <v>3.8</v>
      </c>
      <c r="I105" s="15">
        <v>5</v>
      </c>
      <c r="J105" s="15">
        <v>5</v>
      </c>
      <c r="K105" s="15">
        <v>2170.8738804026989</v>
      </c>
      <c r="L105" s="15">
        <v>762.64</v>
      </c>
      <c r="M105" s="15"/>
      <c r="N105" s="15"/>
      <c r="O105" s="15"/>
      <c r="P105" s="15">
        <v>801694.6314666667</v>
      </c>
      <c r="Q105" s="15"/>
      <c r="R105" s="15"/>
      <c r="S105" s="15">
        <v>52.717301740074696</v>
      </c>
      <c r="T105" s="15">
        <v>460</v>
      </c>
      <c r="U105" s="15">
        <v>210000</v>
      </c>
      <c r="V105" s="15">
        <f t="shared" si="11"/>
        <v>6.6546349760029067</v>
      </c>
      <c r="W105" s="15">
        <v>5.2045899999999996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1503</v>
      </c>
      <c r="AF105" s="22" t="s">
        <v>5</v>
      </c>
      <c r="AG105" s="17">
        <f t="shared" si="12"/>
        <v>274.37194146337532</v>
      </c>
      <c r="AH105" s="17">
        <v>3827.3641010301089</v>
      </c>
      <c r="AI105" s="62">
        <v>6.6881446202844934</v>
      </c>
      <c r="AJ105" s="17">
        <f t="shared" si="13"/>
        <v>0.99749170173112212</v>
      </c>
      <c r="AK105" s="15">
        <f t="shared" si="14"/>
        <v>0.78209999778622363</v>
      </c>
      <c r="AL105" s="5">
        <v>26.521000000000001</v>
      </c>
      <c r="AO105" s="5">
        <f t="shared" si="15"/>
        <v>1.7391304347826086</v>
      </c>
      <c r="AP105" s="5">
        <f t="shared" si="10"/>
        <v>6.6881446202844934</v>
      </c>
    </row>
    <row r="106" spans="1:42">
      <c r="A106" s="15">
        <v>101</v>
      </c>
      <c r="B106" s="20" t="s">
        <v>1312</v>
      </c>
      <c r="C106" s="20">
        <v>46</v>
      </c>
      <c r="D106" s="15">
        <v>46</v>
      </c>
      <c r="E106" s="15">
        <v>80</v>
      </c>
      <c r="F106" s="15">
        <v>5.2</v>
      </c>
      <c r="G106" s="15">
        <v>5.2</v>
      </c>
      <c r="H106" s="15">
        <v>3.8</v>
      </c>
      <c r="I106" s="15">
        <v>5</v>
      </c>
      <c r="J106" s="15">
        <v>5</v>
      </c>
      <c r="K106" s="15">
        <v>2887.2622609355894</v>
      </c>
      <c r="L106" s="15">
        <v>762.64</v>
      </c>
      <c r="M106" s="15"/>
      <c r="N106" s="15"/>
      <c r="O106" s="15"/>
      <c r="P106" s="15">
        <v>801694.6314666667</v>
      </c>
      <c r="Q106" s="15"/>
      <c r="R106" s="15"/>
      <c r="S106" s="15">
        <v>36.749361786624426</v>
      </c>
      <c r="T106" s="15">
        <v>460</v>
      </c>
      <c r="U106" s="15">
        <v>210000</v>
      </c>
      <c r="V106" s="15">
        <f t="shared" si="11"/>
        <v>9.5461358495669177</v>
      </c>
      <c r="W106" s="15">
        <v>4.98583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1504</v>
      </c>
      <c r="AF106" s="22" t="s">
        <v>5</v>
      </c>
      <c r="AG106" s="17">
        <f t="shared" si="12"/>
        <v>183.22607047660566</v>
      </c>
      <c r="AH106" s="17">
        <v>2666.6313259775375</v>
      </c>
      <c r="AI106" s="62">
        <v>5.4238259632390831</v>
      </c>
      <c r="AJ106" s="17">
        <f t="shared" si="13"/>
        <v>1.3266639633023924</v>
      </c>
      <c r="AK106" s="15">
        <f t="shared" si="14"/>
        <v>0.52228776947755184</v>
      </c>
      <c r="AL106" s="5">
        <v>26.521000000000001</v>
      </c>
      <c r="AO106" s="5">
        <f t="shared" si="15"/>
        <v>1.7391304347826086</v>
      </c>
      <c r="AP106" s="5">
        <f t="shared" si="10"/>
        <v>5.4238259632390831</v>
      </c>
    </row>
    <row r="107" spans="1:42">
      <c r="A107" s="15">
        <v>102</v>
      </c>
      <c r="B107" s="20" t="s">
        <v>1313</v>
      </c>
      <c r="C107" s="20">
        <v>46</v>
      </c>
      <c r="D107" s="15">
        <v>46</v>
      </c>
      <c r="E107" s="15">
        <v>80</v>
      </c>
      <c r="F107" s="15">
        <v>5.2</v>
      </c>
      <c r="G107" s="15">
        <v>5.2</v>
      </c>
      <c r="H107" s="15">
        <v>3.8</v>
      </c>
      <c r="I107" s="15">
        <v>5</v>
      </c>
      <c r="J107" s="15">
        <v>5</v>
      </c>
      <c r="K107" s="15">
        <v>3625.3593802725068</v>
      </c>
      <c r="L107" s="15">
        <v>762.64</v>
      </c>
      <c r="M107" s="15"/>
      <c r="N107" s="15"/>
      <c r="O107" s="15"/>
      <c r="P107" s="15">
        <v>801694.6314666667</v>
      </c>
      <c r="Q107" s="15"/>
      <c r="R107" s="15"/>
      <c r="S107" s="15">
        <v>25.902850341417093</v>
      </c>
      <c r="T107" s="15">
        <v>460</v>
      </c>
      <c r="U107" s="15">
        <v>210000</v>
      </c>
      <c r="V107" s="15">
        <f t="shared" si="11"/>
        <v>13.543467046136962</v>
      </c>
      <c r="W107" s="15">
        <v>4.6726599999999996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1505</v>
      </c>
      <c r="AF107" s="22" t="s">
        <v>5</v>
      </c>
      <c r="AG107" s="17">
        <f t="shared" si="12"/>
        <v>121.03521267632598</v>
      </c>
      <c r="AH107" s="17">
        <v>1879.0550734061646</v>
      </c>
      <c r="AI107" s="62">
        <v>4.8806574786679748</v>
      </c>
      <c r="AJ107" s="17">
        <f t="shared" si="13"/>
        <v>1.6658111418909736</v>
      </c>
      <c r="AK107" s="15">
        <f t="shared" si="14"/>
        <v>0.34501209949285433</v>
      </c>
      <c r="AL107" s="5">
        <v>26.521000000000001</v>
      </c>
      <c r="AO107" s="5">
        <f t="shared" si="15"/>
        <v>1.7391304347826086</v>
      </c>
      <c r="AP107" s="5">
        <f t="shared" si="10"/>
        <v>4.8806574786679748</v>
      </c>
    </row>
    <row r="108" spans="1:42">
      <c r="A108" s="15">
        <v>103</v>
      </c>
      <c r="B108" s="20" t="s">
        <v>1314</v>
      </c>
      <c r="C108" s="20">
        <v>46</v>
      </c>
      <c r="D108" s="15">
        <v>46</v>
      </c>
      <c r="E108" s="15">
        <v>80</v>
      </c>
      <c r="F108" s="15">
        <v>5.2</v>
      </c>
      <c r="G108" s="15">
        <v>5.2</v>
      </c>
      <c r="H108" s="15">
        <v>3.8</v>
      </c>
      <c r="I108" s="15">
        <v>5</v>
      </c>
      <c r="J108" s="15">
        <v>5</v>
      </c>
      <c r="K108" s="15">
        <v>4341.7477608053978</v>
      </c>
      <c r="L108" s="15">
        <v>762.64</v>
      </c>
      <c r="M108" s="15"/>
      <c r="N108" s="15"/>
      <c r="O108" s="15"/>
      <c r="P108" s="15">
        <v>801694.6314666667</v>
      </c>
      <c r="Q108" s="15"/>
      <c r="R108" s="15"/>
      <c r="S108" s="15">
        <v>19.154516618277878</v>
      </c>
      <c r="T108" s="15">
        <v>460</v>
      </c>
      <c r="U108" s="15">
        <v>210000</v>
      </c>
      <c r="V108" s="15">
        <f t="shared" si="11"/>
        <v>18.314970144704208</v>
      </c>
      <c r="W108" s="15">
        <v>4.4024299999999998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1506</v>
      </c>
      <c r="AF108" s="22" t="s">
        <v>5</v>
      </c>
      <c r="AG108" s="17">
        <f t="shared" si="12"/>
        <v>84.32641859580508</v>
      </c>
      <c r="AH108" s="17">
        <v>1389.3171297377658</v>
      </c>
      <c r="AI108" s="62">
        <v>4.6017989523728113</v>
      </c>
      <c r="AJ108" s="17">
        <f t="shared" si="13"/>
        <v>1.994983403462244</v>
      </c>
      <c r="AK108" s="15">
        <f t="shared" si="14"/>
        <v>0.2403733102056389</v>
      </c>
      <c r="AL108" s="5">
        <v>26.521000000000001</v>
      </c>
      <c r="AO108" s="5">
        <f t="shared" si="15"/>
        <v>1.7391304347826086</v>
      </c>
      <c r="AP108" s="5">
        <f t="shared" si="10"/>
        <v>4.6017989523728113</v>
      </c>
    </row>
    <row r="109" spans="1:42">
      <c r="A109" s="15">
        <v>104</v>
      </c>
      <c r="B109" s="20" t="s">
        <v>1315</v>
      </c>
      <c r="C109" s="20">
        <v>46</v>
      </c>
      <c r="D109" s="15">
        <v>46</v>
      </c>
      <c r="E109" s="15">
        <v>80</v>
      </c>
      <c r="F109" s="15">
        <v>5.2</v>
      </c>
      <c r="G109" s="15">
        <v>5.2</v>
      </c>
      <c r="H109" s="15">
        <v>3.8</v>
      </c>
      <c r="I109" s="15">
        <v>5</v>
      </c>
      <c r="J109" s="15">
        <v>5</v>
      </c>
      <c r="K109" s="15">
        <v>5427.1847010067468</v>
      </c>
      <c r="L109" s="15">
        <v>762.64</v>
      </c>
      <c r="M109" s="15"/>
      <c r="N109" s="15"/>
      <c r="O109" s="15"/>
      <c r="P109" s="15">
        <v>801694.6314666667</v>
      </c>
      <c r="Q109" s="15"/>
      <c r="R109" s="15"/>
      <c r="S109" s="15">
        <v>12.933442368299813</v>
      </c>
      <c r="T109" s="15">
        <v>460</v>
      </c>
      <c r="U109" s="15">
        <v>210000</v>
      </c>
      <c r="V109" s="15">
        <f t="shared" si="11"/>
        <v>27.124596067312655</v>
      </c>
      <c r="W109" s="15">
        <v>4.1761799999999996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1507</v>
      </c>
      <c r="AF109" s="22" t="s">
        <v>5</v>
      </c>
      <c r="AG109" s="17">
        <f t="shared" si="12"/>
        <v>54.012383349646306</v>
      </c>
      <c r="AH109" s="17">
        <v>937.98160586938718</v>
      </c>
      <c r="AI109" s="62">
        <v>4.3617892652366654</v>
      </c>
      <c r="AJ109" s="17">
        <f t="shared" si="13"/>
        <v>2.4937292543278051</v>
      </c>
      <c r="AK109" s="15">
        <f t="shared" si="14"/>
        <v>0.15396284573736513</v>
      </c>
      <c r="AL109" s="5">
        <v>26.521000000000001</v>
      </c>
      <c r="AO109" s="5">
        <f t="shared" si="15"/>
        <v>1.7391304347826086</v>
      </c>
      <c r="AP109" s="5">
        <f t="shared" si="10"/>
        <v>4.3617892652366654</v>
      </c>
    </row>
    <row r="110" spans="1:42">
      <c r="A110" s="15">
        <v>105</v>
      </c>
      <c r="B110" s="20" t="s">
        <v>1316</v>
      </c>
      <c r="C110" s="20">
        <v>55</v>
      </c>
      <c r="D110" s="15">
        <v>55</v>
      </c>
      <c r="E110" s="15">
        <v>100</v>
      </c>
      <c r="F110" s="15">
        <v>5.7</v>
      </c>
      <c r="G110" s="15">
        <v>5.7</v>
      </c>
      <c r="H110" s="15">
        <v>4.0999999999999996</v>
      </c>
      <c r="I110" s="15">
        <v>7</v>
      </c>
      <c r="J110" s="15">
        <v>7</v>
      </c>
      <c r="K110" s="15">
        <v>817.80636641444346</v>
      </c>
      <c r="L110" s="15">
        <v>1013.6300000000001</v>
      </c>
      <c r="M110" s="15"/>
      <c r="N110" s="15"/>
      <c r="O110" s="15"/>
      <c r="P110" s="15">
        <v>1680406.4248916672</v>
      </c>
      <c r="Q110" s="15"/>
      <c r="R110" s="15"/>
      <c r="S110" s="15">
        <v>123.53012109328566</v>
      </c>
      <c r="T110" s="15">
        <v>460</v>
      </c>
      <c r="U110" s="15">
        <v>210000</v>
      </c>
      <c r="V110" s="15">
        <f t="shared" si="11"/>
        <v>3.7745433734974587</v>
      </c>
      <c r="W110" s="15">
        <v>4.0444199999999997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1508</v>
      </c>
      <c r="AF110" s="22" t="s">
        <v>5</v>
      </c>
      <c r="AG110" s="17">
        <f t="shared" si="12"/>
        <v>499.60769235210631</v>
      </c>
      <c r="AH110" s="17">
        <v>5167.2991704491842</v>
      </c>
      <c r="AI110" s="62">
        <v>42.156013228946954</v>
      </c>
      <c r="AJ110" s="17">
        <f t="shared" si="13"/>
        <v>0.29922814760714123</v>
      </c>
      <c r="AK110" s="15">
        <f t="shared" si="14"/>
        <v>1.0714991456708247</v>
      </c>
      <c r="AL110" s="56">
        <v>15.672000000000001</v>
      </c>
      <c r="AO110" s="5">
        <f t="shared" si="15"/>
        <v>1.8181818181818181</v>
      </c>
      <c r="AP110" s="5">
        <f t="shared" si="10"/>
        <v>42.156013228946954</v>
      </c>
    </row>
    <row r="111" spans="1:42">
      <c r="A111" s="15">
        <v>106</v>
      </c>
      <c r="B111" s="20" t="s">
        <v>1317</v>
      </c>
      <c r="C111" s="20">
        <v>55</v>
      </c>
      <c r="D111" s="15">
        <v>55</v>
      </c>
      <c r="E111" s="15">
        <v>100</v>
      </c>
      <c r="F111" s="15">
        <v>5.7</v>
      </c>
      <c r="G111" s="15">
        <v>5.7</v>
      </c>
      <c r="H111" s="15">
        <v>4.0999999999999996</v>
      </c>
      <c r="I111" s="15">
        <v>7</v>
      </c>
      <c r="J111" s="15">
        <v>7</v>
      </c>
      <c r="K111" s="15">
        <v>1363.010610690739</v>
      </c>
      <c r="L111" s="15">
        <v>1013.6300000000001</v>
      </c>
      <c r="M111" s="15"/>
      <c r="N111" s="15"/>
      <c r="O111" s="15"/>
      <c r="P111" s="15">
        <v>1680406.4248916672</v>
      </c>
      <c r="Q111" s="15"/>
      <c r="R111" s="15"/>
      <c r="S111" s="15">
        <v>109.71398197380454</v>
      </c>
      <c r="T111" s="15">
        <v>460</v>
      </c>
      <c r="U111" s="15">
        <v>210000</v>
      </c>
      <c r="V111" s="15">
        <f t="shared" si="11"/>
        <v>4.2498667135363597</v>
      </c>
      <c r="W111" s="15">
        <v>4.4071499999999997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1509</v>
      </c>
      <c r="AF111" s="22" t="s">
        <v>5</v>
      </c>
      <c r="AG111" s="17">
        <f t="shared" si="12"/>
        <v>483.52597565585262</v>
      </c>
      <c r="AH111" s="17">
        <v>4589.3662454341384</v>
      </c>
      <c r="AI111" s="62">
        <v>17.087279461619747</v>
      </c>
      <c r="AJ111" s="17">
        <f t="shared" si="13"/>
        <v>0.4987135793452353</v>
      </c>
      <c r="AK111" s="15">
        <f t="shared" si="14"/>
        <v>1.0370089927673902</v>
      </c>
      <c r="AL111" s="5">
        <v>15.672000000000001</v>
      </c>
      <c r="AO111" s="5">
        <f t="shared" si="15"/>
        <v>1.8181818181818181</v>
      </c>
      <c r="AP111" s="5">
        <f t="shared" si="10"/>
        <v>17.087279461619747</v>
      </c>
    </row>
    <row r="112" spans="1:42">
      <c r="A112" s="15">
        <v>107</v>
      </c>
      <c r="B112" s="20" t="s">
        <v>1318</v>
      </c>
      <c r="C112" s="20">
        <v>55</v>
      </c>
      <c r="D112" s="15">
        <v>55</v>
      </c>
      <c r="E112" s="15">
        <v>100</v>
      </c>
      <c r="F112" s="15">
        <v>5.7</v>
      </c>
      <c r="G112" s="15">
        <v>5.7</v>
      </c>
      <c r="H112" s="15">
        <v>4.0999999999999996</v>
      </c>
      <c r="I112" s="15">
        <v>7</v>
      </c>
      <c r="J112" s="15">
        <v>7</v>
      </c>
      <c r="K112" s="15">
        <v>2044.5159160361086</v>
      </c>
      <c r="L112" s="15">
        <v>1013.63</v>
      </c>
      <c r="M112" s="15"/>
      <c r="N112" s="15"/>
      <c r="O112" s="15"/>
      <c r="P112" s="15">
        <v>1680406.424891667</v>
      </c>
      <c r="Q112" s="15"/>
      <c r="R112" s="15"/>
      <c r="S112" s="15">
        <v>90.262659070953518</v>
      </c>
      <c r="T112" s="15">
        <v>460</v>
      </c>
      <c r="U112" s="15">
        <v>210000</v>
      </c>
      <c r="V112" s="15">
        <f t="shared" si="11"/>
        <v>5.1656998009938464</v>
      </c>
      <c r="W112" s="15">
        <v>4.9439099999999998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1510</v>
      </c>
      <c r="AF112" s="22" t="s">
        <v>5</v>
      </c>
      <c r="AG112" s="17">
        <f t="shared" si="12"/>
        <v>446.25046280747779</v>
      </c>
      <c r="AH112" s="17">
        <v>3775.7120223953771</v>
      </c>
      <c r="AI112" s="62">
        <v>9.2309045137053829</v>
      </c>
      <c r="AJ112" s="17">
        <f t="shared" si="13"/>
        <v>0.74807036901785307</v>
      </c>
      <c r="AK112" s="15">
        <f t="shared" si="14"/>
        <v>0.95706490707199521</v>
      </c>
      <c r="AL112" s="5">
        <v>15.672000000000001</v>
      </c>
      <c r="AO112" s="5">
        <f t="shared" si="15"/>
        <v>1.8181818181818181</v>
      </c>
      <c r="AP112" s="5">
        <f t="shared" si="10"/>
        <v>9.2309045137053829</v>
      </c>
    </row>
    <row r="113" spans="1:42">
      <c r="A113" s="15">
        <v>108</v>
      </c>
      <c r="B113" s="20" t="s">
        <v>1319</v>
      </c>
      <c r="C113" s="20">
        <v>55</v>
      </c>
      <c r="D113" s="15">
        <v>55</v>
      </c>
      <c r="E113" s="15">
        <v>100</v>
      </c>
      <c r="F113" s="15">
        <v>5.7</v>
      </c>
      <c r="G113" s="15">
        <v>5.7</v>
      </c>
      <c r="H113" s="15">
        <v>4.0999999999999996</v>
      </c>
      <c r="I113" s="15">
        <v>7</v>
      </c>
      <c r="J113" s="15">
        <v>7</v>
      </c>
      <c r="K113" s="15">
        <v>2726.021221381478</v>
      </c>
      <c r="L113" s="15">
        <v>1013.63</v>
      </c>
      <c r="M113" s="15"/>
      <c r="N113" s="15"/>
      <c r="O113" s="15"/>
      <c r="P113" s="15">
        <v>1680406.424891667</v>
      </c>
      <c r="Q113" s="15"/>
      <c r="R113" s="15"/>
      <c r="S113" s="15">
        <v>70.27223134439798</v>
      </c>
      <c r="T113" s="15">
        <v>460</v>
      </c>
      <c r="U113" s="15">
        <v>210000</v>
      </c>
      <c r="V113" s="15">
        <f t="shared" si="11"/>
        <v>6.6351927508157953</v>
      </c>
      <c r="W113" s="15">
        <v>5.2683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1511</v>
      </c>
      <c r="AF113" s="22" t="s">
        <v>5</v>
      </c>
      <c r="AG113" s="17">
        <f t="shared" si="12"/>
        <v>370.2151963916919</v>
      </c>
      <c r="AH113" s="17">
        <v>2939.506895304562</v>
      </c>
      <c r="AI113" s="62">
        <v>6.6694675655228037</v>
      </c>
      <c r="AJ113" s="17">
        <f t="shared" si="13"/>
        <v>0.99742715869047061</v>
      </c>
      <c r="AK113" s="15">
        <f t="shared" si="14"/>
        <v>0.7939935127509693</v>
      </c>
      <c r="AL113" s="5">
        <v>15.672000000000001</v>
      </c>
      <c r="AO113" s="5">
        <f t="shared" si="15"/>
        <v>1.8181818181818181</v>
      </c>
      <c r="AP113" s="5">
        <f t="shared" si="10"/>
        <v>6.6694675655228037</v>
      </c>
    </row>
    <row r="114" spans="1:42">
      <c r="A114" s="15">
        <v>109</v>
      </c>
      <c r="B114" s="20" t="s">
        <v>1320</v>
      </c>
      <c r="C114" s="20">
        <v>55</v>
      </c>
      <c r="D114" s="15">
        <v>55</v>
      </c>
      <c r="E114" s="15">
        <v>100</v>
      </c>
      <c r="F114" s="15">
        <v>5.7</v>
      </c>
      <c r="G114" s="15">
        <v>5.7</v>
      </c>
      <c r="H114" s="15">
        <v>4.0999999999999996</v>
      </c>
      <c r="I114" s="15">
        <v>7</v>
      </c>
      <c r="J114" s="15">
        <v>7</v>
      </c>
      <c r="K114" s="15">
        <v>3625.6082244373661</v>
      </c>
      <c r="L114" s="15">
        <v>1013.63</v>
      </c>
      <c r="M114" s="15"/>
      <c r="N114" s="15"/>
      <c r="O114" s="15"/>
      <c r="P114" s="15">
        <v>1680406.424891667</v>
      </c>
      <c r="Q114" s="15"/>
      <c r="R114" s="15"/>
      <c r="S114" s="15">
        <v>48.986946751592043</v>
      </c>
      <c r="T114" s="15">
        <v>460</v>
      </c>
      <c r="U114" s="15">
        <v>210000</v>
      </c>
      <c r="V114" s="15">
        <f t="shared" si="11"/>
        <v>9.5182457964650862</v>
      </c>
      <c r="W114" s="15">
        <v>5.0515299999999996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1512</v>
      </c>
      <c r="AF114" s="22" t="s">
        <v>5</v>
      </c>
      <c r="AG114" s="17">
        <f t="shared" si="12"/>
        <v>247.45903112406972</v>
      </c>
      <c r="AH114" s="17">
        <v>2049.137546956541</v>
      </c>
      <c r="AI114" s="62">
        <v>5.4086795960050287</v>
      </c>
      <c r="AJ114" s="17">
        <f t="shared" si="13"/>
        <v>1.3265781210583261</v>
      </c>
      <c r="AK114" s="15">
        <f t="shared" si="14"/>
        <v>0.53072069244902786</v>
      </c>
      <c r="AL114" s="5">
        <v>15.672000000000001</v>
      </c>
      <c r="AO114" s="5">
        <f t="shared" si="15"/>
        <v>1.8181818181818181</v>
      </c>
      <c r="AP114" s="5">
        <f t="shared" si="10"/>
        <v>5.4086795960050287</v>
      </c>
    </row>
    <row r="115" spans="1:42">
      <c r="A115" s="15">
        <v>110</v>
      </c>
      <c r="B115" s="20" t="s">
        <v>1321</v>
      </c>
      <c r="C115" s="20">
        <v>55</v>
      </c>
      <c r="D115" s="15">
        <v>55</v>
      </c>
      <c r="E115" s="15">
        <v>100</v>
      </c>
      <c r="F115" s="15">
        <v>5.7</v>
      </c>
      <c r="G115" s="15">
        <v>5.7</v>
      </c>
      <c r="H115" s="15">
        <v>4.0999999999999996</v>
      </c>
      <c r="I115" s="15">
        <v>7</v>
      </c>
      <c r="J115" s="15">
        <v>7</v>
      </c>
      <c r="K115" s="15">
        <v>4552.4554397070679</v>
      </c>
      <c r="L115" s="15">
        <v>1013.63</v>
      </c>
      <c r="M115" s="15"/>
      <c r="N115" s="15"/>
      <c r="O115" s="15"/>
      <c r="P115" s="15">
        <v>1680406.424891667</v>
      </c>
      <c r="Q115" s="15"/>
      <c r="R115" s="15"/>
      <c r="S115" s="15">
        <v>34.528532978531793</v>
      </c>
      <c r="T115" s="15">
        <v>460</v>
      </c>
      <c r="U115" s="15">
        <v>210000</v>
      </c>
      <c r="V115" s="15">
        <f t="shared" si="11"/>
        <v>13.503898363996653</v>
      </c>
      <c r="W115" s="15">
        <v>4.73238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1513</v>
      </c>
      <c r="AF115" s="22" t="s">
        <v>5</v>
      </c>
      <c r="AG115" s="17">
        <f t="shared" si="12"/>
        <v>163.40213889694428</v>
      </c>
      <c r="AH115" s="17">
        <v>1444.3380953383705</v>
      </c>
      <c r="AI115" s="62">
        <v>4.867027942798539</v>
      </c>
      <c r="AJ115" s="17">
        <f t="shared" si="13"/>
        <v>1.6657033550130858</v>
      </c>
      <c r="AK115" s="15">
        <f t="shared" si="14"/>
        <v>0.35044546933330084</v>
      </c>
      <c r="AL115" s="5">
        <v>15.672000000000001</v>
      </c>
      <c r="AO115" s="5">
        <f t="shared" si="15"/>
        <v>1.8181818181818181</v>
      </c>
      <c r="AP115" s="5">
        <f t="shared" si="10"/>
        <v>4.867027942798539</v>
      </c>
    </row>
    <row r="116" spans="1:42">
      <c r="A116" s="15">
        <v>111</v>
      </c>
      <c r="B116" s="20" t="s">
        <v>1322</v>
      </c>
      <c r="C116" s="20">
        <v>55</v>
      </c>
      <c r="D116" s="15">
        <v>55</v>
      </c>
      <c r="E116" s="15">
        <v>100</v>
      </c>
      <c r="F116" s="15">
        <v>5.7</v>
      </c>
      <c r="G116" s="15">
        <v>5.7</v>
      </c>
      <c r="H116" s="15">
        <v>4.0999999999999996</v>
      </c>
      <c r="I116" s="15">
        <v>7</v>
      </c>
      <c r="J116" s="15">
        <v>7</v>
      </c>
      <c r="K116" s="15">
        <v>5452.0424427629559</v>
      </c>
      <c r="L116" s="15">
        <v>1013.63</v>
      </c>
      <c r="M116" s="15"/>
      <c r="N116" s="15"/>
      <c r="O116" s="15"/>
      <c r="P116" s="15">
        <v>1680406.424891667</v>
      </c>
      <c r="Q116" s="15"/>
      <c r="R116" s="15"/>
      <c r="S116" s="15">
        <v>25.53299540493197</v>
      </c>
      <c r="T116" s="15">
        <v>460</v>
      </c>
      <c r="U116" s="15">
        <v>210000</v>
      </c>
      <c r="V116" s="15">
        <f t="shared" si="11"/>
        <v>18.261461007819513</v>
      </c>
      <c r="W116" s="15">
        <v>4.4577200000000001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1514</v>
      </c>
      <c r="AF116" s="22" t="s">
        <v>5</v>
      </c>
      <c r="AG116" s="17">
        <f t="shared" si="12"/>
        <v>113.81894427647335</v>
      </c>
      <c r="AH116" s="17">
        <v>1068.0522677975339</v>
      </c>
      <c r="AI116" s="62">
        <v>4.5889481460707016</v>
      </c>
      <c r="AJ116" s="17">
        <f t="shared" si="13"/>
        <v>1.9948543173809412</v>
      </c>
      <c r="AK116" s="15">
        <f t="shared" si="14"/>
        <v>0.24410533188397224</v>
      </c>
      <c r="AL116" s="5">
        <v>15.672000000000001</v>
      </c>
      <c r="AO116" s="5">
        <f t="shared" si="15"/>
        <v>1.8181818181818181</v>
      </c>
      <c r="AP116" s="5">
        <f t="shared" si="10"/>
        <v>4.5889481460707016</v>
      </c>
    </row>
    <row r="117" spans="1:42">
      <c r="A117" s="15">
        <v>112</v>
      </c>
      <c r="B117" s="20" t="s">
        <v>1323</v>
      </c>
      <c r="C117" s="20">
        <v>55</v>
      </c>
      <c r="D117" s="15">
        <v>55</v>
      </c>
      <c r="E117" s="15">
        <v>100</v>
      </c>
      <c r="F117" s="15">
        <v>5.7</v>
      </c>
      <c r="G117" s="15">
        <v>5.7</v>
      </c>
      <c r="H117" s="15">
        <v>4.0999999999999996</v>
      </c>
      <c r="I117" s="15">
        <v>7</v>
      </c>
      <c r="J117" s="15">
        <v>7</v>
      </c>
      <c r="K117" s="15">
        <v>6815.0530534536956</v>
      </c>
      <c r="L117" s="15">
        <v>1013.63</v>
      </c>
      <c r="M117" s="15"/>
      <c r="N117" s="15"/>
      <c r="O117" s="15"/>
      <c r="P117" s="15">
        <v>1680406.424891667</v>
      </c>
      <c r="Q117" s="15"/>
      <c r="R117" s="15"/>
      <c r="S117" s="15">
        <v>17.240295390416456</v>
      </c>
      <c r="T117" s="15">
        <v>460</v>
      </c>
      <c r="U117" s="15">
        <v>210000</v>
      </c>
      <c r="V117" s="15">
        <f t="shared" si="11"/>
        <v>27.045348669558773</v>
      </c>
      <c r="W117" s="15">
        <v>4.2286400000000004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1515</v>
      </c>
      <c r="AF117" s="22" t="s">
        <v>5</v>
      </c>
      <c r="AG117" s="17">
        <f t="shared" si="12"/>
        <v>72.903002699730649</v>
      </c>
      <c r="AH117" s="17">
        <v>721.16632996678868</v>
      </c>
      <c r="AI117" s="62">
        <v>4.349608700731717</v>
      </c>
      <c r="AJ117" s="17">
        <f t="shared" si="13"/>
        <v>2.493567896726177</v>
      </c>
      <c r="AK117" s="15">
        <f t="shared" si="14"/>
        <v>0.15635368771413172</v>
      </c>
      <c r="AL117" s="5">
        <v>15.672000000000001</v>
      </c>
      <c r="AO117" s="5">
        <f t="shared" si="15"/>
        <v>1.8181818181818181</v>
      </c>
      <c r="AP117" s="5">
        <f t="shared" si="10"/>
        <v>4.349608700731717</v>
      </c>
    </row>
    <row r="118" spans="1:42">
      <c r="A118" s="15">
        <v>113</v>
      </c>
      <c r="B118" s="20" t="s">
        <v>1324</v>
      </c>
      <c r="C118" s="20">
        <v>64</v>
      </c>
      <c r="D118" s="15">
        <v>64</v>
      </c>
      <c r="E118" s="15">
        <v>120</v>
      </c>
      <c r="F118" s="15">
        <v>6.3</v>
      </c>
      <c r="G118" s="15">
        <v>6.3</v>
      </c>
      <c r="H118" s="15">
        <v>4.4000000000000004</v>
      </c>
      <c r="I118" s="15">
        <v>7</v>
      </c>
      <c r="J118" s="15">
        <v>7</v>
      </c>
      <c r="K118" s="15">
        <v>985.49851297434589</v>
      </c>
      <c r="L118" s="15">
        <v>1306.6800000000003</v>
      </c>
      <c r="M118" s="15"/>
      <c r="N118" s="15"/>
      <c r="O118" s="15"/>
      <c r="P118" s="15">
        <v>3145177.7000999991</v>
      </c>
      <c r="Q118" s="15"/>
      <c r="R118" s="15"/>
      <c r="S118" s="15">
        <v>159.54404264886861</v>
      </c>
      <c r="T118" s="15">
        <v>460</v>
      </c>
      <c r="U118" s="15">
        <v>210000</v>
      </c>
      <c r="V118" s="15">
        <f t="shared" si="11"/>
        <v>3.7674412031972078</v>
      </c>
      <c r="W118" s="15">
        <v>3.9846300000000001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1516</v>
      </c>
      <c r="AF118" s="22" t="s">
        <v>5</v>
      </c>
      <c r="AG118" s="17">
        <f t="shared" si="12"/>
        <v>635.7239786599614</v>
      </c>
      <c r="AH118" s="17">
        <v>4515.8800559245765</v>
      </c>
      <c r="AI118" s="62">
        <v>42.069920269388319</v>
      </c>
      <c r="AJ118" s="17">
        <f t="shared" si="13"/>
        <v>0.29925223117973887</v>
      </c>
      <c r="AK118" s="15">
        <f t="shared" si="14"/>
        <v>1.0576488882211292</v>
      </c>
      <c r="AL118" s="56">
        <v>10.936</v>
      </c>
      <c r="AO118" s="5">
        <f t="shared" si="15"/>
        <v>1.875</v>
      </c>
      <c r="AP118" s="5">
        <f t="shared" si="10"/>
        <v>42.069920269388319</v>
      </c>
    </row>
    <row r="119" spans="1:42">
      <c r="A119" s="15">
        <v>114</v>
      </c>
      <c r="B119" s="20" t="s">
        <v>1325</v>
      </c>
      <c r="C119" s="20">
        <v>64</v>
      </c>
      <c r="D119" s="15">
        <v>64</v>
      </c>
      <c r="E119" s="15">
        <v>120</v>
      </c>
      <c r="F119" s="15">
        <v>6.3</v>
      </c>
      <c r="G119" s="15">
        <v>6.3</v>
      </c>
      <c r="H119" s="15">
        <v>4.4000000000000004</v>
      </c>
      <c r="I119" s="15">
        <v>7</v>
      </c>
      <c r="J119" s="15">
        <v>7</v>
      </c>
      <c r="K119" s="15">
        <v>1642.4975216239097</v>
      </c>
      <c r="L119" s="15">
        <v>1306.6800000000003</v>
      </c>
      <c r="M119" s="15"/>
      <c r="N119" s="15"/>
      <c r="O119" s="15"/>
      <c r="P119" s="15">
        <v>3145177.7000999991</v>
      </c>
      <c r="Q119" s="15"/>
      <c r="R119" s="15"/>
      <c r="S119" s="15">
        <v>141.69995191688753</v>
      </c>
      <c r="T119" s="15">
        <v>460</v>
      </c>
      <c r="U119" s="15">
        <v>210000</v>
      </c>
      <c r="V119" s="15">
        <f t="shared" si="11"/>
        <v>4.2418701761631681</v>
      </c>
      <c r="W119" s="15">
        <v>4.3428300000000002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1517</v>
      </c>
      <c r="AF119" s="22" t="s">
        <v>5</v>
      </c>
      <c r="AG119" s="17">
        <f t="shared" si="12"/>
        <v>615.37880218321664</v>
      </c>
      <c r="AH119" s="17">
        <v>4010.8046415450513</v>
      </c>
      <c r="AI119" s="62">
        <v>17.052383029367789</v>
      </c>
      <c r="AJ119" s="17">
        <f t="shared" si="13"/>
        <v>0.49875371863289814</v>
      </c>
      <c r="AK119" s="15">
        <f t="shared" si="14"/>
        <v>1.0238007811752861</v>
      </c>
      <c r="AL119" s="5">
        <v>10.936</v>
      </c>
      <c r="AO119" s="5">
        <f t="shared" si="15"/>
        <v>1.875</v>
      </c>
      <c r="AP119" s="5">
        <f t="shared" si="10"/>
        <v>17.052383029367789</v>
      </c>
    </row>
    <row r="120" spans="1:42">
      <c r="A120" s="15">
        <v>115</v>
      </c>
      <c r="B120" s="20" t="s">
        <v>1326</v>
      </c>
      <c r="C120" s="20">
        <v>64</v>
      </c>
      <c r="D120" s="15">
        <v>64</v>
      </c>
      <c r="E120" s="15">
        <v>120</v>
      </c>
      <c r="F120" s="15">
        <v>6.3</v>
      </c>
      <c r="G120" s="15">
        <v>6.3</v>
      </c>
      <c r="H120" s="15">
        <v>4.4000000000000004</v>
      </c>
      <c r="I120" s="15">
        <v>7</v>
      </c>
      <c r="J120" s="15">
        <v>7</v>
      </c>
      <c r="K120" s="15">
        <v>2463.7462824358649</v>
      </c>
      <c r="L120" s="15">
        <v>1306.68</v>
      </c>
      <c r="M120" s="15"/>
      <c r="N120" s="15"/>
      <c r="O120" s="15"/>
      <c r="P120" s="15">
        <v>3145177.7000999996</v>
      </c>
      <c r="Q120" s="15"/>
      <c r="R120" s="15"/>
      <c r="S120" s="15">
        <v>116.57779819985326</v>
      </c>
      <c r="T120" s="15">
        <v>460</v>
      </c>
      <c r="U120" s="15">
        <v>210000</v>
      </c>
      <c r="V120" s="15">
        <f t="shared" si="11"/>
        <v>5.1559800346337008</v>
      </c>
      <c r="W120" s="15">
        <v>4.8746900000000002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1518</v>
      </c>
      <c r="AF120" s="22" t="s">
        <v>5</v>
      </c>
      <c r="AG120" s="17">
        <f t="shared" si="12"/>
        <v>568.28062710684276</v>
      </c>
      <c r="AH120" s="17">
        <v>3299.7242962744403</v>
      </c>
      <c r="AI120" s="62">
        <v>9.212052733659867</v>
      </c>
      <c r="AJ120" s="17">
        <f t="shared" si="13"/>
        <v>0.74813057794934712</v>
      </c>
      <c r="AK120" s="15">
        <f t="shared" si="14"/>
        <v>0.94544392477390882</v>
      </c>
      <c r="AL120" s="5">
        <v>10.936</v>
      </c>
      <c r="AO120" s="5">
        <f t="shared" si="15"/>
        <v>1.875</v>
      </c>
      <c r="AP120" s="5">
        <f t="shared" si="10"/>
        <v>9.212052733659867</v>
      </c>
    </row>
    <row r="121" spans="1:42">
      <c r="A121" s="15">
        <v>116</v>
      </c>
      <c r="B121" s="20" t="s">
        <v>1327</v>
      </c>
      <c r="C121" s="20">
        <v>64</v>
      </c>
      <c r="D121" s="15">
        <v>64</v>
      </c>
      <c r="E121" s="15">
        <v>120</v>
      </c>
      <c r="F121" s="15">
        <v>6.3</v>
      </c>
      <c r="G121" s="15">
        <v>6.3</v>
      </c>
      <c r="H121" s="15">
        <v>4.4000000000000004</v>
      </c>
      <c r="I121" s="15">
        <v>7</v>
      </c>
      <c r="J121" s="15">
        <v>7</v>
      </c>
      <c r="K121" s="15">
        <v>3284.9950432478195</v>
      </c>
      <c r="L121" s="15">
        <v>1306.68</v>
      </c>
      <c r="M121" s="15"/>
      <c r="N121" s="15"/>
      <c r="O121" s="15"/>
      <c r="P121" s="15">
        <v>3145177.7000999996</v>
      </c>
      <c r="Q121" s="15"/>
      <c r="R121" s="15"/>
      <c r="S121" s="15">
        <v>90.759369256792397</v>
      </c>
      <c r="T121" s="15">
        <v>460</v>
      </c>
      <c r="U121" s="15">
        <v>210000</v>
      </c>
      <c r="V121" s="15">
        <f t="shared" si="11"/>
        <v>6.6227079906134971</v>
      </c>
      <c r="W121" s="15">
        <v>5.1908000000000003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1519</v>
      </c>
      <c r="AF121" s="22" t="s">
        <v>5</v>
      </c>
      <c r="AG121" s="17">
        <f t="shared" si="12"/>
        <v>471.11373393815802</v>
      </c>
      <c r="AH121" s="17">
        <v>2568.935942140296</v>
      </c>
      <c r="AI121" s="62">
        <v>6.655846870456652</v>
      </c>
      <c r="AJ121" s="17">
        <f t="shared" si="13"/>
        <v>0.99750743726579594</v>
      </c>
      <c r="AK121" s="15">
        <f t="shared" si="14"/>
        <v>0.78378814336326319</v>
      </c>
      <c r="AL121" s="5">
        <v>10.936</v>
      </c>
      <c r="AO121" s="5">
        <f t="shared" si="15"/>
        <v>1.875</v>
      </c>
      <c r="AP121" s="5">
        <f t="shared" si="10"/>
        <v>6.655846870456652</v>
      </c>
    </row>
    <row r="122" spans="1:42">
      <c r="A122" s="15">
        <v>117</v>
      </c>
      <c r="B122" s="20" t="s">
        <v>1328</v>
      </c>
      <c r="C122" s="20">
        <v>64</v>
      </c>
      <c r="D122" s="15">
        <v>64</v>
      </c>
      <c r="E122" s="15">
        <v>120</v>
      </c>
      <c r="F122" s="15">
        <v>6.3</v>
      </c>
      <c r="G122" s="15">
        <v>6.3</v>
      </c>
      <c r="H122" s="15">
        <v>4.4000000000000004</v>
      </c>
      <c r="I122" s="15">
        <v>7</v>
      </c>
      <c r="J122" s="15">
        <v>7</v>
      </c>
      <c r="K122" s="15">
        <v>4369.0434075196008</v>
      </c>
      <c r="L122" s="15">
        <v>1306.68</v>
      </c>
      <c r="M122" s="15"/>
      <c r="N122" s="15"/>
      <c r="O122" s="15"/>
      <c r="P122" s="15">
        <v>3145177.7000999996</v>
      </c>
      <c r="Q122" s="15"/>
      <c r="R122" s="15"/>
      <c r="S122" s="15">
        <v>63.268581400254632</v>
      </c>
      <c r="T122" s="15">
        <v>460</v>
      </c>
      <c r="U122" s="15">
        <v>210000</v>
      </c>
      <c r="V122" s="15">
        <f t="shared" si="11"/>
        <v>9.5003362916808012</v>
      </c>
      <c r="W122" s="15">
        <v>4.9778000000000002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1520</v>
      </c>
      <c r="AF122" s="22" t="s">
        <v>5</v>
      </c>
      <c r="AG122" s="17">
        <f t="shared" si="12"/>
        <v>314.9383444941875</v>
      </c>
      <c r="AH122" s="17">
        <v>1790.8116164566586</v>
      </c>
      <c r="AI122" s="62">
        <v>5.3976337404305106</v>
      </c>
      <c r="AJ122" s="17">
        <f t="shared" si="13"/>
        <v>1.3266848915635088</v>
      </c>
      <c r="AK122" s="15">
        <f t="shared" si="14"/>
        <v>0.52396039962910901</v>
      </c>
      <c r="AL122" s="5">
        <v>10.936</v>
      </c>
      <c r="AO122" s="5">
        <f t="shared" si="15"/>
        <v>1.875</v>
      </c>
      <c r="AP122" s="5">
        <f t="shared" si="10"/>
        <v>5.3976337404305106</v>
      </c>
    </row>
    <row r="123" spans="1:42">
      <c r="A123" s="15">
        <v>118</v>
      </c>
      <c r="B123" s="20" t="s">
        <v>1329</v>
      </c>
      <c r="C123" s="20">
        <v>64</v>
      </c>
      <c r="D123" s="15">
        <v>64</v>
      </c>
      <c r="E123" s="15">
        <v>120</v>
      </c>
      <c r="F123" s="15">
        <v>6.3</v>
      </c>
      <c r="G123" s="15">
        <v>6.3</v>
      </c>
      <c r="H123" s="15">
        <v>4.4000000000000004</v>
      </c>
      <c r="I123" s="15">
        <v>7</v>
      </c>
      <c r="J123" s="15">
        <v>7</v>
      </c>
      <c r="K123" s="15">
        <v>5485.9417222238581</v>
      </c>
      <c r="L123" s="15">
        <v>1306.68</v>
      </c>
      <c r="M123" s="15"/>
      <c r="N123" s="15"/>
      <c r="O123" s="15"/>
      <c r="P123" s="15">
        <v>3145177.7000999996</v>
      </c>
      <c r="Q123" s="15"/>
      <c r="R123" s="15"/>
      <c r="S123" s="15">
        <v>44.594967521886176</v>
      </c>
      <c r="T123" s="15">
        <v>460</v>
      </c>
      <c r="U123" s="15">
        <v>210000</v>
      </c>
      <c r="V123" s="15">
        <f t="shared" si="11"/>
        <v>13.478489466440523</v>
      </c>
      <c r="W123" s="15">
        <v>4.6684400000000004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1521</v>
      </c>
      <c r="AF123" s="22" t="s">
        <v>5</v>
      </c>
      <c r="AG123" s="17">
        <f t="shared" si="12"/>
        <v>208.18893017787431</v>
      </c>
      <c r="AH123" s="17">
        <v>1262.2566225798096</v>
      </c>
      <c r="AI123" s="62">
        <v>4.857088273276795</v>
      </c>
      <c r="AJ123" s="17">
        <f t="shared" si="13"/>
        <v>1.665837420233879</v>
      </c>
      <c r="AK123" s="15">
        <f t="shared" si="14"/>
        <v>0.34636225458525871</v>
      </c>
      <c r="AL123" s="5">
        <v>10.936</v>
      </c>
      <c r="AO123" s="5">
        <f t="shared" si="15"/>
        <v>1.875</v>
      </c>
      <c r="AP123" s="5">
        <f t="shared" si="10"/>
        <v>4.857088273276795</v>
      </c>
    </row>
    <row r="124" spans="1:42">
      <c r="A124" s="15">
        <v>119</v>
      </c>
      <c r="B124" s="20" t="s">
        <v>1330</v>
      </c>
      <c r="C124" s="20">
        <v>64</v>
      </c>
      <c r="D124" s="15">
        <v>64</v>
      </c>
      <c r="E124" s="15">
        <v>120</v>
      </c>
      <c r="F124" s="15">
        <v>6.3</v>
      </c>
      <c r="G124" s="15">
        <v>6.3</v>
      </c>
      <c r="H124" s="15">
        <v>4.4000000000000004</v>
      </c>
      <c r="I124" s="15">
        <v>7</v>
      </c>
      <c r="J124" s="15">
        <v>7</v>
      </c>
      <c r="K124" s="15">
        <v>6569.9900864956389</v>
      </c>
      <c r="L124" s="15">
        <v>1306.68</v>
      </c>
      <c r="M124" s="15"/>
      <c r="N124" s="15"/>
      <c r="O124" s="15"/>
      <c r="P124" s="15">
        <v>3145177.7000999996</v>
      </c>
      <c r="Q124" s="15"/>
      <c r="R124" s="15"/>
      <c r="S124" s="15">
        <v>32.976874561319022</v>
      </c>
      <c r="T124" s="15">
        <v>460</v>
      </c>
      <c r="U124" s="15">
        <v>210000</v>
      </c>
      <c r="V124" s="15">
        <f t="shared" si="11"/>
        <v>18.227100293641598</v>
      </c>
      <c r="W124" s="15">
        <v>4.3975600000000004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1522</v>
      </c>
      <c r="AF124" s="22" t="s">
        <v>5</v>
      </c>
      <c r="AG124" s="17">
        <f t="shared" si="12"/>
        <v>145.01778449587408</v>
      </c>
      <c r="AH124" s="17">
        <v>933.4075260079486</v>
      </c>
      <c r="AI124" s="62">
        <v>4.5795763839685657</v>
      </c>
      <c r="AJ124" s="17">
        <f t="shared" si="13"/>
        <v>1.9950148745315921</v>
      </c>
      <c r="AK124" s="15">
        <f t="shared" si="14"/>
        <v>0.24126492580578271</v>
      </c>
      <c r="AL124" s="5">
        <v>10.936</v>
      </c>
      <c r="AO124" s="5">
        <f t="shared" si="15"/>
        <v>1.875</v>
      </c>
      <c r="AP124" s="5">
        <f t="shared" si="10"/>
        <v>4.5795763839685657</v>
      </c>
    </row>
    <row r="125" spans="1:42">
      <c r="A125" s="15">
        <v>120</v>
      </c>
      <c r="B125" s="20" t="s">
        <v>1331</v>
      </c>
      <c r="C125" s="20">
        <v>64</v>
      </c>
      <c r="D125" s="15">
        <v>64</v>
      </c>
      <c r="E125" s="15">
        <v>120</v>
      </c>
      <c r="F125" s="15">
        <v>6.3</v>
      </c>
      <c r="G125" s="15">
        <v>6.3</v>
      </c>
      <c r="H125" s="15">
        <v>4.4000000000000004</v>
      </c>
      <c r="I125" s="15">
        <v>7</v>
      </c>
      <c r="J125" s="15">
        <v>7</v>
      </c>
      <c r="K125" s="15">
        <v>8212.4876081195489</v>
      </c>
      <c r="L125" s="15">
        <v>1306.68</v>
      </c>
      <c r="M125" s="15"/>
      <c r="N125" s="15"/>
      <c r="O125" s="15"/>
      <c r="P125" s="15">
        <v>3145177.7000999996</v>
      </c>
      <c r="Q125" s="15"/>
      <c r="R125" s="15"/>
      <c r="S125" s="15">
        <v>22.266524137627517</v>
      </c>
      <c r="T125" s="15">
        <v>460</v>
      </c>
      <c r="U125" s="15">
        <v>210000</v>
      </c>
      <c r="V125" s="15">
        <f t="shared" si="11"/>
        <v>26.994460216817835</v>
      </c>
      <c r="W125" s="15">
        <v>4.1714099999999998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1523</v>
      </c>
      <c r="AF125" s="22" t="s">
        <v>5</v>
      </c>
      <c r="AG125" s="17">
        <f t="shared" si="12"/>
        <v>92.882801452940797</v>
      </c>
      <c r="AH125" s="17">
        <v>630.25200188249289</v>
      </c>
      <c r="AI125" s="62">
        <v>4.3407257287121839</v>
      </c>
      <c r="AJ125" s="17">
        <f t="shared" si="13"/>
        <v>2.4937685931644897</v>
      </c>
      <c r="AK125" s="15">
        <f t="shared" si="14"/>
        <v>0.15452837235845773</v>
      </c>
      <c r="AL125" s="5">
        <v>10.936</v>
      </c>
      <c r="AO125" s="5">
        <f t="shared" si="15"/>
        <v>1.875</v>
      </c>
      <c r="AP125" s="5">
        <f t="shared" si="10"/>
        <v>4.3407257287121839</v>
      </c>
    </row>
    <row r="126" spans="1:42">
      <c r="A126" s="15">
        <v>121</v>
      </c>
      <c r="B126" s="20" t="s">
        <v>1332</v>
      </c>
      <c r="C126" s="20">
        <v>82</v>
      </c>
      <c r="D126" s="15">
        <v>82</v>
      </c>
      <c r="E126" s="15">
        <v>160</v>
      </c>
      <c r="F126" s="15">
        <v>7.4</v>
      </c>
      <c r="G126" s="15">
        <v>7.4</v>
      </c>
      <c r="H126" s="15">
        <v>5</v>
      </c>
      <c r="I126" s="15">
        <v>9</v>
      </c>
      <c r="J126" s="15">
        <v>9</v>
      </c>
      <c r="K126" s="15">
        <v>1320.9666558715369</v>
      </c>
      <c r="L126" s="15">
        <v>1976.6000000000006</v>
      </c>
      <c r="M126" s="15"/>
      <c r="N126" s="15"/>
      <c r="O126" s="15"/>
      <c r="P126" s="15">
        <v>8545852.807333339</v>
      </c>
      <c r="Q126" s="15"/>
      <c r="R126" s="15"/>
      <c r="S126" s="15">
        <v>241.95567110913993</v>
      </c>
      <c r="T126" s="15">
        <v>460</v>
      </c>
      <c r="U126" s="15">
        <v>210000</v>
      </c>
      <c r="V126" s="15">
        <f t="shared" si="11"/>
        <v>3.7578619084727611</v>
      </c>
      <c r="W126" s="15">
        <v>3.9713400000000001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1524</v>
      </c>
      <c r="AF126" s="22" t="s">
        <v>5</v>
      </c>
      <c r="AG126" s="17">
        <f t="shared" si="12"/>
        <v>960.88823490257175</v>
      </c>
      <c r="AH126" s="17">
        <v>3717.8916406319318</v>
      </c>
      <c r="AI126" s="62">
        <v>41.952218524765222</v>
      </c>
      <c r="AJ126" s="17">
        <f t="shared" si="13"/>
        <v>0.2992905072608138</v>
      </c>
      <c r="AK126" s="15">
        <f t="shared" si="14"/>
        <v>1.0568083917735016</v>
      </c>
      <c r="AL126" s="56">
        <v>6.1308999999999996</v>
      </c>
      <c r="AO126" s="5">
        <f t="shared" si="15"/>
        <v>1.9512195121951219</v>
      </c>
      <c r="AP126" s="5">
        <f t="shared" si="10"/>
        <v>41.952218524765222</v>
      </c>
    </row>
    <row r="127" spans="1:42">
      <c r="A127" s="15">
        <v>122</v>
      </c>
      <c r="B127" s="20" t="s">
        <v>1333</v>
      </c>
      <c r="C127" s="20">
        <v>82</v>
      </c>
      <c r="D127" s="15">
        <v>82</v>
      </c>
      <c r="E127" s="15">
        <v>160</v>
      </c>
      <c r="F127" s="15">
        <v>7.4</v>
      </c>
      <c r="G127" s="15">
        <v>7.4</v>
      </c>
      <c r="H127" s="15">
        <v>5</v>
      </c>
      <c r="I127" s="15">
        <v>9</v>
      </c>
      <c r="J127" s="15">
        <v>9</v>
      </c>
      <c r="K127" s="15">
        <v>2201.6110931192284</v>
      </c>
      <c r="L127" s="15">
        <v>1976.6000000000006</v>
      </c>
      <c r="M127" s="15"/>
      <c r="N127" s="15"/>
      <c r="O127" s="15"/>
      <c r="P127" s="15">
        <v>8545852.807333339</v>
      </c>
      <c r="Q127" s="15"/>
      <c r="R127" s="15"/>
      <c r="S127" s="15">
        <v>214.89431001594662</v>
      </c>
      <c r="T127" s="15">
        <v>460</v>
      </c>
      <c r="U127" s="15">
        <v>210000</v>
      </c>
      <c r="V127" s="15">
        <f t="shared" si="11"/>
        <v>4.2310845733073563</v>
      </c>
      <c r="W127" s="15">
        <v>4.3318599999999998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1525</v>
      </c>
      <c r="AF127" s="22" t="s">
        <v>5</v>
      </c>
      <c r="AG127" s="17">
        <f t="shared" si="12"/>
        <v>930.89206578567848</v>
      </c>
      <c r="AH127" s="17">
        <v>3302.0666767809194</v>
      </c>
      <c r="AI127" s="62">
        <v>17.004674471336639</v>
      </c>
      <c r="AJ127" s="17">
        <f t="shared" si="13"/>
        <v>0.49881751210135639</v>
      </c>
      <c r="AK127" s="15">
        <f t="shared" si="14"/>
        <v>1.0238178710320294</v>
      </c>
      <c r="AL127" s="5">
        <v>6.1308999999999996</v>
      </c>
      <c r="AO127" s="5">
        <f t="shared" si="15"/>
        <v>1.9512195121951219</v>
      </c>
      <c r="AP127" s="5">
        <f t="shared" si="10"/>
        <v>17.004674471336639</v>
      </c>
    </row>
    <row r="128" spans="1:42">
      <c r="A128" s="15">
        <v>123</v>
      </c>
      <c r="B128" s="20" t="s">
        <v>1334</v>
      </c>
      <c r="C128" s="20">
        <v>82</v>
      </c>
      <c r="D128" s="15">
        <v>82</v>
      </c>
      <c r="E128" s="15">
        <v>160</v>
      </c>
      <c r="F128" s="15">
        <v>7.4</v>
      </c>
      <c r="G128" s="15">
        <v>7.4</v>
      </c>
      <c r="H128" s="15">
        <v>5</v>
      </c>
      <c r="I128" s="15">
        <v>9</v>
      </c>
      <c r="J128" s="15">
        <v>9</v>
      </c>
      <c r="K128" s="15">
        <v>3302.4166396788423</v>
      </c>
      <c r="L128" s="15">
        <v>1976.5999999999995</v>
      </c>
      <c r="M128" s="15"/>
      <c r="N128" s="15"/>
      <c r="O128" s="15"/>
      <c r="P128" s="15">
        <v>8545852.8073333371</v>
      </c>
      <c r="Q128" s="15"/>
      <c r="R128" s="15"/>
      <c r="S128" s="15">
        <v>176.79544113063383</v>
      </c>
      <c r="T128" s="15">
        <v>460</v>
      </c>
      <c r="U128" s="15">
        <v>210000</v>
      </c>
      <c r="V128" s="15">
        <f t="shared" si="11"/>
        <v>5.1428701678351922</v>
      </c>
      <c r="W128" s="15">
        <v>4.86538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1526</v>
      </c>
      <c r="AF128" s="22" t="s">
        <v>5</v>
      </c>
      <c r="AG128" s="17">
        <f t="shared" si="12"/>
        <v>860.17700336816324</v>
      </c>
      <c r="AH128" s="17">
        <v>2716.6393317762927</v>
      </c>
      <c r="AI128" s="62">
        <v>9.1862795762265073</v>
      </c>
      <c r="AJ128" s="17">
        <f t="shared" si="13"/>
        <v>0.7482262681520343</v>
      </c>
      <c r="AK128" s="15">
        <f t="shared" si="14"/>
        <v>0.94604371512804553</v>
      </c>
      <c r="AL128" s="5">
        <v>6.1308999999999996</v>
      </c>
      <c r="AO128" s="5">
        <f t="shared" si="15"/>
        <v>1.9512195121951219</v>
      </c>
      <c r="AP128" s="5">
        <f t="shared" si="10"/>
        <v>9.1862795762265073</v>
      </c>
    </row>
    <row r="129" spans="1:42">
      <c r="A129" s="15">
        <v>124</v>
      </c>
      <c r="B129" s="20" t="s">
        <v>1335</v>
      </c>
      <c r="C129" s="20">
        <v>82</v>
      </c>
      <c r="D129" s="15">
        <v>82</v>
      </c>
      <c r="E129" s="15">
        <v>160</v>
      </c>
      <c r="F129" s="15">
        <v>7.4</v>
      </c>
      <c r="G129" s="15">
        <v>7.4</v>
      </c>
      <c r="H129" s="15">
        <v>5</v>
      </c>
      <c r="I129" s="15">
        <v>9</v>
      </c>
      <c r="J129" s="15">
        <v>9</v>
      </c>
      <c r="K129" s="15">
        <v>4403.2221862384567</v>
      </c>
      <c r="L129" s="15">
        <v>1976.5999999999995</v>
      </c>
      <c r="M129" s="15"/>
      <c r="N129" s="15"/>
      <c r="O129" s="15"/>
      <c r="P129" s="15">
        <v>8545852.8073333371</v>
      </c>
      <c r="Q129" s="15"/>
      <c r="R129" s="15"/>
      <c r="S129" s="15">
        <v>137.64063974672746</v>
      </c>
      <c r="T129" s="15">
        <v>460</v>
      </c>
      <c r="U129" s="15">
        <v>210000</v>
      </c>
      <c r="V129" s="15">
        <f t="shared" si="11"/>
        <v>6.6058687439486254</v>
      </c>
      <c r="W129" s="15">
        <v>5.1840999999999999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1527</v>
      </c>
      <c r="AF129" s="22" t="s">
        <v>5</v>
      </c>
      <c r="AG129" s="17">
        <f t="shared" si="12"/>
        <v>713.54284051100979</v>
      </c>
      <c r="AH129" s="17">
        <v>2114.9865245140704</v>
      </c>
      <c r="AI129" s="62">
        <v>6.6372253759641335</v>
      </c>
      <c r="AJ129" s="17">
        <f t="shared" si="13"/>
        <v>0.99763502420271255</v>
      </c>
      <c r="AK129" s="15">
        <f t="shared" si="14"/>
        <v>0.78477187497086565</v>
      </c>
      <c r="AL129" s="5">
        <v>6.1308999999999996</v>
      </c>
      <c r="AO129" s="5">
        <f t="shared" si="15"/>
        <v>1.9512195121951219</v>
      </c>
      <c r="AP129" s="5">
        <f t="shared" si="10"/>
        <v>6.6372253759641335</v>
      </c>
    </row>
    <row r="130" spans="1:42">
      <c r="A130" s="15">
        <v>125</v>
      </c>
      <c r="B130" s="20" t="s">
        <v>1336</v>
      </c>
      <c r="C130" s="20">
        <v>82</v>
      </c>
      <c r="D130" s="15">
        <v>82</v>
      </c>
      <c r="E130" s="15">
        <v>160</v>
      </c>
      <c r="F130" s="15">
        <v>7.4</v>
      </c>
      <c r="G130" s="15">
        <v>7.4</v>
      </c>
      <c r="H130" s="15">
        <v>5</v>
      </c>
      <c r="I130" s="15">
        <v>9</v>
      </c>
      <c r="J130" s="15">
        <v>9</v>
      </c>
      <c r="K130" s="15">
        <v>5856.2855076971473</v>
      </c>
      <c r="L130" s="15">
        <v>1976.5999999999995</v>
      </c>
      <c r="M130" s="15"/>
      <c r="N130" s="15"/>
      <c r="O130" s="15"/>
      <c r="P130" s="15">
        <v>8545852.8073333371</v>
      </c>
      <c r="Q130" s="15"/>
      <c r="R130" s="15"/>
      <c r="S130" s="15">
        <v>95.949631328527815</v>
      </c>
      <c r="T130" s="15">
        <v>460</v>
      </c>
      <c r="U130" s="15">
        <v>210000</v>
      </c>
      <c r="V130" s="15">
        <f t="shared" si="11"/>
        <v>9.4761802355113893</v>
      </c>
      <c r="W130" s="15">
        <v>4.9753100000000003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1528</v>
      </c>
      <c r="AF130" s="22" t="s">
        <v>5</v>
      </c>
      <c r="AG130" s="17">
        <f t="shared" si="12"/>
        <v>477.37916024513777</v>
      </c>
      <c r="AH130" s="17">
        <v>1474.3623515943029</v>
      </c>
      <c r="AI130" s="62">
        <v>5.3825324304204809</v>
      </c>
      <c r="AJ130" s="17">
        <f t="shared" si="13"/>
        <v>1.3268545821896076</v>
      </c>
      <c r="AK130" s="15">
        <f t="shared" si="14"/>
        <v>0.52503328095801083</v>
      </c>
      <c r="AL130" s="5">
        <v>6.1308999999999996</v>
      </c>
      <c r="AO130" s="5">
        <f t="shared" si="15"/>
        <v>1.9512195121951219</v>
      </c>
      <c r="AP130" s="5">
        <f t="shared" si="10"/>
        <v>5.3825324304204809</v>
      </c>
    </row>
    <row r="131" spans="1:42">
      <c r="A131" s="15">
        <v>126</v>
      </c>
      <c r="B131" s="20" t="s">
        <v>1337</v>
      </c>
      <c r="C131" s="20">
        <v>82</v>
      </c>
      <c r="D131" s="15">
        <v>82</v>
      </c>
      <c r="E131" s="15">
        <v>160</v>
      </c>
      <c r="F131" s="15">
        <v>7.4</v>
      </c>
      <c r="G131" s="15">
        <v>7.4</v>
      </c>
      <c r="H131" s="15">
        <v>5</v>
      </c>
      <c r="I131" s="15">
        <v>9</v>
      </c>
      <c r="J131" s="15">
        <v>9</v>
      </c>
      <c r="K131" s="15">
        <v>7353.381051018222</v>
      </c>
      <c r="L131" s="15">
        <v>1976.5999999999995</v>
      </c>
      <c r="M131" s="15"/>
      <c r="N131" s="15"/>
      <c r="O131" s="15"/>
      <c r="P131" s="15">
        <v>8545852.8073333371</v>
      </c>
      <c r="Q131" s="15"/>
      <c r="R131" s="15"/>
      <c r="S131" s="15">
        <v>67.630261310322808</v>
      </c>
      <c r="T131" s="15">
        <v>460</v>
      </c>
      <c r="U131" s="15">
        <v>210000</v>
      </c>
      <c r="V131" s="15">
        <f t="shared" si="11"/>
        <v>13.444218348173345</v>
      </c>
      <c r="W131" s="15">
        <v>4.6675399999999998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1529</v>
      </c>
      <c r="AF131" s="22" t="s">
        <v>5</v>
      </c>
      <c r="AG131" s="17">
        <f t="shared" si="12"/>
        <v>315.66694987638408</v>
      </c>
      <c r="AH131" s="17">
        <v>1039.206818450572</v>
      </c>
      <c r="AI131" s="62">
        <v>4.8434992823803897</v>
      </c>
      <c r="AJ131" s="17">
        <f t="shared" si="13"/>
        <v>1.6660504904185298</v>
      </c>
      <c r="AK131" s="15">
        <f t="shared" si="14"/>
        <v>0.34717823521768182</v>
      </c>
      <c r="AL131" s="5">
        <v>6.1308999999999996</v>
      </c>
      <c r="AO131" s="5">
        <f t="shared" si="15"/>
        <v>1.9512195121951219</v>
      </c>
      <c r="AP131" s="5">
        <f t="shared" si="10"/>
        <v>4.8434992823803897</v>
      </c>
    </row>
    <row r="132" spans="1:42">
      <c r="A132" s="15">
        <v>127</v>
      </c>
      <c r="B132" s="20" t="s">
        <v>1338</v>
      </c>
      <c r="C132" s="20">
        <v>82</v>
      </c>
      <c r="D132" s="15">
        <v>82</v>
      </c>
      <c r="E132" s="15">
        <v>160</v>
      </c>
      <c r="F132" s="15">
        <v>7.4</v>
      </c>
      <c r="G132" s="15">
        <v>7.4</v>
      </c>
      <c r="H132" s="15">
        <v>5</v>
      </c>
      <c r="I132" s="15">
        <v>9</v>
      </c>
      <c r="J132" s="15">
        <v>9</v>
      </c>
      <c r="K132" s="15">
        <v>8806.4443724769135</v>
      </c>
      <c r="L132" s="15">
        <v>1976.5999999999995</v>
      </c>
      <c r="M132" s="15"/>
      <c r="N132" s="15"/>
      <c r="O132" s="15"/>
      <c r="P132" s="15">
        <v>8545852.8073333371</v>
      </c>
      <c r="Q132" s="15"/>
      <c r="R132" s="15"/>
      <c r="S132" s="15">
        <v>50.010904093274533</v>
      </c>
      <c r="T132" s="15">
        <v>460</v>
      </c>
      <c r="U132" s="15">
        <v>210000</v>
      </c>
      <c r="V132" s="15">
        <f t="shared" si="11"/>
        <v>18.180755107010228</v>
      </c>
      <c r="W132" s="15">
        <v>4.3966500000000002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1530</v>
      </c>
      <c r="AF132" s="22" t="s">
        <v>5</v>
      </c>
      <c r="AG132" s="17">
        <f t="shared" si="12"/>
        <v>219.88044148169547</v>
      </c>
      <c r="AH132" s="17">
        <v>768.46771731570686</v>
      </c>
      <c r="AI132" s="62">
        <v>4.5667638060844986</v>
      </c>
      <c r="AJ132" s="17">
        <f t="shared" si="13"/>
        <v>1.9952700484054251</v>
      </c>
      <c r="AK132" s="15">
        <f t="shared" si="14"/>
        <v>0.24182988957948823</v>
      </c>
      <c r="AL132" s="5">
        <v>6.1308999999999996</v>
      </c>
      <c r="AO132" s="5">
        <f t="shared" si="15"/>
        <v>1.9512195121951219</v>
      </c>
      <c r="AP132" s="5">
        <f t="shared" si="10"/>
        <v>4.5667638060844986</v>
      </c>
    </row>
    <row r="133" spans="1:42">
      <c r="A133" s="15">
        <v>128</v>
      </c>
      <c r="B133" s="20" t="s">
        <v>1339</v>
      </c>
      <c r="C133" s="20">
        <v>82</v>
      </c>
      <c r="D133" s="15">
        <v>82</v>
      </c>
      <c r="E133" s="15">
        <v>160</v>
      </c>
      <c r="F133" s="15">
        <v>7.4</v>
      </c>
      <c r="G133" s="15">
        <v>7.4</v>
      </c>
      <c r="H133" s="15">
        <v>5</v>
      </c>
      <c r="I133" s="15">
        <v>9</v>
      </c>
      <c r="J133" s="15">
        <v>9</v>
      </c>
      <c r="K133" s="15">
        <v>11008.05546559614</v>
      </c>
      <c r="L133" s="15">
        <v>1976.5999999999995</v>
      </c>
      <c r="M133" s="15"/>
      <c r="N133" s="15"/>
      <c r="O133" s="15"/>
      <c r="P133" s="15">
        <v>8545852.8073333371</v>
      </c>
      <c r="Q133" s="15"/>
      <c r="R133" s="15"/>
      <c r="S133" s="15">
        <v>33.768179002738421</v>
      </c>
      <c r="T133" s="15">
        <v>460</v>
      </c>
      <c r="U133" s="15">
        <v>210000</v>
      </c>
      <c r="V133" s="15">
        <f t="shared" si="11"/>
        <v>26.925822678393928</v>
      </c>
      <c r="W133" s="15">
        <v>4.1705500000000004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1531</v>
      </c>
      <c r="AF133" s="22" t="s">
        <v>5</v>
      </c>
      <c r="AG133" s="17">
        <f t="shared" si="12"/>
        <v>140.83187893987073</v>
      </c>
      <c r="AH133" s="17">
        <v>518.88194997923063</v>
      </c>
      <c r="AI133" s="62">
        <v>4.3285813987983568</v>
      </c>
      <c r="AJ133" s="17">
        <f t="shared" si="13"/>
        <v>2.4940875605067814</v>
      </c>
      <c r="AK133" s="15">
        <f t="shared" si="14"/>
        <v>0.15489034633458285</v>
      </c>
      <c r="AL133" s="5">
        <v>6.1308999999999996</v>
      </c>
      <c r="AO133" s="5">
        <f t="shared" si="15"/>
        <v>1.9512195121951219</v>
      </c>
      <c r="AP133" s="5">
        <f t="shared" si="10"/>
        <v>4.3285813987983568</v>
      </c>
    </row>
    <row r="134" spans="1:42">
      <c r="A134" s="15">
        <v>129</v>
      </c>
      <c r="B134" s="20" t="s">
        <v>1340</v>
      </c>
      <c r="C134" s="20">
        <v>100</v>
      </c>
      <c r="D134" s="15">
        <v>100</v>
      </c>
      <c r="E134" s="15">
        <v>200</v>
      </c>
      <c r="F134" s="15">
        <v>8.5</v>
      </c>
      <c r="G134" s="15">
        <v>8.5</v>
      </c>
      <c r="H134" s="15">
        <v>5.6</v>
      </c>
      <c r="I134" s="15">
        <v>12</v>
      </c>
      <c r="J134" s="15">
        <v>12</v>
      </c>
      <c r="K134" s="15">
        <v>1657.3040226367091</v>
      </c>
      <c r="L134" s="15">
        <v>2772.4000000000015</v>
      </c>
      <c r="M134" s="15"/>
      <c r="N134" s="15"/>
      <c r="O134" s="15"/>
      <c r="P134" s="15">
        <v>18862982.991666663</v>
      </c>
      <c r="Q134" s="15"/>
      <c r="R134" s="15"/>
      <c r="S134" s="15">
        <v>339.9055540514459</v>
      </c>
      <c r="T134" s="15">
        <v>460</v>
      </c>
      <c r="U134" s="15">
        <v>210000</v>
      </c>
      <c r="V134" s="15">
        <f t="shared" si="11"/>
        <v>3.7519363387836226</v>
      </c>
      <c r="W134" s="15">
        <v>3.9922200000000001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1532</v>
      </c>
      <c r="AF134" s="22" t="s">
        <v>5</v>
      </c>
      <c r="AG134" s="17">
        <f t="shared" si="12"/>
        <v>1356.9777509952635</v>
      </c>
      <c r="AH134" s="17">
        <v>3229.3273047384764</v>
      </c>
      <c r="AI134" s="62">
        <v>41.876153521487737</v>
      </c>
      <c r="AJ134" s="17">
        <f t="shared" si="13"/>
        <v>0.29932592879729519</v>
      </c>
      <c r="AK134" s="15">
        <f t="shared" si="14"/>
        <v>1.0640425741589947</v>
      </c>
      <c r="AL134" s="56">
        <v>3.2757000000000001</v>
      </c>
      <c r="AO134" s="5">
        <f t="shared" si="15"/>
        <v>2</v>
      </c>
      <c r="AP134" s="5">
        <f t="shared" ref="AP134:AP197" si="16">(PI()^2*U134*P134/K134^2)/(S134*1000)</f>
        <v>41.876153521487737</v>
      </c>
    </row>
    <row r="135" spans="1:42">
      <c r="A135" s="15">
        <v>130</v>
      </c>
      <c r="B135" s="20" t="s">
        <v>1341</v>
      </c>
      <c r="C135" s="20">
        <v>100</v>
      </c>
      <c r="D135" s="15">
        <v>100</v>
      </c>
      <c r="E135" s="15">
        <v>200</v>
      </c>
      <c r="F135" s="15">
        <v>8.5</v>
      </c>
      <c r="G135" s="15">
        <v>8.5</v>
      </c>
      <c r="H135" s="15">
        <v>5.6</v>
      </c>
      <c r="I135" s="15">
        <v>12</v>
      </c>
      <c r="J135" s="15">
        <v>12</v>
      </c>
      <c r="K135" s="15">
        <v>2762.173371061182</v>
      </c>
      <c r="L135" s="15">
        <v>2772.4000000000015</v>
      </c>
      <c r="M135" s="15"/>
      <c r="N135" s="15"/>
      <c r="O135" s="15"/>
      <c r="P135" s="15">
        <v>18862982.991666663</v>
      </c>
      <c r="Q135" s="15"/>
      <c r="R135" s="15"/>
      <c r="S135" s="15">
        <v>301.88905750229497</v>
      </c>
      <c r="T135" s="15">
        <v>460</v>
      </c>
      <c r="U135" s="15">
        <v>210000</v>
      </c>
      <c r="V135" s="15">
        <f t="shared" ref="V135:V198" si="17">L135*T135/(S135*1000)</f>
        <v>4.2244128043306306</v>
      </c>
      <c r="W135" s="15">
        <v>4.3592000000000004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1533</v>
      </c>
      <c r="AF135" s="22" t="s">
        <v>5</v>
      </c>
      <c r="AG135" s="17">
        <f t="shared" ref="AG135:AG198" si="18">W135*S135</f>
        <v>1315.9947794640043</v>
      </c>
      <c r="AH135" s="17">
        <v>2868.1454738641041</v>
      </c>
      <c r="AI135" s="62">
        <v>16.973842714045158</v>
      </c>
      <c r="AJ135" s="17">
        <f t="shared" ref="AJ135:AJ198" si="19">(V135/AI135)^0.5</f>
        <v>0.49887654799549208</v>
      </c>
      <c r="AK135" s="15">
        <f t="shared" ref="AK135:AK198" si="20">W135/V135</f>
        <v>1.0319067292692592</v>
      </c>
      <c r="AL135" s="5">
        <v>3.2757000000000001</v>
      </c>
      <c r="AO135" s="5">
        <f t="shared" ref="AO135:AO198" si="21">E135/C135</f>
        <v>2</v>
      </c>
      <c r="AP135" s="5">
        <f t="shared" si="16"/>
        <v>16.973842714045158</v>
      </c>
    </row>
    <row r="136" spans="1:42">
      <c r="A136" s="15">
        <v>131</v>
      </c>
      <c r="B136" s="20" t="s">
        <v>1342</v>
      </c>
      <c r="C136" s="20">
        <v>100</v>
      </c>
      <c r="D136" s="15">
        <v>100</v>
      </c>
      <c r="E136" s="15">
        <v>200</v>
      </c>
      <c r="F136" s="15">
        <v>8.5</v>
      </c>
      <c r="G136" s="15">
        <v>8.5</v>
      </c>
      <c r="H136" s="15">
        <v>5.6</v>
      </c>
      <c r="I136" s="15">
        <v>12</v>
      </c>
      <c r="J136" s="15">
        <v>12</v>
      </c>
      <c r="K136" s="15">
        <v>4143.2600565917728</v>
      </c>
      <c r="L136" s="15">
        <v>2772.3999999999996</v>
      </c>
      <c r="M136" s="15"/>
      <c r="N136" s="15"/>
      <c r="O136" s="15"/>
      <c r="P136" s="15">
        <v>18862982.991666663</v>
      </c>
      <c r="Q136" s="15"/>
      <c r="R136" s="15"/>
      <c r="S136" s="15">
        <v>248.36678593150705</v>
      </c>
      <c r="T136" s="15">
        <v>460</v>
      </c>
      <c r="U136" s="15">
        <v>210000</v>
      </c>
      <c r="V136" s="15">
        <f t="shared" si="17"/>
        <v>5.1347606533495771</v>
      </c>
      <c r="W136" s="15">
        <v>4.8971200000000001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1534</v>
      </c>
      <c r="AF136" s="22" t="s">
        <v>5</v>
      </c>
      <c r="AG136" s="17">
        <f t="shared" si="18"/>
        <v>1216.2819547209019</v>
      </c>
      <c r="AH136" s="17">
        <v>2359.6485371855892</v>
      </c>
      <c r="AI136" s="62">
        <v>9.1696236183142688</v>
      </c>
      <c r="AJ136" s="17">
        <f t="shared" si="19"/>
        <v>0.74831482199323773</v>
      </c>
      <c r="AK136" s="15">
        <f t="shared" si="20"/>
        <v>0.95371923456752439</v>
      </c>
      <c r="AL136" s="5">
        <v>3.2757000000000001</v>
      </c>
      <c r="AO136" s="5">
        <f t="shared" si="21"/>
        <v>2</v>
      </c>
      <c r="AP136" s="5">
        <f t="shared" si="16"/>
        <v>9.1696236183142688</v>
      </c>
    </row>
    <row r="137" spans="1:42">
      <c r="A137" s="15">
        <v>132</v>
      </c>
      <c r="B137" s="20" t="s">
        <v>1343</v>
      </c>
      <c r="C137" s="20">
        <v>100</v>
      </c>
      <c r="D137" s="15">
        <v>100</v>
      </c>
      <c r="E137" s="15">
        <v>200</v>
      </c>
      <c r="F137" s="15">
        <v>8.5</v>
      </c>
      <c r="G137" s="15">
        <v>8.5</v>
      </c>
      <c r="H137" s="15">
        <v>5.6</v>
      </c>
      <c r="I137" s="15">
        <v>12</v>
      </c>
      <c r="J137" s="15">
        <v>12</v>
      </c>
      <c r="K137" s="15">
        <v>5524.346742122364</v>
      </c>
      <c r="L137" s="15">
        <v>2772.3999999999996</v>
      </c>
      <c r="M137" s="15"/>
      <c r="N137" s="15"/>
      <c r="O137" s="15"/>
      <c r="P137" s="15">
        <v>18862982.991666663</v>
      </c>
      <c r="Q137" s="15"/>
      <c r="R137" s="15"/>
      <c r="S137" s="15">
        <v>193.36111320987987</v>
      </c>
      <c r="T137" s="15">
        <v>460</v>
      </c>
      <c r="U137" s="15">
        <v>210000</v>
      </c>
      <c r="V137" s="15">
        <f t="shared" si="17"/>
        <v>6.5954523059439936</v>
      </c>
      <c r="W137" s="15">
        <v>5.2251700000000003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1535</v>
      </c>
      <c r="AF137" s="22" t="s">
        <v>5</v>
      </c>
      <c r="AG137" s="17">
        <f t="shared" si="18"/>
        <v>1010.3446879108681</v>
      </c>
      <c r="AH137" s="17">
        <v>1837.0583096408704</v>
      </c>
      <c r="AI137" s="62">
        <v>6.6251911954671465</v>
      </c>
      <c r="AJ137" s="17">
        <f t="shared" si="19"/>
        <v>0.99775309599098372</v>
      </c>
      <c r="AK137" s="15">
        <f t="shared" si="20"/>
        <v>0.79223831173654924</v>
      </c>
      <c r="AL137" s="5">
        <v>3.2757000000000001</v>
      </c>
      <c r="AO137" s="5">
        <f t="shared" si="21"/>
        <v>2</v>
      </c>
      <c r="AP137" s="5">
        <f t="shared" si="16"/>
        <v>6.6251911954671465</v>
      </c>
    </row>
    <row r="138" spans="1:42">
      <c r="A138" s="15">
        <v>133</v>
      </c>
      <c r="B138" s="20" t="s">
        <v>1344</v>
      </c>
      <c r="C138" s="20">
        <v>100</v>
      </c>
      <c r="D138" s="15">
        <v>100</v>
      </c>
      <c r="E138" s="15">
        <v>200</v>
      </c>
      <c r="F138" s="15">
        <v>8.5</v>
      </c>
      <c r="G138" s="15">
        <v>8.5</v>
      </c>
      <c r="H138" s="15">
        <v>5.6</v>
      </c>
      <c r="I138" s="15">
        <v>12</v>
      </c>
      <c r="J138" s="15">
        <v>12</v>
      </c>
      <c r="K138" s="15">
        <v>7347.3811670227442</v>
      </c>
      <c r="L138" s="15">
        <v>2772.3999999999996</v>
      </c>
      <c r="M138" s="15"/>
      <c r="N138" s="15"/>
      <c r="O138" s="15"/>
      <c r="P138" s="15">
        <v>18862982.991666663</v>
      </c>
      <c r="Q138" s="15"/>
      <c r="R138" s="15"/>
      <c r="S138" s="15">
        <v>134.7925115714439</v>
      </c>
      <c r="T138" s="15">
        <v>460</v>
      </c>
      <c r="U138" s="15">
        <v>210000</v>
      </c>
      <c r="V138" s="15">
        <f t="shared" si="17"/>
        <v>9.4612377581825235</v>
      </c>
      <c r="W138" s="15">
        <v>5.0190000000000001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1536</v>
      </c>
      <c r="AF138" s="22" t="s">
        <v>5</v>
      </c>
      <c r="AG138" s="17">
        <f t="shared" si="18"/>
        <v>676.52361557707695</v>
      </c>
      <c r="AH138" s="17">
        <v>1280.6179037193911</v>
      </c>
      <c r="AI138" s="62">
        <v>5.3727731766465858</v>
      </c>
      <c r="AJ138" s="17">
        <f t="shared" si="19"/>
        <v>1.3270116176680082</v>
      </c>
      <c r="AK138" s="15">
        <f t="shared" si="20"/>
        <v>0.53048027417547272</v>
      </c>
      <c r="AL138" s="5">
        <v>3.2757000000000001</v>
      </c>
      <c r="AO138" s="5">
        <f t="shared" si="21"/>
        <v>2</v>
      </c>
      <c r="AP138" s="5">
        <f t="shared" si="16"/>
        <v>5.3727731766465858</v>
      </c>
    </row>
    <row r="139" spans="1:42">
      <c r="A139" s="15">
        <v>134</v>
      </c>
      <c r="B139" s="20" t="s">
        <v>1345</v>
      </c>
      <c r="C139" s="20">
        <v>100</v>
      </c>
      <c r="D139" s="15">
        <v>100</v>
      </c>
      <c r="E139" s="15">
        <v>200</v>
      </c>
      <c r="F139" s="15">
        <v>8.5</v>
      </c>
      <c r="G139" s="15">
        <v>8.5</v>
      </c>
      <c r="H139" s="15">
        <v>5.6</v>
      </c>
      <c r="I139" s="15">
        <v>12</v>
      </c>
      <c r="J139" s="15">
        <v>12</v>
      </c>
      <c r="K139" s="15">
        <v>9225.659059344347</v>
      </c>
      <c r="L139" s="15">
        <v>2772.3999999999996</v>
      </c>
      <c r="M139" s="15"/>
      <c r="N139" s="15"/>
      <c r="O139" s="15"/>
      <c r="P139" s="15">
        <v>18862982.991666663</v>
      </c>
      <c r="Q139" s="15"/>
      <c r="R139" s="15"/>
      <c r="S139" s="15">
        <v>95.008731706726934</v>
      </c>
      <c r="T139" s="15">
        <v>460</v>
      </c>
      <c r="U139" s="15">
        <v>210000</v>
      </c>
      <c r="V139" s="15">
        <f t="shared" si="17"/>
        <v>13.42301888563895</v>
      </c>
      <c r="W139" s="15">
        <v>4.7066400000000002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1537</v>
      </c>
      <c r="AF139" s="22" t="s">
        <v>5</v>
      </c>
      <c r="AG139" s="17">
        <f t="shared" si="18"/>
        <v>447.17189700014927</v>
      </c>
      <c r="AH139" s="17">
        <v>902.64571388165109</v>
      </c>
      <c r="AI139" s="62">
        <v>4.8347173680563307</v>
      </c>
      <c r="AJ139" s="17">
        <f t="shared" si="19"/>
        <v>1.6662476703049425</v>
      </c>
      <c r="AK139" s="15">
        <f t="shared" si="20"/>
        <v>0.35063945302465088</v>
      </c>
      <c r="AL139" s="5">
        <v>3.2757000000000001</v>
      </c>
      <c r="AO139" s="5">
        <f t="shared" si="21"/>
        <v>2</v>
      </c>
      <c r="AP139" s="5">
        <f t="shared" si="16"/>
        <v>4.8347173680563307</v>
      </c>
    </row>
    <row r="140" spans="1:42">
      <c r="A140" s="15">
        <v>135</v>
      </c>
      <c r="B140" s="20" t="s">
        <v>1346</v>
      </c>
      <c r="C140" s="20">
        <v>100</v>
      </c>
      <c r="D140" s="15">
        <v>100</v>
      </c>
      <c r="E140" s="15">
        <v>200</v>
      </c>
      <c r="F140" s="15">
        <v>8.5</v>
      </c>
      <c r="G140" s="15">
        <v>8.5</v>
      </c>
      <c r="H140" s="15">
        <v>5.6</v>
      </c>
      <c r="I140" s="15">
        <v>12</v>
      </c>
      <c r="J140" s="15">
        <v>12</v>
      </c>
      <c r="K140" s="15">
        <v>11048.693484244728</v>
      </c>
      <c r="L140" s="15">
        <v>2772.3999999999996</v>
      </c>
      <c r="M140" s="15"/>
      <c r="N140" s="15"/>
      <c r="O140" s="15"/>
      <c r="P140" s="15">
        <v>18862982.991666663</v>
      </c>
      <c r="Q140" s="15"/>
      <c r="R140" s="15"/>
      <c r="S140" s="15">
        <v>70.256605214144386</v>
      </c>
      <c r="T140" s="15">
        <v>460</v>
      </c>
      <c r="U140" s="15">
        <v>210000</v>
      </c>
      <c r="V140" s="15">
        <f t="shared" si="17"/>
        <v>18.15208685521927</v>
      </c>
      <c r="W140" s="15">
        <v>4.4333999999999998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1538</v>
      </c>
      <c r="AF140" s="22" t="s">
        <v>5</v>
      </c>
      <c r="AG140" s="17">
        <f t="shared" si="18"/>
        <v>311.47563355638772</v>
      </c>
      <c r="AH140" s="17">
        <v>667.48416097351787</v>
      </c>
      <c r="AI140" s="62">
        <v>4.5584836503241499</v>
      </c>
      <c r="AJ140" s="17">
        <f t="shared" si="19"/>
        <v>1.9955061919819674</v>
      </c>
      <c r="AK140" s="15">
        <f t="shared" si="20"/>
        <v>0.24423638093849601</v>
      </c>
      <c r="AL140" s="5">
        <v>3.2757000000000001</v>
      </c>
      <c r="AO140" s="5">
        <f t="shared" si="21"/>
        <v>2</v>
      </c>
      <c r="AP140" s="5">
        <f t="shared" si="16"/>
        <v>4.5584836503241499</v>
      </c>
    </row>
    <row r="141" spans="1:42">
      <c r="A141" s="15">
        <v>136</v>
      </c>
      <c r="B141" s="20" t="s">
        <v>1347</v>
      </c>
      <c r="C141" s="20">
        <v>100</v>
      </c>
      <c r="D141" s="15">
        <v>100</v>
      </c>
      <c r="E141" s="15">
        <v>200</v>
      </c>
      <c r="F141" s="15">
        <v>8.5</v>
      </c>
      <c r="G141" s="15">
        <v>8.5</v>
      </c>
      <c r="H141" s="15">
        <v>5.6</v>
      </c>
      <c r="I141" s="15">
        <v>12</v>
      </c>
      <c r="J141" s="15">
        <v>12</v>
      </c>
      <c r="K141" s="15">
        <v>13810.866855305909</v>
      </c>
      <c r="L141" s="15">
        <v>2772.3999999999996</v>
      </c>
      <c r="M141" s="15"/>
      <c r="N141" s="15"/>
      <c r="O141" s="15"/>
      <c r="P141" s="15">
        <v>18862982.991666663</v>
      </c>
      <c r="Q141" s="15"/>
      <c r="R141" s="15"/>
      <c r="S141" s="15">
        <v>47.438406963632531</v>
      </c>
      <c r="T141" s="15">
        <v>460</v>
      </c>
      <c r="U141" s="15">
        <v>210000</v>
      </c>
      <c r="V141" s="15">
        <f t="shared" si="17"/>
        <v>26.883364801387192</v>
      </c>
      <c r="W141" s="15">
        <v>4.2054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1539</v>
      </c>
      <c r="AF141" s="22" t="s">
        <v>5</v>
      </c>
      <c r="AG141" s="17">
        <f t="shared" si="18"/>
        <v>199.49747664486026</v>
      </c>
      <c r="AH141" s="17">
        <v>450.69620391600881</v>
      </c>
      <c r="AI141" s="62">
        <v>4.3207330997127658</v>
      </c>
      <c r="AJ141" s="17">
        <f t="shared" si="19"/>
        <v>2.4943827399774592</v>
      </c>
      <c r="AK141" s="15">
        <f t="shared" si="20"/>
        <v>0.15643131100103214</v>
      </c>
      <c r="AL141" s="5">
        <v>3.2757000000000001</v>
      </c>
      <c r="AO141" s="5">
        <f t="shared" si="21"/>
        <v>2</v>
      </c>
      <c r="AP141" s="5">
        <f t="shared" si="16"/>
        <v>4.3207330997127658</v>
      </c>
    </row>
    <row r="142" spans="1:42">
      <c r="A142" s="15">
        <v>137</v>
      </c>
      <c r="B142" s="20" t="s">
        <v>1348</v>
      </c>
      <c r="C142" s="20">
        <v>120</v>
      </c>
      <c r="D142" s="15">
        <v>120</v>
      </c>
      <c r="E142" s="15">
        <v>240</v>
      </c>
      <c r="F142" s="15">
        <v>9.8000000000000007</v>
      </c>
      <c r="G142" s="15">
        <v>9.8000000000000007</v>
      </c>
      <c r="H142" s="15">
        <v>6.2</v>
      </c>
      <c r="I142" s="15">
        <v>15</v>
      </c>
      <c r="J142" s="15">
        <v>15</v>
      </c>
      <c r="K142" s="15">
        <v>2000.8263106334873</v>
      </c>
      <c r="L142" s="15">
        <v>3779.2400000000011</v>
      </c>
      <c r="M142" s="15"/>
      <c r="N142" s="15"/>
      <c r="O142" s="15"/>
      <c r="P142" s="15">
        <v>37462016.117466666</v>
      </c>
      <c r="Q142" s="15"/>
      <c r="R142" s="15"/>
      <c r="S142" s="15">
        <v>464.60882568531304</v>
      </c>
      <c r="T142" s="15">
        <v>460</v>
      </c>
      <c r="U142" s="15">
        <v>210000</v>
      </c>
      <c r="V142" s="15">
        <f t="shared" si="17"/>
        <v>3.7417507027244481</v>
      </c>
      <c r="W142" s="15">
        <v>3.9976600000000002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1540</v>
      </c>
      <c r="AF142" s="22" t="s">
        <v>5</v>
      </c>
      <c r="AG142" s="17">
        <f t="shared" si="18"/>
        <v>1857.3481180891486</v>
      </c>
      <c r="AH142" s="17">
        <v>2919.9032253392879</v>
      </c>
      <c r="AI142" s="62">
        <v>41.744950628665379</v>
      </c>
      <c r="AJ142" s="17">
        <f t="shared" si="19"/>
        <v>0.29938873038742092</v>
      </c>
      <c r="AK142" s="15">
        <f t="shared" si="20"/>
        <v>1.0683929309051026</v>
      </c>
      <c r="AL142" s="56">
        <v>1.7927999999999999</v>
      </c>
      <c r="AO142" s="5">
        <f t="shared" si="21"/>
        <v>2</v>
      </c>
      <c r="AP142" s="5">
        <f t="shared" si="16"/>
        <v>41.744950628665379</v>
      </c>
    </row>
    <row r="143" spans="1:42">
      <c r="A143" s="15">
        <v>138</v>
      </c>
      <c r="B143" s="20" t="s">
        <v>1349</v>
      </c>
      <c r="C143" s="20">
        <v>120</v>
      </c>
      <c r="D143" s="15">
        <v>120</v>
      </c>
      <c r="E143" s="15">
        <v>240</v>
      </c>
      <c r="F143" s="15">
        <v>9.8000000000000007</v>
      </c>
      <c r="G143" s="15">
        <v>9.8000000000000007</v>
      </c>
      <c r="H143" s="15">
        <v>6.2</v>
      </c>
      <c r="I143" s="15">
        <v>15</v>
      </c>
      <c r="J143" s="15">
        <v>15</v>
      </c>
      <c r="K143" s="15">
        <v>3334.7105177224789</v>
      </c>
      <c r="L143" s="15">
        <v>3779.2400000000011</v>
      </c>
      <c r="M143" s="15"/>
      <c r="N143" s="15"/>
      <c r="O143" s="15"/>
      <c r="P143" s="15">
        <v>37462016.117466666</v>
      </c>
      <c r="Q143" s="15"/>
      <c r="R143" s="15"/>
      <c r="S143" s="15">
        <v>413.34356664921762</v>
      </c>
      <c r="T143" s="15">
        <v>460</v>
      </c>
      <c r="U143" s="15">
        <v>210000</v>
      </c>
      <c r="V143" s="15">
        <f t="shared" si="17"/>
        <v>4.2058242592059738</v>
      </c>
      <c r="W143" s="15">
        <v>4.3592300000000002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1541</v>
      </c>
      <c r="AF143" s="22" t="s">
        <v>5</v>
      </c>
      <c r="AG143" s="17">
        <f t="shared" si="18"/>
        <v>1801.859676044269</v>
      </c>
      <c r="AH143" s="17">
        <v>2593.3287120167879</v>
      </c>
      <c r="AI143" s="62">
        <v>16.892064277077889</v>
      </c>
      <c r="AJ143" s="17">
        <f t="shared" si="19"/>
        <v>0.49898121731236827</v>
      </c>
      <c r="AK143" s="15">
        <f t="shared" si="20"/>
        <v>1.0364745960219908</v>
      </c>
      <c r="AL143" s="5">
        <v>1.7927999999999999</v>
      </c>
      <c r="AO143" s="5">
        <f t="shared" si="21"/>
        <v>2</v>
      </c>
      <c r="AP143" s="5">
        <f t="shared" si="16"/>
        <v>16.892064277077889</v>
      </c>
    </row>
    <row r="144" spans="1:42">
      <c r="A144" s="15">
        <v>139</v>
      </c>
      <c r="B144" s="20" t="s">
        <v>1350</v>
      </c>
      <c r="C144" s="20">
        <v>120</v>
      </c>
      <c r="D144" s="15">
        <v>120</v>
      </c>
      <c r="E144" s="15">
        <v>240</v>
      </c>
      <c r="F144" s="15">
        <v>9.8000000000000007</v>
      </c>
      <c r="G144" s="15">
        <v>9.8000000000000007</v>
      </c>
      <c r="H144" s="15">
        <v>6.2</v>
      </c>
      <c r="I144" s="15">
        <v>15</v>
      </c>
      <c r="J144" s="15">
        <v>15</v>
      </c>
      <c r="K144" s="15">
        <v>5002.0657765837186</v>
      </c>
      <c r="L144" s="15">
        <v>3779.2400000000016</v>
      </c>
      <c r="M144" s="15"/>
      <c r="N144" s="15"/>
      <c r="O144" s="15"/>
      <c r="P144" s="15">
        <v>37462016.117466658</v>
      </c>
      <c r="Q144" s="15"/>
      <c r="R144" s="15"/>
      <c r="S144" s="15">
        <v>341.23083191781382</v>
      </c>
      <c r="T144" s="15">
        <v>460</v>
      </c>
      <c r="U144" s="15">
        <v>210000</v>
      </c>
      <c r="V144" s="15">
        <f t="shared" si="17"/>
        <v>5.0946463138439686</v>
      </c>
      <c r="W144" s="15">
        <v>4.8823600000000003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1542</v>
      </c>
      <c r="AF144" s="22" t="s">
        <v>5</v>
      </c>
      <c r="AG144" s="17">
        <f t="shared" si="18"/>
        <v>1666.0117645222576</v>
      </c>
      <c r="AH144" s="17">
        <v>2133.5543672781446</v>
      </c>
      <c r="AI144" s="62">
        <v>9.0941711830058463</v>
      </c>
      <c r="AJ144" s="17">
        <f t="shared" si="19"/>
        <v>0.74847182596855255</v>
      </c>
      <c r="AK144" s="15">
        <f t="shared" si="20"/>
        <v>0.95833149138005702</v>
      </c>
      <c r="AL144" s="5">
        <v>1.7927999999999999</v>
      </c>
      <c r="AO144" s="5">
        <f t="shared" si="21"/>
        <v>2</v>
      </c>
      <c r="AP144" s="5">
        <f t="shared" si="16"/>
        <v>9.0941711830058463</v>
      </c>
    </row>
    <row r="145" spans="1:42">
      <c r="A145" s="15">
        <v>140</v>
      </c>
      <c r="B145" s="20" t="s">
        <v>1351</v>
      </c>
      <c r="C145" s="20">
        <v>120</v>
      </c>
      <c r="D145" s="15">
        <v>120</v>
      </c>
      <c r="E145" s="15">
        <v>240</v>
      </c>
      <c r="F145" s="15">
        <v>9.8000000000000007</v>
      </c>
      <c r="G145" s="15">
        <v>9.8000000000000007</v>
      </c>
      <c r="H145" s="15">
        <v>6.2</v>
      </c>
      <c r="I145" s="15">
        <v>15</v>
      </c>
      <c r="J145" s="15">
        <v>15</v>
      </c>
      <c r="K145" s="15">
        <v>6669.4210354449579</v>
      </c>
      <c r="L145" s="15">
        <v>3779.2400000000016</v>
      </c>
      <c r="M145" s="15"/>
      <c r="N145" s="15"/>
      <c r="O145" s="15"/>
      <c r="P145" s="15">
        <v>37462016.117466658</v>
      </c>
      <c r="Q145" s="15"/>
      <c r="R145" s="15"/>
      <c r="S145" s="15">
        <v>266.71677391664417</v>
      </c>
      <c r="T145" s="15">
        <v>460</v>
      </c>
      <c r="U145" s="15">
        <v>210000</v>
      </c>
      <c r="V145" s="15">
        <f t="shared" si="17"/>
        <v>6.5179642602580037</v>
      </c>
      <c r="W145" s="15">
        <v>5.1923000000000004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1543</v>
      </c>
      <c r="AF145" s="22" t="s">
        <v>5</v>
      </c>
      <c r="AG145" s="17">
        <f t="shared" si="18"/>
        <v>1384.8735052073916</v>
      </c>
      <c r="AH145" s="17">
        <v>1661.0371068878442</v>
      </c>
      <c r="AI145" s="62">
        <v>6.5446072193207252</v>
      </c>
      <c r="AJ145" s="17">
        <f t="shared" si="19"/>
        <v>0.99796243462473655</v>
      </c>
      <c r="AK145" s="15">
        <f t="shared" si="20"/>
        <v>0.79661375740567053</v>
      </c>
      <c r="AL145" s="5">
        <v>1.7927999999999999</v>
      </c>
      <c r="AO145" s="5">
        <f t="shared" si="21"/>
        <v>2</v>
      </c>
      <c r="AP145" s="5">
        <f t="shared" si="16"/>
        <v>6.5446072193207252</v>
      </c>
    </row>
    <row r="146" spans="1:42">
      <c r="A146" s="15">
        <v>141</v>
      </c>
      <c r="B146" s="20" t="s">
        <v>1352</v>
      </c>
      <c r="C146" s="20">
        <v>120</v>
      </c>
      <c r="D146" s="15">
        <v>120</v>
      </c>
      <c r="E146" s="15">
        <v>240</v>
      </c>
      <c r="F146" s="15">
        <v>9.8000000000000007</v>
      </c>
      <c r="G146" s="15">
        <v>9.8000000000000007</v>
      </c>
      <c r="H146" s="15">
        <v>6.2</v>
      </c>
      <c r="I146" s="15">
        <v>15</v>
      </c>
      <c r="J146" s="15">
        <v>15</v>
      </c>
      <c r="K146" s="15">
        <v>8870.3299771417951</v>
      </c>
      <c r="L146" s="15">
        <v>3779.2400000000016</v>
      </c>
      <c r="M146" s="15"/>
      <c r="N146" s="15"/>
      <c r="O146" s="15"/>
      <c r="P146" s="15">
        <v>37462016.117466658</v>
      </c>
      <c r="Q146" s="15"/>
      <c r="R146" s="15"/>
      <c r="S146" s="15">
        <v>186.60676551347498</v>
      </c>
      <c r="T146" s="15">
        <v>460</v>
      </c>
      <c r="U146" s="15">
        <v>210000</v>
      </c>
      <c r="V146" s="15">
        <f t="shared" si="17"/>
        <v>9.3161166757079137</v>
      </c>
      <c r="W146" s="15">
        <v>4.9728199999999996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1544</v>
      </c>
      <c r="AF146" s="22" t="s">
        <v>5</v>
      </c>
      <c r="AG146" s="17">
        <f t="shared" si="18"/>
        <v>927.9618556807186</v>
      </c>
      <c r="AH146" s="17">
        <v>1157.9130867319466</v>
      </c>
      <c r="AI146" s="62">
        <v>5.2881437151255346</v>
      </c>
      <c r="AJ146" s="17">
        <f t="shared" si="19"/>
        <v>1.3272900380508998</v>
      </c>
      <c r="AK146" s="15">
        <f t="shared" si="20"/>
        <v>0.53378678832638438</v>
      </c>
      <c r="AL146" s="5">
        <v>1.7927999999999999</v>
      </c>
      <c r="AO146" s="5">
        <f t="shared" si="21"/>
        <v>2</v>
      </c>
      <c r="AP146" s="5">
        <f t="shared" si="16"/>
        <v>5.2881437151255346</v>
      </c>
    </row>
    <row r="147" spans="1:42">
      <c r="A147" s="15">
        <v>142</v>
      </c>
      <c r="B147" s="20" t="s">
        <v>1353</v>
      </c>
      <c r="C147" s="20">
        <v>120</v>
      </c>
      <c r="D147" s="15">
        <v>120</v>
      </c>
      <c r="E147" s="15">
        <v>240</v>
      </c>
      <c r="F147" s="15">
        <v>9.8000000000000007</v>
      </c>
      <c r="G147" s="15">
        <v>9.8000000000000007</v>
      </c>
      <c r="H147" s="15">
        <v>6.2</v>
      </c>
      <c r="I147" s="15">
        <v>15</v>
      </c>
      <c r="J147" s="15">
        <v>15</v>
      </c>
      <c r="K147" s="15">
        <v>11137.933129193079</v>
      </c>
      <c r="L147" s="15">
        <v>3779.2400000000016</v>
      </c>
      <c r="M147" s="15"/>
      <c r="N147" s="15"/>
      <c r="O147" s="15"/>
      <c r="P147" s="15">
        <v>37462016.117466658</v>
      </c>
      <c r="Q147" s="15"/>
      <c r="R147" s="15"/>
      <c r="S147" s="15">
        <v>131.78021189711291</v>
      </c>
      <c r="T147" s="15">
        <v>460</v>
      </c>
      <c r="U147" s="15">
        <v>210000</v>
      </c>
      <c r="V147" s="15">
        <f t="shared" si="17"/>
        <v>13.192044351524432</v>
      </c>
      <c r="W147" s="15">
        <v>4.6579499999999996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1545</v>
      </c>
      <c r="AF147" s="22" t="s">
        <v>5</v>
      </c>
      <c r="AG147" s="17">
        <f t="shared" si="18"/>
        <v>613.82563800615696</v>
      </c>
      <c r="AH147" s="17">
        <v>816.15701432133437</v>
      </c>
      <c r="AI147" s="62">
        <v>4.7495315041037518</v>
      </c>
      <c r="AJ147" s="17">
        <f t="shared" si="19"/>
        <v>1.6665972658233101</v>
      </c>
      <c r="AK147" s="15">
        <f t="shared" si="20"/>
        <v>0.35308780624753899</v>
      </c>
      <c r="AL147" s="5">
        <v>1.7927999999999999</v>
      </c>
      <c r="AO147" s="5">
        <f t="shared" si="21"/>
        <v>2</v>
      </c>
      <c r="AP147" s="5">
        <f t="shared" si="16"/>
        <v>4.7495315041037518</v>
      </c>
    </row>
    <row r="148" spans="1:42">
      <c r="A148" s="15">
        <v>143</v>
      </c>
      <c r="B148" s="20" t="s">
        <v>1354</v>
      </c>
      <c r="C148" s="20">
        <v>120</v>
      </c>
      <c r="D148" s="15">
        <v>120</v>
      </c>
      <c r="E148" s="15">
        <v>240</v>
      </c>
      <c r="F148" s="15">
        <v>9.8000000000000007</v>
      </c>
      <c r="G148" s="15">
        <v>9.8000000000000007</v>
      </c>
      <c r="H148" s="15">
        <v>6.2</v>
      </c>
      <c r="I148" s="15">
        <v>15</v>
      </c>
      <c r="J148" s="15">
        <v>15</v>
      </c>
      <c r="K148" s="15">
        <v>13338.842070889916</v>
      </c>
      <c r="L148" s="15">
        <v>3779.2400000000016</v>
      </c>
      <c r="M148" s="15"/>
      <c r="N148" s="15"/>
      <c r="O148" s="15"/>
      <c r="P148" s="15">
        <v>37462016.117466658</v>
      </c>
      <c r="Q148" s="15"/>
      <c r="R148" s="15"/>
      <c r="S148" s="15">
        <v>97.54264088507297</v>
      </c>
      <c r="T148" s="15">
        <v>460</v>
      </c>
      <c r="U148" s="15">
        <v>210000</v>
      </c>
      <c r="V148" s="15">
        <f t="shared" si="17"/>
        <v>17.822465992573278</v>
      </c>
      <c r="W148" s="15">
        <v>4.3839899999999998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1546</v>
      </c>
      <c r="AF148" s="22" t="s">
        <v>5</v>
      </c>
      <c r="AG148" s="17">
        <f t="shared" si="18"/>
        <v>427.62596221375105</v>
      </c>
      <c r="AH148" s="17">
        <v>603.5279086234649</v>
      </c>
      <c r="AI148" s="62">
        <v>4.4738293638816353</v>
      </c>
      <c r="AJ148" s="17">
        <f t="shared" si="19"/>
        <v>1.9959248692494731</v>
      </c>
      <c r="AK148" s="15">
        <f t="shared" si="20"/>
        <v>0.24598111180724561</v>
      </c>
      <c r="AL148" s="5">
        <v>1.7927999999999999</v>
      </c>
      <c r="AO148" s="5">
        <f t="shared" si="21"/>
        <v>2</v>
      </c>
      <c r="AP148" s="5">
        <f t="shared" si="16"/>
        <v>4.4738293638816353</v>
      </c>
    </row>
    <row r="149" spans="1:42">
      <c r="A149" s="15">
        <v>144</v>
      </c>
      <c r="B149" s="20" t="s">
        <v>1355</v>
      </c>
      <c r="C149" s="20">
        <v>120</v>
      </c>
      <c r="D149" s="15">
        <v>120</v>
      </c>
      <c r="E149" s="15">
        <v>240</v>
      </c>
      <c r="F149" s="15">
        <v>9.8000000000000007</v>
      </c>
      <c r="G149" s="15">
        <v>9.8000000000000007</v>
      </c>
      <c r="H149" s="15">
        <v>6.2</v>
      </c>
      <c r="I149" s="15">
        <v>15</v>
      </c>
      <c r="J149" s="15">
        <v>15</v>
      </c>
      <c r="K149" s="15">
        <v>16673.552588612394</v>
      </c>
      <c r="L149" s="15">
        <v>3779.2400000000016</v>
      </c>
      <c r="M149" s="15"/>
      <c r="N149" s="15"/>
      <c r="O149" s="15"/>
      <c r="P149" s="15">
        <v>37462016.117466658</v>
      </c>
      <c r="Q149" s="15"/>
      <c r="R149" s="15"/>
      <c r="S149" s="15">
        <v>65.914017019130839</v>
      </c>
      <c r="T149" s="15">
        <v>460</v>
      </c>
      <c r="U149" s="15">
        <v>210000</v>
      </c>
      <c r="V149" s="15">
        <f t="shared" si="17"/>
        <v>26.374517570298199</v>
      </c>
      <c r="W149" s="15">
        <v>4.1557199999999996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1547</v>
      </c>
      <c r="AF149" s="22" t="s">
        <v>5</v>
      </c>
      <c r="AG149" s="17">
        <f t="shared" si="18"/>
        <v>273.92019880674241</v>
      </c>
      <c r="AH149" s="17">
        <v>407.5118980759683</v>
      </c>
      <c r="AI149" s="62">
        <v>4.2371722508301657</v>
      </c>
      <c r="AJ149" s="17">
        <f t="shared" si="19"/>
        <v>2.4949060865618415</v>
      </c>
      <c r="AK149" s="15">
        <f t="shared" si="20"/>
        <v>0.1575657256639259</v>
      </c>
      <c r="AL149" s="5">
        <v>1.7927999999999999</v>
      </c>
      <c r="AO149" s="5">
        <f t="shared" si="21"/>
        <v>2</v>
      </c>
      <c r="AP149" s="5">
        <f t="shared" si="16"/>
        <v>4.2371722508301657</v>
      </c>
    </row>
    <row r="150" spans="1:42">
      <c r="A150" s="15">
        <v>145</v>
      </c>
      <c r="B150" s="20" t="s">
        <v>1356</v>
      </c>
      <c r="C150" s="20">
        <v>150</v>
      </c>
      <c r="D150" s="15">
        <v>150</v>
      </c>
      <c r="E150" s="15">
        <v>300</v>
      </c>
      <c r="F150" s="15">
        <v>10.7</v>
      </c>
      <c r="G150" s="15">
        <v>10.7</v>
      </c>
      <c r="H150" s="15">
        <v>7.1</v>
      </c>
      <c r="I150" s="15">
        <v>15</v>
      </c>
      <c r="J150" s="15">
        <v>15</v>
      </c>
      <c r="K150" s="15">
        <v>2500.4424190671257</v>
      </c>
      <c r="L150" s="15">
        <v>5264.0299999999979</v>
      </c>
      <c r="M150" s="15"/>
      <c r="N150" s="15"/>
      <c r="O150" s="15"/>
      <c r="P150" s="15">
        <v>81490744.332891658</v>
      </c>
      <c r="Q150" s="15"/>
      <c r="R150" s="15"/>
      <c r="S150" s="15">
        <v>647.18526451561377</v>
      </c>
      <c r="T150" s="15">
        <v>460</v>
      </c>
      <c r="U150" s="15">
        <v>210000</v>
      </c>
      <c r="V150" s="15">
        <f t="shared" si="17"/>
        <v>3.7415156567452712</v>
      </c>
      <c r="W150" s="15">
        <v>3.9224800000000002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1548</v>
      </c>
      <c r="AF150" s="24" t="s">
        <v>218</v>
      </c>
      <c r="AG150" s="17">
        <f t="shared" si="18"/>
        <v>2538.5712563572047</v>
      </c>
      <c r="AH150" s="17">
        <v>8981.4590297570321</v>
      </c>
      <c r="AI150" s="62">
        <v>41.741205592903157</v>
      </c>
      <c r="AJ150" s="17">
        <f t="shared" si="19"/>
        <v>0.29939275678022892</v>
      </c>
      <c r="AK150" s="15">
        <f t="shared" si="20"/>
        <v>1.0483665871953478</v>
      </c>
      <c r="AL150" s="56">
        <v>29.24</v>
      </c>
      <c r="AO150" s="5">
        <f t="shared" si="21"/>
        <v>2</v>
      </c>
      <c r="AP150" s="5">
        <f t="shared" si="16"/>
        <v>41.741205592903157</v>
      </c>
    </row>
    <row r="151" spans="1:42">
      <c r="A151" s="15">
        <v>146</v>
      </c>
      <c r="B151" s="20" t="s">
        <v>1357</v>
      </c>
      <c r="C151" s="20">
        <v>150</v>
      </c>
      <c r="D151" s="15">
        <v>150</v>
      </c>
      <c r="E151" s="15">
        <v>300</v>
      </c>
      <c r="F151" s="15">
        <v>10.7</v>
      </c>
      <c r="G151" s="15">
        <v>10.7</v>
      </c>
      <c r="H151" s="15">
        <v>7.1</v>
      </c>
      <c r="I151" s="15">
        <v>15</v>
      </c>
      <c r="J151" s="15">
        <v>15</v>
      </c>
      <c r="K151" s="15">
        <v>4167.404031778543</v>
      </c>
      <c r="L151" s="15">
        <v>5264.0299999999979</v>
      </c>
      <c r="M151" s="15"/>
      <c r="N151" s="15"/>
      <c r="O151" s="15"/>
      <c r="P151" s="15">
        <v>81490744.332891658</v>
      </c>
      <c r="Q151" s="15"/>
      <c r="R151" s="15"/>
      <c r="S151" s="15">
        <v>574.80128584312843</v>
      </c>
      <c r="T151" s="15">
        <v>460</v>
      </c>
      <c r="U151" s="15">
        <v>210000</v>
      </c>
      <c r="V151" s="15">
        <f t="shared" si="17"/>
        <v>4.2126798593502945</v>
      </c>
      <c r="W151" s="15">
        <v>4.28606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1549</v>
      </c>
      <c r="AF151" s="22" t="s">
        <v>5</v>
      </c>
      <c r="AG151" s="17">
        <f t="shared" si="18"/>
        <v>2463.6327992007991</v>
      </c>
      <c r="AH151" s="17">
        <v>7976.9340899867948</v>
      </c>
      <c r="AI151" s="62">
        <v>16.919143685558566</v>
      </c>
      <c r="AJ151" s="17">
        <f t="shared" si="19"/>
        <v>0.49898792796704822</v>
      </c>
      <c r="AK151" s="15">
        <f t="shared" si="20"/>
        <v>1.0174188742320007</v>
      </c>
      <c r="AL151" s="5">
        <v>29.24</v>
      </c>
      <c r="AO151" s="5">
        <f t="shared" si="21"/>
        <v>2</v>
      </c>
      <c r="AP151" s="5">
        <f t="shared" si="16"/>
        <v>16.919143685558566</v>
      </c>
    </row>
    <row r="152" spans="1:42">
      <c r="A152" s="15">
        <v>147</v>
      </c>
      <c r="B152" s="20" t="s">
        <v>1358</v>
      </c>
      <c r="C152" s="20">
        <v>150</v>
      </c>
      <c r="D152" s="15">
        <v>150</v>
      </c>
      <c r="E152" s="15">
        <v>300</v>
      </c>
      <c r="F152" s="15">
        <v>10.7</v>
      </c>
      <c r="G152" s="15">
        <v>10.7</v>
      </c>
      <c r="H152" s="15">
        <v>7.1</v>
      </c>
      <c r="I152" s="15">
        <v>15</v>
      </c>
      <c r="J152" s="15">
        <v>15</v>
      </c>
      <c r="K152" s="15">
        <v>6251.106047667814</v>
      </c>
      <c r="L152" s="15">
        <v>5264.0299999999979</v>
      </c>
      <c r="M152" s="15"/>
      <c r="N152" s="15"/>
      <c r="O152" s="15"/>
      <c r="P152" s="15">
        <v>81490744.332891598</v>
      </c>
      <c r="Q152" s="15"/>
      <c r="R152" s="15"/>
      <c r="S152" s="15">
        <v>472.89407935254485</v>
      </c>
      <c r="T152" s="15">
        <v>460</v>
      </c>
      <c r="U152" s="15">
        <v>210000</v>
      </c>
      <c r="V152" s="15">
        <f t="shared" si="17"/>
        <v>5.1204992951387602</v>
      </c>
      <c r="W152" s="15">
        <v>4.8221800000000004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1550</v>
      </c>
      <c r="AF152" s="22" t="s">
        <v>5</v>
      </c>
      <c r="AG152" s="17">
        <f t="shared" si="18"/>
        <v>2280.3803715722547</v>
      </c>
      <c r="AH152" s="17">
        <v>6562.6939177894164</v>
      </c>
      <c r="AI152" s="62">
        <v>9.1400740630391653</v>
      </c>
      <c r="AJ152" s="17">
        <f t="shared" si="19"/>
        <v>0.74848189195057258</v>
      </c>
      <c r="AK152" s="15">
        <f t="shared" si="20"/>
        <v>0.94174019408185938</v>
      </c>
      <c r="AL152" s="5">
        <v>29.24</v>
      </c>
      <c r="AO152" s="5">
        <f t="shared" si="21"/>
        <v>2</v>
      </c>
      <c r="AP152" s="5">
        <f t="shared" si="16"/>
        <v>9.1400740630391653</v>
      </c>
    </row>
    <row r="153" spans="1:42">
      <c r="A153" s="15">
        <v>148</v>
      </c>
      <c r="B153" s="20" t="s">
        <v>1359</v>
      </c>
      <c r="C153" s="20">
        <v>150</v>
      </c>
      <c r="D153" s="15">
        <v>150</v>
      </c>
      <c r="E153" s="15">
        <v>300</v>
      </c>
      <c r="F153" s="15">
        <v>10.7</v>
      </c>
      <c r="G153" s="15">
        <v>10.7</v>
      </c>
      <c r="H153" s="15">
        <v>7.1</v>
      </c>
      <c r="I153" s="15">
        <v>15</v>
      </c>
      <c r="J153" s="15">
        <v>15</v>
      </c>
      <c r="K153" s="15">
        <v>8334.8080635570859</v>
      </c>
      <c r="L153" s="15">
        <v>5264.0299999999979</v>
      </c>
      <c r="M153" s="15"/>
      <c r="N153" s="15"/>
      <c r="O153" s="15"/>
      <c r="P153" s="15">
        <v>81490744.332891598</v>
      </c>
      <c r="Q153" s="15"/>
      <c r="R153" s="15"/>
      <c r="S153" s="15">
        <v>368.16245485894342</v>
      </c>
      <c r="T153" s="15">
        <v>460</v>
      </c>
      <c r="U153" s="15">
        <v>210000</v>
      </c>
      <c r="V153" s="15">
        <f t="shared" si="17"/>
        <v>6.5771340016942981</v>
      </c>
      <c r="W153" s="15">
        <v>5.1468299999999996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1551</v>
      </c>
      <c r="AF153" s="22" t="s">
        <v>5</v>
      </c>
      <c r="AG153" s="17">
        <f t="shared" si="18"/>
        <v>1894.8695675416557</v>
      </c>
      <c r="AH153" s="17">
        <v>5109.2572496767662</v>
      </c>
      <c r="AI153" s="62">
        <v>6.6038411966463064</v>
      </c>
      <c r="AJ153" s="17">
        <f t="shared" si="19"/>
        <v>0.99797585593409666</v>
      </c>
      <c r="AK153" s="15">
        <f t="shared" si="20"/>
        <v>0.78253385116893681</v>
      </c>
      <c r="AL153" s="5">
        <v>29.24</v>
      </c>
      <c r="AO153" s="5">
        <f t="shared" si="21"/>
        <v>2</v>
      </c>
      <c r="AP153" s="5">
        <f t="shared" si="16"/>
        <v>6.6038411966463064</v>
      </c>
    </row>
    <row r="154" spans="1:42">
      <c r="A154" s="15">
        <v>149</v>
      </c>
      <c r="B154" s="20" t="s">
        <v>1360</v>
      </c>
      <c r="C154" s="20">
        <v>150</v>
      </c>
      <c r="D154" s="15">
        <v>150</v>
      </c>
      <c r="E154" s="15">
        <v>300</v>
      </c>
      <c r="F154" s="15">
        <v>10.7</v>
      </c>
      <c r="G154" s="15">
        <v>10.7</v>
      </c>
      <c r="H154" s="15">
        <v>7.1</v>
      </c>
      <c r="I154" s="15">
        <v>15</v>
      </c>
      <c r="J154" s="15">
        <v>15</v>
      </c>
      <c r="K154" s="15">
        <v>11085.294724530924</v>
      </c>
      <c r="L154" s="15">
        <v>5264.0299999999979</v>
      </c>
      <c r="M154" s="15"/>
      <c r="N154" s="15"/>
      <c r="O154" s="15"/>
      <c r="P154" s="15">
        <v>81490744.332891598</v>
      </c>
      <c r="Q154" s="15"/>
      <c r="R154" s="15"/>
      <c r="S154" s="15">
        <v>256.64696035795106</v>
      </c>
      <c r="T154" s="15">
        <v>460</v>
      </c>
      <c r="U154" s="15">
        <v>210000</v>
      </c>
      <c r="V154" s="15">
        <f t="shared" si="17"/>
        <v>9.4349599801328061</v>
      </c>
      <c r="W154" s="15">
        <v>4.9451700000000001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1552</v>
      </c>
      <c r="AF154" s="22" t="s">
        <v>5</v>
      </c>
      <c r="AG154" s="17">
        <f t="shared" si="18"/>
        <v>1269.1628489533289</v>
      </c>
      <c r="AH154" s="17">
        <v>3561.6759001641408</v>
      </c>
      <c r="AI154" s="62">
        <v>5.3554591554203705</v>
      </c>
      <c r="AJ154" s="17">
        <f t="shared" si="19"/>
        <v>1.3273078883923486</v>
      </c>
      <c r="AK154" s="15">
        <f t="shared" si="20"/>
        <v>0.52413258884118685</v>
      </c>
      <c r="AL154" s="5">
        <v>29.24</v>
      </c>
      <c r="AO154" s="5">
        <f t="shared" si="21"/>
        <v>2</v>
      </c>
      <c r="AP154" s="5">
        <f t="shared" si="16"/>
        <v>5.3554591554203705</v>
      </c>
    </row>
    <row r="155" spans="1:42">
      <c r="A155" s="15">
        <v>150</v>
      </c>
      <c r="B155" s="20" t="s">
        <v>1361</v>
      </c>
      <c r="C155" s="20">
        <v>150</v>
      </c>
      <c r="D155" s="15">
        <v>150</v>
      </c>
      <c r="E155" s="15">
        <v>300</v>
      </c>
      <c r="F155" s="15">
        <v>10.7</v>
      </c>
      <c r="G155" s="15">
        <v>10.7</v>
      </c>
      <c r="H155" s="15">
        <v>7.1</v>
      </c>
      <c r="I155" s="15">
        <v>15</v>
      </c>
      <c r="J155" s="15">
        <v>15</v>
      </c>
      <c r="K155" s="15">
        <v>13919.129466140332</v>
      </c>
      <c r="L155" s="15">
        <v>5264.0299999999979</v>
      </c>
      <c r="M155" s="15"/>
      <c r="N155" s="15"/>
      <c r="O155" s="15"/>
      <c r="P155" s="15">
        <v>81490744.332891598</v>
      </c>
      <c r="Q155" s="15"/>
      <c r="R155" s="15"/>
      <c r="S155" s="15">
        <v>180.8980477900769</v>
      </c>
      <c r="T155" s="15">
        <v>460</v>
      </c>
      <c r="U155" s="15">
        <v>210000</v>
      </c>
      <c r="V155" s="15">
        <f t="shared" si="17"/>
        <v>13.385737599611767</v>
      </c>
      <c r="W155" s="15">
        <v>4.6431100000000001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1553</v>
      </c>
      <c r="AF155" s="22" t="s">
        <v>5</v>
      </c>
      <c r="AG155" s="17">
        <f t="shared" si="18"/>
        <v>839.92953467458392</v>
      </c>
      <c r="AH155" s="17">
        <v>2510.4533336457143</v>
      </c>
      <c r="AI155" s="62">
        <v>4.8191372576773688</v>
      </c>
      <c r="AJ155" s="17">
        <f t="shared" si="19"/>
        <v>1.6666196794099413</v>
      </c>
      <c r="AK155" s="15">
        <f t="shared" si="20"/>
        <v>0.34686994014694167</v>
      </c>
      <c r="AL155" s="5">
        <v>29.24</v>
      </c>
      <c r="AO155" s="5">
        <f t="shared" si="21"/>
        <v>2</v>
      </c>
      <c r="AP155" s="5">
        <f t="shared" si="16"/>
        <v>4.8191372576773688</v>
      </c>
    </row>
    <row r="156" spans="1:42">
      <c r="A156" s="15">
        <v>151</v>
      </c>
      <c r="B156" s="20" t="s">
        <v>1362</v>
      </c>
      <c r="C156" s="20">
        <v>150</v>
      </c>
      <c r="D156" s="15">
        <v>150</v>
      </c>
      <c r="E156" s="15">
        <v>300</v>
      </c>
      <c r="F156" s="15">
        <v>10.7</v>
      </c>
      <c r="G156" s="15">
        <v>10.7</v>
      </c>
      <c r="H156" s="15">
        <v>7.1</v>
      </c>
      <c r="I156" s="15">
        <v>15</v>
      </c>
      <c r="J156" s="15">
        <v>15</v>
      </c>
      <c r="K156" s="15">
        <v>16669.616127114172</v>
      </c>
      <c r="L156" s="15">
        <v>5264.0299999999979</v>
      </c>
      <c r="M156" s="15"/>
      <c r="N156" s="15"/>
      <c r="O156" s="15"/>
      <c r="P156" s="15">
        <v>81490744.332891598</v>
      </c>
      <c r="Q156" s="15"/>
      <c r="R156" s="15"/>
      <c r="S156" s="15">
        <v>133.7696283203515</v>
      </c>
      <c r="T156" s="15">
        <v>460</v>
      </c>
      <c r="U156" s="15">
        <v>210000</v>
      </c>
      <c r="V156" s="15">
        <f t="shared" si="17"/>
        <v>18.101670987685644</v>
      </c>
      <c r="W156" s="15">
        <v>4.3735499999999998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1554</v>
      </c>
      <c r="AF156" s="22" t="s">
        <v>5</v>
      </c>
      <c r="AG156" s="17">
        <f t="shared" si="18"/>
        <v>585.04815794047329</v>
      </c>
      <c r="AH156" s="17">
        <v>1856.4180954958663</v>
      </c>
      <c r="AI156" s="62">
        <v>4.543793716450871</v>
      </c>
      <c r="AJ156" s="17">
        <f t="shared" si="19"/>
        <v>1.9959517118681933</v>
      </c>
      <c r="AK156" s="15">
        <f t="shared" si="20"/>
        <v>0.24161029128058262</v>
      </c>
      <c r="AL156" s="5">
        <v>29.24</v>
      </c>
      <c r="AO156" s="5">
        <f t="shared" si="21"/>
        <v>2</v>
      </c>
      <c r="AP156" s="5">
        <f t="shared" si="16"/>
        <v>4.543793716450871</v>
      </c>
    </row>
    <row r="157" spans="1:42">
      <c r="A157" s="15">
        <v>152</v>
      </c>
      <c r="B157" s="20" t="s">
        <v>1363</v>
      </c>
      <c r="C157" s="20">
        <v>150</v>
      </c>
      <c r="D157" s="15">
        <v>150</v>
      </c>
      <c r="E157" s="15">
        <v>300</v>
      </c>
      <c r="F157" s="15">
        <v>10.7</v>
      </c>
      <c r="G157" s="15">
        <v>10.7</v>
      </c>
      <c r="H157" s="15">
        <v>7.1</v>
      </c>
      <c r="I157" s="15">
        <v>15</v>
      </c>
      <c r="J157" s="15">
        <v>15</v>
      </c>
      <c r="K157" s="15">
        <v>20837.020158892712</v>
      </c>
      <c r="L157" s="15">
        <v>5264.0299999999979</v>
      </c>
      <c r="M157" s="15"/>
      <c r="N157" s="15"/>
      <c r="O157" s="15"/>
      <c r="P157" s="15">
        <v>81490744.332891598</v>
      </c>
      <c r="Q157" s="15"/>
      <c r="R157" s="15"/>
      <c r="S157" s="15">
        <v>90.323437181350329</v>
      </c>
      <c r="T157" s="15">
        <v>460</v>
      </c>
      <c r="U157" s="15">
        <v>210000</v>
      </c>
      <c r="V157" s="15">
        <f t="shared" si="17"/>
        <v>26.808698556701653</v>
      </c>
      <c r="W157" s="15">
        <v>4.1485300000000001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1555</v>
      </c>
      <c r="AF157" s="22" t="s">
        <v>5</v>
      </c>
      <c r="AG157" s="17">
        <f t="shared" si="18"/>
        <v>374.70948884994726</v>
      </c>
      <c r="AH157" s="17">
        <v>1253.4838089651214</v>
      </c>
      <c r="AI157" s="62">
        <v>4.3068093284792415</v>
      </c>
      <c r="AJ157" s="17">
        <f t="shared" si="19"/>
        <v>2.4949396398352413</v>
      </c>
      <c r="AK157" s="15">
        <f t="shared" si="20"/>
        <v>0.15474566925453934</v>
      </c>
      <c r="AL157" s="5">
        <v>29.24</v>
      </c>
      <c r="AO157" s="5">
        <f t="shared" si="21"/>
        <v>2</v>
      </c>
      <c r="AP157" s="5">
        <f t="shared" si="16"/>
        <v>4.3068093284792415</v>
      </c>
    </row>
    <row r="158" spans="1:42">
      <c r="A158" s="15">
        <v>153</v>
      </c>
      <c r="B158" s="20" t="s">
        <v>1364</v>
      </c>
      <c r="C158" s="20">
        <v>170</v>
      </c>
      <c r="D158" s="15">
        <v>170</v>
      </c>
      <c r="E158" s="15">
        <v>360</v>
      </c>
      <c r="F158" s="15">
        <v>12.7</v>
      </c>
      <c r="G158" s="15">
        <v>12.7</v>
      </c>
      <c r="H158" s="15">
        <v>8</v>
      </c>
      <c r="I158" s="15">
        <v>18</v>
      </c>
      <c r="J158" s="15">
        <v>18</v>
      </c>
      <c r="K158" s="15">
        <v>2999.9475719723728</v>
      </c>
      <c r="L158" s="15">
        <v>7096.399999999996</v>
      </c>
      <c r="M158" s="15"/>
      <c r="N158" s="15"/>
      <c r="O158" s="15"/>
      <c r="P158" s="15">
        <v>158133287.76633328</v>
      </c>
      <c r="Q158" s="15"/>
      <c r="R158" s="15"/>
      <c r="S158" s="15">
        <v>872.56729649113834</v>
      </c>
      <c r="T158" s="15">
        <v>460</v>
      </c>
      <c r="U158" s="15">
        <v>210000</v>
      </c>
      <c r="V158" s="15">
        <f t="shared" si="17"/>
        <v>3.7410799294529262</v>
      </c>
      <c r="W158" s="15">
        <v>3.9172400000000001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1556</v>
      </c>
      <c r="AF158" s="22" t="s">
        <v>5</v>
      </c>
      <c r="AG158" s="17">
        <f t="shared" si="18"/>
        <v>3418.0555165069468</v>
      </c>
      <c r="AH158" s="17">
        <v>6235.6352504292518</v>
      </c>
      <c r="AI158" s="62">
        <v>41.736505041733736</v>
      </c>
      <c r="AJ158" s="17">
        <f t="shared" si="19"/>
        <v>0.29939218103412957</v>
      </c>
      <c r="AK158" s="15">
        <f t="shared" si="20"/>
        <v>1.0470880264172369</v>
      </c>
      <c r="AL158" s="56">
        <v>14.43</v>
      </c>
      <c r="AO158" s="5">
        <f t="shared" si="21"/>
        <v>2.1176470588235294</v>
      </c>
      <c r="AP158" s="5">
        <f t="shared" si="16"/>
        <v>41.736505041733736</v>
      </c>
    </row>
    <row r="159" spans="1:42">
      <c r="A159" s="15">
        <v>154</v>
      </c>
      <c r="B159" s="20" t="s">
        <v>1365</v>
      </c>
      <c r="C159" s="20">
        <v>170</v>
      </c>
      <c r="D159" s="15">
        <v>170</v>
      </c>
      <c r="E159" s="15">
        <v>360</v>
      </c>
      <c r="F159" s="15">
        <v>12.7</v>
      </c>
      <c r="G159" s="15">
        <v>12.7</v>
      </c>
      <c r="H159" s="15">
        <v>8</v>
      </c>
      <c r="I159" s="15">
        <v>18</v>
      </c>
      <c r="J159" s="15">
        <v>18</v>
      </c>
      <c r="K159" s="15">
        <v>4999.9126199539551</v>
      </c>
      <c r="L159" s="15">
        <v>7096.399999999996</v>
      </c>
      <c r="M159" s="15"/>
      <c r="N159" s="15"/>
      <c r="O159" s="15"/>
      <c r="P159" s="15">
        <v>158133287.76633328</v>
      </c>
      <c r="Q159" s="15"/>
      <c r="R159" s="15"/>
      <c r="S159" s="15">
        <v>774.97562368506055</v>
      </c>
      <c r="T159" s="15">
        <v>460</v>
      </c>
      <c r="U159" s="15">
        <v>210000</v>
      </c>
      <c r="V159" s="15">
        <f t="shared" si="17"/>
        <v>4.2121892614864782</v>
      </c>
      <c r="W159" s="15">
        <v>4.28261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1557</v>
      </c>
      <c r="AF159" s="22" t="s">
        <v>5</v>
      </c>
      <c r="AG159" s="17">
        <f t="shared" si="18"/>
        <v>3318.9183557498773</v>
      </c>
      <c r="AH159" s="17">
        <v>5538.2150313297197</v>
      </c>
      <c r="AI159" s="62">
        <v>16.917238390790306</v>
      </c>
      <c r="AJ159" s="17">
        <f t="shared" si="19"/>
        <v>0.49898696839021606</v>
      </c>
      <c r="AK159" s="15">
        <f t="shared" si="20"/>
        <v>1.0167183225021257</v>
      </c>
      <c r="AL159" s="5">
        <v>14.43</v>
      </c>
      <c r="AO159" s="5">
        <f t="shared" si="21"/>
        <v>2.1176470588235294</v>
      </c>
      <c r="AP159" s="5">
        <f t="shared" si="16"/>
        <v>16.917238390790306</v>
      </c>
    </row>
    <row r="160" spans="1:42">
      <c r="A160" s="15">
        <v>155</v>
      </c>
      <c r="B160" s="20" t="s">
        <v>1366</v>
      </c>
      <c r="C160" s="20">
        <v>170</v>
      </c>
      <c r="D160" s="15">
        <v>170</v>
      </c>
      <c r="E160" s="15">
        <v>360</v>
      </c>
      <c r="F160" s="15">
        <v>12.7</v>
      </c>
      <c r="G160" s="15">
        <v>12.7</v>
      </c>
      <c r="H160" s="15">
        <v>8</v>
      </c>
      <c r="I160" s="15">
        <v>18</v>
      </c>
      <c r="J160" s="15">
        <v>18</v>
      </c>
      <c r="K160" s="15">
        <v>7499.8689299309326</v>
      </c>
      <c r="L160" s="15">
        <v>7096.399999999996</v>
      </c>
      <c r="M160" s="15"/>
      <c r="N160" s="15"/>
      <c r="O160" s="15"/>
      <c r="P160" s="15">
        <v>158133287.76633328</v>
      </c>
      <c r="Q160" s="15"/>
      <c r="R160" s="15"/>
      <c r="S160" s="15">
        <v>637.57926975693806</v>
      </c>
      <c r="T160" s="15">
        <v>460</v>
      </c>
      <c r="U160" s="15">
        <v>210000</v>
      </c>
      <c r="V160" s="15">
        <f t="shared" si="17"/>
        <v>5.1199029749578457</v>
      </c>
      <c r="W160" s="15">
        <v>4.82179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1558</v>
      </c>
      <c r="AF160" s="22" t="s">
        <v>5</v>
      </c>
      <c r="AG160" s="17">
        <f t="shared" si="18"/>
        <v>3074.2733471213064</v>
      </c>
      <c r="AH160" s="17">
        <v>4556.3382737662359</v>
      </c>
      <c r="AI160" s="62">
        <v>9.1390447830934818</v>
      </c>
      <c r="AJ160" s="17">
        <f t="shared" si="19"/>
        <v>0.74848045258532403</v>
      </c>
      <c r="AK160" s="15">
        <f t="shared" si="20"/>
        <v>0.94177370617842615</v>
      </c>
      <c r="AL160" s="5">
        <v>14.43</v>
      </c>
      <c r="AO160" s="5">
        <f t="shared" si="21"/>
        <v>2.1176470588235294</v>
      </c>
      <c r="AP160" s="5">
        <f t="shared" si="16"/>
        <v>9.1390447830934818</v>
      </c>
    </row>
    <row r="161" spans="1:42">
      <c r="A161" s="15">
        <v>156</v>
      </c>
      <c r="B161" s="20" t="s">
        <v>1367</v>
      </c>
      <c r="C161" s="20">
        <v>170</v>
      </c>
      <c r="D161" s="15">
        <v>170</v>
      </c>
      <c r="E161" s="15">
        <v>360</v>
      </c>
      <c r="F161" s="15">
        <v>12.7</v>
      </c>
      <c r="G161" s="15">
        <v>12.7</v>
      </c>
      <c r="H161" s="15">
        <v>8</v>
      </c>
      <c r="I161" s="15">
        <v>18</v>
      </c>
      <c r="J161" s="15">
        <v>18</v>
      </c>
      <c r="K161" s="15">
        <v>9999.8252399079101</v>
      </c>
      <c r="L161" s="15">
        <v>7096.399999999996</v>
      </c>
      <c r="M161" s="15"/>
      <c r="N161" s="15"/>
      <c r="O161" s="15"/>
      <c r="P161" s="15">
        <v>158133287.76633328</v>
      </c>
      <c r="Q161" s="15"/>
      <c r="R161" s="15"/>
      <c r="S161" s="15">
        <v>496.37489528789911</v>
      </c>
      <c r="T161" s="15">
        <v>460</v>
      </c>
      <c r="U161" s="15">
        <v>210000</v>
      </c>
      <c r="V161" s="15">
        <f t="shared" si="17"/>
        <v>6.5763680455810878</v>
      </c>
      <c r="W161" s="15">
        <v>5.1485300000000001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1559</v>
      </c>
      <c r="AF161" s="22" t="s">
        <v>5</v>
      </c>
      <c r="AG161" s="17">
        <f t="shared" si="18"/>
        <v>2555.6010396366073</v>
      </c>
      <c r="AH161" s="17">
        <v>3547.2482259330095</v>
      </c>
      <c r="AI161" s="62">
        <v>6.6030975263804708</v>
      </c>
      <c r="AJ161" s="17">
        <f t="shared" si="19"/>
        <v>0.99797393678043211</v>
      </c>
      <c r="AK161" s="15">
        <f t="shared" si="20"/>
        <v>0.78288349501051624</v>
      </c>
      <c r="AL161" s="5">
        <v>14.43</v>
      </c>
      <c r="AO161" s="5">
        <f t="shared" si="21"/>
        <v>2.1176470588235294</v>
      </c>
      <c r="AP161" s="5">
        <f t="shared" si="16"/>
        <v>6.6030975263804708</v>
      </c>
    </row>
    <row r="162" spans="1:42">
      <c r="A162" s="15">
        <v>157</v>
      </c>
      <c r="B162" s="20" t="s">
        <v>1368</v>
      </c>
      <c r="C162" s="20">
        <v>170</v>
      </c>
      <c r="D162" s="15">
        <v>170</v>
      </c>
      <c r="E162" s="15">
        <v>360</v>
      </c>
      <c r="F162" s="15">
        <v>12.7</v>
      </c>
      <c r="G162" s="15">
        <v>12.7</v>
      </c>
      <c r="H162" s="15">
        <v>8</v>
      </c>
      <c r="I162" s="15">
        <v>18</v>
      </c>
      <c r="J162" s="15">
        <v>18</v>
      </c>
      <c r="K162" s="15">
        <v>13299.767569077521</v>
      </c>
      <c r="L162" s="15">
        <v>7096.399999999996</v>
      </c>
      <c r="M162" s="15"/>
      <c r="N162" s="15"/>
      <c r="O162" s="15"/>
      <c r="P162" s="15">
        <v>158133287.76633328</v>
      </c>
      <c r="Q162" s="15"/>
      <c r="R162" s="15"/>
      <c r="S162" s="15">
        <v>346.02417055928339</v>
      </c>
      <c r="T162" s="15">
        <v>460</v>
      </c>
      <c r="U162" s="15">
        <v>210000</v>
      </c>
      <c r="V162" s="15">
        <f t="shared" si="17"/>
        <v>9.433861208954843</v>
      </c>
      <c r="W162" s="15">
        <v>4.95017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1560</v>
      </c>
      <c r="AF162" s="22" t="s">
        <v>5</v>
      </c>
      <c r="AG162" s="17">
        <f t="shared" si="18"/>
        <v>1712.8784683774479</v>
      </c>
      <c r="AH162" s="17">
        <v>2472.7955357904307</v>
      </c>
      <c r="AI162" s="62">
        <v>5.3548560676695933</v>
      </c>
      <c r="AJ162" s="17">
        <f t="shared" si="19"/>
        <v>1.3273053359179747</v>
      </c>
      <c r="AK162" s="15">
        <f t="shared" si="20"/>
        <v>0.52472364076134403</v>
      </c>
      <c r="AL162" s="5">
        <v>14.43</v>
      </c>
      <c r="AO162" s="5">
        <f t="shared" si="21"/>
        <v>2.1176470588235294</v>
      </c>
      <c r="AP162" s="5">
        <f t="shared" si="16"/>
        <v>5.3548560676695933</v>
      </c>
    </row>
    <row r="163" spans="1:42">
      <c r="A163" s="15">
        <v>158</v>
      </c>
      <c r="B163" s="20" t="s">
        <v>1369</v>
      </c>
      <c r="C163" s="20">
        <v>170</v>
      </c>
      <c r="D163" s="15">
        <v>170</v>
      </c>
      <c r="E163" s="15">
        <v>360</v>
      </c>
      <c r="F163" s="15">
        <v>12.7</v>
      </c>
      <c r="G163" s="15">
        <v>12.7</v>
      </c>
      <c r="H163" s="15">
        <v>8</v>
      </c>
      <c r="I163" s="15">
        <v>18</v>
      </c>
      <c r="J163" s="15">
        <v>18</v>
      </c>
      <c r="K163" s="15">
        <v>16699.708150646209</v>
      </c>
      <c r="L163" s="15">
        <v>7096.399999999996</v>
      </c>
      <c r="M163" s="15"/>
      <c r="N163" s="15"/>
      <c r="O163" s="15"/>
      <c r="P163" s="15">
        <v>158133287.76633328</v>
      </c>
      <c r="Q163" s="15"/>
      <c r="R163" s="15"/>
      <c r="S163" s="15">
        <v>243.89572685782926</v>
      </c>
      <c r="T163" s="15">
        <v>460</v>
      </c>
      <c r="U163" s="15">
        <v>210000</v>
      </c>
      <c r="V163" s="15">
        <f t="shared" si="17"/>
        <v>13.384178731031383</v>
      </c>
      <c r="W163" s="15">
        <v>4.6487999999999996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1561</v>
      </c>
      <c r="AF163" s="22" t="s">
        <v>5</v>
      </c>
      <c r="AG163" s="17">
        <f t="shared" si="18"/>
        <v>1133.8224550166765</v>
      </c>
      <c r="AH163" s="17">
        <v>1742.9541514328239</v>
      </c>
      <c r="AI163" s="62">
        <v>4.8185945660864027</v>
      </c>
      <c r="AJ163" s="17">
        <f t="shared" si="19"/>
        <v>1.6666164744233214</v>
      </c>
      <c r="AK163" s="15">
        <f t="shared" si="20"/>
        <v>0.34733546924487041</v>
      </c>
      <c r="AL163" s="5">
        <v>14.43</v>
      </c>
      <c r="AO163" s="5">
        <f t="shared" si="21"/>
        <v>2.1176470588235294</v>
      </c>
      <c r="AP163" s="5">
        <f t="shared" si="16"/>
        <v>4.8185945660864027</v>
      </c>
    </row>
    <row r="164" spans="1:42">
      <c r="A164" s="15">
        <v>159</v>
      </c>
      <c r="B164" s="20" t="s">
        <v>1370</v>
      </c>
      <c r="C164" s="20">
        <v>170</v>
      </c>
      <c r="D164" s="15">
        <v>170</v>
      </c>
      <c r="E164" s="15">
        <v>360</v>
      </c>
      <c r="F164" s="15">
        <v>12.7</v>
      </c>
      <c r="G164" s="15">
        <v>12.7</v>
      </c>
      <c r="H164" s="15">
        <v>8</v>
      </c>
      <c r="I164" s="15">
        <v>18</v>
      </c>
      <c r="J164" s="15">
        <v>18</v>
      </c>
      <c r="K164" s="15">
        <v>19999.65047981582</v>
      </c>
      <c r="L164" s="15">
        <v>7096.399999999996</v>
      </c>
      <c r="M164" s="15"/>
      <c r="N164" s="15"/>
      <c r="O164" s="15"/>
      <c r="P164" s="15">
        <v>158133287.76633328</v>
      </c>
      <c r="Q164" s="15"/>
      <c r="R164" s="15"/>
      <c r="S164" s="15">
        <v>180.35485252198217</v>
      </c>
      <c r="T164" s="15">
        <v>460</v>
      </c>
      <c r="U164" s="15">
        <v>210000</v>
      </c>
      <c r="V164" s="15">
        <f t="shared" si="17"/>
        <v>18.099562913629565</v>
      </c>
      <c r="W164" s="15">
        <v>4.3788299999999998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1562</v>
      </c>
      <c r="AF164" s="22" t="s">
        <v>5</v>
      </c>
      <c r="AG164" s="17">
        <f t="shared" si="18"/>
        <v>789.7432388688311</v>
      </c>
      <c r="AH164" s="17">
        <v>1288.8714492217537</v>
      </c>
      <c r="AI164" s="62">
        <v>4.5432820317842673</v>
      </c>
      <c r="AJ164" s="17">
        <f t="shared" si="19"/>
        <v>1.995947873560864</v>
      </c>
      <c r="AK164" s="15">
        <f t="shared" si="20"/>
        <v>0.24193015162275533</v>
      </c>
      <c r="AL164" s="5">
        <v>14.43</v>
      </c>
      <c r="AO164" s="5">
        <f t="shared" si="21"/>
        <v>2.1176470588235294</v>
      </c>
      <c r="AP164" s="5">
        <f t="shared" si="16"/>
        <v>4.5432820317842673</v>
      </c>
    </row>
    <row r="165" spans="1:42">
      <c r="A165" s="15">
        <v>160</v>
      </c>
      <c r="B165" s="20" t="s">
        <v>1371</v>
      </c>
      <c r="C165" s="20">
        <v>170</v>
      </c>
      <c r="D165" s="15">
        <v>170</v>
      </c>
      <c r="E165" s="15">
        <v>360</v>
      </c>
      <c r="F165" s="15">
        <v>12.7</v>
      </c>
      <c r="G165" s="15">
        <v>12.7</v>
      </c>
      <c r="H165" s="15">
        <v>8</v>
      </c>
      <c r="I165" s="15">
        <v>18</v>
      </c>
      <c r="J165" s="15">
        <v>18</v>
      </c>
      <c r="K165" s="15">
        <v>24999.563099769774</v>
      </c>
      <c r="L165" s="15">
        <v>7096.399999999996</v>
      </c>
      <c r="M165" s="15"/>
      <c r="N165" s="15"/>
      <c r="O165" s="15"/>
      <c r="P165" s="15">
        <v>158133287.76633328</v>
      </c>
      <c r="Q165" s="15"/>
      <c r="R165" s="15"/>
      <c r="S165" s="15">
        <v>121.77854118805666</v>
      </c>
      <c r="T165" s="15">
        <v>460</v>
      </c>
      <c r="U165" s="15">
        <v>210000</v>
      </c>
      <c r="V165" s="15">
        <f t="shared" si="17"/>
        <v>26.805576484604384</v>
      </c>
      <c r="W165" s="15">
        <v>4.1534899999999997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1563</v>
      </c>
      <c r="AF165" s="22" t="s">
        <v>5</v>
      </c>
      <c r="AG165" s="17">
        <f t="shared" si="18"/>
        <v>505.80595303918142</v>
      </c>
      <c r="AH165" s="17">
        <v>870.26704671575874</v>
      </c>
      <c r="AI165" s="62">
        <v>4.3063243310447419</v>
      </c>
      <c r="AJ165" s="17">
        <f t="shared" si="19"/>
        <v>2.4949348419510802</v>
      </c>
      <c r="AK165" s="15">
        <f t="shared" si="20"/>
        <v>0.15494872876117888</v>
      </c>
      <c r="AL165" s="5">
        <v>14.43</v>
      </c>
      <c r="AO165" s="5">
        <f t="shared" si="21"/>
        <v>2.1176470588235294</v>
      </c>
      <c r="AP165" s="5">
        <f t="shared" si="16"/>
        <v>4.3063243310447419</v>
      </c>
    </row>
    <row r="166" spans="1:42">
      <c r="A166" s="15">
        <v>161</v>
      </c>
      <c r="B166" s="20" t="s">
        <v>1372</v>
      </c>
      <c r="C166" s="20">
        <v>190</v>
      </c>
      <c r="D166" s="15">
        <v>190</v>
      </c>
      <c r="E166" s="15">
        <v>450</v>
      </c>
      <c r="F166" s="15">
        <v>14.6</v>
      </c>
      <c r="G166" s="15">
        <v>14.6</v>
      </c>
      <c r="H166" s="15">
        <v>9.4</v>
      </c>
      <c r="I166" s="15">
        <v>21</v>
      </c>
      <c r="J166" s="15">
        <v>21</v>
      </c>
      <c r="K166" s="15">
        <v>3703.2711621465787</v>
      </c>
      <c r="L166" s="15">
        <v>9640.760000000002</v>
      </c>
      <c r="M166" s="15"/>
      <c r="N166" s="15"/>
      <c r="O166" s="15"/>
      <c r="P166" s="15">
        <v>327594426.78013331</v>
      </c>
      <c r="Q166" s="15"/>
      <c r="R166" s="15"/>
      <c r="S166" s="15">
        <v>1185.5179209626385</v>
      </c>
      <c r="T166" s="15">
        <v>460</v>
      </c>
      <c r="U166" s="15">
        <v>210000</v>
      </c>
      <c r="V166" s="15">
        <f t="shared" si="17"/>
        <v>3.740769769552696</v>
      </c>
      <c r="W166" s="15">
        <v>3.90177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1564</v>
      </c>
      <c r="AF166" s="22" t="s">
        <v>5</v>
      </c>
      <c r="AG166" s="17">
        <f t="shared" si="18"/>
        <v>4625.6182584743938</v>
      </c>
      <c r="AH166" s="17">
        <v>5262.4618977055443</v>
      </c>
      <c r="AI166" s="62">
        <v>41.761529376539158</v>
      </c>
      <c r="AJ166" s="17">
        <f t="shared" si="19"/>
        <v>0.29929005941332393</v>
      </c>
      <c r="AK166" s="15">
        <f t="shared" si="20"/>
        <v>1.0430393315722704</v>
      </c>
      <c r="AL166" s="56">
        <v>10.167</v>
      </c>
      <c r="AO166" s="5">
        <f t="shared" si="21"/>
        <v>2.3684210526315788</v>
      </c>
      <c r="AP166" s="5">
        <f t="shared" si="16"/>
        <v>41.761529376539158</v>
      </c>
    </row>
    <row r="167" spans="1:42">
      <c r="A167" s="15">
        <v>162</v>
      </c>
      <c r="B167" s="20" t="s">
        <v>1373</v>
      </c>
      <c r="C167" s="20">
        <v>190</v>
      </c>
      <c r="D167" s="15">
        <v>190</v>
      </c>
      <c r="E167" s="15">
        <v>450</v>
      </c>
      <c r="F167" s="15">
        <v>14.6</v>
      </c>
      <c r="G167" s="15">
        <v>14.6</v>
      </c>
      <c r="H167" s="15">
        <v>9.4</v>
      </c>
      <c r="I167" s="15">
        <v>21</v>
      </c>
      <c r="J167" s="15">
        <v>21</v>
      </c>
      <c r="K167" s="15">
        <v>6172.1186035776318</v>
      </c>
      <c r="L167" s="15">
        <v>9640.76</v>
      </c>
      <c r="M167" s="15"/>
      <c r="N167" s="15"/>
      <c r="O167" s="15"/>
      <c r="P167" s="15">
        <v>327594426.78013331</v>
      </c>
      <c r="Q167" s="15"/>
      <c r="R167" s="15"/>
      <c r="S167" s="15">
        <v>1052.9245066625847</v>
      </c>
      <c r="T167" s="15">
        <v>460</v>
      </c>
      <c r="U167" s="15">
        <v>210000</v>
      </c>
      <c r="V167" s="15">
        <f t="shared" si="17"/>
        <v>4.2118400435532273</v>
      </c>
      <c r="W167" s="15">
        <v>4.26919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1565</v>
      </c>
      <c r="AF167" s="22" t="s">
        <v>5</v>
      </c>
      <c r="AG167" s="17">
        <f t="shared" si="18"/>
        <v>4495.1347745988396</v>
      </c>
      <c r="AH167" s="17">
        <v>4673.8855646931079</v>
      </c>
      <c r="AI167" s="62">
        <v>16.92738161282222</v>
      </c>
      <c r="AJ167" s="17">
        <f t="shared" si="19"/>
        <v>0.49881676568887329</v>
      </c>
      <c r="AK167" s="15">
        <f t="shared" si="20"/>
        <v>1.0136163662090052</v>
      </c>
      <c r="AL167" s="5">
        <v>10.167</v>
      </c>
      <c r="AO167" s="5">
        <f t="shared" si="21"/>
        <v>2.3684210526315788</v>
      </c>
      <c r="AP167" s="5">
        <f t="shared" si="16"/>
        <v>16.92738161282222</v>
      </c>
    </row>
    <row r="168" spans="1:42">
      <c r="A168" s="15">
        <v>163</v>
      </c>
      <c r="B168" s="20" t="s">
        <v>1374</v>
      </c>
      <c r="C168" s="20">
        <v>190</v>
      </c>
      <c r="D168" s="15">
        <v>190</v>
      </c>
      <c r="E168" s="15">
        <v>450</v>
      </c>
      <c r="F168" s="15">
        <v>14.6</v>
      </c>
      <c r="G168" s="15">
        <v>14.6</v>
      </c>
      <c r="H168" s="15">
        <v>9.4</v>
      </c>
      <c r="I168" s="15">
        <v>21</v>
      </c>
      <c r="J168" s="15">
        <v>21</v>
      </c>
      <c r="K168" s="15">
        <v>9258.1779053664468</v>
      </c>
      <c r="L168" s="15">
        <v>9640.76</v>
      </c>
      <c r="M168" s="15"/>
      <c r="N168" s="15"/>
      <c r="O168" s="15"/>
      <c r="P168" s="15">
        <v>327594426.78013331</v>
      </c>
      <c r="Q168" s="15"/>
      <c r="R168" s="15"/>
      <c r="S168" s="15">
        <v>866.25026329851585</v>
      </c>
      <c r="T168" s="15">
        <v>460</v>
      </c>
      <c r="U168" s="15">
        <v>210000</v>
      </c>
      <c r="V168" s="15">
        <f t="shared" si="17"/>
        <v>5.1194785016437629</v>
      </c>
      <c r="W168" s="15">
        <v>4.8129799999999996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1566</v>
      </c>
      <c r="AF168" s="22" t="s">
        <v>5</v>
      </c>
      <c r="AG168" s="17">
        <f t="shared" si="18"/>
        <v>4169.2451922504906</v>
      </c>
      <c r="AH168" s="17">
        <v>3845.2468105958719</v>
      </c>
      <c r="AI168" s="62">
        <v>9.1445243630493316</v>
      </c>
      <c r="AJ168" s="17">
        <f t="shared" si="19"/>
        <v>0.74822514853330979</v>
      </c>
      <c r="AK168" s="15">
        <f t="shared" si="20"/>
        <v>0.94013091342304633</v>
      </c>
      <c r="AL168" s="5">
        <v>10.167</v>
      </c>
      <c r="AO168" s="5">
        <f t="shared" si="21"/>
        <v>2.3684210526315788</v>
      </c>
      <c r="AP168" s="5">
        <f t="shared" si="16"/>
        <v>9.1445243630493316</v>
      </c>
    </row>
    <row r="169" spans="1:42">
      <c r="A169" s="15">
        <v>164</v>
      </c>
      <c r="B169" s="20" t="s">
        <v>1375</v>
      </c>
      <c r="C169" s="20">
        <v>190</v>
      </c>
      <c r="D169" s="15">
        <v>190</v>
      </c>
      <c r="E169" s="15">
        <v>450</v>
      </c>
      <c r="F169" s="15">
        <v>14.6</v>
      </c>
      <c r="G169" s="15">
        <v>14.6</v>
      </c>
      <c r="H169" s="15">
        <v>9.4</v>
      </c>
      <c r="I169" s="15">
        <v>21</v>
      </c>
      <c r="J169" s="15">
        <v>21</v>
      </c>
      <c r="K169" s="15">
        <v>12344.237207155264</v>
      </c>
      <c r="L169" s="15">
        <v>9640.76</v>
      </c>
      <c r="M169" s="15"/>
      <c r="N169" s="15"/>
      <c r="O169" s="15"/>
      <c r="P169" s="15">
        <v>327594426.78013331</v>
      </c>
      <c r="Q169" s="15"/>
      <c r="R169" s="15"/>
      <c r="S169" s="15">
        <v>674.40223378316125</v>
      </c>
      <c r="T169" s="15">
        <v>460</v>
      </c>
      <c r="U169" s="15">
        <v>210000</v>
      </c>
      <c r="V169" s="15">
        <f t="shared" si="17"/>
        <v>6.5758228218234134</v>
      </c>
      <c r="W169" s="15">
        <v>5.1449800000000003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1567</v>
      </c>
      <c r="AF169" s="22" t="s">
        <v>5</v>
      </c>
      <c r="AG169" s="17">
        <f t="shared" si="18"/>
        <v>3469.786004769689</v>
      </c>
      <c r="AH169" s="17">
        <v>2993.6418473789045</v>
      </c>
      <c r="AI169" s="62">
        <v>6.6070566054429785</v>
      </c>
      <c r="AJ169" s="17">
        <f t="shared" si="19"/>
        <v>0.99763353137774657</v>
      </c>
      <c r="AK169" s="15">
        <f t="shared" si="20"/>
        <v>0.78240855013994215</v>
      </c>
      <c r="AL169" s="5">
        <v>10.167</v>
      </c>
      <c r="AO169" s="5">
        <f t="shared" si="21"/>
        <v>2.3684210526315788</v>
      </c>
      <c r="AP169" s="5">
        <f t="shared" si="16"/>
        <v>6.6070566054429785</v>
      </c>
    </row>
    <row r="170" spans="1:42">
      <c r="A170" s="15">
        <v>165</v>
      </c>
      <c r="B170" s="20" t="s">
        <v>1376</v>
      </c>
      <c r="C170" s="20">
        <v>190</v>
      </c>
      <c r="D170" s="15">
        <v>190</v>
      </c>
      <c r="E170" s="15">
        <v>450</v>
      </c>
      <c r="F170" s="15">
        <v>14.6</v>
      </c>
      <c r="G170" s="15">
        <v>14.6</v>
      </c>
      <c r="H170" s="15">
        <v>9.4</v>
      </c>
      <c r="I170" s="15">
        <v>21</v>
      </c>
      <c r="J170" s="15">
        <v>21</v>
      </c>
      <c r="K170" s="15">
        <v>16417.835485516502</v>
      </c>
      <c r="L170" s="15">
        <v>9640.76</v>
      </c>
      <c r="M170" s="15"/>
      <c r="N170" s="15"/>
      <c r="O170" s="15"/>
      <c r="P170" s="15">
        <v>327594426.78013331</v>
      </c>
      <c r="Q170" s="15"/>
      <c r="R170" s="15"/>
      <c r="S170" s="15">
        <v>470.12746974803605</v>
      </c>
      <c r="T170" s="15">
        <v>460</v>
      </c>
      <c r="U170" s="15">
        <v>210000</v>
      </c>
      <c r="V170" s="15">
        <f t="shared" si="17"/>
        <v>9.4330790803966345</v>
      </c>
      <c r="W170" s="15">
        <v>4.9474999999999998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1568</v>
      </c>
      <c r="AF170" s="22" t="s">
        <v>5</v>
      </c>
      <c r="AG170" s="17">
        <f t="shared" si="18"/>
        <v>2325.9556565784083</v>
      </c>
      <c r="AH170" s="17">
        <v>2086.8751563070832</v>
      </c>
      <c r="AI170" s="62">
        <v>5.3580667272813214</v>
      </c>
      <c r="AJ170" s="17">
        <f t="shared" si="19"/>
        <v>1.326852596732403</v>
      </c>
      <c r="AK170" s="15">
        <f t="shared" si="20"/>
        <v>0.52448410087875263</v>
      </c>
      <c r="AL170" s="5">
        <v>10.167</v>
      </c>
      <c r="AO170" s="5">
        <f t="shared" si="21"/>
        <v>2.3684210526315788</v>
      </c>
      <c r="AP170" s="5">
        <f t="shared" si="16"/>
        <v>5.3580667272813214</v>
      </c>
    </row>
    <row r="171" spans="1:42">
      <c r="A171" s="15">
        <v>166</v>
      </c>
      <c r="B171" s="20" t="s">
        <v>1377</v>
      </c>
      <c r="C171" s="20">
        <v>190</v>
      </c>
      <c r="D171" s="15">
        <v>190</v>
      </c>
      <c r="E171" s="15">
        <v>450</v>
      </c>
      <c r="F171" s="15">
        <v>14.6</v>
      </c>
      <c r="G171" s="15">
        <v>14.6</v>
      </c>
      <c r="H171" s="15">
        <v>9.4</v>
      </c>
      <c r="I171" s="15">
        <v>21</v>
      </c>
      <c r="J171" s="15">
        <v>21</v>
      </c>
      <c r="K171" s="15">
        <v>20614.876135949286</v>
      </c>
      <c r="L171" s="15">
        <v>9640.76</v>
      </c>
      <c r="M171" s="15"/>
      <c r="N171" s="15"/>
      <c r="O171" s="15"/>
      <c r="P171" s="15">
        <v>327594426.78013331</v>
      </c>
      <c r="Q171" s="15"/>
      <c r="R171" s="15"/>
      <c r="S171" s="15">
        <v>331.37014898323315</v>
      </c>
      <c r="T171" s="15">
        <v>460</v>
      </c>
      <c r="U171" s="15">
        <v>210000</v>
      </c>
      <c r="V171" s="15">
        <f t="shared" si="17"/>
        <v>13.383069095413276</v>
      </c>
      <c r="W171" s="15">
        <v>4.6495600000000001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1569</v>
      </c>
      <c r="AF171" s="22" t="s">
        <v>5</v>
      </c>
      <c r="AG171" s="17">
        <f t="shared" si="18"/>
        <v>1540.7253899064815</v>
      </c>
      <c r="AH171" s="17">
        <v>1470.9375136609424</v>
      </c>
      <c r="AI171" s="62">
        <v>4.8214836945266661</v>
      </c>
      <c r="AJ171" s="17">
        <f t="shared" si="19"/>
        <v>1.6660479974008362</v>
      </c>
      <c r="AK171" s="15">
        <f t="shared" si="20"/>
        <v>0.34742105617563646</v>
      </c>
      <c r="AL171" s="5">
        <v>10.167</v>
      </c>
      <c r="AO171" s="5">
        <f t="shared" si="21"/>
        <v>2.3684210526315788</v>
      </c>
      <c r="AP171" s="5">
        <f t="shared" si="16"/>
        <v>4.8214836945266661</v>
      </c>
    </row>
    <row r="172" spans="1:42">
      <c r="A172" s="15">
        <v>167</v>
      </c>
      <c r="B172" s="20" t="s">
        <v>1378</v>
      </c>
      <c r="C172" s="20">
        <v>190</v>
      </c>
      <c r="D172" s="15">
        <v>190</v>
      </c>
      <c r="E172" s="15">
        <v>450</v>
      </c>
      <c r="F172" s="15">
        <v>14.6</v>
      </c>
      <c r="G172" s="15">
        <v>14.6</v>
      </c>
      <c r="H172" s="15">
        <v>9.4</v>
      </c>
      <c r="I172" s="15">
        <v>21</v>
      </c>
      <c r="J172" s="15">
        <v>21</v>
      </c>
      <c r="K172" s="15">
        <v>24688.474414310527</v>
      </c>
      <c r="L172" s="15">
        <v>9640.76</v>
      </c>
      <c r="M172" s="15"/>
      <c r="N172" s="15"/>
      <c r="O172" s="15"/>
      <c r="P172" s="15">
        <v>327594426.78013331</v>
      </c>
      <c r="Q172" s="15"/>
      <c r="R172" s="15"/>
      <c r="S172" s="15">
        <v>245.04002230795859</v>
      </c>
      <c r="T172" s="15">
        <v>460</v>
      </c>
      <c r="U172" s="15">
        <v>210000</v>
      </c>
      <c r="V172" s="15">
        <f t="shared" si="17"/>
        <v>18.098062341940807</v>
      </c>
      <c r="W172" s="15">
        <v>4.3789100000000003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1570</v>
      </c>
      <c r="AF172" s="22" t="s">
        <v>5</v>
      </c>
      <c r="AG172" s="17">
        <f t="shared" si="18"/>
        <v>1073.008204084543</v>
      </c>
      <c r="AH172" s="17">
        <v>1087.7218791947616</v>
      </c>
      <c r="AI172" s="62">
        <v>4.5460060885917333</v>
      </c>
      <c r="AJ172" s="17">
        <f t="shared" si="19"/>
        <v>1.9952670627554929</v>
      </c>
      <c r="AK172" s="15">
        <f t="shared" si="20"/>
        <v>0.24195463123431882</v>
      </c>
      <c r="AL172" s="5">
        <v>10.167</v>
      </c>
      <c r="AO172" s="5">
        <f t="shared" si="21"/>
        <v>2.3684210526315788</v>
      </c>
      <c r="AP172" s="5">
        <f t="shared" si="16"/>
        <v>4.5460060885917333</v>
      </c>
    </row>
    <row r="173" spans="1:42">
      <c r="A173" s="15">
        <v>168</v>
      </c>
      <c r="B173" s="20" t="s">
        <v>1379</v>
      </c>
      <c r="C173" s="20">
        <v>190</v>
      </c>
      <c r="D173" s="15">
        <v>190</v>
      </c>
      <c r="E173" s="15">
        <v>450</v>
      </c>
      <c r="F173" s="15">
        <v>14.6</v>
      </c>
      <c r="G173" s="15">
        <v>14.6</v>
      </c>
      <c r="H173" s="15">
        <v>9.4</v>
      </c>
      <c r="I173" s="15">
        <v>21</v>
      </c>
      <c r="J173" s="15">
        <v>21</v>
      </c>
      <c r="K173" s="15">
        <v>30860.593017888157</v>
      </c>
      <c r="L173" s="15">
        <v>9640.76</v>
      </c>
      <c r="M173" s="15"/>
      <c r="N173" s="15"/>
      <c r="O173" s="15"/>
      <c r="P173" s="15">
        <v>327594426.78013331</v>
      </c>
      <c r="Q173" s="15"/>
      <c r="R173" s="15"/>
      <c r="S173" s="15">
        <v>165.45502398231838</v>
      </c>
      <c r="T173" s="15">
        <v>460</v>
      </c>
      <c r="U173" s="15">
        <v>210000</v>
      </c>
      <c r="V173" s="15">
        <f t="shared" si="17"/>
        <v>26.803354127668722</v>
      </c>
      <c r="W173" s="15">
        <v>4.1529600000000002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1571</v>
      </c>
      <c r="AF173" s="22" t="s">
        <v>5</v>
      </c>
      <c r="AG173" s="17">
        <f t="shared" si="18"/>
        <v>687.12809639760894</v>
      </c>
      <c r="AH173" s="17">
        <v>734.44757274010624</v>
      </c>
      <c r="AI173" s="62">
        <v>4.3089063129747833</v>
      </c>
      <c r="AJ173" s="17">
        <f t="shared" si="19"/>
        <v>2.4940838284443663</v>
      </c>
      <c r="AK173" s="15">
        <f t="shared" si="20"/>
        <v>0.15494180244079819</v>
      </c>
      <c r="AL173" s="5">
        <v>10.167</v>
      </c>
      <c r="AO173" s="5">
        <f t="shared" si="21"/>
        <v>2.3684210526315788</v>
      </c>
      <c r="AP173" s="5">
        <f t="shared" si="16"/>
        <v>4.3089063129747833</v>
      </c>
    </row>
    <row r="174" spans="1:42">
      <c r="A174" s="15">
        <v>169</v>
      </c>
      <c r="B174" s="20" t="s">
        <v>1380</v>
      </c>
      <c r="C174" s="20">
        <v>200</v>
      </c>
      <c r="D174" s="15">
        <v>200</v>
      </c>
      <c r="E174" s="15">
        <v>500</v>
      </c>
      <c r="F174" s="15">
        <v>16</v>
      </c>
      <c r="G174" s="15">
        <v>16</v>
      </c>
      <c r="H174" s="15">
        <v>10.199999999999999</v>
      </c>
      <c r="I174" s="15">
        <v>21</v>
      </c>
      <c r="J174" s="15">
        <v>21</v>
      </c>
      <c r="K174" s="15">
        <v>4095.0669733161699</v>
      </c>
      <c r="L174" s="15">
        <v>11336.799999999997</v>
      </c>
      <c r="M174" s="15"/>
      <c r="N174" s="15"/>
      <c r="O174" s="15"/>
      <c r="P174" s="15">
        <v>471182518.39999986</v>
      </c>
      <c r="Q174" s="15"/>
      <c r="R174" s="15"/>
      <c r="S174" s="15">
        <v>1393.852282277318</v>
      </c>
      <c r="T174" s="15">
        <v>460</v>
      </c>
      <c r="U174" s="15">
        <v>210000</v>
      </c>
      <c r="V174" s="15">
        <f t="shared" si="17"/>
        <v>3.7413778104805284</v>
      </c>
      <c r="W174" s="15">
        <v>3.8688699999999998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1572</v>
      </c>
      <c r="AF174" s="22" t="s">
        <v>5</v>
      </c>
      <c r="AG174" s="17">
        <f t="shared" si="18"/>
        <v>5392.6332793342472</v>
      </c>
      <c r="AH174" s="17">
        <v>4088.1881036571986</v>
      </c>
      <c r="AI174" s="62">
        <v>41.780096709164177</v>
      </c>
      <c r="AJ174" s="17">
        <f t="shared" si="19"/>
        <v>0.29924786640703316</v>
      </c>
      <c r="AK174" s="15">
        <f t="shared" si="20"/>
        <v>1.0340762670806285</v>
      </c>
      <c r="AL174" s="56">
        <v>5.66</v>
      </c>
      <c r="AO174" s="5">
        <f t="shared" si="21"/>
        <v>2.5</v>
      </c>
      <c r="AP174" s="5">
        <f t="shared" si="16"/>
        <v>41.780096709164177</v>
      </c>
    </row>
    <row r="175" spans="1:42">
      <c r="A175" s="15">
        <v>170</v>
      </c>
      <c r="B175" s="20" t="s">
        <v>1381</v>
      </c>
      <c r="C175" s="20">
        <v>200</v>
      </c>
      <c r="D175" s="15">
        <v>200</v>
      </c>
      <c r="E175" s="15">
        <v>500</v>
      </c>
      <c r="F175" s="15">
        <v>16</v>
      </c>
      <c r="G175" s="15">
        <v>16</v>
      </c>
      <c r="H175" s="15">
        <v>10.199999999999999</v>
      </c>
      <c r="I175" s="15">
        <v>21</v>
      </c>
      <c r="J175" s="15">
        <v>21</v>
      </c>
      <c r="K175" s="15">
        <v>6825.1116221936163</v>
      </c>
      <c r="L175" s="15">
        <v>11336.8</v>
      </c>
      <c r="M175" s="15"/>
      <c r="N175" s="15"/>
      <c r="O175" s="15"/>
      <c r="P175" s="15">
        <v>471182518.39999998</v>
      </c>
      <c r="Q175" s="15"/>
      <c r="R175" s="15"/>
      <c r="S175" s="15">
        <v>1237.9578585245313</v>
      </c>
      <c r="T175" s="15">
        <v>460</v>
      </c>
      <c r="U175" s="15">
        <v>210000</v>
      </c>
      <c r="V175" s="15">
        <f t="shared" si="17"/>
        <v>4.2125246542846364</v>
      </c>
      <c r="W175" s="15">
        <v>4.2333100000000004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1573</v>
      </c>
      <c r="AF175" s="22" t="s">
        <v>5</v>
      </c>
      <c r="AG175" s="17">
        <f t="shared" si="18"/>
        <v>5240.6593820704838</v>
      </c>
      <c r="AH175" s="17">
        <v>3681.7975053750579</v>
      </c>
      <c r="AI175" s="62">
        <v>16.934907590188679</v>
      </c>
      <c r="AJ175" s="17">
        <f t="shared" si="19"/>
        <v>0.49874644401172186</v>
      </c>
      <c r="AK175" s="15">
        <f t="shared" si="20"/>
        <v>1.0049341778199976</v>
      </c>
      <c r="AL175" s="5">
        <v>5.66</v>
      </c>
      <c r="AO175" s="5">
        <f t="shared" si="21"/>
        <v>2.5</v>
      </c>
      <c r="AP175" s="5">
        <f t="shared" si="16"/>
        <v>16.934907590188679</v>
      </c>
    </row>
    <row r="176" spans="1:42">
      <c r="A176" s="15">
        <v>171</v>
      </c>
      <c r="B176" s="20" t="s">
        <v>1382</v>
      </c>
      <c r="C176" s="20">
        <v>200</v>
      </c>
      <c r="D176" s="15">
        <v>200</v>
      </c>
      <c r="E176" s="15">
        <v>500</v>
      </c>
      <c r="F176" s="15">
        <v>16</v>
      </c>
      <c r="G176" s="15">
        <v>16</v>
      </c>
      <c r="H176" s="15">
        <v>10.199999999999999</v>
      </c>
      <c r="I176" s="15">
        <v>21</v>
      </c>
      <c r="J176" s="15">
        <v>21</v>
      </c>
      <c r="K176" s="15">
        <v>10237.667433290424</v>
      </c>
      <c r="L176" s="15">
        <v>11336.8</v>
      </c>
      <c r="M176" s="15"/>
      <c r="N176" s="15"/>
      <c r="O176" s="15"/>
      <c r="P176" s="15">
        <v>471182518.39999998</v>
      </c>
      <c r="Q176" s="15"/>
      <c r="R176" s="15"/>
      <c r="S176" s="15">
        <v>1018.4788312112033</v>
      </c>
      <c r="T176" s="15">
        <v>460</v>
      </c>
      <c r="U176" s="15">
        <v>210000</v>
      </c>
      <c r="V176" s="15">
        <f t="shared" si="17"/>
        <v>5.1203106438631254</v>
      </c>
      <c r="W176" s="15">
        <v>4.77386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1574</v>
      </c>
      <c r="AF176" s="22" t="s">
        <v>5</v>
      </c>
      <c r="AG176" s="17">
        <f t="shared" si="18"/>
        <v>4862.0753531659147</v>
      </c>
      <c r="AH176" s="17">
        <v>3115.730978970565</v>
      </c>
      <c r="AI176" s="62">
        <v>9.1485900528859183</v>
      </c>
      <c r="AJ176" s="17">
        <f t="shared" si="19"/>
        <v>0.74811966601758284</v>
      </c>
      <c r="AK176" s="15">
        <f t="shared" si="20"/>
        <v>0.9323379638541347</v>
      </c>
      <c r="AL176" s="5">
        <v>5.66</v>
      </c>
      <c r="AO176" s="5">
        <f t="shared" si="21"/>
        <v>2.5</v>
      </c>
      <c r="AP176" s="5">
        <f t="shared" si="16"/>
        <v>9.1485900528859183</v>
      </c>
    </row>
    <row r="177" spans="1:42">
      <c r="A177" s="15">
        <v>172</v>
      </c>
      <c r="B177" s="20" t="s">
        <v>1383</v>
      </c>
      <c r="C177" s="20">
        <v>200</v>
      </c>
      <c r="D177" s="15">
        <v>200</v>
      </c>
      <c r="E177" s="15">
        <v>500</v>
      </c>
      <c r="F177" s="15">
        <v>16</v>
      </c>
      <c r="G177" s="15">
        <v>16</v>
      </c>
      <c r="H177" s="15">
        <v>10.199999999999999</v>
      </c>
      <c r="I177" s="15">
        <v>21</v>
      </c>
      <c r="J177" s="15">
        <v>21</v>
      </c>
      <c r="K177" s="15">
        <v>13650.223244387233</v>
      </c>
      <c r="L177" s="15">
        <v>11336.8</v>
      </c>
      <c r="M177" s="15"/>
      <c r="N177" s="15"/>
      <c r="O177" s="15"/>
      <c r="P177" s="15">
        <v>471182518.39999998</v>
      </c>
      <c r="Q177" s="15"/>
      <c r="R177" s="15"/>
      <c r="S177" s="15">
        <v>792.91681391731993</v>
      </c>
      <c r="T177" s="15">
        <v>460</v>
      </c>
      <c r="U177" s="15">
        <v>210000</v>
      </c>
      <c r="V177" s="15">
        <f t="shared" si="17"/>
        <v>6.5768916845592056</v>
      </c>
      <c r="W177" s="15">
        <v>5.1030899999999999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1575</v>
      </c>
      <c r="AF177" s="22" t="s">
        <v>5</v>
      </c>
      <c r="AG177" s="17">
        <f t="shared" si="18"/>
        <v>4046.3258639333362</v>
      </c>
      <c r="AH177" s="17">
        <v>2510.2445270124108</v>
      </c>
      <c r="AI177" s="62">
        <v>6.6099941275954794</v>
      </c>
      <c r="AJ177" s="17">
        <f t="shared" si="19"/>
        <v>0.99749288802344371</v>
      </c>
      <c r="AK177" s="15">
        <f t="shared" si="20"/>
        <v>0.77591212456496728</v>
      </c>
      <c r="AL177" s="5">
        <v>5.66</v>
      </c>
      <c r="AO177" s="5">
        <f t="shared" si="21"/>
        <v>2.5</v>
      </c>
      <c r="AP177" s="5">
        <f t="shared" si="16"/>
        <v>6.6099941275954794</v>
      </c>
    </row>
    <row r="178" spans="1:42">
      <c r="A178" s="15">
        <v>173</v>
      </c>
      <c r="B178" s="20" t="s">
        <v>1384</v>
      </c>
      <c r="C178" s="20">
        <v>200</v>
      </c>
      <c r="D178" s="15">
        <v>200</v>
      </c>
      <c r="E178" s="15">
        <v>500</v>
      </c>
      <c r="F178" s="15">
        <v>16</v>
      </c>
      <c r="G178" s="15">
        <v>16</v>
      </c>
      <c r="H178" s="15">
        <v>10.199999999999999</v>
      </c>
      <c r="I178" s="15">
        <v>21</v>
      </c>
      <c r="J178" s="15">
        <v>21</v>
      </c>
      <c r="K178" s="15">
        <v>18154.796915035022</v>
      </c>
      <c r="L178" s="15">
        <v>11336.8</v>
      </c>
      <c r="M178" s="15"/>
      <c r="N178" s="15"/>
      <c r="O178" s="15"/>
      <c r="P178" s="15">
        <v>471182518.39999998</v>
      </c>
      <c r="Q178" s="15"/>
      <c r="R178" s="15"/>
      <c r="S178" s="15">
        <v>552.74427748630546</v>
      </c>
      <c r="T178" s="15">
        <v>460</v>
      </c>
      <c r="U178" s="15">
        <v>210000</v>
      </c>
      <c r="V178" s="15">
        <f t="shared" si="17"/>
        <v>9.4346123739457486</v>
      </c>
      <c r="W178" s="15">
        <v>4.9054900000000004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1576</v>
      </c>
      <c r="AF178" s="22" t="s">
        <v>5</v>
      </c>
      <c r="AG178" s="17">
        <f t="shared" si="18"/>
        <v>2711.4815257662967</v>
      </c>
      <c r="AH178" s="17">
        <v>1809.6951084628629</v>
      </c>
      <c r="AI178" s="62">
        <v>5.3604489438485281</v>
      </c>
      <c r="AJ178" s="17">
        <f t="shared" si="19"/>
        <v>1.3266655410711803</v>
      </c>
      <c r="AK178" s="15">
        <f t="shared" si="20"/>
        <v>0.5199461096617819</v>
      </c>
      <c r="AL178" s="5">
        <v>5.66</v>
      </c>
      <c r="AO178" s="5">
        <f t="shared" si="21"/>
        <v>2.5</v>
      </c>
      <c r="AP178" s="5">
        <f t="shared" si="16"/>
        <v>5.3604489438485281</v>
      </c>
    </row>
    <row r="179" spans="1:42">
      <c r="A179" s="15">
        <v>174</v>
      </c>
      <c r="B179" s="20" t="s">
        <v>1385</v>
      </c>
      <c r="C179" s="20">
        <v>200</v>
      </c>
      <c r="D179" s="15">
        <v>200</v>
      </c>
      <c r="E179" s="15">
        <v>500</v>
      </c>
      <c r="F179" s="15">
        <v>16</v>
      </c>
      <c r="G179" s="15">
        <v>16</v>
      </c>
      <c r="H179" s="15">
        <v>10.199999999999999</v>
      </c>
      <c r="I179" s="15">
        <v>21</v>
      </c>
      <c r="J179" s="15">
        <v>21</v>
      </c>
      <c r="K179" s="15">
        <v>22795.872818126678</v>
      </c>
      <c r="L179" s="15">
        <v>11336.8</v>
      </c>
      <c r="M179" s="15"/>
      <c r="N179" s="15"/>
      <c r="O179" s="15"/>
      <c r="P179" s="15">
        <v>471182518.39999998</v>
      </c>
      <c r="Q179" s="15"/>
      <c r="R179" s="15"/>
      <c r="S179" s="15">
        <v>389.60274684317511</v>
      </c>
      <c r="T179" s="15">
        <v>460</v>
      </c>
      <c r="U179" s="15">
        <v>210000</v>
      </c>
      <c r="V179" s="15">
        <f t="shared" si="17"/>
        <v>13.385244437455519</v>
      </c>
      <c r="W179" s="15">
        <v>4.6147099999999996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1577</v>
      </c>
      <c r="AF179" s="22" t="s">
        <v>5</v>
      </c>
      <c r="AG179" s="17">
        <f t="shared" si="18"/>
        <v>1797.9036918846684</v>
      </c>
      <c r="AH179" s="17">
        <v>1299.0951754092227</v>
      </c>
      <c r="AI179" s="62">
        <v>4.8236273442645716</v>
      </c>
      <c r="AJ179" s="17">
        <f t="shared" si="19"/>
        <v>1.6658131229991511</v>
      </c>
      <c r="AK179" s="15">
        <f t="shared" si="20"/>
        <v>0.34476098076227868</v>
      </c>
      <c r="AL179" s="5">
        <v>5.66</v>
      </c>
      <c r="AO179" s="5">
        <f t="shared" si="21"/>
        <v>2.5</v>
      </c>
      <c r="AP179" s="5">
        <f t="shared" si="16"/>
        <v>4.8236273442645716</v>
      </c>
    </row>
    <row r="180" spans="1:42">
      <c r="A180" s="15">
        <v>175</v>
      </c>
      <c r="B180" s="20" t="s">
        <v>1386</v>
      </c>
      <c r="C180" s="20">
        <v>200</v>
      </c>
      <c r="D180" s="15">
        <v>200</v>
      </c>
      <c r="E180" s="15">
        <v>500</v>
      </c>
      <c r="F180" s="15">
        <v>16</v>
      </c>
      <c r="G180" s="15">
        <v>16</v>
      </c>
      <c r="H180" s="15">
        <v>10.199999999999999</v>
      </c>
      <c r="I180" s="15">
        <v>21</v>
      </c>
      <c r="J180" s="15">
        <v>21</v>
      </c>
      <c r="K180" s="15">
        <v>27300.446488774465</v>
      </c>
      <c r="L180" s="15">
        <v>11336.8</v>
      </c>
      <c r="M180" s="15"/>
      <c r="N180" s="15"/>
      <c r="O180" s="15"/>
      <c r="P180" s="15">
        <v>471182518.39999998</v>
      </c>
      <c r="Q180" s="15"/>
      <c r="R180" s="15"/>
      <c r="S180" s="15">
        <v>288.10158691308118</v>
      </c>
      <c r="T180" s="15">
        <v>460</v>
      </c>
      <c r="U180" s="15">
        <v>210000</v>
      </c>
      <c r="V180" s="15">
        <f t="shared" si="17"/>
        <v>18.101004079416327</v>
      </c>
      <c r="W180" s="15">
        <v>4.3457800000000004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1578</v>
      </c>
      <c r="AF180" s="22" t="s">
        <v>5</v>
      </c>
      <c r="AG180" s="17">
        <f t="shared" si="18"/>
        <v>1252.02611437513</v>
      </c>
      <c r="AH180" s="17">
        <v>969.71577236754888</v>
      </c>
      <c r="AI180" s="62">
        <v>4.5480272599526144</v>
      </c>
      <c r="AJ180" s="17">
        <f t="shared" si="19"/>
        <v>1.9949857760468874</v>
      </c>
      <c r="AK180" s="15">
        <f t="shared" si="20"/>
        <v>0.24008502406459495</v>
      </c>
      <c r="AL180" s="5">
        <v>5.66</v>
      </c>
      <c r="AO180" s="5">
        <f t="shared" si="21"/>
        <v>2.5</v>
      </c>
      <c r="AP180" s="5">
        <f t="shared" si="16"/>
        <v>4.5480272599526144</v>
      </c>
    </row>
    <row r="181" spans="1:42">
      <c r="A181" s="15">
        <v>176</v>
      </c>
      <c r="B181" s="20" t="s">
        <v>1387</v>
      </c>
      <c r="C181" s="20">
        <v>200</v>
      </c>
      <c r="D181" s="15">
        <v>200</v>
      </c>
      <c r="E181" s="15">
        <v>500</v>
      </c>
      <c r="F181" s="15">
        <v>16</v>
      </c>
      <c r="G181" s="15">
        <v>16</v>
      </c>
      <c r="H181" s="15">
        <v>10.199999999999999</v>
      </c>
      <c r="I181" s="15">
        <v>21</v>
      </c>
      <c r="J181" s="15">
        <v>21</v>
      </c>
      <c r="K181" s="15">
        <v>34125.558110968079</v>
      </c>
      <c r="L181" s="15">
        <v>11336.8</v>
      </c>
      <c r="M181" s="15"/>
      <c r="N181" s="15"/>
      <c r="O181" s="15"/>
      <c r="P181" s="15">
        <v>471182518.39999998</v>
      </c>
      <c r="Q181" s="15"/>
      <c r="R181" s="15"/>
      <c r="S181" s="15">
        <v>194.53089549649312</v>
      </c>
      <c r="T181" s="15">
        <v>460</v>
      </c>
      <c r="U181" s="15">
        <v>210000</v>
      </c>
      <c r="V181" s="15">
        <f t="shared" si="17"/>
        <v>26.807710860992831</v>
      </c>
      <c r="W181" s="15">
        <v>4.1214899999999997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1579</v>
      </c>
      <c r="AF181" s="22" t="s">
        <v>5</v>
      </c>
      <c r="AG181" s="17">
        <f t="shared" si="18"/>
        <v>801.75714047984138</v>
      </c>
      <c r="AH181" s="17">
        <v>659.7408396563676</v>
      </c>
      <c r="AI181" s="62">
        <v>4.310822068885968</v>
      </c>
      <c r="AJ181" s="17">
        <f t="shared" si="19"/>
        <v>2.4937322200586092</v>
      </c>
      <c r="AK181" s="15">
        <f t="shared" si="20"/>
        <v>0.15374270564806289</v>
      </c>
      <c r="AL181" s="5">
        <v>5.66</v>
      </c>
      <c r="AO181" s="5">
        <f t="shared" si="21"/>
        <v>2.5</v>
      </c>
      <c r="AP181" s="5">
        <f t="shared" si="16"/>
        <v>4.310822068885968</v>
      </c>
    </row>
    <row r="182" spans="1:42">
      <c r="A182" s="15">
        <v>177</v>
      </c>
      <c r="B182" s="20" t="s">
        <v>1388</v>
      </c>
      <c r="C182" s="20">
        <v>210</v>
      </c>
      <c r="D182" s="15">
        <v>210</v>
      </c>
      <c r="E182" s="15">
        <v>550</v>
      </c>
      <c r="F182" s="15">
        <v>17.2</v>
      </c>
      <c r="G182" s="15">
        <v>17.2</v>
      </c>
      <c r="H182" s="15">
        <v>11.1</v>
      </c>
      <c r="I182" s="15">
        <v>24</v>
      </c>
      <c r="J182" s="15">
        <v>24</v>
      </c>
      <c r="K182" s="15">
        <v>4475.9438292966197</v>
      </c>
      <c r="L182" s="15">
        <v>13138.079999999994</v>
      </c>
      <c r="M182" s="15"/>
      <c r="N182" s="15"/>
      <c r="O182" s="15"/>
      <c r="P182" s="15">
        <v>652585136.02559984</v>
      </c>
      <c r="Q182" s="15"/>
      <c r="R182" s="15"/>
      <c r="S182" s="15">
        <v>1615.0952705492946</v>
      </c>
      <c r="T182" s="15">
        <v>460</v>
      </c>
      <c r="U182" s="15">
        <v>210000</v>
      </c>
      <c r="V182" s="15">
        <f t="shared" si="17"/>
        <v>3.7418949273157085</v>
      </c>
      <c r="W182" s="15">
        <v>3.88212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1580</v>
      </c>
      <c r="AF182" s="22" t="s">
        <v>5</v>
      </c>
      <c r="AG182" s="17">
        <f t="shared" si="18"/>
        <v>6269.9936517048272</v>
      </c>
      <c r="AH182" s="17">
        <v>3003.7803097538581</v>
      </c>
      <c r="AI182" s="62">
        <v>41.801206496834048</v>
      </c>
      <c r="AJ182" s="17">
        <f t="shared" si="19"/>
        <v>0.29919297056730509</v>
      </c>
      <c r="AK182" s="15">
        <f t="shared" si="20"/>
        <v>1.0374743479996333</v>
      </c>
      <c r="AL182" s="56">
        <v>2.8845000000000001</v>
      </c>
      <c r="AO182" s="5">
        <f t="shared" si="21"/>
        <v>2.6190476190476191</v>
      </c>
      <c r="AP182" s="5">
        <f t="shared" si="16"/>
        <v>41.801206496834048</v>
      </c>
    </row>
    <row r="183" spans="1:42">
      <c r="A183" s="15">
        <v>178</v>
      </c>
      <c r="B183" s="20" t="s">
        <v>1389</v>
      </c>
      <c r="C183" s="20">
        <v>210</v>
      </c>
      <c r="D183" s="15">
        <v>210</v>
      </c>
      <c r="E183" s="15">
        <v>550</v>
      </c>
      <c r="F183" s="15">
        <v>17.2</v>
      </c>
      <c r="G183" s="15">
        <v>17.2</v>
      </c>
      <c r="H183" s="15">
        <v>11.1</v>
      </c>
      <c r="I183" s="15">
        <v>24</v>
      </c>
      <c r="J183" s="15">
        <v>24</v>
      </c>
      <c r="K183" s="15">
        <v>7459.9063821610325</v>
      </c>
      <c r="L183" s="15">
        <v>13138.079999999994</v>
      </c>
      <c r="M183" s="15"/>
      <c r="N183" s="15"/>
      <c r="O183" s="15"/>
      <c r="P183" s="15">
        <v>652585136.02559996</v>
      </c>
      <c r="Q183" s="15"/>
      <c r="R183" s="15"/>
      <c r="S183" s="15">
        <v>1434.4560810816995</v>
      </c>
      <c r="T183" s="15">
        <v>460</v>
      </c>
      <c r="U183" s="15">
        <v>210000</v>
      </c>
      <c r="V183" s="15">
        <f t="shared" si="17"/>
        <v>4.2131068909706046</v>
      </c>
      <c r="W183" s="15">
        <v>4.2493499999999997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1581</v>
      </c>
      <c r="AF183" s="22" t="s">
        <v>5</v>
      </c>
      <c r="AG183" s="17">
        <f t="shared" si="18"/>
        <v>6095.5059481445196</v>
      </c>
      <c r="AH183" s="17">
        <v>2748.3978559153984</v>
      </c>
      <c r="AI183" s="62">
        <v>16.943464111872334</v>
      </c>
      <c r="AJ183" s="17">
        <f t="shared" si="19"/>
        <v>0.49865495094550844</v>
      </c>
      <c r="AK183" s="15">
        <f t="shared" si="20"/>
        <v>1.0086024660582598</v>
      </c>
      <c r="AL183" s="5">
        <v>2.8845000000000001</v>
      </c>
      <c r="AO183" s="5">
        <f t="shared" si="21"/>
        <v>2.6190476190476191</v>
      </c>
      <c r="AP183" s="5">
        <f t="shared" si="16"/>
        <v>16.943464111872334</v>
      </c>
    </row>
    <row r="184" spans="1:42">
      <c r="A184" s="15">
        <v>179</v>
      </c>
      <c r="B184" s="20" t="s">
        <v>1390</v>
      </c>
      <c r="C184" s="20">
        <v>210</v>
      </c>
      <c r="D184" s="15">
        <v>210</v>
      </c>
      <c r="E184" s="15">
        <v>550</v>
      </c>
      <c r="F184" s="15">
        <v>17.2</v>
      </c>
      <c r="G184" s="15">
        <v>17.2</v>
      </c>
      <c r="H184" s="15">
        <v>11.1</v>
      </c>
      <c r="I184" s="15">
        <v>24</v>
      </c>
      <c r="J184" s="15">
        <v>24</v>
      </c>
      <c r="K184" s="15">
        <v>11189.859573241549</v>
      </c>
      <c r="L184" s="15">
        <v>13138.079999999994</v>
      </c>
      <c r="M184" s="15"/>
      <c r="N184" s="15"/>
      <c r="O184" s="15"/>
      <c r="P184" s="15">
        <v>652585136.02559996</v>
      </c>
      <c r="Q184" s="15"/>
      <c r="R184" s="15"/>
      <c r="S184" s="15">
        <v>1180.1396492002973</v>
      </c>
      <c r="T184" s="15">
        <v>460</v>
      </c>
      <c r="U184" s="15">
        <v>210000</v>
      </c>
      <c r="V184" s="15">
        <f t="shared" si="17"/>
        <v>5.1210183507479723</v>
      </c>
      <c r="W184" s="15">
        <v>4.7945599999999997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1582</v>
      </c>
      <c r="AF184" s="22" t="s">
        <v>5</v>
      </c>
      <c r="AG184" s="17">
        <f t="shared" si="18"/>
        <v>5658.2503564697772</v>
      </c>
      <c r="AH184" s="17">
        <v>2400.5232792014785</v>
      </c>
      <c r="AI184" s="62">
        <v>9.1532124642422037</v>
      </c>
      <c r="AJ184" s="17">
        <f t="shared" si="19"/>
        <v>0.74798242641826262</v>
      </c>
      <c r="AK184" s="15">
        <f t="shared" si="20"/>
        <v>0.93625128277458913</v>
      </c>
      <c r="AL184" s="5">
        <v>2.8845000000000001</v>
      </c>
      <c r="AO184" s="5">
        <f t="shared" si="21"/>
        <v>2.6190476190476191</v>
      </c>
      <c r="AP184" s="5">
        <f t="shared" si="16"/>
        <v>9.1532124642422037</v>
      </c>
    </row>
    <row r="185" spans="1:42">
      <c r="A185" s="15">
        <v>180</v>
      </c>
      <c r="B185" s="20" t="s">
        <v>1391</v>
      </c>
      <c r="C185" s="20">
        <v>210</v>
      </c>
      <c r="D185" s="15">
        <v>210</v>
      </c>
      <c r="E185" s="15">
        <v>550</v>
      </c>
      <c r="F185" s="15">
        <v>17.2</v>
      </c>
      <c r="G185" s="15">
        <v>17.2</v>
      </c>
      <c r="H185" s="15">
        <v>11.1</v>
      </c>
      <c r="I185" s="15">
        <v>24</v>
      </c>
      <c r="J185" s="15">
        <v>24</v>
      </c>
      <c r="K185" s="15">
        <v>14919.812764322065</v>
      </c>
      <c r="L185" s="15">
        <v>13138.079999999994</v>
      </c>
      <c r="M185" s="15"/>
      <c r="N185" s="15"/>
      <c r="O185" s="15"/>
      <c r="P185" s="15">
        <v>652585136.02559996</v>
      </c>
      <c r="Q185" s="15"/>
      <c r="R185" s="15"/>
      <c r="S185" s="15">
        <v>918.7746882363582</v>
      </c>
      <c r="T185" s="15">
        <v>460</v>
      </c>
      <c r="U185" s="15">
        <v>210000</v>
      </c>
      <c r="V185" s="15">
        <f t="shared" si="17"/>
        <v>6.5778007136884469</v>
      </c>
      <c r="W185" s="15">
        <v>5.1264200000000004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1583</v>
      </c>
      <c r="AF185" s="22" t="s">
        <v>5</v>
      </c>
      <c r="AG185" s="17">
        <f t="shared" si="18"/>
        <v>4710.0249372686321</v>
      </c>
      <c r="AH185" s="17">
        <v>2017.9274417884624</v>
      </c>
      <c r="AI185" s="62">
        <v>6.6133338894324067</v>
      </c>
      <c r="AJ185" s="17">
        <f t="shared" si="19"/>
        <v>0.99730990189101687</v>
      </c>
      <c r="AK185" s="15">
        <f t="shared" si="20"/>
        <v>0.7793516743874418</v>
      </c>
      <c r="AL185" s="5">
        <v>2.8845000000000001</v>
      </c>
      <c r="AO185" s="5">
        <f t="shared" si="21"/>
        <v>2.6190476190476191</v>
      </c>
      <c r="AP185" s="5">
        <f t="shared" si="16"/>
        <v>6.6133338894324067</v>
      </c>
    </row>
    <row r="186" spans="1:42">
      <c r="A186" s="15">
        <v>181</v>
      </c>
      <c r="B186" s="20" t="s">
        <v>1392</v>
      </c>
      <c r="C186" s="20">
        <v>210</v>
      </c>
      <c r="D186" s="15">
        <v>210</v>
      </c>
      <c r="E186" s="15">
        <v>550</v>
      </c>
      <c r="F186" s="15">
        <v>17.2</v>
      </c>
      <c r="G186" s="15">
        <v>17.2</v>
      </c>
      <c r="H186" s="15">
        <v>11.1</v>
      </c>
      <c r="I186" s="15">
        <v>24</v>
      </c>
      <c r="J186" s="15">
        <v>24</v>
      </c>
      <c r="K186" s="15">
        <v>19843.350976548347</v>
      </c>
      <c r="L186" s="15">
        <v>13138.079999999994</v>
      </c>
      <c r="M186" s="15"/>
      <c r="N186" s="15"/>
      <c r="O186" s="15"/>
      <c r="P186" s="15">
        <v>652585136.02559996</v>
      </c>
      <c r="Q186" s="15"/>
      <c r="R186" s="15"/>
      <c r="S186" s="15">
        <v>640.4801138128804</v>
      </c>
      <c r="T186" s="15">
        <v>460</v>
      </c>
      <c r="U186" s="15">
        <v>210000</v>
      </c>
      <c r="V186" s="15">
        <f t="shared" si="17"/>
        <v>9.4359163846976877</v>
      </c>
      <c r="W186" s="15">
        <v>4.9310099999999997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1584</v>
      </c>
      <c r="AF186" s="22" t="s">
        <v>5</v>
      </c>
      <c r="AG186" s="17">
        <f t="shared" si="18"/>
        <v>3158.2138460124511</v>
      </c>
      <c r="AH186" s="17">
        <v>1529.2268935074082</v>
      </c>
      <c r="AI186" s="62">
        <v>5.3631573612035028</v>
      </c>
      <c r="AJ186" s="17">
        <f t="shared" si="19"/>
        <v>1.3264221695150524</v>
      </c>
      <c r="AK186" s="15">
        <f t="shared" si="20"/>
        <v>0.52257881470809386</v>
      </c>
      <c r="AL186" s="5">
        <v>2.8845000000000001</v>
      </c>
      <c r="AO186" s="5">
        <f t="shared" si="21"/>
        <v>2.6190476190476191</v>
      </c>
      <c r="AP186" s="5">
        <f t="shared" si="16"/>
        <v>5.3631573612035028</v>
      </c>
    </row>
    <row r="187" spans="1:42">
      <c r="A187" s="15">
        <v>182</v>
      </c>
      <c r="B187" s="20" t="s">
        <v>1393</v>
      </c>
      <c r="C187" s="20">
        <v>210</v>
      </c>
      <c r="D187" s="15">
        <v>210</v>
      </c>
      <c r="E187" s="15">
        <v>550</v>
      </c>
      <c r="F187" s="15">
        <v>17.2</v>
      </c>
      <c r="G187" s="15">
        <v>17.2</v>
      </c>
      <c r="H187" s="15">
        <v>11.1</v>
      </c>
      <c r="I187" s="15">
        <v>24</v>
      </c>
      <c r="J187" s="15">
        <v>24</v>
      </c>
      <c r="K187" s="15">
        <v>24916.087316417848</v>
      </c>
      <c r="L187" s="15">
        <v>13138.079999999994</v>
      </c>
      <c r="M187" s="15"/>
      <c r="N187" s="15"/>
      <c r="O187" s="15"/>
      <c r="P187" s="15">
        <v>652585136.02559996</v>
      </c>
      <c r="Q187" s="15"/>
      <c r="R187" s="15"/>
      <c r="S187" s="15">
        <v>451.44350073549134</v>
      </c>
      <c r="T187" s="15">
        <v>460</v>
      </c>
      <c r="U187" s="15">
        <v>210000</v>
      </c>
      <c r="V187" s="15">
        <f t="shared" si="17"/>
        <v>13.387094487247916</v>
      </c>
      <c r="W187" s="15">
        <v>4.6400399999999999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1585</v>
      </c>
      <c r="AF187" s="22" t="s">
        <v>5</v>
      </c>
      <c r="AG187" s="17">
        <f t="shared" si="18"/>
        <v>2094.7159011527092</v>
      </c>
      <c r="AH187" s="17">
        <v>1132.3014299415529</v>
      </c>
      <c r="AI187" s="62">
        <v>4.8260645274464258</v>
      </c>
      <c r="AJ187" s="17">
        <f t="shared" si="19"/>
        <v>1.6655075361579981</v>
      </c>
      <c r="AK187" s="15">
        <f t="shared" si="20"/>
        <v>0.34660545680169375</v>
      </c>
      <c r="AL187" s="5">
        <v>2.8845000000000001</v>
      </c>
      <c r="AO187" s="5">
        <f t="shared" si="21"/>
        <v>2.6190476190476191</v>
      </c>
      <c r="AP187" s="5">
        <f t="shared" si="16"/>
        <v>4.8260645274464258</v>
      </c>
    </row>
    <row r="188" spans="1:42">
      <c r="A188" s="15">
        <v>183</v>
      </c>
      <c r="B188" s="20" t="s">
        <v>1394</v>
      </c>
      <c r="C188" s="20">
        <v>210</v>
      </c>
      <c r="D188" s="15">
        <v>210</v>
      </c>
      <c r="E188" s="15">
        <v>550</v>
      </c>
      <c r="F188" s="15">
        <v>17.2</v>
      </c>
      <c r="G188" s="15">
        <v>17.2</v>
      </c>
      <c r="H188" s="15">
        <v>11.1</v>
      </c>
      <c r="I188" s="15">
        <v>24</v>
      </c>
      <c r="J188" s="15">
        <v>24</v>
      </c>
      <c r="K188" s="15">
        <v>29839.62552864413</v>
      </c>
      <c r="L188" s="15">
        <v>13138.079999999994</v>
      </c>
      <c r="M188" s="15"/>
      <c r="N188" s="15"/>
      <c r="O188" s="15"/>
      <c r="P188" s="15">
        <v>652585136.02559996</v>
      </c>
      <c r="Q188" s="15"/>
      <c r="R188" s="15"/>
      <c r="S188" s="15">
        <v>333.83129358645112</v>
      </c>
      <c r="T188" s="15">
        <v>460</v>
      </c>
      <c r="U188" s="15">
        <v>210000</v>
      </c>
      <c r="V188" s="15">
        <f t="shared" si="17"/>
        <v>18.103505920828024</v>
      </c>
      <c r="W188" s="15">
        <v>4.3694899999999999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1586</v>
      </c>
      <c r="AF188" s="22" t="s">
        <v>5</v>
      </c>
      <c r="AG188" s="17">
        <f t="shared" si="18"/>
        <v>1458.6724990130622</v>
      </c>
      <c r="AH188" s="17">
        <v>859.31915648305255</v>
      </c>
      <c r="AI188" s="62">
        <v>4.5503251935941398</v>
      </c>
      <c r="AJ188" s="17">
        <f t="shared" si="19"/>
        <v>1.9946198037820337</v>
      </c>
      <c r="AK188" s="15">
        <f t="shared" si="20"/>
        <v>0.24136153621895504</v>
      </c>
      <c r="AL188" s="5">
        <v>2.8845000000000001</v>
      </c>
      <c r="AO188" s="5">
        <f t="shared" si="21"/>
        <v>2.6190476190476191</v>
      </c>
      <c r="AP188" s="5">
        <f t="shared" si="16"/>
        <v>4.5503251935941398</v>
      </c>
    </row>
    <row r="189" spans="1:42">
      <c r="A189" s="15">
        <v>184</v>
      </c>
      <c r="B189" s="20" t="s">
        <v>1395</v>
      </c>
      <c r="C189" s="20">
        <v>210</v>
      </c>
      <c r="D189" s="15">
        <v>210</v>
      </c>
      <c r="E189" s="15">
        <v>550</v>
      </c>
      <c r="F189" s="15">
        <v>17.2</v>
      </c>
      <c r="G189" s="15">
        <v>17.2</v>
      </c>
      <c r="H189" s="15">
        <v>11.1</v>
      </c>
      <c r="I189" s="15">
        <v>24</v>
      </c>
      <c r="J189" s="15">
        <v>24</v>
      </c>
      <c r="K189" s="15">
        <v>37299.531910805163</v>
      </c>
      <c r="L189" s="15">
        <v>13138.079999999994</v>
      </c>
      <c r="M189" s="15"/>
      <c r="N189" s="15"/>
      <c r="O189" s="15"/>
      <c r="P189" s="15">
        <v>652585136.02559996</v>
      </c>
      <c r="Q189" s="15"/>
      <c r="R189" s="15"/>
      <c r="S189" s="15">
        <v>225.40834009955395</v>
      </c>
      <c r="T189" s="15">
        <v>460</v>
      </c>
      <c r="U189" s="15">
        <v>210000</v>
      </c>
      <c r="V189" s="15">
        <f t="shared" si="17"/>
        <v>26.811416105237342</v>
      </c>
      <c r="W189" s="15">
        <v>4.1437099999999996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1587</v>
      </c>
      <c r="AF189" s="22" t="s">
        <v>5</v>
      </c>
      <c r="AG189" s="17">
        <f t="shared" si="18"/>
        <v>934.02679295392261</v>
      </c>
      <c r="AH189" s="17">
        <v>592.45114178382642</v>
      </c>
      <c r="AI189" s="62">
        <v>4.313000152368879</v>
      </c>
      <c r="AJ189" s="17">
        <f t="shared" si="19"/>
        <v>2.4932747547275422</v>
      </c>
      <c r="AK189" s="15">
        <f t="shared" si="20"/>
        <v>0.15455021039304848</v>
      </c>
      <c r="AL189" s="5">
        <v>2.8845000000000001</v>
      </c>
      <c r="AO189" s="5">
        <f t="shared" si="21"/>
        <v>2.6190476190476191</v>
      </c>
      <c r="AP189" s="5">
        <f t="shared" si="16"/>
        <v>4.313000152368879</v>
      </c>
    </row>
    <row r="190" spans="1:42">
      <c r="A190" s="15">
        <v>185</v>
      </c>
      <c r="B190" s="20" t="s">
        <v>1396</v>
      </c>
      <c r="C190" s="20">
        <v>220</v>
      </c>
      <c r="D190" s="15">
        <v>220</v>
      </c>
      <c r="E190" s="15">
        <v>600</v>
      </c>
      <c r="F190" s="15">
        <v>19</v>
      </c>
      <c r="G190" s="15">
        <v>19</v>
      </c>
      <c r="H190" s="15">
        <v>12</v>
      </c>
      <c r="I190" s="15">
        <v>24</v>
      </c>
      <c r="J190" s="15">
        <v>24</v>
      </c>
      <c r="K190" s="15">
        <v>4869.6723101918851</v>
      </c>
      <c r="L190" s="15">
        <v>15331.999999999993</v>
      </c>
      <c r="M190" s="15"/>
      <c r="N190" s="15"/>
      <c r="O190" s="15"/>
      <c r="P190" s="15">
        <v>901625431.00000024</v>
      </c>
      <c r="Q190" s="15"/>
      <c r="R190" s="15"/>
      <c r="S190" s="15">
        <v>1890.0080323817044</v>
      </c>
      <c r="T190" s="15">
        <v>460</v>
      </c>
      <c r="U190" s="15">
        <v>210000</v>
      </c>
      <c r="V190" s="15">
        <f t="shared" si="17"/>
        <v>3.7315820246078379</v>
      </c>
      <c r="W190" s="15">
        <v>3.8402799999999999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1588</v>
      </c>
      <c r="AF190" s="22" t="s">
        <v>5</v>
      </c>
      <c r="AG190" s="17">
        <f t="shared" si="18"/>
        <v>7258.1600465948113</v>
      </c>
      <c r="AH190" s="17">
        <v>2261.1404326980228</v>
      </c>
      <c r="AI190" s="62">
        <v>41.694816582156719</v>
      </c>
      <c r="AJ190" s="17">
        <f t="shared" si="19"/>
        <v>0.29916133483161483</v>
      </c>
      <c r="AK190" s="15">
        <f t="shared" si="20"/>
        <v>1.0291291936437028</v>
      </c>
      <c r="AL190" s="56">
        <v>1.5359</v>
      </c>
      <c r="AO190" s="5">
        <f t="shared" si="21"/>
        <v>2.7272727272727271</v>
      </c>
      <c r="AP190" s="5">
        <f t="shared" si="16"/>
        <v>41.694816582156719</v>
      </c>
    </row>
    <row r="191" spans="1:42">
      <c r="A191" s="15">
        <v>186</v>
      </c>
      <c r="B191" s="20" t="s">
        <v>1397</v>
      </c>
      <c r="C191" s="20">
        <v>220</v>
      </c>
      <c r="D191" s="15">
        <v>220</v>
      </c>
      <c r="E191" s="15">
        <v>600</v>
      </c>
      <c r="F191" s="15">
        <v>19</v>
      </c>
      <c r="G191" s="15">
        <v>19</v>
      </c>
      <c r="H191" s="15">
        <v>12</v>
      </c>
      <c r="I191" s="15">
        <v>24</v>
      </c>
      <c r="J191" s="15">
        <v>24</v>
      </c>
      <c r="K191" s="15">
        <v>8116.1205169864752</v>
      </c>
      <c r="L191" s="15">
        <v>15332</v>
      </c>
      <c r="M191" s="15"/>
      <c r="N191" s="15"/>
      <c r="O191" s="15"/>
      <c r="P191" s="15">
        <v>901625431</v>
      </c>
      <c r="Q191" s="15"/>
      <c r="R191" s="15"/>
      <c r="S191" s="15">
        <v>1684.0907396156838</v>
      </c>
      <c r="T191" s="15">
        <v>460</v>
      </c>
      <c r="U191" s="15">
        <v>210000</v>
      </c>
      <c r="V191" s="15">
        <f t="shared" si="17"/>
        <v>4.1878503539598224</v>
      </c>
      <c r="W191" s="15">
        <v>4.1894799999999996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1589</v>
      </c>
      <c r="AF191" s="22" t="s">
        <v>5</v>
      </c>
      <c r="AG191" s="17">
        <f t="shared" si="18"/>
        <v>7055.464471805114</v>
      </c>
      <c r="AH191" s="17">
        <v>2095.6401742937405</v>
      </c>
      <c r="AI191" s="62">
        <v>16.845454405918105</v>
      </c>
      <c r="AJ191" s="17">
        <f t="shared" si="19"/>
        <v>0.49860222471935822</v>
      </c>
      <c r="AK191" s="15">
        <f t="shared" si="20"/>
        <v>1.0003891366458777</v>
      </c>
      <c r="AL191" s="5">
        <v>1.5359</v>
      </c>
      <c r="AO191" s="5">
        <f t="shared" si="21"/>
        <v>2.7272727272727271</v>
      </c>
      <c r="AP191" s="5">
        <f t="shared" si="16"/>
        <v>16.845454405918105</v>
      </c>
    </row>
    <row r="192" spans="1:42">
      <c r="A192" s="15">
        <v>187</v>
      </c>
      <c r="B192" s="20" t="s">
        <v>1398</v>
      </c>
      <c r="C192" s="20">
        <v>220</v>
      </c>
      <c r="D192" s="15">
        <v>220</v>
      </c>
      <c r="E192" s="15">
        <v>600</v>
      </c>
      <c r="F192" s="15">
        <v>19</v>
      </c>
      <c r="G192" s="15">
        <v>19</v>
      </c>
      <c r="H192" s="15">
        <v>12</v>
      </c>
      <c r="I192" s="15">
        <v>24</v>
      </c>
      <c r="J192" s="15">
        <v>24</v>
      </c>
      <c r="K192" s="15">
        <v>12174.180775479714</v>
      </c>
      <c r="L192" s="15">
        <v>15332</v>
      </c>
      <c r="M192" s="15"/>
      <c r="N192" s="15"/>
      <c r="O192" s="15"/>
      <c r="P192" s="15">
        <v>901625431</v>
      </c>
      <c r="Q192" s="15"/>
      <c r="R192" s="15"/>
      <c r="S192" s="15">
        <v>1394.6959449025478</v>
      </c>
      <c r="T192" s="15">
        <v>460</v>
      </c>
      <c r="U192" s="15">
        <v>210000</v>
      </c>
      <c r="V192" s="15">
        <f t="shared" si="17"/>
        <v>5.0568154483971037</v>
      </c>
      <c r="W192" s="15">
        <v>4.6986600000000003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1590</v>
      </c>
      <c r="AF192" s="22" t="s">
        <v>5</v>
      </c>
      <c r="AG192" s="17">
        <f t="shared" si="18"/>
        <v>6553.2020484758059</v>
      </c>
      <c r="AH192" s="17">
        <v>1875.8358811854484</v>
      </c>
      <c r="AI192" s="62">
        <v>9.0403690968745813</v>
      </c>
      <c r="AJ192" s="17">
        <f t="shared" si="19"/>
        <v>0.74790333707903744</v>
      </c>
      <c r="AK192" s="15">
        <f t="shared" si="20"/>
        <v>0.92917371574028262</v>
      </c>
      <c r="AL192" s="5">
        <v>1.5359</v>
      </c>
      <c r="AO192" s="5">
        <f t="shared" si="21"/>
        <v>2.7272727272727271</v>
      </c>
      <c r="AP192" s="5">
        <f t="shared" si="16"/>
        <v>9.0403690968745813</v>
      </c>
    </row>
    <row r="193" spans="1:42">
      <c r="A193" s="15">
        <v>188</v>
      </c>
      <c r="B193" s="20" t="s">
        <v>1399</v>
      </c>
      <c r="C193" s="20">
        <v>220</v>
      </c>
      <c r="D193" s="15">
        <v>220</v>
      </c>
      <c r="E193" s="15">
        <v>600</v>
      </c>
      <c r="F193" s="15">
        <v>19</v>
      </c>
      <c r="G193" s="15">
        <v>19</v>
      </c>
      <c r="H193" s="15">
        <v>12</v>
      </c>
      <c r="I193" s="15">
        <v>24</v>
      </c>
      <c r="J193" s="15">
        <v>24</v>
      </c>
      <c r="K193" s="15">
        <v>16232.24103397295</v>
      </c>
      <c r="L193" s="15">
        <v>15332</v>
      </c>
      <c r="M193" s="15"/>
      <c r="N193" s="15"/>
      <c r="O193" s="15"/>
      <c r="P193" s="15">
        <v>901625431</v>
      </c>
      <c r="Q193" s="15"/>
      <c r="R193" s="15"/>
      <c r="S193" s="15">
        <v>1094.2001546739918</v>
      </c>
      <c r="T193" s="15">
        <v>460</v>
      </c>
      <c r="U193" s="15">
        <v>210000</v>
      </c>
      <c r="V193" s="15">
        <f t="shared" si="17"/>
        <v>6.4455483486029124</v>
      </c>
      <c r="W193" s="15">
        <v>4.9838899999999997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1591</v>
      </c>
      <c r="AF193" s="22" t="s">
        <v>5</v>
      </c>
      <c r="AG193" s="17">
        <f t="shared" si="18"/>
        <v>5453.3732088781608</v>
      </c>
      <c r="AH193" s="17">
        <v>1633.3537030276418</v>
      </c>
      <c r="AI193" s="62">
        <v>6.4817377443337358</v>
      </c>
      <c r="AJ193" s="17">
        <f t="shared" si="19"/>
        <v>0.99720444943871644</v>
      </c>
      <c r="AK193" s="15">
        <f t="shared" si="20"/>
        <v>0.77322979061669272</v>
      </c>
      <c r="AL193" s="5">
        <v>1.5359</v>
      </c>
      <c r="AO193" s="5">
        <f t="shared" si="21"/>
        <v>2.7272727272727271</v>
      </c>
      <c r="AP193" s="5">
        <f t="shared" si="16"/>
        <v>6.4817377443337358</v>
      </c>
    </row>
    <row r="194" spans="1:42">
      <c r="A194" s="15">
        <v>189</v>
      </c>
      <c r="B194" s="20" t="s">
        <v>1400</v>
      </c>
      <c r="C194" s="20">
        <v>220</v>
      </c>
      <c r="D194" s="15">
        <v>220</v>
      </c>
      <c r="E194" s="15">
        <v>600</v>
      </c>
      <c r="F194" s="15">
        <v>19</v>
      </c>
      <c r="G194" s="15">
        <v>19</v>
      </c>
      <c r="H194" s="15">
        <v>12</v>
      </c>
      <c r="I194" s="15">
        <v>24</v>
      </c>
      <c r="J194" s="15">
        <v>24</v>
      </c>
      <c r="K194" s="15">
        <v>21588.880575184026</v>
      </c>
      <c r="L194" s="15">
        <v>15332</v>
      </c>
      <c r="M194" s="15"/>
      <c r="N194" s="15"/>
      <c r="O194" s="15"/>
      <c r="P194" s="15">
        <v>901625431</v>
      </c>
      <c r="Q194" s="15"/>
      <c r="R194" s="15"/>
      <c r="S194" s="15">
        <v>768.20570252563721</v>
      </c>
      <c r="T194" s="15">
        <v>460</v>
      </c>
      <c r="U194" s="15">
        <v>210000</v>
      </c>
      <c r="V194" s="15">
        <f t="shared" si="17"/>
        <v>9.1807701723805284</v>
      </c>
      <c r="W194" s="15">
        <v>4.7578899999999997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1592</v>
      </c>
      <c r="AF194" s="22" t="s">
        <v>5</v>
      </c>
      <c r="AG194" s="17">
        <f t="shared" si="18"/>
        <v>3655.0382299897037</v>
      </c>
      <c r="AH194" s="17">
        <v>1301.0881446910751</v>
      </c>
      <c r="AI194" s="62">
        <v>5.2192418101138527</v>
      </c>
      <c r="AJ194" s="17">
        <f t="shared" si="19"/>
        <v>1.326281917753493</v>
      </c>
      <c r="AK194" s="15">
        <f t="shared" si="20"/>
        <v>0.51824519192449214</v>
      </c>
      <c r="AL194" s="5">
        <v>1.5359</v>
      </c>
      <c r="AO194" s="5">
        <f t="shared" si="21"/>
        <v>2.7272727272727271</v>
      </c>
      <c r="AP194" s="5">
        <f t="shared" si="16"/>
        <v>5.2192418101138527</v>
      </c>
    </row>
    <row r="195" spans="1:42">
      <c r="A195" s="15">
        <v>190</v>
      </c>
      <c r="B195" s="20" t="s">
        <v>1401</v>
      </c>
      <c r="C195" s="20">
        <v>220</v>
      </c>
      <c r="D195" s="15">
        <v>220</v>
      </c>
      <c r="E195" s="15">
        <v>600</v>
      </c>
      <c r="F195" s="15">
        <v>19</v>
      </c>
      <c r="G195" s="15">
        <v>19</v>
      </c>
      <c r="H195" s="15">
        <v>12</v>
      </c>
      <c r="I195" s="15">
        <v>24</v>
      </c>
      <c r="J195" s="15">
        <v>24</v>
      </c>
      <c r="K195" s="15">
        <v>27107.842526734825</v>
      </c>
      <c r="L195" s="15">
        <v>15332</v>
      </c>
      <c r="M195" s="15"/>
      <c r="N195" s="15"/>
      <c r="O195" s="15"/>
      <c r="P195" s="15">
        <v>901625431</v>
      </c>
      <c r="Q195" s="15"/>
      <c r="R195" s="15"/>
      <c r="S195" s="15">
        <v>543.49121544231377</v>
      </c>
      <c r="T195" s="15">
        <v>460</v>
      </c>
      <c r="U195" s="15">
        <v>210000</v>
      </c>
      <c r="V195" s="15">
        <f t="shared" si="17"/>
        <v>12.976695482115987</v>
      </c>
      <c r="W195" s="15">
        <v>4.4739199999999997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1593</v>
      </c>
      <c r="AF195" s="22" t="s">
        <v>5</v>
      </c>
      <c r="AG195" s="17">
        <f t="shared" si="18"/>
        <v>2431.5362185916761</v>
      </c>
      <c r="AH195" s="17">
        <v>999.98754697515585</v>
      </c>
      <c r="AI195" s="62">
        <v>4.6791046216919554</v>
      </c>
      <c r="AJ195" s="17">
        <f t="shared" si="19"/>
        <v>1.6653314305626565</v>
      </c>
      <c r="AK195" s="15">
        <f t="shared" si="20"/>
        <v>0.34476573840896507</v>
      </c>
      <c r="AL195" s="5">
        <v>1.5359</v>
      </c>
      <c r="AO195" s="5">
        <f t="shared" si="21"/>
        <v>2.7272727272727271</v>
      </c>
      <c r="AP195" s="5">
        <f t="shared" si="16"/>
        <v>4.6791046216919554</v>
      </c>
    </row>
    <row r="196" spans="1:42">
      <c r="A196" s="15">
        <v>191</v>
      </c>
      <c r="B196" s="20" t="s">
        <v>1402</v>
      </c>
      <c r="C196" s="20">
        <v>220</v>
      </c>
      <c r="D196" s="15">
        <v>220</v>
      </c>
      <c r="E196" s="15">
        <v>600</v>
      </c>
      <c r="F196" s="15">
        <v>19</v>
      </c>
      <c r="G196" s="15">
        <v>19</v>
      </c>
      <c r="H196" s="15">
        <v>12</v>
      </c>
      <c r="I196" s="15">
        <v>24</v>
      </c>
      <c r="J196" s="15">
        <v>24</v>
      </c>
      <c r="K196" s="15">
        <v>32464.482067945901</v>
      </c>
      <c r="L196" s="15">
        <v>15332</v>
      </c>
      <c r="M196" s="15"/>
      <c r="N196" s="15"/>
      <c r="O196" s="15"/>
      <c r="P196" s="15">
        <v>901625431</v>
      </c>
      <c r="Q196" s="15"/>
      <c r="R196" s="15"/>
      <c r="S196" s="15">
        <v>402.66262854749783</v>
      </c>
      <c r="T196" s="15">
        <v>460</v>
      </c>
      <c r="U196" s="15">
        <v>210000</v>
      </c>
      <c r="V196" s="15">
        <f t="shared" si="17"/>
        <v>17.515208762831747</v>
      </c>
      <c r="W196" s="15">
        <v>4.2064599999999999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1594</v>
      </c>
      <c r="AF196" s="22" t="s">
        <v>5</v>
      </c>
      <c r="AG196" s="17">
        <f t="shared" si="18"/>
        <v>1693.7842404799076</v>
      </c>
      <c r="AH196" s="17">
        <v>775.52527582737423</v>
      </c>
      <c r="AI196" s="62">
        <v>4.4033875629270245</v>
      </c>
      <c r="AJ196" s="17">
        <f t="shared" si="19"/>
        <v>1.9944088988774327</v>
      </c>
      <c r="AK196" s="15">
        <f t="shared" si="20"/>
        <v>0.24016042611643562</v>
      </c>
      <c r="AL196" s="5">
        <v>1.5359</v>
      </c>
      <c r="AO196" s="5">
        <f t="shared" si="21"/>
        <v>2.7272727272727271</v>
      </c>
      <c r="AP196" s="5">
        <f t="shared" si="16"/>
        <v>4.4033875629270245</v>
      </c>
    </row>
    <row r="197" spans="1:42" ht="13.5" thickBot="1">
      <c r="A197" s="42">
        <v>192</v>
      </c>
      <c r="B197" s="45" t="s">
        <v>1403</v>
      </c>
      <c r="C197" s="45">
        <v>220</v>
      </c>
      <c r="D197" s="42">
        <v>220</v>
      </c>
      <c r="E197" s="42">
        <v>600</v>
      </c>
      <c r="F197" s="42">
        <v>19</v>
      </c>
      <c r="G197" s="42">
        <v>19</v>
      </c>
      <c r="H197" s="42">
        <v>12</v>
      </c>
      <c r="I197" s="42">
        <v>24</v>
      </c>
      <c r="J197" s="42">
        <v>24</v>
      </c>
      <c r="K197" s="42">
        <v>40580.602584932378</v>
      </c>
      <c r="L197" s="42">
        <v>15332</v>
      </c>
      <c r="M197" s="42"/>
      <c r="N197" s="42"/>
      <c r="O197" s="42"/>
      <c r="P197" s="42">
        <v>901625431</v>
      </c>
      <c r="Q197" s="42"/>
      <c r="R197" s="42"/>
      <c r="S197" s="42">
        <v>272.30237237524938</v>
      </c>
      <c r="T197" s="42">
        <v>460</v>
      </c>
      <c r="U197" s="42">
        <v>210000</v>
      </c>
      <c r="V197" s="42">
        <f t="shared" si="17"/>
        <v>25.900325210097392</v>
      </c>
      <c r="W197" s="42">
        <v>3.9833099999999999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1595</v>
      </c>
      <c r="AF197" s="44" t="s">
        <v>5</v>
      </c>
      <c r="AG197" s="43">
        <f t="shared" si="18"/>
        <v>1084.6647629060546</v>
      </c>
      <c r="AH197" s="43">
        <v>544.22774210074158</v>
      </c>
      <c r="AI197" s="64">
        <v>4.167319369591139</v>
      </c>
      <c r="AJ197" s="43">
        <f t="shared" si="19"/>
        <v>2.4930111235967911</v>
      </c>
      <c r="AK197" s="42">
        <f t="shared" si="20"/>
        <v>0.15379382180294335</v>
      </c>
      <c r="AL197" s="5">
        <v>1.5359</v>
      </c>
      <c r="AO197" s="5">
        <f t="shared" si="21"/>
        <v>2.7272727272727271</v>
      </c>
      <c r="AP197" s="5">
        <f t="shared" si="16"/>
        <v>4.167319369591139</v>
      </c>
    </row>
    <row r="198" spans="1:42">
      <c r="A198" s="36">
        <v>193</v>
      </c>
      <c r="B198" s="37" t="s">
        <v>1308</v>
      </c>
      <c r="C198" s="37">
        <v>46</v>
      </c>
      <c r="D198" s="36">
        <v>46</v>
      </c>
      <c r="E198" s="36">
        <v>80</v>
      </c>
      <c r="F198" s="36">
        <v>5.2</v>
      </c>
      <c r="G198" s="36">
        <v>5.2</v>
      </c>
      <c r="H198" s="36">
        <v>3.8</v>
      </c>
      <c r="I198" s="36">
        <v>5</v>
      </c>
      <c r="J198" s="36">
        <v>5</v>
      </c>
      <c r="K198" s="36">
        <v>741.34538329100963</v>
      </c>
      <c r="L198" s="36">
        <v>762.63999999999987</v>
      </c>
      <c r="M198" s="36"/>
      <c r="N198" s="36"/>
      <c r="O198" s="36"/>
      <c r="P198" s="36">
        <v>801694.6314666667</v>
      </c>
      <c r="Q198" s="36"/>
      <c r="R198" s="36"/>
      <c r="S198" s="36">
        <v>71.517581256683414</v>
      </c>
      <c r="T198" s="36">
        <v>355</v>
      </c>
      <c r="U198" s="36">
        <v>210000</v>
      </c>
      <c r="V198" s="36">
        <f t="shared" si="17"/>
        <v>3.7856034172674033</v>
      </c>
      <c r="W198" s="15">
        <v>3.9719699999999998</v>
      </c>
      <c r="X198" s="36"/>
      <c r="Y198" s="36"/>
      <c r="Z198" s="36"/>
      <c r="AA198" s="38"/>
      <c r="AB198" s="36">
        <v>0.3550200773318104</v>
      </c>
      <c r="AC198" s="39">
        <v>0.3</v>
      </c>
      <c r="AD198" s="36"/>
      <c r="AE198" s="36" t="s">
        <v>1597</v>
      </c>
      <c r="AF198" s="75" t="s">
        <v>218</v>
      </c>
      <c r="AG198" s="39">
        <f t="shared" si="18"/>
        <v>284.06568722410879</v>
      </c>
      <c r="AH198" s="39">
        <v>4741.8953999865516</v>
      </c>
      <c r="AI198" s="65">
        <v>42.27406615594245</v>
      </c>
      <c r="AJ198" s="39">
        <f t="shared" si="19"/>
        <v>0.29924751051933657</v>
      </c>
      <c r="AK198" s="36">
        <f t="shared" si="20"/>
        <v>1.0492303504066263</v>
      </c>
      <c r="AL198" s="56">
        <v>26.521000000000001</v>
      </c>
      <c r="AO198" s="5">
        <f t="shared" si="21"/>
        <v>1.7391304347826086</v>
      </c>
      <c r="AP198" s="5">
        <f t="shared" ref="AP198:AP261" si="22">(PI()^2*U198*P198/K198^2)/(S198*1000)</f>
        <v>42.27406615594245</v>
      </c>
    </row>
    <row r="199" spans="1:42">
      <c r="A199" s="15">
        <v>194</v>
      </c>
      <c r="B199" s="20" t="s">
        <v>1309</v>
      </c>
      <c r="C199" s="20">
        <v>46</v>
      </c>
      <c r="D199" s="15">
        <v>46</v>
      </c>
      <c r="E199" s="15">
        <v>80</v>
      </c>
      <c r="F199" s="15">
        <v>5.2</v>
      </c>
      <c r="G199" s="15">
        <v>5.2</v>
      </c>
      <c r="H199" s="15">
        <v>3.8</v>
      </c>
      <c r="I199" s="15">
        <v>5</v>
      </c>
      <c r="J199" s="15">
        <v>5</v>
      </c>
      <c r="K199" s="15">
        <v>1235.5756388183493</v>
      </c>
      <c r="L199" s="15">
        <v>762.63999999999987</v>
      </c>
      <c r="M199" s="15"/>
      <c r="N199" s="15"/>
      <c r="O199" s="15"/>
      <c r="P199" s="15">
        <v>801694.6314666667</v>
      </c>
      <c r="Q199" s="15"/>
      <c r="R199" s="15"/>
      <c r="S199" s="15">
        <v>63.518747908297414</v>
      </c>
      <c r="T199" s="15">
        <v>355</v>
      </c>
      <c r="U199" s="15">
        <v>210000</v>
      </c>
      <c r="V199" s="15">
        <f t="shared" ref="V199:V262" si="23">L199*T199/(S199*1000)</f>
        <v>4.262319534239964</v>
      </c>
      <c r="W199" s="5">
        <v>4.31595</v>
      </c>
      <c r="X199" s="15"/>
      <c r="Y199" s="15"/>
      <c r="Z199" s="15"/>
      <c r="AA199" s="16"/>
      <c r="AB199" s="15">
        <v>0.3550200773318104</v>
      </c>
      <c r="AC199" s="17">
        <v>0.5</v>
      </c>
      <c r="AD199" s="15"/>
      <c r="AE199" s="15" t="s">
        <v>1598</v>
      </c>
      <c r="AF199" s="22" t="s">
        <v>5</v>
      </c>
      <c r="AG199" s="17">
        <f t="shared" ref="AG199:AG262" si="24">W199*S199</f>
        <v>274.14374003481623</v>
      </c>
      <c r="AH199" s="17">
        <v>4211.5414591305607</v>
      </c>
      <c r="AI199" s="62">
        <v>17.135130365923221</v>
      </c>
      <c r="AJ199" s="17">
        <f t="shared" ref="AJ199:AJ262" si="25">(V199/AI199)^0.5</f>
        <v>0.49874585086556095</v>
      </c>
      <c r="AK199" s="15">
        <f t="shared" ref="AK199:AK262" si="26">W199/V199</f>
        <v>1.0125824601673368</v>
      </c>
      <c r="AL199" s="5">
        <v>26.521000000000001</v>
      </c>
      <c r="AO199" s="5">
        <f t="shared" ref="AO199:AO262" si="27">E199/C199</f>
        <v>1.7391304347826086</v>
      </c>
      <c r="AP199" s="5">
        <f t="shared" si="22"/>
        <v>17.135130365923221</v>
      </c>
    </row>
    <row r="200" spans="1:42">
      <c r="A200" s="15">
        <v>195</v>
      </c>
      <c r="B200" s="20" t="s">
        <v>1310</v>
      </c>
      <c r="C200" s="20">
        <v>46</v>
      </c>
      <c r="D200" s="15">
        <v>46</v>
      </c>
      <c r="E200" s="15">
        <v>80</v>
      </c>
      <c r="F200" s="15">
        <v>5.2</v>
      </c>
      <c r="G200" s="15">
        <v>5.2</v>
      </c>
      <c r="H200" s="15">
        <v>3.8</v>
      </c>
      <c r="I200" s="15">
        <v>5</v>
      </c>
      <c r="J200" s="15">
        <v>5</v>
      </c>
      <c r="K200" s="15">
        <v>1853.363458227524</v>
      </c>
      <c r="L200" s="15">
        <v>762.64</v>
      </c>
      <c r="M200" s="15"/>
      <c r="N200" s="15"/>
      <c r="O200" s="15"/>
      <c r="P200" s="15">
        <v>801694.6314666667</v>
      </c>
      <c r="Q200" s="15"/>
      <c r="R200" s="15"/>
      <c r="S200" s="15">
        <v>52.257433226964615</v>
      </c>
      <c r="T200" s="15">
        <v>355</v>
      </c>
      <c r="U200" s="15">
        <v>210000</v>
      </c>
      <c r="V200" s="15">
        <f t="shared" si="23"/>
        <v>5.1808361659121971</v>
      </c>
      <c r="W200" s="15">
        <v>4.80166</v>
      </c>
      <c r="X200" s="15"/>
      <c r="Y200" s="15"/>
      <c r="Z200" s="15"/>
      <c r="AA200" s="16"/>
      <c r="AB200" s="15">
        <v>0.3550200773318104</v>
      </c>
      <c r="AC200" s="17">
        <v>0.75</v>
      </c>
      <c r="AD200" s="15"/>
      <c r="AE200" s="15" t="s">
        <v>1599</v>
      </c>
      <c r="AF200" s="22" t="s">
        <v>5</v>
      </c>
      <c r="AG200" s="17">
        <f t="shared" si="24"/>
        <v>250.92242682858691</v>
      </c>
      <c r="AH200" s="17">
        <v>3464.8722437168653</v>
      </c>
      <c r="AI200" s="62">
        <v>9.2567545695619646</v>
      </c>
      <c r="AJ200" s="17">
        <f t="shared" si="25"/>
        <v>0.74811877629834156</v>
      </c>
      <c r="AK200" s="15">
        <f t="shared" si="26"/>
        <v>0.9268117821584434</v>
      </c>
      <c r="AL200" s="5">
        <v>26.521000000000001</v>
      </c>
      <c r="AO200" s="5">
        <f t="shared" si="27"/>
        <v>1.7391304347826086</v>
      </c>
      <c r="AP200" s="5">
        <f t="shared" si="22"/>
        <v>9.2567545695619646</v>
      </c>
    </row>
    <row r="201" spans="1:42">
      <c r="A201" s="15">
        <v>196</v>
      </c>
      <c r="B201" s="20" t="s">
        <v>1311</v>
      </c>
      <c r="C201" s="20">
        <v>46</v>
      </c>
      <c r="D201" s="15">
        <v>46</v>
      </c>
      <c r="E201" s="15">
        <v>80</v>
      </c>
      <c r="F201" s="15">
        <v>5.2</v>
      </c>
      <c r="G201" s="15">
        <v>5.2</v>
      </c>
      <c r="H201" s="15">
        <v>3.8</v>
      </c>
      <c r="I201" s="15">
        <v>5</v>
      </c>
      <c r="J201" s="15">
        <v>5</v>
      </c>
      <c r="K201" s="15">
        <v>2471.1512776366985</v>
      </c>
      <c r="L201" s="15">
        <v>762.64</v>
      </c>
      <c r="M201" s="15"/>
      <c r="N201" s="15"/>
      <c r="O201" s="15"/>
      <c r="P201" s="15">
        <v>801694.6314666667</v>
      </c>
      <c r="Q201" s="15"/>
      <c r="R201" s="15"/>
      <c r="S201" s="15">
        <v>40.684004603753309</v>
      </c>
      <c r="T201" s="15">
        <v>355</v>
      </c>
      <c r="U201" s="15">
        <v>210000</v>
      </c>
      <c r="V201" s="15">
        <f t="shared" si="23"/>
        <v>6.6546349760029058</v>
      </c>
      <c r="W201" s="15">
        <v>5.0756399999999999</v>
      </c>
      <c r="X201" s="15"/>
      <c r="Y201" s="15"/>
      <c r="Z201" s="15"/>
      <c r="AA201" s="16"/>
      <c r="AB201" s="15">
        <v>0.3550200773318104</v>
      </c>
      <c r="AC201" s="17">
        <v>1</v>
      </c>
      <c r="AD201" s="15"/>
      <c r="AE201" s="15" t="s">
        <v>1600</v>
      </c>
      <c r="AF201" s="22" t="s">
        <v>5</v>
      </c>
      <c r="AG201" s="17">
        <f t="shared" si="24"/>
        <v>206.49736112699443</v>
      </c>
      <c r="AH201" s="17">
        <v>2697.5086530284602</v>
      </c>
      <c r="AI201" s="62">
        <v>6.6881446202844943</v>
      </c>
      <c r="AJ201" s="17">
        <f t="shared" si="25"/>
        <v>0.997491701731122</v>
      </c>
      <c r="AK201" s="15">
        <f t="shared" si="26"/>
        <v>0.76272252622467263</v>
      </c>
      <c r="AL201" s="5">
        <v>26.521000000000001</v>
      </c>
      <c r="AO201" s="5">
        <f t="shared" si="27"/>
        <v>1.7391304347826086</v>
      </c>
      <c r="AP201" s="5">
        <f t="shared" si="22"/>
        <v>6.6881446202844943</v>
      </c>
    </row>
    <row r="202" spans="1:42">
      <c r="A202" s="15">
        <v>197</v>
      </c>
      <c r="B202" s="20" t="s">
        <v>1312</v>
      </c>
      <c r="C202" s="20">
        <v>46</v>
      </c>
      <c r="D202" s="15">
        <v>46</v>
      </c>
      <c r="E202" s="15">
        <v>80</v>
      </c>
      <c r="F202" s="15">
        <v>5.2</v>
      </c>
      <c r="G202" s="15">
        <v>5.2</v>
      </c>
      <c r="H202" s="15">
        <v>3.8</v>
      </c>
      <c r="I202" s="15">
        <v>5</v>
      </c>
      <c r="J202" s="15">
        <v>5</v>
      </c>
      <c r="K202" s="15">
        <v>3286.6311992568094</v>
      </c>
      <c r="L202" s="15">
        <v>762.64</v>
      </c>
      <c r="M202" s="15"/>
      <c r="N202" s="15"/>
      <c r="O202" s="15"/>
      <c r="P202" s="15">
        <v>801694.6314666667</v>
      </c>
      <c r="Q202" s="15"/>
      <c r="R202" s="15"/>
      <c r="S202" s="15">
        <v>28.36092050924276</v>
      </c>
      <c r="T202" s="15">
        <v>355</v>
      </c>
      <c r="U202" s="15">
        <v>210000</v>
      </c>
      <c r="V202" s="15">
        <f t="shared" si="23"/>
        <v>9.5461358495669195</v>
      </c>
      <c r="W202" s="15">
        <v>4.8928000000000003</v>
      </c>
      <c r="X202" s="15"/>
      <c r="Y202" s="15"/>
      <c r="Z202" s="15"/>
      <c r="AA202" s="16"/>
      <c r="AB202" s="15">
        <v>0.3550200773318104</v>
      </c>
      <c r="AC202" s="17">
        <v>1.33</v>
      </c>
      <c r="AD202" s="15"/>
      <c r="AE202" s="15" t="s">
        <v>1601</v>
      </c>
      <c r="AF202" s="22" t="s">
        <v>5</v>
      </c>
      <c r="AG202" s="17">
        <f t="shared" si="24"/>
        <v>138.76431186762298</v>
      </c>
      <c r="AH202" s="17">
        <v>1880.4399720886074</v>
      </c>
      <c r="AI202" s="62">
        <v>5.4238259632390839</v>
      </c>
      <c r="AJ202" s="17">
        <f t="shared" si="25"/>
        <v>1.3266639633023924</v>
      </c>
      <c r="AK202" s="15">
        <f t="shared" si="26"/>
        <v>0.51254246504589318</v>
      </c>
      <c r="AL202" s="5">
        <v>26.521000000000001</v>
      </c>
      <c r="AO202" s="5">
        <f t="shared" si="27"/>
        <v>1.7391304347826086</v>
      </c>
      <c r="AP202" s="5">
        <f t="shared" si="22"/>
        <v>5.4238259632390839</v>
      </c>
    </row>
    <row r="203" spans="1:42">
      <c r="A203" s="15">
        <v>198</v>
      </c>
      <c r="B203" s="20" t="s">
        <v>1313</v>
      </c>
      <c r="C203" s="20">
        <v>46</v>
      </c>
      <c r="D203" s="15">
        <v>46</v>
      </c>
      <c r="E203" s="15">
        <v>80</v>
      </c>
      <c r="F203" s="15">
        <v>5.2</v>
      </c>
      <c r="G203" s="15">
        <v>5.2</v>
      </c>
      <c r="H203" s="15">
        <v>3.8</v>
      </c>
      <c r="I203" s="15">
        <v>5</v>
      </c>
      <c r="J203" s="15">
        <v>5</v>
      </c>
      <c r="K203" s="15">
        <v>4126.8226336532862</v>
      </c>
      <c r="L203" s="15">
        <v>762.64</v>
      </c>
      <c r="M203" s="15"/>
      <c r="N203" s="15"/>
      <c r="O203" s="15"/>
      <c r="P203" s="15">
        <v>801694.6314666667</v>
      </c>
      <c r="Q203" s="15"/>
      <c r="R203" s="15"/>
      <c r="S203" s="15">
        <v>19.990243198267542</v>
      </c>
      <c r="T203" s="15">
        <v>355</v>
      </c>
      <c r="U203" s="15">
        <v>210000</v>
      </c>
      <c r="V203" s="15">
        <f t="shared" si="23"/>
        <v>13.543467046136964</v>
      </c>
      <c r="W203" s="15">
        <v>4.6357799999999996</v>
      </c>
      <c r="X203" s="15"/>
      <c r="Y203" s="15"/>
      <c r="Z203" s="15"/>
      <c r="AA203" s="16"/>
      <c r="AB203" s="15">
        <v>0.3550200773318104</v>
      </c>
      <c r="AC203" s="17">
        <v>1.67</v>
      </c>
      <c r="AD203" s="15"/>
      <c r="AE203" s="15" t="s">
        <v>1602</v>
      </c>
      <c r="AF203" s="22" t="s">
        <v>5</v>
      </c>
      <c r="AG203" s="17">
        <f t="shared" si="24"/>
        <v>92.670369613664704</v>
      </c>
      <c r="AH203" s="17">
        <v>1325.4313219327296</v>
      </c>
      <c r="AI203" s="62">
        <v>4.8806574786679757</v>
      </c>
      <c r="AJ203" s="17">
        <f t="shared" si="25"/>
        <v>1.6658111418909736</v>
      </c>
      <c r="AK203" s="15">
        <f t="shared" si="26"/>
        <v>0.34228901537603507</v>
      </c>
      <c r="AL203" s="5">
        <v>26.521000000000001</v>
      </c>
      <c r="AO203" s="5">
        <f t="shared" si="27"/>
        <v>1.7391304347826086</v>
      </c>
      <c r="AP203" s="5">
        <f t="shared" si="22"/>
        <v>4.8806574786679757</v>
      </c>
    </row>
    <row r="204" spans="1:42">
      <c r="A204" s="15">
        <v>199</v>
      </c>
      <c r="B204" s="20" t="s">
        <v>1314</v>
      </c>
      <c r="C204" s="20">
        <v>46</v>
      </c>
      <c r="D204" s="15">
        <v>46</v>
      </c>
      <c r="E204" s="15">
        <v>80</v>
      </c>
      <c r="F204" s="15">
        <v>5.2</v>
      </c>
      <c r="G204" s="15">
        <v>5.2</v>
      </c>
      <c r="H204" s="15">
        <v>3.8</v>
      </c>
      <c r="I204" s="15">
        <v>5</v>
      </c>
      <c r="J204" s="15">
        <v>5</v>
      </c>
      <c r="K204" s="15">
        <v>4942.302555273397</v>
      </c>
      <c r="L204" s="15">
        <v>762.64</v>
      </c>
      <c r="M204" s="15"/>
      <c r="N204" s="15"/>
      <c r="O204" s="15"/>
      <c r="P204" s="15">
        <v>801694.6314666667</v>
      </c>
      <c r="Q204" s="15"/>
      <c r="R204" s="15"/>
      <c r="S204" s="15">
        <v>14.782289998888372</v>
      </c>
      <c r="T204" s="15">
        <v>355</v>
      </c>
      <c r="U204" s="15">
        <v>210000</v>
      </c>
      <c r="V204" s="15">
        <f t="shared" si="23"/>
        <v>18.314970144704201</v>
      </c>
      <c r="W204" s="15">
        <v>4.3853999999999997</v>
      </c>
      <c r="X204" s="15"/>
      <c r="Y204" s="15"/>
      <c r="Z204" s="15"/>
      <c r="AA204" s="16"/>
      <c r="AB204" s="15">
        <v>0.3550200773318104</v>
      </c>
      <c r="AC204" s="17">
        <v>2</v>
      </c>
      <c r="AD204" s="15"/>
      <c r="AE204" s="15" t="s">
        <v>1603</v>
      </c>
      <c r="AF204" s="22" t="s">
        <v>5</v>
      </c>
      <c r="AG204" s="17">
        <f t="shared" si="24"/>
        <v>64.826254561125054</v>
      </c>
      <c r="AH204" s="17">
        <v>980.12365232843217</v>
      </c>
      <c r="AI204" s="62">
        <v>4.6017989523728104</v>
      </c>
      <c r="AJ204" s="17">
        <f t="shared" si="25"/>
        <v>1.9949834034622438</v>
      </c>
      <c r="AK204" s="15">
        <f t="shared" si="26"/>
        <v>0.23944346976006642</v>
      </c>
      <c r="AL204" s="5">
        <v>26.521000000000001</v>
      </c>
      <c r="AO204" s="5">
        <f t="shared" si="27"/>
        <v>1.7391304347826086</v>
      </c>
      <c r="AP204" s="5">
        <f t="shared" si="22"/>
        <v>4.6017989523728104</v>
      </c>
    </row>
    <row r="205" spans="1:42">
      <c r="A205" s="15">
        <v>200</v>
      </c>
      <c r="B205" s="20" t="s">
        <v>1315</v>
      </c>
      <c r="C205" s="20">
        <v>46</v>
      </c>
      <c r="D205" s="15">
        <v>46</v>
      </c>
      <c r="E205" s="15">
        <v>80</v>
      </c>
      <c r="F205" s="15">
        <v>5.2</v>
      </c>
      <c r="G205" s="15">
        <v>5.2</v>
      </c>
      <c r="H205" s="15">
        <v>3.8</v>
      </c>
      <c r="I205" s="15">
        <v>5</v>
      </c>
      <c r="J205" s="15">
        <v>5</v>
      </c>
      <c r="K205" s="15">
        <v>6177.878194091747</v>
      </c>
      <c r="L205" s="15">
        <v>762.64</v>
      </c>
      <c r="M205" s="15"/>
      <c r="N205" s="15"/>
      <c r="O205" s="15"/>
      <c r="P205" s="15">
        <v>801694.6314666667</v>
      </c>
      <c r="Q205" s="15"/>
      <c r="R205" s="15"/>
      <c r="S205" s="15">
        <v>9.9812435668400745</v>
      </c>
      <c r="T205" s="15">
        <v>355</v>
      </c>
      <c r="U205" s="15">
        <v>210000</v>
      </c>
      <c r="V205" s="15">
        <f t="shared" si="23"/>
        <v>27.124596067312655</v>
      </c>
      <c r="W205" s="15">
        <v>4.1658999999999997</v>
      </c>
      <c r="X205" s="15"/>
      <c r="Y205" s="15"/>
      <c r="Z205" s="15"/>
      <c r="AA205" s="16"/>
      <c r="AB205" s="15">
        <v>0.3550200773318104</v>
      </c>
      <c r="AC205" s="17">
        <v>2.5</v>
      </c>
      <c r="AD205" s="15"/>
      <c r="AE205" s="15" t="s">
        <v>1604</v>
      </c>
      <c r="AF205" s="22" t="s">
        <v>5</v>
      </c>
      <c r="AG205" s="17">
        <f t="shared" si="24"/>
        <v>41.580862575099061</v>
      </c>
      <c r="AH205" s="17">
        <v>661.79549313716848</v>
      </c>
      <c r="AI205" s="62">
        <v>4.3617892652366645</v>
      </c>
      <c r="AJ205" s="17">
        <f t="shared" si="25"/>
        <v>2.4937292543278051</v>
      </c>
      <c r="AK205" s="15">
        <f t="shared" si="26"/>
        <v>0.15358385391848278</v>
      </c>
      <c r="AL205" s="5">
        <v>26.521000000000001</v>
      </c>
      <c r="AO205" s="5">
        <f t="shared" si="27"/>
        <v>1.7391304347826086</v>
      </c>
      <c r="AP205" s="5">
        <f t="shared" si="22"/>
        <v>4.3617892652366645</v>
      </c>
    </row>
    <row r="206" spans="1:42">
      <c r="A206" s="15">
        <v>201</v>
      </c>
      <c r="B206" s="20" t="s">
        <v>1316</v>
      </c>
      <c r="C206" s="20">
        <v>55</v>
      </c>
      <c r="D206" s="15">
        <v>55</v>
      </c>
      <c r="E206" s="15">
        <v>100</v>
      </c>
      <c r="F206" s="15">
        <v>5.7</v>
      </c>
      <c r="G206" s="15">
        <v>5.7</v>
      </c>
      <c r="H206" s="15">
        <v>4.0999999999999996</v>
      </c>
      <c r="I206" s="15">
        <v>7</v>
      </c>
      <c r="J206" s="15">
        <v>7</v>
      </c>
      <c r="K206" s="15">
        <v>930.9261424480336</v>
      </c>
      <c r="L206" s="15">
        <v>1013.6300000000001</v>
      </c>
      <c r="M206" s="15"/>
      <c r="N206" s="15"/>
      <c r="O206" s="15"/>
      <c r="P206" s="15">
        <v>1680406.4248916672</v>
      </c>
      <c r="Q206" s="15"/>
      <c r="R206" s="15"/>
      <c r="S206" s="15">
        <v>95.333028235035684</v>
      </c>
      <c r="T206" s="15">
        <v>355</v>
      </c>
      <c r="U206" s="15">
        <v>210000</v>
      </c>
      <c r="V206" s="15">
        <f t="shared" si="23"/>
        <v>3.7745433734974583</v>
      </c>
      <c r="W206" s="15">
        <v>4.0159399999999996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1605</v>
      </c>
      <c r="AF206" s="22" t="s">
        <v>5</v>
      </c>
      <c r="AG206" s="17">
        <f t="shared" si="24"/>
        <v>382.85172141020917</v>
      </c>
      <c r="AH206" s="17">
        <v>3648.4671743293502</v>
      </c>
      <c r="AI206" s="62">
        <v>42.156013228946946</v>
      </c>
      <c r="AJ206" s="17">
        <f>(V206/AI206)^0.5</f>
        <v>0.29922814760714123</v>
      </c>
      <c r="AK206" s="15">
        <f t="shared" si="26"/>
        <v>1.0639538621273983</v>
      </c>
      <c r="AL206" s="56">
        <v>15.672000000000001</v>
      </c>
      <c r="AO206" s="5">
        <f t="shared" si="27"/>
        <v>1.8181818181818181</v>
      </c>
      <c r="AP206" s="5">
        <f t="shared" si="22"/>
        <v>42.156013228946946</v>
      </c>
    </row>
    <row r="207" spans="1:42">
      <c r="A207" s="15">
        <v>202</v>
      </c>
      <c r="B207" s="20" t="s">
        <v>1317</v>
      </c>
      <c r="C207" s="20">
        <v>55</v>
      </c>
      <c r="D207" s="15">
        <v>55</v>
      </c>
      <c r="E207" s="15">
        <v>100</v>
      </c>
      <c r="F207" s="15">
        <v>5.7</v>
      </c>
      <c r="G207" s="15">
        <v>5.7</v>
      </c>
      <c r="H207" s="15">
        <v>4.0999999999999996</v>
      </c>
      <c r="I207" s="15">
        <v>7</v>
      </c>
      <c r="J207" s="15">
        <v>7</v>
      </c>
      <c r="K207" s="15">
        <v>1551.5435707467227</v>
      </c>
      <c r="L207" s="15">
        <v>1013.6300000000001</v>
      </c>
      <c r="M207" s="15"/>
      <c r="N207" s="15"/>
      <c r="O207" s="15"/>
      <c r="P207" s="15">
        <v>1680406.4248916672</v>
      </c>
      <c r="Q207" s="15"/>
      <c r="R207" s="15"/>
      <c r="S207" s="15">
        <v>84.670573045001333</v>
      </c>
      <c r="T207" s="15">
        <v>355</v>
      </c>
      <c r="U207" s="15">
        <v>210000</v>
      </c>
      <c r="V207" s="15">
        <f t="shared" si="23"/>
        <v>4.2498667135363588</v>
      </c>
      <c r="W207" s="15">
        <v>4.3627099999999999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1606</v>
      </c>
      <c r="AF207" s="22" t="s">
        <v>5</v>
      </c>
      <c r="AG207" s="17">
        <f t="shared" si="24"/>
        <v>369.39315572915774</v>
      </c>
      <c r="AH207" s="17">
        <v>3240.4069408634709</v>
      </c>
      <c r="AI207" s="62">
        <v>17.08727946161974</v>
      </c>
      <c r="AJ207" s="17">
        <f t="shared" si="25"/>
        <v>0.49871357934523536</v>
      </c>
      <c r="AK207" s="15">
        <f t="shared" si="26"/>
        <v>1.02655219423805</v>
      </c>
      <c r="AL207" s="5">
        <v>15.672000000000001</v>
      </c>
      <c r="AO207" s="5">
        <f t="shared" si="27"/>
        <v>1.8181818181818181</v>
      </c>
      <c r="AP207" s="5">
        <f t="shared" si="22"/>
        <v>17.08727946161974</v>
      </c>
    </row>
    <row r="208" spans="1:42">
      <c r="A208" s="15">
        <v>203</v>
      </c>
      <c r="B208" s="20" t="s">
        <v>1318</v>
      </c>
      <c r="C208" s="20">
        <v>55</v>
      </c>
      <c r="D208" s="15">
        <v>55</v>
      </c>
      <c r="E208" s="15">
        <v>100</v>
      </c>
      <c r="F208" s="15">
        <v>5.7</v>
      </c>
      <c r="G208" s="15">
        <v>5.7</v>
      </c>
      <c r="H208" s="15">
        <v>4.0999999999999996</v>
      </c>
      <c r="I208" s="15">
        <v>7</v>
      </c>
      <c r="J208" s="15">
        <v>7</v>
      </c>
      <c r="K208" s="15">
        <v>2327.3153561200838</v>
      </c>
      <c r="L208" s="15">
        <v>1013.63</v>
      </c>
      <c r="M208" s="15"/>
      <c r="N208" s="15"/>
      <c r="O208" s="15"/>
      <c r="P208" s="15">
        <v>1680406.424891667</v>
      </c>
      <c r="Q208" s="15"/>
      <c r="R208" s="15"/>
      <c r="S208" s="15">
        <v>69.6592260221489</v>
      </c>
      <c r="T208" s="15">
        <v>355</v>
      </c>
      <c r="U208" s="15">
        <v>210000</v>
      </c>
      <c r="V208" s="15">
        <f t="shared" si="23"/>
        <v>5.1656998009938482</v>
      </c>
      <c r="W208" s="15">
        <v>4.85982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1607</v>
      </c>
      <c r="AF208" s="22" t="s">
        <v>5</v>
      </c>
      <c r="AG208" s="17">
        <f t="shared" si="24"/>
        <v>338.53129980695968</v>
      </c>
      <c r="AH208" s="17">
        <v>2665.911324083977</v>
      </c>
      <c r="AI208" s="62">
        <v>9.2309045137053864</v>
      </c>
      <c r="AJ208" s="17">
        <f t="shared" si="25"/>
        <v>0.74807036901785307</v>
      </c>
      <c r="AK208" s="15">
        <f t="shared" si="26"/>
        <v>0.94078637691354061</v>
      </c>
      <c r="AL208" s="5">
        <v>15.672000000000001</v>
      </c>
      <c r="AO208" s="5">
        <f t="shared" si="27"/>
        <v>1.8181818181818181</v>
      </c>
      <c r="AP208" s="5">
        <f t="shared" si="22"/>
        <v>9.2309045137053864</v>
      </c>
    </row>
    <row r="209" spans="1:42">
      <c r="A209" s="15">
        <v>204</v>
      </c>
      <c r="B209" s="20" t="s">
        <v>1319</v>
      </c>
      <c r="C209" s="20">
        <v>55</v>
      </c>
      <c r="D209" s="15">
        <v>55</v>
      </c>
      <c r="E209" s="15">
        <v>100</v>
      </c>
      <c r="F209" s="15">
        <v>5.7</v>
      </c>
      <c r="G209" s="15">
        <v>5.7</v>
      </c>
      <c r="H209" s="15">
        <v>4.0999999999999996</v>
      </c>
      <c r="I209" s="15">
        <v>7</v>
      </c>
      <c r="J209" s="15">
        <v>7</v>
      </c>
      <c r="K209" s="15">
        <v>3103.0871414934454</v>
      </c>
      <c r="L209" s="15">
        <v>1013.63</v>
      </c>
      <c r="M209" s="15"/>
      <c r="N209" s="15"/>
      <c r="O209" s="15"/>
      <c r="P209" s="15">
        <v>1680406.424891667</v>
      </c>
      <c r="Q209" s="15"/>
      <c r="R209" s="15"/>
      <c r="S209" s="15">
        <v>54.231830711437574</v>
      </c>
      <c r="T209" s="15">
        <v>355</v>
      </c>
      <c r="U209" s="15">
        <v>210000</v>
      </c>
      <c r="V209" s="15">
        <f t="shared" si="23"/>
        <v>6.6351927508157962</v>
      </c>
      <c r="W209" s="15">
        <v>5.1396100000000002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1608</v>
      </c>
      <c r="AF209" s="22" t="s">
        <v>5</v>
      </c>
      <c r="AG209" s="17">
        <f t="shared" si="24"/>
        <v>278.73045944281171</v>
      </c>
      <c r="AH209" s="17">
        <v>2075.4932243068097</v>
      </c>
      <c r="AI209" s="62">
        <v>6.6694675655228028</v>
      </c>
      <c r="AJ209" s="17">
        <f t="shared" si="25"/>
        <v>0.99742715869047072</v>
      </c>
      <c r="AK209" s="15">
        <f t="shared" si="26"/>
        <v>0.77459844695063096</v>
      </c>
      <c r="AL209" s="5">
        <v>15.672000000000001</v>
      </c>
      <c r="AO209" s="5">
        <f t="shared" si="27"/>
        <v>1.8181818181818181</v>
      </c>
      <c r="AP209" s="5">
        <f t="shared" si="22"/>
        <v>6.6694675655228028</v>
      </c>
    </row>
    <row r="210" spans="1:42">
      <c r="A210" s="15">
        <v>205</v>
      </c>
      <c r="B210" s="20" t="s">
        <v>1320</v>
      </c>
      <c r="C210" s="20">
        <v>55</v>
      </c>
      <c r="D210" s="15">
        <v>55</v>
      </c>
      <c r="E210" s="15">
        <v>100</v>
      </c>
      <c r="F210" s="15">
        <v>5.7</v>
      </c>
      <c r="G210" s="15">
        <v>5.7</v>
      </c>
      <c r="H210" s="15">
        <v>4.0999999999999996</v>
      </c>
      <c r="I210" s="15">
        <v>7</v>
      </c>
      <c r="J210" s="15">
        <v>7</v>
      </c>
      <c r="K210" s="15">
        <v>4127.1058981862825</v>
      </c>
      <c r="L210" s="15">
        <v>1013.63</v>
      </c>
      <c r="M210" s="15"/>
      <c r="N210" s="15"/>
      <c r="O210" s="15"/>
      <c r="P210" s="15">
        <v>1680406.424891667</v>
      </c>
      <c r="Q210" s="15"/>
      <c r="R210" s="15"/>
      <c r="S210" s="15">
        <v>37.805143688728648</v>
      </c>
      <c r="T210" s="15">
        <v>355</v>
      </c>
      <c r="U210" s="15">
        <v>210000</v>
      </c>
      <c r="V210" s="15">
        <f t="shared" si="23"/>
        <v>9.5182457964650862</v>
      </c>
      <c r="W210" s="15">
        <v>4.9577400000000003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1609</v>
      </c>
      <c r="AF210" s="22" t="s">
        <v>5</v>
      </c>
      <c r="AG210" s="17">
        <f t="shared" si="24"/>
        <v>187.42807307135757</v>
      </c>
      <c r="AH210" s="17">
        <v>1446.8314740729086</v>
      </c>
      <c r="AI210" s="62">
        <v>5.4086795960050278</v>
      </c>
      <c r="AJ210" s="17">
        <f t="shared" si="25"/>
        <v>1.3265781210583263</v>
      </c>
      <c r="AK210" s="15">
        <f t="shared" si="26"/>
        <v>0.5208669859987457</v>
      </c>
      <c r="AL210" s="5">
        <v>15.672000000000001</v>
      </c>
      <c r="AO210" s="5">
        <f t="shared" si="27"/>
        <v>1.8181818181818181</v>
      </c>
      <c r="AP210" s="5">
        <f t="shared" si="22"/>
        <v>5.4086795960050278</v>
      </c>
    </row>
    <row r="211" spans="1:42">
      <c r="A211" s="15">
        <v>206</v>
      </c>
      <c r="B211" s="20" t="s">
        <v>1321</v>
      </c>
      <c r="C211" s="20">
        <v>55</v>
      </c>
      <c r="D211" s="15">
        <v>55</v>
      </c>
      <c r="E211" s="15">
        <v>100</v>
      </c>
      <c r="F211" s="15">
        <v>5.7</v>
      </c>
      <c r="G211" s="15">
        <v>5.7</v>
      </c>
      <c r="H211" s="15">
        <v>4.0999999999999996</v>
      </c>
      <c r="I211" s="15">
        <v>7</v>
      </c>
      <c r="J211" s="15">
        <v>7</v>
      </c>
      <c r="K211" s="15">
        <v>5182.1555262940537</v>
      </c>
      <c r="L211" s="15">
        <v>1013.63</v>
      </c>
      <c r="M211" s="15"/>
      <c r="N211" s="15"/>
      <c r="O211" s="15"/>
      <c r="P211" s="15">
        <v>1680406.424891667</v>
      </c>
      <c r="Q211" s="15"/>
      <c r="R211" s="15"/>
      <c r="S211" s="15">
        <v>26.647020016040834</v>
      </c>
      <c r="T211" s="15">
        <v>355</v>
      </c>
      <c r="U211" s="15">
        <v>210000</v>
      </c>
      <c r="V211" s="15">
        <f t="shared" si="23"/>
        <v>13.503898363996658</v>
      </c>
      <c r="W211" s="15">
        <v>4.6969500000000002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1610</v>
      </c>
      <c r="AF211" s="22" t="s">
        <v>5</v>
      </c>
      <c r="AG211" s="17">
        <f t="shared" si="24"/>
        <v>125.159720664343</v>
      </c>
      <c r="AH211" s="17">
        <v>1019.8016324681555</v>
      </c>
      <c r="AI211" s="62">
        <v>4.8670279427985381</v>
      </c>
      <c r="AJ211" s="17">
        <f t="shared" si="25"/>
        <v>1.6657033550130862</v>
      </c>
      <c r="AK211" s="15">
        <f t="shared" si="26"/>
        <v>0.3478217825248705</v>
      </c>
      <c r="AL211" s="5">
        <v>15.672000000000001</v>
      </c>
      <c r="AO211" s="5">
        <f t="shared" si="27"/>
        <v>1.8181818181818181</v>
      </c>
      <c r="AP211" s="5">
        <f t="shared" si="22"/>
        <v>4.8670279427985381</v>
      </c>
    </row>
    <row r="212" spans="1:42">
      <c r="A212" s="15">
        <v>207</v>
      </c>
      <c r="B212" s="20" t="s">
        <v>1322</v>
      </c>
      <c r="C212" s="20">
        <v>55</v>
      </c>
      <c r="D212" s="15">
        <v>55</v>
      </c>
      <c r="E212" s="15">
        <v>100</v>
      </c>
      <c r="F212" s="15">
        <v>5.7</v>
      </c>
      <c r="G212" s="15">
        <v>5.7</v>
      </c>
      <c r="H212" s="15">
        <v>4.0999999999999996</v>
      </c>
      <c r="I212" s="15">
        <v>7</v>
      </c>
      <c r="J212" s="15">
        <v>7</v>
      </c>
      <c r="K212" s="15">
        <v>6206.1742829868908</v>
      </c>
      <c r="L212" s="15">
        <v>1013.63</v>
      </c>
      <c r="M212" s="15"/>
      <c r="N212" s="15"/>
      <c r="O212" s="15"/>
      <c r="P212" s="15">
        <v>1680406.424891667</v>
      </c>
      <c r="Q212" s="15"/>
      <c r="R212" s="15"/>
      <c r="S212" s="15">
        <v>19.70481167119749</v>
      </c>
      <c r="T212" s="15">
        <v>355</v>
      </c>
      <c r="U212" s="15">
        <v>210000</v>
      </c>
      <c r="V212" s="15">
        <f t="shared" si="23"/>
        <v>18.261461007819523</v>
      </c>
      <c r="W212" s="15">
        <v>4.4409000000000001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1611</v>
      </c>
      <c r="AF212" s="22" t="s">
        <v>5</v>
      </c>
      <c r="AG212" s="17">
        <f t="shared" si="24"/>
        <v>87.507098150620934</v>
      </c>
      <c r="AH212" s="17">
        <v>754.11806264520703</v>
      </c>
      <c r="AI212" s="62">
        <v>4.5889481460707024</v>
      </c>
      <c r="AJ212" s="17">
        <f t="shared" si="25"/>
        <v>1.9948543173809417</v>
      </c>
      <c r="AK212" s="15">
        <f t="shared" si="26"/>
        <v>0.24318426647782534</v>
      </c>
      <c r="AL212" s="5">
        <v>15.672000000000001</v>
      </c>
      <c r="AO212" s="5">
        <f t="shared" si="27"/>
        <v>1.8181818181818181</v>
      </c>
      <c r="AP212" s="5">
        <f t="shared" si="22"/>
        <v>4.5889481460707024</v>
      </c>
    </row>
    <row r="213" spans="1:42">
      <c r="A213" s="15">
        <v>208</v>
      </c>
      <c r="B213" s="20" t="s">
        <v>1323</v>
      </c>
      <c r="C213" s="20">
        <v>55</v>
      </c>
      <c r="D213" s="15">
        <v>55</v>
      </c>
      <c r="E213" s="15">
        <v>100</v>
      </c>
      <c r="F213" s="15">
        <v>5.7</v>
      </c>
      <c r="G213" s="15">
        <v>5.7</v>
      </c>
      <c r="H213" s="15">
        <v>4.0999999999999996</v>
      </c>
      <c r="I213" s="15">
        <v>7</v>
      </c>
      <c r="J213" s="15">
        <v>7</v>
      </c>
      <c r="K213" s="15">
        <v>7757.7178537336131</v>
      </c>
      <c r="L213" s="15">
        <v>1013.63</v>
      </c>
      <c r="M213" s="15"/>
      <c r="N213" s="15"/>
      <c r="O213" s="15"/>
      <c r="P213" s="15">
        <v>1680406.424891667</v>
      </c>
      <c r="Q213" s="15"/>
      <c r="R213" s="15"/>
      <c r="S213" s="15">
        <v>13.305010573038786</v>
      </c>
      <c r="T213" s="15">
        <v>355</v>
      </c>
      <c r="U213" s="15">
        <v>210000</v>
      </c>
      <c r="V213" s="15">
        <f t="shared" si="23"/>
        <v>27.045348669558781</v>
      </c>
      <c r="W213" s="15">
        <v>4.2186899999999996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1612</v>
      </c>
      <c r="AF213" s="22" t="s">
        <v>5</v>
      </c>
      <c r="AG213" s="17">
        <f t="shared" si="24"/>
        <v>56.129715054372987</v>
      </c>
      <c r="AH213" s="17">
        <v>509.19282885002309</v>
      </c>
      <c r="AI213" s="62">
        <v>4.3496087007317188</v>
      </c>
      <c r="AJ213" s="17">
        <f t="shared" si="25"/>
        <v>2.493567896726177</v>
      </c>
      <c r="AK213" s="15">
        <f t="shared" si="26"/>
        <v>0.15598578711423297</v>
      </c>
      <c r="AL213" s="5">
        <v>15.672000000000001</v>
      </c>
      <c r="AO213" s="5">
        <f t="shared" si="27"/>
        <v>1.8181818181818181</v>
      </c>
      <c r="AP213" s="5">
        <f t="shared" si="22"/>
        <v>4.3496087007317188</v>
      </c>
    </row>
    <row r="214" spans="1:42">
      <c r="A214" s="15">
        <v>209</v>
      </c>
      <c r="B214" s="20" t="s">
        <v>1324</v>
      </c>
      <c r="C214" s="20">
        <v>64</v>
      </c>
      <c r="D214" s="15">
        <v>64</v>
      </c>
      <c r="E214" s="15">
        <v>120</v>
      </c>
      <c r="F214" s="15">
        <v>6.3</v>
      </c>
      <c r="G214" s="15">
        <v>6.3</v>
      </c>
      <c r="H214" s="15">
        <v>4.4000000000000004</v>
      </c>
      <c r="I214" s="15">
        <v>7</v>
      </c>
      <c r="J214" s="15">
        <v>7</v>
      </c>
      <c r="K214" s="15">
        <v>1121.8136306443876</v>
      </c>
      <c r="L214" s="15">
        <v>1306.6800000000003</v>
      </c>
      <c r="M214" s="15"/>
      <c r="N214" s="15"/>
      <c r="O214" s="15"/>
      <c r="P214" s="15">
        <v>3145177.7000999991</v>
      </c>
      <c r="Q214" s="15"/>
      <c r="R214" s="15"/>
      <c r="S214" s="15">
        <v>123.12638073988774</v>
      </c>
      <c r="T214" s="15">
        <v>355</v>
      </c>
      <c r="U214" s="15">
        <v>210000</v>
      </c>
      <c r="V214" s="15">
        <f t="shared" si="23"/>
        <v>3.7674412031972069</v>
      </c>
      <c r="W214" s="15">
        <v>3.9569100000000001</v>
      </c>
      <c r="X214" s="15"/>
      <c r="Y214" s="15"/>
      <c r="Z214" s="15"/>
      <c r="AA214" s="16"/>
      <c r="AB214" s="15">
        <v>0.60172287236842936</v>
      </c>
      <c r="AC214" s="17">
        <v>0.3</v>
      </c>
      <c r="AD214" s="15"/>
      <c r="AE214" s="15" t="s">
        <v>1613</v>
      </c>
      <c r="AF214" s="22" t="s">
        <v>5</v>
      </c>
      <c r="AG214" s="17">
        <f t="shared" si="24"/>
        <v>487.20000721346918</v>
      </c>
      <c r="AH214" s="17">
        <v>3145.7415533375333</v>
      </c>
      <c r="AI214" s="62">
        <v>42.069920269388319</v>
      </c>
      <c r="AJ214" s="17">
        <f t="shared" si="25"/>
        <v>0.29925223117973881</v>
      </c>
      <c r="AK214" s="15">
        <f t="shared" si="26"/>
        <v>1.0502911091597136</v>
      </c>
      <c r="AL214" s="56">
        <v>10.936</v>
      </c>
      <c r="AO214" s="5">
        <f t="shared" si="27"/>
        <v>1.875</v>
      </c>
      <c r="AP214" s="5">
        <f t="shared" si="22"/>
        <v>42.069920269388319</v>
      </c>
    </row>
    <row r="215" spans="1:42">
      <c r="A215" s="15">
        <v>210</v>
      </c>
      <c r="B215" s="20" t="s">
        <v>1325</v>
      </c>
      <c r="C215" s="20">
        <v>64</v>
      </c>
      <c r="D215" s="15">
        <v>64</v>
      </c>
      <c r="E215" s="15">
        <v>120</v>
      </c>
      <c r="F215" s="15">
        <v>6.3</v>
      </c>
      <c r="G215" s="15">
        <v>6.3</v>
      </c>
      <c r="H215" s="15">
        <v>4.4000000000000004</v>
      </c>
      <c r="I215" s="15">
        <v>7</v>
      </c>
      <c r="J215" s="15">
        <v>7</v>
      </c>
      <c r="K215" s="15">
        <v>1869.6893844073124</v>
      </c>
      <c r="L215" s="15">
        <v>1306.6800000000003</v>
      </c>
      <c r="M215" s="15"/>
      <c r="N215" s="15"/>
      <c r="O215" s="15"/>
      <c r="P215" s="15">
        <v>3145177.7000999991</v>
      </c>
      <c r="Q215" s="15"/>
      <c r="R215" s="15"/>
      <c r="S215" s="15">
        <v>109.35539767498933</v>
      </c>
      <c r="T215" s="15">
        <v>355</v>
      </c>
      <c r="U215" s="15">
        <v>210000</v>
      </c>
      <c r="V215" s="15">
        <f t="shared" si="23"/>
        <v>4.2418701761631663</v>
      </c>
      <c r="W215" s="15">
        <v>4.3000100000000003</v>
      </c>
      <c r="X215" s="15"/>
      <c r="Y215" s="15"/>
      <c r="Z215" s="15"/>
      <c r="AA215" s="16"/>
      <c r="AB215" s="15">
        <v>0.60172287236842936</v>
      </c>
      <c r="AC215" s="17">
        <v>0.5</v>
      </c>
      <c r="AD215" s="15"/>
      <c r="AE215" s="15" t="s">
        <v>1614</v>
      </c>
      <c r="AF215" s="22" t="s">
        <v>5</v>
      </c>
      <c r="AG215" s="17">
        <f t="shared" si="24"/>
        <v>470.22930355643092</v>
      </c>
      <c r="AH215" s="17">
        <v>2793.9083117751534</v>
      </c>
      <c r="AI215" s="62">
        <v>17.052383029367789</v>
      </c>
      <c r="AJ215" s="17">
        <f t="shared" si="25"/>
        <v>0.49875371863289802</v>
      </c>
      <c r="AK215" s="15">
        <f t="shared" si="26"/>
        <v>1.013706177092252</v>
      </c>
      <c r="AL215" s="5">
        <v>10.936</v>
      </c>
      <c r="AO215" s="5">
        <f t="shared" si="27"/>
        <v>1.875</v>
      </c>
      <c r="AP215" s="5">
        <f t="shared" si="22"/>
        <v>17.052383029367789</v>
      </c>
    </row>
    <row r="216" spans="1:42">
      <c r="A216" s="15">
        <v>211</v>
      </c>
      <c r="B216" s="20" t="s">
        <v>1326</v>
      </c>
      <c r="C216" s="20">
        <v>64</v>
      </c>
      <c r="D216" s="15">
        <v>64</v>
      </c>
      <c r="E216" s="15">
        <v>120</v>
      </c>
      <c r="F216" s="15">
        <v>6.3</v>
      </c>
      <c r="G216" s="15">
        <v>6.3</v>
      </c>
      <c r="H216" s="15">
        <v>4.4000000000000004</v>
      </c>
      <c r="I216" s="15">
        <v>7</v>
      </c>
      <c r="J216" s="15">
        <v>7</v>
      </c>
      <c r="K216" s="15">
        <v>2804.5340766109689</v>
      </c>
      <c r="L216" s="15">
        <v>1306.68</v>
      </c>
      <c r="M216" s="15"/>
      <c r="N216" s="15"/>
      <c r="O216" s="15"/>
      <c r="P216" s="15">
        <v>3145177.7000999996</v>
      </c>
      <c r="Q216" s="15"/>
      <c r="R216" s="15"/>
      <c r="S216" s="15">
        <v>89.967648610756328</v>
      </c>
      <c r="T216" s="15">
        <v>355</v>
      </c>
      <c r="U216" s="15">
        <v>210000</v>
      </c>
      <c r="V216" s="15">
        <f t="shared" si="23"/>
        <v>5.1559800346337008</v>
      </c>
      <c r="W216" s="15">
        <v>4.7867300000000004</v>
      </c>
      <c r="X216" s="15"/>
      <c r="Y216" s="15"/>
      <c r="Z216" s="15"/>
      <c r="AA216" s="16"/>
      <c r="AB216" s="15">
        <v>0.60172287236842936</v>
      </c>
      <c r="AC216" s="17">
        <v>0.75</v>
      </c>
      <c r="AD216" s="15"/>
      <c r="AE216" s="15" t="s">
        <v>1615</v>
      </c>
      <c r="AF216" s="22" t="s">
        <v>5</v>
      </c>
      <c r="AG216" s="17">
        <f t="shared" si="24"/>
        <v>430.65084263456566</v>
      </c>
      <c r="AH216" s="17">
        <v>2298.5729702297758</v>
      </c>
      <c r="AI216" s="62">
        <v>9.2120527336598705</v>
      </c>
      <c r="AJ216" s="17">
        <f t="shared" si="25"/>
        <v>0.7481305779493469</v>
      </c>
      <c r="AK216" s="15">
        <f t="shared" si="26"/>
        <v>0.92838412248430413</v>
      </c>
      <c r="AL216" s="5">
        <v>10.936</v>
      </c>
      <c r="AO216" s="5">
        <f t="shared" si="27"/>
        <v>1.875</v>
      </c>
      <c r="AP216" s="5">
        <f t="shared" si="22"/>
        <v>9.2120527336598705</v>
      </c>
    </row>
    <row r="217" spans="1:42">
      <c r="A217" s="15">
        <v>212</v>
      </c>
      <c r="B217" s="20" t="s">
        <v>1327</v>
      </c>
      <c r="C217" s="20">
        <v>64</v>
      </c>
      <c r="D217" s="15">
        <v>64</v>
      </c>
      <c r="E217" s="15">
        <v>120</v>
      </c>
      <c r="F217" s="15">
        <v>6.3</v>
      </c>
      <c r="G217" s="15">
        <v>6.3</v>
      </c>
      <c r="H217" s="15">
        <v>4.4000000000000004</v>
      </c>
      <c r="I217" s="15">
        <v>7</v>
      </c>
      <c r="J217" s="15">
        <v>7</v>
      </c>
      <c r="K217" s="15">
        <v>3739.3787688146249</v>
      </c>
      <c r="L217" s="15">
        <v>1306.68</v>
      </c>
      <c r="M217" s="15"/>
      <c r="N217" s="15"/>
      <c r="O217" s="15"/>
      <c r="P217" s="15">
        <v>3145177.7000999996</v>
      </c>
      <c r="Q217" s="15"/>
      <c r="R217" s="15"/>
      <c r="S217" s="15">
        <v>70.042556709046309</v>
      </c>
      <c r="T217" s="15">
        <v>355</v>
      </c>
      <c r="U217" s="15">
        <v>210000</v>
      </c>
      <c r="V217" s="15">
        <f t="shared" si="23"/>
        <v>6.6227079906134971</v>
      </c>
      <c r="W217" s="15">
        <v>5.0637100000000004</v>
      </c>
      <c r="X217" s="15"/>
      <c r="Y217" s="15"/>
      <c r="Z217" s="15"/>
      <c r="AA217" s="16"/>
      <c r="AB217" s="15">
        <v>0.60172287236842936</v>
      </c>
      <c r="AC217" s="17">
        <v>1</v>
      </c>
      <c r="AD217" s="15"/>
      <c r="AE217" s="15" t="s">
        <v>1616</v>
      </c>
      <c r="AF217" s="22" t="s">
        <v>5</v>
      </c>
      <c r="AG217" s="17">
        <f t="shared" si="24"/>
        <v>354.67519483316494</v>
      </c>
      <c r="AH217" s="17">
        <v>1789.5091191474298</v>
      </c>
      <c r="AI217" s="62">
        <v>6.6558468704566538</v>
      </c>
      <c r="AJ217" s="17">
        <f t="shared" si="25"/>
        <v>0.99750743726579583</v>
      </c>
      <c r="AK217" s="15">
        <f t="shared" si="26"/>
        <v>0.76459810808160389</v>
      </c>
      <c r="AL217" s="5">
        <v>10.936</v>
      </c>
      <c r="AO217" s="5">
        <f t="shared" si="27"/>
        <v>1.875</v>
      </c>
      <c r="AP217" s="5">
        <f t="shared" si="22"/>
        <v>6.6558468704566538</v>
      </c>
    </row>
    <row r="218" spans="1:42">
      <c r="A218" s="15">
        <v>213</v>
      </c>
      <c r="B218" s="20" t="s">
        <v>1328</v>
      </c>
      <c r="C218" s="20">
        <v>64</v>
      </c>
      <c r="D218" s="15">
        <v>64</v>
      </c>
      <c r="E218" s="15">
        <v>120</v>
      </c>
      <c r="F218" s="15">
        <v>6.3</v>
      </c>
      <c r="G218" s="15">
        <v>6.3</v>
      </c>
      <c r="H218" s="15">
        <v>4.4000000000000004</v>
      </c>
      <c r="I218" s="15">
        <v>7</v>
      </c>
      <c r="J218" s="15">
        <v>7</v>
      </c>
      <c r="K218" s="15">
        <v>4973.3737625234517</v>
      </c>
      <c r="L218" s="15">
        <v>1306.68</v>
      </c>
      <c r="M218" s="15"/>
      <c r="N218" s="15"/>
      <c r="O218" s="15"/>
      <c r="P218" s="15">
        <v>3145177.7000999996</v>
      </c>
      <c r="Q218" s="15"/>
      <c r="R218" s="15"/>
      <c r="S218" s="15">
        <v>48.826839993674788</v>
      </c>
      <c r="T218" s="15">
        <v>355</v>
      </c>
      <c r="U218" s="15">
        <v>210000</v>
      </c>
      <c r="V218" s="15">
        <f t="shared" si="23"/>
        <v>9.5003362916807976</v>
      </c>
      <c r="W218" s="15">
        <v>4.8851899999999997</v>
      </c>
      <c r="X218" s="15"/>
      <c r="Y218" s="15"/>
      <c r="Z218" s="15"/>
      <c r="AA218" s="16"/>
      <c r="AB218" s="15">
        <v>0.60172287236842936</v>
      </c>
      <c r="AC218" s="17">
        <v>1.33</v>
      </c>
      <c r="AD218" s="15"/>
      <c r="AE218" s="15" t="s">
        <v>1617</v>
      </c>
      <c r="AF218" s="22" t="s">
        <v>5</v>
      </c>
      <c r="AG218" s="17">
        <f t="shared" si="24"/>
        <v>238.52839046870014</v>
      </c>
      <c r="AH218" s="17">
        <v>1247.4712451001726</v>
      </c>
      <c r="AI218" s="62">
        <v>5.3976337404305106</v>
      </c>
      <c r="AJ218" s="17">
        <f t="shared" si="25"/>
        <v>1.3266848915635086</v>
      </c>
      <c r="AK218" s="15">
        <f t="shared" si="26"/>
        <v>0.51421232364983083</v>
      </c>
      <c r="AL218" s="5">
        <v>10.936</v>
      </c>
      <c r="AO218" s="5">
        <f t="shared" si="27"/>
        <v>1.875</v>
      </c>
      <c r="AP218" s="5">
        <f t="shared" si="22"/>
        <v>5.3976337404305106</v>
      </c>
    </row>
    <row r="219" spans="1:42">
      <c r="A219" s="15">
        <v>214</v>
      </c>
      <c r="B219" s="20" t="s">
        <v>1329</v>
      </c>
      <c r="C219" s="20">
        <v>64</v>
      </c>
      <c r="D219" s="15">
        <v>64</v>
      </c>
      <c r="E219" s="15">
        <v>120</v>
      </c>
      <c r="F219" s="15">
        <v>6.3</v>
      </c>
      <c r="G219" s="15">
        <v>6.3</v>
      </c>
      <c r="H219" s="15">
        <v>4.4000000000000004</v>
      </c>
      <c r="I219" s="15">
        <v>7</v>
      </c>
      <c r="J219" s="15">
        <v>7</v>
      </c>
      <c r="K219" s="15">
        <v>6244.762543920423</v>
      </c>
      <c r="L219" s="15">
        <v>1306.68</v>
      </c>
      <c r="M219" s="15"/>
      <c r="N219" s="15"/>
      <c r="O219" s="15"/>
      <c r="P219" s="15">
        <v>3145177.7000999996</v>
      </c>
      <c r="Q219" s="15"/>
      <c r="R219" s="15"/>
      <c r="S219" s="15">
        <v>34.415681457107823</v>
      </c>
      <c r="T219" s="15">
        <v>355</v>
      </c>
      <c r="U219" s="15">
        <v>210000</v>
      </c>
      <c r="V219" s="15">
        <f t="shared" si="23"/>
        <v>13.478489466440518</v>
      </c>
      <c r="W219" s="15">
        <v>4.6315299999999997</v>
      </c>
      <c r="X219" s="15"/>
      <c r="Y219" s="15"/>
      <c r="Z219" s="15"/>
      <c r="AA219" s="16"/>
      <c r="AB219" s="15">
        <v>0.60172287236842936</v>
      </c>
      <c r="AC219" s="17">
        <v>1.67</v>
      </c>
      <c r="AD219" s="15"/>
      <c r="AE219" s="15" t="s">
        <v>1618</v>
      </c>
      <c r="AF219" s="22" t="s">
        <v>5</v>
      </c>
      <c r="AG219" s="17">
        <f t="shared" si="24"/>
        <v>159.39726113903859</v>
      </c>
      <c r="AH219" s="17">
        <v>879.28223501317882</v>
      </c>
      <c r="AI219" s="62">
        <v>4.857088273276795</v>
      </c>
      <c r="AJ219" s="17">
        <f t="shared" si="25"/>
        <v>1.6658374202338788</v>
      </c>
      <c r="AK219" s="15">
        <f t="shared" si="26"/>
        <v>0.34362381715932167</v>
      </c>
      <c r="AL219" s="5">
        <v>10.936</v>
      </c>
      <c r="AO219" s="5">
        <f t="shared" si="27"/>
        <v>1.875</v>
      </c>
      <c r="AP219" s="5">
        <f t="shared" si="22"/>
        <v>4.857088273276795</v>
      </c>
    </row>
    <row r="220" spans="1:42">
      <c r="A220" s="15">
        <v>215</v>
      </c>
      <c r="B220" s="20" t="s">
        <v>1330</v>
      </c>
      <c r="C220" s="20">
        <v>64</v>
      </c>
      <c r="D220" s="15">
        <v>64</v>
      </c>
      <c r="E220" s="15">
        <v>120</v>
      </c>
      <c r="F220" s="15">
        <v>6.3</v>
      </c>
      <c r="G220" s="15">
        <v>6.3</v>
      </c>
      <c r="H220" s="15">
        <v>4.4000000000000004</v>
      </c>
      <c r="I220" s="15">
        <v>7</v>
      </c>
      <c r="J220" s="15">
        <v>7</v>
      </c>
      <c r="K220" s="15">
        <v>7478.7575376292498</v>
      </c>
      <c r="L220" s="15">
        <v>1306.68</v>
      </c>
      <c r="M220" s="15"/>
      <c r="N220" s="15"/>
      <c r="O220" s="15"/>
      <c r="P220" s="15">
        <v>3145177.7000999996</v>
      </c>
      <c r="Q220" s="15"/>
      <c r="R220" s="15"/>
      <c r="S220" s="15">
        <v>25.449544498409256</v>
      </c>
      <c r="T220" s="15">
        <v>355</v>
      </c>
      <c r="U220" s="15">
        <v>210000</v>
      </c>
      <c r="V220" s="15">
        <f t="shared" si="23"/>
        <v>18.227100293641588</v>
      </c>
      <c r="W220" s="15">
        <v>4.3811799999999996</v>
      </c>
      <c r="X220" s="15"/>
      <c r="Y220" s="15"/>
      <c r="Z220" s="15"/>
      <c r="AA220" s="16"/>
      <c r="AB220" s="15">
        <v>0.60172287236842936</v>
      </c>
      <c r="AC220" s="17">
        <v>2</v>
      </c>
      <c r="AD220" s="15"/>
      <c r="AE220" s="15" t="s">
        <v>1619</v>
      </c>
      <c r="AF220" s="22" t="s">
        <v>5</v>
      </c>
      <c r="AG220" s="17">
        <f t="shared" si="24"/>
        <v>111.49903536554066</v>
      </c>
      <c r="AH220" s="17">
        <v>650.20744669889643</v>
      </c>
      <c r="AI220" s="62">
        <v>4.5795763839685648</v>
      </c>
      <c r="AJ220" s="17">
        <f t="shared" si="25"/>
        <v>1.9950148745315917</v>
      </c>
      <c r="AK220" s="15">
        <f t="shared" si="26"/>
        <v>0.24036626393767896</v>
      </c>
      <c r="AL220" s="5">
        <v>10.936</v>
      </c>
      <c r="AO220" s="5">
        <f t="shared" si="27"/>
        <v>1.875</v>
      </c>
      <c r="AP220" s="5">
        <f t="shared" si="22"/>
        <v>4.5795763839685648</v>
      </c>
    </row>
    <row r="221" spans="1:42">
      <c r="A221" s="15">
        <v>216</v>
      </c>
      <c r="B221" s="20" t="s">
        <v>1331</v>
      </c>
      <c r="C221" s="20">
        <v>64</v>
      </c>
      <c r="D221" s="15">
        <v>64</v>
      </c>
      <c r="E221" s="15">
        <v>120</v>
      </c>
      <c r="F221" s="15">
        <v>6.3</v>
      </c>
      <c r="G221" s="15">
        <v>6.3</v>
      </c>
      <c r="H221" s="15">
        <v>4.4000000000000004</v>
      </c>
      <c r="I221" s="15">
        <v>7</v>
      </c>
      <c r="J221" s="15">
        <v>7</v>
      </c>
      <c r="K221" s="15">
        <v>9348.4469220365627</v>
      </c>
      <c r="L221" s="15">
        <v>1306.68</v>
      </c>
      <c r="M221" s="15"/>
      <c r="N221" s="15"/>
      <c r="O221" s="15"/>
      <c r="P221" s="15">
        <v>3145177.7000999996</v>
      </c>
      <c r="Q221" s="15"/>
      <c r="R221" s="15"/>
      <c r="S221" s="15">
        <v>17.183947975777762</v>
      </c>
      <c r="T221" s="15">
        <v>355</v>
      </c>
      <c r="U221" s="15">
        <v>210000</v>
      </c>
      <c r="V221" s="15">
        <f t="shared" si="23"/>
        <v>26.994460216817824</v>
      </c>
      <c r="W221" s="15">
        <v>4.16181</v>
      </c>
      <c r="X221" s="15"/>
      <c r="Y221" s="15"/>
      <c r="Z221" s="15"/>
      <c r="AA221" s="16"/>
      <c r="AB221" s="15">
        <v>0.60172287236842936</v>
      </c>
      <c r="AC221" s="17">
        <v>2.5</v>
      </c>
      <c r="AD221" s="15"/>
      <c r="AE221" s="15" t="s">
        <v>1620</v>
      </c>
      <c r="AF221" s="22" t="s">
        <v>5</v>
      </c>
      <c r="AG221" s="17">
        <f t="shared" si="24"/>
        <v>71.516326525071648</v>
      </c>
      <c r="AH221" s="17">
        <v>439.03068435018616</v>
      </c>
      <c r="AI221" s="62">
        <v>4.340725728712183</v>
      </c>
      <c r="AJ221" s="17">
        <f t="shared" si="25"/>
        <v>2.4937685931644893</v>
      </c>
      <c r="AK221" s="15">
        <f t="shared" si="26"/>
        <v>0.15417274383605381</v>
      </c>
      <c r="AL221" s="5">
        <v>10.936</v>
      </c>
      <c r="AO221" s="5">
        <f t="shared" si="27"/>
        <v>1.875</v>
      </c>
      <c r="AP221" s="5">
        <f t="shared" si="22"/>
        <v>4.340725728712183</v>
      </c>
    </row>
    <row r="222" spans="1:42">
      <c r="A222" s="15">
        <v>217</v>
      </c>
      <c r="B222" s="20" t="s">
        <v>1332</v>
      </c>
      <c r="C222" s="20">
        <v>82</v>
      </c>
      <c r="D222" s="15">
        <v>82</v>
      </c>
      <c r="E222" s="15">
        <v>160</v>
      </c>
      <c r="F222" s="15">
        <v>7.4</v>
      </c>
      <c r="G222" s="15">
        <v>7.4</v>
      </c>
      <c r="H222" s="15">
        <v>5</v>
      </c>
      <c r="I222" s="15">
        <v>9</v>
      </c>
      <c r="J222" s="15">
        <v>9</v>
      </c>
      <c r="K222" s="15">
        <v>1503.6840549976557</v>
      </c>
      <c r="L222" s="15">
        <v>1976.6000000000006</v>
      </c>
      <c r="M222" s="15"/>
      <c r="N222" s="15"/>
      <c r="O222" s="15"/>
      <c r="P222" s="15">
        <v>8545852.807333339</v>
      </c>
      <c r="Q222" s="15"/>
      <c r="R222" s="15"/>
      <c r="S222" s="15">
        <v>186.72665922553188</v>
      </c>
      <c r="T222" s="15">
        <v>355</v>
      </c>
      <c r="U222" s="15">
        <v>210000</v>
      </c>
      <c r="V222" s="15">
        <f t="shared" si="23"/>
        <v>3.7578619084727616</v>
      </c>
      <c r="W222" s="15">
        <v>3.9448400000000001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1621</v>
      </c>
      <c r="AF222" s="22" t="s">
        <v>5</v>
      </c>
      <c r="AG222" s="17">
        <f t="shared" si="24"/>
        <v>736.60679437924716</v>
      </c>
      <c r="AH222" s="17">
        <v>2680.7203539201037</v>
      </c>
      <c r="AI222" s="62">
        <v>41.952218524765215</v>
      </c>
      <c r="AJ222" s="17">
        <f t="shared" si="25"/>
        <v>0.2992905072608138</v>
      </c>
      <c r="AK222" s="15">
        <f t="shared" si="26"/>
        <v>1.0497565094410903</v>
      </c>
      <c r="AL222" s="56">
        <v>6.1308999999999996</v>
      </c>
      <c r="AO222" s="5">
        <f t="shared" si="27"/>
        <v>1.9512195121951219</v>
      </c>
      <c r="AP222" s="5">
        <f t="shared" si="22"/>
        <v>41.952218524765215</v>
      </c>
    </row>
    <row r="223" spans="1:42">
      <c r="A223" s="15">
        <v>218</v>
      </c>
      <c r="B223" s="20" t="s">
        <v>1333</v>
      </c>
      <c r="C223" s="20">
        <v>82</v>
      </c>
      <c r="D223" s="15">
        <v>82</v>
      </c>
      <c r="E223" s="15">
        <v>160</v>
      </c>
      <c r="F223" s="15">
        <v>7.4</v>
      </c>
      <c r="G223" s="15">
        <v>7.4</v>
      </c>
      <c r="H223" s="15">
        <v>5</v>
      </c>
      <c r="I223" s="15">
        <v>9</v>
      </c>
      <c r="J223" s="15">
        <v>9</v>
      </c>
      <c r="K223" s="15">
        <v>2506.1400916627595</v>
      </c>
      <c r="L223" s="15">
        <v>1976.6000000000006</v>
      </c>
      <c r="M223" s="15"/>
      <c r="N223" s="15"/>
      <c r="O223" s="15"/>
      <c r="P223" s="15">
        <v>8545852.807333339</v>
      </c>
      <c r="Q223" s="15"/>
      <c r="R223" s="15"/>
      <c r="S223" s="15">
        <v>165.84234794708922</v>
      </c>
      <c r="T223" s="15">
        <v>355</v>
      </c>
      <c r="U223" s="15">
        <v>210000</v>
      </c>
      <c r="V223" s="15">
        <f t="shared" si="23"/>
        <v>4.2310845733073563</v>
      </c>
      <c r="W223" s="15">
        <v>4.2900900000000002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1622</v>
      </c>
      <c r="AF223" s="22" t="s">
        <v>5</v>
      </c>
      <c r="AG223" s="17">
        <f t="shared" si="24"/>
        <v>711.47859850432803</v>
      </c>
      <c r="AH223" s="17">
        <v>2380.8970798684604</v>
      </c>
      <c r="AI223" s="62">
        <v>17.004674471336642</v>
      </c>
      <c r="AJ223" s="17">
        <f t="shared" si="25"/>
        <v>0.49881751210135633</v>
      </c>
      <c r="AK223" s="15">
        <f t="shared" si="26"/>
        <v>1.0139456977685797</v>
      </c>
      <c r="AL223" s="5">
        <v>6.1308999999999996</v>
      </c>
      <c r="AO223" s="5">
        <f t="shared" si="27"/>
        <v>1.9512195121951219</v>
      </c>
      <c r="AP223" s="5">
        <f t="shared" si="22"/>
        <v>17.004674471336642</v>
      </c>
    </row>
    <row r="224" spans="1:42">
      <c r="A224" s="15">
        <v>219</v>
      </c>
      <c r="B224" s="20" t="s">
        <v>1334</v>
      </c>
      <c r="C224" s="20">
        <v>82</v>
      </c>
      <c r="D224" s="15">
        <v>82</v>
      </c>
      <c r="E224" s="15">
        <v>160</v>
      </c>
      <c r="F224" s="15">
        <v>7.4</v>
      </c>
      <c r="G224" s="15">
        <v>7.4</v>
      </c>
      <c r="H224" s="15">
        <v>5</v>
      </c>
      <c r="I224" s="15">
        <v>9</v>
      </c>
      <c r="J224" s="15">
        <v>9</v>
      </c>
      <c r="K224" s="15">
        <v>3759.2101374941394</v>
      </c>
      <c r="L224" s="15">
        <v>1976.5999999999995</v>
      </c>
      <c r="M224" s="15"/>
      <c r="N224" s="15"/>
      <c r="O224" s="15"/>
      <c r="P224" s="15">
        <v>8545852.8073333371</v>
      </c>
      <c r="Q224" s="15"/>
      <c r="R224" s="15"/>
      <c r="S224" s="15">
        <v>136.43996000298912</v>
      </c>
      <c r="T224" s="15">
        <v>355</v>
      </c>
      <c r="U224" s="15">
        <v>210000</v>
      </c>
      <c r="V224" s="15">
        <f t="shared" si="23"/>
        <v>5.1428701678351931</v>
      </c>
      <c r="W224" s="15">
        <v>4.7782499999999999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1623</v>
      </c>
      <c r="AF224" s="22" t="s">
        <v>5</v>
      </c>
      <c r="AG224" s="17">
        <f t="shared" si="24"/>
        <v>651.94423888428275</v>
      </c>
      <c r="AH224" s="17">
        <v>1958.7849929146394</v>
      </c>
      <c r="AI224" s="62">
        <v>9.1862795762265073</v>
      </c>
      <c r="AJ224" s="17">
        <f t="shared" si="25"/>
        <v>0.74822626815203441</v>
      </c>
      <c r="AK224" s="15">
        <f t="shared" si="26"/>
        <v>0.92910181359124722</v>
      </c>
      <c r="AL224" s="5">
        <v>6.1308999999999996</v>
      </c>
      <c r="AO224" s="5">
        <f t="shared" si="27"/>
        <v>1.9512195121951219</v>
      </c>
      <c r="AP224" s="5">
        <f t="shared" si="22"/>
        <v>9.1862795762265073</v>
      </c>
    </row>
    <row r="225" spans="1:42">
      <c r="A225" s="15">
        <v>220</v>
      </c>
      <c r="B225" s="20" t="s">
        <v>1335</v>
      </c>
      <c r="C225" s="20">
        <v>82</v>
      </c>
      <c r="D225" s="15">
        <v>82</v>
      </c>
      <c r="E225" s="15">
        <v>160</v>
      </c>
      <c r="F225" s="15">
        <v>7.4</v>
      </c>
      <c r="G225" s="15">
        <v>7.4</v>
      </c>
      <c r="H225" s="15">
        <v>5</v>
      </c>
      <c r="I225" s="15">
        <v>9</v>
      </c>
      <c r="J225" s="15">
        <v>9</v>
      </c>
      <c r="K225" s="15">
        <v>5012.2801833255189</v>
      </c>
      <c r="L225" s="15">
        <v>1976.5999999999995</v>
      </c>
      <c r="M225" s="15"/>
      <c r="N225" s="15"/>
      <c r="O225" s="15"/>
      <c r="P225" s="15">
        <v>8545852.8073333371</v>
      </c>
      <c r="Q225" s="15"/>
      <c r="R225" s="15"/>
      <c r="S225" s="15">
        <v>106.22266763062662</v>
      </c>
      <c r="T225" s="15">
        <v>355</v>
      </c>
      <c r="U225" s="15">
        <v>210000</v>
      </c>
      <c r="V225" s="15">
        <f t="shared" si="23"/>
        <v>6.6058687439486254</v>
      </c>
      <c r="W225" s="15">
        <v>5.0584899999999999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1624</v>
      </c>
      <c r="AF225" s="22" t="s">
        <v>5</v>
      </c>
      <c r="AG225" s="17">
        <f t="shared" si="24"/>
        <v>537.32630198284846</v>
      </c>
      <c r="AH225" s="17">
        <v>1524.9738218750047</v>
      </c>
      <c r="AI225" s="62">
        <v>6.6372253759641353</v>
      </c>
      <c r="AJ225" s="17">
        <f t="shared" si="25"/>
        <v>0.99763502420271244</v>
      </c>
      <c r="AK225" s="15">
        <f t="shared" si="26"/>
        <v>0.76575696491606526</v>
      </c>
      <c r="AL225" s="5">
        <v>6.1308999999999996</v>
      </c>
      <c r="AO225" s="5">
        <f t="shared" si="27"/>
        <v>1.9512195121951219</v>
      </c>
      <c r="AP225" s="5">
        <f t="shared" si="22"/>
        <v>6.6372253759641353</v>
      </c>
    </row>
    <row r="226" spans="1:42">
      <c r="A226" s="15">
        <v>221</v>
      </c>
      <c r="B226" s="20" t="s">
        <v>1336</v>
      </c>
      <c r="C226" s="20">
        <v>82</v>
      </c>
      <c r="D226" s="15">
        <v>82</v>
      </c>
      <c r="E226" s="15">
        <v>160</v>
      </c>
      <c r="F226" s="15">
        <v>7.4</v>
      </c>
      <c r="G226" s="15">
        <v>7.4</v>
      </c>
      <c r="H226" s="15">
        <v>5</v>
      </c>
      <c r="I226" s="15">
        <v>9</v>
      </c>
      <c r="J226" s="15">
        <v>9</v>
      </c>
      <c r="K226" s="15">
        <v>6666.3326438229415</v>
      </c>
      <c r="L226" s="15">
        <v>1976.5999999999995</v>
      </c>
      <c r="M226" s="15"/>
      <c r="N226" s="15"/>
      <c r="O226" s="15"/>
      <c r="P226" s="15">
        <v>8545852.8073333371</v>
      </c>
      <c r="Q226" s="15"/>
      <c r="R226" s="15"/>
      <c r="S226" s="15">
        <v>74.048085047016016</v>
      </c>
      <c r="T226" s="15">
        <v>355</v>
      </c>
      <c r="U226" s="15">
        <v>210000</v>
      </c>
      <c r="V226" s="15">
        <f t="shared" si="23"/>
        <v>9.4761802355113911</v>
      </c>
      <c r="W226" s="15">
        <v>4.8835899999999999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1625</v>
      </c>
      <c r="AF226" s="22" t="s">
        <v>5</v>
      </c>
      <c r="AG226" s="17">
        <f t="shared" si="24"/>
        <v>361.62048765475691</v>
      </c>
      <c r="AH226" s="17">
        <v>1063.0630333003928</v>
      </c>
      <c r="AI226" s="62">
        <v>5.38253243042048</v>
      </c>
      <c r="AJ226" s="17">
        <f t="shared" si="25"/>
        <v>1.3268545821896078</v>
      </c>
      <c r="AK226" s="15">
        <f t="shared" si="26"/>
        <v>0.51535427552328017</v>
      </c>
      <c r="AL226" s="5">
        <v>6.1308999999999996</v>
      </c>
      <c r="AO226" s="5">
        <f t="shared" si="27"/>
        <v>1.9512195121951219</v>
      </c>
      <c r="AP226" s="5">
        <f t="shared" si="22"/>
        <v>5.38253243042048</v>
      </c>
    </row>
    <row r="227" spans="1:42">
      <c r="A227" s="15">
        <v>222</v>
      </c>
      <c r="B227" s="20" t="s">
        <v>1337</v>
      </c>
      <c r="C227" s="20">
        <v>82</v>
      </c>
      <c r="D227" s="15">
        <v>82</v>
      </c>
      <c r="E227" s="15">
        <v>160</v>
      </c>
      <c r="F227" s="15">
        <v>7.4</v>
      </c>
      <c r="G227" s="15">
        <v>7.4</v>
      </c>
      <c r="H227" s="15">
        <v>5</v>
      </c>
      <c r="I227" s="15">
        <v>9</v>
      </c>
      <c r="J227" s="15">
        <v>9</v>
      </c>
      <c r="K227" s="15">
        <v>8370.5079061536162</v>
      </c>
      <c r="L227" s="15">
        <v>1976.5999999999995</v>
      </c>
      <c r="M227" s="15"/>
      <c r="N227" s="15"/>
      <c r="O227" s="15"/>
      <c r="P227" s="15">
        <v>8545852.8073333371</v>
      </c>
      <c r="Q227" s="15"/>
      <c r="R227" s="15"/>
      <c r="S227" s="15">
        <v>52.192919054705634</v>
      </c>
      <c r="T227" s="15">
        <v>355</v>
      </c>
      <c r="U227" s="15">
        <v>210000</v>
      </c>
      <c r="V227" s="15">
        <f t="shared" si="23"/>
        <v>13.444218348173345</v>
      </c>
      <c r="W227" s="15">
        <v>4.6310900000000004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1626</v>
      </c>
      <c r="AF227" s="22" t="s">
        <v>5</v>
      </c>
      <c r="AG227" s="17">
        <f t="shared" si="24"/>
        <v>241.71010550505673</v>
      </c>
      <c r="AH227" s="17">
        <v>749.30179236732522</v>
      </c>
      <c r="AI227" s="62">
        <v>4.8434992823803915</v>
      </c>
      <c r="AJ227" s="17">
        <f t="shared" si="25"/>
        <v>1.6660504904185296</v>
      </c>
      <c r="AK227" s="15">
        <f t="shared" si="26"/>
        <v>0.34446703259838252</v>
      </c>
      <c r="AL227" s="5">
        <v>6.1308999999999996</v>
      </c>
      <c r="AO227" s="5">
        <f t="shared" si="27"/>
        <v>1.9512195121951219</v>
      </c>
      <c r="AP227" s="5">
        <f t="shared" si="22"/>
        <v>4.8434992823803915</v>
      </c>
    </row>
    <row r="228" spans="1:42">
      <c r="A228" s="15">
        <v>223</v>
      </c>
      <c r="B228" s="20" t="s">
        <v>1338</v>
      </c>
      <c r="C228" s="20">
        <v>82</v>
      </c>
      <c r="D228" s="15">
        <v>82</v>
      </c>
      <c r="E228" s="15">
        <v>160</v>
      </c>
      <c r="F228" s="15">
        <v>7.4</v>
      </c>
      <c r="G228" s="15">
        <v>7.4</v>
      </c>
      <c r="H228" s="15">
        <v>5</v>
      </c>
      <c r="I228" s="15">
        <v>9</v>
      </c>
      <c r="J228" s="15">
        <v>9</v>
      </c>
      <c r="K228" s="15">
        <v>10024.560366651038</v>
      </c>
      <c r="L228" s="15">
        <v>1976.5999999999995</v>
      </c>
      <c r="M228" s="15"/>
      <c r="N228" s="15"/>
      <c r="O228" s="15"/>
      <c r="P228" s="15">
        <v>8545852.8073333371</v>
      </c>
      <c r="Q228" s="15"/>
      <c r="R228" s="15"/>
      <c r="S228" s="15">
        <v>38.595371637201005</v>
      </c>
      <c r="T228" s="15">
        <v>355</v>
      </c>
      <c r="U228" s="15">
        <v>210000</v>
      </c>
      <c r="V228" s="15">
        <f t="shared" si="23"/>
        <v>18.180755107010228</v>
      </c>
      <c r="W228" s="15">
        <v>4.38096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1627</v>
      </c>
      <c r="AF228" s="22" t="s">
        <v>5</v>
      </c>
      <c r="AG228" s="17">
        <f t="shared" si="24"/>
        <v>169.08477932771211</v>
      </c>
      <c r="AH228" s="17">
        <v>554.0901269485596</v>
      </c>
      <c r="AI228" s="62">
        <v>4.5667638060844995</v>
      </c>
      <c r="AJ228" s="17">
        <f t="shared" si="25"/>
        <v>1.9952700484054249</v>
      </c>
      <c r="AK228" s="15">
        <f t="shared" si="26"/>
        <v>0.24096688912061565</v>
      </c>
      <c r="AL228" s="5">
        <v>6.1308999999999996</v>
      </c>
      <c r="AO228" s="5">
        <f t="shared" si="27"/>
        <v>1.9512195121951219</v>
      </c>
      <c r="AP228" s="5">
        <f t="shared" si="22"/>
        <v>4.5667638060844995</v>
      </c>
    </row>
    <row r="229" spans="1:42">
      <c r="A229" s="15">
        <v>224</v>
      </c>
      <c r="B229" s="20" t="s">
        <v>1339</v>
      </c>
      <c r="C229" s="20">
        <v>82</v>
      </c>
      <c r="D229" s="15">
        <v>82</v>
      </c>
      <c r="E229" s="15">
        <v>160</v>
      </c>
      <c r="F229" s="15">
        <v>7.4</v>
      </c>
      <c r="G229" s="15">
        <v>7.4</v>
      </c>
      <c r="H229" s="15">
        <v>5</v>
      </c>
      <c r="I229" s="15">
        <v>9</v>
      </c>
      <c r="J229" s="15">
        <v>9</v>
      </c>
      <c r="K229" s="15">
        <v>12530.700458313799</v>
      </c>
      <c r="L229" s="15">
        <v>1976.5999999999995</v>
      </c>
      <c r="M229" s="15"/>
      <c r="N229" s="15"/>
      <c r="O229" s="15"/>
      <c r="P229" s="15">
        <v>8545852.8073333371</v>
      </c>
      <c r="Q229" s="15"/>
      <c r="R229" s="15"/>
      <c r="S229" s="15">
        <v>26.060225099939437</v>
      </c>
      <c r="T229" s="15">
        <v>355</v>
      </c>
      <c r="U229" s="15">
        <v>210000</v>
      </c>
      <c r="V229" s="15">
        <f t="shared" si="23"/>
        <v>26.925822678393921</v>
      </c>
      <c r="W229" s="15">
        <v>4.1616200000000001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1628</v>
      </c>
      <c r="AF229" s="22" t="s">
        <v>5</v>
      </c>
      <c r="AG229" s="17">
        <f t="shared" si="24"/>
        <v>108.45275398040997</v>
      </c>
      <c r="AH229" s="17">
        <v>374.13070068783702</v>
      </c>
      <c r="AI229" s="62">
        <v>4.328581398798355</v>
      </c>
      <c r="AJ229" s="17">
        <f t="shared" si="25"/>
        <v>2.4940875605067814</v>
      </c>
      <c r="AK229" s="15">
        <f t="shared" si="26"/>
        <v>0.15455869444388073</v>
      </c>
      <c r="AL229" s="5">
        <v>6.1308999999999996</v>
      </c>
      <c r="AO229" s="5">
        <f t="shared" si="27"/>
        <v>1.9512195121951219</v>
      </c>
      <c r="AP229" s="5">
        <f t="shared" si="22"/>
        <v>4.328581398798355</v>
      </c>
    </row>
    <row r="230" spans="1:42">
      <c r="A230" s="15">
        <v>225</v>
      </c>
      <c r="B230" s="20" t="s">
        <v>1340</v>
      </c>
      <c r="C230" s="20">
        <v>100</v>
      </c>
      <c r="D230" s="15">
        <v>100</v>
      </c>
      <c r="E230" s="15">
        <v>200</v>
      </c>
      <c r="F230" s="15">
        <v>8.5</v>
      </c>
      <c r="G230" s="15">
        <v>8.5</v>
      </c>
      <c r="H230" s="15">
        <v>5.6</v>
      </c>
      <c r="I230" s="15">
        <v>12</v>
      </c>
      <c r="J230" s="15">
        <v>12</v>
      </c>
      <c r="K230" s="15">
        <v>1886.5439351140174</v>
      </c>
      <c r="L230" s="15">
        <v>2772.4000000000015</v>
      </c>
      <c r="M230" s="15"/>
      <c r="N230" s="15"/>
      <c r="O230" s="15"/>
      <c r="P230" s="15">
        <v>18862982.991666663</v>
      </c>
      <c r="Q230" s="15"/>
      <c r="R230" s="15"/>
      <c r="S230" s="15">
        <v>262.31841671361582</v>
      </c>
      <c r="T230" s="15">
        <v>355</v>
      </c>
      <c r="U230" s="15">
        <v>210000</v>
      </c>
      <c r="V230" s="15">
        <f t="shared" si="23"/>
        <v>3.7519363387836231</v>
      </c>
      <c r="W230" s="15">
        <v>3.9667300000000001</v>
      </c>
      <c r="X230" s="15"/>
      <c r="Y230" s="15"/>
      <c r="Z230" s="15"/>
      <c r="AA230" s="16"/>
      <c r="AB230" s="15">
        <v>1.1133153135475653</v>
      </c>
      <c r="AC230" s="17">
        <v>0.3</v>
      </c>
      <c r="AD230" s="15"/>
      <c r="AE230" s="15" t="s">
        <v>1629</v>
      </c>
      <c r="AF230" s="22" t="s">
        <v>5</v>
      </c>
      <c r="AG230" s="17">
        <f t="shared" si="24"/>
        <v>1040.5463331304013</v>
      </c>
      <c r="AH230" s="17">
        <v>2366.5168408002178</v>
      </c>
      <c r="AI230" s="62">
        <v>41.876153521487744</v>
      </c>
      <c r="AJ230" s="17">
        <f t="shared" si="25"/>
        <v>0.29932592879729519</v>
      </c>
      <c r="AK230" s="15">
        <f t="shared" si="26"/>
        <v>1.0572487488649696</v>
      </c>
      <c r="AL230" s="56">
        <v>3.2757000000000001</v>
      </c>
      <c r="AO230" s="5">
        <f t="shared" si="27"/>
        <v>2</v>
      </c>
      <c r="AP230" s="5">
        <f t="shared" si="22"/>
        <v>41.876153521487744</v>
      </c>
    </row>
    <row r="231" spans="1:42">
      <c r="A231" s="15">
        <v>226</v>
      </c>
      <c r="B231" s="20" t="s">
        <v>1341</v>
      </c>
      <c r="C231" s="20">
        <v>100</v>
      </c>
      <c r="D231" s="15">
        <v>100</v>
      </c>
      <c r="E231" s="15">
        <v>200</v>
      </c>
      <c r="F231" s="15">
        <v>8.5</v>
      </c>
      <c r="G231" s="15">
        <v>8.5</v>
      </c>
      <c r="H231" s="15">
        <v>5.6</v>
      </c>
      <c r="I231" s="15">
        <v>12</v>
      </c>
      <c r="J231" s="15">
        <v>12</v>
      </c>
      <c r="K231" s="15">
        <v>3144.2398918566955</v>
      </c>
      <c r="L231" s="15">
        <v>2772.4000000000015</v>
      </c>
      <c r="M231" s="15"/>
      <c r="N231" s="15"/>
      <c r="O231" s="15"/>
      <c r="P231" s="15">
        <v>18862982.991666663</v>
      </c>
      <c r="Q231" s="15"/>
      <c r="R231" s="15"/>
      <c r="S231" s="15">
        <v>232.97959872459722</v>
      </c>
      <c r="T231" s="15">
        <v>355</v>
      </c>
      <c r="U231" s="15">
        <v>210000</v>
      </c>
      <c r="V231" s="15">
        <f t="shared" si="23"/>
        <v>4.2244128043306297</v>
      </c>
      <c r="W231" s="15">
        <v>4.3143900000000004</v>
      </c>
      <c r="X231" s="15"/>
      <c r="Y231" s="15"/>
      <c r="Z231" s="15"/>
      <c r="AA231" s="16"/>
      <c r="AB231" s="15">
        <v>1.1133153135475653</v>
      </c>
      <c r="AC231" s="17">
        <v>0.5</v>
      </c>
      <c r="AD231" s="15"/>
      <c r="AE231" s="15" t="s">
        <v>1630</v>
      </c>
      <c r="AF231" s="22" t="s">
        <v>5</v>
      </c>
      <c r="AG231" s="17">
        <f t="shared" si="24"/>
        <v>1005.1648509414151</v>
      </c>
      <c r="AH231" s="17">
        <v>2101.8354366882622</v>
      </c>
      <c r="AI231" s="62">
        <v>16.973842714045158</v>
      </c>
      <c r="AJ231" s="17">
        <f t="shared" si="25"/>
        <v>0.49887654799549203</v>
      </c>
      <c r="AK231" s="15">
        <f t="shared" si="26"/>
        <v>1.0212993378812627</v>
      </c>
      <c r="AL231" s="5">
        <v>3.2757000000000001</v>
      </c>
      <c r="AO231" s="5">
        <f t="shared" si="27"/>
        <v>2</v>
      </c>
      <c r="AP231" s="5">
        <f t="shared" si="22"/>
        <v>16.973842714045158</v>
      </c>
    </row>
    <row r="232" spans="1:42">
      <c r="A232" s="15">
        <v>227</v>
      </c>
      <c r="B232" s="20" t="s">
        <v>1342</v>
      </c>
      <c r="C232" s="20">
        <v>100</v>
      </c>
      <c r="D232" s="15">
        <v>100</v>
      </c>
      <c r="E232" s="15">
        <v>200</v>
      </c>
      <c r="F232" s="15">
        <v>8.5</v>
      </c>
      <c r="G232" s="15">
        <v>8.5</v>
      </c>
      <c r="H232" s="15">
        <v>5.6</v>
      </c>
      <c r="I232" s="15">
        <v>12</v>
      </c>
      <c r="J232" s="15">
        <v>12</v>
      </c>
      <c r="K232" s="15">
        <v>4716.3598377850431</v>
      </c>
      <c r="L232" s="15">
        <v>2772.3999999999996</v>
      </c>
      <c r="M232" s="15"/>
      <c r="N232" s="15"/>
      <c r="O232" s="15"/>
      <c r="P232" s="15">
        <v>18862982.991666663</v>
      </c>
      <c r="Q232" s="15"/>
      <c r="R232" s="15"/>
      <c r="S232" s="15">
        <v>191.67436740366301</v>
      </c>
      <c r="T232" s="15">
        <v>355</v>
      </c>
      <c r="U232" s="15">
        <v>210000</v>
      </c>
      <c r="V232" s="15">
        <f t="shared" si="23"/>
        <v>5.134760653349578</v>
      </c>
      <c r="W232" s="15">
        <v>4.81271</v>
      </c>
      <c r="X232" s="15"/>
      <c r="Y232" s="15"/>
      <c r="Z232" s="15"/>
      <c r="AA232" s="16"/>
      <c r="AB232" s="15">
        <v>1.1133153135475653</v>
      </c>
      <c r="AC232" s="17">
        <v>0.75</v>
      </c>
      <c r="AD232" s="15"/>
      <c r="AE232" s="15" t="s">
        <v>1631</v>
      </c>
      <c r="AF232" s="22" t="s">
        <v>5</v>
      </c>
      <c r="AG232" s="17">
        <f t="shared" si="24"/>
        <v>922.47314474728307</v>
      </c>
      <c r="AH232" s="17">
        <v>1729.1985217557631</v>
      </c>
      <c r="AI232" s="62">
        <v>9.1696236183142723</v>
      </c>
      <c r="AJ232" s="17">
        <f t="shared" si="25"/>
        <v>0.74831482199323762</v>
      </c>
      <c r="AK232" s="15">
        <f t="shared" si="26"/>
        <v>0.93728029890945486</v>
      </c>
      <c r="AL232" s="5">
        <v>3.2757000000000001</v>
      </c>
      <c r="AO232" s="5">
        <f t="shared" si="27"/>
        <v>2</v>
      </c>
      <c r="AP232" s="5">
        <f t="shared" si="22"/>
        <v>9.1696236183142723</v>
      </c>
    </row>
    <row r="233" spans="1:42">
      <c r="A233" s="15">
        <v>228</v>
      </c>
      <c r="B233" s="20" t="s">
        <v>1343</v>
      </c>
      <c r="C233" s="20">
        <v>100</v>
      </c>
      <c r="D233" s="15">
        <v>100</v>
      </c>
      <c r="E233" s="15">
        <v>200</v>
      </c>
      <c r="F233" s="15">
        <v>8.5</v>
      </c>
      <c r="G233" s="15">
        <v>8.5</v>
      </c>
      <c r="H233" s="15">
        <v>5.6</v>
      </c>
      <c r="I233" s="15">
        <v>12</v>
      </c>
      <c r="J233" s="15">
        <v>12</v>
      </c>
      <c r="K233" s="15">
        <v>6288.479783713391</v>
      </c>
      <c r="L233" s="15">
        <v>2772.3999999999996</v>
      </c>
      <c r="M233" s="15"/>
      <c r="N233" s="15"/>
      <c r="O233" s="15"/>
      <c r="P233" s="15">
        <v>18862982.991666663</v>
      </c>
      <c r="Q233" s="15"/>
      <c r="R233" s="15"/>
      <c r="S233" s="15">
        <v>149.22433736849422</v>
      </c>
      <c r="T233" s="15">
        <v>355</v>
      </c>
      <c r="U233" s="15">
        <v>210000</v>
      </c>
      <c r="V233" s="15">
        <f t="shared" si="23"/>
        <v>6.5954523059439953</v>
      </c>
      <c r="W233" s="15">
        <v>5.0991799999999996</v>
      </c>
      <c r="X233" s="15"/>
      <c r="Y233" s="15"/>
      <c r="Z233" s="15"/>
      <c r="AA233" s="16"/>
      <c r="AB233" s="15">
        <v>1.1133153135475653</v>
      </c>
      <c r="AC233" s="17">
        <v>1</v>
      </c>
      <c r="AD233" s="15"/>
      <c r="AE233" s="15" t="s">
        <v>1632</v>
      </c>
      <c r="AF233" s="22" t="s">
        <v>5</v>
      </c>
      <c r="AG233" s="17">
        <f t="shared" si="24"/>
        <v>760.92175662267834</v>
      </c>
      <c r="AH233" s="17">
        <v>1346.2337561503921</v>
      </c>
      <c r="AI233" s="62">
        <v>6.6251911954671492</v>
      </c>
      <c r="AJ233" s="17">
        <f t="shared" si="25"/>
        <v>0.99775309599098361</v>
      </c>
      <c r="AK233" s="15">
        <f t="shared" si="26"/>
        <v>0.77313575528466549</v>
      </c>
      <c r="AL233" s="5">
        <v>3.2757000000000001</v>
      </c>
      <c r="AO233" s="5">
        <f t="shared" si="27"/>
        <v>2</v>
      </c>
      <c r="AP233" s="5">
        <f t="shared" si="22"/>
        <v>6.6251911954671492</v>
      </c>
    </row>
    <row r="234" spans="1:42">
      <c r="A234" s="15">
        <v>229</v>
      </c>
      <c r="B234" s="20" t="s">
        <v>1344</v>
      </c>
      <c r="C234" s="20">
        <v>100</v>
      </c>
      <c r="D234" s="15">
        <v>100</v>
      </c>
      <c r="E234" s="15">
        <v>200</v>
      </c>
      <c r="F234" s="15">
        <v>8.5</v>
      </c>
      <c r="G234" s="15">
        <v>8.5</v>
      </c>
      <c r="H234" s="15">
        <v>5.6</v>
      </c>
      <c r="I234" s="15">
        <v>12</v>
      </c>
      <c r="J234" s="15">
        <v>12</v>
      </c>
      <c r="K234" s="15">
        <v>8363.67811233881</v>
      </c>
      <c r="L234" s="15">
        <v>2772.3999999999996</v>
      </c>
      <c r="M234" s="15"/>
      <c r="N234" s="15"/>
      <c r="O234" s="15"/>
      <c r="P234" s="15">
        <v>18862982.991666663</v>
      </c>
      <c r="Q234" s="15"/>
      <c r="R234" s="15"/>
      <c r="S234" s="15">
        <v>104.02465566926651</v>
      </c>
      <c r="T234" s="15">
        <v>355</v>
      </c>
      <c r="U234" s="15">
        <v>210000</v>
      </c>
      <c r="V234" s="15">
        <f t="shared" si="23"/>
        <v>9.4612377581825235</v>
      </c>
      <c r="W234" s="15">
        <v>4.9270800000000001</v>
      </c>
      <c r="X234" s="15"/>
      <c r="Y234" s="15"/>
      <c r="Z234" s="15"/>
      <c r="AA234" s="16"/>
      <c r="AB234" s="15">
        <v>1.1133153135475653</v>
      </c>
      <c r="AC234" s="17">
        <v>1.33</v>
      </c>
      <c r="AD234" s="15"/>
      <c r="AE234" s="15" t="s">
        <v>1633</v>
      </c>
      <c r="AF234" s="22" t="s">
        <v>5</v>
      </c>
      <c r="AG234" s="17">
        <f t="shared" si="24"/>
        <v>512.53780045492965</v>
      </c>
      <c r="AH234" s="17">
        <v>938.46289019243318</v>
      </c>
      <c r="AI234" s="62">
        <v>5.3727731766465867</v>
      </c>
      <c r="AJ234" s="17">
        <f t="shared" si="25"/>
        <v>1.3270116176680082</v>
      </c>
      <c r="AK234" s="15">
        <f t="shared" si="26"/>
        <v>0.52076484345178087</v>
      </c>
      <c r="AL234" s="5">
        <v>3.2757000000000001</v>
      </c>
      <c r="AO234" s="5">
        <f t="shared" si="27"/>
        <v>2</v>
      </c>
      <c r="AP234" s="5">
        <f t="shared" si="22"/>
        <v>5.3727731766465867</v>
      </c>
    </row>
    <row r="235" spans="1:42">
      <c r="A235" s="15">
        <v>230</v>
      </c>
      <c r="B235" s="20" t="s">
        <v>1345</v>
      </c>
      <c r="C235" s="20">
        <v>100</v>
      </c>
      <c r="D235" s="15">
        <v>100</v>
      </c>
      <c r="E235" s="15">
        <v>200</v>
      </c>
      <c r="F235" s="15">
        <v>8.5</v>
      </c>
      <c r="G235" s="15">
        <v>8.5</v>
      </c>
      <c r="H235" s="15">
        <v>5.6</v>
      </c>
      <c r="I235" s="15">
        <v>12</v>
      </c>
      <c r="J235" s="15">
        <v>12</v>
      </c>
      <c r="K235" s="15">
        <v>10501.761238801362</v>
      </c>
      <c r="L235" s="15">
        <v>2772.3999999999996</v>
      </c>
      <c r="M235" s="15"/>
      <c r="N235" s="15"/>
      <c r="O235" s="15"/>
      <c r="P235" s="15">
        <v>18862982.991666663</v>
      </c>
      <c r="Q235" s="15"/>
      <c r="R235" s="15"/>
      <c r="S235" s="15">
        <v>73.321955991061003</v>
      </c>
      <c r="T235" s="15">
        <v>355</v>
      </c>
      <c r="U235" s="15">
        <v>210000</v>
      </c>
      <c r="V235" s="15">
        <f t="shared" si="23"/>
        <v>13.423018885638951</v>
      </c>
      <c r="W235" s="15">
        <v>4.6715099999999996</v>
      </c>
      <c r="X235" s="15"/>
      <c r="Y235" s="15"/>
      <c r="Z235" s="15"/>
      <c r="AA235" s="16"/>
      <c r="AB235" s="15">
        <v>1.1133153135475653</v>
      </c>
      <c r="AC235" s="17">
        <v>1.67</v>
      </c>
      <c r="AD235" s="15"/>
      <c r="AE235" s="15" t="s">
        <v>1634</v>
      </c>
      <c r="AF235" s="22" t="s">
        <v>5</v>
      </c>
      <c r="AG235" s="17">
        <f t="shared" si="24"/>
        <v>342.52425063180135</v>
      </c>
      <c r="AH235" s="17">
        <v>661.47716895796475</v>
      </c>
      <c r="AI235" s="62">
        <v>4.8347173680563325</v>
      </c>
      <c r="AJ235" s="17">
        <f t="shared" si="25"/>
        <v>1.6662476703049425</v>
      </c>
      <c r="AK235" s="15">
        <f t="shared" si="26"/>
        <v>0.34802230703839393</v>
      </c>
      <c r="AL235" s="5">
        <v>3.2757000000000001</v>
      </c>
      <c r="AO235" s="5">
        <f t="shared" si="27"/>
        <v>2</v>
      </c>
      <c r="AP235" s="5">
        <f t="shared" si="22"/>
        <v>4.8347173680563325</v>
      </c>
    </row>
    <row r="236" spans="1:42">
      <c r="A236" s="15">
        <v>231</v>
      </c>
      <c r="B236" s="20" t="s">
        <v>1346</v>
      </c>
      <c r="C236" s="20">
        <v>100</v>
      </c>
      <c r="D236" s="15">
        <v>100</v>
      </c>
      <c r="E236" s="15">
        <v>200</v>
      </c>
      <c r="F236" s="15">
        <v>8.5</v>
      </c>
      <c r="G236" s="15">
        <v>8.5</v>
      </c>
      <c r="H236" s="15">
        <v>5.6</v>
      </c>
      <c r="I236" s="15">
        <v>12</v>
      </c>
      <c r="J236" s="15">
        <v>12</v>
      </c>
      <c r="K236" s="15">
        <v>12576.959567426782</v>
      </c>
      <c r="L236" s="15">
        <v>2772.3999999999996</v>
      </c>
      <c r="M236" s="15"/>
      <c r="N236" s="15"/>
      <c r="O236" s="15"/>
      <c r="P236" s="15">
        <v>18862982.991666663</v>
      </c>
      <c r="Q236" s="15"/>
      <c r="R236" s="15"/>
      <c r="S236" s="15">
        <v>54.219771415263608</v>
      </c>
      <c r="T236" s="15">
        <v>355</v>
      </c>
      <c r="U236" s="15">
        <v>210000</v>
      </c>
      <c r="V236" s="15">
        <f t="shared" si="23"/>
        <v>18.152086855219267</v>
      </c>
      <c r="W236" s="15">
        <v>4.41812</v>
      </c>
      <c r="X236" s="15"/>
      <c r="Y236" s="15"/>
      <c r="Z236" s="15"/>
      <c r="AA236" s="16"/>
      <c r="AB236" s="15">
        <v>1.1133153135475653</v>
      </c>
      <c r="AC236" s="17">
        <v>2</v>
      </c>
      <c r="AD236" s="15"/>
      <c r="AE236" s="15" t="s">
        <v>1635</v>
      </c>
      <c r="AF236" s="22" t="s">
        <v>5</v>
      </c>
      <c r="AG236" s="17">
        <f t="shared" si="24"/>
        <v>239.54945648520444</v>
      </c>
      <c r="AH236" s="17">
        <v>489.14599198211556</v>
      </c>
      <c r="AI236" s="62">
        <v>4.5584836503241499</v>
      </c>
      <c r="AJ236" s="17">
        <f t="shared" si="25"/>
        <v>1.9955061919819672</v>
      </c>
      <c r="AK236" s="15">
        <f t="shared" si="26"/>
        <v>0.24339460444624628</v>
      </c>
      <c r="AL236" s="5">
        <v>3.2757000000000001</v>
      </c>
      <c r="AO236" s="5">
        <f t="shared" si="27"/>
        <v>2</v>
      </c>
      <c r="AP236" s="5">
        <f t="shared" si="22"/>
        <v>4.5584836503241499</v>
      </c>
    </row>
    <row r="237" spans="1:42">
      <c r="A237" s="15">
        <v>232</v>
      </c>
      <c r="B237" s="20" t="s">
        <v>1347</v>
      </c>
      <c r="C237" s="20">
        <v>100</v>
      </c>
      <c r="D237" s="15">
        <v>100</v>
      </c>
      <c r="E237" s="15">
        <v>200</v>
      </c>
      <c r="F237" s="15">
        <v>8.5</v>
      </c>
      <c r="G237" s="15">
        <v>8.5</v>
      </c>
      <c r="H237" s="15">
        <v>5.6</v>
      </c>
      <c r="I237" s="15">
        <v>12</v>
      </c>
      <c r="J237" s="15">
        <v>12</v>
      </c>
      <c r="K237" s="15">
        <v>15721.199459283478</v>
      </c>
      <c r="L237" s="15">
        <v>2772.3999999999996</v>
      </c>
      <c r="M237" s="15"/>
      <c r="N237" s="15"/>
      <c r="O237" s="15"/>
      <c r="P237" s="15">
        <v>18862982.991666663</v>
      </c>
      <c r="Q237" s="15"/>
      <c r="R237" s="15"/>
      <c r="S237" s="15">
        <v>36.610074939325109</v>
      </c>
      <c r="T237" s="15">
        <v>355</v>
      </c>
      <c r="U237" s="15">
        <v>210000</v>
      </c>
      <c r="V237" s="15">
        <f t="shared" si="23"/>
        <v>26.883364801387188</v>
      </c>
      <c r="W237" s="15">
        <v>4.1968500000000004</v>
      </c>
      <c r="X237" s="15"/>
      <c r="Y237" s="15"/>
      <c r="Z237" s="15"/>
      <c r="AA237" s="16"/>
      <c r="AB237" s="15">
        <v>1.1133153135475653</v>
      </c>
      <c r="AC237" s="17">
        <v>2.5</v>
      </c>
      <c r="AD237" s="15"/>
      <c r="AE237" s="15" t="s">
        <v>1636</v>
      </c>
      <c r="AF237" s="22" t="s">
        <v>5</v>
      </c>
      <c r="AG237" s="17">
        <f t="shared" si="24"/>
        <v>153.64699300910661</v>
      </c>
      <c r="AH237" s="17">
        <v>330.2793603754389</v>
      </c>
      <c r="AI237" s="62">
        <v>4.3207330997127649</v>
      </c>
      <c r="AJ237" s="17">
        <f t="shared" si="25"/>
        <v>2.4943827399774592</v>
      </c>
      <c r="AK237" s="15">
        <f t="shared" si="26"/>
        <v>0.15611327045576684</v>
      </c>
      <c r="AL237" s="5">
        <v>3.2757000000000001</v>
      </c>
      <c r="AO237" s="5">
        <f t="shared" si="27"/>
        <v>2</v>
      </c>
      <c r="AP237" s="5">
        <f t="shared" si="22"/>
        <v>4.3207330997127649</v>
      </c>
    </row>
    <row r="238" spans="1:42">
      <c r="A238" s="15">
        <v>233</v>
      </c>
      <c r="B238" s="20" t="s">
        <v>1348</v>
      </c>
      <c r="C238" s="20">
        <v>120</v>
      </c>
      <c r="D238" s="15">
        <v>120</v>
      </c>
      <c r="E238" s="15">
        <v>240</v>
      </c>
      <c r="F238" s="15">
        <v>9.8000000000000007</v>
      </c>
      <c r="G238" s="15">
        <v>9.8000000000000007</v>
      </c>
      <c r="H238" s="15">
        <v>6.2</v>
      </c>
      <c r="I238" s="15">
        <v>15</v>
      </c>
      <c r="J238" s="15">
        <v>15</v>
      </c>
      <c r="K238" s="15">
        <v>2277.5825617902251</v>
      </c>
      <c r="L238" s="15">
        <v>3779.2400000000011</v>
      </c>
      <c r="M238" s="15"/>
      <c r="N238" s="15"/>
      <c r="O238" s="15"/>
      <c r="P238" s="15">
        <v>37462016.117466666</v>
      </c>
      <c r="Q238" s="15"/>
      <c r="R238" s="15"/>
      <c r="S238" s="15">
        <v>357.98069075941214</v>
      </c>
      <c r="T238" s="15">
        <v>355</v>
      </c>
      <c r="U238" s="15">
        <v>210000</v>
      </c>
      <c r="V238" s="15">
        <f t="shared" si="23"/>
        <v>3.7477725325181548</v>
      </c>
      <c r="W238" s="15">
        <v>3.97899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1637</v>
      </c>
      <c r="AF238" s="22" t="s">
        <v>5</v>
      </c>
      <c r="AG238" s="17">
        <f t="shared" si="24"/>
        <v>1424.4015887247933</v>
      </c>
      <c r="AH238" s="17">
        <v>2175.4811048233278</v>
      </c>
      <c r="AI238" s="62">
        <v>41.812133348040412</v>
      </c>
      <c r="AJ238" s="17">
        <f t="shared" si="25"/>
        <v>0.29938873038742098</v>
      </c>
      <c r="AK238" s="15">
        <f t="shared" si="26"/>
        <v>1.0616946374081269</v>
      </c>
      <c r="AL238" s="56">
        <v>1.7927999999999999</v>
      </c>
      <c r="AO238" s="5">
        <f t="shared" si="27"/>
        <v>2</v>
      </c>
      <c r="AP238" s="5">
        <f t="shared" si="22"/>
        <v>41.812133348040412</v>
      </c>
    </row>
    <row r="239" spans="1:42">
      <c r="A239" s="15">
        <v>234</v>
      </c>
      <c r="B239" s="20" t="s">
        <v>1349</v>
      </c>
      <c r="C239" s="20">
        <v>120</v>
      </c>
      <c r="D239" s="15">
        <v>120</v>
      </c>
      <c r="E239" s="15">
        <v>240</v>
      </c>
      <c r="F239" s="15">
        <v>9.8000000000000007</v>
      </c>
      <c r="G239" s="15">
        <v>9.8000000000000007</v>
      </c>
      <c r="H239" s="15">
        <v>6.2</v>
      </c>
      <c r="I239" s="15">
        <v>15</v>
      </c>
      <c r="J239" s="15">
        <v>15</v>
      </c>
      <c r="K239" s="15">
        <v>3795.9709363170414</v>
      </c>
      <c r="L239" s="15">
        <v>3779.2400000000011</v>
      </c>
      <c r="M239" s="15"/>
      <c r="N239" s="15"/>
      <c r="O239" s="15"/>
      <c r="P239" s="15">
        <v>37462016.117466666</v>
      </c>
      <c r="Q239" s="15"/>
      <c r="R239" s="15"/>
      <c r="S239" s="15">
        <v>317.94259331526729</v>
      </c>
      <c r="T239" s="15">
        <v>355</v>
      </c>
      <c r="U239" s="15">
        <v>210000</v>
      </c>
      <c r="V239" s="15">
        <f t="shared" si="23"/>
        <v>4.2197246553551864</v>
      </c>
      <c r="W239" s="15">
        <v>4.3298199999999998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1638</v>
      </c>
      <c r="AF239" s="22" t="s">
        <v>5</v>
      </c>
      <c r="AG239" s="17">
        <f t="shared" si="24"/>
        <v>1376.6341993883104</v>
      </c>
      <c r="AH239" s="17">
        <v>1932.165957634702</v>
      </c>
      <c r="AI239" s="62">
        <v>16.947893139806851</v>
      </c>
      <c r="AJ239" s="17">
        <f t="shared" si="25"/>
        <v>0.49898121731236822</v>
      </c>
      <c r="AK239" s="15">
        <f t="shared" si="26"/>
        <v>1.0260906465792958</v>
      </c>
      <c r="AL239" s="5">
        <v>1.7927999999999999</v>
      </c>
      <c r="AO239" s="5">
        <f t="shared" si="27"/>
        <v>2</v>
      </c>
      <c r="AP239" s="5">
        <f t="shared" si="22"/>
        <v>16.947893139806851</v>
      </c>
    </row>
    <row r="240" spans="1:42">
      <c r="A240" s="15">
        <v>235</v>
      </c>
      <c r="B240" s="20" t="s">
        <v>1350</v>
      </c>
      <c r="C240" s="20">
        <v>120</v>
      </c>
      <c r="D240" s="15">
        <v>120</v>
      </c>
      <c r="E240" s="15">
        <v>240</v>
      </c>
      <c r="F240" s="15">
        <v>9.8000000000000007</v>
      </c>
      <c r="G240" s="15">
        <v>9.8000000000000007</v>
      </c>
      <c r="H240" s="15">
        <v>6.2</v>
      </c>
      <c r="I240" s="15">
        <v>15</v>
      </c>
      <c r="J240" s="15">
        <v>15</v>
      </c>
      <c r="K240" s="15">
        <v>5693.9564044755625</v>
      </c>
      <c r="L240" s="15">
        <v>3779.2400000000016</v>
      </c>
      <c r="M240" s="15"/>
      <c r="N240" s="15"/>
      <c r="O240" s="15"/>
      <c r="P240" s="15">
        <v>37462016.117466658</v>
      </c>
      <c r="Q240" s="15"/>
      <c r="R240" s="15"/>
      <c r="S240" s="15">
        <v>261.57417120639053</v>
      </c>
      <c r="T240" s="15">
        <v>355</v>
      </c>
      <c r="U240" s="15">
        <v>210000</v>
      </c>
      <c r="V240" s="15">
        <f t="shared" si="23"/>
        <v>5.1290622228194342</v>
      </c>
      <c r="W240" s="15">
        <v>4.8323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1639</v>
      </c>
      <c r="AF240" s="22" t="s">
        <v>5</v>
      </c>
      <c r="AG240" s="17">
        <f t="shared" si="24"/>
        <v>1264.004867520641</v>
      </c>
      <c r="AH240" s="17">
        <v>1589.6099472911669</v>
      </c>
      <c r="AI240" s="62">
        <v>9.1556051174462283</v>
      </c>
      <c r="AJ240" s="17">
        <f t="shared" si="25"/>
        <v>0.74847182596855255</v>
      </c>
      <c r="AK240" s="15">
        <f t="shared" si="26"/>
        <v>0.94214103671834482</v>
      </c>
      <c r="AL240" s="5">
        <v>1.7927999999999999</v>
      </c>
      <c r="AO240" s="5">
        <f t="shared" si="27"/>
        <v>2</v>
      </c>
      <c r="AP240" s="5">
        <f t="shared" si="22"/>
        <v>9.1556051174462283</v>
      </c>
    </row>
    <row r="241" spans="1:42">
      <c r="A241" s="15">
        <v>236</v>
      </c>
      <c r="B241" s="20" t="s">
        <v>1351</v>
      </c>
      <c r="C241" s="20">
        <v>120</v>
      </c>
      <c r="D241" s="15">
        <v>120</v>
      </c>
      <c r="E241" s="15">
        <v>240</v>
      </c>
      <c r="F241" s="15">
        <v>9.8000000000000007</v>
      </c>
      <c r="G241" s="15">
        <v>9.8000000000000007</v>
      </c>
      <c r="H241" s="15">
        <v>6.2</v>
      </c>
      <c r="I241" s="15">
        <v>15</v>
      </c>
      <c r="J241" s="15">
        <v>15</v>
      </c>
      <c r="K241" s="15">
        <v>7591.9418726340828</v>
      </c>
      <c r="L241" s="15">
        <v>3779.2400000000016</v>
      </c>
      <c r="M241" s="15"/>
      <c r="N241" s="15"/>
      <c r="O241" s="15"/>
      <c r="P241" s="15">
        <v>37462016.117466658</v>
      </c>
      <c r="Q241" s="15"/>
      <c r="R241" s="15"/>
      <c r="S241" s="15">
        <v>203.6434652150611</v>
      </c>
      <c r="T241" s="15">
        <v>355</v>
      </c>
      <c r="U241" s="15">
        <v>210000</v>
      </c>
      <c r="V241" s="15">
        <f t="shared" si="23"/>
        <v>6.5881328359009688</v>
      </c>
      <c r="W241" s="15">
        <v>5.1221199999999998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1640</v>
      </c>
      <c r="AF241" s="22" t="s">
        <v>5</v>
      </c>
      <c r="AG241" s="17">
        <f t="shared" si="24"/>
        <v>1043.0862660473688</v>
      </c>
      <c r="AH241" s="17">
        <v>1237.5597961898284</v>
      </c>
      <c r="AI241" s="62">
        <v>6.6150626174152549</v>
      </c>
      <c r="AJ241" s="17">
        <f t="shared" si="25"/>
        <v>0.99796243462473666</v>
      </c>
      <c r="AK241" s="15">
        <f t="shared" si="26"/>
        <v>0.77747673393709249</v>
      </c>
      <c r="AL241" s="5">
        <v>1.7927999999999999</v>
      </c>
      <c r="AO241" s="5">
        <f t="shared" si="27"/>
        <v>2</v>
      </c>
      <c r="AP241" s="5">
        <f t="shared" si="22"/>
        <v>6.6150626174152549</v>
      </c>
    </row>
    <row r="242" spans="1:42">
      <c r="A242" s="15">
        <v>237</v>
      </c>
      <c r="B242" s="20" t="s">
        <v>1352</v>
      </c>
      <c r="C242" s="20">
        <v>120</v>
      </c>
      <c r="D242" s="15">
        <v>120</v>
      </c>
      <c r="E242" s="15">
        <v>240</v>
      </c>
      <c r="F242" s="15">
        <v>9.8000000000000007</v>
      </c>
      <c r="G242" s="15">
        <v>9.8000000000000007</v>
      </c>
      <c r="H242" s="15">
        <v>6.2</v>
      </c>
      <c r="I242" s="15">
        <v>15</v>
      </c>
      <c r="J242" s="15">
        <v>15</v>
      </c>
      <c r="K242" s="15">
        <v>10097.282690603332</v>
      </c>
      <c r="L242" s="15">
        <v>3779.2400000000016</v>
      </c>
      <c r="M242" s="15"/>
      <c r="N242" s="15"/>
      <c r="O242" s="15"/>
      <c r="P242" s="15">
        <v>37462016.117466658</v>
      </c>
      <c r="Q242" s="15"/>
      <c r="R242" s="15"/>
      <c r="S242" s="15">
        <v>141.9603646554074</v>
      </c>
      <c r="T242" s="15">
        <v>355</v>
      </c>
      <c r="U242" s="15">
        <v>210000</v>
      </c>
      <c r="V242" s="15">
        <f t="shared" si="23"/>
        <v>9.4507379102375157</v>
      </c>
      <c r="W242" s="15">
        <v>4.9530200000000004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1641</v>
      </c>
      <c r="AF242" s="22" t="s">
        <v>5</v>
      </c>
      <c r="AG242" s="17">
        <f t="shared" si="24"/>
        <v>703.13252534552601</v>
      </c>
      <c r="AH242" s="17">
        <v>862.70600318279378</v>
      </c>
      <c r="AI242" s="62">
        <v>5.3645592925684884</v>
      </c>
      <c r="AJ242" s="17">
        <f t="shared" si="25"/>
        <v>1.3272900380509001</v>
      </c>
      <c r="AK242" s="15">
        <f t="shared" si="26"/>
        <v>0.52408817671630059</v>
      </c>
      <c r="AL242" s="5">
        <v>1.7927999999999999</v>
      </c>
      <c r="AO242" s="5">
        <f t="shared" si="27"/>
        <v>2</v>
      </c>
      <c r="AP242" s="5">
        <f t="shared" si="22"/>
        <v>5.3645592925684884</v>
      </c>
    </row>
    <row r="243" spans="1:42">
      <c r="A243" s="15">
        <v>238</v>
      </c>
      <c r="B243" s="20" t="s">
        <v>1353</v>
      </c>
      <c r="C243" s="20">
        <v>120</v>
      </c>
      <c r="D243" s="15">
        <v>120</v>
      </c>
      <c r="E243" s="15">
        <v>240</v>
      </c>
      <c r="F243" s="15">
        <v>9.8000000000000007</v>
      </c>
      <c r="G243" s="15">
        <v>9.8000000000000007</v>
      </c>
      <c r="H243" s="15">
        <v>6.2</v>
      </c>
      <c r="I243" s="15">
        <v>15</v>
      </c>
      <c r="J243" s="15">
        <v>15</v>
      </c>
      <c r="K243" s="15">
        <v>12678.542927298917</v>
      </c>
      <c r="L243" s="15">
        <v>3779.2400000000016</v>
      </c>
      <c r="M243" s="15"/>
      <c r="N243" s="15"/>
      <c r="O243" s="15"/>
      <c r="P243" s="15">
        <v>37462016.117466658</v>
      </c>
      <c r="Q243" s="15"/>
      <c r="R243" s="15"/>
      <c r="S243" s="15">
        <v>100.0610051796978</v>
      </c>
      <c r="T243" s="15">
        <v>355</v>
      </c>
      <c r="U243" s="15">
        <v>210000</v>
      </c>
      <c r="V243" s="15">
        <f t="shared" si="23"/>
        <v>13.408122350865758</v>
      </c>
      <c r="W243" s="15">
        <v>4.6948999999999996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1642</v>
      </c>
      <c r="AF243" s="22" t="s">
        <v>5</v>
      </c>
      <c r="AG243" s="17">
        <f t="shared" si="24"/>
        <v>469.77641321816316</v>
      </c>
      <c r="AH243" s="17">
        <v>608.07979792507365</v>
      </c>
      <c r="AI243" s="62">
        <v>4.8273260625412968</v>
      </c>
      <c r="AJ243" s="17">
        <f t="shared" si="25"/>
        <v>1.6665972658233099</v>
      </c>
      <c r="AK243" s="15">
        <f t="shared" si="26"/>
        <v>0.35015342768682683</v>
      </c>
      <c r="AL243" s="5">
        <v>1.7927999999999999</v>
      </c>
      <c r="AO243" s="5">
        <f t="shared" si="27"/>
        <v>2</v>
      </c>
      <c r="AP243" s="5">
        <f t="shared" si="22"/>
        <v>4.8273260625412968</v>
      </c>
    </row>
    <row r="244" spans="1:42">
      <c r="A244" s="15">
        <v>239</v>
      </c>
      <c r="B244" s="20" t="s">
        <v>1354</v>
      </c>
      <c r="C244" s="20">
        <v>120</v>
      </c>
      <c r="D244" s="15">
        <v>120</v>
      </c>
      <c r="E244" s="15">
        <v>240</v>
      </c>
      <c r="F244" s="15">
        <v>9.8000000000000007</v>
      </c>
      <c r="G244" s="15">
        <v>9.8000000000000007</v>
      </c>
      <c r="H244" s="15">
        <v>6.2</v>
      </c>
      <c r="I244" s="15">
        <v>15</v>
      </c>
      <c r="J244" s="15">
        <v>15</v>
      </c>
      <c r="K244" s="15">
        <v>15183.883745268166</v>
      </c>
      <c r="L244" s="15">
        <v>3779.2400000000016</v>
      </c>
      <c r="M244" s="15"/>
      <c r="N244" s="15"/>
      <c r="O244" s="15"/>
      <c r="P244" s="15">
        <v>37462016.117466658</v>
      </c>
      <c r="Q244" s="15"/>
      <c r="R244" s="15"/>
      <c r="S244" s="15">
        <v>73.992636381469993</v>
      </c>
      <c r="T244" s="15">
        <v>355</v>
      </c>
      <c r="U244" s="15">
        <v>210000</v>
      </c>
      <c r="V244" s="15">
        <f t="shared" si="23"/>
        <v>18.131942117634637</v>
      </c>
      <c r="W244" s="15">
        <v>4.4389500000000002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1643</v>
      </c>
      <c r="AF244" s="22" t="s">
        <v>5</v>
      </c>
      <c r="AG244" s="17">
        <f t="shared" si="24"/>
        <v>328.44961326552624</v>
      </c>
      <c r="AH244" s="17">
        <v>449.65995792251766</v>
      </c>
      <c r="AI244" s="62">
        <v>4.5515146503227344</v>
      </c>
      <c r="AJ244" s="17">
        <f t="shared" si="25"/>
        <v>1.9959248692494731</v>
      </c>
      <c r="AK244" s="15">
        <f t="shared" si="26"/>
        <v>0.24481381923687023</v>
      </c>
      <c r="AL244" s="5">
        <v>1.7927999999999999</v>
      </c>
      <c r="AO244" s="5">
        <f t="shared" si="27"/>
        <v>2</v>
      </c>
      <c r="AP244" s="5">
        <f t="shared" si="22"/>
        <v>4.5515146503227344</v>
      </c>
    </row>
    <row r="245" spans="1:42">
      <c r="A245" s="25">
        <v>240</v>
      </c>
      <c r="B245" s="27" t="s">
        <v>1355</v>
      </c>
      <c r="C245" s="27">
        <v>120</v>
      </c>
      <c r="D245" s="25">
        <v>120</v>
      </c>
      <c r="E245" s="25">
        <v>240</v>
      </c>
      <c r="F245" s="25">
        <v>9.8000000000000007</v>
      </c>
      <c r="G245" s="25">
        <v>9.8000000000000007</v>
      </c>
      <c r="H245" s="25">
        <v>6.2</v>
      </c>
      <c r="I245" s="25">
        <v>15</v>
      </c>
      <c r="J245" s="25">
        <v>15</v>
      </c>
      <c r="K245" s="25">
        <v>18979.854681585206</v>
      </c>
      <c r="L245" s="25">
        <v>3779.2400000000016</v>
      </c>
      <c r="M245" s="25"/>
      <c r="N245" s="25"/>
      <c r="O245" s="25"/>
      <c r="P245" s="25">
        <v>37462016.117466658</v>
      </c>
      <c r="Q245" s="25"/>
      <c r="R245" s="25"/>
      <c r="S245" s="25">
        <v>49.961036208302161</v>
      </c>
      <c r="T245" s="25">
        <v>355</v>
      </c>
      <c r="U245" s="25">
        <v>210000</v>
      </c>
      <c r="V245" s="25">
        <f t="shared" si="23"/>
        <v>26.853530307224858</v>
      </c>
      <c r="W245" s="25">
        <v>4.2168299999999999</v>
      </c>
      <c r="X245" s="25"/>
      <c r="Y245" s="25"/>
      <c r="Z245" s="25"/>
      <c r="AA245" s="46"/>
      <c r="AB245" s="25">
        <v>1.5137471488237149</v>
      </c>
      <c r="AC245" s="47">
        <v>2.5</v>
      </c>
      <c r="AD245" s="25"/>
      <c r="AE245" s="25" t="s">
        <v>1644</v>
      </c>
      <c r="AF245" s="48" t="s">
        <v>5</v>
      </c>
      <c r="AG245" s="47">
        <f t="shared" si="24"/>
        <v>210.67719631425479</v>
      </c>
      <c r="AH245" s="47">
        <v>303.61774546550089</v>
      </c>
      <c r="AI245" s="62">
        <v>4.3141275722418291</v>
      </c>
      <c r="AJ245" s="47">
        <f t="shared" si="25"/>
        <v>2.4949060865618411</v>
      </c>
      <c r="AK245" s="25">
        <f t="shared" si="26"/>
        <v>0.15703074984019791</v>
      </c>
      <c r="AL245" s="5">
        <v>1.7927999999999999</v>
      </c>
      <c r="AO245" s="5">
        <f t="shared" si="27"/>
        <v>2</v>
      </c>
      <c r="AP245" s="5">
        <f t="shared" si="22"/>
        <v>4.3141275722418291</v>
      </c>
    </row>
    <row r="246" spans="1:42">
      <c r="A246" s="15">
        <v>241</v>
      </c>
      <c r="B246" s="20" t="s">
        <v>1356</v>
      </c>
      <c r="C246" s="20">
        <v>150</v>
      </c>
      <c r="D246" s="15">
        <v>150</v>
      </c>
      <c r="E246" s="15">
        <v>300</v>
      </c>
      <c r="F246" s="15">
        <v>10.7</v>
      </c>
      <c r="G246" s="15">
        <v>10.7</v>
      </c>
      <c r="H246" s="15">
        <v>7.1</v>
      </c>
      <c r="I246" s="15">
        <v>15</v>
      </c>
      <c r="J246" s="15">
        <v>15</v>
      </c>
      <c r="K246" s="15">
        <v>2846.30605873268</v>
      </c>
      <c r="L246" s="15">
        <v>5264.0299999999979</v>
      </c>
      <c r="M246" s="15"/>
      <c r="N246" s="15"/>
      <c r="O246" s="15"/>
      <c r="P246" s="15">
        <v>81490744.332891658</v>
      </c>
      <c r="Q246" s="15"/>
      <c r="R246" s="15"/>
      <c r="S246" s="15">
        <v>499.45819326748449</v>
      </c>
      <c r="T246" s="15">
        <v>355</v>
      </c>
      <c r="U246" s="15">
        <v>210000</v>
      </c>
      <c r="V246" s="15">
        <f t="shared" si="23"/>
        <v>3.7415156567452721</v>
      </c>
      <c r="W246" s="15">
        <v>3.89838</v>
      </c>
      <c r="X246" s="15"/>
      <c r="Y246" s="15"/>
      <c r="Z246" s="15"/>
      <c r="AA246" s="16"/>
      <c r="AB246" s="15">
        <v>0.35499999999999998</v>
      </c>
      <c r="AC246" s="17">
        <v>0.3</v>
      </c>
      <c r="AD246" s="15"/>
      <c r="AE246" s="15" t="s">
        <v>1645</v>
      </c>
      <c r="AF246" s="22" t="s">
        <v>5</v>
      </c>
      <c r="AG246" s="17">
        <f t="shared" si="24"/>
        <v>1947.0778314700963</v>
      </c>
      <c r="AH246" s="17">
        <v>6109.2446647285724</v>
      </c>
      <c r="AI246" s="62">
        <v>41.741205592903171</v>
      </c>
      <c r="AJ246" s="17">
        <f t="shared" si="25"/>
        <v>0.29939275678022886</v>
      </c>
      <c r="AK246" s="15">
        <f t="shared" si="26"/>
        <v>1.0419253472778953</v>
      </c>
      <c r="AL246" s="56">
        <v>29.24</v>
      </c>
      <c r="AO246" s="5">
        <f t="shared" si="27"/>
        <v>2</v>
      </c>
      <c r="AP246" s="5">
        <f t="shared" si="22"/>
        <v>41.741205592903171</v>
      </c>
    </row>
    <row r="247" spans="1:42">
      <c r="A247" s="15">
        <v>242</v>
      </c>
      <c r="B247" s="20" t="s">
        <v>1357</v>
      </c>
      <c r="C247" s="20">
        <v>150</v>
      </c>
      <c r="D247" s="15">
        <v>150</v>
      </c>
      <c r="E247" s="15">
        <v>300</v>
      </c>
      <c r="F247" s="15">
        <v>10.7</v>
      </c>
      <c r="G247" s="15">
        <v>10.7</v>
      </c>
      <c r="H247" s="15">
        <v>7.1</v>
      </c>
      <c r="I247" s="15">
        <v>15</v>
      </c>
      <c r="J247" s="15">
        <v>15</v>
      </c>
      <c r="K247" s="15">
        <v>4743.8434312211339</v>
      </c>
      <c r="L247" s="15">
        <v>5264.0299999999979</v>
      </c>
      <c r="M247" s="15"/>
      <c r="N247" s="15"/>
      <c r="O247" s="15"/>
      <c r="P247" s="15">
        <v>81490744.332891658</v>
      </c>
      <c r="Q247" s="15"/>
      <c r="R247" s="15"/>
      <c r="S247" s="15">
        <v>443.59664450937083</v>
      </c>
      <c r="T247" s="15">
        <v>355</v>
      </c>
      <c r="U247" s="15">
        <v>210000</v>
      </c>
      <c r="V247" s="15">
        <f t="shared" si="23"/>
        <v>4.2126798593502954</v>
      </c>
      <c r="W247" s="15">
        <v>4.2481200000000001</v>
      </c>
      <c r="X247" s="15"/>
      <c r="Y247" s="15"/>
      <c r="Z247" s="15"/>
      <c r="AA247" s="16"/>
      <c r="AB247" s="15">
        <v>0.35499999999999998</v>
      </c>
      <c r="AC247" s="17">
        <v>0.5</v>
      </c>
      <c r="AD247" s="15"/>
      <c r="AE247" s="15" t="s">
        <v>1646</v>
      </c>
      <c r="AF247" s="22" t="s">
        <v>5</v>
      </c>
      <c r="AG247" s="17">
        <f t="shared" si="24"/>
        <v>1884.4517774731485</v>
      </c>
      <c r="AH247" s="17">
        <v>5425.9605113916132</v>
      </c>
      <c r="AI247" s="62">
        <v>16.91914368555857</v>
      </c>
      <c r="AJ247" s="17">
        <f t="shared" si="25"/>
        <v>0.49898792796704822</v>
      </c>
      <c r="AK247" s="15">
        <f t="shared" si="26"/>
        <v>1.0084127305736379</v>
      </c>
      <c r="AL247" s="5">
        <v>29.24</v>
      </c>
      <c r="AO247" s="5">
        <f t="shared" si="27"/>
        <v>2</v>
      </c>
      <c r="AP247" s="5">
        <f t="shared" si="22"/>
        <v>16.91914368555857</v>
      </c>
    </row>
    <row r="248" spans="1:42">
      <c r="A248" s="15">
        <v>243</v>
      </c>
      <c r="B248" s="20" t="s">
        <v>1358</v>
      </c>
      <c r="C248" s="20">
        <v>150</v>
      </c>
      <c r="D248" s="15">
        <v>150</v>
      </c>
      <c r="E248" s="15">
        <v>300</v>
      </c>
      <c r="F248" s="15">
        <v>10.7</v>
      </c>
      <c r="G248" s="15">
        <v>10.7</v>
      </c>
      <c r="H248" s="15">
        <v>7.1</v>
      </c>
      <c r="I248" s="15">
        <v>15</v>
      </c>
      <c r="J248" s="15">
        <v>15</v>
      </c>
      <c r="K248" s="15">
        <v>7115.7651468317008</v>
      </c>
      <c r="L248" s="15">
        <v>5264.0299999999979</v>
      </c>
      <c r="M248" s="15"/>
      <c r="N248" s="15"/>
      <c r="O248" s="15"/>
      <c r="P248" s="15">
        <v>81490744.332891598</v>
      </c>
      <c r="Q248" s="15"/>
      <c r="R248" s="15"/>
      <c r="S248" s="15">
        <v>364.95086558728997</v>
      </c>
      <c r="T248" s="15">
        <v>355</v>
      </c>
      <c r="U248" s="15">
        <v>210000</v>
      </c>
      <c r="V248" s="15">
        <f t="shared" si="23"/>
        <v>5.120499295138762</v>
      </c>
      <c r="W248" s="15">
        <v>4.7346399999999997</v>
      </c>
      <c r="X248" s="15"/>
      <c r="Y248" s="15"/>
      <c r="Z248" s="15"/>
      <c r="AA248" s="16"/>
      <c r="AB248" s="15">
        <v>0.35499999999999998</v>
      </c>
      <c r="AC248" s="17">
        <v>0.75</v>
      </c>
      <c r="AD248" s="15"/>
      <c r="AE248" s="15" t="s">
        <v>1647</v>
      </c>
      <c r="AF248" s="22" t="s">
        <v>5</v>
      </c>
      <c r="AG248" s="17">
        <f t="shared" si="24"/>
        <v>1727.9109662442065</v>
      </c>
      <c r="AH248" s="17">
        <v>4463.9854917410057</v>
      </c>
      <c r="AI248" s="62">
        <v>9.140074063039167</v>
      </c>
      <c r="AJ248" s="17">
        <f t="shared" si="25"/>
        <v>0.74848189195057258</v>
      </c>
      <c r="AK248" s="15">
        <f t="shared" si="26"/>
        <v>0.92464420500846767</v>
      </c>
      <c r="AL248" s="5">
        <v>29.24</v>
      </c>
      <c r="AO248" s="5">
        <f t="shared" si="27"/>
        <v>2</v>
      </c>
      <c r="AP248" s="5">
        <f t="shared" si="22"/>
        <v>9.140074063039167</v>
      </c>
    </row>
    <row r="249" spans="1:42">
      <c r="A249" s="15">
        <v>244</v>
      </c>
      <c r="B249" s="20" t="s">
        <v>1359</v>
      </c>
      <c r="C249" s="20">
        <v>150</v>
      </c>
      <c r="D249" s="15">
        <v>150</v>
      </c>
      <c r="E249" s="15">
        <v>300</v>
      </c>
      <c r="F249" s="15">
        <v>10.7</v>
      </c>
      <c r="G249" s="15">
        <v>10.7</v>
      </c>
      <c r="H249" s="15">
        <v>7.1</v>
      </c>
      <c r="I249" s="15">
        <v>15</v>
      </c>
      <c r="J249" s="15">
        <v>15</v>
      </c>
      <c r="K249" s="15">
        <v>9487.6868624422677</v>
      </c>
      <c r="L249" s="15">
        <v>5264.0299999999979</v>
      </c>
      <c r="M249" s="15"/>
      <c r="N249" s="15"/>
      <c r="O249" s="15"/>
      <c r="P249" s="15">
        <v>81490744.332891598</v>
      </c>
      <c r="Q249" s="15"/>
      <c r="R249" s="15"/>
      <c r="S249" s="15">
        <v>284.12537277157588</v>
      </c>
      <c r="T249" s="15">
        <v>355</v>
      </c>
      <c r="U249" s="15">
        <v>210000</v>
      </c>
      <c r="V249" s="15">
        <f t="shared" si="23"/>
        <v>6.577134001694299</v>
      </c>
      <c r="W249" s="15">
        <v>5.0228999999999999</v>
      </c>
      <c r="X249" s="15"/>
      <c r="Y249" s="15"/>
      <c r="Z249" s="15"/>
      <c r="AA249" s="16"/>
      <c r="AB249" s="15">
        <v>0.35499999999999998</v>
      </c>
      <c r="AC249" s="17">
        <v>1</v>
      </c>
      <c r="AD249" s="15"/>
      <c r="AE249" s="15" t="s">
        <v>1648</v>
      </c>
      <c r="AF249" s="22" t="s">
        <v>5</v>
      </c>
      <c r="AG249" s="17">
        <f t="shared" si="24"/>
        <v>1427.1333348943485</v>
      </c>
      <c r="AH249" s="17">
        <v>3475.34877016056</v>
      </c>
      <c r="AI249" s="62">
        <v>6.6038411966463064</v>
      </c>
      <c r="AJ249" s="17">
        <f t="shared" si="25"/>
        <v>0.99797585593409677</v>
      </c>
      <c r="AK249" s="15">
        <f t="shared" si="26"/>
        <v>0.76369129756305387</v>
      </c>
      <c r="AL249" s="5">
        <v>29.24</v>
      </c>
      <c r="AO249" s="5">
        <f t="shared" si="27"/>
        <v>2</v>
      </c>
      <c r="AP249" s="5">
        <f t="shared" si="22"/>
        <v>6.6038411966463064</v>
      </c>
    </row>
    <row r="250" spans="1:42">
      <c r="A250" s="15">
        <v>245</v>
      </c>
      <c r="B250" s="20" t="s">
        <v>1360</v>
      </c>
      <c r="C250" s="20">
        <v>150</v>
      </c>
      <c r="D250" s="15">
        <v>150</v>
      </c>
      <c r="E250" s="15">
        <v>300</v>
      </c>
      <c r="F250" s="15">
        <v>10.7</v>
      </c>
      <c r="G250" s="15">
        <v>10.7</v>
      </c>
      <c r="H250" s="15">
        <v>7.1</v>
      </c>
      <c r="I250" s="15">
        <v>15</v>
      </c>
      <c r="J250" s="15">
        <v>15</v>
      </c>
      <c r="K250" s="15">
        <v>12618.623527048216</v>
      </c>
      <c r="L250" s="15">
        <v>5264.0299999999979</v>
      </c>
      <c r="M250" s="15"/>
      <c r="N250" s="15"/>
      <c r="O250" s="15"/>
      <c r="P250" s="15">
        <v>81490744.332891598</v>
      </c>
      <c r="Q250" s="15"/>
      <c r="R250" s="15"/>
      <c r="S250" s="15">
        <v>198.06450201537533</v>
      </c>
      <c r="T250" s="15">
        <v>355</v>
      </c>
      <c r="U250" s="15">
        <v>210000</v>
      </c>
      <c r="V250" s="15">
        <f t="shared" si="23"/>
        <v>9.4349599801328026</v>
      </c>
      <c r="W250" s="15">
        <v>4.8552400000000002</v>
      </c>
      <c r="X250" s="15"/>
      <c r="Y250" s="15"/>
      <c r="Z250" s="15"/>
      <c r="AA250" s="16"/>
      <c r="AB250" s="15">
        <v>0.35499999999999998</v>
      </c>
      <c r="AC250" s="17">
        <v>1.33</v>
      </c>
      <c r="AD250" s="15"/>
      <c r="AE250" s="15" t="s">
        <v>1649</v>
      </c>
      <c r="AF250" s="22" t="s">
        <v>5</v>
      </c>
      <c r="AG250" s="17">
        <f t="shared" si="24"/>
        <v>961.65069276513088</v>
      </c>
      <c r="AH250" s="17">
        <v>2422.6742468543816</v>
      </c>
      <c r="AI250" s="62">
        <v>5.3554591554203697</v>
      </c>
      <c r="AJ250" s="17">
        <f t="shared" si="25"/>
        <v>1.3273078883923484</v>
      </c>
      <c r="AK250" s="15">
        <f t="shared" si="26"/>
        <v>0.51460101688016491</v>
      </c>
      <c r="AL250" s="5">
        <v>29.24</v>
      </c>
      <c r="AO250" s="5">
        <f t="shared" si="27"/>
        <v>2</v>
      </c>
      <c r="AP250" s="5">
        <f t="shared" si="22"/>
        <v>5.3554591554203697</v>
      </c>
    </row>
    <row r="251" spans="1:42">
      <c r="A251" s="15">
        <v>246</v>
      </c>
      <c r="B251" s="20" t="s">
        <v>1361</v>
      </c>
      <c r="C251" s="20">
        <v>150</v>
      </c>
      <c r="D251" s="15">
        <v>150</v>
      </c>
      <c r="E251" s="15">
        <v>300</v>
      </c>
      <c r="F251" s="15">
        <v>10.7</v>
      </c>
      <c r="G251" s="15">
        <v>10.7</v>
      </c>
      <c r="H251" s="15">
        <v>7.1</v>
      </c>
      <c r="I251" s="15">
        <v>15</v>
      </c>
      <c r="J251" s="15">
        <v>15</v>
      </c>
      <c r="K251" s="15">
        <v>15844.437060278586</v>
      </c>
      <c r="L251" s="15">
        <v>5264.0299999999979</v>
      </c>
      <c r="M251" s="15"/>
      <c r="N251" s="15"/>
      <c r="O251" s="15"/>
      <c r="P251" s="15">
        <v>81490744.332891598</v>
      </c>
      <c r="Q251" s="15"/>
      <c r="R251" s="15"/>
      <c r="S251" s="15">
        <v>139.60610209886372</v>
      </c>
      <c r="T251" s="15">
        <v>355</v>
      </c>
      <c r="U251" s="15">
        <v>210000</v>
      </c>
      <c r="V251" s="15">
        <f t="shared" si="23"/>
        <v>13.385737599611767</v>
      </c>
      <c r="W251" s="15">
        <v>4.6064999999999996</v>
      </c>
      <c r="X251" s="15"/>
      <c r="Y251" s="15"/>
      <c r="Z251" s="15"/>
      <c r="AA251" s="16"/>
      <c r="AB251" s="15">
        <v>0.35499999999999998</v>
      </c>
      <c r="AC251" s="17">
        <v>1.67</v>
      </c>
      <c r="AD251" s="15"/>
      <c r="AE251" s="15" t="s">
        <v>1650</v>
      </c>
      <c r="AF251" s="22" t="s">
        <v>5</v>
      </c>
      <c r="AG251" s="17">
        <f t="shared" si="24"/>
        <v>643.09550931841568</v>
      </c>
      <c r="AH251" s="17">
        <v>1707.6260754306461</v>
      </c>
      <c r="AI251" s="62">
        <v>4.8191372576773679</v>
      </c>
      <c r="AJ251" s="17">
        <f t="shared" si="25"/>
        <v>1.6666196794099415</v>
      </c>
      <c r="AK251" s="15">
        <f t="shared" si="26"/>
        <v>0.34413493957431257</v>
      </c>
      <c r="AL251" s="5">
        <v>29.24</v>
      </c>
      <c r="AO251" s="5">
        <f t="shared" si="27"/>
        <v>2</v>
      </c>
      <c r="AP251" s="5">
        <f t="shared" si="22"/>
        <v>4.8191372576773679</v>
      </c>
    </row>
    <row r="252" spans="1:42">
      <c r="A252" s="15">
        <v>247</v>
      </c>
      <c r="B252" s="20" t="s">
        <v>1362</v>
      </c>
      <c r="C252" s="20">
        <v>150</v>
      </c>
      <c r="D252" s="15">
        <v>150</v>
      </c>
      <c r="E252" s="15">
        <v>300</v>
      </c>
      <c r="F252" s="15">
        <v>10.7</v>
      </c>
      <c r="G252" s="15">
        <v>10.7</v>
      </c>
      <c r="H252" s="15">
        <v>7.1</v>
      </c>
      <c r="I252" s="15">
        <v>15</v>
      </c>
      <c r="J252" s="15">
        <v>15</v>
      </c>
      <c r="K252" s="15">
        <v>18975.373724884535</v>
      </c>
      <c r="L252" s="15">
        <v>5264.0299999999979</v>
      </c>
      <c r="M252" s="15"/>
      <c r="N252" s="15"/>
      <c r="O252" s="15"/>
      <c r="P252" s="15">
        <v>81490744.332891598</v>
      </c>
      <c r="Q252" s="15"/>
      <c r="R252" s="15"/>
      <c r="S252" s="15">
        <v>103.23525663853215</v>
      </c>
      <c r="T252" s="15">
        <v>355</v>
      </c>
      <c r="U252" s="15">
        <v>210000</v>
      </c>
      <c r="V252" s="15">
        <f t="shared" si="23"/>
        <v>18.101670987685644</v>
      </c>
      <c r="W252" s="15">
        <v>4.3590299999999997</v>
      </c>
      <c r="X252" s="15"/>
      <c r="Y252" s="15"/>
      <c r="Z252" s="15"/>
      <c r="AA252" s="16"/>
      <c r="AB252" s="15">
        <v>0.35499999999999998</v>
      </c>
      <c r="AC252" s="17">
        <v>2</v>
      </c>
      <c r="AD252" s="15"/>
      <c r="AE252" s="15" t="s">
        <v>1651</v>
      </c>
      <c r="AF252" s="22" t="s">
        <v>5</v>
      </c>
      <c r="AG252" s="17">
        <f t="shared" si="24"/>
        <v>450.00558074506074</v>
      </c>
      <c r="AH252" s="17">
        <v>1262.7472115430339</v>
      </c>
      <c r="AI252" s="62">
        <v>4.5437937164508702</v>
      </c>
      <c r="AJ252" s="17">
        <f t="shared" si="25"/>
        <v>1.9959517118681935</v>
      </c>
      <c r="AK252" s="15">
        <f t="shared" si="26"/>
        <v>0.24080815538882555</v>
      </c>
      <c r="AL252" s="5">
        <v>29.24</v>
      </c>
      <c r="AO252" s="5">
        <f t="shared" si="27"/>
        <v>2</v>
      </c>
      <c r="AP252" s="5">
        <f t="shared" si="22"/>
        <v>4.5437937164508702</v>
      </c>
    </row>
    <row r="253" spans="1:42">
      <c r="A253" s="15">
        <v>248</v>
      </c>
      <c r="B253" s="20" t="s">
        <v>1363</v>
      </c>
      <c r="C253" s="20">
        <v>150</v>
      </c>
      <c r="D253" s="15">
        <v>150</v>
      </c>
      <c r="E253" s="15">
        <v>300</v>
      </c>
      <c r="F253" s="15">
        <v>10.7</v>
      </c>
      <c r="G253" s="15">
        <v>10.7</v>
      </c>
      <c r="H253" s="15">
        <v>7.1</v>
      </c>
      <c r="I253" s="15">
        <v>15</v>
      </c>
      <c r="J253" s="15">
        <v>15</v>
      </c>
      <c r="K253" s="15">
        <v>23719.217156105668</v>
      </c>
      <c r="L253" s="15">
        <v>5264.0299999999979</v>
      </c>
      <c r="M253" s="15"/>
      <c r="N253" s="15"/>
      <c r="O253" s="15"/>
      <c r="P253" s="15">
        <v>81490744.332891598</v>
      </c>
      <c r="Q253" s="15"/>
      <c r="R253" s="15"/>
      <c r="S253" s="15">
        <v>69.706130868216022</v>
      </c>
      <c r="T253" s="15">
        <v>355</v>
      </c>
      <c r="U253" s="15">
        <v>210000</v>
      </c>
      <c r="V253" s="15">
        <f t="shared" si="23"/>
        <v>26.808698556701653</v>
      </c>
      <c r="W253" s="15">
        <v>4.1406099999999997</v>
      </c>
      <c r="X253" s="15"/>
      <c r="Y253" s="15"/>
      <c r="Z253" s="15"/>
      <c r="AA253" s="16"/>
      <c r="AB253" s="15">
        <v>0.35499999999999998</v>
      </c>
      <c r="AC253" s="17">
        <v>2.5</v>
      </c>
      <c r="AD253" s="15"/>
      <c r="AE253" s="15" t="s">
        <v>1652</v>
      </c>
      <c r="AF253" s="22" t="s">
        <v>5</v>
      </c>
      <c r="AG253" s="17">
        <f t="shared" si="24"/>
        <v>288.62590253424389</v>
      </c>
      <c r="AH253" s="17">
        <v>852.62753488850217</v>
      </c>
      <c r="AI253" s="62">
        <v>4.3068093284792406</v>
      </c>
      <c r="AJ253" s="17">
        <f t="shared" si="25"/>
        <v>2.4949396398352417</v>
      </c>
      <c r="AK253" s="15">
        <f t="shared" si="26"/>
        <v>0.15445024275394853</v>
      </c>
      <c r="AL253" s="5">
        <v>29.24</v>
      </c>
      <c r="AO253" s="5">
        <f t="shared" si="27"/>
        <v>2</v>
      </c>
      <c r="AP253" s="5">
        <f t="shared" si="22"/>
        <v>4.3068093284792406</v>
      </c>
    </row>
    <row r="254" spans="1:42">
      <c r="A254" s="15">
        <v>249</v>
      </c>
      <c r="B254" s="20" t="s">
        <v>1364</v>
      </c>
      <c r="C254" s="20">
        <v>170</v>
      </c>
      <c r="D254" s="15">
        <v>170</v>
      </c>
      <c r="E254" s="15">
        <v>360</v>
      </c>
      <c r="F254" s="15">
        <v>12.7</v>
      </c>
      <c r="G254" s="15">
        <v>12.7</v>
      </c>
      <c r="H254" s="15">
        <v>8</v>
      </c>
      <c r="I254" s="15">
        <v>18</v>
      </c>
      <c r="J254" s="15">
        <v>18</v>
      </c>
      <c r="K254" s="15">
        <v>3414.9032526695951</v>
      </c>
      <c r="L254" s="15">
        <v>7096.399999999996</v>
      </c>
      <c r="M254" s="15"/>
      <c r="N254" s="15"/>
      <c r="O254" s="15"/>
      <c r="P254" s="15">
        <v>158133287.76633328</v>
      </c>
      <c r="Q254" s="15"/>
      <c r="R254" s="15"/>
      <c r="S254" s="15">
        <v>673.39432663990021</v>
      </c>
      <c r="T254" s="15">
        <v>355</v>
      </c>
      <c r="U254" s="15">
        <v>210000</v>
      </c>
      <c r="V254" s="15">
        <f t="shared" si="23"/>
        <v>3.7410799294529262</v>
      </c>
      <c r="W254" s="15">
        <v>3.89411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1653</v>
      </c>
      <c r="AF254" s="22" t="s">
        <v>5</v>
      </c>
      <c r="AG254" s="17">
        <f t="shared" si="24"/>
        <v>2622.271581311702</v>
      </c>
      <c r="AH254" s="17">
        <v>4343.7313170015586</v>
      </c>
      <c r="AI254" s="62">
        <v>41.736505041733729</v>
      </c>
      <c r="AJ254" s="17">
        <f t="shared" si="25"/>
        <v>0.29939218103412962</v>
      </c>
      <c r="AK254" s="15">
        <f t="shared" si="26"/>
        <v>1.0409053197025524</v>
      </c>
      <c r="AL254" s="56">
        <v>14.43</v>
      </c>
      <c r="AO254" s="5">
        <f t="shared" si="27"/>
        <v>2.1176470588235294</v>
      </c>
      <c r="AP254" s="5">
        <f t="shared" si="22"/>
        <v>41.736505041733729</v>
      </c>
    </row>
    <row r="255" spans="1:42">
      <c r="A255" s="15">
        <v>250</v>
      </c>
      <c r="B255" s="20" t="s">
        <v>1365</v>
      </c>
      <c r="C255" s="20">
        <v>170</v>
      </c>
      <c r="D255" s="15">
        <v>170</v>
      </c>
      <c r="E255" s="15">
        <v>360</v>
      </c>
      <c r="F255" s="15">
        <v>12.7</v>
      </c>
      <c r="G255" s="15">
        <v>12.7</v>
      </c>
      <c r="H255" s="15">
        <v>8</v>
      </c>
      <c r="I255" s="15">
        <v>18</v>
      </c>
      <c r="J255" s="15">
        <v>18</v>
      </c>
      <c r="K255" s="15">
        <v>5691.5054211159913</v>
      </c>
      <c r="L255" s="15">
        <v>7096.399999999996</v>
      </c>
      <c r="M255" s="15"/>
      <c r="N255" s="15"/>
      <c r="O255" s="15"/>
      <c r="P255" s="15">
        <v>158133287.76633328</v>
      </c>
      <c r="Q255" s="15"/>
      <c r="R255" s="15"/>
      <c r="S255" s="15">
        <v>598.07901393086195</v>
      </c>
      <c r="T255" s="15">
        <v>355</v>
      </c>
      <c r="U255" s="15">
        <v>210000</v>
      </c>
      <c r="V255" s="15">
        <f t="shared" si="23"/>
        <v>4.2121892614864782</v>
      </c>
      <c r="W255" s="15">
        <v>4.2197300000000002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1654</v>
      </c>
      <c r="AF255" s="22" t="s">
        <v>5</v>
      </c>
      <c r="AG255" s="17">
        <f t="shared" si="24"/>
        <v>2523.7319574544763</v>
      </c>
      <c r="AH255" s="17">
        <v>3857.9097567035624</v>
      </c>
      <c r="AI255" s="62">
        <v>16.917238390790313</v>
      </c>
      <c r="AJ255" s="17">
        <f t="shared" si="25"/>
        <v>0.49898696839021595</v>
      </c>
      <c r="AK255" s="15">
        <f t="shared" si="26"/>
        <v>1.0017902183509344</v>
      </c>
      <c r="AL255" s="5">
        <v>14.43</v>
      </c>
      <c r="AO255" s="5">
        <f t="shared" si="27"/>
        <v>2.1176470588235294</v>
      </c>
      <c r="AP255" s="5">
        <f t="shared" si="22"/>
        <v>16.917238390790313</v>
      </c>
    </row>
    <row r="256" spans="1:42">
      <c r="A256" s="15">
        <v>251</v>
      </c>
      <c r="B256" s="20" t="s">
        <v>1366</v>
      </c>
      <c r="C256" s="20">
        <v>170</v>
      </c>
      <c r="D256" s="15">
        <v>170</v>
      </c>
      <c r="E256" s="15">
        <v>360</v>
      </c>
      <c r="F256" s="15">
        <v>12.7</v>
      </c>
      <c r="G256" s="15">
        <v>12.7</v>
      </c>
      <c r="H256" s="15">
        <v>8</v>
      </c>
      <c r="I256" s="15">
        <v>18</v>
      </c>
      <c r="J256" s="15">
        <v>18</v>
      </c>
      <c r="K256" s="15">
        <v>8537.258131673987</v>
      </c>
      <c r="L256" s="15">
        <v>7096.399999999996</v>
      </c>
      <c r="M256" s="15"/>
      <c r="N256" s="15"/>
      <c r="O256" s="15"/>
      <c r="P256" s="15">
        <v>158133287.76633328</v>
      </c>
      <c r="Q256" s="15"/>
      <c r="R256" s="15"/>
      <c r="S256" s="15">
        <v>492.04487122546317</v>
      </c>
      <c r="T256" s="15">
        <v>355</v>
      </c>
      <c r="U256" s="15">
        <v>210000</v>
      </c>
      <c r="V256" s="15">
        <f t="shared" si="23"/>
        <v>5.1199029749578449</v>
      </c>
      <c r="W256" s="15">
        <v>4.7352100000000004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1655</v>
      </c>
      <c r="AF256" s="22" t="s">
        <v>5</v>
      </c>
      <c r="AG256" s="17">
        <f t="shared" si="24"/>
        <v>2329.9357946755258</v>
      </c>
      <c r="AH256" s="17">
        <v>3173.9363281790424</v>
      </c>
      <c r="AI256" s="62">
        <v>9.1390447830934818</v>
      </c>
      <c r="AJ256" s="17">
        <f t="shared" si="25"/>
        <v>0.74848045258532392</v>
      </c>
      <c r="AK256" s="15">
        <f t="shared" si="26"/>
        <v>0.92486322947145072</v>
      </c>
      <c r="AL256" s="5">
        <v>14.43</v>
      </c>
      <c r="AO256" s="5">
        <f t="shared" si="27"/>
        <v>2.1176470588235294</v>
      </c>
      <c r="AP256" s="5">
        <f t="shared" si="22"/>
        <v>9.1390447830934818</v>
      </c>
    </row>
    <row r="257" spans="1:42">
      <c r="A257" s="15">
        <v>252</v>
      </c>
      <c r="B257" s="20" t="s">
        <v>1367</v>
      </c>
      <c r="C257" s="20">
        <v>170</v>
      </c>
      <c r="D257" s="15">
        <v>170</v>
      </c>
      <c r="E257" s="15">
        <v>360</v>
      </c>
      <c r="F257" s="15">
        <v>12.7</v>
      </c>
      <c r="G257" s="15">
        <v>12.7</v>
      </c>
      <c r="H257" s="15">
        <v>8</v>
      </c>
      <c r="I257" s="15">
        <v>18</v>
      </c>
      <c r="J257" s="15">
        <v>18</v>
      </c>
      <c r="K257" s="15">
        <v>11383.010842231983</v>
      </c>
      <c r="L257" s="15">
        <v>7096.399999999996</v>
      </c>
      <c r="M257" s="15"/>
      <c r="N257" s="15"/>
      <c r="O257" s="15"/>
      <c r="P257" s="15">
        <v>158133287.76633328</v>
      </c>
      <c r="Q257" s="15"/>
      <c r="R257" s="15"/>
      <c r="S257" s="15">
        <v>383.07193005913956</v>
      </c>
      <c r="T257" s="15">
        <v>355</v>
      </c>
      <c r="U257" s="15">
        <v>210000</v>
      </c>
      <c r="V257" s="15">
        <f t="shared" si="23"/>
        <v>6.5763680455810878</v>
      </c>
      <c r="W257" s="15">
        <v>5.0257899999999998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1656</v>
      </c>
      <c r="AF257" s="22" t="s">
        <v>5</v>
      </c>
      <c r="AG257" s="17">
        <f t="shared" si="24"/>
        <v>1925.2390753719228</v>
      </c>
      <c r="AH257" s="17">
        <v>2471.0061748885573</v>
      </c>
      <c r="AI257" s="62">
        <v>6.6030975263804725</v>
      </c>
      <c r="AJ257" s="17">
        <f t="shared" si="25"/>
        <v>0.997973936780432</v>
      </c>
      <c r="AK257" s="15">
        <f t="shared" si="26"/>
        <v>0.76421969773681075</v>
      </c>
      <c r="AL257" s="5">
        <v>14.43</v>
      </c>
      <c r="AO257" s="5">
        <f t="shared" si="27"/>
        <v>2.1176470588235294</v>
      </c>
      <c r="AP257" s="5">
        <f t="shared" si="22"/>
        <v>6.6030975263804725</v>
      </c>
    </row>
    <row r="258" spans="1:42">
      <c r="A258" s="15">
        <v>253</v>
      </c>
      <c r="B258" s="20" t="s">
        <v>1368</v>
      </c>
      <c r="C258" s="20">
        <v>170</v>
      </c>
      <c r="D258" s="15">
        <v>170</v>
      </c>
      <c r="E258" s="15">
        <v>360</v>
      </c>
      <c r="F258" s="15">
        <v>12.7</v>
      </c>
      <c r="G258" s="15">
        <v>12.7</v>
      </c>
      <c r="H258" s="15">
        <v>8</v>
      </c>
      <c r="I258" s="15">
        <v>18</v>
      </c>
      <c r="J258" s="15">
        <v>18</v>
      </c>
      <c r="K258" s="15">
        <v>15139.404420168539</v>
      </c>
      <c r="L258" s="15">
        <v>7096.399999999996</v>
      </c>
      <c r="M258" s="15"/>
      <c r="N258" s="15"/>
      <c r="O258" s="15"/>
      <c r="P258" s="15">
        <v>158133287.76633328</v>
      </c>
      <c r="Q258" s="15"/>
      <c r="R258" s="15"/>
      <c r="S258" s="15">
        <v>267.04039249683825</v>
      </c>
      <c r="T258" s="15">
        <v>355</v>
      </c>
      <c r="U258" s="15">
        <v>210000</v>
      </c>
      <c r="V258" s="15">
        <f t="shared" si="23"/>
        <v>9.4338612089548448</v>
      </c>
      <c r="W258" s="15">
        <v>4.8606100000000003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1657</v>
      </c>
      <c r="AF258" s="22" t="s">
        <v>5</v>
      </c>
      <c r="AG258" s="17">
        <f t="shared" si="24"/>
        <v>1297.979202174057</v>
      </c>
      <c r="AH258" s="17">
        <v>1722.544532830899</v>
      </c>
      <c r="AI258" s="62">
        <v>5.354856067669596</v>
      </c>
      <c r="AJ258" s="17">
        <f t="shared" si="25"/>
        <v>1.3273053359179745</v>
      </c>
      <c r="AK258" s="15">
        <f t="shared" si="26"/>
        <v>0.51523017906879887</v>
      </c>
      <c r="AL258" s="5">
        <v>14.43</v>
      </c>
      <c r="AO258" s="5">
        <f t="shared" si="27"/>
        <v>2.1176470588235294</v>
      </c>
      <c r="AP258" s="5">
        <f t="shared" si="22"/>
        <v>5.354856067669596</v>
      </c>
    </row>
    <row r="259" spans="1:42">
      <c r="A259" s="15">
        <v>254</v>
      </c>
      <c r="B259" s="20" t="s">
        <v>1369</v>
      </c>
      <c r="C259" s="20">
        <v>170</v>
      </c>
      <c r="D259" s="15">
        <v>170</v>
      </c>
      <c r="E259" s="15">
        <v>360</v>
      </c>
      <c r="F259" s="15">
        <v>12.7</v>
      </c>
      <c r="G259" s="15">
        <v>12.7</v>
      </c>
      <c r="H259" s="15">
        <v>8</v>
      </c>
      <c r="I259" s="15">
        <v>18</v>
      </c>
      <c r="J259" s="15">
        <v>18</v>
      </c>
      <c r="K259" s="15">
        <v>19009.628106527409</v>
      </c>
      <c r="L259" s="15">
        <v>7096.399999999996</v>
      </c>
      <c r="M259" s="15"/>
      <c r="N259" s="15"/>
      <c r="O259" s="15"/>
      <c r="P259" s="15">
        <v>158133287.76633328</v>
      </c>
      <c r="Q259" s="15"/>
      <c r="R259" s="15"/>
      <c r="S259" s="15">
        <v>188.2238761620205</v>
      </c>
      <c r="T259" s="15">
        <v>355</v>
      </c>
      <c r="U259" s="15">
        <v>210000</v>
      </c>
      <c r="V259" s="15">
        <f t="shared" si="23"/>
        <v>13.384178731031378</v>
      </c>
      <c r="W259" s="15">
        <v>4.6121600000000003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1658</v>
      </c>
      <c r="AF259" s="22" t="s">
        <v>5</v>
      </c>
      <c r="AG259" s="17">
        <f t="shared" si="24"/>
        <v>868.11863267942454</v>
      </c>
      <c r="AH259" s="17">
        <v>1214.1384522379599</v>
      </c>
      <c r="AI259" s="62">
        <v>4.8185945660864018</v>
      </c>
      <c r="AJ259" s="17">
        <f t="shared" si="25"/>
        <v>1.6666164744233212</v>
      </c>
      <c r="AK259" s="15">
        <f t="shared" si="26"/>
        <v>0.34459790867157597</v>
      </c>
      <c r="AL259" s="5">
        <v>14.43</v>
      </c>
      <c r="AO259" s="5">
        <f t="shared" si="27"/>
        <v>2.1176470588235294</v>
      </c>
      <c r="AP259" s="5">
        <f t="shared" si="22"/>
        <v>4.8185945660864018</v>
      </c>
    </row>
    <row r="260" spans="1:42">
      <c r="A260" s="15">
        <v>255</v>
      </c>
      <c r="B260" s="20" t="s">
        <v>1370</v>
      </c>
      <c r="C260" s="20">
        <v>170</v>
      </c>
      <c r="D260" s="15">
        <v>170</v>
      </c>
      <c r="E260" s="15">
        <v>360</v>
      </c>
      <c r="F260" s="15">
        <v>12.7</v>
      </c>
      <c r="G260" s="15">
        <v>12.7</v>
      </c>
      <c r="H260" s="15">
        <v>8</v>
      </c>
      <c r="I260" s="15">
        <v>18</v>
      </c>
      <c r="J260" s="15">
        <v>18</v>
      </c>
      <c r="K260" s="15">
        <v>22766.021684463965</v>
      </c>
      <c r="L260" s="15">
        <v>7096.399999999996</v>
      </c>
      <c r="M260" s="15"/>
      <c r="N260" s="15"/>
      <c r="O260" s="15"/>
      <c r="P260" s="15">
        <v>158133287.76633328</v>
      </c>
      <c r="Q260" s="15"/>
      <c r="R260" s="15"/>
      <c r="S260" s="15">
        <v>139.18689705500799</v>
      </c>
      <c r="T260" s="15">
        <v>355</v>
      </c>
      <c r="U260" s="15">
        <v>210000</v>
      </c>
      <c r="V260" s="15">
        <f t="shared" si="23"/>
        <v>18.099562913629565</v>
      </c>
      <c r="W260" s="15">
        <v>4.3647299999999998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1659</v>
      </c>
      <c r="AF260" s="22" t="s">
        <v>5</v>
      </c>
      <c r="AG260" s="17">
        <f t="shared" si="24"/>
        <v>607.51322518290499</v>
      </c>
      <c r="AH260" s="17">
        <v>897.82533017599519</v>
      </c>
      <c r="AI260" s="62">
        <v>4.5432820317842681</v>
      </c>
      <c r="AJ260" s="17">
        <f t="shared" si="25"/>
        <v>1.995947873560864</v>
      </c>
      <c r="AK260" s="15">
        <f t="shared" si="26"/>
        <v>0.24115112728568791</v>
      </c>
      <c r="AL260" s="5">
        <v>14.43</v>
      </c>
      <c r="AO260" s="5">
        <f t="shared" si="27"/>
        <v>2.1176470588235294</v>
      </c>
      <c r="AP260" s="5">
        <f t="shared" si="22"/>
        <v>4.5432820317842681</v>
      </c>
    </row>
    <row r="261" spans="1:42">
      <c r="A261" s="15">
        <v>256</v>
      </c>
      <c r="B261" s="20" t="s">
        <v>1371</v>
      </c>
      <c r="C261" s="20">
        <v>170</v>
      </c>
      <c r="D261" s="15">
        <v>170</v>
      </c>
      <c r="E261" s="15">
        <v>360</v>
      </c>
      <c r="F261" s="15">
        <v>12.7</v>
      </c>
      <c r="G261" s="15">
        <v>12.7</v>
      </c>
      <c r="H261" s="15">
        <v>8</v>
      </c>
      <c r="I261" s="15">
        <v>18</v>
      </c>
      <c r="J261" s="15">
        <v>18</v>
      </c>
      <c r="K261" s="15">
        <v>28457.527105579957</v>
      </c>
      <c r="L261" s="15">
        <v>7096.399999999996</v>
      </c>
      <c r="M261" s="15"/>
      <c r="N261" s="15"/>
      <c r="O261" s="15"/>
      <c r="P261" s="15">
        <v>158133287.76633328</v>
      </c>
      <c r="Q261" s="15"/>
      <c r="R261" s="15"/>
      <c r="S261" s="15">
        <v>93.981265482087224</v>
      </c>
      <c r="T261" s="15">
        <v>355</v>
      </c>
      <c r="U261" s="15">
        <v>210000</v>
      </c>
      <c r="V261" s="15">
        <f t="shared" si="23"/>
        <v>26.80557648460438</v>
      </c>
      <c r="W261" s="15">
        <v>4.1460900000000001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1660</v>
      </c>
      <c r="AF261" s="22" t="s">
        <v>5</v>
      </c>
      <c r="AG261" s="17">
        <f t="shared" si="24"/>
        <v>389.65478500262702</v>
      </c>
      <c r="AH261" s="17">
        <v>606.22632228424141</v>
      </c>
      <c r="AI261" s="62">
        <v>4.3063243310447428</v>
      </c>
      <c r="AJ261" s="17">
        <f t="shared" si="25"/>
        <v>2.4949348419510797</v>
      </c>
      <c r="AK261" s="15">
        <f t="shared" si="26"/>
        <v>0.1546726668005548</v>
      </c>
      <c r="AL261" s="5">
        <v>14.43</v>
      </c>
      <c r="AO261" s="5">
        <f t="shared" si="27"/>
        <v>2.1176470588235294</v>
      </c>
      <c r="AP261" s="5">
        <f t="shared" si="22"/>
        <v>4.3063243310447428</v>
      </c>
    </row>
    <row r="262" spans="1:42">
      <c r="A262" s="15">
        <v>257</v>
      </c>
      <c r="B262" s="20" t="s">
        <v>1372</v>
      </c>
      <c r="C262" s="20">
        <v>190</v>
      </c>
      <c r="D262" s="15">
        <v>190</v>
      </c>
      <c r="E262" s="15">
        <v>450</v>
      </c>
      <c r="F262" s="15">
        <v>14.6</v>
      </c>
      <c r="G262" s="15">
        <v>14.6</v>
      </c>
      <c r="H262" s="15">
        <v>9.4</v>
      </c>
      <c r="I262" s="15">
        <v>21</v>
      </c>
      <c r="J262" s="15">
        <v>21</v>
      </c>
      <c r="K262" s="15">
        <v>4215.5112493573688</v>
      </c>
      <c r="L262" s="15">
        <v>9640.760000000002</v>
      </c>
      <c r="M262" s="15"/>
      <c r="N262" s="15"/>
      <c r="O262" s="15"/>
      <c r="P262" s="15">
        <v>327594426.78013331</v>
      </c>
      <c r="Q262" s="15"/>
      <c r="R262" s="15"/>
      <c r="S262" s="15">
        <v>918.68344040284524</v>
      </c>
      <c r="T262" s="15">
        <v>355</v>
      </c>
      <c r="U262" s="15">
        <v>210000</v>
      </c>
      <c r="V262" s="15">
        <f t="shared" si="23"/>
        <v>3.7254070874503169</v>
      </c>
      <c r="W262" s="15">
        <v>3.8646799999999999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1661</v>
      </c>
      <c r="AF262" s="22" t="s">
        <v>5</v>
      </c>
      <c r="AG262" s="17">
        <f t="shared" si="24"/>
        <v>3550.4175184560677</v>
      </c>
      <c r="AH262" s="17">
        <v>3635.621052144154</v>
      </c>
      <c r="AI262" s="62">
        <v>41.590022136199785</v>
      </c>
      <c r="AJ262" s="17">
        <f t="shared" si="25"/>
        <v>0.29929005941332393</v>
      </c>
      <c r="AK262" s="15">
        <f t="shared" si="26"/>
        <v>1.0373846157696023</v>
      </c>
      <c r="AL262" s="56">
        <v>10.167</v>
      </c>
      <c r="AO262" s="5">
        <f t="shared" si="27"/>
        <v>2.3684210526315788</v>
      </c>
      <c r="AP262" s="5">
        <f t="shared" ref="AP262:AP293" si="28">(PI()^2*U262*P262/K262^2)/(S262*1000)</f>
        <v>41.590022136199785</v>
      </c>
    </row>
    <row r="263" spans="1:42">
      <c r="A263" s="15">
        <v>258</v>
      </c>
      <c r="B263" s="20" t="s">
        <v>1373</v>
      </c>
      <c r="C263" s="20">
        <v>190</v>
      </c>
      <c r="D263" s="15">
        <v>190</v>
      </c>
      <c r="E263" s="15">
        <v>450</v>
      </c>
      <c r="F263" s="15">
        <v>14.6</v>
      </c>
      <c r="G263" s="15">
        <v>14.6</v>
      </c>
      <c r="H263" s="15">
        <v>9.4</v>
      </c>
      <c r="I263" s="15">
        <v>21</v>
      </c>
      <c r="J263" s="15">
        <v>21</v>
      </c>
      <c r="K263" s="15">
        <v>7025.8520822622813</v>
      </c>
      <c r="L263" s="15">
        <v>9640.76</v>
      </c>
      <c r="M263" s="15"/>
      <c r="N263" s="15"/>
      <c r="O263" s="15"/>
      <c r="P263" s="15">
        <v>327594426.78013331</v>
      </c>
      <c r="Q263" s="15"/>
      <c r="R263" s="15"/>
      <c r="S263" s="15">
        <v>819.45154514393482</v>
      </c>
      <c r="T263" s="15">
        <v>355</v>
      </c>
      <c r="U263" s="15">
        <v>210000</v>
      </c>
      <c r="V263" s="15">
        <f t="shared" ref="V263:V293" si="29">L263*T263/(S263*1000)</f>
        <v>4.1765371244725049</v>
      </c>
      <c r="W263" s="15">
        <v>4.1732899999999997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1662</v>
      </c>
      <c r="AF263" s="22" t="s">
        <v>5</v>
      </c>
      <c r="AG263" s="17">
        <f t="shared" ref="AG263:AG293" si="30">W263*S263</f>
        <v>3419.8089388337316</v>
      </c>
      <c r="AH263" s="17">
        <v>3228.9975841382748</v>
      </c>
      <c r="AI263" s="62">
        <v>16.785499210559433</v>
      </c>
      <c r="AJ263" s="17">
        <f t="shared" ref="AJ263:AJ293" si="31">(V263/AI263)^0.5</f>
        <v>0.49881676568887312</v>
      </c>
      <c r="AK263" s="15">
        <f t="shared" ref="AK263:AK293" si="32">W263/V263</f>
        <v>0.99922253187850796</v>
      </c>
      <c r="AL263" s="5">
        <v>10.167</v>
      </c>
      <c r="AO263" s="5">
        <f t="shared" ref="AO263:AO293" si="33">E263/C263</f>
        <v>2.3684210526315788</v>
      </c>
      <c r="AP263" s="5">
        <f t="shared" si="28"/>
        <v>16.785499210559433</v>
      </c>
    </row>
    <row r="264" spans="1:42">
      <c r="A264" s="15">
        <v>259</v>
      </c>
      <c r="B264" s="20" t="s">
        <v>1374</v>
      </c>
      <c r="C264" s="20">
        <v>190</v>
      </c>
      <c r="D264" s="15">
        <v>190</v>
      </c>
      <c r="E264" s="15">
        <v>450</v>
      </c>
      <c r="F264" s="15">
        <v>14.6</v>
      </c>
      <c r="G264" s="15">
        <v>14.6</v>
      </c>
      <c r="H264" s="15">
        <v>9.4</v>
      </c>
      <c r="I264" s="15">
        <v>21</v>
      </c>
      <c r="J264" s="15">
        <v>21</v>
      </c>
      <c r="K264" s="15">
        <v>10538.778123393422</v>
      </c>
      <c r="L264" s="15">
        <v>9640.76</v>
      </c>
      <c r="M264" s="15"/>
      <c r="N264" s="15"/>
      <c r="O264" s="15"/>
      <c r="P264" s="15">
        <v>327594426.78013331</v>
      </c>
      <c r="Q264" s="15"/>
      <c r="R264" s="15"/>
      <c r="S264" s="15">
        <v>680.08403344730766</v>
      </c>
      <c r="T264" s="15">
        <v>355</v>
      </c>
      <c r="U264" s="15">
        <v>210000</v>
      </c>
      <c r="V264" s="15">
        <f t="shared" si="29"/>
        <v>5.0324219238785739</v>
      </c>
      <c r="W264" s="15">
        <v>4.6563499999999998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1663</v>
      </c>
      <c r="AF264" s="22" t="s">
        <v>5</v>
      </c>
      <c r="AG264" s="17">
        <f t="shared" si="30"/>
        <v>3166.7092891423708</v>
      </c>
      <c r="AH264" s="17">
        <v>2656.5247458395461</v>
      </c>
      <c r="AI264" s="62">
        <v>8.9890220016111808</v>
      </c>
      <c r="AJ264" s="17">
        <f t="shared" si="31"/>
        <v>0.74822514853330968</v>
      </c>
      <c r="AK264" s="15">
        <f t="shared" si="32"/>
        <v>0.92527019205322736</v>
      </c>
      <c r="AL264" s="5">
        <v>10.167</v>
      </c>
      <c r="AO264" s="5">
        <f t="shared" si="33"/>
        <v>2.3684210526315788</v>
      </c>
      <c r="AP264" s="5">
        <f t="shared" si="28"/>
        <v>8.9890220016111808</v>
      </c>
    </row>
    <row r="265" spans="1:42">
      <c r="A265" s="15">
        <v>260</v>
      </c>
      <c r="B265" s="20" t="s">
        <v>1375</v>
      </c>
      <c r="C265" s="20">
        <v>190</v>
      </c>
      <c r="D265" s="15">
        <v>190</v>
      </c>
      <c r="E265" s="15">
        <v>450</v>
      </c>
      <c r="F265" s="15">
        <v>14.6</v>
      </c>
      <c r="G265" s="15">
        <v>14.6</v>
      </c>
      <c r="H265" s="15">
        <v>9.4</v>
      </c>
      <c r="I265" s="15">
        <v>21</v>
      </c>
      <c r="J265" s="15">
        <v>21</v>
      </c>
      <c r="K265" s="15">
        <v>14051.704164524563</v>
      </c>
      <c r="L265" s="15">
        <v>9640.76</v>
      </c>
      <c r="M265" s="15"/>
      <c r="N265" s="15"/>
      <c r="O265" s="15"/>
      <c r="P265" s="15">
        <v>327594426.78013331</v>
      </c>
      <c r="Q265" s="15"/>
      <c r="R265" s="15"/>
      <c r="S265" s="15">
        <v>534.90456729390337</v>
      </c>
      <c r="T265" s="15">
        <v>355</v>
      </c>
      <c r="U265" s="15">
        <v>210000</v>
      </c>
      <c r="V265" s="15">
        <f t="shared" si="29"/>
        <v>6.3982811313695969</v>
      </c>
      <c r="W265" s="15">
        <v>4.8896899999999999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1664</v>
      </c>
      <c r="AF265" s="22" t="s">
        <v>5</v>
      </c>
      <c r="AG265" s="17">
        <f t="shared" si="30"/>
        <v>2615.5175136513262</v>
      </c>
      <c r="AH265" s="17">
        <v>2068.1854870352267</v>
      </c>
      <c r="AI265" s="62">
        <v>6.4286716290775257</v>
      </c>
      <c r="AJ265" s="17">
        <f t="shared" si="31"/>
        <v>0.99763353137774624</v>
      </c>
      <c r="AK265" s="15">
        <f t="shared" si="32"/>
        <v>0.76421931134390897</v>
      </c>
      <c r="AL265" s="5">
        <v>10.167</v>
      </c>
      <c r="AO265" s="5">
        <f t="shared" si="33"/>
        <v>2.3684210526315788</v>
      </c>
      <c r="AP265" s="5">
        <f t="shared" si="28"/>
        <v>6.4286716290775257</v>
      </c>
    </row>
    <row r="266" spans="1:42">
      <c r="A266" s="15">
        <v>261</v>
      </c>
      <c r="B266" s="20" t="s">
        <v>1376</v>
      </c>
      <c r="C266" s="20">
        <v>190</v>
      </c>
      <c r="D266" s="15">
        <v>190</v>
      </c>
      <c r="E266" s="15">
        <v>450</v>
      </c>
      <c r="F266" s="15">
        <v>14.6</v>
      </c>
      <c r="G266" s="15">
        <v>14.6</v>
      </c>
      <c r="H266" s="15">
        <v>9.4</v>
      </c>
      <c r="I266" s="15">
        <v>21</v>
      </c>
      <c r="J266" s="15">
        <v>21</v>
      </c>
      <c r="K266" s="15">
        <v>18688.766538817672</v>
      </c>
      <c r="L266" s="15">
        <v>9640.76</v>
      </c>
      <c r="M266" s="15"/>
      <c r="N266" s="15"/>
      <c r="O266" s="15"/>
      <c r="P266" s="15">
        <v>327594426.78013331</v>
      </c>
      <c r="Q266" s="15"/>
      <c r="R266" s="15"/>
      <c r="S266" s="15">
        <v>376.43679213064746</v>
      </c>
      <c r="T266" s="15">
        <v>355</v>
      </c>
      <c r="U266" s="15">
        <v>210000</v>
      </c>
      <c r="V266" s="15">
        <f t="shared" si="29"/>
        <v>9.0917515809989844</v>
      </c>
      <c r="W266" s="15">
        <v>4.6839000000000004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1665</v>
      </c>
      <c r="AF266" s="22" t="s">
        <v>5</v>
      </c>
      <c r="AG266" s="17">
        <f t="shared" si="30"/>
        <v>1763.1922906607399</v>
      </c>
      <c r="AH266" s="17">
        <v>1441.7372322970468</v>
      </c>
      <c r="AI266" s="62">
        <v>5.1641898921523426</v>
      </c>
      <c r="AJ266" s="17">
        <f t="shared" si="31"/>
        <v>1.3268525967324027</v>
      </c>
      <c r="AK266" s="15">
        <f t="shared" si="32"/>
        <v>0.51518125613869248</v>
      </c>
      <c r="AL266" s="5">
        <v>10.167</v>
      </c>
      <c r="AO266" s="5">
        <f t="shared" si="33"/>
        <v>2.3684210526315788</v>
      </c>
      <c r="AP266" s="5">
        <f t="shared" si="28"/>
        <v>5.1641898921523426</v>
      </c>
    </row>
    <row r="267" spans="1:42">
      <c r="A267" s="15">
        <v>262</v>
      </c>
      <c r="B267" s="20" t="s">
        <v>1377</v>
      </c>
      <c r="C267" s="20">
        <v>190</v>
      </c>
      <c r="D267" s="15">
        <v>190</v>
      </c>
      <c r="E267" s="15">
        <v>450</v>
      </c>
      <c r="F267" s="15">
        <v>14.6</v>
      </c>
      <c r="G267" s="15">
        <v>14.6</v>
      </c>
      <c r="H267" s="15">
        <v>9.4</v>
      </c>
      <c r="I267" s="15">
        <v>21</v>
      </c>
      <c r="J267" s="15">
        <v>21</v>
      </c>
      <c r="K267" s="15">
        <v>23466.34595475602</v>
      </c>
      <c r="L267" s="15">
        <v>9640.76</v>
      </c>
      <c r="M267" s="15"/>
      <c r="N267" s="15"/>
      <c r="O267" s="15"/>
      <c r="P267" s="15">
        <v>327594426.78013331</v>
      </c>
      <c r="Q267" s="15"/>
      <c r="R267" s="15"/>
      <c r="S267" s="15">
        <v>266.65917121426412</v>
      </c>
      <c r="T267" s="15">
        <v>355</v>
      </c>
      <c r="U267" s="15">
        <v>210000</v>
      </c>
      <c r="V267" s="15">
        <f t="shared" si="29"/>
        <v>12.834622504882839</v>
      </c>
      <c r="W267" s="15">
        <v>4.4298599999999997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1666</v>
      </c>
      <c r="AF267" s="22" t="s">
        <v>5</v>
      </c>
      <c r="AG267" s="17">
        <f t="shared" si="30"/>
        <v>1181.2627961952201</v>
      </c>
      <c r="AH267" s="17">
        <v>1016.210947462813</v>
      </c>
      <c r="AI267" s="62">
        <v>4.6238962596334598</v>
      </c>
      <c r="AJ267" s="17">
        <f t="shared" si="31"/>
        <v>1.6660479974008364</v>
      </c>
      <c r="AK267" s="15">
        <f t="shared" si="32"/>
        <v>0.34514922416414595</v>
      </c>
      <c r="AL267" s="5">
        <v>10.167</v>
      </c>
      <c r="AO267" s="5">
        <f t="shared" si="33"/>
        <v>2.3684210526315788</v>
      </c>
      <c r="AP267" s="5">
        <f t="shared" si="28"/>
        <v>4.6238962596334598</v>
      </c>
    </row>
    <row r="268" spans="1:42">
      <c r="A268" s="15">
        <v>263</v>
      </c>
      <c r="B268" s="20" t="s">
        <v>1378</v>
      </c>
      <c r="C268" s="20">
        <v>190</v>
      </c>
      <c r="D268" s="15">
        <v>190</v>
      </c>
      <c r="E268" s="15">
        <v>450</v>
      </c>
      <c r="F268" s="15">
        <v>14.6</v>
      </c>
      <c r="G268" s="15">
        <v>14.6</v>
      </c>
      <c r="H268" s="15">
        <v>9.4</v>
      </c>
      <c r="I268" s="15">
        <v>21</v>
      </c>
      <c r="J268" s="15">
        <v>21</v>
      </c>
      <c r="K268" s="15">
        <v>28103.408329049125</v>
      </c>
      <c r="L268" s="15">
        <v>9640.76</v>
      </c>
      <c r="M268" s="15"/>
      <c r="N268" s="15"/>
      <c r="O268" s="15"/>
      <c r="P268" s="15">
        <v>327594426.78013331</v>
      </c>
      <c r="Q268" s="15"/>
      <c r="R268" s="15"/>
      <c r="S268" s="15">
        <v>197.69070001011542</v>
      </c>
      <c r="T268" s="15">
        <v>355</v>
      </c>
      <c r="U268" s="15">
        <v>210000</v>
      </c>
      <c r="V268" s="15">
        <f t="shared" si="29"/>
        <v>17.31224483410135</v>
      </c>
      <c r="W268" s="15">
        <v>4.1905700000000001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1667</v>
      </c>
      <c r="AF268" s="22" t="s">
        <v>5</v>
      </c>
      <c r="AG268" s="17">
        <f t="shared" si="30"/>
        <v>828.43671674138943</v>
      </c>
      <c r="AH268" s="17">
        <v>751.46283996896477</v>
      </c>
      <c r="AI268" s="62">
        <v>4.3486185944133355</v>
      </c>
      <c r="AJ268" s="17">
        <f t="shared" si="31"/>
        <v>1.9952670627554925</v>
      </c>
      <c r="AK268" s="15">
        <f t="shared" si="32"/>
        <v>0.24205815249016641</v>
      </c>
      <c r="AL268" s="5">
        <v>10.167</v>
      </c>
      <c r="AO268" s="5">
        <f t="shared" si="33"/>
        <v>2.3684210526315788</v>
      </c>
      <c r="AP268" s="5">
        <f t="shared" si="28"/>
        <v>4.3486185944133355</v>
      </c>
    </row>
    <row r="269" spans="1:42">
      <c r="A269" s="15">
        <v>264</v>
      </c>
      <c r="B269" s="20" t="s">
        <v>1379</v>
      </c>
      <c r="C269" s="20">
        <v>190</v>
      </c>
      <c r="D269" s="15">
        <v>190</v>
      </c>
      <c r="E269" s="15">
        <v>450</v>
      </c>
      <c r="F269" s="15">
        <v>14.6</v>
      </c>
      <c r="G269" s="15">
        <v>14.6</v>
      </c>
      <c r="H269" s="15">
        <v>9.4</v>
      </c>
      <c r="I269" s="15">
        <v>21</v>
      </c>
      <c r="J269" s="15">
        <v>21</v>
      </c>
      <c r="K269" s="15">
        <v>35129.260411311407</v>
      </c>
      <c r="L269" s="15">
        <v>9640.76</v>
      </c>
      <c r="M269" s="15"/>
      <c r="N269" s="15"/>
      <c r="O269" s="15"/>
      <c r="P269" s="15">
        <v>327594426.78013331</v>
      </c>
      <c r="Q269" s="15"/>
      <c r="R269" s="15"/>
      <c r="S269" s="15">
        <v>133.75902804655507</v>
      </c>
      <c r="T269" s="15">
        <v>355</v>
      </c>
      <c r="U269" s="15">
        <v>210000</v>
      </c>
      <c r="V269" s="15">
        <f t="shared" si="29"/>
        <v>25.586832156172694</v>
      </c>
      <c r="W269" s="15">
        <v>3.9723899999999999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1668</v>
      </c>
      <c r="AF269" s="22" t="s">
        <v>5</v>
      </c>
      <c r="AG269" s="17">
        <f t="shared" si="30"/>
        <v>531.34302542185492</v>
      </c>
      <c r="AH269" s="17">
        <v>507.39997914556182</v>
      </c>
      <c r="AI269" s="62">
        <v>4.1133382815305168</v>
      </c>
      <c r="AJ269" s="17">
        <f t="shared" si="31"/>
        <v>2.4940838284443654</v>
      </c>
      <c r="AK269" s="15">
        <f t="shared" si="32"/>
        <v>0.15525134083633252</v>
      </c>
      <c r="AL269" s="5">
        <v>10.167</v>
      </c>
      <c r="AO269" s="5">
        <f t="shared" si="33"/>
        <v>2.3684210526315788</v>
      </c>
      <c r="AP269" s="5">
        <f t="shared" si="28"/>
        <v>4.1133382815305168</v>
      </c>
    </row>
    <row r="270" spans="1:42">
      <c r="A270" s="15">
        <v>265</v>
      </c>
      <c r="B270" s="20" t="s">
        <v>1380</v>
      </c>
      <c r="C270" s="20">
        <v>200</v>
      </c>
      <c r="D270" s="15">
        <v>200</v>
      </c>
      <c r="E270" s="15">
        <v>500</v>
      </c>
      <c r="F270" s="15">
        <v>16</v>
      </c>
      <c r="G270" s="15">
        <v>16</v>
      </c>
      <c r="H270" s="15">
        <v>10.199999999999999</v>
      </c>
      <c r="I270" s="15">
        <v>21</v>
      </c>
      <c r="J270" s="15">
        <v>21</v>
      </c>
      <c r="K270" s="15">
        <v>4661.5006401205219</v>
      </c>
      <c r="L270" s="15">
        <v>11336.799999999997</v>
      </c>
      <c r="M270" s="15"/>
      <c r="N270" s="15"/>
      <c r="O270" s="15"/>
      <c r="P270" s="15">
        <v>471182518.39999986</v>
      </c>
      <c r="Q270" s="15"/>
      <c r="R270" s="15"/>
      <c r="S270" s="15">
        <v>1083.4982963682176</v>
      </c>
      <c r="T270" s="15">
        <v>355</v>
      </c>
      <c r="U270" s="15">
        <v>210000</v>
      </c>
      <c r="V270" s="15">
        <f t="shared" si="29"/>
        <v>3.7144165463757091</v>
      </c>
      <c r="W270" s="15">
        <v>3.8205900000000002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1669</v>
      </c>
      <c r="AF270" s="22" t="s">
        <v>5</v>
      </c>
      <c r="AG270" s="17">
        <f t="shared" si="30"/>
        <v>4139.6027561214487</v>
      </c>
      <c r="AH270" s="17">
        <v>2804.879544008154</v>
      </c>
      <c r="AI270" s="62">
        <v>41.479019331053586</v>
      </c>
      <c r="AJ270" s="47">
        <f t="shared" si="31"/>
        <v>0.2992478664070331</v>
      </c>
      <c r="AK270" s="15">
        <f t="shared" si="32"/>
        <v>1.0285841537422313</v>
      </c>
      <c r="AL270" s="56">
        <v>5.66</v>
      </c>
      <c r="AO270" s="5">
        <f t="shared" si="33"/>
        <v>2.5</v>
      </c>
      <c r="AP270" s="5">
        <f t="shared" si="28"/>
        <v>41.479019331053586</v>
      </c>
    </row>
    <row r="271" spans="1:42">
      <c r="A271" s="15">
        <v>266</v>
      </c>
      <c r="B271" s="20" t="s">
        <v>1381</v>
      </c>
      <c r="C271" s="20">
        <v>200</v>
      </c>
      <c r="D271" s="15">
        <v>200</v>
      </c>
      <c r="E271" s="15">
        <v>500</v>
      </c>
      <c r="F271" s="15">
        <v>16</v>
      </c>
      <c r="G271" s="15">
        <v>16</v>
      </c>
      <c r="H271" s="15">
        <v>10.199999999999999</v>
      </c>
      <c r="I271" s="15">
        <v>21</v>
      </c>
      <c r="J271" s="15">
        <v>21</v>
      </c>
      <c r="K271" s="15">
        <v>7769.1677335342029</v>
      </c>
      <c r="L271" s="15">
        <v>11336.8</v>
      </c>
      <c r="M271" s="15"/>
      <c r="N271" s="15"/>
      <c r="O271" s="15"/>
      <c r="P271" s="15">
        <v>471182518.39999998</v>
      </c>
      <c r="Q271" s="15"/>
      <c r="R271" s="15"/>
      <c r="S271" s="15">
        <v>969.56103888556663</v>
      </c>
      <c r="T271" s="15">
        <v>355</v>
      </c>
      <c r="U271" s="15">
        <v>210000</v>
      </c>
      <c r="V271" s="15">
        <f t="shared" si="29"/>
        <v>4.1509134944468435</v>
      </c>
      <c r="W271" s="15">
        <v>4.1132799999999996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1670</v>
      </c>
      <c r="AF271" s="22" t="s">
        <v>5</v>
      </c>
      <c r="AG271" s="17">
        <f t="shared" si="30"/>
        <v>3988.0760300272232</v>
      </c>
      <c r="AH271" s="17">
        <v>2525.1386907777101</v>
      </c>
      <c r="AI271" s="62">
        <v>16.687222559475302</v>
      </c>
      <c r="AJ271" s="17">
        <f t="shared" si="31"/>
        <v>0.4987464440117218</v>
      </c>
      <c r="AK271" s="15">
        <f t="shared" si="32"/>
        <v>0.99093368375486734</v>
      </c>
      <c r="AL271" s="5">
        <v>5.66</v>
      </c>
      <c r="AO271" s="5">
        <f t="shared" si="33"/>
        <v>2.5</v>
      </c>
      <c r="AP271" s="5">
        <f t="shared" si="28"/>
        <v>16.687222559475302</v>
      </c>
    </row>
    <row r="272" spans="1:42">
      <c r="A272" s="15">
        <v>267</v>
      </c>
      <c r="B272" s="20" t="s">
        <v>1382</v>
      </c>
      <c r="C272" s="20">
        <v>200</v>
      </c>
      <c r="D272" s="15">
        <v>200</v>
      </c>
      <c r="E272" s="15">
        <v>500</v>
      </c>
      <c r="F272" s="15">
        <v>16</v>
      </c>
      <c r="G272" s="15">
        <v>16</v>
      </c>
      <c r="H272" s="15">
        <v>10.199999999999999</v>
      </c>
      <c r="I272" s="15">
        <v>21</v>
      </c>
      <c r="J272" s="15">
        <v>21</v>
      </c>
      <c r="K272" s="15">
        <v>11653.751600301304</v>
      </c>
      <c r="L272" s="15">
        <v>11336.8</v>
      </c>
      <c r="M272" s="15"/>
      <c r="N272" s="15"/>
      <c r="O272" s="15"/>
      <c r="P272" s="15">
        <v>471182518.39999998</v>
      </c>
      <c r="Q272" s="15"/>
      <c r="R272" s="15"/>
      <c r="S272" s="15">
        <v>809.90946644344604</v>
      </c>
      <c r="T272" s="15">
        <v>355</v>
      </c>
      <c r="U272" s="15">
        <v>210000</v>
      </c>
      <c r="V272" s="15">
        <f t="shared" si="29"/>
        <v>4.9691529322074235</v>
      </c>
      <c r="W272" s="15">
        <v>4.5591200000000001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1671</v>
      </c>
      <c r="AF272" s="22" t="s">
        <v>5</v>
      </c>
      <c r="AG272" s="17">
        <f t="shared" si="30"/>
        <v>3692.4744466516436</v>
      </c>
      <c r="AH272" s="17">
        <v>2135.33388901322</v>
      </c>
      <c r="AI272" s="62">
        <v>8.8785127014408918</v>
      </c>
      <c r="AJ272" s="17">
        <f t="shared" si="31"/>
        <v>0.74811966601758262</v>
      </c>
      <c r="AK272" s="15">
        <f t="shared" si="32"/>
        <v>0.91748434032895088</v>
      </c>
      <c r="AL272" s="5">
        <v>5.66</v>
      </c>
      <c r="AO272" s="5">
        <f t="shared" si="33"/>
        <v>2.5</v>
      </c>
      <c r="AP272" s="5">
        <f t="shared" si="28"/>
        <v>8.8785127014408918</v>
      </c>
    </row>
    <row r="273" spans="1:42">
      <c r="A273" s="15">
        <v>268</v>
      </c>
      <c r="B273" s="20" t="s">
        <v>1383</v>
      </c>
      <c r="C273" s="20">
        <v>200</v>
      </c>
      <c r="D273" s="15">
        <v>200</v>
      </c>
      <c r="E273" s="15">
        <v>500</v>
      </c>
      <c r="F273" s="15">
        <v>16</v>
      </c>
      <c r="G273" s="15">
        <v>16</v>
      </c>
      <c r="H273" s="15">
        <v>10.199999999999999</v>
      </c>
      <c r="I273" s="15">
        <v>21</v>
      </c>
      <c r="J273" s="15">
        <v>21</v>
      </c>
      <c r="K273" s="15">
        <v>15538.335467068406</v>
      </c>
      <c r="L273" s="15">
        <v>11336.8</v>
      </c>
      <c r="M273" s="15"/>
      <c r="N273" s="15"/>
      <c r="O273" s="15"/>
      <c r="P273" s="15">
        <v>471182518.39999998</v>
      </c>
      <c r="Q273" s="15"/>
      <c r="R273" s="15"/>
      <c r="S273" s="15">
        <v>642.0222418923737</v>
      </c>
      <c r="T273" s="15">
        <v>355</v>
      </c>
      <c r="U273" s="15">
        <v>210000</v>
      </c>
      <c r="V273" s="15">
        <f t="shared" si="29"/>
        <v>6.2685741044383683</v>
      </c>
      <c r="W273" s="15">
        <v>4.7512800000000004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1672</v>
      </c>
      <c r="AF273" s="22" t="s">
        <v>5</v>
      </c>
      <c r="AG273" s="17">
        <f t="shared" si="30"/>
        <v>3050.4274374583974</v>
      </c>
      <c r="AH273" s="17">
        <v>1718.7553355681105</v>
      </c>
      <c r="AI273" s="62">
        <v>6.3001247406907499</v>
      </c>
      <c r="AJ273" s="17">
        <f t="shared" si="31"/>
        <v>0.9974928880234436</v>
      </c>
      <c r="AK273" s="15">
        <f t="shared" si="32"/>
        <v>0.75795227444721902</v>
      </c>
      <c r="AL273" s="5">
        <v>5.66</v>
      </c>
      <c r="AO273" s="5">
        <f t="shared" si="33"/>
        <v>2.5</v>
      </c>
      <c r="AP273" s="5">
        <f t="shared" si="28"/>
        <v>6.3001247406907499</v>
      </c>
    </row>
    <row r="274" spans="1:42">
      <c r="A274" s="15">
        <v>269</v>
      </c>
      <c r="B274" s="20" t="s">
        <v>1384</v>
      </c>
      <c r="C274" s="20">
        <v>200</v>
      </c>
      <c r="D274" s="15">
        <v>200</v>
      </c>
      <c r="E274" s="15">
        <v>500</v>
      </c>
      <c r="F274" s="15">
        <v>16</v>
      </c>
      <c r="G274" s="15">
        <v>16</v>
      </c>
      <c r="H274" s="15">
        <v>10.199999999999999</v>
      </c>
      <c r="I274" s="15">
        <v>21</v>
      </c>
      <c r="J274" s="15">
        <v>21</v>
      </c>
      <c r="K274" s="15">
        <v>20665.986171200981</v>
      </c>
      <c r="L274" s="15">
        <v>11336.8</v>
      </c>
      <c r="M274" s="15"/>
      <c r="N274" s="15"/>
      <c r="O274" s="15"/>
      <c r="P274" s="15">
        <v>471182518.39999998</v>
      </c>
      <c r="Q274" s="15"/>
      <c r="R274" s="15"/>
      <c r="S274" s="15">
        <v>455.25046478913652</v>
      </c>
      <c r="T274" s="15">
        <v>355</v>
      </c>
      <c r="U274" s="15">
        <v>210000</v>
      </c>
      <c r="V274" s="15">
        <f t="shared" si="29"/>
        <v>8.8403292501065369</v>
      </c>
      <c r="W274" s="15">
        <v>4.5151899999999996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1673</v>
      </c>
      <c r="AF274" s="22" t="s">
        <v>5</v>
      </c>
      <c r="AG274" s="17">
        <f t="shared" si="30"/>
        <v>2055.5423461112609</v>
      </c>
      <c r="AH274" s="17">
        <v>1237.8619461624439</v>
      </c>
      <c r="AI274" s="62">
        <v>5.0227960316495937</v>
      </c>
      <c r="AJ274" s="17">
        <f t="shared" si="31"/>
        <v>1.3266655410711798</v>
      </c>
      <c r="AK274" s="15">
        <f t="shared" si="32"/>
        <v>0.51074907644933998</v>
      </c>
      <c r="AL274" s="5">
        <v>5.66</v>
      </c>
      <c r="AO274" s="5">
        <f t="shared" si="33"/>
        <v>2.5</v>
      </c>
      <c r="AP274" s="5">
        <f t="shared" si="28"/>
        <v>5.0227960316495937</v>
      </c>
    </row>
    <row r="275" spans="1:42">
      <c r="A275" s="15">
        <v>270</v>
      </c>
      <c r="B275" s="20" t="s">
        <v>1385</v>
      </c>
      <c r="C275" s="20">
        <v>200</v>
      </c>
      <c r="D275" s="15">
        <v>200</v>
      </c>
      <c r="E275" s="15">
        <v>500</v>
      </c>
      <c r="F275" s="15">
        <v>16</v>
      </c>
      <c r="G275" s="15">
        <v>16</v>
      </c>
      <c r="H275" s="15">
        <v>10.199999999999999</v>
      </c>
      <c r="I275" s="15">
        <v>21</v>
      </c>
      <c r="J275" s="15">
        <v>21</v>
      </c>
      <c r="K275" s="15">
        <v>25949.020230004237</v>
      </c>
      <c r="L275" s="15">
        <v>11336.8</v>
      </c>
      <c r="M275" s="15"/>
      <c r="N275" s="15"/>
      <c r="O275" s="15"/>
      <c r="P275" s="15">
        <v>471182518.39999998</v>
      </c>
      <c r="Q275" s="15"/>
      <c r="R275" s="15"/>
      <c r="S275" s="15">
        <v>323.80396950707927</v>
      </c>
      <c r="T275" s="15">
        <v>355</v>
      </c>
      <c r="U275" s="15">
        <v>210000</v>
      </c>
      <c r="V275" s="15">
        <f t="shared" si="29"/>
        <v>12.429013783019764</v>
      </c>
      <c r="W275" s="15">
        <v>4.2529399999999997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1674</v>
      </c>
      <c r="AF275" s="22" t="s">
        <v>5</v>
      </c>
      <c r="AG275" s="17">
        <f t="shared" si="30"/>
        <v>1377.1188540754376</v>
      </c>
      <c r="AH275" s="17">
        <v>888.10027026159901</v>
      </c>
      <c r="AI275" s="62">
        <v>4.4790314458696745</v>
      </c>
      <c r="AJ275" s="17">
        <f t="shared" si="31"/>
        <v>1.6658131229991506</v>
      </c>
      <c r="AK275" s="15">
        <f t="shared" si="32"/>
        <v>0.34217839598909044</v>
      </c>
      <c r="AL275" s="5">
        <v>5.66</v>
      </c>
      <c r="AO275" s="5">
        <f t="shared" si="33"/>
        <v>2.5</v>
      </c>
      <c r="AP275" s="5">
        <f t="shared" si="28"/>
        <v>4.4790314458696745</v>
      </c>
    </row>
    <row r="276" spans="1:42">
      <c r="A276" s="15">
        <v>271</v>
      </c>
      <c r="B276" s="20" t="s">
        <v>1386</v>
      </c>
      <c r="C276" s="20">
        <v>200</v>
      </c>
      <c r="D276" s="15">
        <v>200</v>
      </c>
      <c r="E276" s="15">
        <v>500</v>
      </c>
      <c r="F276" s="15">
        <v>16</v>
      </c>
      <c r="G276" s="15">
        <v>16</v>
      </c>
      <c r="H276" s="15">
        <v>10.199999999999999</v>
      </c>
      <c r="I276" s="15">
        <v>21</v>
      </c>
      <c r="J276" s="15">
        <v>21</v>
      </c>
      <c r="K276" s="15">
        <v>31076.670934136811</v>
      </c>
      <c r="L276" s="15">
        <v>11336.8</v>
      </c>
      <c r="M276" s="15"/>
      <c r="N276" s="15"/>
      <c r="O276" s="15"/>
      <c r="P276" s="15">
        <v>471182518.39999998</v>
      </c>
      <c r="Q276" s="15"/>
      <c r="R276" s="15"/>
      <c r="S276" s="15">
        <v>240.55685525702302</v>
      </c>
      <c r="T276" s="15">
        <v>355</v>
      </c>
      <c r="U276" s="15">
        <v>210000</v>
      </c>
      <c r="V276" s="15">
        <f t="shared" si="29"/>
        <v>16.730198753637485</v>
      </c>
      <c r="W276" s="15">
        <v>4.0293400000000004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1675</v>
      </c>
      <c r="AF276" s="22" t="s">
        <v>5</v>
      </c>
      <c r="AG276" s="17">
        <f t="shared" si="30"/>
        <v>969.28535916133319</v>
      </c>
      <c r="AH276" s="17">
        <v>662.73183271056735</v>
      </c>
      <c r="AI276" s="62">
        <v>4.2036010633517344</v>
      </c>
      <c r="AJ276" s="17">
        <f t="shared" si="31"/>
        <v>1.994985776046887</v>
      </c>
      <c r="AK276" s="15">
        <f t="shared" si="32"/>
        <v>0.24084232705985875</v>
      </c>
      <c r="AL276" s="5">
        <v>5.66</v>
      </c>
      <c r="AO276" s="5">
        <f t="shared" si="33"/>
        <v>2.5</v>
      </c>
      <c r="AP276" s="5">
        <f t="shared" si="28"/>
        <v>4.2036010633517344</v>
      </c>
    </row>
    <row r="277" spans="1:42">
      <c r="A277" s="15">
        <v>272</v>
      </c>
      <c r="B277" s="20" t="s">
        <v>1387</v>
      </c>
      <c r="C277" s="20">
        <v>200</v>
      </c>
      <c r="D277" s="15">
        <v>200</v>
      </c>
      <c r="E277" s="15">
        <v>500</v>
      </c>
      <c r="F277" s="15">
        <v>16</v>
      </c>
      <c r="G277" s="15">
        <v>16</v>
      </c>
      <c r="H277" s="15">
        <v>10.199999999999999</v>
      </c>
      <c r="I277" s="15">
        <v>21</v>
      </c>
      <c r="J277" s="15">
        <v>21</v>
      </c>
      <c r="K277" s="15">
        <v>38845.838667671014</v>
      </c>
      <c r="L277" s="15">
        <v>11336.8</v>
      </c>
      <c r="M277" s="15"/>
      <c r="N277" s="15"/>
      <c r="O277" s="15"/>
      <c r="P277" s="15">
        <v>471182518.39999998</v>
      </c>
      <c r="Q277" s="15"/>
      <c r="R277" s="15"/>
      <c r="S277" s="15">
        <v>163.03645606589703</v>
      </c>
      <c r="T277" s="15">
        <v>355</v>
      </c>
      <c r="U277" s="15">
        <v>210000</v>
      </c>
      <c r="V277" s="15">
        <f t="shared" si="29"/>
        <v>24.685055705414303</v>
      </c>
      <c r="W277" s="15">
        <v>3.81318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1676</v>
      </c>
      <c r="AF277" s="22" t="s">
        <v>5</v>
      </c>
      <c r="AG277" s="17">
        <f t="shared" si="30"/>
        <v>621.6873535413572</v>
      </c>
      <c r="AH277" s="17">
        <v>450.77963648270901</v>
      </c>
      <c r="AI277" s="62">
        <v>3.9694878633377813</v>
      </c>
      <c r="AJ277" s="17">
        <f t="shared" si="31"/>
        <v>2.4937322200586087</v>
      </c>
      <c r="AK277" s="15">
        <f t="shared" si="32"/>
        <v>0.15447321835144309</v>
      </c>
      <c r="AL277" s="5">
        <v>5.66</v>
      </c>
      <c r="AO277" s="5">
        <f t="shared" si="33"/>
        <v>2.5</v>
      </c>
      <c r="AP277" s="5">
        <f t="shared" si="28"/>
        <v>3.9694878633377813</v>
      </c>
    </row>
    <row r="278" spans="1:42">
      <c r="A278" s="15">
        <v>273</v>
      </c>
      <c r="B278" s="20" t="s">
        <v>1388</v>
      </c>
      <c r="C278" s="20">
        <v>210</v>
      </c>
      <c r="D278" s="15">
        <v>210</v>
      </c>
      <c r="E278" s="15">
        <v>550</v>
      </c>
      <c r="F278" s="15">
        <v>17.2</v>
      </c>
      <c r="G278" s="15">
        <v>17.2</v>
      </c>
      <c r="H278" s="15">
        <v>11.1</v>
      </c>
      <c r="I278" s="15">
        <v>24</v>
      </c>
      <c r="J278" s="15">
        <v>24</v>
      </c>
      <c r="K278" s="15">
        <v>5095.0607551391531</v>
      </c>
      <c r="L278" s="15">
        <v>13138.079999999994</v>
      </c>
      <c r="M278" s="15"/>
      <c r="N278" s="15"/>
      <c r="O278" s="15"/>
      <c r="P278" s="15">
        <v>652585136.02559984</v>
      </c>
      <c r="Q278" s="15"/>
      <c r="R278" s="15"/>
      <c r="S278" s="15">
        <v>1264.4877770070132</v>
      </c>
      <c r="T278" s="15">
        <v>355</v>
      </c>
      <c r="U278" s="15">
        <v>210000</v>
      </c>
      <c r="V278" s="15">
        <f t="shared" si="29"/>
        <v>3.6884645979255914</v>
      </c>
      <c r="W278" s="15">
        <v>3.8058999999999998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1677</v>
      </c>
      <c r="AF278" s="22" t="s">
        <v>5</v>
      </c>
      <c r="AG278" s="17">
        <f t="shared" si="30"/>
        <v>4812.5140305109908</v>
      </c>
      <c r="AH278" s="17">
        <v>2067.8430712119402</v>
      </c>
      <c r="AI278" s="62">
        <v>41.204329172533477</v>
      </c>
      <c r="AJ278" s="17">
        <f t="shared" si="31"/>
        <v>0.29919297056730504</v>
      </c>
      <c r="AK278" s="15">
        <f t="shared" si="32"/>
        <v>1.0318385601804216</v>
      </c>
      <c r="AL278" s="56">
        <v>2.8845000000000001</v>
      </c>
      <c r="AO278" s="5">
        <f t="shared" si="33"/>
        <v>2.6190476190476191</v>
      </c>
      <c r="AP278" s="5">
        <f t="shared" si="28"/>
        <v>41.204329172533477</v>
      </c>
    </row>
    <row r="279" spans="1:42">
      <c r="A279" s="15">
        <v>274</v>
      </c>
      <c r="B279" s="20" t="s">
        <v>1389</v>
      </c>
      <c r="C279" s="20">
        <v>210</v>
      </c>
      <c r="D279" s="15">
        <v>210</v>
      </c>
      <c r="E279" s="15">
        <v>550</v>
      </c>
      <c r="F279" s="15">
        <v>17.2</v>
      </c>
      <c r="G279" s="15">
        <v>17.2</v>
      </c>
      <c r="H279" s="15">
        <v>11.1</v>
      </c>
      <c r="I279" s="15">
        <v>24</v>
      </c>
      <c r="J279" s="15">
        <v>24</v>
      </c>
      <c r="K279" s="15">
        <v>8491.7679252319213</v>
      </c>
      <c r="L279" s="15">
        <v>13138.079999999994</v>
      </c>
      <c r="M279" s="15"/>
      <c r="N279" s="15"/>
      <c r="O279" s="15"/>
      <c r="P279" s="15">
        <v>652585136.02559996</v>
      </c>
      <c r="Q279" s="15"/>
      <c r="R279" s="15"/>
      <c r="S279" s="15">
        <v>1139.6352870991707</v>
      </c>
      <c r="T279" s="15">
        <v>355</v>
      </c>
      <c r="U279" s="15">
        <v>210000</v>
      </c>
      <c r="V279" s="15">
        <f t="shared" si="29"/>
        <v>4.0925535149686318</v>
      </c>
      <c r="W279" s="15">
        <v>4.0697400000000004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1678</v>
      </c>
      <c r="AF279" s="22" t="s">
        <v>5</v>
      </c>
      <c r="AG279" s="17">
        <f t="shared" si="30"/>
        <v>4638.0193133189796</v>
      </c>
      <c r="AH279" s="17">
        <v>1890.963876434048</v>
      </c>
      <c r="AI279" s="62">
        <v>16.458645698118801</v>
      </c>
      <c r="AJ279" s="17">
        <f t="shared" si="31"/>
        <v>0.49865495094550832</v>
      </c>
      <c r="AK279" s="15">
        <f t="shared" si="32"/>
        <v>0.99442560374954403</v>
      </c>
      <c r="AL279" s="5">
        <v>2.8845000000000001</v>
      </c>
      <c r="AO279" s="5">
        <f t="shared" si="33"/>
        <v>2.6190476190476191</v>
      </c>
      <c r="AP279" s="5">
        <f t="shared" si="28"/>
        <v>16.458645698118801</v>
      </c>
    </row>
    <row r="280" spans="1:42">
      <c r="A280" s="15">
        <v>275</v>
      </c>
      <c r="B280" s="20" t="s">
        <v>1390</v>
      </c>
      <c r="C280" s="20">
        <v>210</v>
      </c>
      <c r="D280" s="15">
        <v>210</v>
      </c>
      <c r="E280" s="15">
        <v>550</v>
      </c>
      <c r="F280" s="15">
        <v>17.2</v>
      </c>
      <c r="G280" s="15">
        <v>17.2</v>
      </c>
      <c r="H280" s="15">
        <v>11.1</v>
      </c>
      <c r="I280" s="15">
        <v>24</v>
      </c>
      <c r="J280" s="15">
        <v>24</v>
      </c>
      <c r="K280" s="15">
        <v>12737.651887847884</v>
      </c>
      <c r="L280" s="15">
        <v>13138.079999999994</v>
      </c>
      <c r="M280" s="15"/>
      <c r="N280" s="15"/>
      <c r="O280" s="15"/>
      <c r="P280" s="15">
        <v>652585136.02559996</v>
      </c>
      <c r="Q280" s="15"/>
      <c r="R280" s="15"/>
      <c r="S280" s="15">
        <v>965.86650513955851</v>
      </c>
      <c r="T280" s="15">
        <v>355</v>
      </c>
      <c r="U280" s="15">
        <v>210000</v>
      </c>
      <c r="V280" s="15">
        <f t="shared" si="29"/>
        <v>4.8288437120263232</v>
      </c>
      <c r="W280" s="15">
        <v>4.4511500000000002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1679</v>
      </c>
      <c r="AF280" s="22" t="s">
        <v>5</v>
      </c>
      <c r="AG280" s="17">
        <f t="shared" si="30"/>
        <v>4299.216694351946</v>
      </c>
      <c r="AH280" s="17">
        <v>1649.7885578004339</v>
      </c>
      <c r="AI280" s="62">
        <v>8.6309849771073761</v>
      </c>
      <c r="AJ280" s="17">
        <f t="shared" si="31"/>
        <v>0.74798242641826251</v>
      </c>
      <c r="AK280" s="15">
        <f t="shared" si="32"/>
        <v>0.92178381936742537</v>
      </c>
      <c r="AL280" s="5">
        <v>2.8845000000000001</v>
      </c>
      <c r="AO280" s="5">
        <f t="shared" si="33"/>
        <v>2.6190476190476191</v>
      </c>
      <c r="AP280" s="5">
        <f t="shared" si="28"/>
        <v>8.6309849771073761</v>
      </c>
    </row>
    <row r="281" spans="1:42">
      <c r="A281" s="15">
        <v>276</v>
      </c>
      <c r="B281" s="20" t="s">
        <v>1391</v>
      </c>
      <c r="C281" s="20">
        <v>210</v>
      </c>
      <c r="D281" s="15">
        <v>210</v>
      </c>
      <c r="E281" s="15">
        <v>550</v>
      </c>
      <c r="F281" s="15">
        <v>17.2</v>
      </c>
      <c r="G281" s="15">
        <v>17.2</v>
      </c>
      <c r="H281" s="15">
        <v>11.1</v>
      </c>
      <c r="I281" s="15">
        <v>24</v>
      </c>
      <c r="J281" s="15">
        <v>24</v>
      </c>
      <c r="K281" s="15">
        <v>16983.535850463843</v>
      </c>
      <c r="L281" s="15">
        <v>13138.079999999994</v>
      </c>
      <c r="M281" s="15"/>
      <c r="N281" s="15"/>
      <c r="O281" s="15"/>
      <c r="P281" s="15">
        <v>652585136.02559996</v>
      </c>
      <c r="Q281" s="15"/>
      <c r="R281" s="15"/>
      <c r="S281" s="15">
        <v>779.66412955711621</v>
      </c>
      <c r="T281" s="15">
        <v>355</v>
      </c>
      <c r="U281" s="15">
        <v>210000</v>
      </c>
      <c r="V281" s="15">
        <f t="shared" si="29"/>
        <v>5.9820866744881123</v>
      </c>
      <c r="W281" s="15">
        <v>4.5553900000000001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1680</v>
      </c>
      <c r="AF281" s="22" t="s">
        <v>5</v>
      </c>
      <c r="AG281" s="17">
        <f t="shared" si="30"/>
        <v>3551.6741791431919</v>
      </c>
      <c r="AH281" s="17">
        <v>1384.6930686849744</v>
      </c>
      <c r="AI281" s="62">
        <v>6.0144018123848646</v>
      </c>
      <c r="AJ281" s="17">
        <f t="shared" si="31"/>
        <v>0.99730990189101676</v>
      </c>
      <c r="AK281" s="15">
        <f t="shared" si="32"/>
        <v>0.76150518169979631</v>
      </c>
      <c r="AL281" s="5">
        <v>2.8845000000000001</v>
      </c>
      <c r="AO281" s="5">
        <f t="shared" si="33"/>
        <v>2.6190476190476191</v>
      </c>
      <c r="AP281" s="5">
        <f t="shared" si="28"/>
        <v>6.0144018123848646</v>
      </c>
    </row>
    <row r="282" spans="1:42">
      <c r="A282" s="15">
        <v>277</v>
      </c>
      <c r="B282" s="20" t="s">
        <v>1392</v>
      </c>
      <c r="C282" s="20">
        <v>210</v>
      </c>
      <c r="D282" s="15">
        <v>210</v>
      </c>
      <c r="E282" s="15">
        <v>550</v>
      </c>
      <c r="F282" s="15">
        <v>17.2</v>
      </c>
      <c r="G282" s="15">
        <v>17.2</v>
      </c>
      <c r="H282" s="15">
        <v>11.1</v>
      </c>
      <c r="I282" s="15">
        <v>24</v>
      </c>
      <c r="J282" s="15">
        <v>24</v>
      </c>
      <c r="K282" s="15">
        <v>22588.102681116914</v>
      </c>
      <c r="L282" s="15">
        <v>13138.079999999994</v>
      </c>
      <c r="M282" s="15"/>
      <c r="N282" s="15"/>
      <c r="O282" s="15"/>
      <c r="P282" s="15">
        <v>652585136.02559996</v>
      </c>
      <c r="Q282" s="15"/>
      <c r="R282" s="15"/>
      <c r="S282" s="15">
        <v>563.22922302536097</v>
      </c>
      <c r="T282" s="15">
        <v>355</v>
      </c>
      <c r="U282" s="15">
        <v>210000</v>
      </c>
      <c r="V282" s="15">
        <f t="shared" si="29"/>
        <v>8.2808529979098537</v>
      </c>
      <c r="W282" s="15">
        <v>4.2510199999999996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1681</v>
      </c>
      <c r="AF282" s="22" t="s">
        <v>5</v>
      </c>
      <c r="AG282" s="17">
        <f t="shared" si="30"/>
        <v>2394.2986916652699</v>
      </c>
      <c r="AH282" s="17">
        <v>1047.2396604996427</v>
      </c>
      <c r="AI282" s="62">
        <v>4.7066459580764102</v>
      </c>
      <c r="AJ282" s="17">
        <f t="shared" si="31"/>
        <v>1.3264221695150522</v>
      </c>
      <c r="AK282" s="15">
        <f t="shared" si="32"/>
        <v>0.513355327171366</v>
      </c>
      <c r="AL282" s="5">
        <v>2.8845000000000001</v>
      </c>
      <c r="AO282" s="5">
        <f t="shared" si="33"/>
        <v>2.6190476190476191</v>
      </c>
      <c r="AP282" s="5">
        <f t="shared" si="28"/>
        <v>4.7066459580764102</v>
      </c>
    </row>
    <row r="283" spans="1:42">
      <c r="A283" s="15">
        <v>278</v>
      </c>
      <c r="B283" s="20" t="s">
        <v>1393</v>
      </c>
      <c r="C283" s="20">
        <v>210</v>
      </c>
      <c r="D283" s="15">
        <v>210</v>
      </c>
      <c r="E283" s="15">
        <v>550</v>
      </c>
      <c r="F283" s="15">
        <v>17.2</v>
      </c>
      <c r="G283" s="15">
        <v>17.2</v>
      </c>
      <c r="H283" s="15">
        <v>11.1</v>
      </c>
      <c r="I283" s="15">
        <v>24</v>
      </c>
      <c r="J283" s="15">
        <v>24</v>
      </c>
      <c r="K283" s="15">
        <v>28362.504870274617</v>
      </c>
      <c r="L283" s="15">
        <v>13138.079999999994</v>
      </c>
      <c r="M283" s="15"/>
      <c r="N283" s="15"/>
      <c r="O283" s="15"/>
      <c r="P283" s="15">
        <v>652585136.02559996</v>
      </c>
      <c r="Q283" s="15"/>
      <c r="R283" s="15"/>
      <c r="S283" s="15">
        <v>404.78959051271653</v>
      </c>
      <c r="T283" s="15">
        <v>355</v>
      </c>
      <c r="U283" s="15">
        <v>210000</v>
      </c>
      <c r="V283" s="15">
        <f t="shared" si="29"/>
        <v>11.52208087686355</v>
      </c>
      <c r="W283" s="15">
        <v>3.9627599999999998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1682</v>
      </c>
      <c r="AF283" s="22" t="s">
        <v>5</v>
      </c>
      <c r="AG283" s="17">
        <f t="shared" si="30"/>
        <v>1604.0839977001724</v>
      </c>
      <c r="AH283" s="17">
        <v>774.36690657034842</v>
      </c>
      <c r="AI283" s="62">
        <v>4.1537247574646363</v>
      </c>
      <c r="AJ283" s="17">
        <f t="shared" si="31"/>
        <v>1.6655075361579976</v>
      </c>
      <c r="AK283" s="15">
        <f t="shared" si="32"/>
        <v>0.34392745914127892</v>
      </c>
      <c r="AL283" s="5">
        <v>2.8845000000000001</v>
      </c>
      <c r="AO283" s="5">
        <f t="shared" si="33"/>
        <v>2.6190476190476191</v>
      </c>
      <c r="AP283" s="5">
        <f t="shared" si="28"/>
        <v>4.1537247574646363</v>
      </c>
    </row>
    <row r="284" spans="1:42">
      <c r="A284" s="15">
        <v>279</v>
      </c>
      <c r="B284" s="20" t="s">
        <v>1394</v>
      </c>
      <c r="C284" s="20">
        <v>210</v>
      </c>
      <c r="D284" s="15">
        <v>210</v>
      </c>
      <c r="E284" s="15">
        <v>550</v>
      </c>
      <c r="F284" s="15">
        <v>17.2</v>
      </c>
      <c r="G284" s="15">
        <v>17.2</v>
      </c>
      <c r="H284" s="15">
        <v>11.1</v>
      </c>
      <c r="I284" s="15">
        <v>24</v>
      </c>
      <c r="J284" s="15">
        <v>24</v>
      </c>
      <c r="K284" s="15">
        <v>33967.071700927685</v>
      </c>
      <c r="L284" s="15">
        <v>13138.079999999994</v>
      </c>
      <c r="M284" s="15"/>
      <c r="N284" s="15"/>
      <c r="O284" s="15"/>
      <c r="P284" s="15">
        <v>652585136.02559996</v>
      </c>
      <c r="Q284" s="15"/>
      <c r="R284" s="15"/>
      <c r="S284" s="15">
        <v>302.34120627074674</v>
      </c>
      <c r="T284" s="15">
        <v>355</v>
      </c>
      <c r="U284" s="15">
        <v>210000</v>
      </c>
      <c r="V284" s="15">
        <f t="shared" si="29"/>
        <v>15.426340516162943</v>
      </c>
      <c r="W284" s="15">
        <v>3.7577400000000001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1683</v>
      </c>
      <c r="AF284" s="22" t="s">
        <v>5</v>
      </c>
      <c r="AG284" s="17">
        <f t="shared" si="30"/>
        <v>1136.1196444518359</v>
      </c>
      <c r="AH284" s="17">
        <v>587.23834536877882</v>
      </c>
      <c r="AI284" s="62">
        <v>3.8774183411015062</v>
      </c>
      <c r="AJ284" s="17">
        <f t="shared" si="31"/>
        <v>1.9946198037820333</v>
      </c>
      <c r="AK284" s="15">
        <f t="shared" si="32"/>
        <v>0.24359244475790154</v>
      </c>
      <c r="AL284" s="5">
        <v>2.8845000000000001</v>
      </c>
      <c r="AO284" s="5">
        <f t="shared" si="33"/>
        <v>2.6190476190476191</v>
      </c>
      <c r="AP284" s="5">
        <f t="shared" si="28"/>
        <v>3.8774183411015062</v>
      </c>
    </row>
    <row r="285" spans="1:42">
      <c r="A285" s="15">
        <v>280</v>
      </c>
      <c r="B285" s="20" t="s">
        <v>1395</v>
      </c>
      <c r="C285" s="20">
        <v>210</v>
      </c>
      <c r="D285" s="15">
        <v>210</v>
      </c>
      <c r="E285" s="15">
        <v>550</v>
      </c>
      <c r="F285" s="15">
        <v>17.2</v>
      </c>
      <c r="G285" s="15">
        <v>17.2</v>
      </c>
      <c r="H285" s="15">
        <v>11.1</v>
      </c>
      <c r="I285" s="15">
        <v>24</v>
      </c>
      <c r="J285" s="15">
        <v>24</v>
      </c>
      <c r="K285" s="15">
        <v>42458.839626159614</v>
      </c>
      <c r="L285" s="15">
        <v>13138.079999999994</v>
      </c>
      <c r="M285" s="15"/>
      <c r="N285" s="15"/>
      <c r="O285" s="15"/>
      <c r="P285" s="15">
        <v>652585136.02559996</v>
      </c>
      <c r="Q285" s="15"/>
      <c r="R285" s="15"/>
      <c r="S285" s="15">
        <v>205.79673951823125</v>
      </c>
      <c r="T285" s="15">
        <v>355</v>
      </c>
      <c r="U285" s="15">
        <v>210000</v>
      </c>
      <c r="V285" s="15">
        <f t="shared" si="29"/>
        <v>22.663227857343283</v>
      </c>
      <c r="W285" s="15">
        <v>3.54135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1684</v>
      </c>
      <c r="AF285" s="22" t="s">
        <v>5</v>
      </c>
      <c r="AG285" s="17">
        <f t="shared" si="30"/>
        <v>728.79828349288823</v>
      </c>
      <c r="AH285" s="17">
        <v>404.62332413956238</v>
      </c>
      <c r="AI285" s="62">
        <v>3.6457046811040472</v>
      </c>
      <c r="AJ285" s="17">
        <f t="shared" si="31"/>
        <v>2.4932747547275418</v>
      </c>
      <c r="AK285" s="15">
        <f t="shared" si="32"/>
        <v>0.15625973591632669</v>
      </c>
      <c r="AL285" s="5">
        <v>2.8845000000000001</v>
      </c>
      <c r="AO285" s="5">
        <f t="shared" si="33"/>
        <v>2.6190476190476191</v>
      </c>
      <c r="AP285" s="5">
        <f t="shared" si="28"/>
        <v>3.6457046811040472</v>
      </c>
    </row>
    <row r="286" spans="1:42">
      <c r="A286" s="15">
        <v>281</v>
      </c>
      <c r="B286" s="20" t="s">
        <v>1396</v>
      </c>
      <c r="C286" s="20">
        <v>220</v>
      </c>
      <c r="D286" s="15">
        <v>220</v>
      </c>
      <c r="E286" s="15">
        <v>600</v>
      </c>
      <c r="F286" s="15">
        <v>19</v>
      </c>
      <c r="G286" s="15">
        <v>19</v>
      </c>
      <c r="H286" s="15">
        <v>12</v>
      </c>
      <c r="I286" s="15">
        <v>24</v>
      </c>
      <c r="J286" s="15">
        <v>24</v>
      </c>
      <c r="K286" s="15">
        <v>5543.2501443936817</v>
      </c>
      <c r="L286" s="15">
        <v>15331.999999999993</v>
      </c>
      <c r="M286" s="15"/>
      <c r="N286" s="15"/>
      <c r="O286" s="15"/>
      <c r="P286" s="15">
        <v>901625431.00000024</v>
      </c>
      <c r="Q286" s="15"/>
      <c r="R286" s="15"/>
      <c r="S286" s="15">
        <v>1485.6441996873559</v>
      </c>
      <c r="T286" s="15">
        <v>355</v>
      </c>
      <c r="U286" s="15">
        <v>210000</v>
      </c>
      <c r="V286" s="15">
        <f t="shared" si="29"/>
        <v>3.663636287305811</v>
      </c>
      <c r="W286" s="15">
        <v>3.7507299999999999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1685</v>
      </c>
      <c r="AF286" s="22" t="s">
        <v>5</v>
      </c>
      <c r="AG286" s="17">
        <f t="shared" si="30"/>
        <v>5572.2502690933561</v>
      </c>
      <c r="AH286" s="17">
        <v>1541.2741945736698</v>
      </c>
      <c r="AI286" s="62">
        <v>40.935625162628654</v>
      </c>
      <c r="AJ286" s="17">
        <f t="shared" si="31"/>
        <v>0.29916133483161483</v>
      </c>
      <c r="AK286" s="15">
        <f t="shared" si="32"/>
        <v>1.0237724779056157</v>
      </c>
      <c r="AL286" s="56">
        <v>1.5359</v>
      </c>
      <c r="AO286" s="5">
        <f t="shared" si="33"/>
        <v>2.7272727272727271</v>
      </c>
      <c r="AP286" s="5">
        <f t="shared" si="28"/>
        <v>40.935625162628654</v>
      </c>
    </row>
    <row r="287" spans="1:42">
      <c r="A287" s="15">
        <v>282</v>
      </c>
      <c r="B287" s="20" t="s">
        <v>1397</v>
      </c>
      <c r="C287" s="20">
        <v>220</v>
      </c>
      <c r="D287" s="15">
        <v>220</v>
      </c>
      <c r="E287" s="15">
        <v>600</v>
      </c>
      <c r="F287" s="15">
        <v>19</v>
      </c>
      <c r="G287" s="15">
        <v>19</v>
      </c>
      <c r="H287" s="15">
        <v>12</v>
      </c>
      <c r="I287" s="15">
        <v>24</v>
      </c>
      <c r="J287" s="15">
        <v>24</v>
      </c>
      <c r="K287" s="15">
        <v>9238.7502406561362</v>
      </c>
      <c r="L287" s="15">
        <v>15332</v>
      </c>
      <c r="M287" s="15"/>
      <c r="N287" s="15"/>
      <c r="O287" s="15"/>
      <c r="P287" s="15">
        <v>901625431</v>
      </c>
      <c r="Q287" s="15"/>
      <c r="R287" s="15"/>
      <c r="S287" s="15">
        <v>1348.1409146482731</v>
      </c>
      <c r="T287" s="15">
        <v>355</v>
      </c>
      <c r="U287" s="15">
        <v>210000</v>
      </c>
      <c r="V287" s="15">
        <f t="shared" si="29"/>
        <v>4.037307925944841</v>
      </c>
      <c r="W287" s="15">
        <v>3.9834299999999998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1686</v>
      </c>
      <c r="AF287" s="30" t="s">
        <v>219</v>
      </c>
      <c r="AG287" s="17">
        <f t="shared" si="30"/>
        <v>5370.2249636373699</v>
      </c>
      <c r="AH287" s="17">
        <v>1428.3016898637995</v>
      </c>
      <c r="AI287" s="62">
        <v>16.239903731242084</v>
      </c>
      <c r="AJ287" s="17">
        <f t="shared" si="31"/>
        <v>0.49860222471935828</v>
      </c>
      <c r="AK287" s="15">
        <f t="shared" si="32"/>
        <v>0.98665498720109834</v>
      </c>
      <c r="AL287" s="5">
        <v>1.5359</v>
      </c>
      <c r="AO287" s="5">
        <f t="shared" si="33"/>
        <v>2.7272727272727271</v>
      </c>
      <c r="AP287" s="5">
        <f t="shared" si="28"/>
        <v>16.239903731242084</v>
      </c>
    </row>
    <row r="288" spans="1:42">
      <c r="A288" s="15">
        <v>283</v>
      </c>
      <c r="B288" s="20" t="s">
        <v>1398</v>
      </c>
      <c r="C288" s="20">
        <v>220</v>
      </c>
      <c r="D288" s="15">
        <v>220</v>
      </c>
      <c r="E288" s="15">
        <v>600</v>
      </c>
      <c r="F288" s="15">
        <v>19</v>
      </c>
      <c r="G288" s="15">
        <v>19</v>
      </c>
      <c r="H288" s="15">
        <v>12</v>
      </c>
      <c r="I288" s="15">
        <v>24</v>
      </c>
      <c r="J288" s="15">
        <v>24</v>
      </c>
      <c r="K288" s="15">
        <v>13858.125360984204</v>
      </c>
      <c r="L288" s="15">
        <v>15332</v>
      </c>
      <c r="M288" s="15"/>
      <c r="N288" s="15"/>
      <c r="O288" s="15"/>
      <c r="P288" s="15">
        <v>901625431</v>
      </c>
      <c r="Q288" s="15"/>
      <c r="R288" s="15"/>
      <c r="S288" s="15">
        <v>1158.3914972956397</v>
      </c>
      <c r="T288" s="15">
        <v>355</v>
      </c>
      <c r="U288" s="15">
        <v>210000</v>
      </c>
      <c r="V288" s="15">
        <f t="shared" si="29"/>
        <v>4.6986360075214684</v>
      </c>
      <c r="W288" s="15">
        <v>4.29786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1687</v>
      </c>
      <c r="AF288" s="22" t="s">
        <v>5</v>
      </c>
      <c r="AG288" s="17">
        <f t="shared" si="30"/>
        <v>4978.6044805670381</v>
      </c>
      <c r="AH288" s="17">
        <v>1278.2236339801821</v>
      </c>
      <c r="AI288" s="62">
        <v>8.4000304526287621</v>
      </c>
      <c r="AJ288" s="17">
        <f t="shared" si="31"/>
        <v>0.74790333707903744</v>
      </c>
      <c r="AK288" s="15">
        <f t="shared" si="32"/>
        <v>0.91470375511533231</v>
      </c>
      <c r="AL288" s="5">
        <v>1.5359</v>
      </c>
      <c r="AO288" s="5">
        <f t="shared" si="33"/>
        <v>2.7272727272727271</v>
      </c>
      <c r="AP288" s="5">
        <f t="shared" si="28"/>
        <v>8.4000304526287621</v>
      </c>
    </row>
    <row r="289" spans="1:42" ht="14.25" customHeight="1">
      <c r="A289" s="15">
        <v>284</v>
      </c>
      <c r="B289" s="20" t="s">
        <v>1399</v>
      </c>
      <c r="C289" s="20">
        <v>220</v>
      </c>
      <c r="D289" s="15">
        <v>220</v>
      </c>
      <c r="E289" s="15">
        <v>600</v>
      </c>
      <c r="F289" s="15">
        <v>19</v>
      </c>
      <c r="G289" s="15">
        <v>19</v>
      </c>
      <c r="H289" s="15">
        <v>12</v>
      </c>
      <c r="I289" s="15">
        <v>24</v>
      </c>
      <c r="J289" s="15">
        <v>24</v>
      </c>
      <c r="K289" s="15">
        <v>18477.500481312272</v>
      </c>
      <c r="L289" s="15">
        <v>15332</v>
      </c>
      <c r="M289" s="15"/>
      <c r="N289" s="15"/>
      <c r="O289" s="15"/>
      <c r="P289" s="15">
        <v>901625431</v>
      </c>
      <c r="Q289" s="15"/>
      <c r="R289" s="15"/>
      <c r="S289" s="15">
        <v>952.11667077250661</v>
      </c>
      <c r="T289" s="15">
        <v>355</v>
      </c>
      <c r="U289" s="15">
        <v>210000</v>
      </c>
      <c r="V289" s="15">
        <f t="shared" si="29"/>
        <v>5.7165893288937975</v>
      </c>
      <c r="W289" s="15">
        <v>4.3188399999999998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1688</v>
      </c>
      <c r="AF289" s="22" t="s">
        <v>5</v>
      </c>
      <c r="AG289" s="17">
        <f t="shared" si="30"/>
        <v>4112.0395623991326</v>
      </c>
      <c r="AH289" s="17">
        <v>1112.6517344021763</v>
      </c>
      <c r="AI289" s="62">
        <v>5.7486858864347514</v>
      </c>
      <c r="AJ289" s="17">
        <f t="shared" si="31"/>
        <v>0.99720444943871656</v>
      </c>
      <c r="AK289" s="15">
        <f t="shared" si="32"/>
        <v>0.75549243640276109</v>
      </c>
      <c r="AL289" s="5">
        <v>1.5359</v>
      </c>
      <c r="AO289" s="5">
        <f t="shared" si="33"/>
        <v>2.7272727272727271</v>
      </c>
      <c r="AP289" s="5">
        <f t="shared" si="28"/>
        <v>5.7486858864347514</v>
      </c>
    </row>
    <row r="290" spans="1:42" ht="15.75" customHeight="1">
      <c r="A290" s="15">
        <v>285</v>
      </c>
      <c r="B290" s="20" t="s">
        <v>1400</v>
      </c>
      <c r="C290" s="20">
        <v>220</v>
      </c>
      <c r="D290" s="15">
        <v>220</v>
      </c>
      <c r="E290" s="15">
        <v>600</v>
      </c>
      <c r="F290" s="15">
        <v>19</v>
      </c>
      <c r="G290" s="15">
        <v>19</v>
      </c>
      <c r="H290" s="15">
        <v>12</v>
      </c>
      <c r="I290" s="15">
        <v>24</v>
      </c>
      <c r="J290" s="15">
        <v>24</v>
      </c>
      <c r="K290" s="15">
        <v>24575.075640145325</v>
      </c>
      <c r="L290" s="15">
        <v>15332</v>
      </c>
      <c r="M290" s="15"/>
      <c r="N290" s="15"/>
      <c r="O290" s="15"/>
      <c r="P290" s="15">
        <v>901625431</v>
      </c>
      <c r="Q290" s="15"/>
      <c r="R290" s="15"/>
      <c r="S290" s="15">
        <v>701.82283916506901</v>
      </c>
      <c r="T290" s="15">
        <v>355</v>
      </c>
      <c r="U290" s="15">
        <v>210000</v>
      </c>
      <c r="V290" s="15">
        <f t="shared" si="29"/>
        <v>7.7553190011244943</v>
      </c>
      <c r="W290" s="15">
        <v>3.9482200000000001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1689</v>
      </c>
      <c r="AF290" s="22" t="s">
        <v>5</v>
      </c>
      <c r="AG290" s="17">
        <f t="shared" si="30"/>
        <v>2770.950970048309</v>
      </c>
      <c r="AH290" s="17">
        <v>885.89345278992414</v>
      </c>
      <c r="AI290" s="62">
        <v>4.4088768612474585</v>
      </c>
      <c r="AJ290" s="17">
        <f t="shared" si="31"/>
        <v>1.326281917753493</v>
      </c>
      <c r="AK290" s="15">
        <f t="shared" si="32"/>
        <v>0.50909833617772804</v>
      </c>
      <c r="AL290" s="5">
        <v>1.5359</v>
      </c>
      <c r="AO290" s="5">
        <f t="shared" si="33"/>
        <v>2.7272727272727271</v>
      </c>
      <c r="AP290" s="5">
        <f t="shared" si="28"/>
        <v>4.4088768612474585</v>
      </c>
    </row>
    <row r="291" spans="1:42" ht="15" customHeight="1">
      <c r="A291" s="15">
        <v>286</v>
      </c>
      <c r="B291" s="20" t="s">
        <v>1401</v>
      </c>
      <c r="C291" s="20">
        <v>220</v>
      </c>
      <c r="D291" s="15">
        <v>220</v>
      </c>
      <c r="E291" s="15">
        <v>600</v>
      </c>
      <c r="F291" s="15">
        <v>19</v>
      </c>
      <c r="G291" s="15">
        <v>19</v>
      </c>
      <c r="H291" s="15">
        <v>12</v>
      </c>
      <c r="I291" s="15">
        <v>24</v>
      </c>
      <c r="J291" s="15">
        <v>24</v>
      </c>
      <c r="K291" s="15">
        <v>30857.425803791491</v>
      </c>
      <c r="L291" s="15">
        <v>15332</v>
      </c>
      <c r="M291" s="15"/>
      <c r="N291" s="15"/>
      <c r="O291" s="15"/>
      <c r="P291" s="15">
        <v>901625431</v>
      </c>
      <c r="Q291" s="15"/>
      <c r="R291" s="15"/>
      <c r="S291" s="15">
        <v>510.46879882735675</v>
      </c>
      <c r="T291" s="15">
        <v>355</v>
      </c>
      <c r="U291" s="15">
        <v>210000</v>
      </c>
      <c r="V291" s="15">
        <f t="shared" si="29"/>
        <v>10.662473421496626</v>
      </c>
      <c r="W291" s="15">
        <v>3.6367699999999998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1690</v>
      </c>
      <c r="AF291" s="22" t="s">
        <v>5</v>
      </c>
      <c r="AG291" s="17">
        <f t="shared" si="30"/>
        <v>1856.4576135113662</v>
      </c>
      <c r="AH291" s="17">
        <v>680.61378951775089</v>
      </c>
      <c r="AI291" s="62">
        <v>3.8446481798043459</v>
      </c>
      <c r="AJ291" s="17">
        <f t="shared" si="31"/>
        <v>1.6653314305626563</v>
      </c>
      <c r="AK291" s="15">
        <f t="shared" si="32"/>
        <v>0.34108127225601359</v>
      </c>
      <c r="AL291" s="5">
        <v>1.5359</v>
      </c>
      <c r="AO291" s="5">
        <f t="shared" si="33"/>
        <v>2.7272727272727271</v>
      </c>
      <c r="AP291" s="5">
        <f t="shared" si="28"/>
        <v>3.8446481798043459</v>
      </c>
    </row>
    <row r="292" spans="1:42" ht="13.5" customHeight="1">
      <c r="A292" s="15">
        <v>287</v>
      </c>
      <c r="B292" s="20" t="s">
        <v>1402</v>
      </c>
      <c r="C292" s="20">
        <v>220</v>
      </c>
      <c r="D292" s="15">
        <v>220</v>
      </c>
      <c r="E292" s="15">
        <v>600</v>
      </c>
      <c r="F292" s="15">
        <v>19</v>
      </c>
      <c r="G292" s="15">
        <v>19</v>
      </c>
      <c r="H292" s="15">
        <v>12</v>
      </c>
      <c r="I292" s="15">
        <v>24</v>
      </c>
      <c r="J292" s="15">
        <v>24</v>
      </c>
      <c r="K292" s="15">
        <v>36955.000962624545</v>
      </c>
      <c r="L292" s="15">
        <v>15332</v>
      </c>
      <c r="M292" s="15"/>
      <c r="N292" s="15"/>
      <c r="O292" s="15"/>
      <c r="P292" s="15">
        <v>901625431</v>
      </c>
      <c r="Q292" s="15"/>
      <c r="R292" s="15"/>
      <c r="S292" s="15">
        <v>383.67996941593174</v>
      </c>
      <c r="T292" s="15">
        <v>355</v>
      </c>
      <c r="U292" s="15">
        <v>210000</v>
      </c>
      <c r="V292" s="15">
        <f t="shared" si="29"/>
        <v>14.185937327626345</v>
      </c>
      <c r="W292" s="15">
        <v>3.4488599999999998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1691</v>
      </c>
      <c r="AF292" s="22" t="s">
        <v>5</v>
      </c>
      <c r="AG292" s="17">
        <f t="shared" si="30"/>
        <v>1323.2584993198302</v>
      </c>
      <c r="AH292" s="17">
        <v>527.71404147143915</v>
      </c>
      <c r="AI292" s="62">
        <v>3.5663965438704213</v>
      </c>
      <c r="AJ292" s="17">
        <f t="shared" si="31"/>
        <v>1.9944088988774331</v>
      </c>
      <c r="AK292" s="15">
        <f t="shared" si="32"/>
        <v>0.24311823183396783</v>
      </c>
      <c r="AL292" s="5">
        <v>1.5359</v>
      </c>
      <c r="AO292" s="5">
        <f t="shared" si="33"/>
        <v>2.7272727272727271</v>
      </c>
      <c r="AP292" s="5">
        <f t="shared" si="28"/>
        <v>3.5663965438704213</v>
      </c>
    </row>
    <row r="293" spans="1:42" ht="14.25" customHeight="1" thickBot="1">
      <c r="A293" s="15">
        <v>288</v>
      </c>
      <c r="B293" s="20" t="s">
        <v>1403</v>
      </c>
      <c r="C293" s="20">
        <v>220</v>
      </c>
      <c r="D293" s="15">
        <v>220</v>
      </c>
      <c r="E293" s="15">
        <v>600</v>
      </c>
      <c r="F293" s="15">
        <v>19</v>
      </c>
      <c r="G293" s="15">
        <v>19</v>
      </c>
      <c r="H293" s="15">
        <v>12</v>
      </c>
      <c r="I293" s="15">
        <v>24</v>
      </c>
      <c r="J293" s="15">
        <v>24</v>
      </c>
      <c r="K293" s="15">
        <v>46193.751203280677</v>
      </c>
      <c r="L293" s="15">
        <v>15332</v>
      </c>
      <c r="M293" s="15"/>
      <c r="N293" s="15"/>
      <c r="O293" s="15"/>
      <c r="P293" s="15">
        <v>901625431</v>
      </c>
      <c r="Q293" s="15"/>
      <c r="R293" s="15"/>
      <c r="S293" s="15">
        <v>262.48253848909047</v>
      </c>
      <c r="T293" s="15">
        <v>355</v>
      </c>
      <c r="U293" s="15">
        <v>210000</v>
      </c>
      <c r="V293" s="15">
        <f t="shared" si="29"/>
        <v>20.736084127082691</v>
      </c>
      <c r="W293" s="15">
        <v>3.2345100000000002</v>
      </c>
      <c r="X293" s="15"/>
      <c r="Y293" s="15"/>
      <c r="Z293" s="15"/>
      <c r="AA293" s="16"/>
      <c r="AB293" s="42">
        <v>1.5093980321271014</v>
      </c>
      <c r="AC293" s="43">
        <v>2.5</v>
      </c>
      <c r="AD293" s="15"/>
      <c r="AE293" s="15" t="s">
        <v>1692</v>
      </c>
      <c r="AF293" s="22" t="s">
        <v>5</v>
      </c>
      <c r="AG293" s="17">
        <f t="shared" si="30"/>
        <v>849.00239556834811</v>
      </c>
      <c r="AH293" s="17">
        <v>370.25188473625445</v>
      </c>
      <c r="AI293" s="62">
        <v>3.3364015444321184</v>
      </c>
      <c r="AJ293" s="17">
        <f t="shared" si="31"/>
        <v>2.4930111235967911</v>
      </c>
      <c r="AK293" s="15">
        <f t="shared" si="32"/>
        <v>0.15598461021748639</v>
      </c>
      <c r="AL293" s="5">
        <v>1.5359</v>
      </c>
      <c r="AO293" s="5">
        <f t="shared" si="33"/>
        <v>2.7272727272727271</v>
      </c>
      <c r="AP293" s="5">
        <f t="shared" si="28"/>
        <v>3.3364015444321184</v>
      </c>
    </row>
    <row r="294" spans="1:42">
      <c r="AF294" s="10"/>
      <c r="AG294" s="6"/>
      <c r="AH294" s="6"/>
      <c r="AJ294" s="19"/>
    </row>
    <row r="295" spans="1:42">
      <c r="AF295" s="11"/>
      <c r="AG295" s="6"/>
      <c r="AH295" s="6"/>
      <c r="AJ295" s="19"/>
    </row>
    <row r="296" spans="1:42">
      <c r="AF296" s="18"/>
      <c r="AG296" s="6"/>
      <c r="AH296" s="6"/>
      <c r="AJ296" s="19"/>
    </row>
    <row r="297" spans="1:42">
      <c r="AF297" s="11"/>
      <c r="AG297" s="6"/>
      <c r="AH297" s="6"/>
      <c r="AJ297" s="19"/>
    </row>
  </sheetData>
  <mergeCells count="15">
    <mergeCell ref="AE4:AE5"/>
    <mergeCell ref="I2:J2"/>
    <mergeCell ref="I3:J3"/>
    <mergeCell ref="B4:R4"/>
    <mergeCell ref="T4:U4"/>
    <mergeCell ref="V4:AD4"/>
    <mergeCell ref="AL4:AL5"/>
    <mergeCell ref="AM4:AM5"/>
    <mergeCell ref="AN4:AN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Local and Global</vt:lpstr>
      <vt:lpstr>Global Only</vt:lpstr>
      <vt:lpstr>HR_Local and Global</vt:lpstr>
      <vt:lpstr>HEB_HR_Global Only</vt:lpstr>
      <vt:lpstr>IPE_HR_Global Only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Liya Li</dc:creator>
  <cp:lastModifiedBy>Kokou Evignon Attiogbe</cp:lastModifiedBy>
  <dcterms:created xsi:type="dcterms:W3CDTF">2015-06-05T18:19:34Z</dcterms:created>
  <dcterms:modified xsi:type="dcterms:W3CDTF">2026-10-02T16:45:52Z</dcterms:modified>
</cp:coreProperties>
</file>