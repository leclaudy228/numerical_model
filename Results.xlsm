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DC0C74B4-CA82-4617-9FD1-0357547F2AF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_results" sheetId="2" r:id="rId1"/>
    <sheet name="Abaqus_data_sort" sheetId="3" r:id="rId2"/>
    <sheet name="Input" sheetId="4" r:id="rId3"/>
    <sheet name="Abaqus_LBA_data_sort" sheetId="5" r:id="rId4"/>
    <sheet name="Computation_time" sheetId="6" r:id="rId5"/>
    <sheet name="Data_Eurocode" sheetId="7" r:id="rId6"/>
  </sheets>
  <definedNames>
    <definedName name="Hot_rolled_690_HEA1000_20_GMNIA_My_Mz_30__13" localSheetId="1">Abaqus_data_sort!$A$1:$D$102</definedName>
    <definedName name="Hot_rolled_690_HEA1000_20_LBA_My_Mz_30__13" localSheetId="3">Abaqus_LBA_data_sort!$LA$1:$ME$489</definedName>
    <definedName name="Hot_rolled_690_HEA1000_20_LBA_My_Mz_30__14" localSheetId="3">Abaqus_LBA_data_sort!$IN$1:$JR$489</definedName>
    <definedName name="Hot_rolled_690_HEA1000_20_LBA_N_0.4_My_Mz_30__13" localSheetId="3">Abaqus_LBA_data_sort!$GA$1:$HE$520</definedName>
    <definedName name="Hot_rolled_690_HEA1000_20_LBA_N_0.4_My_Mz_30__13_1" localSheetId="3">Abaqus_LBA_data_sort!$DN$1:$ER$520</definedName>
    <definedName name="Hot_rolled_690_HEA1000_20_LBA_N_0.4_My_Mz_30__13_2" localSheetId="3">Abaqus_LBA_data_sort!$BA$1:$CE$520</definedName>
    <definedName name="Hot_rolled_690_HEA1000_350_GMNIA_My_Mz_30__26" localSheetId="1">Abaqus_data_sort!$A$1:$D$128</definedName>
    <definedName name="Hot_rolled_690_HEA1000_350_LBA_My_Mz_30__26" localSheetId="3">Abaqus_LBA_data_sort!$KN$1:$LR$489</definedName>
    <definedName name="Hot_rolled_690_HEA1000_350_LBA_My_Mz_30__27" localSheetId="3">Abaqus_LBA_data_sort!$IA$1:$JE$489</definedName>
    <definedName name="Hot_rolled_690_HEA1000_350_LBA_N_0.4_My_Mz_30__26" localSheetId="3">Abaqus_LBA_data_sort!$FN$1:$GR$520</definedName>
    <definedName name="Hot_rolled_690_HEA1000_350_LBA_N_0.4_My_Mz_30__26_1" localSheetId="3">Abaqus_LBA_data_sort!$DA$1:$EE$520</definedName>
    <definedName name="Hot_rolled_690_HEA1000_350_LBA_N_0.4_My_Mz_30__26_2" localSheetId="3">Abaqus_LBA_data_sort!$AN$1:$BR$520</definedName>
    <definedName name="Hot_rolled_690_HEA1000_450_GMNIA_My_Mz_30__39" localSheetId="1">Abaqus_data_sort!$A$1:$D$154</definedName>
    <definedName name="Hot_rolled_690_HEA1000_450_LBA_My_Mz_30__39" localSheetId="3">Abaqus_LBA_data_sort!$KA$1:$LE$489</definedName>
    <definedName name="Hot_rolled_690_HEA1000_450_LBA_My_Mz_30__40" localSheetId="3">Abaqus_LBA_data_sort!$HN$1:$IR$489</definedName>
    <definedName name="Hot_rolled_690_HEA1000_450_LBA_N_0.4_My_Mz_30__39" localSheetId="3">Abaqus_LBA_data_sort!$FA$1:$GE$520</definedName>
    <definedName name="Hot_rolled_690_HEA1000_450_LBA_N_0.4_My_Mz_30__39_1" localSheetId="3">Abaqus_LBA_data_sort!$CN$1:$DR$520</definedName>
    <definedName name="Hot_rolled_690_HEA1000_450_LBA_N_0.4_My_Mz_30__39_2" localSheetId="3">Abaqus_LBA_data_sort!$AA$1:$BE$520</definedName>
    <definedName name="Hot_rolled_690_HEA1000_550_GMNIA_My_Mz_30__52" localSheetId="1">Abaqus_data_sort!$A$1:$D$180</definedName>
    <definedName name="Hot_rolled_690_HEA1000_550_LBA_My_Mz_30__52" localSheetId="3">Abaqus_LBA_data_sort!$JN$1:$KR$489</definedName>
    <definedName name="Hot_rolled_690_HEA1000_550_LBA_My_Mz_30__53" localSheetId="3">Abaqus_LBA_data_sort!$HA$1:$IE$489</definedName>
    <definedName name="Hot_rolled_690_HEA1000_550_LBA_N_0.4_My_Mz_30__52" localSheetId="3">Abaqus_LBA_data_sort!$EN$1:$FR$520</definedName>
    <definedName name="Hot_rolled_690_HEA1000_550_LBA_N_0.4_My_Mz_30__52_1" localSheetId="3">Abaqus_LBA_data_sort!$CA$1:$DE$520</definedName>
    <definedName name="Hot_rolled_690_HEA1000_550_LBA_N_0.4_My_Mz_30__52_2" localSheetId="3">Abaqus_LBA_data_sort!$N$1:$AR$520</definedName>
    <definedName name="Hot_rolled_690_HEA1000_700_GMNIA_My_Mz_30__65" localSheetId="1">Abaqus_data_sort!$A$1:$D$206</definedName>
    <definedName name="Hot_rolled_690_HEA1000_700_LBA_My_Mz_30__65" localSheetId="3">Abaqus_LBA_data_sort!$JA$1:$KE$489</definedName>
    <definedName name="Hot_rolled_690_HEA1000_700_LBA_My_Mz_30__66" localSheetId="3">Abaqus_LBA_data_sort!$GN$1:$HR$489</definedName>
    <definedName name="Hot_rolled_690_HEA1000_700_LBA_N_0.4_My_Mz_30__65" localSheetId="3">Abaqus_LBA_data_sort!$EA$1:$FE$520</definedName>
    <definedName name="Hot_rolled_690_HEA1000_700_LBA_N_0.4_My_Mz_30__65_1" localSheetId="3">Abaqus_LBA_data_sort!$BN$1:$CR$520</definedName>
    <definedName name="Hot_rolled_690_HEA1000_700_LBA_N_0.4_My_Mz_30__65_2" localSheetId="3">Abaqus_LBA_data_sort!$A$1:$AE$520</definedName>
    <definedName name="Hot_rolled_690_HEA120_20_GMNIA_My_Mz_30__7" localSheetId="1">Abaqus_data_sort!$A$1:$D$90</definedName>
    <definedName name="Hot_rolled_690_HEA120_20_LBA_My_Mz_30__7" localSheetId="3">Abaqus_LBA_data_sort!$LG$1:$MK$711</definedName>
    <definedName name="Hot_rolled_690_HEA120_20_LBA_My_Mz_30__8" localSheetId="3">Abaqus_LBA_data_sort!$IT$1:$JX$711</definedName>
    <definedName name="Hot_rolled_690_HEA120_20_LBA_N_0.4_My_Mz_30__7" localSheetId="3">Abaqus_LBA_data_sort!$GG$1:$HK$520</definedName>
    <definedName name="Hot_rolled_690_HEA120_20_LBA_N_0.4_My_Mz_30__7_1" localSheetId="3">Abaqus_LBA_data_sort!$DT$1:$EX$520</definedName>
    <definedName name="Hot_rolled_690_HEA120_20_LBA_N_0.4_My_Mz_30__7_2" localSheetId="3">Abaqus_LBA_data_sort!$BG$1:$CK$520</definedName>
    <definedName name="Hot_rolled_690_HEA120_350_GMNIA_My_Mz_30__20" localSheetId="1">Abaqus_data_sort!$A$1:$D$116</definedName>
    <definedName name="Hot_rolled_690_HEA120_350_LBA_My_Mz_30__20" localSheetId="3">Abaqus_LBA_data_sort!$KT$1:$LX$711</definedName>
    <definedName name="Hot_rolled_690_HEA120_350_LBA_My_Mz_30__21" localSheetId="3">Abaqus_LBA_data_sort!$IG$1:$JK$711</definedName>
    <definedName name="Hot_rolled_690_HEA120_350_LBA_N_0.4_My_Mz_30__20" localSheetId="3">Abaqus_LBA_data_sort!$FT$1:$GX$520</definedName>
    <definedName name="Hot_rolled_690_HEA120_350_LBA_N_0.4_My_Mz_30__20_1" localSheetId="3">Abaqus_LBA_data_sort!$DG$1:$EK$520</definedName>
    <definedName name="Hot_rolled_690_HEA120_350_LBA_N_0.4_My_Mz_30__20_2" localSheetId="3">Abaqus_LBA_data_sort!$AT$1:$BX$520</definedName>
    <definedName name="Hot_rolled_690_HEA120_450_GMNIA_My_Mz_30__33" localSheetId="1">Abaqus_data_sort!$A$1:$D$142</definedName>
    <definedName name="Hot_rolled_690_HEA120_450_LBA_My_Mz_30__33" localSheetId="3">Abaqus_LBA_data_sort!$KG$1:$LK$711</definedName>
    <definedName name="Hot_rolled_690_HEA120_450_LBA_My_Mz_30__34" localSheetId="3">Abaqus_LBA_data_sort!$HT$1:$IX$711</definedName>
    <definedName name="Hot_rolled_690_HEA120_450_LBA_N_0.4_My_Mz_30__33" localSheetId="3">Abaqus_LBA_data_sort!$FG$1:$GK$520</definedName>
    <definedName name="Hot_rolled_690_HEA120_450_LBA_N_0.4_My_Mz_30__33_1" localSheetId="3">Abaqus_LBA_data_sort!$CT$1:$DX$520</definedName>
    <definedName name="Hot_rolled_690_HEA120_450_LBA_N_0.4_My_Mz_30__33_2" localSheetId="3">Abaqus_LBA_data_sort!$AG$1:$BK$520</definedName>
    <definedName name="Hot_rolled_690_HEA120_550_GMNIA_My_Mz_30__46" localSheetId="1">Abaqus_data_sort!$A$1:$D$168</definedName>
    <definedName name="Hot_rolled_690_HEA120_550_LBA_My_Mz_30__46" localSheetId="3">Abaqus_LBA_data_sort!$JT$1:$KX$711</definedName>
    <definedName name="Hot_rolled_690_HEA120_550_LBA_My_Mz_30__47" localSheetId="3">Abaqus_LBA_data_sort!$HG$1:$IK$711</definedName>
    <definedName name="Hot_rolled_690_HEA120_550_LBA_N_0.4_My_Mz_30__46" localSheetId="3">Abaqus_LBA_data_sort!$ET$1:$FX$520</definedName>
    <definedName name="Hot_rolled_690_HEA120_550_LBA_N_0.4_My_Mz_30__46_1" localSheetId="3">Abaqus_LBA_data_sort!$CG$1:$DK$520</definedName>
    <definedName name="Hot_rolled_690_HEA120_550_LBA_N_0.4_My_Mz_30__46_2" localSheetId="3">Abaqus_LBA_data_sort!$T$1:$AX$520</definedName>
    <definedName name="Hot_rolled_690_HEA120_700_GMNIA_My_Mz_30__59" localSheetId="1">Abaqus_data_sort!$A$1:$D$194</definedName>
    <definedName name="Hot_rolled_690_HEA120_700_LBA_My_Mz_30__59" localSheetId="3">Abaqus_LBA_data_sort!$JG$1:$KK$711</definedName>
    <definedName name="Hot_rolled_690_HEA120_700_LBA_My_Mz_30__60" localSheetId="3">Abaqus_LBA_data_sort!$GT$1:$HX$711</definedName>
    <definedName name="Hot_rolled_690_HEA120_700_LBA_N_0.4_My_Mz_30__59" localSheetId="3">Abaqus_LBA_data_sort!$EG$1:$FK$520</definedName>
    <definedName name="Hot_rolled_690_HEA120_700_LBA_N_0.4_My_Mz_30__59_1" localSheetId="3">Abaqus_LBA_data_sort!$BT$1:$CX$520</definedName>
    <definedName name="Hot_rolled_690_HEA120_700_LBA_N_0.4_My_Mz_30__59_2" localSheetId="3">Abaqus_LBA_data_sort!$G$1:$AK$520</definedName>
    <definedName name="Hot_rolled_690_HEA240_20_GMNIA_My_Mz_30__8" localSheetId="1">Abaqus_data_sort!$A$1:$D$92</definedName>
    <definedName name="Hot_rolled_690_HEA240_20_LBA_My_Mz_30__8" localSheetId="3">Abaqus_LBA_data_sort!$LF$1:$MJ$675</definedName>
    <definedName name="Hot_rolled_690_HEA240_20_LBA_My_Mz_30__9" localSheetId="3">Abaqus_LBA_data_sort!$IS$1:$JW$675</definedName>
    <definedName name="Hot_rolled_690_HEA240_20_LBA_N_0.4_My_Mz_30__8" localSheetId="3">Abaqus_LBA_data_sort!$GF$1:$HJ$520</definedName>
    <definedName name="Hot_rolled_690_HEA240_20_LBA_N_0.4_My_Mz_30__8_1" localSheetId="3">Abaqus_LBA_data_sort!$DS$1:$EW$520</definedName>
    <definedName name="Hot_rolled_690_HEA240_20_LBA_N_0.4_My_Mz_30__8_2" localSheetId="3">Abaqus_LBA_data_sort!$BF$1:$CJ$520</definedName>
    <definedName name="Hot_rolled_690_HEA240_350_GMNIA_My_Mz_30__21" localSheetId="1">Abaqus_data_sort!$A$1:$D$118</definedName>
    <definedName name="Hot_rolled_690_HEA240_350_LBA_My_Mz_30__21" localSheetId="3">Abaqus_LBA_data_sort!$KS$1:$LW$675</definedName>
    <definedName name="Hot_rolled_690_HEA240_350_LBA_My_Mz_30__22" localSheetId="3">Abaqus_LBA_data_sort!$IF$1:$JJ$675</definedName>
    <definedName name="Hot_rolled_690_HEA240_350_LBA_N_0.4_My_Mz_30__21" localSheetId="3">Abaqus_LBA_data_sort!$FS$1:$GW$520</definedName>
    <definedName name="Hot_rolled_690_HEA240_350_LBA_N_0.4_My_Mz_30__21_1" localSheetId="3">Abaqus_LBA_data_sort!$DF$1:$EJ$520</definedName>
    <definedName name="Hot_rolled_690_HEA240_350_LBA_N_0.4_My_Mz_30__21_2" localSheetId="3">Abaqus_LBA_data_sort!$AS$1:$BW$520</definedName>
    <definedName name="Hot_rolled_690_HEA240_450_GMNIA_My_Mz_30__34" localSheetId="1">Abaqus_data_sort!$A$1:$D$144</definedName>
    <definedName name="Hot_rolled_690_HEA240_450_LBA_My_Mz_30__34" localSheetId="3">Abaqus_LBA_data_sort!$KF$1:$LJ$675</definedName>
    <definedName name="Hot_rolled_690_HEA240_450_LBA_My_Mz_30__35" localSheetId="3">Abaqus_LBA_data_sort!$HS$1:$IW$675</definedName>
    <definedName name="Hot_rolled_690_HEA240_450_LBA_N_0.4_My_Mz_30__34" localSheetId="3">Abaqus_LBA_data_sort!$FF$1:$GJ$520</definedName>
    <definedName name="Hot_rolled_690_HEA240_450_LBA_N_0.4_My_Mz_30__34_1" localSheetId="3">Abaqus_LBA_data_sort!$CS$1:$DW$520</definedName>
    <definedName name="Hot_rolled_690_HEA240_450_LBA_N_0.4_My_Mz_30__34_2" localSheetId="3">Abaqus_LBA_data_sort!$AF$1:$BJ$520</definedName>
    <definedName name="Hot_rolled_690_HEA240_550_GMNIA_My_Mz_30__47" localSheetId="1">Abaqus_data_sort!$A$1:$D$170</definedName>
    <definedName name="Hot_rolled_690_HEA240_550_LBA_My_Mz_30__47" localSheetId="3">Abaqus_LBA_data_sort!$JS$1:$KW$675</definedName>
    <definedName name="Hot_rolled_690_HEA240_550_LBA_My_Mz_30__48" localSheetId="3">Abaqus_LBA_data_sort!$HF$1:$IJ$675</definedName>
    <definedName name="Hot_rolled_690_HEA240_550_LBA_N_0.4_My_Mz_30__47" localSheetId="3">Abaqus_LBA_data_sort!$ES$1:$FW$520</definedName>
    <definedName name="Hot_rolled_690_HEA240_550_LBA_N_0.4_My_Mz_30__47_1" localSheetId="3">Abaqus_LBA_data_sort!$CF$1:$DJ$520</definedName>
    <definedName name="Hot_rolled_690_HEA240_550_LBA_N_0.4_My_Mz_30__47_2" localSheetId="3">Abaqus_LBA_data_sort!$S$1:$AW$520</definedName>
    <definedName name="Hot_rolled_690_HEA240_700_GMNIA_My_Mz_30__60" localSheetId="1">Abaqus_data_sort!$A$1:$D$196</definedName>
    <definedName name="Hot_rolled_690_HEA240_700_LBA_My_Mz_30__60" localSheetId="3">Abaqus_LBA_data_sort!$JF$1:$KJ$675</definedName>
    <definedName name="Hot_rolled_690_HEA240_700_LBA_My_Mz_30__61" localSheetId="3">Abaqus_LBA_data_sort!$GS$1:$HW$675</definedName>
    <definedName name="Hot_rolled_690_HEA240_700_LBA_N_0.4_My_Mz_30__60" localSheetId="3">Abaqus_LBA_data_sort!$EF$1:$FJ$520</definedName>
    <definedName name="Hot_rolled_690_HEA240_700_LBA_N_0.4_My_Mz_30__60_1" localSheetId="3">Abaqus_LBA_data_sort!$BS$1:$CW$520</definedName>
    <definedName name="Hot_rolled_690_HEA240_700_LBA_N_0.4_My_Mz_30__60_2" localSheetId="3">Abaqus_LBA_data_sort!$F$1:$AJ$520</definedName>
    <definedName name="Hot_rolled_690_HEA300_20_GMNIA_My_Mz_30__9" localSheetId="1">Abaqus_data_sort!$A$1:$D$94</definedName>
    <definedName name="Hot_rolled_690_HEA300_20_LBA_My_Mz_30__10" localSheetId="3">Abaqus_LBA_data_sort!$IR$1:$JV$663</definedName>
    <definedName name="Hot_rolled_690_HEA300_20_LBA_My_Mz_30__9" localSheetId="3">Abaqus_LBA_data_sort!$LE$1:$MI$663</definedName>
    <definedName name="Hot_rolled_690_HEA300_20_LBA_N_0.4_My_Mz_30__9" localSheetId="3">Abaqus_LBA_data_sort!$GE$1:$HI$520</definedName>
    <definedName name="Hot_rolled_690_HEA300_20_LBA_N_0.4_My_Mz_30__9_1" localSheetId="3">Abaqus_LBA_data_sort!$DR$1:$EV$520</definedName>
    <definedName name="Hot_rolled_690_HEA300_20_LBA_N_0.4_My_Mz_30__9_2" localSheetId="3">Abaqus_LBA_data_sort!$BE$1:$CI$520</definedName>
    <definedName name="Hot_rolled_690_HEA300_350_GMNIA_My_Mz_30__22" localSheetId="1">Abaqus_data_sort!$A$1:$D$120</definedName>
    <definedName name="Hot_rolled_690_HEA300_350_LBA_My_Mz_30__22" localSheetId="3">Abaqus_LBA_data_sort!$KR$1:$LV$663</definedName>
    <definedName name="Hot_rolled_690_HEA300_350_LBA_My_Mz_30__23" localSheetId="3">Abaqus_LBA_data_sort!$IE$1:$JI$663</definedName>
    <definedName name="Hot_rolled_690_HEA300_350_LBA_N_0.4_My_Mz_30__22" localSheetId="3">Abaqus_LBA_data_sort!$FR$1:$GV$520</definedName>
    <definedName name="Hot_rolled_690_HEA300_350_LBA_N_0.4_My_Mz_30__22_1" localSheetId="3">Abaqus_LBA_data_sort!$DE$1:$EI$520</definedName>
    <definedName name="Hot_rolled_690_HEA300_350_LBA_N_0.4_My_Mz_30__22_2" localSheetId="3">Abaqus_LBA_data_sort!$AR$1:$BV$520</definedName>
    <definedName name="Hot_rolled_690_HEA300_450_GMNIA_My_Mz_30__35" localSheetId="1">Abaqus_data_sort!$A$1:$D$146</definedName>
    <definedName name="Hot_rolled_690_HEA300_450_LBA_My_Mz_30__35" localSheetId="3">Abaqus_LBA_data_sort!$KE$1:$LI$663</definedName>
    <definedName name="Hot_rolled_690_HEA300_450_LBA_My_Mz_30__36" localSheetId="3">Abaqus_LBA_data_sort!$HR$1:$IV$663</definedName>
    <definedName name="Hot_rolled_690_HEA300_450_LBA_N_0.4_My_Mz_30__35" localSheetId="3">Abaqus_LBA_data_sort!$FE$1:$GI$520</definedName>
    <definedName name="Hot_rolled_690_HEA300_450_LBA_N_0.4_My_Mz_30__35_1" localSheetId="3">Abaqus_LBA_data_sort!$CR$1:$DV$520</definedName>
    <definedName name="Hot_rolled_690_HEA300_450_LBA_N_0.4_My_Mz_30__35_2" localSheetId="3">Abaqus_LBA_data_sort!$AE$1:$BI$520</definedName>
    <definedName name="Hot_rolled_690_HEA300_550_GMNIA_My_Mz_30__48" localSheetId="1">Abaqus_data_sort!$A$1:$D$172</definedName>
    <definedName name="Hot_rolled_690_HEA300_550_LBA_My_Mz_30__48" localSheetId="3">Abaqus_LBA_data_sort!$JR$1:$KV$663</definedName>
    <definedName name="Hot_rolled_690_HEA300_550_LBA_My_Mz_30__49" localSheetId="3">Abaqus_LBA_data_sort!$HE$1:$II$663</definedName>
    <definedName name="Hot_rolled_690_HEA300_550_LBA_N_0.4_My_Mz_30__48" localSheetId="3">Abaqus_LBA_data_sort!$ER$1:$FV$520</definedName>
    <definedName name="Hot_rolled_690_HEA300_550_LBA_N_0.4_My_Mz_30__48_1" localSheetId="3">Abaqus_LBA_data_sort!$CE$1:$DI$520</definedName>
    <definedName name="Hot_rolled_690_HEA300_550_LBA_N_0.4_My_Mz_30__48_2" localSheetId="3">Abaqus_LBA_data_sort!$R$1:$AV$520</definedName>
    <definedName name="Hot_rolled_690_HEA300_700_GMNIA_My_Mz_30__61" localSheetId="1">Abaqus_data_sort!$A$1:$D$198</definedName>
    <definedName name="Hot_rolled_690_HEA300_700_LBA_My_Mz_30__61" localSheetId="3">Abaqus_LBA_data_sort!$JE$1:$KI$663</definedName>
    <definedName name="Hot_rolled_690_HEA300_700_LBA_My_Mz_30__62" localSheetId="3">Abaqus_LBA_data_sort!$GR$1:$HV$663</definedName>
    <definedName name="Hot_rolled_690_HEA300_700_LBA_N_0.4_My_Mz_30__61" localSheetId="3">Abaqus_LBA_data_sort!$EE$1:$FI$520</definedName>
    <definedName name="Hot_rolled_690_HEA300_700_LBA_N_0.4_My_Mz_30__61_1" localSheetId="3">Abaqus_LBA_data_sort!$BR$1:$CV$520</definedName>
    <definedName name="Hot_rolled_690_HEA300_700_LBA_N_0.4_My_Mz_30__61_2" localSheetId="3">Abaqus_LBA_data_sort!$E$1:$AI$520</definedName>
    <definedName name="Hot_rolled_690_HEA400_20_GMNIA_My_Mz_30__10" localSheetId="1">Abaqus_data_sort!$A$1:$D$96</definedName>
    <definedName name="Hot_rolled_690_HEA400_20_LBA_My_Mz_30__10" localSheetId="3">Abaqus_LBA_data_sort!$LD$1:$MH$597</definedName>
    <definedName name="Hot_rolled_690_HEA400_20_LBA_My_Mz_30__11" localSheetId="3">Abaqus_LBA_data_sort!$IQ$1:$JU$597</definedName>
    <definedName name="Hot_rolled_690_HEA400_20_LBA_N_0.4_My_Mz_30__10" localSheetId="3">Abaqus_LBA_data_sort!$GD$1:$HH$520</definedName>
    <definedName name="Hot_rolled_690_HEA400_20_LBA_N_0.4_My_Mz_30__10_1" localSheetId="3">Abaqus_LBA_data_sort!$DQ$1:$EU$520</definedName>
    <definedName name="Hot_rolled_690_HEA400_20_LBA_N_0.4_My_Mz_30__10_2" localSheetId="3">Abaqus_LBA_data_sort!$BD$1:$CH$520</definedName>
    <definedName name="Hot_rolled_690_HEA400_350_GMNIA_My_Mz_30__23" localSheetId="1">Abaqus_data_sort!$A$1:$D$122</definedName>
    <definedName name="Hot_rolled_690_HEA400_350_LBA_My_Mz_30__23" localSheetId="3">Abaqus_LBA_data_sort!$KQ$1:$LU$597</definedName>
    <definedName name="Hot_rolled_690_HEA400_350_LBA_My_Mz_30__24" localSheetId="3">Abaqus_LBA_data_sort!$ID$1:$JH$597</definedName>
    <definedName name="Hot_rolled_690_HEA400_350_LBA_N_0.4_My_Mz_30__23" localSheetId="3">Abaqus_LBA_data_sort!$FQ$1:$GU$520</definedName>
    <definedName name="Hot_rolled_690_HEA400_350_LBA_N_0.4_My_Mz_30__23_1" localSheetId="3">Abaqus_LBA_data_sort!$DD$1:$EH$520</definedName>
    <definedName name="Hot_rolled_690_HEA400_350_LBA_N_0.4_My_Mz_30__23_2" localSheetId="3">Abaqus_LBA_data_sort!$AQ$1:$BU$520</definedName>
    <definedName name="Hot_rolled_690_HEA400_450_GMNIA_My_Mz_30__36" localSheetId="1">Abaqus_data_sort!$A$1:$D$148</definedName>
    <definedName name="Hot_rolled_690_HEA400_450_LBA_My_Mz_30__36" localSheetId="3">Abaqus_LBA_data_sort!$KD$1:$LH$597</definedName>
    <definedName name="Hot_rolled_690_HEA400_450_LBA_My_Mz_30__37" localSheetId="3">Abaqus_LBA_data_sort!$HQ$1:$IU$597</definedName>
    <definedName name="Hot_rolled_690_HEA400_450_LBA_N_0.4_My_Mz_30__36" localSheetId="3">Abaqus_LBA_data_sort!$FD$1:$GH$520</definedName>
    <definedName name="Hot_rolled_690_HEA400_450_LBA_N_0.4_My_Mz_30__36_1" localSheetId="3">Abaqus_LBA_data_sort!$CQ$1:$DU$520</definedName>
    <definedName name="Hot_rolled_690_HEA400_450_LBA_N_0.4_My_Mz_30__36_2" localSheetId="3">Abaqus_LBA_data_sort!$AD$1:$BH$520</definedName>
    <definedName name="Hot_rolled_690_HEA400_550_GMNIA_My_Mz_30__49" localSheetId="1">Abaqus_data_sort!$A$1:$D$174</definedName>
    <definedName name="Hot_rolled_690_HEA400_550_LBA_My_Mz_30__49" localSheetId="3">Abaqus_LBA_data_sort!$JQ$1:$KU$597</definedName>
    <definedName name="Hot_rolled_690_HEA400_550_LBA_My_Mz_30__50" localSheetId="3">Abaqus_LBA_data_sort!$HD$1:$IH$597</definedName>
    <definedName name="Hot_rolled_690_HEA400_550_LBA_N_0.4_My_Mz_30__49" localSheetId="3">Abaqus_LBA_data_sort!$EQ$1:$FU$520</definedName>
    <definedName name="Hot_rolled_690_HEA400_550_LBA_N_0.4_My_Mz_30__49_1" localSheetId="3">Abaqus_LBA_data_sort!$CD$1:$DH$520</definedName>
    <definedName name="Hot_rolled_690_HEA400_550_LBA_N_0.4_My_Mz_30__49_2" localSheetId="3">Abaqus_LBA_data_sort!$Q$1:$AU$520</definedName>
    <definedName name="Hot_rolled_690_HEA400_700_GMNIA_My_Mz_30__62" localSheetId="1">Abaqus_data_sort!$A$1:$D$200</definedName>
    <definedName name="Hot_rolled_690_HEA400_700_LBA_My_Mz_30__62" localSheetId="3">Abaqus_LBA_data_sort!$JD$1:$KH$597</definedName>
    <definedName name="Hot_rolled_690_HEA400_700_LBA_My_Mz_30__63" localSheetId="3">Abaqus_LBA_data_sort!$GQ$1:$HU$597</definedName>
    <definedName name="Hot_rolled_690_HEA400_700_LBA_N_0.4_My_Mz_30__62" localSheetId="3">Abaqus_LBA_data_sort!$ED$1:$FH$520</definedName>
    <definedName name="Hot_rolled_690_HEA400_700_LBA_N_0.4_My_Mz_30__62_1" localSheetId="3">Abaqus_LBA_data_sort!$BQ$1:$CU$520</definedName>
    <definedName name="Hot_rolled_690_HEA400_700_LBA_N_0.4_My_Mz_30__62_2" localSheetId="3">Abaqus_LBA_data_sort!$D$1:$AH$520</definedName>
    <definedName name="Hot_rolled_690_HEA500_20_GMNIA_My_Mz_30__11" localSheetId="1">Abaqus_data_sort!$A$1:$D$98</definedName>
    <definedName name="Hot_rolled_690_HEA500_20_LBA_My_Mz_30__11" localSheetId="3">Abaqus_LBA_data_sort!$LC$1:$MG$561</definedName>
    <definedName name="Hot_rolled_690_HEA500_20_LBA_My_Mz_30__12" localSheetId="3">Abaqus_LBA_data_sort!$IP$1:$JT$561</definedName>
    <definedName name="Hot_rolled_690_HEA500_20_LBA_N_0.4_My_Mz_30__11" localSheetId="3">Abaqus_LBA_data_sort!$GC$1:$HG$520</definedName>
    <definedName name="Hot_rolled_690_HEA500_20_LBA_N_0.4_My_Mz_30__11_1" localSheetId="3">Abaqus_LBA_data_sort!$DP$1:$ET$520</definedName>
    <definedName name="Hot_rolled_690_HEA500_20_LBA_N_0.4_My_Mz_30__11_2" localSheetId="3">Abaqus_LBA_data_sort!$BC$1:$CG$520</definedName>
    <definedName name="Hot_rolled_690_HEA500_350_GMNIA_My_Mz_30__24" localSheetId="1">Abaqus_data_sort!$A$1:$D$124</definedName>
    <definedName name="Hot_rolled_690_HEA500_350_LBA_My_Mz_30__24" localSheetId="3">Abaqus_LBA_data_sort!$KP$1:$LT$561</definedName>
    <definedName name="Hot_rolled_690_HEA500_350_LBA_My_Mz_30__25" localSheetId="3">Abaqus_LBA_data_sort!$IC$1:$JG$561</definedName>
    <definedName name="Hot_rolled_690_HEA500_350_LBA_N_0.4_My_Mz_30__24" localSheetId="3">Abaqus_LBA_data_sort!$FP$1:$GT$520</definedName>
    <definedName name="Hot_rolled_690_HEA500_350_LBA_N_0.4_My_Mz_30__24_1" localSheetId="3">Abaqus_LBA_data_sort!$DC$1:$EG$520</definedName>
    <definedName name="Hot_rolled_690_HEA500_350_LBA_N_0.4_My_Mz_30__24_2" localSheetId="3">Abaqus_LBA_data_sort!$AP$1:$BT$520</definedName>
    <definedName name="Hot_rolled_690_HEA500_450_GMNIA_My_Mz_30__37" localSheetId="1">Abaqus_data_sort!$A$1:$D$150</definedName>
    <definedName name="Hot_rolled_690_HEA500_450_LBA_My_Mz_30__37" localSheetId="3">Abaqus_LBA_data_sort!$KC$1:$LG$561</definedName>
    <definedName name="Hot_rolled_690_HEA500_450_LBA_My_Mz_30__38" localSheetId="3">Abaqus_LBA_data_sort!$HP$1:$IT$561</definedName>
    <definedName name="Hot_rolled_690_HEA500_450_LBA_N_0.4_My_Mz_30__37" localSheetId="3">Abaqus_LBA_data_sort!$FC$1:$GG$520</definedName>
    <definedName name="Hot_rolled_690_HEA500_450_LBA_N_0.4_My_Mz_30__37_1" localSheetId="3">Abaqus_LBA_data_sort!$CP$1:$DT$520</definedName>
    <definedName name="Hot_rolled_690_HEA500_450_LBA_N_0.4_My_Mz_30__37_2" localSheetId="3">Abaqus_LBA_data_sort!$AC$1:$BG$520</definedName>
    <definedName name="Hot_rolled_690_HEA500_550_GMNIA_My_Mz_30__50" localSheetId="1">Abaqus_data_sort!$A$1:$D$176</definedName>
    <definedName name="Hot_rolled_690_HEA500_550_LBA_My_Mz_30__50" localSheetId="3">Abaqus_LBA_data_sort!$JP$1:$KT$561</definedName>
    <definedName name="Hot_rolled_690_HEA500_550_LBA_My_Mz_30__51" localSheetId="3">Abaqus_LBA_data_sort!$HC$1:$IG$561</definedName>
    <definedName name="Hot_rolled_690_HEA500_550_LBA_N_0.4_My_Mz_30__50" localSheetId="3">Abaqus_LBA_data_sort!$EP$1:$FT$520</definedName>
    <definedName name="Hot_rolled_690_HEA500_550_LBA_N_0.4_My_Mz_30__50_1" localSheetId="3">Abaqus_LBA_data_sort!$CC$1:$DG$520</definedName>
    <definedName name="Hot_rolled_690_HEA500_550_LBA_N_0.4_My_Mz_30__50_2" localSheetId="3">Abaqus_LBA_data_sort!$P$1:$AT$520</definedName>
    <definedName name="Hot_rolled_690_HEA500_700_GMNIA_My_Mz_30__63" localSheetId="1">Abaqus_data_sort!$A$1:$D$202</definedName>
    <definedName name="Hot_rolled_690_HEA500_700_LBA_My_Mz_30__63" localSheetId="3">Abaqus_LBA_data_sort!$JC$1:$KG$561</definedName>
    <definedName name="Hot_rolled_690_HEA500_700_LBA_My_Mz_30__64" localSheetId="3">Abaqus_LBA_data_sort!$GP$1:$HT$561</definedName>
    <definedName name="Hot_rolled_690_HEA500_700_LBA_N_0.4_My_Mz_30__63" localSheetId="3">Abaqus_LBA_data_sort!$EC$1:$FG$520</definedName>
    <definedName name="Hot_rolled_690_HEA500_700_LBA_N_0.4_My_Mz_30__63_1" localSheetId="3">Abaqus_LBA_data_sort!$BP$1:$CT$520</definedName>
    <definedName name="Hot_rolled_690_HEA500_700_LBA_N_0.4_My_Mz_30__63_2" localSheetId="3">Abaqus_LBA_data_sort!$C$1:$AG$520</definedName>
    <definedName name="Hot_rolled_690_HEA600_20_GMNIA_My_Mz_30__12" localSheetId="1">Abaqus_data_sort!$A$1:$D$100</definedName>
    <definedName name="Hot_rolled_690_HEA600_20_LBA_My_Mz_30__12" localSheetId="3">Abaqus_LBA_data_sort!$LB$1:$MF$531</definedName>
    <definedName name="Hot_rolled_690_HEA600_20_LBA_My_Mz_30__13" localSheetId="3">Abaqus_LBA_data_sort!$IO$1:$JS$531</definedName>
    <definedName name="Hot_rolled_690_HEA600_20_LBA_N_0.4_My_Mz_30__12" localSheetId="3">Abaqus_LBA_data_sort!$GB$1:$HF$520</definedName>
    <definedName name="Hot_rolled_690_HEA600_20_LBA_N_0.4_My_Mz_30__12_1" localSheetId="3">Abaqus_LBA_data_sort!$DO$1:$ES$520</definedName>
    <definedName name="Hot_rolled_690_HEA600_20_LBA_N_0.4_My_Mz_30__12_2" localSheetId="3">Abaqus_LBA_data_sort!$BB$1:$CF$520</definedName>
    <definedName name="Hot_rolled_690_HEA600_350_GMNIA_My_Mz_30__25" localSheetId="1">Abaqus_data_sort!$A$1:$D$126</definedName>
    <definedName name="Hot_rolled_690_HEA600_350_LBA_My_Mz_30__25" localSheetId="3">Abaqus_LBA_data_sort!$KO$1:$LS$531</definedName>
    <definedName name="Hot_rolled_690_HEA600_350_LBA_My_Mz_30__26" localSheetId="3">Abaqus_LBA_data_sort!$IB$1:$JF$531</definedName>
    <definedName name="Hot_rolled_690_HEA600_350_LBA_N_0.4_My_Mz_30__25" localSheetId="3">Abaqus_LBA_data_sort!$FO$1:$GS$520</definedName>
    <definedName name="Hot_rolled_690_HEA600_350_LBA_N_0.4_My_Mz_30__25_1" localSheetId="3">Abaqus_LBA_data_sort!$DB$1:$EF$520</definedName>
    <definedName name="Hot_rolled_690_HEA600_350_LBA_N_0.4_My_Mz_30__25_2" localSheetId="3">Abaqus_LBA_data_sort!$AO$1:$BS$520</definedName>
    <definedName name="Hot_rolled_690_HEA600_450_GMNIA_My_Mz_30__38" localSheetId="1">Abaqus_data_sort!$A$1:$D$152</definedName>
    <definedName name="Hot_rolled_690_HEA600_450_LBA_My_Mz_30__38" localSheetId="3">Abaqus_LBA_data_sort!$KB$1:$LF$531</definedName>
    <definedName name="Hot_rolled_690_HEA600_450_LBA_My_Mz_30__39" localSheetId="3">Abaqus_LBA_data_sort!$HO$1:$IS$531</definedName>
    <definedName name="Hot_rolled_690_HEA600_450_LBA_N_0.4_My_Mz_30__38" localSheetId="3">Abaqus_LBA_data_sort!$FB$1:$GF$520</definedName>
    <definedName name="Hot_rolled_690_HEA600_450_LBA_N_0.4_My_Mz_30__38_1" localSheetId="3">Abaqus_LBA_data_sort!$CO$1:$DS$520</definedName>
    <definedName name="Hot_rolled_690_HEA600_450_LBA_N_0.4_My_Mz_30__38_2" localSheetId="3">Abaqus_LBA_data_sort!$AB$1:$BF$520</definedName>
    <definedName name="Hot_rolled_690_HEA600_550_GMNIA_My_Mz_30__51" localSheetId="1">Abaqus_data_sort!$A$1:$D$178</definedName>
    <definedName name="Hot_rolled_690_HEA600_550_LBA_My_Mz_30__51" localSheetId="3">Abaqus_LBA_data_sort!$JO$1:$KS$531</definedName>
    <definedName name="Hot_rolled_690_HEA600_550_LBA_My_Mz_30__52" localSheetId="3">Abaqus_LBA_data_sort!$HB$1:$IF$531</definedName>
    <definedName name="Hot_rolled_690_HEA600_550_LBA_N_0.4_My_Mz_30__51" localSheetId="3">Abaqus_LBA_data_sort!$EO$1:$FS$520</definedName>
    <definedName name="Hot_rolled_690_HEA600_550_LBA_N_0.4_My_Mz_30__51_1" localSheetId="3">Abaqus_LBA_data_sort!$CB$1:$DF$520</definedName>
    <definedName name="Hot_rolled_690_HEA600_550_LBA_N_0.4_My_Mz_30__51_2" localSheetId="3">Abaqus_LBA_data_sort!$O$1:$AS$520</definedName>
    <definedName name="Hot_rolled_690_HEA600_700_GMNIA_My_Mz_30__64" localSheetId="1">Abaqus_data_sort!$A$1:$D$204</definedName>
    <definedName name="Hot_rolled_690_HEA600_700_LBA_My_Mz_30__64" localSheetId="3">Abaqus_LBA_data_sort!$JB$1:$KF$531</definedName>
    <definedName name="Hot_rolled_690_HEA600_700_LBA_My_Mz_30__65" localSheetId="3">Abaqus_LBA_data_sort!$GO$1:$HS$531</definedName>
    <definedName name="Hot_rolled_690_HEA600_700_LBA_N_0.4_My_Mz_30__64" localSheetId="3">Abaqus_LBA_data_sort!$EB$1:$FF$520</definedName>
    <definedName name="Hot_rolled_690_HEA600_700_LBA_N_0.4_My_Mz_30__64_1" localSheetId="3">Abaqus_LBA_data_sort!$BO$1:$CS$520</definedName>
    <definedName name="Hot_rolled_690_HEA600_700_LBA_N_0.4_My_Mz_30__64_2" localSheetId="3">Abaqus_LBA_data_sort!$B$1:$AF$520</definedName>
    <definedName name="Hot_rolled_690_IPE120_20_GMNIA_My_Mz_30__1" localSheetId="1">Abaqus_data_sort!$A$1:$D$78</definedName>
    <definedName name="Hot_rolled_690_IPE120_20_LBA_My_Mz_30__1" localSheetId="3">Abaqus_LBA_data_sort!$LM$1:$MQ$549</definedName>
    <definedName name="Hot_rolled_690_IPE120_20_LBA_My_Mz_30__2" localSheetId="3">Abaqus_LBA_data_sort!$IZ$1:$KD$549</definedName>
    <definedName name="Hot_rolled_690_IPE120_20_LBA_N_0.4_My_Mz_30__1_2" localSheetId="3">Abaqus_LBA_data_sort!$GM$1:$HQ$520</definedName>
    <definedName name="Hot_rolled_690_IPE120_20_LBA_N_0.4_My_Mz_30__1_3" localSheetId="3">Abaqus_LBA_data_sort!$DZ$1:$FD$520</definedName>
    <definedName name="Hot_rolled_690_IPE120_20_LBA_N_0.4_My_Mz_30__1_4" localSheetId="3">Abaqus_LBA_data_sort!$BM$1:$CQ$520</definedName>
    <definedName name="Hot_rolled_690_IPE120_350_GMNIA_My_Mz_30__14" localSheetId="1">Abaqus_data_sort!$A$1:$D$104</definedName>
    <definedName name="Hot_rolled_690_IPE120_350_LBA_My_Mz_30__14" localSheetId="3">Abaqus_LBA_data_sort!$KZ$1:$MD$549</definedName>
    <definedName name="Hot_rolled_690_IPE120_350_LBA_My_Mz_30__15" localSheetId="3">Abaqus_LBA_data_sort!$IM$1:$JQ$549</definedName>
    <definedName name="Hot_rolled_690_IPE120_350_LBA_N_0.4_My_Mz_30__14" localSheetId="3">Abaqus_LBA_data_sort!$FZ$1:$HD$520</definedName>
    <definedName name="Hot_rolled_690_IPE120_350_LBA_N_0.4_My_Mz_30__14_1" localSheetId="3">Abaqus_LBA_data_sort!$DM$1:$EQ$520</definedName>
    <definedName name="Hot_rolled_690_IPE120_350_LBA_N_0.4_My_Mz_30__14_2" localSheetId="3">Abaqus_LBA_data_sort!$AZ$1:$CD$520</definedName>
    <definedName name="Hot_rolled_690_IPE120_450_GMNIA_My_Mz_30__27" localSheetId="1">Abaqus_data_sort!$A$1:$D$130</definedName>
    <definedName name="Hot_rolled_690_IPE120_450_LBA_My_Mz_30__27" localSheetId="3">Abaqus_LBA_data_sort!$KM$1:$LQ$549</definedName>
    <definedName name="Hot_rolled_690_IPE120_450_LBA_My_Mz_30__28" localSheetId="3">Abaqus_LBA_data_sort!$HZ$1:$JD$549</definedName>
    <definedName name="Hot_rolled_690_IPE120_450_LBA_N_0.4_My_Mz_30__27" localSheetId="3">Abaqus_LBA_data_sort!$FM$1:$GQ$520</definedName>
    <definedName name="Hot_rolled_690_IPE120_450_LBA_N_0.4_My_Mz_30__27_1" localSheetId="3">Abaqus_LBA_data_sort!$CZ$1:$ED$520</definedName>
    <definedName name="Hot_rolled_690_IPE120_450_LBA_N_0.4_My_Mz_30__27_2" localSheetId="3">Abaqus_LBA_data_sort!$AM$1:$BQ$520</definedName>
    <definedName name="Hot_rolled_690_IPE120_550_GMNIA_My_Mz_30__40" localSheetId="1">Abaqus_data_sort!$A$1:$D$156</definedName>
    <definedName name="Hot_rolled_690_IPE120_550_LBA_My_Mz_30__40" localSheetId="3">Abaqus_LBA_data_sort!$JZ$1:$LD$549</definedName>
    <definedName name="Hot_rolled_690_IPE120_550_LBA_My_Mz_30__41" localSheetId="3">Abaqus_LBA_data_sort!$HM$1:$IQ$549</definedName>
    <definedName name="Hot_rolled_690_IPE120_550_LBA_N_0.4_My_Mz_30__40" localSheetId="3">Abaqus_LBA_data_sort!$EZ$1:$GD$520</definedName>
    <definedName name="Hot_rolled_690_IPE120_550_LBA_N_0.4_My_Mz_30__40_1" localSheetId="3">Abaqus_LBA_data_sort!$CM$1:$DQ$520</definedName>
    <definedName name="Hot_rolled_690_IPE120_550_LBA_N_0.4_My_Mz_30__40_2" localSheetId="3">Abaqus_LBA_data_sort!$Z$1:$BD$520</definedName>
    <definedName name="Hot_rolled_690_IPE120_700_GMNIA_My_Mz_30__53" localSheetId="1">Abaqus_data_sort!$A$1:$D$182</definedName>
    <definedName name="Hot_rolled_690_IPE120_700_LBA_My_Mz_30__53" localSheetId="3">Abaqus_LBA_data_sort!$JM$1:$KQ$549</definedName>
    <definedName name="Hot_rolled_690_IPE120_700_LBA_My_Mz_30__54" localSheetId="3">Abaqus_LBA_data_sort!$GZ$1:$ID$549</definedName>
    <definedName name="Hot_rolled_690_IPE120_700_LBA_N_0.4_My_Mz_30__53" localSheetId="3">Abaqus_LBA_data_sort!$EM$1:$FQ$520</definedName>
    <definedName name="Hot_rolled_690_IPE120_700_LBA_N_0.4_My_Mz_30__53_1" localSheetId="3">Abaqus_LBA_data_sort!$BZ$1:$DD$520</definedName>
    <definedName name="Hot_rolled_690_IPE120_700_LBA_N_0.4_My_Mz_30__53_2" localSheetId="3">Abaqus_LBA_data_sort!$M$1:$AQ$520</definedName>
    <definedName name="Hot_rolled_690_IPE220_20_GMNIA_My_Mz_30__2" localSheetId="1">Abaqus_data_sort!$A$1:$D$80</definedName>
    <definedName name="Hot_rolled_690_IPE220_20_LBA_My_Mz_30__2" localSheetId="3">Abaqus_LBA_data_sort!$LL$1:$MP$537</definedName>
    <definedName name="Hot_rolled_690_IPE220_20_LBA_My_Mz_30__3" localSheetId="3">Abaqus_LBA_data_sort!$IY$1:$KC$537</definedName>
    <definedName name="Hot_rolled_690_IPE220_20_LBA_N_0.4_My_Mz_30__2" localSheetId="3">Abaqus_LBA_data_sort!$GL$1:$HP$520</definedName>
    <definedName name="Hot_rolled_690_IPE220_20_LBA_N_0.4_My_Mz_30__2_1" localSheetId="3">Abaqus_LBA_data_sort!$DY$1:$FC$520</definedName>
    <definedName name="Hot_rolled_690_IPE220_20_LBA_N_0.4_My_Mz_30__2_2" localSheetId="3">Abaqus_LBA_data_sort!$BL$1:$CP$520</definedName>
    <definedName name="Hot_rolled_690_IPE220_350_GMNIA_My_Mz_30__15" localSheetId="1">Abaqus_data_sort!$A$1:$D$106</definedName>
    <definedName name="Hot_rolled_690_IPE220_350_LBA_My_Mz_30__15" localSheetId="3">Abaqus_LBA_data_sort!$KY$1:$MC$537</definedName>
    <definedName name="Hot_rolled_690_IPE220_350_LBA_My_Mz_30__16" localSheetId="3">Abaqus_LBA_data_sort!$IL$1:$JP$537</definedName>
    <definedName name="Hot_rolled_690_IPE220_350_LBA_N_0.4_My_Mz_30__15" localSheetId="3">Abaqus_LBA_data_sort!$FY$1:$HC$520</definedName>
    <definedName name="Hot_rolled_690_IPE220_350_LBA_N_0.4_My_Mz_30__15_1" localSheetId="3">Abaqus_LBA_data_sort!$DL$1:$EP$520</definedName>
    <definedName name="Hot_rolled_690_IPE220_350_LBA_N_0.4_My_Mz_30__15_2" localSheetId="3">Abaqus_LBA_data_sort!$AY$1:$CC$520</definedName>
    <definedName name="Hot_rolled_690_IPE220_450_GMNIA_My_Mz_30__28" localSheetId="1">Abaqus_data_sort!$A$1:$D$132</definedName>
    <definedName name="Hot_rolled_690_IPE220_450_LBA_My_Mz_30__28" localSheetId="3">Abaqus_LBA_data_sort!$KL$1:$LP$537</definedName>
    <definedName name="Hot_rolled_690_IPE220_450_LBA_My_Mz_30__29" localSheetId="3">Abaqus_LBA_data_sort!$HY$1:$JC$537</definedName>
    <definedName name="Hot_rolled_690_IPE220_450_LBA_N_0.4_My_Mz_30__28" localSheetId="3">Abaqus_LBA_data_sort!$FL$1:$GP$520</definedName>
    <definedName name="Hot_rolled_690_IPE220_450_LBA_N_0.4_My_Mz_30__28_1" localSheetId="3">Abaqus_LBA_data_sort!$CY$1:$EC$520</definedName>
    <definedName name="Hot_rolled_690_IPE220_450_LBA_N_0.4_My_Mz_30__28_2" localSheetId="3">Abaqus_LBA_data_sort!$AL$1:$BP$520</definedName>
    <definedName name="Hot_rolled_690_IPE220_550_GMNIA_My_Mz_30__41" localSheetId="1">Abaqus_data_sort!$A$1:$D$158</definedName>
    <definedName name="Hot_rolled_690_IPE220_550_LBA_My_Mz_30__41" localSheetId="3">Abaqus_LBA_data_sort!$JY$1:$LC$537</definedName>
    <definedName name="Hot_rolled_690_IPE220_550_LBA_My_Mz_30__42" localSheetId="3">Abaqus_LBA_data_sort!$HL$1:$IP$537</definedName>
    <definedName name="Hot_rolled_690_IPE220_550_LBA_N_0.4_My_Mz_30__41" localSheetId="3">Abaqus_LBA_data_sort!$EY$1:$GC$520</definedName>
    <definedName name="Hot_rolled_690_IPE220_550_LBA_N_0.4_My_Mz_30__41_1" localSheetId="3">Abaqus_LBA_data_sort!$CL$1:$DP$520</definedName>
    <definedName name="Hot_rolled_690_IPE220_550_LBA_N_0.4_My_Mz_30__41_2" localSheetId="3">Abaqus_LBA_data_sort!$Y$1:$BC$520</definedName>
    <definedName name="Hot_rolled_690_IPE220_700_GMNIA_My_Mz_30__54" localSheetId="1">Abaqus_data_sort!$A$1:$D$184</definedName>
    <definedName name="Hot_rolled_690_IPE220_700_LBA_My_Mz_30__54" localSheetId="3">Abaqus_LBA_data_sort!$JL$1:$KP$537</definedName>
    <definedName name="Hot_rolled_690_IPE220_700_LBA_My_Mz_30__55" localSheetId="3">Abaqus_LBA_data_sort!$GY$1:$IC$537</definedName>
    <definedName name="Hot_rolled_690_IPE220_700_LBA_N_0.4_My_Mz_30__54" localSheetId="3">Abaqus_LBA_data_sort!$EL$1:$FP$520</definedName>
    <definedName name="Hot_rolled_690_IPE220_700_LBA_N_0.4_My_Mz_30__54_1" localSheetId="3">Abaqus_LBA_data_sort!$BY$1:$DC$520</definedName>
    <definedName name="Hot_rolled_690_IPE220_700_LBA_N_0.4_My_Mz_30__54_2" localSheetId="3">Abaqus_LBA_data_sort!$L$1:$AP$520</definedName>
    <definedName name="Hot_rolled_690_IPE270_20_GMNIA_My_Mz_30__3" localSheetId="1">Abaqus_data_sort!$A$1:$D$82</definedName>
    <definedName name="Hot_rolled_690_IPE270_20_LBA_My_Mz_30__3" localSheetId="3">Abaqus_LBA_data_sort!$LK$1:$MO$537</definedName>
    <definedName name="Hot_rolled_690_IPE270_20_LBA_My_Mz_30__4" localSheetId="3">Abaqus_LBA_data_sort!$IX$1:$KB$537</definedName>
    <definedName name="Hot_rolled_690_IPE270_20_LBA_N_0.4_My_Mz_30__3" localSheetId="3">Abaqus_LBA_data_sort!$GK$1:$HO$520</definedName>
    <definedName name="Hot_rolled_690_IPE270_20_LBA_N_0.4_My_Mz_30__3_1" localSheetId="3">Abaqus_LBA_data_sort!$DX$1:$FB$520</definedName>
    <definedName name="Hot_rolled_690_IPE270_20_LBA_N_0.4_My_Mz_30__3_2" localSheetId="3">Abaqus_LBA_data_sort!$BK$1:$CO$520</definedName>
    <definedName name="Hot_rolled_690_IPE270_350_GMNIA_My_Mz_30__16" localSheetId="1">Abaqus_data_sort!$A$1:$D$108</definedName>
    <definedName name="Hot_rolled_690_IPE270_350_LBA_My_Mz_30__16" localSheetId="3">Abaqus_LBA_data_sort!$KX$1:$MB$537</definedName>
    <definedName name="Hot_rolled_690_IPE270_350_LBA_My_Mz_30__17" localSheetId="3">Abaqus_LBA_data_sort!$IK$1:$JO$537</definedName>
    <definedName name="Hot_rolled_690_IPE270_350_LBA_N_0.4_My_Mz_30__16" localSheetId="3">Abaqus_LBA_data_sort!$FX$1:$HB$520</definedName>
    <definedName name="Hot_rolled_690_IPE270_350_LBA_N_0.4_My_Mz_30__16_1" localSheetId="3">Abaqus_LBA_data_sort!$DK$1:$EO$520</definedName>
    <definedName name="Hot_rolled_690_IPE270_350_LBA_N_0.4_My_Mz_30__16_2" localSheetId="3">Abaqus_LBA_data_sort!$AX$1:$CB$520</definedName>
    <definedName name="Hot_rolled_690_IPE270_450_GMNIA_My_Mz_30__29" localSheetId="1">Abaqus_data_sort!$A$1:$D$134</definedName>
    <definedName name="Hot_rolled_690_IPE270_450_LBA_My_Mz_30__29" localSheetId="3">Abaqus_LBA_data_sort!$KK$1:$LO$537</definedName>
    <definedName name="Hot_rolled_690_IPE270_450_LBA_My_Mz_30__30" localSheetId="3">Abaqus_LBA_data_sort!$HX$1:$JB$537</definedName>
    <definedName name="Hot_rolled_690_IPE270_450_LBA_N_0.4_My_Mz_30__29" localSheetId="3">Abaqus_LBA_data_sort!$FK$1:$GO$520</definedName>
    <definedName name="Hot_rolled_690_IPE270_450_LBA_N_0.4_My_Mz_30__29_1" localSheetId="3">Abaqus_LBA_data_sort!$CX$1:$EB$520</definedName>
    <definedName name="Hot_rolled_690_IPE270_450_LBA_N_0.4_My_Mz_30__29_2" localSheetId="3">Abaqus_LBA_data_sort!$AK$1:$BO$520</definedName>
    <definedName name="Hot_rolled_690_IPE270_550_GMNIA_My_Mz_30__42" localSheetId="1">Abaqus_data_sort!$A$1:$D$160</definedName>
    <definedName name="Hot_rolled_690_IPE270_550_LBA_My_Mz_30__42" localSheetId="3">Abaqus_LBA_data_sort!$JX$1:$LB$537</definedName>
    <definedName name="Hot_rolled_690_IPE270_550_LBA_My_Mz_30__43" localSheetId="3">Abaqus_LBA_data_sort!$HK$1:$IO$537</definedName>
    <definedName name="Hot_rolled_690_IPE270_550_LBA_N_0.4_My_Mz_30__42" localSheetId="3">Abaqus_LBA_data_sort!$EX$1:$GB$520</definedName>
    <definedName name="Hot_rolled_690_IPE270_550_LBA_N_0.4_My_Mz_30__42_1" localSheetId="3">Abaqus_LBA_data_sort!$CK$1:$DO$520</definedName>
    <definedName name="Hot_rolled_690_IPE270_550_LBA_N_0.4_My_Mz_30__42_2" localSheetId="3">Abaqus_LBA_data_sort!$X$1:$BB$520</definedName>
    <definedName name="Hot_rolled_690_IPE270_700_GMNIA_My_Mz_30__55" localSheetId="1">Abaqus_data_sort!$A$1:$D$186</definedName>
    <definedName name="Hot_rolled_690_IPE270_700_LBA_My_Mz_30__55" localSheetId="3">Abaqus_LBA_data_sort!$JK$1:$KO$537</definedName>
    <definedName name="Hot_rolled_690_IPE270_700_LBA_My_Mz_30__56" localSheetId="3">Abaqus_LBA_data_sort!$GX$1:$IB$537</definedName>
    <definedName name="Hot_rolled_690_IPE270_700_LBA_N_0.4_My_Mz_30__55" localSheetId="3">Abaqus_LBA_data_sort!$EK$1:$FO$520</definedName>
    <definedName name="Hot_rolled_690_IPE270_700_LBA_N_0.4_My_Mz_30__55_1" localSheetId="3">Abaqus_LBA_data_sort!$BX$1:$DB$520</definedName>
    <definedName name="Hot_rolled_690_IPE270_700_LBA_N_0.4_My_Mz_30__55_2" localSheetId="3">Abaqus_LBA_data_sort!$K$1:$AO$520</definedName>
    <definedName name="Hot_rolled_690_IPE360_20_GMNIA_My_Mz_30__4" localSheetId="1">Abaqus_data_sort!$A$1:$D$84</definedName>
    <definedName name="Hot_rolled_690_IPE360_20_LBA_My_Mz_30__4" localSheetId="3">Abaqus_LBA_data_sort!$LJ$1:$MN$519</definedName>
    <definedName name="Hot_rolled_690_IPE360_20_LBA_My_Mz_30__5" localSheetId="3">Abaqus_LBA_data_sort!$IW$1:$KA$519</definedName>
    <definedName name="Hot_rolled_690_IPE360_20_LBA_N_0.4_My_Mz_30__4" localSheetId="3">Abaqus_LBA_data_sort!$GJ$1:$HN$520</definedName>
    <definedName name="Hot_rolled_690_IPE360_20_LBA_N_0.4_My_Mz_30__4_1" localSheetId="3">Abaqus_LBA_data_sort!$DW$1:$FA$520</definedName>
    <definedName name="Hot_rolled_690_IPE360_20_LBA_N_0.4_My_Mz_30__4_2" localSheetId="3">Abaqus_LBA_data_sort!$BJ$1:$CN$520</definedName>
    <definedName name="Hot_rolled_690_IPE360_350_GMNIA_My_Mz_30__17" localSheetId="1">Abaqus_data_sort!$A$1:$D$110</definedName>
    <definedName name="Hot_rolled_690_IPE360_350_LBA_My_Mz_30__17" localSheetId="3">Abaqus_LBA_data_sort!$KW$1:$MA$519</definedName>
    <definedName name="Hot_rolled_690_IPE360_350_LBA_My_Mz_30__18" localSheetId="3">Abaqus_LBA_data_sort!$IJ$1:$JN$519</definedName>
    <definedName name="Hot_rolled_690_IPE360_350_LBA_N_0.4_My_Mz_30__17" localSheetId="3">Abaqus_LBA_data_sort!$FW$1:$HA$520</definedName>
    <definedName name="Hot_rolled_690_IPE360_350_LBA_N_0.4_My_Mz_30__17_1" localSheetId="3">Abaqus_LBA_data_sort!$DJ$1:$EN$520</definedName>
    <definedName name="Hot_rolled_690_IPE360_350_LBA_N_0.4_My_Mz_30__17_2" localSheetId="3">Abaqus_LBA_data_sort!$AW$1:$CA$520</definedName>
    <definedName name="Hot_rolled_690_IPE360_450_GMNIA_My_Mz_30__30" localSheetId="1">Abaqus_data_sort!$A$1:$D$136</definedName>
    <definedName name="Hot_rolled_690_IPE360_450_LBA_My_Mz_30__30" localSheetId="3">Abaqus_LBA_data_sort!$KJ$1:$LN$519</definedName>
    <definedName name="Hot_rolled_690_IPE360_450_LBA_My_Mz_30__31" localSheetId="3">Abaqus_LBA_data_sort!$HW$1:$JA$519</definedName>
    <definedName name="Hot_rolled_690_IPE360_450_LBA_N_0.4_My_Mz_30__30" localSheetId="3">Abaqus_LBA_data_sort!$FJ$1:$GN$520</definedName>
    <definedName name="Hot_rolled_690_IPE360_450_LBA_N_0.4_My_Mz_30__30_1" localSheetId="3">Abaqus_LBA_data_sort!$CW$1:$EA$520</definedName>
    <definedName name="Hot_rolled_690_IPE360_450_LBA_N_0.4_My_Mz_30__30_2" localSheetId="3">Abaqus_LBA_data_sort!$AJ$1:$BN$520</definedName>
    <definedName name="Hot_rolled_690_IPE360_550_GMNIA_My_Mz_30__43" localSheetId="1">Abaqus_data_sort!$A$1:$D$162</definedName>
    <definedName name="Hot_rolled_690_IPE360_550_LBA_My_Mz_30__43" localSheetId="3">Abaqus_LBA_data_sort!$JW$1:$LA$519</definedName>
    <definedName name="Hot_rolled_690_IPE360_550_LBA_My_Mz_30__44" localSheetId="3">Abaqus_LBA_data_sort!$HJ$1:$IN$519</definedName>
    <definedName name="Hot_rolled_690_IPE360_550_LBA_N_0.4_My_Mz_30__43" localSheetId="3">Abaqus_LBA_data_sort!$EW$1:$GA$520</definedName>
    <definedName name="Hot_rolled_690_IPE360_550_LBA_N_0.4_My_Mz_30__43_1" localSheetId="3">Abaqus_LBA_data_sort!$CJ$1:$DN$520</definedName>
    <definedName name="Hot_rolled_690_IPE360_550_LBA_N_0.4_My_Mz_30__43_2" localSheetId="3">Abaqus_LBA_data_sort!$W$1:$BA$520</definedName>
    <definedName name="Hot_rolled_690_IPE360_700_GMNIA_My_Mz_30__56" localSheetId="1">Abaqus_data_sort!$A$1:$D$188</definedName>
    <definedName name="Hot_rolled_690_IPE360_700_LBA_My_Mz_30__56" localSheetId="3">Abaqus_LBA_data_sort!$JJ$1:$KN$519</definedName>
    <definedName name="Hot_rolled_690_IPE360_700_LBA_My_Mz_30__57" localSheetId="3">Abaqus_LBA_data_sort!$GW$1:$IA$519</definedName>
    <definedName name="Hot_rolled_690_IPE360_700_LBA_N_0.4_My_Mz_30__56" localSheetId="3">Abaqus_LBA_data_sort!$EJ$1:$FN$520</definedName>
    <definedName name="Hot_rolled_690_IPE360_700_LBA_N_0.4_My_Mz_30__56_1" localSheetId="3">Abaqus_LBA_data_sort!$BW$1:$DA$520</definedName>
    <definedName name="Hot_rolled_690_IPE360_700_LBA_N_0.4_My_Mz_30__56_2" localSheetId="3">Abaqus_LBA_data_sort!$J$1:$AN$520</definedName>
    <definedName name="Hot_rolled_690_IPE400_20_GMNIA_My_Mz_30__5" localSheetId="1">Abaqus_data_sort!$A$1:$D$86</definedName>
    <definedName name="Hot_rolled_690_IPE400_20_LBA_My_Mz_30__5" localSheetId="3">Abaqus_LBA_data_sort!$LI$1:$MM$519</definedName>
    <definedName name="Hot_rolled_690_IPE400_20_LBA_My_Mz_30__6" localSheetId="3">Abaqus_LBA_data_sort!$IV$1:$JZ$519</definedName>
    <definedName name="Hot_rolled_690_IPE400_20_LBA_N_0.4_My_Mz_30__5" localSheetId="3">Abaqus_LBA_data_sort!$GI$1:$HM$520</definedName>
    <definedName name="Hot_rolled_690_IPE400_20_LBA_N_0.4_My_Mz_30__5_1" localSheetId="3">Abaqus_LBA_data_sort!$DV$1:$EZ$520</definedName>
    <definedName name="Hot_rolled_690_IPE400_20_LBA_N_0.4_My_Mz_30__5_2" localSheetId="3">Abaqus_LBA_data_sort!$BI$1:$CM$520</definedName>
    <definedName name="Hot_rolled_690_IPE400_350_GMNIA_My_Mz_30__18" localSheetId="1">Abaqus_data_sort!$A$1:$D$112</definedName>
    <definedName name="Hot_rolled_690_IPE400_350_LBA_My_Mz_30__18" localSheetId="3">Abaqus_LBA_data_sort!$KV$1:$LZ$519</definedName>
    <definedName name="Hot_rolled_690_IPE400_350_LBA_My_Mz_30__19" localSheetId="3">Abaqus_LBA_data_sort!$II$1:$JM$519</definedName>
    <definedName name="Hot_rolled_690_IPE400_350_LBA_N_0.4_My_Mz_30__18" localSheetId="3">Abaqus_LBA_data_sort!$FV$1:$GZ$520</definedName>
    <definedName name="Hot_rolled_690_IPE400_350_LBA_N_0.4_My_Mz_30__18_1" localSheetId="3">Abaqus_LBA_data_sort!$DI$1:$EM$520</definedName>
    <definedName name="Hot_rolled_690_IPE400_350_LBA_N_0.4_My_Mz_30__18_2" localSheetId="3">Abaqus_LBA_data_sort!$AV$1:$BZ$520</definedName>
    <definedName name="Hot_rolled_690_IPE400_450_GMNIA_My_Mz_30__31" localSheetId="1">Abaqus_data_sort!$A$1:$D$138</definedName>
    <definedName name="Hot_rolled_690_IPE400_450_LBA_My_Mz_30__31" localSheetId="3">Abaqus_LBA_data_sort!$KI$1:$LM$519</definedName>
    <definedName name="Hot_rolled_690_IPE400_450_LBA_My_Mz_30__32" localSheetId="3">Abaqus_LBA_data_sort!$HV$1:$IZ$519</definedName>
    <definedName name="Hot_rolled_690_IPE400_450_LBA_N_0.4_My_Mz_30__31" localSheetId="3">Abaqus_LBA_data_sort!$FI$1:$GM$520</definedName>
    <definedName name="Hot_rolled_690_IPE400_450_LBA_N_0.4_My_Mz_30__31_1" localSheetId="3">Abaqus_LBA_data_sort!$CV$1:$DZ$520</definedName>
    <definedName name="Hot_rolled_690_IPE400_450_LBA_N_0.4_My_Mz_30__31_2" localSheetId="3">Abaqus_LBA_data_sort!$AI$1:$BM$520</definedName>
    <definedName name="Hot_rolled_690_IPE400_550_GMNIA_My_Mz_30__44" localSheetId="1">Abaqus_data_sort!$A$1:$D$164</definedName>
    <definedName name="Hot_rolled_690_IPE400_550_LBA_My_Mz_30__44" localSheetId="3">Abaqus_LBA_data_sort!$JV$1:$KZ$519</definedName>
    <definedName name="Hot_rolled_690_IPE400_550_LBA_My_Mz_30__45" localSheetId="3">Abaqus_LBA_data_sort!$HI$1:$IM$519</definedName>
    <definedName name="Hot_rolled_690_IPE400_550_LBA_N_0.4_My_Mz_30__44" localSheetId="3">Abaqus_LBA_data_sort!$EV$1:$FZ$520</definedName>
    <definedName name="Hot_rolled_690_IPE400_550_LBA_N_0.4_My_Mz_30__44_1" localSheetId="3">Abaqus_LBA_data_sort!$CI$1:$DM$520</definedName>
    <definedName name="Hot_rolled_690_IPE400_550_LBA_N_0.4_My_Mz_30__44_2" localSheetId="3">Abaqus_LBA_data_sort!$V$1:$AZ$520</definedName>
    <definedName name="Hot_rolled_690_IPE400_700_GMNIA_My_Mz_30__57" localSheetId="1">Abaqus_data_sort!$A$1:$D$190</definedName>
    <definedName name="Hot_rolled_690_IPE400_700_LBA_My_Mz_30__57" localSheetId="3">Abaqus_LBA_data_sort!$JI$1:$KM$519</definedName>
    <definedName name="Hot_rolled_690_IPE400_700_LBA_My_Mz_30__58" localSheetId="3">Abaqus_LBA_data_sort!$GV$1:$HZ$519</definedName>
    <definedName name="Hot_rolled_690_IPE400_700_LBA_N_0.4_My_Mz_30__57" localSheetId="3">Abaqus_LBA_data_sort!$EI$1:$FM$520</definedName>
    <definedName name="Hot_rolled_690_IPE400_700_LBA_N_0.4_My_Mz_30__57_1" localSheetId="3">Abaqus_LBA_data_sort!$BV$1:$CZ$520</definedName>
    <definedName name="Hot_rolled_690_IPE400_700_LBA_N_0.4_My_Mz_30__57_2" localSheetId="3">Abaqus_LBA_data_sort!$I$1:$AM$520</definedName>
    <definedName name="Hot_rolled_690_IPE600_20_GMNIA_My_Mz_30__6" localSheetId="1">Abaqus_data_sort!$A$1:$D$88</definedName>
    <definedName name="Hot_rolled_690_IPE600_20_LBA_My_Mz_30__6" localSheetId="3">Abaqus_LBA_data_sort!$LH$1:$ML$501</definedName>
    <definedName name="Hot_rolled_690_IPE600_20_LBA_My_Mz_30__7" localSheetId="3">Abaqus_LBA_data_sort!$IU$1:$JY$501</definedName>
    <definedName name="Hot_rolled_690_IPE600_20_LBA_N_0.4_My_Mz_30__6" localSheetId="3">Abaqus_LBA_data_sort!$GH$1:$HL$520</definedName>
    <definedName name="Hot_rolled_690_IPE600_20_LBA_N_0.4_My_Mz_30__6_1" localSheetId="3">Abaqus_LBA_data_sort!$DU$1:$EY$520</definedName>
    <definedName name="Hot_rolled_690_IPE600_20_LBA_N_0.4_My_Mz_30__6_2" localSheetId="3">Abaqus_LBA_data_sort!$BH$1:$CL$520</definedName>
    <definedName name="Hot_rolled_690_IPE600_350_GMNIA_My_Mz_30__19" localSheetId="1">Abaqus_data_sort!$A$1:$D$114</definedName>
    <definedName name="Hot_rolled_690_IPE600_350_LBA_My_Mz_30__19" localSheetId="3">Abaqus_LBA_data_sort!$KU$1:$LY$501</definedName>
    <definedName name="Hot_rolled_690_IPE600_350_LBA_My_Mz_30__20" localSheetId="3">Abaqus_LBA_data_sort!$IH$1:$JL$501</definedName>
    <definedName name="Hot_rolled_690_IPE600_350_LBA_N_0.4_My_Mz_30__19" localSheetId="3">Abaqus_LBA_data_sort!$FU$1:$GY$520</definedName>
    <definedName name="Hot_rolled_690_IPE600_350_LBA_N_0.4_My_Mz_30__19_1" localSheetId="3">Abaqus_LBA_data_sort!$DH$1:$EL$520</definedName>
    <definedName name="Hot_rolled_690_IPE600_350_LBA_N_0.4_My_Mz_30__19_2" localSheetId="3">Abaqus_LBA_data_sort!$AU$1:$BY$520</definedName>
    <definedName name="Hot_rolled_690_IPE600_450_GMNIA_My_Mz_30__32" localSheetId="1">Abaqus_data_sort!$A$1:$D$140</definedName>
    <definedName name="Hot_rolled_690_IPE600_450_LBA_My_Mz_30__32" localSheetId="3">Abaqus_LBA_data_sort!$KH$1:$LL$501</definedName>
    <definedName name="Hot_rolled_690_IPE600_450_LBA_My_Mz_30__33" localSheetId="3">Abaqus_LBA_data_sort!$HU$1:$IY$501</definedName>
    <definedName name="Hot_rolled_690_IPE600_450_LBA_N_0.4_My_Mz_30__32" localSheetId="3">Abaqus_LBA_data_sort!$FH$1:$GL$520</definedName>
    <definedName name="Hot_rolled_690_IPE600_450_LBA_N_0.4_My_Mz_30__32_1" localSheetId="3">Abaqus_LBA_data_sort!$CU$1:$DY$520</definedName>
    <definedName name="Hot_rolled_690_IPE600_450_LBA_N_0.4_My_Mz_30__32_2" localSheetId="3">Abaqus_LBA_data_sort!$AH$1:$BL$520</definedName>
    <definedName name="Hot_rolled_690_IPE600_550_GMNIA_My_Mz_30__45" localSheetId="1">Abaqus_data_sort!$A$1:$D$166</definedName>
    <definedName name="Hot_rolled_690_IPE600_550_LBA_My_Mz_30__45" localSheetId="3">Abaqus_LBA_data_sort!$JU$1:$KY$501</definedName>
    <definedName name="Hot_rolled_690_IPE600_550_LBA_My_Mz_30__46" localSheetId="3">Abaqus_LBA_data_sort!$HH$1:$IL$501</definedName>
    <definedName name="Hot_rolled_690_IPE600_550_LBA_N_0.4_My_Mz_30__45" localSheetId="3">Abaqus_LBA_data_sort!$EU$1:$FY$520</definedName>
    <definedName name="Hot_rolled_690_IPE600_550_LBA_N_0.4_My_Mz_30__45_1" localSheetId="3">Abaqus_LBA_data_sort!$CH$1:$DL$520</definedName>
    <definedName name="Hot_rolled_690_IPE600_550_LBA_N_0.4_My_Mz_30__45_2" localSheetId="3">Abaqus_LBA_data_sort!$U$1:$AY$520</definedName>
    <definedName name="Hot_rolled_690_IPE600_700_GMNIA_My_Mz_30__58" localSheetId="1">Abaqus_data_sort!$A$1:$D$192</definedName>
    <definedName name="Hot_rolled_690_IPE600_700_LBA_My_Mz_30__58" localSheetId="3">Abaqus_LBA_data_sort!$JH$1:$KL$501</definedName>
    <definedName name="Hot_rolled_690_IPE600_700_LBA_My_Mz_30__59" localSheetId="3">Abaqus_LBA_data_sort!$GU$1:$HY$501</definedName>
    <definedName name="Hot_rolled_690_IPE600_700_LBA_N_0.4_My_Mz_30__58" localSheetId="3">Abaqus_LBA_data_sort!$EH$1:$FL$520</definedName>
    <definedName name="Hot_rolled_690_IPE600_700_LBA_N_0.4_My_Mz_30__58_1" localSheetId="3">Abaqus_LBA_data_sort!$BU$1:$CY$520</definedName>
    <definedName name="Hot_rolled_690_IPE600_700_LBA_N_0.4_My_Mz_30__58_2" localSheetId="3">Abaqus_LBA_data_sort!$H$1:$AL$520</definedName>
    <definedName name="HR_I_Equation_GMNIA_N__1" localSheetId="1">Abaqus_data_sort!#REF!</definedName>
    <definedName name="HR_I_Equation_GMNIA_N__10" localSheetId="1">Abaqus_data_sort!#REF!</definedName>
    <definedName name="HR_I_Equation_GMNIA_N__11" localSheetId="1">Abaqus_data_sort!#REF!</definedName>
    <definedName name="HR_I_Equation_GMNIA_N__12" localSheetId="1">Abaqus_data_sort!#REF!</definedName>
    <definedName name="HR_I_Equation_GMNIA_N__13" localSheetId="1">Abaqus_data_sort!#REF!</definedName>
    <definedName name="HR_I_Equation_GMNIA_N__16" localSheetId="1">Abaqus_data_sort!#REF!</definedName>
    <definedName name="HR_I_Equation_GMNIA_N__2" localSheetId="1">Abaqus_data_sort!#REF!</definedName>
    <definedName name="HR_I_Equation_GMNIA_N__3" localSheetId="1">Abaqus_data_sort!#REF!</definedName>
    <definedName name="HR_I_Equation_GMNIA_N__4" localSheetId="1">Abaqus_data_sort!#REF!</definedName>
    <definedName name="HR_I_Equation_GMNIA_N__5" localSheetId="1">Abaqus_data_sort!#REF!</definedName>
    <definedName name="HR_I_Equation_GMNIA_N__6" localSheetId="1">Abaqus_data_sort!#REF!</definedName>
    <definedName name="HR_I_Equation_GMNIA_N__7" localSheetId="1">Abaqus_data_sort!#REF!</definedName>
    <definedName name="HR_I_Equation_GMNIA_N__8" localSheetId="1">Abaqus_data_sort!#REF!</definedName>
    <definedName name="HR_I_Equation_GMNIA_N__9" localSheetId="1">Abaqus_data_sort!#REF!</definedName>
    <definedName name="RS_Fy_355_IPE220_300_LBA_M__37" localSheetId="3">Abaqus_LBA_data_sort!$MY$1:$OC$551</definedName>
    <definedName name="RS_Fy_355_IPE220_300_LBA_N__1" localSheetId="3">Abaqus_LBA_data_sort!$OI$1:$PM$551</definedName>
    <definedName name="RS_Fy_355_IPE220_450_LBA_M__49" localSheetId="3">Abaqus_LBA_data_sort!$MM$1:$NQ$551</definedName>
    <definedName name="RS_Fy_355_IPE220_450_LBA_N__13" localSheetId="3">Abaqus_LBA_data_sort!$NW$1:$PA$551</definedName>
    <definedName name="RS_Fy_355_IPE220_700_LBA_M__61" localSheetId="3">Abaqus_LBA_data_sort!$MA$1:$NE$551</definedName>
    <definedName name="RS_Fy_355_IPE220_700_LBA_N__25" localSheetId="3">Abaqus_LBA_data_sort!$NK$1:$OO$551</definedName>
    <definedName name="RS_Fy_355_IPE360_300_LBA_M__38" localSheetId="3">Abaqus_LBA_data_sort!$MX$1:$OB$551</definedName>
    <definedName name="RS_Fy_355_IPE360_300_LBA_N__2" localSheetId="3">Abaqus_LBA_data_sort!$OH$1:$PL$551</definedName>
    <definedName name="RS_Fy_355_IPE360_450_LBA_M__50" localSheetId="3">Abaqus_LBA_data_sort!$ML$1:$NP$551</definedName>
    <definedName name="RS_Fy_355_IPE360_450_LBA_N__14" localSheetId="3">Abaqus_LBA_data_sort!$NV$1:$OZ$551</definedName>
    <definedName name="RS_Fy_355_IPE360_700_LBA_M__62" localSheetId="3">Abaqus_LBA_data_sort!$LZ$1:$ND$551</definedName>
    <definedName name="RS_Fy_355_IPE360_700_LBA_N__26" localSheetId="3">Abaqus_LBA_data_sort!$NJ$1:$ON$551</definedName>
    <definedName name="RS_Fy_355_IPE600_300_LBA_M__39" localSheetId="3">Abaqus_LBA_data_sort!$MW$1:$OA$527</definedName>
    <definedName name="RS_Fy_355_IPE600_300_LBA_N__3" localSheetId="3">Abaqus_LBA_data_sort!$OG$1:$PK$527</definedName>
    <definedName name="RS_Fy_355_IPE600_450_LBA_M__51" localSheetId="3">Abaqus_LBA_data_sort!$MK$1:$NO$527</definedName>
    <definedName name="RS_Fy_355_IPE600_450_LBA_N__15" localSheetId="3">Abaqus_LBA_data_sort!$NU$1:$OY$527</definedName>
    <definedName name="RS_Fy_355_IPE600_700_LBA_M__63" localSheetId="3">Abaqus_LBA_data_sort!$LY$1:$NC$527</definedName>
    <definedName name="RS_Fy_355_IPE600_700_LBA_N__27" localSheetId="3">Abaqus_LBA_data_sort!$NI$1:$OM$527</definedName>
    <definedName name="RS_Fy_355_WWF1200x302___300_LBA_M__42" localSheetId="3">Abaqus_LBA_data_sort!$MT$1:$NX$527</definedName>
    <definedName name="RS_Fy_355_WWF1200x302___300_LBA_N__6" localSheetId="3">Abaqus_LBA_data_sort!$OD$1:$PH$527</definedName>
    <definedName name="RS_Fy_355_WWF1200x302___450_LBA_M__54" localSheetId="3">Abaqus_LBA_data_sort!$MH$1:$NL$527</definedName>
    <definedName name="RS_Fy_355_WWF1200x302___450_LBA_N__18" localSheetId="3">Abaqus_LBA_data_sort!$NR$1:$OV$527</definedName>
    <definedName name="RS_Fy_355_WWF1200x302___700_LBA_M__66" localSheetId="3">Abaqus_LBA_data_sort!$LV$1:$MZ$527</definedName>
    <definedName name="RS_Fy_355_WWF1200x302___700_LBA_N__30" localSheetId="3">Abaqus_LBA_data_sort!$NF$1:$OJ$527</definedName>
    <definedName name="RS_Fy_355_WWF450x177_300_LBA_M__47" localSheetId="3">Abaqus_LBA_data_sort!$MO$1:$NS$647</definedName>
    <definedName name="RS_Fy_355_WWF450x177_300_LBA_N__11" localSheetId="3">Abaqus_LBA_data_sort!$NY$1:$PC$647</definedName>
    <definedName name="RS_Fy_355_WWF450x177_450_LBA_M__59" localSheetId="3">Abaqus_LBA_data_sort!$MC$1:$NG$647</definedName>
    <definedName name="RS_Fy_355_WWF450x177_450_LBA_N__23" localSheetId="3">Abaqus_LBA_data_sort!$NM$1:$OQ$647</definedName>
    <definedName name="RS_Fy_355_WWF450x177_700_LBA_M__71" localSheetId="3">Abaqus_LBA_data_sort!$LQ$1:$MU$647</definedName>
    <definedName name="RS_Fy_355_WWF450x177_700_LBA_N__35" localSheetId="3">Abaqus_LBA_data_sort!$NA$1:$OE$647</definedName>
    <definedName name="RS_Fy_355_WWF500x197___300_LBA_M__48" localSheetId="3">Abaqus_LBA_data_sort!$MN$1:$NR$647</definedName>
    <definedName name="RS_Fy_355_WWF500x197___300_LBA_N__12" localSheetId="3">Abaqus_LBA_data_sort!$NX$1:$PB$647</definedName>
    <definedName name="RS_Fy_355_WWF500x197___450_LBA_M__60" localSheetId="3">Abaqus_LBA_data_sort!$MB$1:$NF$647</definedName>
    <definedName name="RS_Fy_355_WWF500x197___450_LBA_N__24" localSheetId="3">Abaqus_LBA_data_sort!$NL$1:$OP$647</definedName>
    <definedName name="RS_Fy_355_WWF500x197___700_LBA_M__72" localSheetId="3">Abaqus_LBA_data_sort!$LP$1:$MT$647</definedName>
    <definedName name="RS_Fy_355_WWF500x197___700_LBA_N__36" localSheetId="3">Abaqus_LBA_data_sort!$MZ$1:$OD$647</definedName>
    <definedName name="RS_Fy_355_WWF500x651_300_LBA_M__43" localSheetId="3">Abaqus_LBA_data_sort!$MS$1:$NW$659</definedName>
    <definedName name="RS_Fy_355_WWF500x651_300_LBA_N__7" localSheetId="3">Abaqus_LBA_data_sort!$OC$1:$PG$659</definedName>
    <definedName name="RS_Fy_355_WWF500x651_450_LBA_M__55" localSheetId="3">Abaqus_LBA_data_sort!$MG$1:$NK$659</definedName>
    <definedName name="RS_Fy_355_WWF500x651_450_LBA_N__19" localSheetId="3">Abaqus_LBA_data_sort!$NQ$1:$OU$659</definedName>
    <definedName name="RS_Fy_355_WWF500x651_700_LBA_M__67" localSheetId="3">Abaqus_LBA_data_sort!$LU$1:$MY$659</definedName>
    <definedName name="RS_Fy_355_WWF500x651_700_LBA_N__31" localSheetId="3">Abaqus_LBA_data_sort!$NE$1:$OI$659</definedName>
    <definedName name="RS_Fy_355_WWF550x503_300_LBA_M__44" localSheetId="3">Abaqus_LBA_data_sort!$MR$1:$NV$659</definedName>
    <definedName name="RS_Fy_355_WWF550x503_300_LBA_N__8" localSheetId="3">Abaqus_LBA_data_sort!$OB$1:$PF$659</definedName>
    <definedName name="RS_Fy_355_WWF550x503_450_LBA_M__56" localSheetId="3">Abaqus_LBA_data_sort!$MF$1:$NJ$659</definedName>
    <definedName name="RS_Fy_355_WWF550x503_450_LBA_N__20" localSheetId="3">Abaqus_LBA_data_sort!$NP$1:$OT$659</definedName>
    <definedName name="RS_Fy_355_WWF550x503_700_LBA_M__68" localSheetId="3">Abaqus_LBA_data_sort!$LT$1:$MX$659</definedName>
    <definedName name="RS_Fy_355_WWF550x503_700_LBA_N__32" localSheetId="3">Abaqus_LBA_data_sort!$ND$1:$OH$659</definedName>
    <definedName name="RS_Fy_355_WWF600x369_300_LBA_M__46" localSheetId="3">Abaqus_LBA_data_sort!$MP$1:$NT$647</definedName>
    <definedName name="RS_Fy_355_WWF600x369_300_LBA_N__10" localSheetId="3">Abaqus_LBA_data_sort!$NZ$1:$PD$647</definedName>
    <definedName name="RS_Fy_355_WWF600x369_450_LBA_M__58" localSheetId="3">Abaqus_LBA_data_sort!$MD$1:$NH$647</definedName>
    <definedName name="RS_Fy_355_WWF600x369_450_LBA_N__22" localSheetId="3">Abaqus_LBA_data_sort!$NN$1:$OR$647</definedName>
    <definedName name="RS_Fy_355_WWF600x369_700_LBA_M__70" localSheetId="3">Abaqus_LBA_data_sort!$LR$1:$MV$647</definedName>
    <definedName name="RS_Fy_355_WWF600x369_700_LBA_N__34" localSheetId="3">Abaqus_LBA_data_sort!$NB$1:$OF$647</definedName>
    <definedName name="RS_Fy_355_WWF650x499_300_LBA_M__45" localSheetId="3">Abaqus_LBA_data_sort!$MQ$1:$NU$647</definedName>
    <definedName name="RS_Fy_355_WWF650x499_300_LBA_N__9" localSheetId="3">Abaqus_LBA_data_sort!$OA$1:$PE$647</definedName>
    <definedName name="RS_Fy_355_WWF650x499_450_LBA_M__57" localSheetId="3">Abaqus_LBA_data_sort!$ME$1:$NI$647</definedName>
    <definedName name="RS_Fy_355_WWF650x499_450_LBA_N__21" localSheetId="3">Abaqus_LBA_data_sort!$NO$1:$OS$647</definedName>
    <definedName name="RS_Fy_355_WWF650x499_700_LBA_M__69" localSheetId="3">Abaqus_LBA_data_sort!$LS$1:$MW$647</definedName>
    <definedName name="RS_Fy_355_WWF650x499_700_LBA_N__33" localSheetId="3">Abaqus_LBA_data_sort!$NC$1:$OG$647</definedName>
    <definedName name="RS_Fy_355_WWF700x245_300_LBA_M__40" localSheetId="3">Abaqus_LBA_data_sort!$MV$1:$NZ$563</definedName>
    <definedName name="RS_Fy_355_WWF700x245_300_LBA_N__4" localSheetId="3">Abaqus_LBA_data_sort!$OF$1:$PJ$563</definedName>
    <definedName name="RS_Fy_355_WWF700x245_450_LBA_M__52" localSheetId="3">Abaqus_LBA_data_sort!$MJ$1:$NN$563</definedName>
    <definedName name="RS_Fy_355_WWF700x245_450_LBA_N__16" localSheetId="3">Abaqus_LBA_data_sort!$NT$1:$OX$563</definedName>
    <definedName name="RS_Fy_355_WWF700x245_700_LBA_M__64" localSheetId="3">Abaqus_LBA_data_sort!$LX$1:$NB$563</definedName>
    <definedName name="RS_Fy_355_WWF700x245_700_LBA_N__28" localSheetId="3">Abaqus_LBA_data_sort!$NH$1:$OL$563</definedName>
    <definedName name="RS_Fy_355_WWF900x347_300_LBA_M__41" localSheetId="3">Abaqus_LBA_data_sort!$MU$1:$NY$564</definedName>
    <definedName name="RS_Fy_355_WWF900x347_300_LBA_N__5" localSheetId="3">Abaqus_LBA_data_sort!$OE$1:$PI$563</definedName>
    <definedName name="RS_Fy_355_WWF900x347_450_LBA_M__53" localSheetId="3">Abaqus_LBA_data_sort!$MI$1:$NM$564</definedName>
    <definedName name="RS_Fy_355_WWF900x347_450_LBA_N__17" localSheetId="3">Abaqus_LBA_data_sort!$NS$1:$OW$563</definedName>
    <definedName name="RS_Fy_355_WWF900x347_700_LBA_M__65" localSheetId="3">Abaqus_LBA_data_sort!$LW$1:$NA$564</definedName>
    <definedName name="RS_Fy_355_WWF900x347_700_LBA_N__29" localSheetId="3">Abaqus_LBA_data_sort!$NG$1:$OK$563</definedName>
    <definedName name="Test_350_IPE120_20_GMNIA_N_0.5_My_Mz_50__1" localSheetId="1">Abaqus_data_sort!$A$1:$D$74</definedName>
    <definedName name="Test_350_IPE120_20_GMNIA_N_0.5_My_Mz_50__1" localSheetId="4">Computation_time!$B$1:$AF$447</definedName>
    <definedName name="Test_350_IPE120_20_GMNIA_N_0.5_My_Mz_50__2" localSheetId="1">Abaqus_data_sort!$A$1:$D$76</definedName>
    <definedName name="Test_350_IPE120_20_GMNIA_N_0.5_My_Mz_50__2" localSheetId="4">Computation_time!$A$1:$AE$447</definedName>
    <definedName name="Test_355_HEA120_20_GMNIA_Mz__2" localSheetId="1">Abaqus_data_sort!$A$1:$D$66</definedName>
    <definedName name="Test_355_HEA120_20_GMNIA_Mz__3" localSheetId="1">Abaqus_data_sort!$A$1:$D$72</definedName>
    <definedName name="Test_355_HEA120_20_LBA_Mz__2" localSheetId="3">Abaqus_LBA_data_sort!$LN$1:$MR$711</definedName>
    <definedName name="Test_355_HEA280__450_GMNIA_M__10" localSheetId="1">Abaqus_data_sort!$A$1:$D$58</definedName>
    <definedName name="Test_355_HEA280__450_GMNIA_M__10" localSheetId="4">Computation_time!$E$1:$AI$478</definedName>
    <definedName name="Test_355_HEA280__450_LBA_M__10" localSheetId="3">Abaqus_LBA_data_sort!$OL$1:$PP$429</definedName>
    <definedName name="Test_355_HEA280_450_GMNIA_M__7" localSheetId="1">Abaqus_data_sort!$A$1:$D$52</definedName>
    <definedName name="Test_355_HEA280_450_GMNIA_M__7" localSheetId="4">Computation_time!$H$1:$AL$478</definedName>
    <definedName name="Test_355_HEA280_450_LBA_M__7" localSheetId="3">Abaqus_LBA_data_sort!$OO$1:$PS$429</definedName>
    <definedName name="Test_355_HEA400__450_GMNIA_M__11" localSheetId="1">Abaqus_data_sort!$A$1:$D$60</definedName>
    <definedName name="Test_355_HEA400__450_GMNIA_M__11" localSheetId="4">Computation_time!$D$1:$AH$466</definedName>
    <definedName name="Test_355_HEA400__450_LBA_M__11" localSheetId="3">Abaqus_LBA_data_sort!$OK$1:$PO$417</definedName>
    <definedName name="Test_355_HEA400_450_GMNIA_M__8" localSheetId="1">Abaqus_data_sort!$A$1:$D$54</definedName>
    <definedName name="Test_355_HEA400_450_GMNIA_M__8" localSheetId="4">Computation_time!$G$1:$AK$466</definedName>
    <definedName name="Test_355_HEA400_450_LBA_M__8" localSheetId="3">Abaqus_LBA_data_sort!$ON$1:$PR$417</definedName>
    <definedName name="Test_355_HEA800__450_GMNIA_M__12" localSheetId="1">Abaqus_data_sort!$A$1:$D$62</definedName>
    <definedName name="Test_355_HEA800__450_GMNIA_M__12" localSheetId="4">Computation_time!$C$1:$AG$427</definedName>
    <definedName name="Test_355_HEA800__450_LBA_M__12" localSheetId="3">Abaqus_LBA_data_sort!$OJ$1:$PN$378</definedName>
    <definedName name="Test_355_HEA800_450_GMNIA_M__9" localSheetId="1">Abaqus_data_sort!$A$1:$D$56</definedName>
    <definedName name="Test_355_HEA800_450_GMNIA_M__9" localSheetId="4">Computation_time!$F$1:$AJ$447</definedName>
    <definedName name="Test_355_HEA800_450_LBA_M__9" localSheetId="3">Abaqus_LBA_data_sort!$OM$1:$PQ$398</definedName>
    <definedName name="Test_355_IPE200__450_GMNIA_M__4" localSheetId="1">Abaqus_data_sort!$A$1:$D$46</definedName>
    <definedName name="Test_355_IPE200__450_GMNIA_M__4" localSheetId="4">Computation_time!$K$1:$AO$447</definedName>
    <definedName name="Test_355_IPE200__450_LBA_M__4" localSheetId="3">Abaqus_LBA_data_sort!$OR$1:$PV$398</definedName>
    <definedName name="Test_355_IPE200_450_GMNIA_M__1" localSheetId="1">Abaqus_data_sort!$A$1:$D$40</definedName>
    <definedName name="Test_355_IPE200_450_GMNIA_M__1" localSheetId="4">Computation_time!$N$1:$AR$447</definedName>
    <definedName name="Test_355_IPE200_450_LBA_M__1" localSheetId="3">Abaqus_LBA_data_sort!$OU$1:$PY$398</definedName>
    <definedName name="Test_355_IPE200_500_GMNIA_N__1" localSheetId="1">Abaqus_data_sort!#REF!</definedName>
    <definedName name="Test_355_IPE200_500_GMNIA_N__2" localSheetId="1">Abaqus_data_sort!#REF!</definedName>
    <definedName name="Test_355_IPE200_600_GMNIA_N__4" localSheetId="1">Abaqus_data_sort!#REF!</definedName>
    <definedName name="Test_355_IPE200_700_GMNIA_N__7" localSheetId="1">Abaqus_data_sort!#REF!</definedName>
    <definedName name="Test_355_IPE220_450_LBA_N__1" localSheetId="3">Abaqus_LBA_data_sort!$PY$1:$RC$537</definedName>
    <definedName name="Test_355_IPE220_450_LBA_N__10" localSheetId="3">Abaqus_LBA_data_sort!$PP$1:$QT$537</definedName>
    <definedName name="Test_355_IPE220_450_LBA_N__11" localSheetId="3">Abaqus_LBA_data_sort!$PO$1:$QS$537</definedName>
    <definedName name="Test_355_IPE220_450_LBA_N__12" localSheetId="3">Abaqus_LBA_data_sort!$PN$1:$QR$537</definedName>
    <definedName name="Test_355_IPE220_450_LBA_N__13" localSheetId="3">Abaqus_LBA_data_sort!$PM$1:$QQ$537</definedName>
    <definedName name="Test_355_IPE220_450_LBA_N__14" localSheetId="3">Abaqus_LBA_data_sort!$PL$1:$QP$537</definedName>
    <definedName name="Test_355_IPE220_450_LBA_N__15" localSheetId="3">Abaqus_LBA_data_sort!$PK$1:$QO$537</definedName>
    <definedName name="Test_355_IPE220_450_LBA_N__16" localSheetId="3">Abaqus_LBA_data_sort!$PJ$1:$QN$537</definedName>
    <definedName name="Test_355_IPE220_450_LBA_N__17" localSheetId="3">Abaqus_LBA_data_sort!$PI$1:$QM$537</definedName>
    <definedName name="Test_355_IPE220_450_LBA_N__18" localSheetId="3">Abaqus_LBA_data_sort!$PH$1:$QL$537</definedName>
    <definedName name="Test_355_IPE220_450_LBA_N__19" localSheetId="3">Abaqus_LBA_data_sort!$PG$1:$QK$537</definedName>
    <definedName name="Test_355_IPE220_450_LBA_N__2" localSheetId="3">Abaqus_LBA_data_sort!$PX$1:$RB$537</definedName>
    <definedName name="Test_355_IPE220_450_LBA_N__20" localSheetId="3">Abaqus_LBA_data_sort!$PF$1:$QJ$537</definedName>
    <definedName name="Test_355_IPE220_450_LBA_N__21" localSheetId="3">Abaqus_LBA_data_sort!$PE$1:$QI$537</definedName>
    <definedName name="Test_355_IPE220_450_LBA_N__22" localSheetId="3">Abaqus_LBA_data_sort!$PD$1:$QH$537</definedName>
    <definedName name="Test_355_IPE220_450_LBA_N__23" localSheetId="3">Abaqus_LBA_data_sort!$PC$1:$QG$537</definedName>
    <definedName name="Test_355_IPE220_450_LBA_N__24" localSheetId="3">Abaqus_LBA_data_sort!$PB$1:$QF$537</definedName>
    <definedName name="Test_355_IPE220_450_LBA_N__25" localSheetId="3">Abaqus_LBA_data_sort!$PA$1:$QE$537</definedName>
    <definedName name="Test_355_IPE220_450_LBA_N__26" localSheetId="3">Abaqus_LBA_data_sort!$OZ$1:$QD$537</definedName>
    <definedName name="Test_355_IPE220_450_LBA_N__27" localSheetId="3">Abaqus_LBA_data_sort!$OY$1:$QC$537</definedName>
    <definedName name="Test_355_IPE220_450_LBA_N__28" localSheetId="3">Abaqus_LBA_data_sort!$OX$1:$QB$537</definedName>
    <definedName name="Test_355_IPE220_450_LBA_N__29" localSheetId="3">Abaqus_LBA_data_sort!$OW$1:$QA$537</definedName>
    <definedName name="Test_355_IPE220_450_LBA_N__3" localSheetId="3">Abaqus_LBA_data_sort!$PW$1:$RA$537</definedName>
    <definedName name="Test_355_IPE220_450_LBA_N__30" localSheetId="3">Abaqus_LBA_data_sort!$OV$1:$PZ$537</definedName>
    <definedName name="Test_355_IPE220_450_LBA_N__4" localSheetId="3">Abaqus_LBA_data_sort!$PV$1:$QZ$537</definedName>
    <definedName name="Test_355_IPE220_450_LBA_N__5" localSheetId="3">Abaqus_LBA_data_sort!$PU$1:$QY$537</definedName>
    <definedName name="Test_355_IPE220_450_LBA_N__6" localSheetId="3">Abaqus_LBA_data_sort!$PT$1:$QX$537</definedName>
    <definedName name="Test_355_IPE220_450_LBA_N__7" localSheetId="3">Abaqus_LBA_data_sort!$PS$1:$QW$537</definedName>
    <definedName name="Test_355_IPE220_450_LBA_N__8" localSheetId="3">Abaqus_LBA_data_sort!$PR$1:$QV$537</definedName>
    <definedName name="Test_355_IPE220_450_LBA_N__9" localSheetId="3">Abaqus_LBA_data_sort!$PQ$1:$QU$537</definedName>
    <definedName name="Test_355_IPE330__450_GMNIA_M__5" localSheetId="1">Abaqus_data_sort!$A$1:$D$48</definedName>
    <definedName name="Test_355_IPE330__450_GMNIA_M__5" localSheetId="4">Computation_time!$J$1:$AN$447</definedName>
    <definedName name="Test_355_IPE330__450_LBA_M__5" localSheetId="3">Abaqus_LBA_data_sort!$OQ$1:$PU$398</definedName>
    <definedName name="Test_355_IPE330_450_GMNIA_M__2" localSheetId="1">Abaqus_data_sort!$A$1:$D$42</definedName>
    <definedName name="Test_355_IPE330_450_GMNIA_M__2" localSheetId="4">Computation_time!$M$1:$AQ$447</definedName>
    <definedName name="Test_355_IPE330_450_LBA_M__2" localSheetId="3">Abaqus_LBA_data_sort!$OT$1:$PX$398</definedName>
    <definedName name="Test_355_IPE330_500_GMNIA_N__2" localSheetId="1">Abaqus_data_sort!#REF!</definedName>
    <definedName name="Test_355_IPE330_500_GMNIA_N__3" localSheetId="1">Abaqus_data_sort!#REF!</definedName>
    <definedName name="Test_355_IPE330_600_GMNIA_N__5" localSheetId="1">Abaqus_data_sort!#REF!</definedName>
    <definedName name="Test_355_IPE330_700_GMNIA_N__8" localSheetId="1">Abaqus_data_sort!#REF!</definedName>
    <definedName name="Test_355_IPE600__450_GMNIA_M__6" localSheetId="1">Abaqus_data_sort!$A$1:$D$50</definedName>
    <definedName name="Test_355_IPE600__450_GMNIA_M__6" localSheetId="4">Computation_time!$I$1:$AM$427</definedName>
    <definedName name="Test_355_IPE600__450_LBA_M__6" localSheetId="3">Abaqus_LBA_data_sort!$OP$1:$PT$378</definedName>
    <definedName name="Test_355_IPE600_20_GMNIA_Mz__1" localSheetId="1">Abaqus_data_sort!$A$1:$D$64</definedName>
    <definedName name="Test_355_IPE600_20_GMNIA_Mz__2" localSheetId="1">Abaqus_data_sort!$A$1:$D$68</definedName>
    <definedName name="Test_355_IPE600_20_GMNIA_Mz__3" localSheetId="1">Abaqus_data_sort!$A$1:$D$70</definedName>
    <definedName name="Test_355_IPE600_20_LBA_Mz__1" localSheetId="3">Abaqus_LBA_data_sort!$LO$1:$MS$502</definedName>
    <definedName name="Test_355_IPE600_450_GMNIA_M__3" localSheetId="1">Abaqus_data_sort!$A$1:$D$44</definedName>
    <definedName name="Test_355_IPE600_450_GMNIA_M__3" localSheetId="4">Computation_time!$L$1:$AP$427</definedName>
    <definedName name="Test_355_IPE600_450_LBA_M__3" localSheetId="3">Abaqus_LBA_data_sort!$OS$1:$PW$378</definedName>
    <definedName name="Test_355_IPE600_500_GMNIA_N__3" localSheetId="1">Abaqus_data_sort!#REF!</definedName>
    <definedName name="Test_355_IPE600_500_GMNIA_N__4" localSheetId="1">Abaqus_data_sort!#REF!</definedName>
    <definedName name="Test_355_IPE600_600_GMNIA_N__6" localSheetId="1">Abaqus_data_sort!#REF!</definedName>
    <definedName name="Test_355_IPE600_700_GMNIA_N__9" localSheetId="1">Abaqus_data_sort!#REF!</definedName>
    <definedName name="Test_355_W250X3_450_GMNIA_N__1" localSheetId="1">Abaqus_data_sort!#REF!</definedName>
    <definedName name="Test_355_W250X3_450_GMNIA_N__10" localSheetId="1">Abaqus_data_sort!#REF!</definedName>
    <definedName name="Test_355_W250X3_450_GMNIA_N__2" localSheetId="1">Abaqus_data_sort!#REF!</definedName>
    <definedName name="Test_355_W250X3_450_GMNIA_N__3" localSheetId="1">Abaqus_data_sort!#REF!</definedName>
    <definedName name="Test_355_W250X3_450_GMNIA_N__4" localSheetId="1">Abaqus_data_sort!#REF!</definedName>
    <definedName name="Test_355_W250X3_450_GMNIA_N__5" localSheetId="1">Abaqus_data_sort!#REF!</definedName>
    <definedName name="Test_355_W250X3_450_GMNIA_N__6" localSheetId="1">Abaqus_data_sort!#REF!</definedName>
    <definedName name="Test_355_W250X3_450_GMNIA_N__7" localSheetId="1">Abaqus_data_sort!#REF!</definedName>
    <definedName name="Test_355_W250X3_450_GMNIA_N__8" localSheetId="1">Abaqus_data_sort!#REF!</definedName>
    <definedName name="Test_355_W250X3_450_GMNIA_N__9" localSheetId="1">Abaqus_data_sort!#REF!</definedName>
    <definedName name="Test_355_W250X3_500_GMNIA_M__13" localSheetId="1">Abaqus_data_sort!#REF!</definedName>
    <definedName name="Test_355_W250X3_500_GMNIA_M__9" localSheetId="1">Abaqus_data_sort!#REF!</definedName>
    <definedName name="Test_355_W250X3_500_GMNIA_N__1" localSheetId="1">Abaqus_data_sort!#REF!</definedName>
    <definedName name="Test_355_W250X3_500_GMNIA_N__2" localSheetId="1">Abaqus_data_sort!#REF!</definedName>
    <definedName name="Test_355_W250X3_500_GMNIA_N__5" localSheetId="1">Abaqus_data_sort!#REF!</definedName>
    <definedName name="Test_355_W250X3_600_GMNIA_M__10" localSheetId="1">Abaqus_data_sort!#REF!</definedName>
    <definedName name="Test_355_W250X3_600_GMNIA_M__14" localSheetId="1">Abaqus_data_sort!#REF!</definedName>
    <definedName name="Test_355_W250X3_600_GMNIA_N__2" localSheetId="1">Abaqus_data_sort!#REF!</definedName>
    <definedName name="Test_355_W250X3_600_GMNIA_N__3" localSheetId="1">Abaqus_data_sort!#REF!</definedName>
    <definedName name="Test_355_W250X3_600_GMNIA_N__6" localSheetId="1">Abaqus_data_sort!#REF!</definedName>
    <definedName name="Test_355_W250X3_700_GMNIA_M__11" localSheetId="1">Abaqus_data_sort!#REF!</definedName>
    <definedName name="Test_355_W250X3_700_GMNIA_M__15" localSheetId="1">Abaqus_data_sort!#REF!</definedName>
    <definedName name="Test_355_W250X3_700_GMNIA_N__3" localSheetId="1">Abaqus_data_sort!#REF!</definedName>
    <definedName name="Test_355_W250X3_700_GMNIA_N__4" localSheetId="1">Abaqus_data_sort!#REF!</definedName>
    <definedName name="Test_355_W250X3_700_GMNIA_N__7" localSheetId="1">Abaqus_data_sort!#REF!</definedName>
    <definedName name="Test_355_W250X3_750_GMNIA_N__2" localSheetId="1">Abaqus_data_sort!#REF!</definedName>
    <definedName name="Test_355_W250X3_800_GMNIA_M__12" localSheetId="1">Abaqus_data_sort!#REF!</definedName>
    <definedName name="Test_355_W250X3_800_GMNIA_M__16" localSheetId="1">Abaqus_data_sort!#REF!</definedName>
    <definedName name="Test_355_W250X3_800_GMNIA_N__8" localSheetId="1">Abaqus_data_sort!#REF!</definedName>
    <definedName name="Test_355_W250X4_750_GMNIA_N__2" localSheetId="1">Abaqus_data_sort!#REF!</definedName>
    <definedName name="Test_tools_355_W250X3_450_GMNIA_N__1" localSheetId="1">Abaqus_data_sort!#REF!</definedName>
    <definedName name="Test_tools_355_W250X3_450_GMNIA_N__10" localSheetId="1">Abaqus_data_sort!#REF!</definedName>
    <definedName name="Test_tools_355_W250X3_450_GMNIA_N__11" localSheetId="1">Abaqus_data_sort!#REF!</definedName>
    <definedName name="Test_tools_355_W250X3_450_GMNIA_N__12" localSheetId="1">Abaqus_data_sort!#REF!</definedName>
    <definedName name="Test_tools_355_W250X3_450_GMNIA_N__13" localSheetId="1">Abaqus_data_sort!#REF!</definedName>
    <definedName name="Test_tools_355_W250X3_450_GMNIA_N__4" localSheetId="1">Abaqus_data_sort!$B$1:$E$257</definedName>
    <definedName name="Test_tools_355_W250X3_450_GMNIA_N__5" localSheetId="1">Abaqus_data_sort!#REF!</definedName>
    <definedName name="Test_tools_355_W250X3_450_GMNIA_N__6" localSheetId="1">Abaqus_data_sort!#REF!</definedName>
    <definedName name="Test_tools_355_W250X3_450_GMNIA_N__7" localSheetId="1">Abaqus_data_sort!#REF!</definedName>
    <definedName name="Test_tools_355_W250X3_450_GMNIA_N__8" localSheetId="1">Abaqus_data_sort!#REF!</definedName>
    <definedName name="Test_tools_355_W250X3_450_GMNIA_N__9" localSheetId="1">Abaqus_data_sort!#REF!</definedName>
    <definedName name="Test_tools_355_W250X4_450_GMNIA_N__5" localSheetId="1">Abaqus_data_sort!#REF!</definedName>
    <definedName name="Test_tools_355_W250X4_450_GMNIA_N__6" localSheetId="1">Abaqus_data_sort!#REF!</definedName>
    <definedName name="Type_1_mesh_355_HEA280__450_GMNIA_M__10" localSheetId="1">Abaqus_data_sort!#REF!</definedName>
    <definedName name="Type_1_mesh_355_HEA280__450_GMNIA_M__10" localSheetId="4">Computation_time!$ES$1:$FW$478</definedName>
    <definedName name="Type_1_mesh_355_HEA280__450_GMNIA_M__11" localSheetId="4">Computation_time!$CW$1:$EA$478</definedName>
    <definedName name="Type_1_mesh_355_HEA280__450_GMNIA_N__10" localSheetId="1">Abaqus_data_sort!#REF!</definedName>
    <definedName name="Type_1_mesh_355_HEA280__450_GMNIA_N__10" localSheetId="4">Computation_time!$BA$1:$CE$478</definedName>
    <definedName name="Type_1_mesh_355_HEA280__700_GMNIA_M__34" localSheetId="1">Abaqus_data_sort!#REF!</definedName>
    <definedName name="Type_1_mesh_355_HEA280__700_GMNIA_M__34" localSheetId="4">Computation_time!$DU$1:$EY$478</definedName>
    <definedName name="Type_1_mesh_355_HEA280__700_GMNIA_M__35" localSheetId="4">Computation_time!$BY$1:$DC$478</definedName>
    <definedName name="Type_1_mesh_355_HEA280__700_GMNIA_N__34" localSheetId="1">Abaqus_data_sort!$A$1:$D$10</definedName>
    <definedName name="Type_1_mesh_355_HEA280__700_GMNIA_N__34" localSheetId="4">Computation_time!$AC$1:$BG$478</definedName>
    <definedName name="Type_1_mesh_355_HEA280_450_GMNIA_M__7" localSheetId="1">Abaqus_data_sort!#REF!</definedName>
    <definedName name="Type_1_mesh_355_HEA280_450_GMNIA_M__7" localSheetId="4">Computation_time!$EV$1:$FZ$478</definedName>
    <definedName name="Type_1_mesh_355_HEA280_450_GMNIA_M__8" localSheetId="4">Computation_time!$CZ$1:$ED$478</definedName>
    <definedName name="Type_1_mesh_355_HEA280_450_GMNIA_N__7" localSheetId="1">Abaqus_data_sort!#REF!</definedName>
    <definedName name="Type_1_mesh_355_HEA280_450_GMNIA_N__7" localSheetId="4">Computation_time!$BD$1:$CH$478</definedName>
    <definedName name="Type_1_mesh_355_HEA280_700_GMNIA_M__31" localSheetId="1">Abaqus_data_sort!#REF!</definedName>
    <definedName name="Type_1_mesh_355_HEA280_700_GMNIA_M__31" localSheetId="4">Computation_time!$DX$1:$FB$478</definedName>
    <definedName name="Type_1_mesh_355_HEA280_700_GMNIA_M__32" localSheetId="4">Computation_time!$CB$1:$DF$478</definedName>
    <definedName name="Type_1_mesh_355_HEA280_700_GMNIA_N__31" localSheetId="1">Abaqus_data_sort!$A$1:$D$4</definedName>
    <definedName name="Type_1_mesh_355_HEA280_700_GMNIA_N__31" localSheetId="4">Computation_time!$AF$1:$BJ$478</definedName>
    <definedName name="Type_1_mesh_355_HEA400__450_GMNIA_M__11" localSheetId="1">Abaqus_data_sort!#REF!</definedName>
    <definedName name="Type_1_mesh_355_HEA400__450_GMNIA_M__11" localSheetId="4">Computation_time!$ER$1:$FV$466</definedName>
    <definedName name="Type_1_mesh_355_HEA400__450_GMNIA_M__12" localSheetId="4">Computation_time!$CV$1:$DZ$466</definedName>
    <definedName name="Type_1_mesh_355_HEA400__450_GMNIA_N__11" localSheetId="1">Abaqus_data_sort!#REF!</definedName>
    <definedName name="Type_1_mesh_355_HEA400__450_GMNIA_N__11" localSheetId="4">Computation_time!$AZ$1:$CD$466</definedName>
    <definedName name="Type_1_mesh_355_HEA400__700_GMNIA_M__35" localSheetId="1">Abaqus_data_sort!#REF!</definedName>
    <definedName name="Type_1_mesh_355_HEA400__700_GMNIA_M__35" localSheetId="4">Computation_time!$DT$1:$EX$466</definedName>
    <definedName name="Type_1_mesh_355_HEA400__700_GMNIA_M__36" localSheetId="4">Computation_time!$BX$1:$DB$466</definedName>
    <definedName name="Type_1_mesh_355_HEA400__700_GMNIA_N__35" localSheetId="1">Abaqus_data_sort!$A$1:$D$12</definedName>
    <definedName name="Type_1_mesh_355_HEA400__700_GMNIA_N__35" localSheetId="4">Computation_time!$AB$1:$BF$466</definedName>
    <definedName name="Type_1_mesh_355_HEA400_450_GMNIA_M__8" localSheetId="1">Abaqus_data_sort!#REF!</definedName>
    <definedName name="Type_1_mesh_355_HEA400_450_GMNIA_M__8" localSheetId="4">Computation_time!$EU$1:$FY$466</definedName>
    <definedName name="Type_1_mesh_355_HEA400_450_GMNIA_M__9" localSheetId="4">Computation_time!$CY$1:$EC$466</definedName>
    <definedName name="Type_1_mesh_355_HEA400_450_GMNIA_N__8" localSheetId="1">Abaqus_data_sort!#REF!</definedName>
    <definedName name="Type_1_mesh_355_HEA400_450_GMNIA_N__8" localSheetId="4">Computation_time!$BC$1:$CG$466</definedName>
    <definedName name="Type_1_mesh_355_HEA400_700_GMNIA_M__32" localSheetId="1">Abaqus_data_sort!#REF!</definedName>
    <definedName name="Type_1_mesh_355_HEA400_700_GMNIA_M__32" localSheetId="4">Computation_time!$DW$1:$FA$466</definedName>
    <definedName name="Type_1_mesh_355_HEA400_700_GMNIA_M__33" localSheetId="4">Computation_time!$CA$1:$DE$466</definedName>
    <definedName name="Type_1_mesh_355_HEA400_700_GMNIA_N__32" localSheetId="1">Abaqus_data_sort!$A$1:$D$6</definedName>
    <definedName name="Type_1_mesh_355_HEA400_700_GMNIA_N__32" localSheetId="4">Computation_time!$AE$1:$BI$466</definedName>
    <definedName name="Type_1_mesh_355_HEA800__450_GMNIA_M__12" localSheetId="1">Abaqus_data_sort!#REF!</definedName>
    <definedName name="Type_1_mesh_355_HEA800__450_GMNIA_M__12" localSheetId="4">Computation_time!$EQ$1:$FU$427</definedName>
    <definedName name="Type_1_mesh_355_HEA800__450_GMNIA_M__13" localSheetId="4">Computation_time!$CU$1:$DY$427</definedName>
    <definedName name="Type_1_mesh_355_HEA800__450_GMNIA_N__12" localSheetId="1">Abaqus_data_sort!#REF!</definedName>
    <definedName name="Type_1_mesh_355_HEA800__450_GMNIA_N__12" localSheetId="4">Computation_time!$AY$1:$CC$427</definedName>
    <definedName name="Type_1_mesh_355_HEA800__700_GMNIA_M__36" localSheetId="1">Abaqus_data_sort!#REF!</definedName>
    <definedName name="Type_1_mesh_355_HEA800__700_GMNIA_M__36" localSheetId="4">Computation_time!$DS$1:$EW$427</definedName>
    <definedName name="Type_1_mesh_355_HEA800__700_GMNIA_M__37" localSheetId="4">Computation_time!$BW$1:$DA$427</definedName>
    <definedName name="Type_1_mesh_355_HEA800__700_GMNIA_N__36" localSheetId="1">Abaqus_data_sort!$A$1:$D$14</definedName>
    <definedName name="Type_1_mesh_355_HEA800__700_GMNIA_N__36" localSheetId="4">Computation_time!$AA$1:$BE$427</definedName>
    <definedName name="Type_1_mesh_355_HEA800_450_GMNIA_M__10" localSheetId="4">Computation_time!$CX$1:$EB$447</definedName>
    <definedName name="Type_1_mesh_355_HEA800_450_GMNIA_M__9" localSheetId="1">Abaqus_data_sort!#REF!</definedName>
    <definedName name="Type_1_mesh_355_HEA800_450_GMNIA_M__9" localSheetId="4">Computation_time!$ET$1:$FX$447</definedName>
    <definedName name="Type_1_mesh_355_HEA800_450_GMNIA_N__9" localSheetId="1">Abaqus_data_sort!#REF!</definedName>
    <definedName name="Type_1_mesh_355_HEA800_450_GMNIA_N__9" localSheetId="4">Computation_time!$BB$1:$CF$447</definedName>
    <definedName name="Type_1_mesh_355_HEA800_700_GMNIA_M__33" localSheetId="1">Abaqus_data_sort!#REF!</definedName>
    <definedName name="Type_1_mesh_355_HEA800_700_GMNIA_M__33" localSheetId="4">Computation_time!$DV$1:$EZ$447</definedName>
    <definedName name="Type_1_mesh_355_HEA800_700_GMNIA_M__34" localSheetId="4">Computation_time!$BZ$1:$DD$447</definedName>
    <definedName name="Type_1_mesh_355_HEA800_700_GMNIA_N__33" localSheetId="1">Abaqus_data_sort!$A$1:$D$8</definedName>
    <definedName name="Type_1_mesh_355_HEA800_700_GMNIA_N__33" localSheetId="4">Computation_time!$AD$1:$BH$447</definedName>
    <definedName name="Type_1_mesh_355_IPE200__450_GMNIA_M__4" localSheetId="1">Abaqus_data_sort!#REF!</definedName>
    <definedName name="Type_1_mesh_355_IPE200__450_GMNIA_M__4" localSheetId="4">Computation_time!$EY$1:$GC$447</definedName>
    <definedName name="Type_1_mesh_355_IPE200__450_GMNIA_M__5" localSheetId="4">Computation_time!$DC$1:$EG$447</definedName>
    <definedName name="Type_1_mesh_355_IPE200__450_GMNIA_N__4" localSheetId="1">Abaqus_data_sort!#REF!</definedName>
    <definedName name="Type_1_mesh_355_IPE200__450_GMNIA_N__4" localSheetId="4">Computation_time!$BG$1:$CK$447</definedName>
    <definedName name="Type_1_mesh_355_IPE200__700_GMNIA_M__28" localSheetId="1">Abaqus_data_sort!#REF!</definedName>
    <definedName name="Type_1_mesh_355_IPE200__700_GMNIA_M__28" localSheetId="4">Computation_time!$EA$1:$FE$447</definedName>
    <definedName name="Type_1_mesh_355_IPE200__700_GMNIA_M__29" localSheetId="4">Computation_time!$CE$1:$DI$447</definedName>
    <definedName name="Type_1_mesh_355_IPE200__700_GMNIA_N__28" localSheetId="1">Abaqus_data_sort!#REF!</definedName>
    <definedName name="Type_1_mesh_355_IPE200__700_GMNIA_N__28" localSheetId="4">Computation_time!$AI$1:$BM$447</definedName>
    <definedName name="Type_1_mesh_355_IPE200_450_GMNIA_M__1" localSheetId="1">Abaqus_data_sort!#REF!</definedName>
    <definedName name="Type_1_mesh_355_IPE200_450_GMNIA_M__1" localSheetId="4">Computation_time!$GG$1:$HK$447</definedName>
    <definedName name="Type_1_mesh_355_IPE200_450_GMNIA_M__2" localSheetId="4">Computation_time!$FB$1:$GF$447</definedName>
    <definedName name="Type_1_mesh_355_IPE200_450_GMNIA_M__3" localSheetId="4">Computation_time!$DF$1:$EJ$447</definedName>
    <definedName name="Type_1_mesh_355_IPE200_450_GMNIA_N__1" localSheetId="1">Abaqus_data_sort!#REF!</definedName>
    <definedName name="Type_1_mesh_355_IPE200_450_GMNIA_N__1" localSheetId="4">Computation_time!$BJ$1:$CN$447</definedName>
    <definedName name="Type_1_mesh_355_IPE200_700_GMNIA_M__25" localSheetId="1">Abaqus_data_sort!#REF!</definedName>
    <definedName name="Type_1_mesh_355_IPE200_700_GMNIA_M__25" localSheetId="4">Computation_time!$ED$1:$FH$447</definedName>
    <definedName name="Type_1_mesh_355_IPE200_700_GMNIA_M__26" localSheetId="4">Computation_time!$CH$1:$DL$447</definedName>
    <definedName name="Type_1_mesh_355_IPE200_700_GMNIA_N__25" localSheetId="1">Abaqus_data_sort!#REF!</definedName>
    <definedName name="Type_1_mesh_355_IPE200_700_GMNIA_N__25" localSheetId="4">Computation_time!$AL$1:$BP$447</definedName>
    <definedName name="Type_1_mesh_355_IPE330__450_GMNIA_M__5" localSheetId="1">Abaqus_data_sort!#REF!</definedName>
    <definedName name="Type_1_mesh_355_IPE330__450_GMNIA_M__5" localSheetId="4">Computation_time!$EX$1:$GB$447</definedName>
    <definedName name="Type_1_mesh_355_IPE330__450_GMNIA_M__6" localSheetId="4">Computation_time!$DB$1:$EF$447</definedName>
    <definedName name="Type_1_mesh_355_IPE330__450_GMNIA_N__5" localSheetId="1">Abaqus_data_sort!#REF!</definedName>
    <definedName name="Type_1_mesh_355_IPE330__450_GMNIA_N__5" localSheetId="4">Computation_time!$BF$1:$CJ$447</definedName>
    <definedName name="Type_1_mesh_355_IPE330__700_GMNIA_M__29" localSheetId="1">Abaqus_data_sort!#REF!</definedName>
    <definedName name="Type_1_mesh_355_IPE330__700_GMNIA_M__29" localSheetId="4">Computation_time!$DZ$1:$FD$447</definedName>
    <definedName name="Type_1_mesh_355_IPE330__700_GMNIA_M__30" localSheetId="4">Computation_time!$CD$1:$DH$447</definedName>
    <definedName name="Type_1_mesh_355_IPE330__700_GMNIA_N__29" localSheetId="1">Abaqus_data_sort!$A$1:$D$1</definedName>
    <definedName name="Type_1_mesh_355_IPE330__700_GMNIA_N__29" localSheetId="4">Computation_time!$AH$1:$BL$447</definedName>
    <definedName name="Type_1_mesh_355_IPE330_450_GMNIA_M__2" localSheetId="1">Abaqus_data_sort!#REF!</definedName>
    <definedName name="Type_1_mesh_355_IPE330_450_GMNIA_M__2" localSheetId="4">Computation_time!$FA$1:$GE$447</definedName>
    <definedName name="Type_1_mesh_355_IPE330_450_GMNIA_M__3" localSheetId="4">Computation_time!$DE$1:$EI$447</definedName>
    <definedName name="Type_1_mesh_355_IPE330_450_GMNIA_N__2" localSheetId="1">Abaqus_data_sort!#REF!</definedName>
    <definedName name="Type_1_mesh_355_IPE330_450_GMNIA_N__2" localSheetId="4">Computation_time!$BI$1:$CM$447</definedName>
    <definedName name="Type_1_mesh_355_IPE330_700_GMNIA_M__26" localSheetId="1">Abaqus_data_sort!#REF!</definedName>
    <definedName name="Type_1_mesh_355_IPE330_700_GMNIA_M__26" localSheetId="4">Computation_time!$EC$1:$FG$447</definedName>
    <definedName name="Type_1_mesh_355_IPE330_700_GMNIA_M__27" localSheetId="4">Computation_time!$CG$1:$DK$447</definedName>
    <definedName name="Type_1_mesh_355_IPE330_700_GMNIA_N__26" localSheetId="1">Abaqus_data_sort!#REF!</definedName>
    <definedName name="Type_1_mesh_355_IPE330_700_GMNIA_N__26" localSheetId="4">Computation_time!$AK$1:$BO$447</definedName>
    <definedName name="Type_1_mesh_355_IPE600__450_GMNIA_M__6" localSheetId="1">Abaqus_data_sort!#REF!</definedName>
    <definedName name="Type_1_mesh_355_IPE600__450_GMNIA_M__6" localSheetId="4">Computation_time!$EW$1:$GA$427</definedName>
    <definedName name="Type_1_mesh_355_IPE600__450_GMNIA_M__7" localSheetId="4">Computation_time!$DA$1:$EE$427</definedName>
    <definedName name="Type_1_mesh_355_IPE600__450_GMNIA_N__6" localSheetId="1">Abaqus_data_sort!#REF!</definedName>
    <definedName name="Type_1_mesh_355_IPE600__450_GMNIA_N__6" localSheetId="4">Computation_time!$BE$1:$CI$427</definedName>
    <definedName name="Type_1_mesh_355_IPE600__700_GMNIA_M__30" localSheetId="1">Abaqus_data_sort!#REF!</definedName>
    <definedName name="Type_1_mesh_355_IPE600__700_GMNIA_M__30" localSheetId="4">Computation_time!$DY$1:$FC$427</definedName>
    <definedName name="Type_1_mesh_355_IPE600__700_GMNIA_M__31" localSheetId="4">Computation_time!$CC$1:$DG$427</definedName>
    <definedName name="Type_1_mesh_355_IPE600__700_GMNIA_N__30" localSheetId="1">Abaqus_data_sort!$A$1:$D$2</definedName>
    <definedName name="Type_1_mesh_355_IPE600__700_GMNIA_N__30" localSheetId="4">Computation_time!$AG$1:$BK$427</definedName>
    <definedName name="Type_1_mesh_355_IPE600_450_GMNIA_M__3" localSheetId="1">Abaqus_data_sort!#REF!</definedName>
    <definedName name="Type_1_mesh_355_IPE600_450_GMNIA_M__3" localSheetId="4">Computation_time!$EZ$1:$GD$427</definedName>
    <definedName name="Type_1_mesh_355_IPE600_450_GMNIA_M__4" localSheetId="4">Computation_time!$DD$1:$EH$427</definedName>
    <definedName name="Type_1_mesh_355_IPE600_450_GMNIA_N__3" localSheetId="1">Abaqus_data_sort!#REF!</definedName>
    <definedName name="Type_1_mesh_355_IPE600_450_GMNIA_N__3" localSheetId="4">Computation_time!$BH$1:$CL$427</definedName>
    <definedName name="Type_1_mesh_355_IPE600_700_GMNIA_M__27" localSheetId="1">Abaqus_data_sort!#REF!</definedName>
    <definedName name="Type_1_mesh_355_IPE600_700_GMNIA_M__27" localSheetId="4">Computation_time!$EB$1:$FF$427</definedName>
    <definedName name="Type_1_mesh_355_IPE600_700_GMNIA_M__28" localSheetId="4">Computation_time!$CF$1:$DJ$427</definedName>
    <definedName name="Type_1_mesh_355_IPE600_700_GMNIA_N__27" localSheetId="1">Abaqus_data_sort!#REF!</definedName>
    <definedName name="Type_1_mesh_355_IPE600_700_GMNIA_N__27" localSheetId="4">Computation_time!$AJ$1:$BN$427</definedName>
    <definedName name="Type_1_mesh_690_HEA280__450_GMNIA_M__22" localSheetId="1">Abaqus_data_sort!#REF!</definedName>
    <definedName name="Type_1_mesh_690_HEA280__450_GMNIA_M__22" localSheetId="4">Computation_time!$EG$1:$FK$478</definedName>
    <definedName name="Type_1_mesh_690_HEA280__450_GMNIA_M__23" localSheetId="4">Computation_time!$CK$1:$DO$478</definedName>
    <definedName name="Type_1_mesh_690_HEA280__450_GMNIA_N__22" localSheetId="1">Abaqus_data_sort!#REF!</definedName>
    <definedName name="Type_1_mesh_690_HEA280__450_GMNIA_N__22" localSheetId="4">Computation_time!$AO$1:$BS$478</definedName>
    <definedName name="Type_1_mesh_690_HEA280__700_GMNIA_M__46" localSheetId="1">Abaqus_data_sort!#REF!</definedName>
    <definedName name="Type_1_mesh_690_HEA280__700_GMNIA_M__46" localSheetId="4">Computation_time!$DI$1:$EM$478</definedName>
    <definedName name="Type_1_mesh_690_HEA280__700_GMNIA_M__47" localSheetId="4">Computation_time!$BM$1:$CQ$478</definedName>
    <definedName name="Type_1_mesh_690_HEA280__700_GMNIA_N__46" localSheetId="1">Abaqus_data_sort!$A$1:$D$34</definedName>
    <definedName name="Type_1_mesh_690_HEA280__700_GMNIA_N__46" localSheetId="4">Computation_time!$Q$1:$AU$478</definedName>
    <definedName name="Type_1_mesh_690_HEA280_450_GMNIA_M__19" localSheetId="1">Abaqus_data_sort!#REF!</definedName>
    <definedName name="Type_1_mesh_690_HEA280_450_GMNIA_M__19" localSheetId="4">Computation_time!$EJ$1:$FN$478</definedName>
    <definedName name="Type_1_mesh_690_HEA280_450_GMNIA_M__20" localSheetId="4">Computation_time!$CN$1:$DR$478</definedName>
    <definedName name="Type_1_mesh_690_HEA280_450_GMNIA_N__19" localSheetId="1">Abaqus_data_sort!#REF!</definedName>
    <definedName name="Type_1_mesh_690_HEA280_450_GMNIA_N__19" localSheetId="4">Computation_time!$AR$1:$BV$478</definedName>
    <definedName name="Type_1_mesh_690_HEA280_700_GMNIA_M__43" localSheetId="1">Abaqus_data_sort!#REF!</definedName>
    <definedName name="Type_1_mesh_690_HEA280_700_GMNIA_M__43" localSheetId="4">Computation_time!$DL$1:$EP$478</definedName>
    <definedName name="Type_1_mesh_690_HEA280_700_GMNIA_M__44" localSheetId="4">Computation_time!$BP$1:$CT$478</definedName>
    <definedName name="Type_1_mesh_690_HEA280_700_GMNIA_N__43" localSheetId="1">Abaqus_data_sort!$A$1:$D$28</definedName>
    <definedName name="Type_1_mesh_690_HEA280_700_GMNIA_N__43" localSheetId="4">Computation_time!$T$1:$AX$478</definedName>
    <definedName name="Type_1_mesh_690_HEA400__450_GMNIA_M__23" localSheetId="1">Abaqus_data_sort!#REF!</definedName>
    <definedName name="Type_1_mesh_690_HEA400__450_GMNIA_M__23" localSheetId="4">Computation_time!$EF$1:$FJ$466</definedName>
    <definedName name="Type_1_mesh_690_HEA400__450_GMNIA_M__24" localSheetId="4">Computation_time!$CJ$1:$DN$466</definedName>
    <definedName name="Type_1_mesh_690_HEA400__450_GMNIA_N__23" localSheetId="1">Abaqus_data_sort!#REF!</definedName>
    <definedName name="Type_1_mesh_690_HEA400__450_GMNIA_N__23" localSheetId="4">Computation_time!$AN$1:$BR$466</definedName>
    <definedName name="Type_1_mesh_690_HEA400__700_GMNIA_M__47" localSheetId="1">Abaqus_data_sort!#REF!</definedName>
    <definedName name="Type_1_mesh_690_HEA400__700_GMNIA_M__47" localSheetId="4">Computation_time!$DH$1:$EL$466</definedName>
    <definedName name="Type_1_mesh_690_HEA400__700_GMNIA_M__48" localSheetId="4">Computation_time!$BL$1:$CP$466</definedName>
    <definedName name="Type_1_mesh_690_HEA400__700_GMNIA_N__47" localSheetId="1">Abaqus_data_sort!$A$1:$D$36</definedName>
    <definedName name="Type_1_mesh_690_HEA400__700_GMNIA_N__47" localSheetId="4">Computation_time!$P$1:$AT$466</definedName>
    <definedName name="Type_1_mesh_690_HEA400_450_GMNIA_M__20" localSheetId="1">Abaqus_data_sort!#REF!</definedName>
    <definedName name="Type_1_mesh_690_HEA400_450_GMNIA_M__20" localSheetId="4">Computation_time!$EI$1:$FM$466</definedName>
    <definedName name="Type_1_mesh_690_HEA400_450_GMNIA_M__21" localSheetId="4">Computation_time!$CM$1:$DQ$466</definedName>
    <definedName name="Type_1_mesh_690_HEA400_450_GMNIA_N__20" localSheetId="1">Abaqus_data_sort!#REF!</definedName>
    <definedName name="Type_1_mesh_690_HEA400_450_GMNIA_N__20" localSheetId="4">Computation_time!$AQ$1:$BU$466</definedName>
    <definedName name="Type_1_mesh_690_HEA400_700_GMNIA_M__44" localSheetId="1">Abaqus_data_sort!#REF!</definedName>
    <definedName name="Type_1_mesh_690_HEA400_700_GMNIA_M__44" localSheetId="4">Computation_time!$DK$1:$EO$466</definedName>
    <definedName name="Type_1_mesh_690_HEA400_700_GMNIA_M__45" localSheetId="4">Computation_time!$BO$1:$CS$466</definedName>
    <definedName name="Type_1_mesh_690_HEA400_700_GMNIA_N__44" localSheetId="1">Abaqus_data_sort!$A$1:$D$30</definedName>
    <definedName name="Type_1_mesh_690_HEA400_700_GMNIA_N__44" localSheetId="4">Computation_time!$S$1:$AW$466</definedName>
    <definedName name="Type_1_mesh_690_HEA800__450_GMNIA_M__24" localSheetId="1">Abaqus_data_sort!#REF!</definedName>
    <definedName name="Type_1_mesh_690_HEA800__450_GMNIA_M__24" localSheetId="4">Computation_time!$EE$1:$FI$427</definedName>
    <definedName name="Type_1_mesh_690_HEA800__450_GMNIA_M__25" localSheetId="4">Computation_time!$CI$1:$DM$427</definedName>
    <definedName name="Type_1_mesh_690_HEA800__450_GMNIA_N__24" localSheetId="1">Abaqus_data_sort!#REF!</definedName>
    <definedName name="Type_1_mesh_690_HEA800__450_GMNIA_N__24" localSheetId="4">Computation_time!$AM$1:$BQ$427</definedName>
    <definedName name="Type_1_mesh_690_HEA800__700_GMNIA_M__48" localSheetId="1">Abaqus_data_sort!#REF!</definedName>
    <definedName name="Type_1_mesh_690_HEA800__700_GMNIA_M__48" localSheetId="4">Computation_time!$DG$1:$EK$427</definedName>
    <definedName name="Type_1_mesh_690_HEA800__700_GMNIA_M__49" localSheetId="4">Computation_time!$BK$1:$CO$427</definedName>
    <definedName name="Type_1_mesh_690_HEA800__700_GMNIA_N__48" localSheetId="1">Abaqus_data_sort!$A$1:$D$38</definedName>
    <definedName name="Type_1_mesh_690_HEA800__700_GMNIA_N__48" localSheetId="4">Computation_time!$O$1:$AS$427</definedName>
    <definedName name="Type_1_mesh_690_HEA800_450_GMNIA_M__21" localSheetId="1">Abaqus_data_sort!#REF!</definedName>
    <definedName name="Type_1_mesh_690_HEA800_450_GMNIA_M__21" localSheetId="4">Computation_time!$EH$1:$FL$447</definedName>
    <definedName name="Type_1_mesh_690_HEA800_450_GMNIA_M__22" localSheetId="4">Computation_time!$CL$1:$DP$447</definedName>
    <definedName name="Type_1_mesh_690_HEA800_450_GMNIA_N__21" localSheetId="1">Abaqus_data_sort!#REF!</definedName>
    <definedName name="Type_1_mesh_690_HEA800_450_GMNIA_N__21" localSheetId="4">Computation_time!$AP$1:$BT$447</definedName>
    <definedName name="Type_1_mesh_690_HEA800_700_GMNIA_M__45" localSheetId="1">Abaqus_data_sort!#REF!</definedName>
    <definedName name="Type_1_mesh_690_HEA800_700_GMNIA_M__45" localSheetId="4">Computation_time!$DJ$1:$EN$447</definedName>
    <definedName name="Type_1_mesh_690_HEA800_700_GMNIA_M__46" localSheetId="4">Computation_time!$BN$1:$CR$447</definedName>
    <definedName name="Type_1_mesh_690_HEA800_700_GMNIA_N__45" localSheetId="1">Abaqus_data_sort!$A$1:$D$32</definedName>
    <definedName name="Type_1_mesh_690_HEA800_700_GMNIA_N__45" localSheetId="4">Computation_time!$R$1:$AV$447</definedName>
    <definedName name="Type_1_mesh_690_IPE200__450_GMNIA_M__16" localSheetId="1">Abaqus_data_sort!#REF!</definedName>
    <definedName name="Type_1_mesh_690_IPE200__450_GMNIA_M__16" localSheetId="4">Computation_time!$EM$1:$FQ$447</definedName>
    <definedName name="Type_1_mesh_690_IPE200__450_GMNIA_M__17" localSheetId="4">Computation_time!$CQ$1:$DU$447</definedName>
    <definedName name="Type_1_mesh_690_IPE200__450_GMNIA_N__16" localSheetId="1">Abaqus_data_sort!#REF!</definedName>
    <definedName name="Type_1_mesh_690_IPE200__450_GMNIA_N__16" localSheetId="4">Computation_time!$AU$1:$BY$447</definedName>
    <definedName name="Type_1_mesh_690_IPE200__700_GMNIA_M__40" localSheetId="1">Abaqus_data_sort!#REF!</definedName>
    <definedName name="Type_1_mesh_690_IPE200__700_GMNIA_M__40" localSheetId="4">Computation_time!$DO$1:$ES$447</definedName>
    <definedName name="Type_1_mesh_690_IPE200__700_GMNIA_M__41" localSheetId="4">Computation_time!$BS$1:$CW$447</definedName>
    <definedName name="Type_1_mesh_690_IPE200__700_GMNIA_N__40" localSheetId="1">Abaqus_data_sort!$A$1:$D$22</definedName>
    <definedName name="Type_1_mesh_690_IPE200__700_GMNIA_N__40" localSheetId="4">Computation_time!$W$1:$BA$447</definedName>
    <definedName name="Type_1_mesh_690_IPE200_450_GMNIA_M__13" localSheetId="1">Abaqus_data_sort!#REF!</definedName>
    <definedName name="Type_1_mesh_690_IPE200_450_GMNIA_M__13" localSheetId="4">Computation_time!$EP$1:$FT$447</definedName>
    <definedName name="Type_1_mesh_690_IPE200_450_GMNIA_M__14" localSheetId="4">Computation_time!$CT$1:$DX$447</definedName>
    <definedName name="Type_1_mesh_690_IPE200_450_GMNIA_N__13" localSheetId="1">Abaqus_data_sort!#REF!</definedName>
    <definedName name="Type_1_mesh_690_IPE200_450_GMNIA_N__13" localSheetId="4">Computation_time!$AX$1:$CB$447</definedName>
    <definedName name="Type_1_mesh_690_IPE200_700_GMNIA_M__37" localSheetId="1">Abaqus_data_sort!#REF!</definedName>
    <definedName name="Type_1_mesh_690_IPE200_700_GMNIA_M__37" localSheetId="4">Computation_time!$DR$1:$EV$447</definedName>
    <definedName name="Type_1_mesh_690_IPE200_700_GMNIA_M__38" localSheetId="4">Computation_time!$BV$1:$CZ$447</definedName>
    <definedName name="Type_1_mesh_690_IPE200_700_GMNIA_N__37" localSheetId="1">Abaqus_data_sort!$A$1:$D$16</definedName>
    <definedName name="Type_1_mesh_690_IPE200_700_GMNIA_N__37" localSheetId="4">Computation_time!$Z$1:$BD$447</definedName>
    <definedName name="Type_1_mesh_690_IPE330__450_GMNIA_M__17" localSheetId="1">Abaqus_data_sort!#REF!</definedName>
    <definedName name="Type_1_mesh_690_IPE330__450_GMNIA_M__17" localSheetId="4">Computation_time!$EL$1:$FP$447</definedName>
    <definedName name="Type_1_mesh_690_IPE330__450_GMNIA_M__18" localSheetId="4">Computation_time!$CP$1:$DT$447</definedName>
    <definedName name="Type_1_mesh_690_IPE330__450_GMNIA_N__17" localSheetId="1">Abaqus_data_sort!#REF!</definedName>
    <definedName name="Type_1_mesh_690_IPE330__450_GMNIA_N__17" localSheetId="4">Computation_time!$AT$1:$BX$447</definedName>
    <definedName name="Type_1_mesh_690_IPE330__700_GMNIA_M__41" localSheetId="1">Abaqus_data_sort!#REF!</definedName>
    <definedName name="Type_1_mesh_690_IPE330__700_GMNIA_M__41" localSheetId="4">Computation_time!$DN$1:$ER$447</definedName>
    <definedName name="Type_1_mesh_690_IPE330__700_GMNIA_M__42" localSheetId="4">Computation_time!$BR$1:$CV$447</definedName>
    <definedName name="Type_1_mesh_690_IPE330__700_GMNIA_N__41" localSheetId="1">Abaqus_data_sort!$A$1:$D$24</definedName>
    <definedName name="Type_1_mesh_690_IPE330__700_GMNIA_N__41" localSheetId="4">Computation_time!$V$1:$AZ$447</definedName>
    <definedName name="Type_1_mesh_690_IPE330_450_GMNIA_M__14" localSheetId="1">Abaqus_data_sort!#REF!</definedName>
    <definedName name="Type_1_mesh_690_IPE330_450_GMNIA_M__14" localSheetId="4">Computation_time!$EO$1:$FS$447</definedName>
    <definedName name="Type_1_mesh_690_IPE330_450_GMNIA_M__15" localSheetId="4">Computation_time!$CS$1:$DW$447</definedName>
    <definedName name="Type_1_mesh_690_IPE330_450_GMNIA_N__14" localSheetId="1">Abaqus_data_sort!#REF!</definedName>
    <definedName name="Type_1_mesh_690_IPE330_450_GMNIA_N__14" localSheetId="4">Computation_time!$AW$1:$CA$447</definedName>
    <definedName name="Type_1_mesh_690_IPE330_700_GMNIA_M__38" localSheetId="1">Abaqus_data_sort!#REF!</definedName>
    <definedName name="Type_1_mesh_690_IPE330_700_GMNIA_M__38" localSheetId="4">Computation_time!$DQ$1:$EU$447</definedName>
    <definedName name="Type_1_mesh_690_IPE330_700_GMNIA_M__39" localSheetId="4">Computation_time!$BU$1:$CY$447</definedName>
    <definedName name="Type_1_mesh_690_IPE330_700_GMNIA_N__38" localSheetId="1">Abaqus_data_sort!$A$1:$D$18</definedName>
    <definedName name="Type_1_mesh_690_IPE330_700_GMNIA_N__38" localSheetId="4">Computation_time!$Y$1:$BC$447</definedName>
    <definedName name="Type_1_mesh_690_IPE600__450_GMNIA_M__18" localSheetId="1">Abaqus_data_sort!#REF!</definedName>
    <definedName name="Type_1_mesh_690_IPE600__450_GMNIA_M__18" localSheetId="4">Computation_time!$EK$1:$FO$427</definedName>
    <definedName name="Type_1_mesh_690_IPE600__450_GMNIA_M__19" localSheetId="4">Computation_time!$CO$1:$DS$427</definedName>
    <definedName name="Type_1_mesh_690_IPE600__450_GMNIA_N__18" localSheetId="1">Abaqus_data_sort!#REF!</definedName>
    <definedName name="Type_1_mesh_690_IPE600__450_GMNIA_N__18" localSheetId="4">Computation_time!$AS$1:$BW$427</definedName>
    <definedName name="Type_1_mesh_690_IPE600__700_GMNIA_M__42" localSheetId="1">Abaqus_data_sort!#REF!</definedName>
    <definedName name="Type_1_mesh_690_IPE600__700_GMNIA_M__42" localSheetId="4">Computation_time!$DM$1:$EQ$427</definedName>
    <definedName name="Type_1_mesh_690_IPE600__700_GMNIA_M__43" localSheetId="4">Computation_time!$BQ$1:$CU$427</definedName>
    <definedName name="Type_1_mesh_690_IPE600__700_GMNIA_N__42" localSheetId="1">Abaqus_data_sort!$A$1:$D$26</definedName>
    <definedName name="Type_1_mesh_690_IPE600__700_GMNIA_N__42" localSheetId="4">Computation_time!$U$1:$AY$427</definedName>
    <definedName name="Type_1_mesh_690_IPE600_450_GMNIA_M__15" localSheetId="1">Abaqus_data_sort!#REF!</definedName>
    <definedName name="Type_1_mesh_690_IPE600_450_GMNIA_M__15" localSheetId="4">Computation_time!$EN$1:$FR$427</definedName>
    <definedName name="Type_1_mesh_690_IPE600_450_GMNIA_M__16" localSheetId="4">Computation_time!$CR$1:$DV$427</definedName>
    <definedName name="Type_1_mesh_690_IPE600_450_GMNIA_N__15" localSheetId="1">Abaqus_data_sort!#REF!</definedName>
    <definedName name="Type_1_mesh_690_IPE600_450_GMNIA_N__15" localSheetId="4">Computation_time!$AV$1:$BZ$427</definedName>
    <definedName name="Type_1_mesh_690_IPE600_700_GMNIA_M__39" localSheetId="1">Abaqus_data_sort!#REF!</definedName>
    <definedName name="Type_1_mesh_690_IPE600_700_GMNIA_M__39" localSheetId="4">Computation_time!$DP$1:$ET$427</definedName>
    <definedName name="Type_1_mesh_690_IPE600_700_GMNIA_M__40" localSheetId="4">Computation_time!$BT$1:$CX$427</definedName>
    <definedName name="Type_1_mesh_690_IPE600_700_GMNIA_N__39" localSheetId="1">Abaqus_data_sort!$A$1:$D$20</definedName>
    <definedName name="Type_1_mesh_690_IPE600_700_GMNIA_N__39" localSheetId="4">Computation_time!$X$1:$BB$427</definedName>
    <definedName name="Type_2_mesh_355_HEA280__450_LBA_N__10" localSheetId="3">Abaqus_LBA_data_sort!$QB$1:$RF$537</definedName>
    <definedName name="Type_2_mesh_355_HEA280__450_LBA_N__11" localSheetId="3">Abaqus_LBA_data_sort!#REF!</definedName>
    <definedName name="Type_2_mesh_355_HEA280__450_LBA_N__12" localSheetId="3">Abaqus_LBA_data_sort!$QZ$1:$SD$537</definedName>
    <definedName name="Type_2_mesh_355_HEA280__450_LBA_N__13" localSheetId="3">Abaqus_LBA_data_sort!$QN$1:$RR$537</definedName>
    <definedName name="Type_2_mesh_355_HEA280_450_LBA_N__10" localSheetId="3">Abaqus_LBA_data_sort!#REF!</definedName>
    <definedName name="Type_2_mesh_355_HEA280_450_LBA_N__11" localSheetId="3">Abaqus_LBA_data_sort!#REF!</definedName>
    <definedName name="Type_2_mesh_355_HEA280_450_LBA_N__15" localSheetId="3">Abaqus_LBA_data_sort!#REF!</definedName>
    <definedName name="Type_2_mesh_355_HEA280_450_LBA_N__16" localSheetId="3">Abaqus_LBA_data_sort!#REF!</definedName>
    <definedName name="Type_2_mesh_355_HEA280_450_LBA_N__17" localSheetId="3">Abaqus_LBA_data_sort!#REF!</definedName>
    <definedName name="Type_2_mesh_355_HEA280_450_LBA_N__18" localSheetId="3">Abaqus_LBA_data_sort!#REF!</definedName>
    <definedName name="Type_2_mesh_355_HEA280_450_LBA_N__19" localSheetId="3">Abaqus_LBA_data_sort!#REF!</definedName>
    <definedName name="Type_2_mesh_355_HEA280_450_LBA_N__20" localSheetId="3">Abaqus_LBA_data_sort!#REF!</definedName>
    <definedName name="Type_2_mesh_355_HEA280_450_LBA_N__21" localSheetId="3">Abaqus_LBA_data_sort!#REF!</definedName>
    <definedName name="Type_2_mesh_355_HEA280_450_LBA_N__22" localSheetId="3">Abaqus_LBA_data_sort!#REF!</definedName>
    <definedName name="Type_2_mesh_355_HEA280_450_LBA_N__23" localSheetId="3">Abaqus_LBA_data_sort!#REF!</definedName>
    <definedName name="Type_2_mesh_355_HEA280_450_LBA_N__24" localSheetId="3">Abaqus_LBA_data_sort!#REF!</definedName>
    <definedName name="Type_2_mesh_355_HEA280_450_LBA_N__25" localSheetId="3">Abaqus_LBA_data_sort!#REF!</definedName>
    <definedName name="Type_2_mesh_355_HEA280_450_LBA_N__26" localSheetId="3">Abaqus_LBA_data_sort!#REF!</definedName>
    <definedName name="Type_2_mesh_355_HEA280_450_LBA_N__27" localSheetId="3">Abaqus_LBA_data_sort!#REF!</definedName>
    <definedName name="Type_2_mesh_355_HEA280_450_LBA_N__28" localSheetId="3">Abaqus_LBA_data_sort!#REF!</definedName>
    <definedName name="Type_2_mesh_355_HEA280_450_LBA_N__29" localSheetId="3">Abaqus_LBA_data_sort!#REF!</definedName>
    <definedName name="Type_2_mesh_355_HEA280_450_LBA_N__30" localSheetId="3">Abaqus_LBA_data_sort!#REF!</definedName>
    <definedName name="Type_2_mesh_355_HEA280_450_LBA_N__31" localSheetId="3">Abaqus_LBA_data_sort!$RC$1:$SG$549</definedName>
    <definedName name="Type_2_mesh_355_HEA280_450_LBA_N__32" localSheetId="3">Abaqus_LBA_data_sort!$QQ$1:$RU$549</definedName>
    <definedName name="Type_2_mesh_355_HEA280_450_LBA_N__7" localSheetId="3">Abaqus_LBA_data_sort!$QE$1:$RI$549</definedName>
    <definedName name="Type_2_mesh_355_HEA280_450_LBA_N__8" localSheetId="3">Abaqus_LBA_data_sort!#REF!</definedName>
    <definedName name="Type_2_mesh_355_HEA400__450_LBA_N__11" localSheetId="3">Abaqus_LBA_data_sort!$QA$1:$RE$501</definedName>
    <definedName name="Type_2_mesh_355_HEA400__450_LBA_N__12" localSheetId="3">Abaqus_LBA_data_sort!#REF!</definedName>
    <definedName name="Type_2_mesh_355_HEA400__450_LBA_N__13" localSheetId="3">Abaqus_LBA_data_sort!$QY$1:$SC$501</definedName>
    <definedName name="Type_2_mesh_355_HEA400__450_LBA_N__14" localSheetId="3">Abaqus_LBA_data_sort!$QM$1:$RQ$501</definedName>
    <definedName name="Type_2_mesh_355_HEA400_450_LBA_N__10" localSheetId="3">Abaqus_LBA_data_sort!$RB$1:$SF$501</definedName>
    <definedName name="Type_2_mesh_355_HEA400_450_LBA_N__11" localSheetId="3">Abaqus_LBA_data_sort!$QP$1:$RT$501</definedName>
    <definedName name="Type_2_mesh_355_HEA400_450_LBA_N__8" localSheetId="3">Abaqus_LBA_data_sort!$QD$1:$RH$501</definedName>
    <definedName name="Type_2_mesh_355_HEA400_450_LBA_N__9" localSheetId="3">Abaqus_LBA_data_sort!#REF!</definedName>
    <definedName name="Type_2_mesh_355_HEA800__450_LBA_N__12" localSheetId="3">Abaqus_LBA_data_sort!$PZ$1:$RD$447</definedName>
    <definedName name="Type_2_mesh_355_HEA800__450_LBA_N__13" localSheetId="3">Abaqus_LBA_data_sort!#REF!</definedName>
    <definedName name="Type_2_mesh_355_HEA800__450_LBA_N__14" localSheetId="3">Abaqus_LBA_data_sort!$QX$1:$SB$447</definedName>
    <definedName name="Type_2_mesh_355_HEA800__450_LBA_N__15" localSheetId="3">Abaqus_LBA_data_sort!$QL$1:$RP$447</definedName>
    <definedName name="Type_2_mesh_355_HEA800_450_LBA_N__10" localSheetId="3">Abaqus_LBA_data_sort!#REF!</definedName>
    <definedName name="Type_2_mesh_355_HEA800_450_LBA_N__11" localSheetId="3">Abaqus_LBA_data_sort!$RA$1:$SE$447</definedName>
    <definedName name="Type_2_mesh_355_HEA800_450_LBA_N__12" localSheetId="3">Abaqus_LBA_data_sort!$QO$1:$RS$447</definedName>
    <definedName name="Type_2_mesh_355_HEA800_450_LBA_N__9" localSheetId="3">Abaqus_LBA_data_sort!$QC$1:$RG$447</definedName>
    <definedName name="Type_2_mesh_355_IPE200__450_LBA_N__10" localSheetId="3">Abaqus_LBA_data_sort!#REF!</definedName>
    <definedName name="Type_2_mesh_355_IPE200__450_LBA_N__11" localSheetId="3">Abaqus_LBA_data_sort!#REF!</definedName>
    <definedName name="Type_2_mesh_355_IPE200__450_LBA_N__12" localSheetId="3">Abaqus_LBA_data_sort!$RF$1:$SJ$459</definedName>
    <definedName name="Type_2_mesh_355_IPE200__450_LBA_N__13" localSheetId="3">Abaqus_LBA_data_sort!$QT$1:$RX$459</definedName>
    <definedName name="Type_2_mesh_355_IPE200__450_LBA_N__4" localSheetId="3">Abaqus_LBA_data_sort!$QH$1:$RL$459</definedName>
    <definedName name="Type_2_mesh_355_IPE200__450_LBA_N__5" localSheetId="3">Abaqus_LBA_data_sort!#REF!</definedName>
    <definedName name="Type_2_mesh_355_IPE200__450_LBA_N__6" localSheetId="3">Abaqus_LBA_data_sort!#REF!</definedName>
    <definedName name="Type_2_mesh_355_IPE200__450_LBA_N__7" localSheetId="3">Abaqus_LBA_data_sort!#REF!</definedName>
    <definedName name="Type_2_mesh_355_IPE200__450_LBA_N__8" localSheetId="3">Abaqus_LBA_data_sort!#REF!</definedName>
    <definedName name="Type_2_mesh_355_IPE200__450_LBA_N__9" localSheetId="3">Abaqus_LBA_data_sort!#REF!</definedName>
    <definedName name="Type_2_mesh_355_IPE200_450_LBA_N__1" localSheetId="3">Abaqus_LBA_data_sort!$QK$1:$RO$459</definedName>
    <definedName name="Type_2_mesh_355_IPE200_450_LBA_N__10" localSheetId="3">Abaqus_LBA_data_sort!$RI$1:$SM$459</definedName>
    <definedName name="Type_2_mesh_355_IPE200_450_LBA_N__11" localSheetId="3">Abaqus_LBA_data_sort!$QW$1:$SA$459</definedName>
    <definedName name="Type_2_mesh_355_IPE200_450_LBA_N__2" localSheetId="3">Abaqus_LBA_data_sort!#REF!</definedName>
    <definedName name="Type_2_mesh_355_IPE200_450_LBA_N__3" localSheetId="3">Abaqus_LBA_data_sort!#REF!</definedName>
    <definedName name="Type_2_mesh_355_IPE200_450_LBA_N__4" localSheetId="3">Abaqus_LBA_data_sort!#REF!</definedName>
    <definedName name="Type_2_mesh_355_IPE200_450_LBA_N__5" localSheetId="3">Abaqus_LBA_data_sort!#REF!</definedName>
    <definedName name="Type_2_mesh_355_IPE200_450_LBA_N__6" localSheetId="3">Abaqus_LBA_data_sort!#REF!</definedName>
    <definedName name="Type_2_mesh_355_IPE200_450_LBA_N__7" localSheetId="3">Abaqus_LBA_data_sort!#REF!</definedName>
    <definedName name="Type_2_mesh_355_IPE200_450_LBA_N__8" localSheetId="3">Abaqus_LBA_data_sort!#REF!</definedName>
    <definedName name="Type_2_mesh_355_IPE200_450_LBA_N__9" localSheetId="3">Abaqus_LBA_data_sort!#REF!</definedName>
    <definedName name="Type_2_mesh_355_IPE330__450_LBA_N__10" localSheetId="3">Abaqus_LBA_data_sort!#REF!</definedName>
    <definedName name="Type_2_mesh_355_IPE330__450_LBA_N__11" localSheetId="3">Abaqus_LBA_data_sort!#REF!</definedName>
    <definedName name="Type_2_mesh_355_IPE330__450_LBA_N__12" localSheetId="3">Abaqus_LBA_data_sort!#REF!</definedName>
    <definedName name="Type_2_mesh_355_IPE330__450_LBA_N__13" localSheetId="3">Abaqus_LBA_data_sort!$RE$1:$SI$459</definedName>
    <definedName name="Type_2_mesh_355_IPE330__450_LBA_N__14" localSheetId="3">Abaqus_LBA_data_sort!$QS$1:$RW$459</definedName>
    <definedName name="Type_2_mesh_355_IPE330__450_LBA_N__5" localSheetId="3">Abaqus_LBA_data_sort!$QG$1:$RK$459</definedName>
    <definedName name="Type_2_mesh_355_IPE330__450_LBA_N__6" localSheetId="3">Abaqus_LBA_data_sort!#REF!</definedName>
    <definedName name="Type_2_mesh_355_IPE330__450_LBA_N__7" localSheetId="3">Abaqus_LBA_data_sort!#REF!</definedName>
    <definedName name="Type_2_mesh_355_IPE330__450_LBA_N__8" localSheetId="3">Abaqus_LBA_data_sort!#REF!</definedName>
    <definedName name="Type_2_mesh_355_IPE330__450_LBA_N__9" localSheetId="3">Abaqus_LBA_data_sort!#REF!</definedName>
    <definedName name="Type_2_mesh_355_IPE330_450_LBA_N__10" localSheetId="3">Abaqus_LBA_data_sort!$RH$1:$SL$459</definedName>
    <definedName name="Type_2_mesh_355_IPE330_450_LBA_N__11" localSheetId="3">Abaqus_LBA_data_sort!$QV$1:$RZ$459</definedName>
    <definedName name="Type_2_mesh_355_IPE330_450_LBA_N__2" localSheetId="3">Abaqus_LBA_data_sort!$QJ$1:$RN$459</definedName>
    <definedName name="Type_2_mesh_355_IPE330_450_LBA_N__3" localSheetId="3">Abaqus_LBA_data_sort!#REF!</definedName>
    <definedName name="Type_2_mesh_355_IPE330_450_LBA_N__4" localSheetId="3">Abaqus_LBA_data_sort!#REF!</definedName>
    <definedName name="Type_2_mesh_355_IPE330_450_LBA_N__5" localSheetId="3">Abaqus_LBA_data_sort!#REF!</definedName>
    <definedName name="Type_2_mesh_355_IPE330_450_LBA_N__6" localSheetId="3">Abaqus_LBA_data_sort!#REF!</definedName>
    <definedName name="Type_2_mesh_355_IPE330_450_LBA_N__7" localSheetId="3">Abaqus_LBA_data_sort!#REF!</definedName>
    <definedName name="Type_2_mesh_355_IPE330_450_LBA_N__8" localSheetId="3">Abaqus_LBA_data_sort!#REF!</definedName>
    <definedName name="Type_2_mesh_355_IPE330_450_LBA_N__9" localSheetId="3">Abaqus_LBA_data_sort!#REF!</definedName>
    <definedName name="Type_2_mesh_355_IPE600__450_LBA_N__10" localSheetId="3">Abaqus_LBA_data_sort!#REF!</definedName>
    <definedName name="Type_2_mesh_355_IPE600__450_LBA_N__11" localSheetId="3">Abaqus_LBA_data_sort!#REF!</definedName>
    <definedName name="Type_2_mesh_355_IPE600__450_LBA_N__12" localSheetId="3">Abaqus_LBA_data_sort!#REF!</definedName>
    <definedName name="Type_2_mesh_355_IPE600__450_LBA_N__13" localSheetId="3">Abaqus_LBA_data_sort!#REF!</definedName>
    <definedName name="Type_2_mesh_355_IPE600__450_LBA_N__14" localSheetId="3">Abaqus_LBA_data_sort!$RD$1:$SH$447</definedName>
    <definedName name="Type_2_mesh_355_IPE600__450_LBA_N__15" localSheetId="3">Abaqus_LBA_data_sort!$QR$1:$RV$447</definedName>
    <definedName name="Type_2_mesh_355_IPE600__450_LBA_N__6" localSheetId="3">Abaqus_LBA_data_sort!$QF$1:$RJ$447</definedName>
    <definedName name="Type_2_mesh_355_IPE600__450_LBA_N__7" localSheetId="3">Abaqus_LBA_data_sort!#REF!</definedName>
    <definedName name="Type_2_mesh_355_IPE600__450_LBA_N__8" localSheetId="3">Abaqus_LBA_data_sort!#REF!</definedName>
    <definedName name="Type_2_mesh_355_IPE600__450_LBA_N__9" localSheetId="3">Abaqus_LBA_data_sort!#REF!</definedName>
    <definedName name="Type_2_mesh_355_IPE600_450_LBA_N__10" localSheetId="3">Abaqus_LBA_data_sort!#REF!</definedName>
    <definedName name="Type_2_mesh_355_IPE600_450_LBA_N__11" localSheetId="3">Abaqus_LBA_data_sort!$RG$1:$SK$448</definedName>
    <definedName name="Type_2_mesh_355_IPE600_450_LBA_N__12" localSheetId="3">Abaqus_LBA_data_sort!$QU$1:$RY$448</definedName>
    <definedName name="Type_2_mesh_355_IPE600_450_LBA_N__3" localSheetId="3">Abaqus_LBA_data_sort!$QI$1:$RM$448</definedName>
    <definedName name="Type_2_mesh_355_IPE600_450_LBA_N__4" localSheetId="3">Abaqus_LBA_data_sort!#REF!</definedName>
    <definedName name="Type_2_mesh_355_IPE600_450_LBA_N__5" localSheetId="3">Abaqus_LBA_data_sort!#REF!</definedName>
    <definedName name="Type_2_mesh_355_IPE600_450_LBA_N__6" localSheetId="3">Abaqus_LBA_data_sort!#REF!</definedName>
    <definedName name="Type_2_mesh_355_IPE600_450_LBA_N__7" localSheetId="3">Abaqus_LBA_data_sort!#REF!</definedName>
    <definedName name="Type_2_mesh_355_IPE600_450_LBA_N__8" localSheetId="3">Abaqus_LBA_data_sort!#REF!</definedName>
    <definedName name="Type_2_mesh_355_IPE600_450_LBA_N__9" localSheetId="3">Abaqus_LBA_data_sort!#REF!</definedName>
  </definedName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2" i="2" l="1"/>
  <c r="AB17" i="2"/>
  <c r="AA4" i="2"/>
  <c r="AB4" i="2"/>
  <c r="AB5" i="2"/>
  <c r="I4" i="7"/>
  <c r="AF68" i="2"/>
  <c r="AE68" i="2"/>
  <c r="AD68" i="2"/>
  <c r="AC68" i="2"/>
  <c r="AB68" i="2"/>
  <c r="AA68" i="2"/>
  <c r="AF67" i="2"/>
  <c r="AE67" i="2"/>
  <c r="AD67" i="2"/>
  <c r="AC67" i="2"/>
  <c r="AB67" i="2"/>
  <c r="AA67" i="2"/>
  <c r="AF66" i="2"/>
  <c r="AE66" i="2"/>
  <c r="AD66" i="2"/>
  <c r="AC66" i="2"/>
  <c r="AB66" i="2"/>
  <c r="AA66" i="2"/>
  <c r="AF65" i="2"/>
  <c r="AE65" i="2"/>
  <c r="AD65" i="2"/>
  <c r="AC65" i="2"/>
  <c r="AB65" i="2"/>
  <c r="AA65" i="2"/>
  <c r="AF64" i="2"/>
  <c r="AE64" i="2"/>
  <c r="AD64" i="2"/>
  <c r="AC64" i="2"/>
  <c r="AB64" i="2"/>
  <c r="AA64" i="2"/>
  <c r="AF63" i="2"/>
  <c r="AE63" i="2"/>
  <c r="AD63" i="2"/>
  <c r="AC63" i="2"/>
  <c r="AB63" i="2"/>
  <c r="AA63" i="2"/>
  <c r="AF62" i="2"/>
  <c r="AE62" i="2"/>
  <c r="AD62" i="2"/>
  <c r="AC62" i="2"/>
  <c r="AB62" i="2"/>
  <c r="AA62" i="2"/>
  <c r="AF61" i="2"/>
  <c r="AE61" i="2"/>
  <c r="AD61" i="2"/>
  <c r="AC61" i="2"/>
  <c r="AB61" i="2"/>
  <c r="AA61" i="2"/>
  <c r="AF60" i="2"/>
  <c r="AE60" i="2"/>
  <c r="AD60" i="2"/>
  <c r="AC60" i="2"/>
  <c r="AB60" i="2"/>
  <c r="AA60" i="2"/>
  <c r="AF59" i="2"/>
  <c r="AE59" i="2"/>
  <c r="AD59" i="2"/>
  <c r="AC59" i="2"/>
  <c r="AB59" i="2"/>
  <c r="AA59" i="2"/>
  <c r="AF58" i="2"/>
  <c r="AE58" i="2"/>
  <c r="AD58" i="2"/>
  <c r="AC58" i="2"/>
  <c r="AB58" i="2"/>
  <c r="AA58" i="2"/>
  <c r="AF57" i="2"/>
  <c r="AE57" i="2"/>
  <c r="AD57" i="2"/>
  <c r="AC57" i="2"/>
  <c r="AB57" i="2"/>
  <c r="AA57" i="2"/>
  <c r="AF56" i="2"/>
  <c r="AE56" i="2"/>
  <c r="AD56" i="2"/>
  <c r="AC56" i="2"/>
  <c r="AB56" i="2"/>
  <c r="AA56" i="2"/>
  <c r="AF55" i="2"/>
  <c r="AE55" i="2"/>
  <c r="AD55" i="2"/>
  <c r="AC55" i="2"/>
  <c r="AB55" i="2"/>
  <c r="AA55" i="2"/>
  <c r="AF54" i="2"/>
  <c r="AE54" i="2"/>
  <c r="AD54" i="2"/>
  <c r="AC54" i="2"/>
  <c r="AB54" i="2"/>
  <c r="AA54" i="2"/>
  <c r="AF53" i="2"/>
  <c r="AE53" i="2"/>
  <c r="AD53" i="2"/>
  <c r="AC53" i="2"/>
  <c r="AB53" i="2"/>
  <c r="AA53" i="2"/>
  <c r="AF52" i="2"/>
  <c r="AE52" i="2"/>
  <c r="AD52" i="2"/>
  <c r="AC52" i="2"/>
  <c r="AB52" i="2"/>
  <c r="AA52" i="2"/>
  <c r="AF51" i="2"/>
  <c r="AE51" i="2"/>
  <c r="AD51" i="2"/>
  <c r="AC51" i="2"/>
  <c r="AB51" i="2"/>
  <c r="AA51" i="2"/>
  <c r="AF50" i="2"/>
  <c r="AE50" i="2"/>
  <c r="AD50" i="2"/>
  <c r="AC50" i="2"/>
  <c r="AB50" i="2"/>
  <c r="AA50" i="2"/>
  <c r="AF49" i="2"/>
  <c r="AE49" i="2"/>
  <c r="AD49" i="2"/>
  <c r="AC49" i="2"/>
  <c r="AB49" i="2"/>
  <c r="AA49" i="2"/>
  <c r="AF48" i="2"/>
  <c r="AE48" i="2"/>
  <c r="AD48" i="2"/>
  <c r="AC48" i="2"/>
  <c r="AB48" i="2"/>
  <c r="AA48" i="2"/>
  <c r="AF47" i="2"/>
  <c r="AE47" i="2"/>
  <c r="AD47" i="2"/>
  <c r="AC47" i="2"/>
  <c r="AB47" i="2"/>
  <c r="AA47" i="2"/>
  <c r="AF46" i="2"/>
  <c r="AE46" i="2"/>
  <c r="AD46" i="2"/>
  <c r="AC46" i="2"/>
  <c r="AB46" i="2"/>
  <c r="AA46" i="2"/>
  <c r="AF45" i="2"/>
  <c r="AE45" i="2"/>
  <c r="AD45" i="2"/>
  <c r="AC45" i="2"/>
  <c r="AB45" i="2"/>
  <c r="AA45" i="2"/>
  <c r="AF44" i="2"/>
  <c r="AE44" i="2"/>
  <c r="AD44" i="2"/>
  <c r="AC44" i="2"/>
  <c r="AB44" i="2"/>
  <c r="AA44" i="2"/>
  <c r="AF43" i="2"/>
  <c r="AE43" i="2"/>
  <c r="AD43" i="2"/>
  <c r="AC43" i="2"/>
  <c r="AB43" i="2"/>
  <c r="AA43" i="2"/>
  <c r="AF42" i="2"/>
  <c r="AE42" i="2"/>
  <c r="AD42" i="2"/>
  <c r="AC42" i="2"/>
  <c r="AB42" i="2"/>
  <c r="AA42" i="2"/>
  <c r="AF41" i="2"/>
  <c r="AE41" i="2"/>
  <c r="AD41" i="2"/>
  <c r="AC41" i="2"/>
  <c r="AB41" i="2"/>
  <c r="AA41" i="2"/>
  <c r="AF40" i="2"/>
  <c r="AE40" i="2"/>
  <c r="AD40" i="2"/>
  <c r="AC40" i="2"/>
  <c r="AB40" i="2"/>
  <c r="AA40" i="2"/>
  <c r="AF39" i="2"/>
  <c r="AE39" i="2"/>
  <c r="AD39" i="2"/>
  <c r="AC39" i="2"/>
  <c r="AB39" i="2"/>
  <c r="AA39" i="2"/>
  <c r="AF38" i="2"/>
  <c r="AE38" i="2"/>
  <c r="AD38" i="2"/>
  <c r="AC38" i="2"/>
  <c r="AB38" i="2"/>
  <c r="AA38" i="2"/>
  <c r="AF37" i="2"/>
  <c r="AE37" i="2"/>
  <c r="AD37" i="2"/>
  <c r="AC37" i="2"/>
  <c r="AB37" i="2"/>
  <c r="AA37" i="2"/>
  <c r="AF36" i="2"/>
  <c r="AE36" i="2"/>
  <c r="AD36" i="2"/>
  <c r="AC36" i="2"/>
  <c r="AB36" i="2"/>
  <c r="AA36" i="2"/>
  <c r="AF35" i="2"/>
  <c r="AE35" i="2"/>
  <c r="AD35" i="2"/>
  <c r="AC35" i="2"/>
  <c r="AB35" i="2"/>
  <c r="AA35" i="2"/>
  <c r="AF34" i="2"/>
  <c r="AE34" i="2"/>
  <c r="AD34" i="2"/>
  <c r="AC34" i="2"/>
  <c r="AB34" i="2"/>
  <c r="AA34" i="2"/>
  <c r="AF33" i="2"/>
  <c r="AE33" i="2"/>
  <c r="AD33" i="2"/>
  <c r="AC33" i="2"/>
  <c r="AB33" i="2"/>
  <c r="AA33" i="2"/>
  <c r="AF32" i="2"/>
  <c r="AE32" i="2"/>
  <c r="AD32" i="2"/>
  <c r="AC32" i="2"/>
  <c r="AB32" i="2"/>
  <c r="AA32" i="2"/>
  <c r="AF31" i="2"/>
  <c r="AE31" i="2"/>
  <c r="AD31" i="2"/>
  <c r="AC31" i="2"/>
  <c r="AB31" i="2"/>
  <c r="AA31" i="2"/>
  <c r="AF30" i="2"/>
  <c r="AE30" i="2"/>
  <c r="AD30" i="2"/>
  <c r="AC30" i="2"/>
  <c r="AB30" i="2"/>
  <c r="AA30" i="2"/>
  <c r="AF29" i="2"/>
  <c r="AE29" i="2"/>
  <c r="AD29" i="2"/>
  <c r="AC29" i="2"/>
  <c r="AB29" i="2"/>
  <c r="AA29" i="2"/>
  <c r="AF28" i="2"/>
  <c r="AE28" i="2"/>
  <c r="AD28" i="2"/>
  <c r="AC28" i="2"/>
  <c r="AB28" i="2"/>
  <c r="AA28" i="2"/>
  <c r="AF27" i="2"/>
  <c r="AE27" i="2"/>
  <c r="AD27" i="2"/>
  <c r="AC27" i="2"/>
  <c r="AB27" i="2"/>
  <c r="AA27" i="2"/>
  <c r="AF26" i="2"/>
  <c r="AE26" i="2"/>
  <c r="AD26" i="2"/>
  <c r="AC26" i="2"/>
  <c r="AB26" i="2"/>
  <c r="AA26" i="2"/>
  <c r="AF25" i="2"/>
  <c r="AE25" i="2"/>
  <c r="AD25" i="2"/>
  <c r="AC25" i="2"/>
  <c r="AB25" i="2"/>
  <c r="AA25" i="2"/>
  <c r="AF24" i="2"/>
  <c r="AE24" i="2"/>
  <c r="AD24" i="2"/>
  <c r="AC24" i="2"/>
  <c r="AB24" i="2"/>
  <c r="AA24" i="2"/>
  <c r="AF23" i="2"/>
  <c r="AE23" i="2"/>
  <c r="AD23" i="2"/>
  <c r="AC23" i="2"/>
  <c r="AB23" i="2"/>
  <c r="AA23" i="2"/>
  <c r="AF22" i="2"/>
  <c r="AE22" i="2"/>
  <c r="AD22" i="2"/>
  <c r="AC22" i="2"/>
  <c r="AB22" i="2"/>
  <c r="AA22" i="2"/>
  <c r="AF21" i="2"/>
  <c r="AE21" i="2"/>
  <c r="AD21" i="2"/>
  <c r="AC21" i="2"/>
  <c r="AB21" i="2"/>
  <c r="AA21" i="2"/>
  <c r="AF20" i="2"/>
  <c r="AE20" i="2"/>
  <c r="AD20" i="2"/>
  <c r="AC20" i="2"/>
  <c r="AB20" i="2"/>
  <c r="AA20" i="2"/>
  <c r="AF19" i="2"/>
  <c r="AE19" i="2"/>
  <c r="AD19" i="2"/>
  <c r="AC19" i="2"/>
  <c r="AB19" i="2"/>
  <c r="AA19" i="2"/>
  <c r="AF18" i="2"/>
  <c r="AE18" i="2"/>
  <c r="AD18" i="2"/>
  <c r="AC18" i="2"/>
  <c r="AB18" i="2"/>
  <c r="AA18" i="2"/>
  <c r="AF17" i="2"/>
  <c r="AE17" i="2"/>
  <c r="AD17" i="2"/>
  <c r="AC17" i="2"/>
  <c r="AA17" i="2"/>
  <c r="AF16" i="2"/>
  <c r="AE16" i="2"/>
  <c r="AD16" i="2"/>
  <c r="AC16" i="2"/>
  <c r="AB16" i="2"/>
  <c r="AA16" i="2"/>
  <c r="AF15" i="2"/>
  <c r="AE15" i="2"/>
  <c r="AD15" i="2"/>
  <c r="AC15" i="2"/>
  <c r="AB15" i="2"/>
  <c r="AA15" i="2"/>
  <c r="AF14" i="2"/>
  <c r="AE14" i="2"/>
  <c r="AD14" i="2"/>
  <c r="AC14" i="2"/>
  <c r="AB14" i="2"/>
  <c r="AA14" i="2"/>
  <c r="AF13" i="2"/>
  <c r="AE13" i="2"/>
  <c r="AD13" i="2"/>
  <c r="AC13" i="2"/>
  <c r="AB13" i="2"/>
  <c r="AA13" i="2"/>
  <c r="AF12" i="2"/>
  <c r="AE12" i="2"/>
  <c r="AD12" i="2"/>
  <c r="AB12" i="2"/>
  <c r="AA12" i="2"/>
  <c r="AF11" i="2"/>
  <c r="AE11" i="2"/>
  <c r="AD11" i="2"/>
  <c r="AC11" i="2"/>
  <c r="AB11" i="2"/>
  <c r="AA11" i="2"/>
  <c r="AF10" i="2"/>
  <c r="AE10" i="2"/>
  <c r="AD10" i="2"/>
  <c r="AC10" i="2"/>
  <c r="AB10" i="2"/>
  <c r="AA10" i="2"/>
  <c r="AF9" i="2"/>
  <c r="AE9" i="2"/>
  <c r="AD9" i="2"/>
  <c r="AC9" i="2"/>
  <c r="AB9" i="2"/>
  <c r="AA9" i="2"/>
  <c r="AF8" i="2"/>
  <c r="AE8" i="2"/>
  <c r="AD8" i="2"/>
  <c r="AC8" i="2"/>
  <c r="AB8" i="2"/>
  <c r="AA8" i="2"/>
  <c r="AF7" i="2"/>
  <c r="AE7" i="2"/>
  <c r="AD7" i="2"/>
  <c r="AC7" i="2"/>
  <c r="AB7" i="2"/>
  <c r="AA7" i="2"/>
  <c r="AF6" i="2"/>
  <c r="AE6" i="2"/>
  <c r="AD6" i="2"/>
  <c r="AC6" i="2"/>
  <c r="AB6" i="2"/>
  <c r="AA6" i="2"/>
  <c r="AF5" i="2"/>
  <c r="AE5" i="2"/>
  <c r="AD5" i="2"/>
  <c r="AC5" i="2"/>
  <c r="AA5" i="2"/>
  <c r="AF4" i="2"/>
  <c r="AE4" i="2"/>
  <c r="AD4" i="2"/>
  <c r="AC4" i="2"/>
  <c r="I5" i="7"/>
  <c r="J4" i="7"/>
  <c r="K4" i="7"/>
  <c r="J5" i="7"/>
  <c r="K5" i="7"/>
  <c r="K3" i="7"/>
  <c r="J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ot-rolled_690_HEA1000_20_GMNIA_My_Mz_30__13" type="6" refreshedVersion="6" background="1" saveData="1">
    <textPr prompt="0" codePage="850" sourceFile="C:\I section (Liya)\Hot-rolled_690_My_Mz_30\Hot-rolled_690_HEA1000_20_GMNIA_My_Mz_30__13.txt" thousands=" " space="1" consecutive="1">
      <textFields count="4">
        <textField/>
        <textField/>
        <textField/>
        <textField/>
      </textFields>
    </textPr>
  </connection>
  <connection id="2" xr16:uid="{00000000-0015-0000-FFFF-FFFF01000000}" name="Hot-rolled_690_HEA1000_20_LBA_My_Mz_30__13" type="6" refreshedVersion="6" background="1" saveData="1">
    <textPr prompt="0" sourceFile="C:\I section (Liya)\Hot-rolled_690_My_Mz_30\Hot-rolled_690_HEA1000_20_LBA_My_Mz_30__1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Hot-rolled_690_HEA1000_20_LBA_My_Mz_30__131" type="6" refreshedVersion="6" background="1" saveData="1">
    <textPr prompt="0" sourceFile="C:\I section (Liya)\Hot-rolled_690_My_Mz_30\Hot-rolled_690_HEA1000_20_LBA_My_Mz_30__1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Hot-rolled_690_HEA1000_350_GMNIA_My_Mz_30__26" type="6" refreshedVersion="6" background="1" saveData="1">
    <textPr prompt="0" codePage="850" sourceFile="C:\I section (Liya)\Hot-rolled_690_My_Mz_30\Hot-rolled_690_HEA1000_350_GMNIA_My_Mz_30__26.txt" thousands=" " space="1" consecutive="1">
      <textFields count="4">
        <textField/>
        <textField/>
        <textField/>
        <textField/>
      </textFields>
    </textPr>
  </connection>
  <connection id="5" xr16:uid="{00000000-0015-0000-FFFF-FFFF04000000}" name="Hot-rolled_690_HEA1000_350_LBA_My_Mz_30__26" type="6" refreshedVersion="6" background="1" saveData="1">
    <textPr prompt="0" sourceFile="C:\I section (Liya)\Hot-rolled_690_My_Mz_30\Hot-rolled_690_HEA1000_350_LBA_My_Mz_30__2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Hot-rolled_690_HEA1000_350_LBA_My_Mz_30__261" type="6" refreshedVersion="6" background="1" saveData="1">
    <textPr prompt="0" sourceFile="C:\I section (Liya)\Hot-rolled_690_My_Mz_30\Hot-rolled_690_HEA1000_350_LBA_My_Mz_30__2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Hot-rolled_690_HEA1000_450_GMNIA_My_Mz_30__39" type="6" refreshedVersion="6" background="1" saveData="1">
    <textPr prompt="0" codePage="850" sourceFile="C:\I section (Liya)\Hot-rolled_690_My_Mz_30\Hot-rolled_690_HEA1000_450_GMNIA_My_Mz_30__39.txt" thousands=" " space="1" consecutive="1">
      <textFields count="4">
        <textField/>
        <textField/>
        <textField/>
        <textField/>
      </textFields>
    </textPr>
  </connection>
  <connection id="8" xr16:uid="{00000000-0015-0000-FFFF-FFFF07000000}" name="Hot-rolled_690_HEA1000_450_LBA_My_Mz_30__39" type="6" refreshedVersion="6" background="1" saveData="1">
    <textPr prompt="0" sourceFile="C:\I section (Liya)\Hot-rolled_690_My_Mz_30\Hot-rolled_690_HEA1000_450_LBA_My_Mz_30__3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Hot-rolled_690_HEA1000_450_LBA_My_Mz_30__391" type="6" refreshedVersion="6" background="1" saveData="1">
    <textPr prompt="0" sourceFile="C:\I section (Liya)\Hot-rolled_690_My_Mz_30\Hot-rolled_690_HEA1000_450_LBA_My_Mz_30__3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Hot-rolled_690_HEA1000_550_GMNIA_My_Mz_30__52" type="6" refreshedVersion="6" background="1" saveData="1">
    <textPr prompt="0" codePage="850" sourceFile="C:\I section (Liya)\Hot-rolled_690_My_Mz_30\Hot-rolled_690_HEA1000_550_GMNIA_My_Mz_30__52.txt" thousands=" " space="1" consecutive="1">
      <textFields count="4">
        <textField/>
        <textField/>
        <textField/>
        <textField/>
      </textFields>
    </textPr>
  </connection>
  <connection id="11" xr16:uid="{00000000-0015-0000-FFFF-FFFF0A000000}" name="Hot-rolled_690_HEA1000_550_LBA_My_Mz_30__52" type="6" refreshedVersion="6" background="1" saveData="1">
    <textPr prompt="0" sourceFile="C:\I section (Liya)\Hot-rolled_690_My_Mz_30\Hot-rolled_690_HEA1000_550_LBA_My_Mz_30__5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000000-0015-0000-FFFF-FFFF0B000000}" name="Hot-rolled_690_HEA1000_550_LBA_My_Mz_30__521" type="6" refreshedVersion="6" background="1" saveData="1">
    <textPr prompt="0" sourceFile="C:\I section (Liya)\Hot-rolled_690_My_Mz_30\Hot-rolled_690_HEA1000_550_LBA_My_Mz_30__5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0C000000}" name="Hot-rolled_690_HEA1000_700_GMNIA_My_Mz_30__65" type="6" refreshedVersion="6" background="1" saveData="1">
    <textPr prompt="0" codePage="850" sourceFile="C:\I section (Liya)\Hot-rolled_690_My_Mz_30\Hot-rolled_690_HEA1000_700_GMNIA_My_Mz_30__65.txt" thousands=" " space="1" consecutive="1">
      <textFields count="4">
        <textField/>
        <textField/>
        <textField/>
        <textField/>
      </textFields>
    </textPr>
  </connection>
  <connection id="14" xr16:uid="{00000000-0015-0000-FFFF-FFFF0D000000}" name="Hot-rolled_690_HEA1000_700_LBA_My_Mz_30__65" type="6" refreshedVersion="6" background="1" saveData="1">
    <textPr prompt="0" sourceFile="C:\I section (Liya)\Hot-rolled_690_My_Mz_30\Hot-rolled_690_HEA1000_700_LBA_My_Mz_30__6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ot-rolled_690_HEA1000_700_LBA_My_Mz_30__651" type="6" refreshedVersion="6" background="1" saveData="1">
    <textPr prompt="0" sourceFile="C:\I section (Liya)\Hot-rolled_690_My_Mz_30\Hot-rolled_690_HEA1000_700_LBA_My_Mz_30__6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00000000-0015-0000-FFFF-FFFF0F000000}" name="Hot-rolled_690_HEA120_20_GMNIA_My_Mz_30__7" type="6" refreshedVersion="6" background="1" saveData="1">
    <textPr prompt="0" codePage="850" sourceFile="C:\I section (Liya)\Hot-rolled_690_My_Mz_30\Hot-rolled_690_HEA120_20_GMNIA_My_Mz_30__7.txt" thousands=" " space="1" consecutive="1">
      <textFields count="4">
        <textField/>
        <textField/>
        <textField/>
        <textField/>
      </textFields>
    </textPr>
  </connection>
  <connection id="17" xr16:uid="{00000000-0015-0000-FFFF-FFFF10000000}" name="Hot-rolled_690_HEA120_20_LBA_My_Mz_30__7" type="6" refreshedVersion="6" background="1" saveData="1">
    <textPr prompt="0" sourceFile="C:\I section (Liya)\Hot-rolled_690_My_Mz_30\Hot-rolled_690_HEA120_20_LBA_My_Mz_30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00000000-0015-0000-FFFF-FFFF11000000}" name="Hot-rolled_690_HEA120_20_LBA_My_Mz_30__71" type="6" refreshedVersion="6" background="1" saveData="1">
    <textPr prompt="0" sourceFile="C:\I section (Liya)\Hot-rolled_690_My_Mz_30\Hot-rolled_690_HEA120_20_LBA_My_Mz_30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Hot-rolled_690_HEA120_350_GMNIA_My_Mz_30__20" type="6" refreshedVersion="6" background="1" saveData="1">
    <textPr prompt="0" codePage="850" sourceFile="C:\I section (Liya)\Hot-rolled_690_My_Mz_30\Hot-rolled_690_HEA120_350_GMNIA_My_Mz_30__20.txt" thousands=" " space="1" consecutive="1">
      <textFields count="4">
        <textField/>
        <textField/>
        <textField/>
        <textField/>
      </textFields>
    </textPr>
  </connection>
  <connection id="20" xr16:uid="{00000000-0015-0000-FFFF-FFFF13000000}" name="Hot-rolled_690_HEA120_350_LBA_My_Mz_30__20" type="6" refreshedVersion="6" background="1" saveData="1">
    <textPr prompt="0" sourceFile="C:\I section (Liya)\Hot-rolled_690_My_Mz_30\Hot-rolled_690_HEA120_350_LBA_My_Mz_30__2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00000000-0015-0000-FFFF-FFFF14000000}" name="Hot-rolled_690_HEA120_350_LBA_My_Mz_30__201" type="6" refreshedVersion="6" background="1" saveData="1">
    <textPr prompt="0" sourceFile="C:\I section (Liya)\Hot-rolled_690_My_Mz_30\Hot-rolled_690_HEA120_350_LBA_My_Mz_30__2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00000000-0015-0000-FFFF-FFFF15000000}" name="Hot-rolled_690_HEA120_450_GMNIA_My_Mz_30__33" type="6" refreshedVersion="6" background="1" saveData="1">
    <textPr prompt="0" codePage="850" sourceFile="C:\I section (Liya)\Hot-rolled_690_My_Mz_30\Hot-rolled_690_HEA120_450_GMNIA_My_Mz_30__33.txt" thousands=" " space="1" consecutive="1">
      <textFields count="4">
        <textField/>
        <textField/>
        <textField/>
        <textField/>
      </textFields>
    </textPr>
  </connection>
  <connection id="23" xr16:uid="{00000000-0015-0000-FFFF-FFFF16000000}" name="Hot-rolled_690_HEA120_450_LBA_My_Mz_30__33" type="6" refreshedVersion="6" background="1" saveData="1">
    <textPr prompt="0" sourceFile="C:\I section (Liya)\Hot-rolled_690_My_Mz_30\Hot-rolled_690_HEA120_450_LBA_My_Mz_30__3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Hot-rolled_690_HEA120_450_LBA_My_Mz_30__331" type="6" refreshedVersion="6" background="1" saveData="1">
    <textPr prompt="0" sourceFile="C:\I section (Liya)\Hot-rolled_690_My_Mz_30\Hot-rolled_690_HEA120_450_LBA_My_Mz_30__3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00000000-0015-0000-FFFF-FFFF18000000}" name="Hot-rolled_690_HEA120_550_GMNIA_My_Mz_30__46" type="6" refreshedVersion="6" background="1" saveData="1">
    <textPr prompt="0" codePage="850" sourceFile="C:\I section (Liya)\Hot-rolled_690_My_Mz_30\Hot-rolled_690_HEA120_550_GMNIA_My_Mz_30__46.txt" thousands=" " space="1" consecutive="1">
      <textFields count="4">
        <textField/>
        <textField/>
        <textField/>
        <textField/>
      </textFields>
    </textPr>
  </connection>
  <connection id="26" xr16:uid="{00000000-0015-0000-FFFF-FFFF19000000}" name="Hot-rolled_690_HEA120_550_LBA_My_Mz_30__46" type="6" refreshedVersion="6" background="1" saveData="1">
    <textPr prompt="0" sourceFile="C:\I section (Liya)\Hot-rolled_690_My_Mz_30\Hot-rolled_690_HEA120_550_LBA_My_Mz_30__4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00000000-0015-0000-FFFF-FFFF1A000000}" name="Hot-rolled_690_HEA120_550_LBA_My_Mz_30__461" type="6" refreshedVersion="6" background="1" saveData="1">
    <textPr prompt="0" sourceFile="C:\I section (Liya)\Hot-rolled_690_My_Mz_30\Hot-rolled_690_HEA120_550_LBA_My_Mz_30__4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Hot-rolled_690_HEA120_700_GMNIA_My_Mz_30__59" type="6" refreshedVersion="6" background="1" saveData="1">
    <textPr prompt="0" codePage="850" sourceFile="C:\I section (Liya)\Hot-rolled_690_My_Mz_30\Hot-rolled_690_HEA120_700_GMNIA_My_Mz_30__59.txt" thousands=" " space="1" consecutive="1">
      <textFields count="4">
        <textField/>
        <textField/>
        <textField/>
        <textField/>
      </textFields>
    </textPr>
  </connection>
  <connection id="29" xr16:uid="{00000000-0015-0000-FFFF-FFFF1C000000}" name="Hot-rolled_690_HEA120_700_LBA_My_Mz_30__59" type="6" refreshedVersion="6" background="1" saveData="1">
    <textPr prompt="0" sourceFile="C:\I section (Liya)\Hot-rolled_690_My_Mz_30\Hot-rolled_690_HEA120_700_LBA_My_Mz_30__5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00000000-0015-0000-FFFF-FFFF1D000000}" name="Hot-rolled_690_HEA120_700_LBA_My_Mz_30__591" type="6" refreshedVersion="6" background="1" saveData="1">
    <textPr prompt="0" sourceFile="C:\I section (Liya)\Hot-rolled_690_My_Mz_30\Hot-rolled_690_HEA120_700_LBA_My_Mz_30__5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00000000-0015-0000-FFFF-FFFF1E000000}" name="Hot-rolled_690_HEA240_20_GMNIA_My_Mz_30__8" type="6" refreshedVersion="6" background="1" saveData="1">
    <textPr prompt="0" codePage="850" sourceFile="C:\I section (Liya)\Hot-rolled_690_My_Mz_30\Hot-rolled_690_HEA240_20_GMNIA_My_Mz_30__8.txt" thousands=" " space="1" consecutive="1">
      <textFields count="4">
        <textField/>
        <textField/>
        <textField/>
        <textField/>
      </textFields>
    </textPr>
  </connection>
  <connection id="32" xr16:uid="{00000000-0015-0000-FFFF-FFFF1F000000}" name="Hot-rolled_690_HEA240_20_LBA_My_Mz_30__8" type="6" refreshedVersion="6" background="1" saveData="1">
    <textPr prompt="0" sourceFile="C:\I section (Liya)\Hot-rolled_690_My_Mz_30\Hot-rolled_690_HEA240_20_LBA_My_Mz_30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00000000-0015-0000-FFFF-FFFF20000000}" name="Hot-rolled_690_HEA240_20_LBA_My_Mz_30__81" type="6" refreshedVersion="6" background="1" saveData="1">
    <textPr prompt="0" sourceFile="C:\I section (Liya)\Hot-rolled_690_My_Mz_30\Hot-rolled_690_HEA240_20_LBA_My_Mz_30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00000000-0015-0000-FFFF-FFFF21000000}" name="Hot-rolled_690_HEA240_350_GMNIA_My_Mz_30__21" type="6" refreshedVersion="6" background="1" saveData="1">
    <textPr prompt="0" codePage="850" sourceFile="C:\I section (Liya)\Hot-rolled_690_My_Mz_30\Hot-rolled_690_HEA240_350_GMNIA_My_Mz_30__21.txt" thousands=" " space="1" consecutive="1">
      <textFields count="4">
        <textField/>
        <textField/>
        <textField/>
        <textField/>
      </textFields>
    </textPr>
  </connection>
  <connection id="35" xr16:uid="{00000000-0015-0000-FFFF-FFFF22000000}" name="Hot-rolled_690_HEA240_350_LBA_My_Mz_30__21" type="6" refreshedVersion="6" background="1" saveData="1">
    <textPr prompt="0" sourceFile="C:\I section (Liya)\Hot-rolled_690_My_Mz_30\Hot-rolled_690_HEA240_350_LBA_My_Mz_30__2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Hot-rolled_690_HEA240_350_LBA_My_Mz_30__211" type="6" refreshedVersion="6" background="1" saveData="1">
    <textPr prompt="0" sourceFile="C:\I section (Liya)\Hot-rolled_690_My_Mz_30\Hot-rolled_690_HEA240_350_LBA_My_Mz_30__2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xr16:uid="{00000000-0015-0000-FFFF-FFFF24000000}" name="Hot-rolled_690_HEA240_450_GMNIA_My_Mz_30__34" type="6" refreshedVersion="6" background="1" saveData="1">
    <textPr prompt="0" codePage="850" sourceFile="C:\I section (Liya)\Hot-rolled_690_My_Mz_30\Hot-rolled_690_HEA240_450_GMNIA_My_Mz_30__34.txt" thousands=" " space="1" consecutive="1">
      <textFields count="4">
        <textField/>
        <textField/>
        <textField/>
        <textField/>
      </textFields>
    </textPr>
  </connection>
  <connection id="38" xr16:uid="{00000000-0015-0000-FFFF-FFFF25000000}" name="Hot-rolled_690_HEA240_450_LBA_My_Mz_30__34" type="6" refreshedVersion="6" background="1" saveData="1">
    <textPr prompt="0" sourceFile="C:\I section (Liya)\Hot-rolled_690_My_Mz_30\Hot-rolled_690_HEA240_450_LBA_My_Mz_30__3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xr16:uid="{00000000-0015-0000-FFFF-FFFF26000000}" name="Hot-rolled_690_HEA240_450_LBA_My_Mz_30__341" type="6" refreshedVersion="6" background="1" saveData="1">
    <textPr prompt="0" sourceFile="C:\I section (Liya)\Hot-rolled_690_My_Mz_30\Hot-rolled_690_HEA240_450_LBA_My_Mz_30__3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Hot-rolled_690_HEA240_550_GMNIA_My_Mz_30__47" type="6" refreshedVersion="6" background="1" saveData="1">
    <textPr prompt="0" codePage="850" sourceFile="C:\I section (Liya)\Hot-rolled_690_My_Mz_30\Hot-rolled_690_HEA240_550_GMNIA_My_Mz_30__47.txt" thousands=" " space="1" consecutive="1">
      <textFields count="4">
        <textField/>
        <textField/>
        <textField/>
        <textField/>
      </textFields>
    </textPr>
  </connection>
  <connection id="41" xr16:uid="{00000000-0015-0000-FFFF-FFFF28000000}" name="Hot-rolled_690_HEA240_550_LBA_My_Mz_30__47" type="6" refreshedVersion="6" background="1" saveData="1">
    <textPr prompt="0" sourceFile="C:\I section (Liya)\Hot-rolled_690_My_Mz_30\Hot-rolled_690_HEA240_550_LBA_My_Mz_30__4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xr16:uid="{00000000-0015-0000-FFFF-FFFF29000000}" name="Hot-rolled_690_HEA240_550_LBA_My_Mz_30__471" type="6" refreshedVersion="6" background="1" saveData="1">
    <textPr prompt="0" sourceFile="C:\I section (Liya)\Hot-rolled_690_My_Mz_30\Hot-rolled_690_HEA240_550_LBA_My_Mz_30__4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xr16:uid="{00000000-0015-0000-FFFF-FFFF2A000000}" name="Hot-rolled_690_HEA240_700_GMNIA_My_Mz_30__60" type="6" refreshedVersion="6" background="1" saveData="1">
    <textPr prompt="0" codePage="850" sourceFile="C:\I section (Liya)\Hot-rolled_690_My_Mz_30\Hot-rolled_690_HEA240_700_GMNIA_My_Mz_30__60.txt" thousands=" " space="1" consecutive="1">
      <textFields count="4">
        <textField/>
        <textField/>
        <textField/>
        <textField/>
      </textFields>
    </textPr>
  </connection>
  <connection id="44" xr16:uid="{00000000-0015-0000-FFFF-FFFF2B000000}" name="Hot-rolled_690_HEA240_700_LBA_My_Mz_30__60" type="6" refreshedVersion="6" background="1" saveData="1">
    <textPr prompt="0" sourceFile="C:\I section (Liya)\Hot-rolled_690_My_Mz_30\Hot-rolled_690_HEA240_700_LBA_My_Mz_30__6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xr16:uid="{00000000-0015-0000-FFFF-FFFF2C000000}" name="Hot-rolled_690_HEA240_700_LBA_My_Mz_30__601" type="6" refreshedVersion="6" background="1" saveData="1">
    <textPr prompt="0" sourceFile="C:\I section (Liya)\Hot-rolled_690_My_Mz_30\Hot-rolled_690_HEA240_700_LBA_My_Mz_30__6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xr16:uid="{00000000-0015-0000-FFFF-FFFF2D000000}" name="Hot-rolled_690_HEA300_20_GMNIA_My_Mz_30__9" type="6" refreshedVersion="6" background="1" saveData="1">
    <textPr prompt="0" codePage="850" sourceFile="C:\I section (Liya)\Hot-rolled_690_My_Mz_30\Hot-rolled_690_HEA300_20_GMNIA_My_Mz_30__9.txt" thousands=" " space="1" consecutive="1">
      <textFields count="4">
        <textField/>
        <textField/>
        <textField/>
        <textField/>
      </textFields>
    </textPr>
  </connection>
  <connection id="47" xr16:uid="{00000000-0015-0000-FFFF-FFFF2E000000}" name="Hot-rolled_690_HEA300_20_LBA_My_Mz_30__9" type="6" refreshedVersion="6" background="1" saveData="1">
    <textPr prompt="0" sourceFile="C:\I section (Liya)\Hot-rolled_690_My_Mz_30\Hot-rolled_690_HEA300_20_LBA_My_Mz_30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Hot-rolled_690_HEA300_20_LBA_My_Mz_30__91" type="6" refreshedVersion="6" background="1" saveData="1">
    <textPr prompt="0" sourceFile="C:\I section (Liya)\Hot-rolled_690_My_Mz_30\Hot-rolled_690_HEA300_20_LBA_My_Mz_30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xr16:uid="{00000000-0015-0000-FFFF-FFFF30000000}" name="Hot-rolled_690_HEA300_350_GMNIA_My_Mz_30__22" type="6" refreshedVersion="6" background="1" saveData="1">
    <textPr prompt="0" codePage="850" sourceFile="C:\I section (Liya)\Hot-rolled_690_My_Mz_30\Hot-rolled_690_HEA300_350_GMNIA_My_Mz_30__22.txt" thousands=" " space="1" consecutive="1">
      <textFields count="4">
        <textField/>
        <textField/>
        <textField/>
        <textField/>
      </textFields>
    </textPr>
  </connection>
  <connection id="50" xr16:uid="{00000000-0015-0000-FFFF-FFFF31000000}" name="Hot-rolled_690_HEA300_350_LBA_My_Mz_30__22" type="6" refreshedVersion="6" background="1" saveData="1">
    <textPr prompt="0" sourceFile="C:\I section (Liya)\Hot-rolled_690_My_Mz_30\Hot-rolled_690_HEA300_350_LBA_My_Mz_30__2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xr16:uid="{00000000-0015-0000-FFFF-FFFF32000000}" name="Hot-rolled_690_HEA300_350_LBA_My_Mz_30__221" type="6" refreshedVersion="6" background="1" saveData="1">
    <textPr prompt="0" sourceFile="C:\I section (Liya)\Hot-rolled_690_My_Mz_30\Hot-rolled_690_HEA300_350_LBA_My_Mz_30__2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Hot-rolled_690_HEA300_450_GMNIA_My_Mz_30__35" type="6" refreshedVersion="6" background="1" saveData="1">
    <textPr prompt="0" codePage="850" sourceFile="C:\I section (Liya)\Hot-rolled_690_My_Mz_30\Hot-rolled_690_HEA300_450_GMNIA_My_Mz_30__35.txt" thousands=" " space="1" consecutive="1">
      <textFields count="4">
        <textField/>
        <textField/>
        <textField/>
        <textField/>
      </textFields>
    </textPr>
  </connection>
  <connection id="53" xr16:uid="{00000000-0015-0000-FFFF-FFFF34000000}" name="Hot-rolled_690_HEA300_450_LBA_My_Mz_30__35" type="6" refreshedVersion="6" background="1" saveData="1">
    <textPr prompt="0" sourceFile="C:\I section (Liya)\Hot-rolled_690_My_Mz_30\Hot-rolled_690_HEA300_450_LBA_My_Mz_30__3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xr16:uid="{00000000-0015-0000-FFFF-FFFF35000000}" name="Hot-rolled_690_HEA300_450_LBA_My_Mz_30__351" type="6" refreshedVersion="6" background="1" saveData="1">
    <textPr prompt="0" sourceFile="C:\I section (Liya)\Hot-rolled_690_My_Mz_30\Hot-rolled_690_HEA300_450_LBA_My_Mz_30__3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xr16:uid="{00000000-0015-0000-FFFF-FFFF36000000}" name="Hot-rolled_690_HEA300_550_GMNIA_My_Mz_30__48" type="6" refreshedVersion="6" background="1" saveData="1">
    <textPr prompt="0" codePage="850" sourceFile="C:\I section (Liya)\Hot-rolled_690_My_Mz_30\Hot-rolled_690_HEA300_550_GMNIA_My_Mz_30__48.txt" thousands=" " space="1" consecutive="1">
      <textFields count="4">
        <textField/>
        <textField/>
        <textField/>
        <textField/>
      </textFields>
    </textPr>
  </connection>
  <connection id="56" xr16:uid="{00000000-0015-0000-FFFF-FFFF37000000}" name="Hot-rolled_690_HEA300_550_LBA_My_Mz_30__48" type="6" refreshedVersion="6" background="1" saveData="1">
    <textPr prompt="0" sourceFile="C:\I section (Liya)\Hot-rolled_690_My_Mz_30\Hot-rolled_690_HEA300_550_LBA_My_Mz_30__4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xr16:uid="{00000000-0015-0000-FFFF-FFFF38000000}" name="Hot-rolled_690_HEA300_550_LBA_My_Mz_30__481" type="6" refreshedVersion="6" background="1" saveData="1">
    <textPr prompt="0" sourceFile="C:\I section (Liya)\Hot-rolled_690_My_Mz_30\Hot-rolled_690_HEA300_550_LBA_My_Mz_30__4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xr16:uid="{00000000-0015-0000-FFFF-FFFF39000000}" name="Hot-rolled_690_HEA300_700_GMNIA_My_Mz_30__61" type="6" refreshedVersion="6" background="1" saveData="1">
    <textPr prompt="0" codePage="850" sourceFile="C:\I section (Liya)\Hot-rolled_690_My_Mz_30\Hot-rolled_690_HEA300_700_GMNIA_My_Mz_30__61.txt" thousands=" " space="1" consecutive="1">
      <textFields count="4">
        <textField/>
        <textField/>
        <textField/>
        <textField/>
      </textFields>
    </textPr>
  </connection>
  <connection id="59" xr16:uid="{00000000-0015-0000-FFFF-FFFF3A000000}" name="Hot-rolled_690_HEA300_700_LBA_My_Mz_30__61" type="6" refreshedVersion="6" background="1" saveData="1">
    <textPr prompt="0" sourceFile="C:\I section (Liya)\Hot-rolled_690_My_Mz_30\Hot-rolled_690_HEA300_700_LBA_My_Mz_30__6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xr16:uid="{00000000-0015-0000-FFFF-FFFF3B000000}" name="Hot-rolled_690_HEA300_700_LBA_My_Mz_30__611" type="6" refreshedVersion="6" background="1" saveData="1">
    <textPr prompt="0" sourceFile="C:\I section (Liya)\Hot-rolled_690_My_Mz_30\Hot-rolled_690_HEA300_700_LBA_My_Mz_30__6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xr16:uid="{00000000-0015-0000-FFFF-FFFF3C000000}" name="Hot-rolled_690_HEA400_20_GMNIA_My_Mz_30__10" type="6" refreshedVersion="6" background="1" saveData="1">
    <textPr prompt="0" codePage="850" sourceFile="C:\I section (Liya)\Hot-rolled_690_My_Mz_30\Hot-rolled_690_HEA400_20_GMNIA_My_Mz_30__10.txt" thousands=" " space="1" consecutive="1">
      <textFields count="4">
        <textField/>
        <textField/>
        <textField/>
        <textField/>
      </textFields>
    </textPr>
  </connection>
  <connection id="62" xr16:uid="{00000000-0015-0000-FFFF-FFFF3D000000}" name="Hot-rolled_690_HEA400_20_LBA_My_Mz_30__10" type="6" refreshedVersion="6" background="1" saveData="1">
    <textPr prompt="0" sourceFile="C:\I section (Liya)\Hot-rolled_690_My_Mz_30\Hot-rolled_690_HEA400_20_LBA_My_Mz_30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xr16:uid="{00000000-0015-0000-FFFF-FFFF3E000000}" name="Hot-rolled_690_HEA400_20_LBA_My_Mz_30__101" type="6" refreshedVersion="6" background="1" saveData="1">
    <textPr prompt="0" sourceFile="C:\I section (Liya)\Hot-rolled_690_My_Mz_30\Hot-rolled_690_HEA400_20_LBA_My_Mz_30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xr16:uid="{00000000-0015-0000-FFFF-FFFF3F000000}" name="Hot-rolled_690_HEA400_350_GMNIA_My_Mz_30__23" type="6" refreshedVersion="6" background="1" saveData="1">
    <textPr prompt="0" codePage="850" sourceFile="C:\I section (Liya)\Hot-rolled_690_My_Mz_30\Hot-rolled_690_HEA400_350_GMNIA_My_Mz_30__23.txt" thousands=" " space="1" consecutive="1">
      <textFields count="4">
        <textField/>
        <textField/>
        <textField/>
        <textField/>
      </textFields>
    </textPr>
  </connection>
  <connection id="65" xr16:uid="{00000000-0015-0000-FFFF-FFFF40000000}" name="Hot-rolled_690_HEA400_350_LBA_My_Mz_30__23" type="6" refreshedVersion="6" background="1" saveData="1">
    <textPr prompt="0" sourceFile="C:\I section (Liya)\Hot-rolled_690_My_Mz_30\Hot-rolled_690_HEA400_350_LBA_My_Mz_30__2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xr16:uid="{00000000-0015-0000-FFFF-FFFF41000000}" name="Hot-rolled_690_HEA400_350_LBA_My_Mz_30__231" type="6" refreshedVersion="6" background="1" saveData="1">
    <textPr prompt="0" sourceFile="C:\I section (Liya)\Hot-rolled_690_My_Mz_30\Hot-rolled_690_HEA400_350_LBA_My_Mz_30__2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xr16:uid="{00000000-0015-0000-FFFF-FFFF42000000}" name="Hot-rolled_690_HEA400_450_GMNIA_My_Mz_30__36" type="6" refreshedVersion="6" background="1" saveData="1">
    <textPr prompt="0" codePage="850" sourceFile="C:\I section (Liya)\Hot-rolled_690_My_Mz_30\Hot-rolled_690_HEA400_450_GMNIA_My_Mz_30__36.txt" thousands=" " space="1" consecutive="1">
      <textFields count="4">
        <textField/>
        <textField/>
        <textField/>
        <textField/>
      </textFields>
    </textPr>
  </connection>
  <connection id="68" xr16:uid="{00000000-0015-0000-FFFF-FFFF43000000}" name="Hot-rolled_690_HEA400_450_LBA_My_Mz_30__36" type="6" refreshedVersion="6" background="1" saveData="1">
    <textPr prompt="0" sourceFile="C:\I section (Liya)\Hot-rolled_690_My_Mz_30\Hot-rolled_690_HEA400_450_LBA_My_Mz_30__3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xr16:uid="{00000000-0015-0000-FFFF-FFFF44000000}" name="Hot-rolled_690_HEA400_450_LBA_My_Mz_30__361" type="6" refreshedVersion="6" background="1" saveData="1">
    <textPr prompt="0" sourceFile="C:\I section (Liya)\Hot-rolled_690_My_Mz_30\Hot-rolled_690_HEA400_450_LBA_My_Mz_30__3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xr16:uid="{00000000-0015-0000-FFFF-FFFF45000000}" name="Hot-rolled_690_HEA400_550_GMNIA_My_Mz_30__49" type="6" refreshedVersion="6" background="1" saveData="1">
    <textPr prompt="0" codePage="850" sourceFile="C:\I section (Liya)\Hot-rolled_690_My_Mz_30\Hot-rolled_690_HEA400_550_GMNIA_My_Mz_30__49.txt" thousands=" " space="1" consecutive="1">
      <textFields count="4">
        <textField/>
        <textField/>
        <textField/>
        <textField/>
      </textFields>
    </textPr>
  </connection>
  <connection id="71" xr16:uid="{00000000-0015-0000-FFFF-FFFF46000000}" name="Hot-rolled_690_HEA400_550_LBA_My_Mz_30__49" type="6" refreshedVersion="6" background="1" saveData="1">
    <textPr prompt="0" sourceFile="C:\I section (Liya)\Hot-rolled_690_My_Mz_30\Hot-rolled_690_HEA400_550_LBA_My_Mz_30__4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xr16:uid="{00000000-0015-0000-FFFF-FFFF47000000}" name="Hot-rolled_690_HEA400_550_LBA_My_Mz_30__491" type="6" refreshedVersion="6" background="1" saveData="1">
    <textPr prompt="0" sourceFile="C:\I section (Liya)\Hot-rolled_690_My_Mz_30\Hot-rolled_690_HEA400_550_LBA_My_Mz_30__4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xr16:uid="{00000000-0015-0000-FFFF-FFFF48000000}" name="Hot-rolled_690_HEA400_700_GMNIA_My_Mz_30__62" type="6" refreshedVersion="6" background="1" saveData="1">
    <textPr prompt="0" codePage="850" sourceFile="C:\I section (Liya)\Hot-rolled_690_My_Mz_30\Hot-rolled_690_HEA400_700_GMNIA_My_Mz_30__62.txt" thousands=" " space="1" consecutive="1">
      <textFields count="4">
        <textField/>
        <textField/>
        <textField/>
        <textField/>
      </textFields>
    </textPr>
  </connection>
  <connection id="74" xr16:uid="{00000000-0015-0000-FFFF-FFFF49000000}" name="Hot-rolled_690_HEA400_700_LBA_My_Mz_30__62" type="6" refreshedVersion="6" background="1" saveData="1">
    <textPr prompt="0" sourceFile="C:\I section (Liya)\Hot-rolled_690_My_Mz_30\Hot-rolled_690_HEA400_700_LBA_My_Mz_30__6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xr16:uid="{00000000-0015-0000-FFFF-FFFF4A000000}" name="Hot-rolled_690_HEA400_700_LBA_My_Mz_30__621" type="6" refreshedVersion="6" background="1" saveData="1">
    <textPr prompt="0" sourceFile="C:\I section (Liya)\Hot-rolled_690_My_Mz_30\Hot-rolled_690_HEA400_700_LBA_My_Mz_30__6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xr16:uid="{00000000-0015-0000-FFFF-FFFF4B000000}" name="Hot-rolled_690_HEA500_20_GMNIA_My_Mz_30__11" type="6" refreshedVersion="6" background="1" saveData="1">
    <textPr prompt="0" codePage="850" sourceFile="C:\I section (Liya)\Hot-rolled_690_My_Mz_30\Hot-rolled_690_HEA500_20_GMNIA_My_Mz_30__11.txt" thousands=" " space="1" consecutive="1">
      <textFields count="4">
        <textField/>
        <textField/>
        <textField/>
        <textField/>
      </textFields>
    </textPr>
  </connection>
  <connection id="77" xr16:uid="{00000000-0015-0000-FFFF-FFFF4C000000}" name="Hot-rolled_690_HEA500_20_LBA_My_Mz_30__11" type="6" refreshedVersion="6" background="1" saveData="1">
    <textPr prompt="0" sourceFile="C:\I section (Liya)\Hot-rolled_690_My_Mz_30\Hot-rolled_690_HEA500_20_LBA_My_Mz_30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xr16:uid="{00000000-0015-0000-FFFF-FFFF4D000000}" name="Hot-rolled_690_HEA500_20_LBA_My_Mz_30__111" type="6" refreshedVersion="6" background="1" saveData="1">
    <textPr prompt="0" sourceFile="C:\I section (Liya)\Hot-rolled_690_My_Mz_30\Hot-rolled_690_HEA500_20_LBA_My_Mz_30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xr16:uid="{00000000-0015-0000-FFFF-FFFF4E000000}" name="Hot-rolled_690_HEA500_350_GMNIA_My_Mz_30__24" type="6" refreshedVersion="6" background="1" saveData="1">
    <textPr prompt="0" codePage="850" sourceFile="C:\I section (Liya)\Hot-rolled_690_My_Mz_30\Hot-rolled_690_HEA500_350_GMNIA_My_Mz_30__24.txt" thousands=" " space="1" consecutive="1">
      <textFields count="4">
        <textField/>
        <textField/>
        <textField/>
        <textField/>
      </textFields>
    </textPr>
  </connection>
  <connection id="80" xr16:uid="{00000000-0015-0000-FFFF-FFFF4F000000}" name="Hot-rolled_690_HEA500_350_LBA_My_Mz_30__24" type="6" refreshedVersion="6" background="1" saveData="1">
    <textPr prompt="0" sourceFile="C:\I section (Liya)\Hot-rolled_690_My_Mz_30\Hot-rolled_690_HEA500_350_LBA_My_Mz_30__2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xr16:uid="{00000000-0015-0000-FFFF-FFFF50000000}" name="Hot-rolled_690_HEA500_350_LBA_My_Mz_30__241" type="6" refreshedVersion="6" background="1" saveData="1">
    <textPr prompt="0" sourceFile="C:\I section (Liya)\Hot-rolled_690_My_Mz_30\Hot-rolled_690_HEA500_350_LBA_My_Mz_30__2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xr16:uid="{00000000-0015-0000-FFFF-FFFF51000000}" name="Hot-rolled_690_HEA500_450_GMNIA_My_Mz_30__37" type="6" refreshedVersion="6" background="1" saveData="1">
    <textPr prompt="0" codePage="850" sourceFile="C:\I section (Liya)\Hot-rolled_690_My_Mz_30\Hot-rolled_690_HEA500_450_GMNIA_My_Mz_30__37.txt" thousands=" " space="1" consecutive="1">
      <textFields count="4">
        <textField/>
        <textField/>
        <textField/>
        <textField/>
      </textFields>
    </textPr>
  </connection>
  <connection id="83" xr16:uid="{00000000-0015-0000-FFFF-FFFF52000000}" name="Hot-rolled_690_HEA500_450_LBA_My_Mz_30__37" type="6" refreshedVersion="6" background="1" saveData="1">
    <textPr prompt="0" sourceFile="C:\I section (Liya)\Hot-rolled_690_My_Mz_30\Hot-rolled_690_HEA500_450_LBA_My_Mz_30__3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xr16:uid="{00000000-0015-0000-FFFF-FFFF53000000}" name="Hot-rolled_690_HEA500_450_LBA_My_Mz_30__371" type="6" refreshedVersion="6" background="1" saveData="1">
    <textPr prompt="0" sourceFile="C:\I section (Liya)\Hot-rolled_690_My_Mz_30\Hot-rolled_690_HEA500_450_LBA_My_Mz_30__3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xr16:uid="{00000000-0015-0000-FFFF-FFFF54000000}" name="Hot-rolled_690_HEA500_550_GMNIA_My_Mz_30__50" type="6" refreshedVersion="6" background="1" saveData="1">
    <textPr prompt="0" codePage="850" sourceFile="C:\I section (Liya)\Hot-rolled_690_My_Mz_30\Hot-rolled_690_HEA500_550_GMNIA_My_Mz_30__50.txt" thousands=" " space="1" consecutive="1">
      <textFields count="4">
        <textField/>
        <textField/>
        <textField/>
        <textField/>
      </textFields>
    </textPr>
  </connection>
  <connection id="86" xr16:uid="{00000000-0015-0000-FFFF-FFFF55000000}" name="Hot-rolled_690_HEA500_550_LBA_My_Mz_30__50" type="6" refreshedVersion="6" background="1" saveData="1">
    <textPr prompt="0" sourceFile="C:\I section (Liya)\Hot-rolled_690_My_Mz_30\Hot-rolled_690_HEA500_550_LBA_My_Mz_30__5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xr16:uid="{00000000-0015-0000-FFFF-FFFF56000000}" name="Hot-rolled_690_HEA500_550_LBA_My_Mz_30__501" type="6" refreshedVersion="6" background="1" saveData="1">
    <textPr prompt="0" sourceFile="C:\I section (Liya)\Hot-rolled_690_My_Mz_30\Hot-rolled_690_HEA500_550_LBA_My_Mz_30__5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xr16:uid="{00000000-0015-0000-FFFF-FFFF57000000}" name="Hot-rolled_690_HEA500_700_GMNIA_My_Mz_30__63" type="6" refreshedVersion="6" background="1" saveData="1">
    <textPr prompt="0" codePage="850" sourceFile="C:\I section (Liya)\Hot-rolled_690_My_Mz_30\Hot-rolled_690_HEA500_700_GMNIA_My_Mz_30__63.txt" thousands=" " space="1" consecutive="1">
      <textFields count="4">
        <textField/>
        <textField/>
        <textField/>
        <textField/>
      </textFields>
    </textPr>
  </connection>
  <connection id="89" xr16:uid="{00000000-0015-0000-FFFF-FFFF58000000}" name="Hot-rolled_690_HEA500_700_LBA_My_Mz_30__63" type="6" refreshedVersion="6" background="1" saveData="1">
    <textPr prompt="0" sourceFile="C:\I section (Liya)\Hot-rolled_690_My_Mz_30\Hot-rolled_690_HEA500_700_LBA_My_Mz_30__6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xr16:uid="{00000000-0015-0000-FFFF-FFFF59000000}" name="Hot-rolled_690_HEA500_700_LBA_My_Mz_30__631" type="6" refreshedVersion="6" background="1" saveData="1">
    <textPr prompt="0" sourceFile="C:\I section (Liya)\Hot-rolled_690_My_Mz_30\Hot-rolled_690_HEA500_700_LBA_My_Mz_30__6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xr16:uid="{00000000-0015-0000-FFFF-FFFF5A000000}" name="Hot-rolled_690_HEA600_20_GMNIA_My_Mz_30__12" type="6" refreshedVersion="6" background="1" saveData="1">
    <textPr prompt="0" codePage="850" sourceFile="C:\I section (Liya)\Hot-rolled_690_My_Mz_30\Hot-rolled_690_HEA600_20_GMNIA_My_Mz_30__12.txt" thousands=" " space="1" consecutive="1">
      <textFields count="4">
        <textField/>
        <textField/>
        <textField/>
        <textField/>
      </textFields>
    </textPr>
  </connection>
  <connection id="92" xr16:uid="{00000000-0015-0000-FFFF-FFFF5B000000}" name="Hot-rolled_690_HEA600_20_LBA_My_Mz_30__12" type="6" refreshedVersion="6" background="1" saveData="1">
    <textPr prompt="0" sourceFile="C:\I section (Liya)\Hot-rolled_690_My_Mz_30\Hot-rolled_690_HEA600_20_LBA_My_Mz_30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xr16:uid="{00000000-0015-0000-FFFF-FFFF5C000000}" name="Hot-rolled_690_HEA600_20_LBA_My_Mz_30__121" type="6" refreshedVersion="6" background="1" saveData="1">
    <textPr prompt="0" sourceFile="C:\I section (Liya)\Hot-rolled_690_My_Mz_30\Hot-rolled_690_HEA600_20_LBA_My_Mz_30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xr16:uid="{00000000-0015-0000-FFFF-FFFF5D000000}" name="Hot-rolled_690_HEA600_350_GMNIA_My_Mz_30__25" type="6" refreshedVersion="6" background="1" saveData="1">
    <textPr prompt="0" codePage="850" sourceFile="C:\I section (Liya)\Hot-rolled_690_My_Mz_30\Hot-rolled_690_HEA600_350_GMNIA_My_Mz_30__25.txt" thousands=" " space="1" consecutive="1">
      <textFields count="4">
        <textField/>
        <textField/>
        <textField/>
        <textField/>
      </textFields>
    </textPr>
  </connection>
  <connection id="95" xr16:uid="{00000000-0015-0000-FFFF-FFFF5E000000}" name="Hot-rolled_690_HEA600_350_LBA_My_Mz_30__25" type="6" refreshedVersion="6" background="1" saveData="1">
    <textPr prompt="0" sourceFile="C:\I section (Liya)\Hot-rolled_690_My_Mz_30\Hot-rolled_690_HEA600_350_LBA_My_Mz_30__2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xr16:uid="{00000000-0015-0000-FFFF-FFFF5F000000}" name="Hot-rolled_690_HEA600_350_LBA_My_Mz_30__251" type="6" refreshedVersion="6" background="1" saveData="1">
    <textPr prompt="0" sourceFile="C:\I section (Liya)\Hot-rolled_690_My_Mz_30\Hot-rolled_690_HEA600_350_LBA_My_Mz_30__2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xr16:uid="{00000000-0015-0000-FFFF-FFFF60000000}" name="Hot-rolled_690_HEA600_450_GMNIA_My_Mz_30__38" type="6" refreshedVersion="6" background="1" saveData="1">
    <textPr prompt="0" codePage="850" sourceFile="C:\I section (Liya)\Hot-rolled_690_My_Mz_30\Hot-rolled_690_HEA600_450_GMNIA_My_Mz_30__38.txt" thousands=" " space="1" consecutive="1">
      <textFields count="4">
        <textField/>
        <textField/>
        <textField/>
        <textField/>
      </textFields>
    </textPr>
  </connection>
  <connection id="98" xr16:uid="{00000000-0015-0000-FFFF-FFFF61000000}" name="Hot-rolled_690_HEA600_450_LBA_My_Mz_30__38" type="6" refreshedVersion="6" background="1" saveData="1">
    <textPr prompt="0" sourceFile="C:\I section (Liya)\Hot-rolled_690_My_Mz_30\Hot-rolled_690_HEA600_450_LBA_My_Mz_30__3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xr16:uid="{00000000-0015-0000-FFFF-FFFF62000000}" name="Hot-rolled_690_HEA600_450_LBA_My_Mz_30__381" type="6" refreshedVersion="6" background="1" saveData="1">
    <textPr prompt="0" sourceFile="C:\I section (Liya)\Hot-rolled_690_My_Mz_30\Hot-rolled_690_HEA600_450_LBA_My_Mz_30__3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xr16:uid="{00000000-0015-0000-FFFF-FFFF63000000}" name="Hot-rolled_690_HEA600_550_GMNIA_My_Mz_30__51" type="6" refreshedVersion="6" background="1" saveData="1">
    <textPr prompt="0" codePage="850" sourceFile="C:\I section (Liya)\Hot-rolled_690_My_Mz_30\Hot-rolled_690_HEA600_550_GMNIA_My_Mz_30__51.txt" thousands=" " space="1" consecutive="1">
      <textFields count="4">
        <textField/>
        <textField/>
        <textField/>
        <textField/>
      </textFields>
    </textPr>
  </connection>
  <connection id="101" xr16:uid="{00000000-0015-0000-FFFF-FFFF64000000}" name="Hot-rolled_690_HEA600_550_LBA_My_Mz_30__51" type="6" refreshedVersion="6" background="1" saveData="1">
    <textPr prompt="0" sourceFile="C:\I section (Liya)\Hot-rolled_690_My_Mz_30\Hot-rolled_690_HEA600_550_LBA_My_Mz_30__5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xr16:uid="{00000000-0015-0000-FFFF-FFFF65000000}" name="Hot-rolled_690_HEA600_550_LBA_My_Mz_30__511" type="6" refreshedVersion="6" background="1" saveData="1">
    <textPr prompt="0" sourceFile="C:\I section (Liya)\Hot-rolled_690_My_Mz_30\Hot-rolled_690_HEA600_550_LBA_My_Mz_30__5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xr16:uid="{00000000-0015-0000-FFFF-FFFF66000000}" name="Hot-rolled_690_HEA600_700_GMNIA_My_Mz_30__64" type="6" refreshedVersion="6" background="1" saveData="1">
    <textPr prompt="0" codePage="850" sourceFile="C:\I section (Liya)\Hot-rolled_690_My_Mz_30\Hot-rolled_690_HEA600_700_GMNIA_My_Mz_30__64.txt" thousands=" " space="1" consecutive="1">
      <textFields count="4">
        <textField/>
        <textField/>
        <textField/>
        <textField/>
      </textFields>
    </textPr>
  </connection>
  <connection id="104" xr16:uid="{00000000-0015-0000-FFFF-FFFF67000000}" name="Hot-rolled_690_HEA600_700_LBA_My_Mz_30__64" type="6" refreshedVersion="6" background="1" saveData="1">
    <textPr prompt="0" sourceFile="C:\I section (Liya)\Hot-rolled_690_My_Mz_30\Hot-rolled_690_HEA600_700_LBA_My_Mz_30__6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xr16:uid="{00000000-0015-0000-FFFF-FFFF68000000}" name="Hot-rolled_690_HEA600_700_LBA_My_Mz_30__641" type="6" refreshedVersion="6" background="1" saveData="1">
    <textPr prompt="0" sourceFile="C:\I section (Liya)\Hot-rolled_690_My_Mz_30\Hot-rolled_690_HEA600_700_LBA_My_Mz_30__6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xr16:uid="{00000000-0015-0000-FFFF-FFFF69000000}" name="Hot-rolled_690_IPE120_20_GMNIA_My_Mz_30__1" type="6" refreshedVersion="6" background="1" saveData="1">
    <textPr prompt="0" codePage="850" sourceFile="C:\I section (Liya)\Hot-rolled_690_My_Mz_30\Hot-rolled_690_IPE120_20_GMNIA_My_Mz_30__1.txt" thousands=" " space="1" consecutive="1">
      <textFields count="4">
        <textField/>
        <textField/>
        <textField/>
        <textField/>
      </textFields>
    </textPr>
  </connection>
  <connection id="107" xr16:uid="{00000000-0015-0000-FFFF-FFFF6A000000}" name="Hot-rolled_690_IPE120_20_LBA_My_Mz_30__1" type="6" refreshedVersion="6" background="1" saveData="1">
    <textPr prompt="0" sourceFile="C:\I section (Liya)\Hot-rolled_690_My_Mz_30\Hot-rolled_690_IPE120_20_LBA_My_Mz_30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xr16:uid="{00000000-0015-0000-FFFF-FFFF6B000000}" name="Hot-rolled_690_IPE120_20_LBA_My_Mz_30__11" type="6" refreshedVersion="6" background="1" saveData="1">
    <textPr prompt="0" sourceFile="C:\I section (Liya)\Hot-rolled_690_My_Mz_30\Hot-rolled_690_IPE120_20_LBA_My_Mz_30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xr16:uid="{00000000-0015-0000-FFFF-FFFF6C000000}" name="Hot-rolled_690_IPE120_350_GMNIA_My_Mz_30__14" type="6" refreshedVersion="6" background="1" saveData="1">
    <textPr prompt="0" codePage="850" sourceFile="C:\I section (Liya)\Hot-rolled_690_My_Mz_30\Hot-rolled_690_IPE120_350_GMNIA_My_Mz_30__14.txt" thousands=" " space="1" consecutive="1">
      <textFields count="4">
        <textField/>
        <textField/>
        <textField/>
        <textField/>
      </textFields>
    </textPr>
  </connection>
  <connection id="110" xr16:uid="{00000000-0015-0000-FFFF-FFFF6D000000}" name="Hot-rolled_690_IPE120_350_LBA_My_Mz_30__14" type="6" refreshedVersion="6" background="1" saveData="1">
    <textPr prompt="0" sourceFile="C:\I section (Liya)\Hot-rolled_690_My_Mz_30\Hot-rolled_690_IPE120_350_LBA_My_Mz_30__1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xr16:uid="{00000000-0015-0000-FFFF-FFFF6E000000}" name="Hot-rolled_690_IPE120_350_LBA_My_Mz_30__141" type="6" refreshedVersion="6" background="1" saveData="1">
    <textPr prompt="0" sourceFile="C:\I section (Liya)\Hot-rolled_690_My_Mz_30\Hot-rolled_690_IPE120_350_LBA_My_Mz_30__1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xr16:uid="{00000000-0015-0000-FFFF-FFFF6F000000}" name="Hot-rolled_690_IPE120_450_GMNIA_My_Mz_30__27" type="6" refreshedVersion="6" background="1" saveData="1">
    <textPr prompt="0" codePage="850" sourceFile="C:\I section (Liya)\Hot-rolled_690_My_Mz_30\Hot-rolled_690_IPE120_450_GMNIA_My_Mz_30__27.txt" thousands=" " space="1" consecutive="1">
      <textFields count="4">
        <textField/>
        <textField/>
        <textField/>
        <textField/>
      </textFields>
    </textPr>
  </connection>
  <connection id="113" xr16:uid="{00000000-0015-0000-FFFF-FFFF70000000}" name="Hot-rolled_690_IPE120_450_LBA_My_Mz_30__27" type="6" refreshedVersion="6" background="1" saveData="1">
    <textPr prompt="0" sourceFile="C:\I section (Liya)\Hot-rolled_690_My_Mz_30\Hot-rolled_690_IPE120_450_LBA_My_Mz_30__2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xr16:uid="{00000000-0015-0000-FFFF-FFFF71000000}" name="Hot-rolled_690_IPE120_450_LBA_My_Mz_30__271" type="6" refreshedVersion="6" background="1" saveData="1">
    <textPr prompt="0" sourceFile="C:\I section (Liya)\Hot-rolled_690_My_Mz_30\Hot-rolled_690_IPE120_450_LBA_My_Mz_30__2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xr16:uid="{00000000-0015-0000-FFFF-FFFF72000000}" name="Hot-rolled_690_IPE120_550_GMNIA_My_Mz_30__40" type="6" refreshedVersion="6" background="1" saveData="1">
    <textPr prompt="0" codePage="850" sourceFile="C:\I section (Liya)\Hot-rolled_690_My_Mz_30\Hot-rolled_690_IPE120_550_GMNIA_My_Mz_30__40.txt" thousands=" " space="1" consecutive="1">
      <textFields count="4">
        <textField/>
        <textField/>
        <textField/>
        <textField/>
      </textFields>
    </textPr>
  </connection>
  <connection id="116" xr16:uid="{00000000-0015-0000-FFFF-FFFF73000000}" name="Hot-rolled_690_IPE120_550_LBA_My_Mz_30__40" type="6" refreshedVersion="6" background="1" saveData="1">
    <textPr prompt="0" sourceFile="C:\I section (Liya)\Hot-rolled_690_My_Mz_30\Hot-rolled_690_IPE120_550_LBA_My_Mz_30__4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xr16:uid="{00000000-0015-0000-FFFF-FFFF74000000}" name="Hot-rolled_690_IPE120_550_LBA_My_Mz_30__401" type="6" refreshedVersion="6" background="1" saveData="1">
    <textPr prompt="0" sourceFile="C:\I section (Liya)\Hot-rolled_690_My_Mz_30\Hot-rolled_690_IPE120_550_LBA_My_Mz_30__4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xr16:uid="{00000000-0015-0000-FFFF-FFFF75000000}" name="Hot-rolled_690_IPE120_700_GMNIA_My_Mz_30__53" type="6" refreshedVersion="6" background="1" saveData="1">
    <textPr prompt="0" codePage="850" sourceFile="C:\I section (Liya)\Hot-rolled_690_My_Mz_30\Hot-rolled_690_IPE120_700_GMNIA_My_Mz_30__53.txt" thousands=" " space="1" consecutive="1">
      <textFields count="4">
        <textField/>
        <textField/>
        <textField/>
        <textField/>
      </textFields>
    </textPr>
  </connection>
  <connection id="119" xr16:uid="{00000000-0015-0000-FFFF-FFFF76000000}" name="Hot-rolled_690_IPE120_700_LBA_My_Mz_30__53" type="6" refreshedVersion="6" background="1" saveData="1">
    <textPr prompt="0" sourceFile="C:\I section (Liya)\Hot-rolled_690_My_Mz_30\Hot-rolled_690_IPE120_700_LBA_My_Mz_30__5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xr16:uid="{00000000-0015-0000-FFFF-FFFF77000000}" name="Hot-rolled_690_IPE120_700_LBA_My_Mz_30__531" type="6" refreshedVersion="6" background="1" saveData="1">
    <textPr prompt="0" sourceFile="C:\I section (Liya)\Hot-rolled_690_My_Mz_30\Hot-rolled_690_IPE120_700_LBA_My_Mz_30__5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xr16:uid="{00000000-0015-0000-FFFF-FFFF78000000}" name="Hot-rolled_690_IPE220_20_GMNIA_My_Mz_30__2" type="6" refreshedVersion="6" background="1" saveData="1">
    <textPr prompt="0" codePage="850" sourceFile="C:\I section (Liya)\Hot-rolled_690_My_Mz_30\Hot-rolled_690_IPE220_20_GMNIA_My_Mz_30__2.txt" thousands=" " space="1" consecutive="1">
      <textFields count="4">
        <textField/>
        <textField/>
        <textField/>
        <textField/>
      </textFields>
    </textPr>
  </connection>
  <connection id="122" xr16:uid="{00000000-0015-0000-FFFF-FFFF79000000}" name="Hot-rolled_690_IPE220_20_LBA_My_Mz_30__2" type="6" refreshedVersion="6" background="1" saveData="1">
    <textPr prompt="0" sourceFile="C:\I section (Liya)\Hot-rolled_690_My_Mz_30\Hot-rolled_690_IPE220_20_LBA_My_Mz_30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xr16:uid="{00000000-0015-0000-FFFF-FFFF7A000000}" name="Hot-rolled_690_IPE220_20_LBA_My_Mz_30__21" type="6" refreshedVersion="6" background="1" saveData="1">
    <textPr prompt="0" sourceFile="C:\I section (Liya)\Hot-rolled_690_My_Mz_30\Hot-rolled_690_IPE220_20_LBA_My_Mz_30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xr16:uid="{00000000-0015-0000-FFFF-FFFF7B000000}" name="Hot-rolled_690_IPE220_350_GMNIA_My_Mz_30__15" type="6" refreshedVersion="6" background="1" saveData="1">
    <textPr prompt="0" codePage="850" sourceFile="C:\I section (Liya)\Hot-rolled_690_My_Mz_30\Hot-rolled_690_IPE220_350_GMNIA_My_Mz_30__15.txt" thousands=" " space="1" consecutive="1">
      <textFields count="4">
        <textField/>
        <textField/>
        <textField/>
        <textField/>
      </textFields>
    </textPr>
  </connection>
  <connection id="125" xr16:uid="{00000000-0015-0000-FFFF-FFFF7C000000}" name="Hot-rolled_690_IPE220_350_LBA_My_Mz_30__15" type="6" refreshedVersion="6" background="1" saveData="1">
    <textPr prompt="0" sourceFile="C:\I section (Liya)\Hot-rolled_690_My_Mz_30\Hot-rolled_690_IPE220_350_LBA_My_Mz_30__1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xr16:uid="{00000000-0015-0000-FFFF-FFFF7D000000}" name="Hot-rolled_690_IPE220_350_LBA_My_Mz_30__151" type="6" refreshedVersion="6" background="1" saveData="1">
    <textPr prompt="0" sourceFile="C:\I section (Liya)\Hot-rolled_690_My_Mz_30\Hot-rolled_690_IPE220_350_LBA_My_Mz_30__1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xr16:uid="{00000000-0015-0000-FFFF-FFFF7E000000}" name="Hot-rolled_690_IPE220_450_GMNIA_My_Mz_30__28" type="6" refreshedVersion="6" background="1" saveData="1">
    <textPr prompt="0" codePage="850" sourceFile="C:\I section (Liya)\Hot-rolled_690_My_Mz_30\Hot-rolled_690_IPE220_450_GMNIA_My_Mz_30__28.txt" thousands=" " space="1" consecutive="1">
      <textFields count="4">
        <textField/>
        <textField/>
        <textField/>
        <textField/>
      </textFields>
    </textPr>
  </connection>
  <connection id="128" xr16:uid="{00000000-0015-0000-FFFF-FFFF7F000000}" name="Hot-rolled_690_IPE220_450_LBA_My_Mz_30__28" type="6" refreshedVersion="6" background="1" saveData="1">
    <textPr prompt="0" sourceFile="C:\I section (Liya)\Hot-rolled_690_My_Mz_30\Hot-rolled_690_IPE220_450_LBA_My_Mz_30__2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xr16:uid="{00000000-0015-0000-FFFF-FFFF80000000}" name="Hot-rolled_690_IPE220_450_LBA_My_Mz_30__281" type="6" refreshedVersion="6" background="1" saveData="1">
    <textPr prompt="0" sourceFile="C:\I section (Liya)\Hot-rolled_690_My_Mz_30\Hot-rolled_690_IPE220_450_LBA_My_Mz_30__2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xr16:uid="{00000000-0015-0000-FFFF-FFFF81000000}" name="Hot-rolled_690_IPE220_550_GMNIA_My_Mz_30__41" type="6" refreshedVersion="6" background="1" saveData="1">
    <textPr prompt="0" codePage="850" sourceFile="C:\I section (Liya)\Hot-rolled_690_My_Mz_30\Hot-rolled_690_IPE220_550_GMNIA_My_Mz_30__41.txt" thousands=" " space="1" consecutive="1">
      <textFields count="4">
        <textField/>
        <textField/>
        <textField/>
        <textField/>
      </textFields>
    </textPr>
  </connection>
  <connection id="131" xr16:uid="{00000000-0015-0000-FFFF-FFFF82000000}" name="Hot-rolled_690_IPE220_550_LBA_My_Mz_30__41" type="6" refreshedVersion="6" background="1" saveData="1">
    <textPr prompt="0" sourceFile="C:\I section (Liya)\Hot-rolled_690_My_Mz_30\Hot-rolled_690_IPE220_550_LBA_My_Mz_30__4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xr16:uid="{00000000-0015-0000-FFFF-FFFF83000000}" name="Hot-rolled_690_IPE220_550_LBA_My_Mz_30__411" type="6" refreshedVersion="6" background="1" saveData="1">
    <textPr prompt="0" sourceFile="C:\I section (Liya)\Hot-rolled_690_My_Mz_30\Hot-rolled_690_IPE220_550_LBA_My_Mz_30__4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xr16:uid="{00000000-0015-0000-FFFF-FFFF84000000}" name="Hot-rolled_690_IPE220_700_GMNIA_My_Mz_30__54" type="6" refreshedVersion="6" background="1" saveData="1">
    <textPr prompt="0" codePage="850" sourceFile="C:\I section (Liya)\Hot-rolled_690_My_Mz_30\Hot-rolled_690_IPE220_700_GMNIA_My_Mz_30__54.txt" thousands=" " space="1" consecutive="1">
      <textFields count="4">
        <textField/>
        <textField/>
        <textField/>
        <textField/>
      </textFields>
    </textPr>
  </connection>
  <connection id="134" xr16:uid="{00000000-0015-0000-FFFF-FFFF85000000}" name="Hot-rolled_690_IPE220_700_LBA_My_Mz_30__54" type="6" refreshedVersion="6" background="1" saveData="1">
    <textPr prompt="0" sourceFile="C:\I section (Liya)\Hot-rolled_690_My_Mz_30\Hot-rolled_690_IPE220_700_LBA_My_Mz_30__5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xr16:uid="{00000000-0015-0000-FFFF-FFFF86000000}" name="Hot-rolled_690_IPE220_700_LBA_My_Mz_30__541" type="6" refreshedVersion="6" background="1" saveData="1">
    <textPr prompt="0" sourceFile="C:\I section (Liya)\Hot-rolled_690_My_Mz_30\Hot-rolled_690_IPE220_700_LBA_My_Mz_30__5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xr16:uid="{00000000-0015-0000-FFFF-FFFF87000000}" name="Hot-rolled_690_IPE270_20_GMNIA_My_Mz_30__3" type="6" refreshedVersion="6" background="1" saveData="1">
    <textPr prompt="0" codePage="850" sourceFile="C:\I section (Liya)\Hot-rolled_690_My_Mz_30\Hot-rolled_690_IPE270_20_GMNIA_My_Mz_30__3.txt" thousands=" " space="1" consecutive="1">
      <textFields count="4">
        <textField/>
        <textField/>
        <textField/>
        <textField/>
      </textFields>
    </textPr>
  </connection>
  <connection id="137" xr16:uid="{00000000-0015-0000-FFFF-FFFF88000000}" name="Hot-rolled_690_IPE270_20_LBA_My_Mz_30__3" type="6" refreshedVersion="6" background="1" saveData="1">
    <textPr prompt="0" sourceFile="C:\I section (Liya)\Hot-rolled_690_My_Mz_30\Hot-rolled_690_IPE270_20_LBA_My_Mz_30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xr16:uid="{00000000-0015-0000-FFFF-FFFF89000000}" name="Hot-rolled_690_IPE270_20_LBA_My_Mz_30__31" type="6" refreshedVersion="6" background="1" saveData="1">
    <textPr prompt="0" sourceFile="C:\I section (Liya)\Hot-rolled_690_My_Mz_30\Hot-rolled_690_IPE270_20_LBA_My_Mz_30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xr16:uid="{00000000-0015-0000-FFFF-FFFF8A000000}" name="Hot-rolled_690_IPE270_350_GMNIA_My_Mz_30__16" type="6" refreshedVersion="6" background="1" saveData="1">
    <textPr prompt="0" codePage="850" sourceFile="C:\I section (Liya)\Hot-rolled_690_My_Mz_30\Hot-rolled_690_IPE270_350_GMNIA_My_Mz_30__16.txt" thousands=" " space="1" consecutive="1">
      <textFields count="4">
        <textField/>
        <textField/>
        <textField/>
        <textField/>
      </textFields>
    </textPr>
  </connection>
  <connection id="140" xr16:uid="{00000000-0015-0000-FFFF-FFFF8B000000}" name="Hot-rolled_690_IPE270_350_LBA_My_Mz_30__16" type="6" refreshedVersion="6" background="1" saveData="1">
    <textPr prompt="0" sourceFile="C:\I section (Liya)\Hot-rolled_690_My_Mz_30\Hot-rolled_690_IPE270_350_LBA_My_Mz_30__1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xr16:uid="{00000000-0015-0000-FFFF-FFFF8C000000}" name="Hot-rolled_690_IPE270_350_LBA_My_Mz_30__161" type="6" refreshedVersion="6" background="1" saveData="1">
    <textPr prompt="0" sourceFile="C:\I section (Liya)\Hot-rolled_690_My_Mz_30\Hot-rolled_690_IPE270_350_LBA_My_Mz_30__1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xr16:uid="{00000000-0015-0000-FFFF-FFFF8D000000}" name="Hot-rolled_690_IPE270_450_GMNIA_My_Mz_30__29" type="6" refreshedVersion="6" background="1" saveData="1">
    <textPr prompt="0" codePage="850" sourceFile="C:\I section (Liya)\Hot-rolled_690_My_Mz_30\Hot-rolled_690_IPE270_450_GMNIA_My_Mz_30__29.txt" thousands=" " space="1" consecutive="1">
      <textFields count="4">
        <textField/>
        <textField/>
        <textField/>
        <textField/>
      </textFields>
    </textPr>
  </connection>
  <connection id="143" xr16:uid="{00000000-0015-0000-FFFF-FFFF8E000000}" name="Hot-rolled_690_IPE270_450_LBA_My_Mz_30__29" type="6" refreshedVersion="6" background="1" saveData="1">
    <textPr prompt="0" sourceFile="C:\I section (Liya)\Hot-rolled_690_My_Mz_30\Hot-rolled_690_IPE270_450_LBA_My_Mz_30__2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xr16:uid="{00000000-0015-0000-FFFF-FFFF8F000000}" name="Hot-rolled_690_IPE270_450_LBA_My_Mz_30__291" type="6" refreshedVersion="6" background="1" saveData="1">
    <textPr prompt="0" sourceFile="C:\I section (Liya)\Hot-rolled_690_My_Mz_30\Hot-rolled_690_IPE270_450_LBA_My_Mz_30__2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xr16:uid="{00000000-0015-0000-FFFF-FFFF90000000}" name="Hot-rolled_690_IPE270_550_GMNIA_My_Mz_30__42" type="6" refreshedVersion="6" background="1" saveData="1">
    <textPr prompt="0" codePage="850" sourceFile="C:\I section (Liya)\Hot-rolled_690_My_Mz_30\Hot-rolled_690_IPE270_550_GMNIA_My_Mz_30__42.txt" thousands=" " space="1" consecutive="1">
      <textFields count="4">
        <textField/>
        <textField/>
        <textField/>
        <textField/>
      </textFields>
    </textPr>
  </connection>
  <connection id="146" xr16:uid="{00000000-0015-0000-FFFF-FFFF91000000}" name="Hot-rolled_690_IPE270_550_LBA_My_Mz_30__42" type="6" refreshedVersion="6" background="1" saveData="1">
    <textPr prompt="0" sourceFile="C:\I section (Liya)\Hot-rolled_690_My_Mz_30\Hot-rolled_690_IPE270_550_LBA_My_Mz_30__4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xr16:uid="{00000000-0015-0000-FFFF-FFFF92000000}" name="Hot-rolled_690_IPE270_550_LBA_My_Mz_30__421" type="6" refreshedVersion="6" background="1" saveData="1">
    <textPr prompt="0" sourceFile="C:\I section (Liya)\Hot-rolled_690_My_Mz_30\Hot-rolled_690_IPE270_550_LBA_My_Mz_30__4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xr16:uid="{00000000-0015-0000-FFFF-FFFF93000000}" name="Hot-rolled_690_IPE270_700_GMNIA_My_Mz_30__55" type="6" refreshedVersion="6" background="1" saveData="1">
    <textPr prompt="0" codePage="850" sourceFile="C:\I section (Liya)\Hot-rolled_690_My_Mz_30\Hot-rolled_690_IPE270_700_GMNIA_My_Mz_30__55.txt" thousands=" " space="1" consecutive="1">
      <textFields count="4">
        <textField/>
        <textField/>
        <textField/>
        <textField/>
      </textFields>
    </textPr>
  </connection>
  <connection id="149" xr16:uid="{00000000-0015-0000-FFFF-FFFF94000000}" name="Hot-rolled_690_IPE270_700_LBA_My_Mz_30__55" type="6" refreshedVersion="6" background="1" saveData="1">
    <textPr prompt="0" sourceFile="C:\I section (Liya)\Hot-rolled_690_My_Mz_30\Hot-rolled_690_IPE270_700_LBA_My_Mz_30__5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xr16:uid="{00000000-0015-0000-FFFF-FFFF95000000}" name="Hot-rolled_690_IPE270_700_LBA_My_Mz_30__551" type="6" refreshedVersion="6" background="1" saveData="1">
    <textPr prompt="0" sourceFile="C:\I section (Liya)\Hot-rolled_690_My_Mz_30\Hot-rolled_690_IPE270_700_LBA_My_Mz_30__5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xr16:uid="{00000000-0015-0000-FFFF-FFFF96000000}" name="Hot-rolled_690_IPE360_20_GMNIA_My_Mz_30__4" type="6" refreshedVersion="6" background="1" saveData="1">
    <textPr prompt="0" codePage="850" sourceFile="C:\I section (Liya)\Hot-rolled_690_My_Mz_30\Hot-rolled_690_IPE360_20_GMNIA_My_Mz_30__4.txt" thousands=" " space="1" consecutive="1">
      <textFields count="4">
        <textField/>
        <textField/>
        <textField/>
        <textField/>
      </textFields>
    </textPr>
  </connection>
  <connection id="152" xr16:uid="{00000000-0015-0000-FFFF-FFFF97000000}" name="Hot-rolled_690_IPE360_20_LBA_My_Mz_30__4" type="6" refreshedVersion="6" background="1" saveData="1">
    <textPr prompt="0" sourceFile="C:\I section (Liya)\Hot-rolled_690_My_Mz_30\Hot-rolled_690_IPE360_20_LBA_My_Mz_30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xr16:uid="{00000000-0015-0000-FFFF-FFFF98000000}" name="Hot-rolled_690_IPE360_20_LBA_My_Mz_30__41" type="6" refreshedVersion="6" background="1" saveData="1">
    <textPr prompt="0" sourceFile="C:\I section (Liya)\Hot-rolled_690_My_Mz_30\Hot-rolled_690_IPE360_20_LBA_My_Mz_30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xr16:uid="{00000000-0015-0000-FFFF-FFFF99000000}" name="Hot-rolled_690_IPE360_350_GMNIA_My_Mz_30__17" type="6" refreshedVersion="6" background="1" saveData="1">
    <textPr prompt="0" codePage="850" sourceFile="C:\I section (Liya)\Hot-rolled_690_My_Mz_30\Hot-rolled_690_IPE360_350_GMNIA_My_Mz_30__17.txt" thousands=" " space="1" consecutive="1">
      <textFields count="4">
        <textField/>
        <textField/>
        <textField/>
        <textField/>
      </textFields>
    </textPr>
  </connection>
  <connection id="155" xr16:uid="{00000000-0015-0000-FFFF-FFFF9A000000}" name="Hot-rolled_690_IPE360_350_LBA_My_Mz_30__17" type="6" refreshedVersion="6" background="1" saveData="1">
    <textPr prompt="0" sourceFile="C:\I section (Liya)\Hot-rolled_690_My_Mz_30\Hot-rolled_690_IPE360_350_LBA_My_Mz_30__1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xr16:uid="{00000000-0015-0000-FFFF-FFFF9B000000}" name="Hot-rolled_690_IPE360_350_LBA_My_Mz_30__171" type="6" refreshedVersion="6" background="1" saveData="1">
    <textPr prompt="0" sourceFile="C:\I section (Liya)\Hot-rolled_690_My_Mz_30\Hot-rolled_690_IPE360_350_LBA_My_Mz_30__1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xr16:uid="{00000000-0015-0000-FFFF-FFFF9C000000}" name="Hot-rolled_690_IPE360_450_GMNIA_My_Mz_30__30" type="6" refreshedVersion="6" background="1" saveData="1">
    <textPr prompt="0" codePage="850" sourceFile="C:\I section (Liya)\Hot-rolled_690_My_Mz_30\Hot-rolled_690_IPE360_450_GMNIA_My_Mz_30__30.txt" thousands=" " space="1" consecutive="1">
      <textFields count="4">
        <textField/>
        <textField/>
        <textField/>
        <textField/>
      </textFields>
    </textPr>
  </connection>
  <connection id="158" xr16:uid="{00000000-0015-0000-FFFF-FFFF9D000000}" name="Hot-rolled_690_IPE360_450_LBA_My_Mz_30__30" type="6" refreshedVersion="6" background="1" saveData="1">
    <textPr prompt="0" sourceFile="C:\I section (Liya)\Hot-rolled_690_My_Mz_30\Hot-rolled_690_IPE360_450_LBA_My_Mz_30__3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xr16:uid="{00000000-0015-0000-FFFF-FFFF9E000000}" name="Hot-rolled_690_IPE360_450_LBA_My_Mz_30__301" type="6" refreshedVersion="6" background="1" saveData="1">
    <textPr prompt="0" sourceFile="C:\I section (Liya)\Hot-rolled_690_My_Mz_30\Hot-rolled_690_IPE360_450_LBA_My_Mz_30__3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xr16:uid="{00000000-0015-0000-FFFF-FFFF9F000000}" name="Hot-rolled_690_IPE360_550_GMNIA_My_Mz_30__43" type="6" refreshedVersion="6" background="1" saveData="1">
    <textPr prompt="0" codePage="850" sourceFile="C:\I section (Liya)\Hot-rolled_690_My_Mz_30\Hot-rolled_690_IPE360_550_GMNIA_My_Mz_30__43.txt" thousands=" " space="1" consecutive="1">
      <textFields count="4">
        <textField/>
        <textField/>
        <textField/>
        <textField/>
      </textFields>
    </textPr>
  </connection>
  <connection id="161" xr16:uid="{00000000-0015-0000-FFFF-FFFFA0000000}" name="Hot-rolled_690_IPE360_550_LBA_My_Mz_30__43" type="6" refreshedVersion="6" background="1" saveData="1">
    <textPr prompt="0" sourceFile="C:\I section (Liya)\Hot-rolled_690_My_Mz_30\Hot-rolled_690_IPE360_550_LBA_My_Mz_30__4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xr16:uid="{00000000-0015-0000-FFFF-FFFFA1000000}" name="Hot-rolled_690_IPE360_550_LBA_My_Mz_30__431" type="6" refreshedVersion="6" background="1" saveData="1">
    <textPr prompt="0" sourceFile="C:\I section (Liya)\Hot-rolled_690_My_Mz_30\Hot-rolled_690_IPE360_550_LBA_My_Mz_30__4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xr16:uid="{00000000-0015-0000-FFFF-FFFFA2000000}" name="Hot-rolled_690_IPE360_700_GMNIA_My_Mz_30__56" type="6" refreshedVersion="6" background="1" saveData="1">
    <textPr prompt="0" codePage="850" sourceFile="C:\I section (Liya)\Hot-rolled_690_My_Mz_30\Hot-rolled_690_IPE360_700_GMNIA_My_Mz_30__56.txt" thousands=" " space="1" consecutive="1">
      <textFields count="4">
        <textField/>
        <textField/>
        <textField/>
        <textField/>
      </textFields>
    </textPr>
  </connection>
  <connection id="164" xr16:uid="{00000000-0015-0000-FFFF-FFFFA3000000}" name="Hot-rolled_690_IPE360_700_LBA_My_Mz_30__56" type="6" refreshedVersion="6" background="1" saveData="1">
    <textPr prompt="0" sourceFile="C:\I section (Liya)\Hot-rolled_690_My_Mz_30\Hot-rolled_690_IPE360_700_LBA_My_Mz_30__5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xr16:uid="{00000000-0015-0000-FFFF-FFFFA4000000}" name="Hot-rolled_690_IPE360_700_LBA_My_Mz_30__561" type="6" refreshedVersion="6" background="1" saveData="1">
    <textPr prompt="0" sourceFile="C:\I section (Liya)\Hot-rolled_690_My_Mz_30\Hot-rolled_690_IPE360_700_LBA_My_Mz_30__5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xr16:uid="{00000000-0015-0000-FFFF-FFFFA5000000}" name="Hot-rolled_690_IPE400_20_GMNIA_My_Mz_30__5" type="6" refreshedVersion="6" background="1" saveData="1">
    <textPr prompt="0" codePage="850" sourceFile="C:\I section (Liya)\Hot-rolled_690_My_Mz_30\Hot-rolled_690_IPE400_20_GMNIA_My_Mz_30__5.txt" thousands=" " space="1" consecutive="1">
      <textFields count="4">
        <textField/>
        <textField/>
        <textField/>
        <textField/>
      </textFields>
    </textPr>
  </connection>
  <connection id="167" xr16:uid="{00000000-0015-0000-FFFF-FFFFA6000000}" name="Hot-rolled_690_IPE400_20_LBA_My_Mz_30__5" type="6" refreshedVersion="6" background="1" saveData="1">
    <textPr prompt="0" sourceFile="C:\I section (Liya)\Hot-rolled_690_My_Mz_30\Hot-rolled_690_IPE400_20_LBA_My_Mz_30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xr16:uid="{00000000-0015-0000-FFFF-FFFFA7000000}" name="Hot-rolled_690_IPE400_20_LBA_My_Mz_30__51" type="6" refreshedVersion="6" background="1" saveData="1">
    <textPr prompt="0" sourceFile="C:\I section (Liya)\Hot-rolled_690_My_Mz_30\Hot-rolled_690_IPE400_20_LBA_My_Mz_30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xr16:uid="{00000000-0015-0000-FFFF-FFFFA8000000}" name="Hot-rolled_690_IPE400_350_GMNIA_My_Mz_30__18" type="6" refreshedVersion="6" background="1" saveData="1">
    <textPr prompt="0" codePage="850" sourceFile="C:\I section (Liya)\Hot-rolled_690_My_Mz_30\Hot-rolled_690_IPE400_350_GMNIA_My_Mz_30__18.txt" thousands=" " space="1" consecutive="1">
      <textFields count="4">
        <textField/>
        <textField/>
        <textField/>
        <textField/>
      </textFields>
    </textPr>
  </connection>
  <connection id="170" xr16:uid="{00000000-0015-0000-FFFF-FFFFA9000000}" name="Hot-rolled_690_IPE400_350_LBA_My_Mz_30__18" type="6" refreshedVersion="6" background="1" saveData="1">
    <textPr prompt="0" sourceFile="C:\I section (Liya)\Hot-rolled_690_My_Mz_30\Hot-rolled_690_IPE400_350_LBA_My_Mz_30__1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xr16:uid="{00000000-0015-0000-FFFF-FFFFAA000000}" name="Hot-rolled_690_IPE400_350_LBA_My_Mz_30__181" type="6" refreshedVersion="6" background="1" saveData="1">
    <textPr prompt="0" sourceFile="C:\I section (Liya)\Hot-rolled_690_My_Mz_30\Hot-rolled_690_IPE400_350_LBA_My_Mz_30__1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xr16:uid="{00000000-0015-0000-FFFF-FFFFAB000000}" name="Hot-rolled_690_IPE400_450_GMNIA_My_Mz_30__31" type="6" refreshedVersion="6" background="1" saveData="1">
    <textPr prompt="0" codePage="850" sourceFile="C:\I section (Liya)\Hot-rolled_690_My_Mz_30\Hot-rolled_690_IPE400_450_GMNIA_My_Mz_30__31.txt" thousands=" " space="1" consecutive="1">
      <textFields count="4">
        <textField/>
        <textField/>
        <textField/>
        <textField/>
      </textFields>
    </textPr>
  </connection>
  <connection id="173" xr16:uid="{00000000-0015-0000-FFFF-FFFFAC000000}" name="Hot-rolled_690_IPE400_450_LBA_My_Mz_30__31" type="6" refreshedVersion="6" background="1" saveData="1">
    <textPr prompt="0" sourceFile="C:\I section (Liya)\Hot-rolled_690_My_Mz_30\Hot-rolled_690_IPE400_450_LBA_My_Mz_30__3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xr16:uid="{00000000-0015-0000-FFFF-FFFFAD000000}" name="Hot-rolled_690_IPE400_450_LBA_My_Mz_30__311" type="6" refreshedVersion="6" background="1" saveData="1">
    <textPr prompt="0" sourceFile="C:\I section (Liya)\Hot-rolled_690_My_Mz_30\Hot-rolled_690_IPE400_450_LBA_My_Mz_30__3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xr16:uid="{00000000-0015-0000-FFFF-FFFFAE000000}" name="Hot-rolled_690_IPE400_550_GMNIA_My_Mz_30__44" type="6" refreshedVersion="6" background="1" saveData="1">
    <textPr prompt="0" codePage="850" sourceFile="C:\I section (Liya)\Hot-rolled_690_My_Mz_30\Hot-rolled_690_IPE400_550_GMNIA_My_Mz_30__44.txt" thousands=" " space="1" consecutive="1">
      <textFields count="4">
        <textField/>
        <textField/>
        <textField/>
        <textField/>
      </textFields>
    </textPr>
  </connection>
  <connection id="176" xr16:uid="{00000000-0015-0000-FFFF-FFFFAF000000}" name="Hot-rolled_690_IPE400_550_LBA_My_Mz_30__44" type="6" refreshedVersion="6" background="1" saveData="1">
    <textPr prompt="0" sourceFile="C:\I section (Liya)\Hot-rolled_690_My_Mz_30\Hot-rolled_690_IPE400_550_LBA_My_Mz_30__4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xr16:uid="{00000000-0015-0000-FFFF-FFFFB0000000}" name="Hot-rolled_690_IPE400_550_LBA_My_Mz_30__441" type="6" refreshedVersion="6" background="1" saveData="1">
    <textPr prompt="0" sourceFile="C:\I section (Liya)\Hot-rolled_690_My_Mz_30\Hot-rolled_690_IPE400_550_LBA_My_Mz_30__4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xr16:uid="{00000000-0015-0000-FFFF-FFFFB1000000}" name="Hot-rolled_690_IPE400_700_GMNIA_My_Mz_30__57" type="6" refreshedVersion="6" background="1" saveData="1">
    <textPr prompt="0" codePage="850" sourceFile="C:\I section (Liya)\Hot-rolled_690_My_Mz_30\Hot-rolled_690_IPE400_700_GMNIA_My_Mz_30__57.txt" thousands=" " space="1" consecutive="1">
      <textFields count="4">
        <textField/>
        <textField/>
        <textField/>
        <textField/>
      </textFields>
    </textPr>
  </connection>
  <connection id="179" xr16:uid="{00000000-0015-0000-FFFF-FFFFB2000000}" name="Hot-rolled_690_IPE400_700_LBA_My_Mz_30__57" type="6" refreshedVersion="6" background="1" saveData="1">
    <textPr prompt="0" sourceFile="C:\I section (Liya)\Hot-rolled_690_My_Mz_30\Hot-rolled_690_IPE400_700_LBA_My_Mz_30__5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xr16:uid="{00000000-0015-0000-FFFF-FFFFB3000000}" name="Hot-rolled_690_IPE400_700_LBA_My_Mz_30__571" type="6" refreshedVersion="6" background="1" saveData="1">
    <textPr prompt="0" sourceFile="C:\I section (Liya)\Hot-rolled_690_My_Mz_30\Hot-rolled_690_IPE400_700_LBA_My_Mz_30__5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xr16:uid="{00000000-0015-0000-FFFF-FFFFB4000000}" name="Hot-rolled_690_IPE600_20_GMNIA_My_Mz_30__6" type="6" refreshedVersion="6" background="1" saveData="1">
    <textPr prompt="0" codePage="850" sourceFile="C:\I section (Liya)\Hot-rolled_690_My_Mz_30\Hot-rolled_690_IPE600_20_GMNIA_My_Mz_30__6.txt" thousands=" " space="1" consecutive="1">
      <textFields count="4">
        <textField/>
        <textField/>
        <textField/>
        <textField/>
      </textFields>
    </textPr>
  </connection>
  <connection id="182" xr16:uid="{00000000-0015-0000-FFFF-FFFFB5000000}" name="Hot-rolled_690_IPE600_20_LBA_My_Mz_30__6" type="6" refreshedVersion="6" background="1" saveData="1">
    <textPr prompt="0" sourceFile="C:\I section (Liya)\Hot-rolled_690_My_Mz_30\Hot-rolled_690_IPE600_20_LBA_My_Mz_30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xr16:uid="{00000000-0015-0000-FFFF-FFFFB6000000}" name="Hot-rolled_690_IPE600_20_LBA_My_Mz_30__61" type="6" refreshedVersion="6" background="1" saveData="1">
    <textPr prompt="0" sourceFile="C:\I section (Liya)\Hot-rolled_690_My_Mz_30\Hot-rolled_690_IPE600_20_LBA_My_Mz_30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xr16:uid="{00000000-0015-0000-FFFF-FFFFB7000000}" name="Hot-rolled_690_IPE600_350_GMNIA_My_Mz_30__19" type="6" refreshedVersion="6" background="1" saveData="1">
    <textPr prompt="0" codePage="850" sourceFile="C:\I section (Liya)\Hot-rolled_690_My_Mz_30\Hot-rolled_690_IPE600_350_GMNIA_My_Mz_30__19.txt" thousands=" " space="1" consecutive="1">
      <textFields count="4">
        <textField/>
        <textField/>
        <textField/>
        <textField/>
      </textFields>
    </textPr>
  </connection>
  <connection id="185" xr16:uid="{00000000-0015-0000-FFFF-FFFFB8000000}" name="Hot-rolled_690_IPE600_350_LBA_My_Mz_30__19" type="6" refreshedVersion="6" background="1" saveData="1">
    <textPr prompt="0" sourceFile="C:\I section (Liya)\Hot-rolled_690_My_Mz_30\Hot-rolled_690_IPE600_350_LBA_My_Mz_30__1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xr16:uid="{00000000-0015-0000-FFFF-FFFFB9000000}" name="Hot-rolled_690_IPE600_350_LBA_My_Mz_30__191" type="6" refreshedVersion="6" background="1" saveData="1">
    <textPr prompt="0" sourceFile="C:\I section (Liya)\Hot-rolled_690_My_Mz_30\Hot-rolled_690_IPE600_350_LBA_My_Mz_30__1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xr16:uid="{00000000-0015-0000-FFFF-FFFFBA000000}" name="Hot-rolled_690_IPE600_450_GMNIA_My_Mz_30__32" type="6" refreshedVersion="6" background="1" saveData="1">
    <textPr prompt="0" codePage="850" sourceFile="C:\I section (Liya)\Hot-rolled_690_My_Mz_30\Hot-rolled_690_IPE600_450_GMNIA_My_Mz_30__32.txt" thousands=" " space="1" consecutive="1">
      <textFields count="4">
        <textField/>
        <textField/>
        <textField/>
        <textField/>
      </textFields>
    </textPr>
  </connection>
  <connection id="188" xr16:uid="{00000000-0015-0000-FFFF-FFFFBB000000}" name="Hot-rolled_690_IPE600_450_LBA_My_Mz_30__32" type="6" refreshedVersion="6" background="1" saveData="1">
    <textPr prompt="0" sourceFile="C:\I section (Liya)\Hot-rolled_690_My_Mz_30\Hot-rolled_690_IPE600_450_LBA_My_Mz_30__3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xr16:uid="{00000000-0015-0000-FFFF-FFFFBC000000}" name="Hot-rolled_690_IPE600_450_LBA_My_Mz_30__321" type="6" refreshedVersion="6" background="1" saveData="1">
    <textPr prompt="0" sourceFile="C:\I section (Liya)\Hot-rolled_690_My_Mz_30\Hot-rolled_690_IPE600_450_LBA_My_Mz_30__3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xr16:uid="{00000000-0015-0000-FFFF-FFFFBD000000}" name="Hot-rolled_690_IPE600_550_GMNIA_My_Mz_30__45" type="6" refreshedVersion="6" background="1" saveData="1">
    <textPr prompt="0" codePage="850" sourceFile="C:\I section (Liya)\Hot-rolled_690_My_Mz_30\Hot-rolled_690_IPE600_550_GMNIA_My_Mz_30__45.txt" thousands=" " space="1" consecutive="1">
      <textFields count="4">
        <textField/>
        <textField/>
        <textField/>
        <textField/>
      </textFields>
    </textPr>
  </connection>
  <connection id="191" xr16:uid="{00000000-0015-0000-FFFF-FFFFBE000000}" name="Hot-rolled_690_IPE600_550_LBA_My_Mz_30__45" type="6" refreshedVersion="6" background="1" saveData="1">
    <textPr prompt="0" sourceFile="C:\I section (Liya)\Hot-rolled_690_My_Mz_30\Hot-rolled_690_IPE600_550_LBA_My_Mz_30__4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xr16:uid="{00000000-0015-0000-FFFF-FFFFBF000000}" name="Hot-rolled_690_IPE600_550_LBA_My_Mz_30__451" type="6" refreshedVersion="6" background="1" saveData="1">
    <textPr prompt="0" sourceFile="C:\I section (Liya)\Hot-rolled_690_My_Mz_30\Hot-rolled_690_IPE600_550_LBA_My_Mz_30__4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xr16:uid="{00000000-0015-0000-FFFF-FFFFC0000000}" name="Hot-rolled_690_IPE600_700_GMNIA_My_Mz_30__58" type="6" refreshedVersion="6" background="1" saveData="1">
    <textPr prompt="0" codePage="850" sourceFile="C:\I section (Liya)\Hot-rolled_690_My_Mz_30\Hot-rolled_690_IPE600_700_GMNIA_My_Mz_30__58.txt" thousands=" " space="1" consecutive="1">
      <textFields count="4">
        <textField/>
        <textField/>
        <textField/>
        <textField/>
      </textFields>
    </textPr>
  </connection>
  <connection id="194" xr16:uid="{00000000-0015-0000-FFFF-FFFFC1000000}" name="Hot-rolled_690_IPE600_700_LBA_My_Mz_30__58" type="6" refreshedVersion="6" background="1" saveData="1">
    <textPr prompt="0" sourceFile="C:\I section (Liya)\Hot-rolled_690_My_Mz_30\Hot-rolled_690_IPE600_700_LBA_My_Mz_30__5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xr16:uid="{00000000-0015-0000-FFFF-FFFFC2000000}" name="Hot-rolled_690_IPE600_700_LBA_My_Mz_30__581" type="6" refreshedVersion="6" background="1" saveData="1">
    <textPr prompt="0" sourceFile="C:\I section (Liya)\Hot-rolled_690_My_Mz_30\Hot-rolled_690_IPE600_700_LBA_My_Mz_30__5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xr16:uid="{0DCE2E52-EAB4-49C7-B46B-098103EDC1DD}" name="LBA_an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xr16:uid="{A23D8326-B564-4FC3-B31D-E50A0C9CE628}" name="LBA_an1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xr16:uid="{941413B1-690D-4A3E-9223-A030D340D07A}" name="LBA_an11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xr16:uid="{29102673-939A-432A-8E95-1CD83A58215A}" name="LBA_an110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xr16:uid="{193E65A6-16FB-45B9-9390-D4960DD91118}" name="LBA_an110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xr16:uid="{512474EF-CF96-419B-99F9-802462DC6F87}" name="LBA_an110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xr16:uid="{16092560-1CAB-4C93-9E0D-AFFEE6021906}" name="LBA_an110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xr16:uid="{D1E99EE7-521E-441A-9A38-FC52BFC84744}" name="LBA_an110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xr16:uid="{D50AC4C0-F11F-4A19-A3E3-26FF4A39AAF7}" name="LBA_an110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xr16:uid="{E1C116B0-0964-4926-B51B-E4CD835296CC}" name="LBA_an110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xr16:uid="{FFEDC7DD-249D-4859-A369-E7E1723C0F65}" name="LBA_an110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xr16:uid="{62AB8791-AF42-4F33-B983-2CDEB8B88274}" name="LBA_an110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xr16:uid="{ABEFAEB4-4812-4B6E-8308-78AAF83B5245}" name="LBA_an110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xr16:uid="{E63A3D3E-BBBE-425C-BA10-57AD9272A516}" name="LBA_an11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xr16:uid="{2AA6F023-C87B-44A1-85AC-2EE16DCEF443}" name="LBA_an111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xr16:uid="{1EFE783A-AD6A-402E-BB68-A80C56F20FB6}" name="LBA_an111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xr16:uid="{C7B46E9D-CF78-456D-AA0B-18FE5A1EDE2A}" name="LBA_an111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xr16:uid="{8E0D2453-19A1-4B13-A979-CEACF14D6498}" name="LBA_an111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xr16:uid="{EE20F775-2354-4AA9-A37E-8F8620892972}" name="LBA_an111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xr16:uid="{89A0343E-41B0-4C3E-B54F-FCAE8286355A}" name="LBA_an111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xr16:uid="{CD19F592-50FE-4129-A99F-292DD3E07AC2}" name="LBA_an111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xr16:uid="{8565FB40-1AA8-4B53-B0E0-196E33E57787}" name="LBA_an111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xr16:uid="{260A825E-279A-40CF-8823-346DFC2ADB74}" name="LBA_an111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xr16:uid="{8DEB63FB-4F54-4CA2-8F2A-BCD183CB08A2}" name="LBA_an111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" xr16:uid="{535C67C0-5D05-4CA1-84B8-298A74AE3697}" name="LBA_an11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" xr16:uid="{426060F2-7021-4AAD-9842-E092E00C667C}" name="LBA_an112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" xr16:uid="{E4FC7A89-0396-4312-BC1C-BD00A0E8A7A4}" name="LBA_an112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" xr16:uid="{592F5F5F-0750-4EA5-A7A1-52D05CF0E4F4}" name="LBA_an112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" xr16:uid="{26D8C69D-410A-4B3F-BF67-198FD969911C}" name="LBA_an112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" xr16:uid="{80BFC0A9-08B0-4C1B-A984-D0A2EBBCD1B0}" name="LBA_an112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" xr16:uid="{54F04F69-E0A7-4EAC-A680-ECFE76AEF716}" name="LBA_an112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" xr16:uid="{E05C32FC-8ECA-4E99-8A52-19ED4235C37F}" name="LBA_an112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" xr16:uid="{05A189BC-2988-48EB-8666-4FF6E0051C80}" name="LBA_an112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" xr16:uid="{8CD5B85D-D070-4916-A61B-AFB4E356565A}" name="LBA_an112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" xr16:uid="{ACAB10E1-1F2A-4A71-BDA5-E810DD2581DF}" name="LBA_an112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" xr16:uid="{DA1DDB06-BABD-4109-B3AF-B2393569C2BE}" name="LBA_an11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" xr16:uid="{B6045E78-C766-4829-91EF-68240B214385}" name="LBA_an113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" xr16:uid="{8EFE2090-CB6A-4679-809B-99162CDD8542}" name="LBA_an113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" xr16:uid="{91979E5A-072B-4646-A5D6-B71D423058AF}" name="LBA_an113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" xr16:uid="{87A7E586-2342-4F76-80E9-C14AA924AF8E}" name="LBA_an113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" xr16:uid="{50359466-E281-4AB8-9699-9BFDD273A253}" name="LBA_an113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" xr16:uid="{DF56E09B-4030-4D1A-95C7-7BBB698509B5}" name="LBA_an113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" xr16:uid="{7EC86A16-EA6F-4E6D-99F7-70C406C67D34}" name="LBA_an113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" xr16:uid="{9D4107FF-945D-43AF-B56E-5553A5AA8897}" name="LBA_an113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" xr16:uid="{D1B2286F-EA43-460B-9CD1-4DC4F56EA8D1}" name="LBA_an113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" xr16:uid="{09B6F060-27E2-4290-BADC-E010D9943CD2}" name="LBA_an113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" xr16:uid="{A2A86CF6-2289-4DAB-8B8C-3F0848A3A583}" name="LBA_an11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" xr16:uid="{0D2FF9D1-C9A2-4A82-B656-B591A1A77740}" name="LBA_an114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" xr16:uid="{C2CF5C4F-38EC-4D63-9003-DDEF605096C8}" name="LBA_an114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" xr16:uid="{B70FA0C5-61D8-4623-B289-D867E26EA5C9}" name="LBA_an114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" xr16:uid="{660B478B-CB12-499E-A4F4-7E7DECCE96C0}" name="LBA_an114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" xr16:uid="{D1E06226-4884-4B84-8490-F5C326335A45}" name="LBA_an114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" xr16:uid="{F2DC488A-8A1C-45DD-903D-B0D23BB803A8}" name="LBA_an114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" xr16:uid="{EDA6BF7E-E665-47A5-BBD0-E50CFFD0C0DF}" name="LBA_an114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" xr16:uid="{015BF96E-BAAE-4682-88DB-179C58F21703}" name="LBA_an114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" xr16:uid="{2E5D54E7-EB88-4BA2-BCA3-936557A2B39E}" name="LBA_an114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" xr16:uid="{4FCCA051-86C0-4B86-9FFB-92FDF65247CE}" name="LBA_an114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" xr16:uid="{F77D62A7-D9BD-4C3F-9D72-5BA8B499485B}" name="LBA_an11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" xr16:uid="{D281BE27-6309-46A6-871D-750966A8447D}" name="LBA_an115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" xr16:uid="{160DDE5F-CD92-431F-AEDB-8F04AB679264}" name="LBA_an115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" xr16:uid="{C9310B19-78E6-4030-AB5C-45EB407C81A5}" name="LBA_an115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" xr16:uid="{5348A86F-8E99-43DB-B0CF-1C633880AA21}" name="LBA_an115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" xr16:uid="{5BF58BAB-FBF3-436E-ACB9-CE2E8D5959C2}" name="LBA_an115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" xr16:uid="{E0173A83-7151-4C27-BE63-1F846308F790}" name="LBA_an115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" xr16:uid="{36C3EDCE-47A6-4C03-BAC1-D776CDB6B3CC}" name="LBA_an115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" xr16:uid="{D48493B5-EBB4-4C7A-A38F-8190C8B2B1B4}" name="LBA_an115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" xr16:uid="{FFAC7F27-2B7D-40BF-BC1A-DE9A514AA818}" name="LBA_an115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" xr16:uid="{74B557B0-0E97-4307-BDC3-52CB9EF0EC2B}" name="LBA_an115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" xr16:uid="{13269A27-072A-4BB9-B599-03B2827AC293}" name="LBA_an11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" xr16:uid="{2BE11E41-18AE-4BFA-9290-25751C660214}" name="LBA_an116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" xr16:uid="{77D9587E-55FE-4C19-AEF1-B7FC4A35387E}" name="LBA_an116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" xr16:uid="{48FD2697-EABF-4CBD-96F0-0C8687E99AD8}" name="LBA_an116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" xr16:uid="{E8EAA56B-F6D0-4A2E-B1F2-ECBCE167E59F}" name="LBA_an116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" xr16:uid="{AFAC6B52-6EB4-4AF3-BCDF-C85D06EEF644}" name="LBA_an116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" xr16:uid="{AD8DC63A-6310-4F70-B513-70AAB1E555D6}" name="LBA_an116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" xr16:uid="{EA3BF962-8185-417D-A6F3-9497B7521ED1}" name="LBA_an116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" xr16:uid="{D912AF54-5104-4F2B-9927-C989DBF6E4E3}" name="LBA_an116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" xr16:uid="{E7BAA212-6D27-4F8F-B727-2D2058E89F26}" name="LBA_an116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" xr16:uid="{656C0C2F-7D00-4E14-BB29-6C87E0A34C50}" name="LBA_an116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" xr16:uid="{7E9A5996-AD46-49B8-8E80-34E02CC4E6EB}" name="LBA_an11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" xr16:uid="{77AD1A48-AF68-43E1-A5E1-570EA236EA54}" name="LBA_an117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" xr16:uid="{280DA61B-5A57-4FE3-A7BB-43F24BB3C476}" name="LBA_an117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" xr16:uid="{475B73BC-34DB-47A2-BDF1-DD85E42A9A69}" name="LBA_an117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" xr16:uid="{998C788B-09B5-4427-B21C-2C6F3B64C0D8}" name="LBA_an117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" xr16:uid="{74259FF0-D36B-4824-9559-1DA9BCC060D3}" name="LBA_an117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" xr16:uid="{464955F5-C5A7-4A95-82FE-FAB5444EB70D}" name="LBA_an117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" xr16:uid="{D59E5236-E020-4A84-B466-40F284B1CF6C}" name="LBA_an117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" xr16:uid="{D8AB842F-ACF5-4C14-AA88-20FBEFA42537}" name="LBA_an117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" xr16:uid="{1EF92FB8-CFE6-4B7B-8947-DCD8EB7CCA8C}" name="LBA_an117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" xr16:uid="{A04AE9CD-DC39-462C-8607-B7CDF3F63D30}" name="LBA_an117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" xr16:uid="{F055A74C-66AC-4526-A215-9B83635BA977}" name="LBA_an11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" xr16:uid="{154BFB43-573F-4CD5-9338-FC5234FBE879}" name="LBA_an118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" xr16:uid="{A13C5A6C-677F-4282-B8C2-099BFC2B4EAB}" name="LBA_an118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" xr16:uid="{6115470D-BC2A-4701-8992-A6F031DD138D}" name="LBA_an118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" xr16:uid="{342EFDDB-FCD8-4F01-8030-907C0C7348B0}" name="LBA_an118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" xr16:uid="{46D56D43-CE9C-4895-B433-0ED0736BA04F}" name="LBA_an118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" xr16:uid="{C9B3C872-9198-44F8-8A6D-C7AD62587ED0}" name="LBA_an118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" xr16:uid="{525E2837-6272-4C8A-8B9B-22DF37724867}" name="LBA_an118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" xr16:uid="{03DDA221-BAD0-4E98-9B73-F4EE9EF541D7}" name="LBA_an118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" xr16:uid="{B7BEE0D8-554A-4114-9173-069DB5F4479B}" name="LBA_an118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" xr16:uid="{5A4F564B-FAB8-4720-9C11-C0FEFDDA955F}" name="LBA_an118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" xr16:uid="{9BF9EE75-CF3E-40B4-BA0D-2B477D1F008B}" name="LBA_an11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" xr16:uid="{2EB5F54A-5877-42C4-B0CE-7798379D05D4}" name="LBA_an119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" xr16:uid="{1C2CD29E-F091-40D4-87D6-23F2B7F6EF6D}" name="LBA_an119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" xr16:uid="{096C510C-38A0-4AB1-92E6-471062EA0DCB}" name="LBA_an119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" xr16:uid="{556B65A5-6697-4B2F-84F2-42763B041B80}" name="LBA_an119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" xr16:uid="{98500F24-B757-4C2D-B97B-7D1DB2F355AC}" name="LBA_an119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" xr16:uid="{C61FE8AE-1CA5-4DEE-90C5-3C44FF8D66EE}" name="LBA_an1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" xr16:uid="{FE5224D2-47A3-487F-BAFF-E45125F85C81}" name="LBA_an12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" xr16:uid="{F7B1F4D3-60D4-425A-BBA5-E51BB04D0B6C}" name="LBA_an12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" xr16:uid="{B1153F11-CD0A-4B32-9317-6B82FBA85008}" name="LBA_an12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" xr16:uid="{8C2FF698-BE23-42CF-9DA5-6440318423A4}" name="LBA_an12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" xr16:uid="{30DABE6F-E455-445A-A98A-C1048AF6C6B7}" name="LBA_an12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" xr16:uid="{1B3B2C98-B787-4CE0-A02D-E9D297D8F440}" name="LBA_an12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" xr16:uid="{7BD5BDFC-02BF-4E78-9C68-D087AE2572AF}" name="LBA_an12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" xr16:uid="{425A268C-EA64-4483-9922-C74B0C01B7C1}" name="LBA_an12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" xr16:uid="{2B0CE4B8-6F4F-45EC-B1DB-0285EEF06652}" name="LBA_an12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" xr16:uid="{F141921F-EF56-4FA5-A8EF-8B1B2A48FBF7}" name="LBA_an12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" xr16:uid="{678D133C-8B41-4766-92A3-824C91EDF035}" name="LBA_an1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" xr16:uid="{B00820EF-1745-4FB3-B1CA-A150D977E115}" name="LBA_an13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" xr16:uid="{B2513A13-D138-4C47-9FA0-280FE9F8F007}" name="LBA_an13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" xr16:uid="{9FB7E395-65CB-443A-830D-9BD4331AF3C9}" name="LBA_an13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" xr16:uid="{632A1241-988F-49E9-9A2E-1592EDC257B5}" name="LBA_an13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" xr16:uid="{D7E9AC59-BCAA-49BE-8043-9A978ECEB066}" name="LBA_an13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" xr16:uid="{26A3C3CB-B0A4-4E9A-9C26-C58C6ADA3A81}" name="LBA_an13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" xr16:uid="{C3E70512-3C7A-4C32-9DE7-5A15B2598BCE}" name="LBA_an13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" xr16:uid="{5EDDDA66-B866-4CD4-BF19-05A51C1C943D}" name="LBA_an13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" xr16:uid="{B5B1EECE-3C63-4D08-93E7-858BDE7555E1}" name="LBA_an13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" xr16:uid="{351F662A-79F7-4224-A9CB-EF1478E79C43}" name="LBA_an13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" xr16:uid="{A0EDDD7E-9A88-4C06-A797-996A811F02B1}" name="LBA_an1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" xr16:uid="{EAEF4EDA-A228-4B33-B3DA-49DD085CB225}" name="LBA_an14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" xr16:uid="{53D23EC0-837F-4C5F-A619-700939C4895A}" name="LBA_an14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" xr16:uid="{BAD8A410-B38A-4DD9-94EB-5501B5ABDA72}" name="LBA_an14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" xr16:uid="{522667F4-98FD-438F-9895-C14258ECE7C9}" name="LBA_an14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" xr16:uid="{27137E81-8A8D-410A-8376-1158FE06FE1C}" name="LBA_an14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" xr16:uid="{BE93A7F3-6EB3-43FA-A068-94288029DE85}" name="LBA_an14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" xr16:uid="{A1F01FCE-6114-4940-B827-D6386F3045B2}" name="LBA_an14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" xr16:uid="{8D7CAEC5-5DE2-41F0-B6DE-22ADA96FDB3C}" name="LBA_an14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" xr16:uid="{988E4C38-E7A1-4D78-909D-4D549A0DA337}" name="LBA_an14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" xr16:uid="{C168D200-0A72-48F6-A1A6-F0E78A9341BC}" name="LBA_an14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" xr16:uid="{8F49F2FA-7681-4459-BFC1-F575781A3C98}" name="LBA_an1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" xr16:uid="{E598B6ED-27C1-4C0A-BF9D-6576B24964A0}" name="LBA_an15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" xr16:uid="{47B229C1-C2EF-427E-8325-B3CB2C4B7C91}" name="LBA_an15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" xr16:uid="{DB32C596-454B-4C07-A57F-EB0548A0EFDA}" name="LBA_an15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" xr16:uid="{47AA7A8B-829B-42DC-8C77-A94D48829E48}" name="LBA_an15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" xr16:uid="{F470D33B-4F8F-4904-B7F5-B277F0804C8D}" name="LBA_an15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" xr16:uid="{0B7F3925-E094-40B1-A0C6-22FD696D75A4}" name="LBA_an15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" xr16:uid="{A811BFA1-31D1-4904-AD8F-D8B11617FBDD}" name="LBA_an15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" xr16:uid="{81CDB9C2-D40A-488A-9DA0-DCC92977912D}" name="LBA_an15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" xr16:uid="{FFD50ECE-5B85-4350-9687-904561F28251}" name="LBA_an15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" xr16:uid="{712D3004-E8AA-4785-89AF-5085A6E99A1B}" name="LBA_an15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" xr16:uid="{6959E84D-7EE7-466C-84E0-37712AB5F7F0}" name="LBA_an1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" xr16:uid="{41F62DFD-3E7B-4569-836D-76967F15C8AA}" name="LBA_an16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" xr16:uid="{22C3D077-C608-42B8-999C-DB127E075230}" name="LBA_an16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" xr16:uid="{14D4A614-C201-4A07-8C8F-924CA18E2D7A}" name="LBA_an16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" xr16:uid="{6EEE9FBC-3AFF-4EAD-967A-244CF99CFF11}" name="LBA_an16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" xr16:uid="{ADC7F2E5-EEC5-4CC6-A65C-E554291037EC}" name="LBA_an16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" xr16:uid="{815116D7-E239-4CD9-ABD6-546B718C1564}" name="LBA_an16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" xr16:uid="{8B5DD93C-EADA-4E60-9255-715DE227B9E0}" name="LBA_an16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" xr16:uid="{12C6B79B-8E77-4949-B191-25265987E354}" name="LBA_an16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" xr16:uid="{242A914F-438F-4AD0-98A6-C68474A299B9}" name="LBA_an16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" xr16:uid="{F530E664-DA07-4FE4-8660-377E46C9CF66}" name="LBA_an16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" xr16:uid="{92963157-A636-44DC-99AC-B133E09BEEAF}" name="LBA_an1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" xr16:uid="{AAED0D1F-8A1F-4274-BED0-020250EC71AE}" name="LBA_an17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" xr16:uid="{51F5C174-23C7-4914-949E-74FA9F04CF7E}" name="LBA_an17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" xr16:uid="{D23E4E83-3F9F-4A2B-850D-7E5EAB697020}" name="LBA_an17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" xr16:uid="{A26F525A-45A0-4DDE-A3B2-65F5C37B2923}" name="LBA_an17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" xr16:uid="{86709337-14DC-47B5-878D-2761BE08C8FB}" name="LBA_an17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" xr16:uid="{EEF54293-F00A-4B48-974F-C9FB4F041E60}" name="LBA_an17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" xr16:uid="{30DD3F8A-6758-409E-8A6A-7DA687113A88}" name="LBA_an17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" xr16:uid="{D32162BE-9489-4A89-8CBB-87BF6A16BC92}" name="LBA_an17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" xr16:uid="{7D2DADAF-C64C-4CC1-BF41-F34E43792E07}" name="LBA_an17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" xr16:uid="{7C7F52BF-A9AC-4293-9C97-40C49AB9A41C}" name="LBA_an17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" xr16:uid="{FD6F7D5D-BBA3-4A06-BE31-3013831552CC}" name="LBA_an1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" xr16:uid="{DA664312-13FD-45CE-A014-440D0F56980A}" name="LBA_an18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" xr16:uid="{64504597-F4EA-407B-9851-FB394EBB670B}" name="LBA_an18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" xr16:uid="{38C726CB-4F2A-4ED3-A378-D0C080B61DC8}" name="LBA_an18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" xr16:uid="{D933E5D9-629B-4D43-B3B7-510FB7A7337C}" name="LBA_an18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" xr16:uid="{56B82573-05CE-4580-8FAB-30B9B05A9E6E}" name="LBA_an18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" xr16:uid="{8674EAE5-3311-471F-83B0-54B5475D2A12}" name="LBA_an18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" xr16:uid="{DA4E5772-BC41-4219-8105-70CB6835F4EA}" name="LBA_an18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" xr16:uid="{537BE6FF-FB36-424F-BCBA-28192987F9F2}" name="LBA_an18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" xr16:uid="{EF3CDCD1-877D-4DBC-9B0B-7E7730A33471}" name="LBA_an18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" xr16:uid="{51CBC442-2007-47A6-93BF-045FF6B07AC3}" name="LBA_an18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" xr16:uid="{2F8D320D-B2A7-4063-9452-E0A616F04939}" name="LBA_an1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" xr16:uid="{5DD7D820-DEC7-4343-95D1-1B6CEE741708}" name="LBA_an190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" xr16:uid="{6DC9E9FD-6D40-4ADA-A202-E7E1FE293364}" name="LBA_an191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" xr16:uid="{6092B1D1-8DBB-480C-9BFA-46D8015C25A1}" name="LBA_an192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4" xr16:uid="{1DB6ED2D-9B81-4E11-A1F6-53282F2528A5}" name="LBA_an193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5" xr16:uid="{EC9B1C7D-7A7A-44F2-A269-8C7AEFD5EF85}" name="LBA_an194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6" xr16:uid="{8ADA526A-9664-4F26-805B-D8351DA91357}" name="LBA_an195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7" xr16:uid="{553C4815-656B-43E4-8FFF-2CBB5C3A1C88}" name="LBA_an196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8" xr16:uid="{55797E9E-1CCA-4AB6-9B39-02E570B1078E}" name="LBA_an197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9" xr16:uid="{B16E7B28-7E3D-4D5D-9FBF-A6376F9677A0}" name="LBA_an198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0" xr16:uid="{9D1627E4-181A-406C-8F71-40AC45BFFEFD}" name="LBA_an199" type="6" refreshedVersion="8" background="1" saveData="1">
    <textPr prompt="0" sourceFile="E:\Kokou\Files-Jeanne\simulations\LBA_an1.dat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1" xr16:uid="{00000000-0015-0000-FFFF-FFFFC3000000}" name="RS_Fy_355_IPE220_300_LBA_M__37" type="6" refreshedVersion="6" background="1" saveData="1">
    <textPr prompt="0" sourceFile="C:\I section (Liya)\RS_welded_study_Fy\RS_Fy_355_IPE220_300_LBA_M__3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2" xr16:uid="{00000000-0015-0000-FFFF-FFFFC4000000}" name="RS_Fy_355_IPE220_300_LBA_N__1" type="6" refreshedVersion="6" background="1" saveData="1">
    <textPr prompt="0" sourceFile="C:\I section (Liya)\RS_welded_study_Fy\RS_Fy_355_IPE220_300_LBA_N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3" xr16:uid="{00000000-0015-0000-FFFF-FFFFC5000000}" name="RS_Fy_355_IPE220_450_LBA_M__49" type="6" refreshedVersion="6" background="1" saveData="1">
    <textPr prompt="0" sourceFile="C:\I section (Liya)\RS_welded_study_Fy\RS_Fy_355_IPE220_450_LBA_M__4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4" xr16:uid="{00000000-0015-0000-FFFF-FFFFC6000000}" name="RS_Fy_355_IPE220_450_LBA_N__13" type="6" refreshedVersion="6" background="1" saveData="1">
    <textPr prompt="0" sourceFile="C:\I section (Liya)\RS_welded_study_Fy\RS_Fy_355_IPE220_450_LBA_N__1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5" xr16:uid="{00000000-0015-0000-FFFF-FFFFC7000000}" name="RS_Fy_355_IPE220_700_LBA_M__61" type="6" refreshedVersion="6" background="1" saveData="1">
    <textPr prompt="0" sourceFile="C:\I section (Liya)\RS_welded_study_Fy\RS_Fy_355_IPE220_700_LBA_M__6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6" xr16:uid="{00000000-0015-0000-FFFF-FFFFC8000000}" name="RS_Fy_355_IPE220_700_LBA_N__25" type="6" refreshedVersion="6" background="1" saveData="1">
    <textPr prompt="0" sourceFile="C:\I section (Liya)\RS_welded_study_Fy\RS_Fy_355_IPE220_700_LBA_N__2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7" xr16:uid="{00000000-0015-0000-FFFF-FFFFC9000000}" name="RS_Fy_355_IPE360_300_LBA_M__38" type="6" refreshedVersion="6" background="1" saveData="1">
    <textPr prompt="0" sourceFile="C:\I section (Liya)\RS_welded_study_Fy\RS_Fy_355_IPE360_300_LBA_M__3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8" xr16:uid="{00000000-0015-0000-FFFF-FFFFCA000000}" name="RS_Fy_355_IPE360_300_LBA_N__2" type="6" refreshedVersion="6" background="1" saveData="1">
    <textPr prompt="0" sourceFile="C:\I section (Liya)\RS_welded_study_Fy\RS_Fy_355_IPE360_300_LBA_N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9" xr16:uid="{00000000-0015-0000-FFFF-FFFFCB000000}" name="RS_Fy_355_IPE360_450_LBA_M__50" type="6" refreshedVersion="6" background="1" saveData="1">
    <textPr prompt="0" sourceFile="C:\I section (Liya)\RS_welded_study_Fy\RS_Fy_355_IPE360_450_LBA_M__5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0" xr16:uid="{00000000-0015-0000-FFFF-FFFFCC000000}" name="RS_Fy_355_IPE360_450_LBA_N__14" type="6" refreshedVersion="6" background="1" saveData="1">
    <textPr prompt="0" sourceFile="C:\I section (Liya)\RS_welded_study_Fy\RS_Fy_355_IPE360_450_LBA_N__1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1" xr16:uid="{00000000-0015-0000-FFFF-FFFFCD000000}" name="RS_Fy_355_IPE360_700_LBA_M__62" type="6" refreshedVersion="6" background="1" saveData="1">
    <textPr prompt="0" sourceFile="C:\I section (Liya)\RS_welded_study_Fy\RS_Fy_355_IPE360_700_LBA_M__6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2" xr16:uid="{00000000-0015-0000-FFFF-FFFFCE000000}" name="RS_Fy_355_IPE360_700_LBA_N__26" type="6" refreshedVersion="6" background="1" saveData="1">
    <textPr prompt="0" sourceFile="C:\I section (Liya)\RS_welded_study_Fy\RS_Fy_355_IPE360_700_LBA_N__2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3" xr16:uid="{00000000-0015-0000-FFFF-FFFFCF000000}" name="RS_Fy_355_IPE600_300_LBA_M__39" type="6" refreshedVersion="6" background="1" saveData="1">
    <textPr prompt="0" sourceFile="C:\I section (Liya)\RS_welded_study_Fy\RS_Fy_355_IPE600_300_LBA_M__3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4" xr16:uid="{00000000-0015-0000-FFFF-FFFFD0000000}" name="RS_Fy_355_IPE600_300_LBA_N__3" type="6" refreshedVersion="6" background="1" saveData="1">
    <textPr prompt="0" sourceFile="C:\I section (Liya)\RS_welded_study_Fy\RS_Fy_355_IPE600_300_LBA_N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5" xr16:uid="{00000000-0015-0000-FFFF-FFFFD1000000}" name="RS_Fy_355_IPE600_450_LBA_M__51" type="6" refreshedVersion="6" background="1" saveData="1">
    <textPr prompt="0" sourceFile="C:\I section (Liya)\RS_welded_study_Fy\RS_Fy_355_IPE600_450_LBA_M__5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6" xr16:uid="{00000000-0015-0000-FFFF-FFFFD2000000}" name="RS_Fy_355_IPE600_450_LBA_N__15" type="6" refreshedVersion="6" background="1" saveData="1">
    <textPr prompt="0" sourceFile="C:\I section (Liya)\RS_welded_study_Fy\RS_Fy_355_IPE600_450_LBA_N__1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7" xr16:uid="{00000000-0015-0000-FFFF-FFFFD3000000}" name="RS_Fy_355_IPE600_700_LBA_M__63" type="6" refreshedVersion="6" background="1" saveData="1">
    <textPr prompt="0" sourceFile="C:\I section (Liya)\RS_welded_study_Fy\RS_Fy_355_IPE600_700_LBA_M__6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8" xr16:uid="{00000000-0015-0000-FFFF-FFFFD4000000}" name="RS_Fy_355_IPE600_700_LBA_N__27" type="6" refreshedVersion="6" background="1" saveData="1">
    <textPr prompt="0" sourceFile="C:\I section (Liya)\RS_welded_study_Fy\RS_Fy_355_IPE600_700_LBA_N__2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9" xr16:uid="{00000000-0015-0000-FFFF-FFFFD5000000}" name="RS_Fy_355_WWF1200x302''_300_LBA_M__42" type="6" refreshedVersion="6" background="1" saveData="1">
    <textPr prompt="0" sourceFile="C:\I section (Liya)\RS_welded_study_Fy\RS_Fy_355_WWF1200x302''_300_LBA_M__4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0" xr16:uid="{00000000-0015-0000-FFFF-FFFFD6000000}" name="RS_Fy_355_WWF1200x302''_300_LBA_N__6" type="6" refreshedVersion="6" background="1" saveData="1">
    <textPr prompt="0" sourceFile="C:\I section (Liya)\RS_welded_study_Fy\RS_Fy_355_WWF1200x302''_300_LBA_N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1" xr16:uid="{00000000-0015-0000-FFFF-FFFFD7000000}" name="RS_Fy_355_WWF1200x302''_450_LBA_M__54" type="6" refreshedVersion="6" background="1" saveData="1">
    <textPr prompt="0" sourceFile="C:\I section (Liya)\RS_welded_study_Fy\RS_Fy_355_WWF1200x302''_450_LBA_M__5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2" xr16:uid="{00000000-0015-0000-FFFF-FFFFD8000000}" name="RS_Fy_355_WWF1200x302''_450_LBA_N__18" type="6" refreshedVersion="6" background="1" saveData="1">
    <textPr prompt="0" sourceFile="C:\I section (Liya)\RS_welded_study_Fy\RS_Fy_355_WWF1200x302''_450_LBA_N__1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3" xr16:uid="{00000000-0015-0000-FFFF-FFFFD9000000}" name="RS_Fy_355_WWF1200x302''_700_LBA_M__66" type="6" refreshedVersion="6" background="1" saveData="1">
    <textPr prompt="0" sourceFile="C:\I section (Liya)\RS_welded_study_Fy\RS_Fy_355_WWF1200x302''_700_LBA_M__6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4" xr16:uid="{00000000-0015-0000-FFFF-FFFFDA000000}" name="RS_Fy_355_WWF1200x302''_700_LBA_N__30" type="6" refreshedVersion="6" background="1" saveData="1">
    <textPr prompt="0" sourceFile="C:\I section (Liya)\RS_welded_study_Fy\RS_Fy_355_WWF1200x302''_700_LBA_N__3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5" xr16:uid="{00000000-0015-0000-FFFF-FFFFDB000000}" name="RS_Fy_355_WWF450x177_300_LBA_M__47" type="6" refreshedVersion="6" background="1" saveData="1">
    <textPr prompt="0" sourceFile="C:\I section (Liya)\RS_welded_study_Fy\RS_Fy_355_WWF450x177_300_LBA_M__4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6" xr16:uid="{00000000-0015-0000-FFFF-FFFFDC000000}" name="RS_Fy_355_WWF450x177_300_LBA_N__11" type="6" refreshedVersion="6" background="1" saveData="1">
    <textPr prompt="0" sourceFile="C:\I section (Liya)\RS_welded_study_Fy\RS_Fy_355_WWF450x177_300_LBA_N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7" xr16:uid="{00000000-0015-0000-FFFF-FFFFDD000000}" name="RS_Fy_355_WWF450x177_450_LBA_M__59" type="6" refreshedVersion="6" background="1" saveData="1">
    <textPr prompt="0" sourceFile="C:\I section (Liya)\RS_welded_study_Fy\RS_Fy_355_WWF450x177_450_LBA_M__5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8" xr16:uid="{00000000-0015-0000-FFFF-FFFFDE000000}" name="RS_Fy_355_WWF450x177_450_LBA_N__23" type="6" refreshedVersion="6" background="1" saveData="1">
    <textPr prompt="0" sourceFile="C:\I section (Liya)\RS_welded_study_Fy\RS_Fy_355_WWF450x177_450_LBA_N__2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9" xr16:uid="{00000000-0015-0000-FFFF-FFFFDF000000}" name="RS_Fy_355_WWF450x177_700_LBA_M__71" type="6" refreshedVersion="6" background="1" saveData="1">
    <textPr prompt="0" sourceFile="C:\I section (Liya)\RS_welded_study_Fy\RS_Fy_355_WWF450x177_700_LBA_M__7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0" xr16:uid="{00000000-0015-0000-FFFF-FFFFE0000000}" name="RS_Fy_355_WWF450x177_700_LBA_N__35" type="6" refreshedVersion="6" background="1" saveData="1">
    <textPr prompt="0" sourceFile="C:\I section (Liya)\RS_welded_study_Fy\RS_Fy_355_WWF450x177_700_LBA_N__3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1" xr16:uid="{00000000-0015-0000-FFFF-FFFFE1000000}" name="RS_Fy_355_WWF500x197''_300_LBA_M__48" type="6" refreshedVersion="6" background="1" saveData="1">
    <textPr prompt="0" sourceFile="C:\I section (Liya)\RS_welded_study_Fy\RS_Fy_355_WWF500x197''_300_LBA_M__4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2" xr16:uid="{00000000-0015-0000-FFFF-FFFFE2000000}" name="RS_Fy_355_WWF500x197''_300_LBA_N__12" type="6" refreshedVersion="6" background="1" saveData="1">
    <textPr prompt="0" sourceFile="C:\I section (Liya)\RS_welded_study_Fy\RS_Fy_355_WWF500x197''_300_LBA_N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3" xr16:uid="{00000000-0015-0000-FFFF-FFFFE3000000}" name="RS_Fy_355_WWF500x197''_450_LBA_M__60" type="6" refreshedVersion="6" background="1" saveData="1">
    <textPr prompt="0" sourceFile="C:\I section (Liya)\RS_welded_study_Fy\RS_Fy_355_WWF500x197''_450_LBA_M__6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4" xr16:uid="{00000000-0015-0000-FFFF-FFFFE4000000}" name="RS_Fy_355_WWF500x197''_450_LBA_N__24" type="6" refreshedVersion="6" background="1" saveData="1">
    <textPr prompt="0" sourceFile="C:\I section (Liya)\RS_welded_study_Fy\RS_Fy_355_WWF500x197''_450_LBA_N__2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5" xr16:uid="{00000000-0015-0000-FFFF-FFFFE5000000}" name="RS_Fy_355_WWF500x197''_700_LBA_M__72" type="6" refreshedVersion="6" background="1" saveData="1">
    <textPr prompt="0" sourceFile="C:\I section (Liya)\RS_welded_study_Fy\RS_Fy_355_WWF500x197''_700_LBA_M__7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6" xr16:uid="{00000000-0015-0000-FFFF-FFFFE6000000}" name="RS_Fy_355_WWF500x197''_700_LBA_N__36" type="6" refreshedVersion="6" background="1" saveData="1">
    <textPr prompt="0" sourceFile="C:\I section (Liya)\RS_welded_study_Fy\RS_Fy_355_WWF500x197''_700_LBA_N__3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7" xr16:uid="{00000000-0015-0000-FFFF-FFFFE7000000}" name="RS_Fy_355_WWF500x651_300_LBA_M__43" type="6" refreshedVersion="6" background="1" saveData="1">
    <textPr prompt="0" sourceFile="C:\I section (Liya)\RS_welded_study_Fy\RS_Fy_355_WWF500x651_300_LBA_M__4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8" xr16:uid="{00000000-0015-0000-FFFF-FFFFE8000000}" name="RS_Fy_355_WWF500x651_300_LBA_N__7" type="6" refreshedVersion="6" background="1" saveData="1">
    <textPr prompt="0" sourceFile="C:\I section (Liya)\RS_welded_study_Fy\RS_Fy_355_WWF500x651_300_LBA_N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9" xr16:uid="{00000000-0015-0000-FFFF-FFFFE9000000}" name="RS_Fy_355_WWF500x651_450_LBA_M__55" type="6" refreshedVersion="6" background="1" saveData="1">
    <textPr prompt="0" sourceFile="C:\I section (Liya)\RS_welded_study_Fy\RS_Fy_355_WWF500x651_450_LBA_M__5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0" xr16:uid="{00000000-0015-0000-FFFF-FFFFEA000000}" name="RS_Fy_355_WWF500x651_450_LBA_N__19" type="6" refreshedVersion="6" background="1" saveData="1">
    <textPr prompt="0" sourceFile="C:\I section (Liya)\RS_welded_study_Fy\RS_Fy_355_WWF500x651_450_LBA_N__1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1" xr16:uid="{00000000-0015-0000-FFFF-FFFFEB000000}" name="RS_Fy_355_WWF500x651_700_LBA_M__67" type="6" refreshedVersion="6" background="1" saveData="1">
    <textPr prompt="0" sourceFile="C:\I section (Liya)\RS_welded_study_Fy\RS_Fy_355_WWF500x651_700_LBA_M__6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2" xr16:uid="{00000000-0015-0000-FFFF-FFFFEC000000}" name="RS_Fy_355_WWF500x651_700_LBA_N__31" type="6" refreshedVersion="6" background="1" saveData="1">
    <textPr prompt="0" sourceFile="C:\I section (Liya)\RS_welded_study_Fy\RS_Fy_355_WWF500x651_700_LBA_N__3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3" xr16:uid="{00000000-0015-0000-FFFF-FFFFED000000}" name="RS_Fy_355_WWF550x503_300_LBA_M__44" type="6" refreshedVersion="6" background="1" saveData="1">
    <textPr prompt="0" sourceFile="C:\I section (Liya)\RS_welded_study_Fy\RS_Fy_355_WWF550x503_300_LBA_M__4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4" xr16:uid="{00000000-0015-0000-FFFF-FFFFEE000000}" name="RS_Fy_355_WWF550x503_300_LBA_N__8" type="6" refreshedVersion="6" background="1" saveData="1">
    <textPr prompt="0" sourceFile="C:\I section (Liya)\RS_welded_study_Fy\RS_Fy_355_WWF550x503_300_LBA_N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5" xr16:uid="{00000000-0015-0000-FFFF-FFFFEF000000}" name="RS_Fy_355_WWF550x503_450_LBA_M__56" type="6" refreshedVersion="6" background="1" saveData="1">
    <textPr prompt="0" sourceFile="C:\I section (Liya)\RS_welded_study_Fy\RS_Fy_355_WWF550x503_450_LBA_M__5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6" xr16:uid="{00000000-0015-0000-FFFF-FFFFF0000000}" name="RS_Fy_355_WWF550x503_450_LBA_N__20" type="6" refreshedVersion="6" background="1" saveData="1">
    <textPr prompt="0" sourceFile="C:\I section (Liya)\RS_welded_study_Fy\RS_Fy_355_WWF550x503_450_LBA_N__2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7" xr16:uid="{00000000-0015-0000-FFFF-FFFFF1000000}" name="RS_Fy_355_WWF550x503_700_LBA_M__68" type="6" refreshedVersion="6" background="1" saveData="1">
    <textPr prompt="0" sourceFile="C:\I section (Liya)\RS_welded_study_Fy\RS_Fy_355_WWF550x503_700_LBA_M__6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8" xr16:uid="{00000000-0015-0000-FFFF-FFFFF2000000}" name="RS_Fy_355_WWF550x503_700_LBA_N__32" type="6" refreshedVersion="6" background="1" saveData="1">
    <textPr prompt="0" sourceFile="C:\I section (Liya)\RS_welded_study_Fy\RS_Fy_355_WWF550x503_700_LBA_N__3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9" xr16:uid="{00000000-0015-0000-FFFF-FFFFF3000000}" name="RS_Fy_355_WWF600x369_300_LBA_M__46" type="6" refreshedVersion="6" background="1" saveData="1">
    <textPr prompt="0" sourceFile="C:\I section (Liya)\RS_welded_study_Fy\RS_Fy_355_WWF600x369_300_LBA_M__4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0" xr16:uid="{00000000-0015-0000-FFFF-FFFFF4000000}" name="RS_Fy_355_WWF600x369_300_LBA_N__10" type="6" refreshedVersion="6" background="1" saveData="1">
    <textPr prompt="0" sourceFile="C:\I section (Liya)\RS_welded_study_Fy\RS_Fy_355_WWF600x369_300_LBA_N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1" xr16:uid="{00000000-0015-0000-FFFF-FFFFF5000000}" name="RS_Fy_355_WWF600x369_450_LBA_M__58" type="6" refreshedVersion="6" background="1" saveData="1">
    <textPr prompt="0" sourceFile="C:\I section (Liya)\RS_welded_study_Fy\RS_Fy_355_WWF600x369_450_LBA_M__5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2" xr16:uid="{00000000-0015-0000-FFFF-FFFFF6000000}" name="RS_Fy_355_WWF600x369_450_LBA_N__22" type="6" refreshedVersion="6" background="1" saveData="1">
    <textPr prompt="0" sourceFile="C:\I section (Liya)\RS_welded_study_Fy\RS_Fy_355_WWF600x369_450_LBA_N__2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3" xr16:uid="{00000000-0015-0000-FFFF-FFFFF7000000}" name="RS_Fy_355_WWF600x369_700_LBA_M__70" type="6" refreshedVersion="6" background="1" saveData="1">
    <textPr prompt="0" sourceFile="C:\I section (Liya)\RS_welded_study_Fy\RS_Fy_355_WWF600x369_700_LBA_M__7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4" xr16:uid="{00000000-0015-0000-FFFF-FFFFF8000000}" name="RS_Fy_355_WWF600x369_700_LBA_N__34" type="6" refreshedVersion="6" background="1" saveData="1">
    <textPr prompt="0" sourceFile="C:\I section (Liya)\RS_welded_study_Fy\RS_Fy_355_WWF600x369_700_LBA_N__3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5" xr16:uid="{00000000-0015-0000-FFFF-FFFFF9000000}" name="RS_Fy_355_WWF650x499_300_LBA_M__45" type="6" refreshedVersion="6" background="1" saveData="1">
    <textPr prompt="0" sourceFile="C:\I section (Liya)\RS_welded_study_Fy\RS_Fy_355_WWF650x499_300_LBA_M__4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6" xr16:uid="{00000000-0015-0000-FFFF-FFFFFA000000}" name="RS_Fy_355_WWF650x499_300_LBA_N__9" type="6" refreshedVersion="6" background="1" saveData="1">
    <textPr prompt="0" sourceFile="C:\I section (Liya)\RS_welded_study_Fy\RS_Fy_355_WWF650x499_300_LBA_N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7" xr16:uid="{00000000-0015-0000-FFFF-FFFFFB000000}" name="RS_Fy_355_WWF650x499_450_LBA_M__57" type="6" refreshedVersion="6" background="1" saveData="1">
    <textPr prompt="0" sourceFile="C:\I section (Liya)\RS_welded_study_Fy\RS_Fy_355_WWF650x499_450_LBA_M__5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8" xr16:uid="{00000000-0015-0000-FFFF-FFFFFC000000}" name="RS_Fy_355_WWF650x499_450_LBA_N__21" type="6" refreshedVersion="6" background="1" saveData="1">
    <textPr prompt="0" sourceFile="C:\I section (Liya)\RS_welded_study_Fy\RS_Fy_355_WWF650x499_450_LBA_N__2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9" xr16:uid="{00000000-0015-0000-FFFF-FFFFFD000000}" name="RS_Fy_355_WWF650x499_700_LBA_M__69" type="6" refreshedVersion="6" background="1" saveData="1">
    <textPr prompt="0" sourceFile="C:\I section (Liya)\RS_welded_study_Fy\RS_Fy_355_WWF650x499_700_LBA_M__6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0" xr16:uid="{00000000-0015-0000-FFFF-FFFFFE000000}" name="RS_Fy_355_WWF650x499_700_LBA_N__33" type="6" refreshedVersion="6" background="1" saveData="1">
    <textPr prompt="0" sourceFile="C:\I section (Liya)\RS_welded_study_Fy\RS_Fy_355_WWF650x499_700_LBA_N__3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1" xr16:uid="{00000000-0015-0000-FFFF-FFFFFF000000}" name="RS_Fy_355_WWF700x245_300_LBA_M__40" type="6" refreshedVersion="6" background="1" saveData="1">
    <textPr prompt="0" sourceFile="C:\I section (Liya)\RS_welded_study_Fy\RS_Fy_355_WWF700x245_300_LBA_M__4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2" xr16:uid="{00000000-0015-0000-FFFF-FFFF00010000}" name="RS_Fy_355_WWF700x245_300_LBA_N__4" type="6" refreshedVersion="6" background="1" saveData="1">
    <textPr prompt="0" sourceFile="C:\I section (Liya)\RS_welded_study_Fy\RS_Fy_355_WWF700x245_300_LBA_N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3" xr16:uid="{00000000-0015-0000-FFFF-FFFF01010000}" name="RS_Fy_355_WWF700x245_450_LBA_M__52" type="6" refreshedVersion="6" background="1" saveData="1">
    <textPr prompt="0" sourceFile="C:\I section (Liya)\RS_welded_study_Fy\RS_Fy_355_WWF700x245_450_LBA_M__5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4" xr16:uid="{00000000-0015-0000-FFFF-FFFF02010000}" name="RS_Fy_355_WWF700x245_450_LBA_N__16" type="6" refreshedVersion="6" background="1" saveData="1">
    <textPr prompt="0" sourceFile="C:\I section (Liya)\RS_welded_study_Fy\RS_Fy_355_WWF700x245_450_LBA_N__1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5" xr16:uid="{00000000-0015-0000-FFFF-FFFF03010000}" name="RS_Fy_355_WWF700x245_700_LBA_M__64" type="6" refreshedVersion="6" background="1" saveData="1">
    <textPr prompt="0" sourceFile="C:\I section (Liya)\RS_welded_study_Fy\RS_Fy_355_WWF700x245_700_LBA_M__6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6" xr16:uid="{00000000-0015-0000-FFFF-FFFF04010000}" name="RS_Fy_355_WWF700x245_700_LBA_N__28" type="6" refreshedVersion="6" background="1" saveData="1">
    <textPr prompt="0" sourceFile="C:\I section (Liya)\RS_welded_study_Fy\RS_Fy_355_WWF700x245_700_LBA_N__2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7" xr16:uid="{00000000-0015-0000-FFFF-FFFF05010000}" name="RS_Fy_355_WWF900x347_300_LBA_M__41" type="6" refreshedVersion="6" background="1" saveData="1">
    <textPr prompt="0" sourceFile="C:\I section (Liya)\RS_welded_study_Fy\RS_Fy_355_WWF900x347_300_LBA_M__4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8" xr16:uid="{00000000-0015-0000-FFFF-FFFF06010000}" name="RS_Fy_355_WWF900x347_300_LBA_N__5" type="6" refreshedVersion="6" background="1" saveData="1">
    <textPr prompt="0" sourceFile="C:\I section (Liya)\RS_welded_study_Fy\RS_Fy_355_WWF900x347_300_LBA_N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9" xr16:uid="{00000000-0015-0000-FFFF-FFFF07010000}" name="RS_Fy_355_WWF900x347_450_LBA_M__53" type="6" refreshedVersion="6" background="1" saveData="1">
    <textPr prompt="0" sourceFile="C:\I section (Liya)\RS_welded_study_Fy\RS_Fy_355_WWF900x347_450_LBA_M__5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0" xr16:uid="{00000000-0015-0000-FFFF-FFFF08010000}" name="RS_Fy_355_WWF900x347_450_LBA_N__17" type="6" refreshedVersion="6" background="1" saveData="1">
    <textPr prompt="0" sourceFile="C:\I section (Liya)\RS_welded_study_Fy\RS_Fy_355_WWF900x347_450_LBA_N__1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1" xr16:uid="{00000000-0015-0000-FFFF-FFFF09010000}" name="RS_Fy_355_WWF900x347_700_LBA_M__65" type="6" refreshedVersion="6" background="1" saveData="1">
    <textPr prompt="0" sourceFile="C:\I section (Liya)\RS_welded_study_Fy\RS_Fy_355_WWF900x347_700_LBA_M__6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2" xr16:uid="{00000000-0015-0000-FFFF-FFFF0A010000}" name="RS_Fy_355_WWF900x347_700_LBA_N__29" type="6" refreshedVersion="6" background="1" saveData="1">
    <textPr prompt="0" sourceFile="C:\I section (Liya)\RS_welded_study_Fy\RS_Fy_355_WWF900x347_700_LBA_N__2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3" xr16:uid="{00000000-0015-0000-FFFF-FFFF0B010000}" name="Test_350_IPE120_20_GMNIA_N_0.5_My_Mz_50__1" type="6" refreshedVersion="6" background="1" saveData="1">
    <textPr prompt="0" codePage="850" sourceFile="C:\I section (Liya)\Test\Test_350_IPE120_20_GMNIA_N_0.5_My_Mz_50__1.txt" thousands=" " space="1" consecutive="1">
      <textFields count="4">
        <textField/>
        <textField/>
        <textField/>
        <textField/>
      </textFields>
    </textPr>
  </connection>
  <connection id="464" xr16:uid="{00000000-0015-0000-FFFF-FFFF0C010000}" name="Test_350_IPE120_20_GMNIA_N_0.5_My_Mz_50__11" type="6" refreshedVersion="6" background="1" saveData="1">
    <textPr prompt="0" codePage="850" sourceFile="C:\I section (Liya)\Test\Test_350_IPE120_20_GMNIA_N_0.5_My_Mz_50__1.txt" thousands=" " space="1" consecutive="1">
      <textFields count="4">
        <textField/>
        <textField/>
        <textField/>
        <textField/>
      </textFields>
    </textPr>
  </connection>
  <connection id="465" xr16:uid="{00000000-0015-0000-FFFF-FFFF0D010000}" name="Test_350_IPE120_20_GMNIA_N_0.5_My_Mz_50__12" type="6" refreshedVersion="6" background="1" saveData="1">
    <textPr prompt="0" sourceFile="C:\I section (Liya)\Test\Test_350_IPE120_20_GMNIA_N_0.5_My_Mz_50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6" xr16:uid="{00000000-0015-0000-FFFF-FFFF0E010000}" name="Test_350_IPE120_20_GMNIA_N_0.5_My_Mz_50__13" type="6" refreshedVersion="6" background="1" saveData="1">
    <textPr prompt="0" sourceFile="C:\I section (Liya)\Test\Test_350_IPE120_20_GMNIA_N_0.5_My_Mz_50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7" xr16:uid="{00000000-0015-0000-FFFF-FFFF0F010000}" name="Test_355_HEA120_20_GMNIA_Mz__2" type="6" refreshedVersion="6" background="1" saveData="1">
    <textPr prompt="0" codePage="850" sourceFile="C:\I section (Liya)\Test\Test_355_HEA120_20_GMNIA_Mz__2.txt" thousands=" " space="1" consecutive="1">
      <textFields count="4">
        <textField/>
        <textField/>
        <textField/>
        <textField/>
      </textFields>
    </textPr>
  </connection>
  <connection id="468" xr16:uid="{00000000-0015-0000-FFFF-FFFF10010000}" name="Test_355_HEA120_20_GMNIA_Mz__21" type="6" refreshedVersion="6" background="1" saveData="1">
    <textPr prompt="0" codePage="850" sourceFile="C:\I section (Liya)\Test\Test_355_HEA120_20_GMNIA_Mz__2.txt" thousands=" " space="1" consecutive="1">
      <textFields count="4">
        <textField/>
        <textField/>
        <textField/>
        <textField/>
      </textFields>
    </textPr>
  </connection>
  <connection id="469" xr16:uid="{00000000-0015-0000-FFFF-FFFF11010000}" name="Test_355_HEA120_20_LBA_Mz__2" type="6" refreshedVersion="6" background="1" saveData="1">
    <textPr prompt="0" sourceFile="C:\I section (Liya)\Test\Test_355_HEA120_20_LBA_Mz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0" xr16:uid="{00000000-0015-0000-FFFF-FFFF12010000}" name="Test_355_HEA280-_450_GMNIA_M__10" type="6" refreshedVersion="6" background="1" saveData="1">
    <textPr prompt="0" codePage="850" sourceFile="C:\I section (Liya)\Test_fichiers\Test_355_HEA280-_450_GMNIA_M__10.txt" thousands=" " space="1" consecutive="1">
      <textFields count="4">
        <textField/>
        <textField/>
        <textField/>
        <textField/>
      </textFields>
    </textPr>
  </connection>
  <connection id="471" xr16:uid="{00000000-0015-0000-FFFF-FFFF13010000}" name="Test_355_HEA280-_450_GMNIA_M__101" type="6" refreshedVersion="6" background="1" saveData="1">
    <textPr prompt="0" sourceFile="C:\I section (Liya)\Test_fichiers\Test_355_HEA280-_450_GMNIA_M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2" xr16:uid="{00000000-0015-0000-FFFF-FFFF14010000}" name="Test_355_HEA280_450_GMNIA_M__7" type="6" refreshedVersion="6" background="1" saveData="1">
    <textPr prompt="0" codePage="850" sourceFile="C:\I section (Liya)\Test_fichiers\Test_355_HEA280_450_GMNIA_M__7.txt" thousands=" " space="1" consecutive="1">
      <textFields count="4">
        <textField/>
        <textField/>
        <textField/>
        <textField/>
      </textFields>
    </textPr>
  </connection>
  <connection id="473" xr16:uid="{00000000-0015-0000-FFFF-FFFF15010000}" name="Test_355_HEA280_450_GMNIA_M__71" type="6" refreshedVersion="6" background="1" saveData="1">
    <textPr prompt="0" sourceFile="C:\I section (Liya)\Test_fichiers\Test_355_HEA280_450_GMNIA_M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4" xr16:uid="{00000000-0015-0000-FFFF-FFFF16010000}" name="Test_355_HEA280-_450_LBA_M__10" type="6" refreshedVersion="6" background="1" saveData="1">
    <textPr prompt="0" sourceFile="C:\I section (Liya)\Test_fichiers\Test_355_HEA280-_450_LBA_M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5" xr16:uid="{00000000-0015-0000-FFFF-FFFF17010000}" name="Test_355_HEA280_450_LBA_M__7" type="6" refreshedVersion="6" background="1" saveData="1">
    <textPr prompt="0" sourceFile="C:\I section (Liya)\Test_fichiers\Test_355_HEA280_450_LBA_M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6" xr16:uid="{00000000-0015-0000-FFFF-FFFF18010000}" name="Test_355_HEA400-_450_GMNIA_M__11" type="6" refreshedVersion="6" background="1" saveData="1">
    <textPr prompt="0" codePage="850" sourceFile="C:\I section (Liya)\Test_fichiers\Test_355_HEA400-_450_GMNIA_M__11.txt" thousands=" " space="1" consecutive="1">
      <textFields count="4">
        <textField/>
        <textField/>
        <textField/>
        <textField/>
      </textFields>
    </textPr>
  </connection>
  <connection id="477" xr16:uid="{00000000-0015-0000-FFFF-FFFF19010000}" name="Test_355_HEA400-_450_GMNIA_M__111" type="6" refreshedVersion="6" background="1" saveData="1">
    <textPr prompt="0" sourceFile="C:\I section (Liya)\Test_fichiers\Test_355_HEA400-_450_GMNIA_M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8" xr16:uid="{00000000-0015-0000-FFFF-FFFF1A010000}" name="Test_355_HEA400_450_GMNIA_M__8" type="6" refreshedVersion="6" background="1" saveData="1">
    <textPr prompt="0" codePage="850" sourceFile="C:\I section (Liya)\Test_fichiers\Test_355_HEA400_450_GMNIA_M__8.txt" thousands=" " space="1" consecutive="1">
      <textFields count="4">
        <textField/>
        <textField/>
        <textField/>
        <textField/>
      </textFields>
    </textPr>
  </connection>
  <connection id="479" xr16:uid="{00000000-0015-0000-FFFF-FFFF1B010000}" name="Test_355_HEA400_450_GMNIA_M__81" type="6" refreshedVersion="6" background="1" saveData="1">
    <textPr prompt="0" sourceFile="C:\I section (Liya)\Test_fichiers\Test_355_HEA400_450_GMNIA_M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0" xr16:uid="{00000000-0015-0000-FFFF-FFFF1C010000}" name="Test_355_HEA400-_450_LBA_M__11" type="6" refreshedVersion="6" background="1" saveData="1">
    <textPr prompt="0" sourceFile="C:\I section (Liya)\Test_fichiers\Test_355_HEA400-_450_LBA_M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1" xr16:uid="{00000000-0015-0000-FFFF-FFFF1D010000}" name="Test_355_HEA400_450_LBA_M__8" type="6" refreshedVersion="6" background="1" saveData="1">
    <textPr prompt="0" sourceFile="C:\I section (Liya)\Test_fichiers\Test_355_HEA400_450_LBA_M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2" xr16:uid="{00000000-0015-0000-FFFF-FFFF1E010000}" name="Test_355_HEA800-_450_GMNIA_M__12" type="6" refreshedVersion="6" background="1" saveData="1">
    <textPr prompt="0" codePage="850" sourceFile="C:\I section (Liya)\Test_fichiers\Test_355_HEA800-_450_GMNIA_M__12.txt" thousands=" " space="1" consecutive="1">
      <textFields count="4">
        <textField/>
        <textField/>
        <textField/>
        <textField/>
      </textFields>
    </textPr>
  </connection>
  <connection id="483" xr16:uid="{00000000-0015-0000-FFFF-FFFF1F010000}" name="Test_355_HEA800-_450_GMNIA_M__121" type="6" refreshedVersion="6" background="1" saveData="1">
    <textPr prompt="0" sourceFile="C:\I section (Liya)\Test_fichiers\Test_355_HEA800-_450_GMNIA_M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4" xr16:uid="{00000000-0015-0000-FFFF-FFFF20010000}" name="Test_355_HEA800_450_GMNIA_M__9" type="6" refreshedVersion="6" background="1" saveData="1">
    <textPr prompt="0" codePage="850" sourceFile="C:\I section (Liya)\Test_fichiers\Test_355_HEA800_450_GMNIA_M__9.txt" thousands=" " space="1" consecutive="1">
      <textFields count="4">
        <textField/>
        <textField/>
        <textField/>
        <textField/>
      </textFields>
    </textPr>
  </connection>
  <connection id="485" xr16:uid="{00000000-0015-0000-FFFF-FFFF21010000}" name="Test_355_HEA800_450_GMNIA_M__91" type="6" refreshedVersion="6" background="1" saveData="1">
    <textPr prompt="0" sourceFile="C:\I section (Liya)\Test_fichiers\Test_355_HEA800_450_GMNIA_M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6" xr16:uid="{00000000-0015-0000-FFFF-FFFF22010000}" name="Test_355_HEA800-_450_LBA_M__12" type="6" refreshedVersion="6" background="1" saveData="1">
    <textPr prompt="0" sourceFile="C:\I section (Liya)\Test_fichiers\Test_355_HEA800-_450_LBA_M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7" xr16:uid="{00000000-0015-0000-FFFF-FFFF23010000}" name="Test_355_HEA800_450_LBA_M__9" type="6" refreshedVersion="6" background="1" saveData="1">
    <textPr prompt="0" sourceFile="C:\I section (Liya)\Test_fichiers\Test_355_HEA800_450_LBA_M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8" xr16:uid="{00000000-0015-0000-FFFF-FFFF24010000}" name="Test_355_IPE200_450_GMNIA_M__1" type="6" refreshedVersion="6" background="1" saveData="1">
    <textPr prompt="0" codePage="850" sourceFile="C:\I section (Liya)\Test_fichiers\Test_355_IPE200_450_GMNIA_M__1.txt" thousands=" " space="1" consecutive="1">
      <textFields count="4">
        <textField/>
        <textField/>
        <textField/>
        <textField/>
      </textFields>
    </textPr>
  </connection>
  <connection id="489" xr16:uid="{00000000-0015-0000-FFFF-FFFF25010000}" name="Test_355_IPE200_450_GMNIA_M__11" type="6" refreshedVersion="6" background="1" saveData="1">
    <textPr prompt="0" sourceFile="C:\I section (Liya)\Test_fichiers\Test_355_IPE200_450_GMNIA_M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0" xr16:uid="{00000000-0015-0000-FFFF-FFFF26010000}" name="Test_355_IPE200-_450_GMNIA_M__4" type="6" refreshedVersion="6" background="1" saveData="1">
    <textPr prompt="0" codePage="850" sourceFile="C:\I section (Liya)\Test_fichiers\Test_355_IPE200-_450_GMNIA_M__4.txt" thousands=" " space="1" consecutive="1">
      <textFields count="4">
        <textField/>
        <textField/>
        <textField/>
        <textField/>
      </textFields>
    </textPr>
  </connection>
  <connection id="491" xr16:uid="{00000000-0015-0000-FFFF-FFFF27010000}" name="Test_355_IPE200-_450_GMNIA_M__41" type="6" refreshedVersion="6" background="1" saveData="1">
    <textPr prompt="0" sourceFile="C:\I section (Liya)\Test_fichiers\Test_355_IPE200-_450_GMNIA_M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2" xr16:uid="{00000000-0015-0000-FFFF-FFFF28010000}" name="Test_355_IPE200_450_LBA_M__1" type="6" refreshedVersion="6" background="1" saveData="1">
    <textPr prompt="0" sourceFile="C:\I section (Liya)\Test_fichiers\Test_355_IPE200_450_LBA_M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3" xr16:uid="{00000000-0015-0000-FFFF-FFFF29010000}" name="Test_355_IPE200-_450_LBA_M__4" type="6" refreshedVersion="6" background="1" saveData="1">
    <textPr prompt="0" sourceFile="C:\I section (Liya)\Test_fichiers\Test_355_IPE200-_450_LBA_M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4" xr16:uid="{00000000-0015-0000-FFFF-FFFF2A010000}" name="Test_355_IPE220_450_LBA_N__1" type="6" refreshedVersion="6" background="1" saveData="1">
    <textPr prompt="0" sourceFile="C:\I section (Liya)\Test_Rcr\Test_355_IPE220_450_LBA_N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5" xr16:uid="{00000000-0015-0000-FFFF-FFFF2B010000}" name="Test_355_IPE220_450_LBA_N__11" type="6" refreshedVersion="6" background="1" saveData="1">
    <textPr prompt="0" sourceFile="C:\I section (Liya)\Test_Rcr\Test_355_IPE220_450_LBA_N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6" xr16:uid="{00000000-0015-0000-FFFF-FFFF2C010000}" name="Test_355_IPE220_450_LBA_N__12" type="6" refreshedVersion="6" background="1" saveData="1">
    <textPr prompt="0" sourceFile="C:\I section (Liya)\Test_Rcr\Test_355_IPE220_450_LBA_N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7" xr16:uid="{00000000-0015-0000-FFFF-FFFF2D010000}" name="Test_355_IPE220_450_LBA_N__13" type="6" refreshedVersion="6" background="1" saveData="1">
    <textPr prompt="0" sourceFile="C:\I section (Liya)\Test_Rcr\Test_355_IPE220_450_LBA_N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8" xr16:uid="{00000000-0015-0000-FFFF-FFFF2E010000}" name="Test_355_IPE220_450_LBA_N__14" type="6" refreshedVersion="6" background="1" saveData="1">
    <textPr prompt="0" sourceFile="C:\I section (Liya)\Test_Rcr\Test_355_IPE220_450_LBA_N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9" xr16:uid="{00000000-0015-0000-FFFF-FFFF2F010000}" name="Test_355_IPE220_450_LBA_N__2" type="6" refreshedVersion="6" background="1" saveData="1">
    <textPr prompt="0" sourceFile="C:\I section (Liya)\Test_Rcr\Test_355_IPE220_450_LBA_N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0" xr16:uid="{00000000-0015-0000-FFFF-FFFF30010000}" name="Test_355_IPE220_450_LBA_N__21" type="6" refreshedVersion="6" background="1" saveData="1">
    <textPr prompt="0" sourceFile="C:\I section (Liya)\Test_Rcr\Test_355_IPE220_450_LBA_N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1" xr16:uid="{00000000-0015-0000-FFFF-FFFF31010000}" name="Test_355_IPE220_450_LBA_N__22" type="6" refreshedVersion="6" background="1" saveData="1">
    <textPr prompt="0" sourceFile="C:\I section (Liya)\Test_Rcr\Test_355_IPE220_450_LBA_N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2" xr16:uid="{00000000-0015-0000-FFFF-FFFF32010000}" name="Test_355_IPE220_450_LBA_N__23" type="6" refreshedVersion="6" background="1" saveData="1">
    <textPr prompt="0" sourceFile="C:\I section (Liya)\Test_Rcr\Test_355_IPE220_450_LBA_N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3" xr16:uid="{00000000-0015-0000-FFFF-FFFF33010000}" name="Test_355_IPE220_450_LBA_N__24" type="6" refreshedVersion="6" background="1" saveData="1">
    <textPr prompt="0" sourceFile="C:\I section (Liya)\Test_Rcr\Test_355_IPE220_450_LBA_N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4" xr16:uid="{00000000-0015-0000-FFFF-FFFF34010000}" name="Test_355_IPE220_450_LBA_N__3" type="6" refreshedVersion="6" background="1" saveData="1">
    <textPr prompt="0" sourceFile="C:\I section (Liya)\Test_Rcr\Test_355_IPE220_450_LBA_N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5" xr16:uid="{00000000-0015-0000-FFFF-FFFF35010000}" name="Test_355_IPE220_450_LBA_N__31" type="6" refreshedVersion="6" background="1" saveData="1">
    <textPr prompt="0" sourceFile="C:\I section (Liya)\Test_Rcr\Test_355_IPE220_450_LBA_N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6" xr16:uid="{00000000-0015-0000-FFFF-FFFF36010000}" name="Test_355_IPE220_450_LBA_N__32" type="6" refreshedVersion="6" background="1" saveData="1">
    <textPr prompt="0" sourceFile="C:\I section (Liya)\Test_Rcr\Test_355_IPE220_450_LBA_N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7" xr16:uid="{00000000-0015-0000-FFFF-FFFF37010000}" name="Test_355_IPE220_450_LBA_N__33" type="6" refreshedVersion="6" background="1" saveData="1">
    <textPr prompt="0" sourceFile="C:\I section (Liya)\Test_Rcr\Test_355_IPE220_450_LBA_N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8" xr16:uid="{00000000-0015-0000-FFFF-FFFF38010000}" name="Test_355_IPE220_450_LBA_N__34" type="6" refreshedVersion="6" background="1" saveData="1">
    <textPr prompt="0" sourceFile="C:\I section (Liya)\Test_Rcr\Test_355_IPE220_450_LBA_N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9" xr16:uid="{00000000-0015-0000-FFFF-FFFF39010000}" name="Test_355_IPE220_450_LBA_N__4" type="6" refreshedVersion="6" background="1" saveData="1">
    <textPr prompt="0" sourceFile="C:\I section (Liya)\Test_Rcr\Test_355_IPE220_450_LBA_N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0" xr16:uid="{00000000-0015-0000-FFFF-FFFF3A010000}" name="Test_355_IPE220_450_LBA_N__41" type="6" refreshedVersion="6" background="1" saveData="1">
    <textPr prompt="0" sourceFile="C:\I section (Liya)\Test_Rcr\Test_355_IPE220_450_LBA_N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1" xr16:uid="{00000000-0015-0000-FFFF-FFFF3B010000}" name="Test_355_IPE220_450_LBA_N__42" type="6" refreshedVersion="6" background="1" saveData="1">
    <textPr prompt="0" sourceFile="C:\I section (Liya)\Test_Rcr\Test_355_IPE220_450_LBA_N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2" xr16:uid="{00000000-0015-0000-FFFF-FFFF3C010000}" name="Test_355_IPE220_450_LBA_N__43" type="6" refreshedVersion="6" background="1" saveData="1">
    <textPr prompt="0" sourceFile="C:\I section (Liya)\Test_Rcr\Test_355_IPE220_450_LBA_N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3" xr16:uid="{00000000-0015-0000-FFFF-FFFF3D010000}" name="Test_355_IPE220_450_LBA_N__44" type="6" refreshedVersion="6" background="1" saveData="1">
    <textPr prompt="0" sourceFile="C:\I section (Liya)\Test_Rcr\Test_355_IPE220_450_LBA_N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4" xr16:uid="{00000000-0015-0000-FFFF-FFFF3E010000}" name="Test_355_IPE220_450_LBA_N__5" type="6" refreshedVersion="6" background="1" saveData="1">
    <textPr prompt="0" sourceFile="C:\I section (Liya)\Test_Rcr\Test_355_IPE220_450_LBA_N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5" xr16:uid="{00000000-0015-0000-FFFF-FFFF3F010000}" name="Test_355_IPE220_450_LBA_N__51" type="6" refreshedVersion="6" background="1" saveData="1">
    <textPr prompt="0" sourceFile="C:\I section (Liya)\Test_Rcr\Test_355_IPE220_450_LBA_N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6" xr16:uid="{00000000-0015-0000-FFFF-FFFF40010000}" name="Test_355_IPE220_450_LBA_N__52" type="6" refreshedVersion="6" background="1" saveData="1">
    <textPr prompt="0" sourceFile="C:\I section (Liya)\Test_Rcr\Test_355_IPE220_450_LBA_N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7" xr16:uid="{00000000-0015-0000-FFFF-FFFF41010000}" name="Test_355_IPE220_450_LBA_N__53" type="6" refreshedVersion="6" background="1" saveData="1">
    <textPr prompt="0" sourceFile="C:\I section (Liya)\Test_Rcr\Test_355_IPE220_450_LBA_N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8" xr16:uid="{00000000-0015-0000-FFFF-FFFF42010000}" name="Test_355_IPE220_450_LBA_N__54" type="6" refreshedVersion="6" background="1" saveData="1">
    <textPr prompt="0" sourceFile="C:\I section (Liya)\Test_Rcr\Test_355_IPE220_450_LBA_N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9" xr16:uid="{00000000-0015-0000-FFFF-FFFF43010000}" name="Test_355_IPE220_450_LBA_N__6" type="6" refreshedVersion="6" background="1" saveData="1">
    <textPr prompt="0" sourceFile="C:\I section (Liya)\Test_Rcr\Test_355_IPE220_450_LBA_N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0" xr16:uid="{00000000-0015-0000-FFFF-FFFF44010000}" name="Test_355_IPE220_450_LBA_N__61" type="6" refreshedVersion="6" background="1" saveData="1">
    <textPr prompt="0" sourceFile="C:\I section (Liya)\Test_Rcr\Test_355_IPE220_450_LBA_N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1" xr16:uid="{00000000-0015-0000-FFFF-FFFF45010000}" name="Test_355_IPE220_450_LBA_N__62" type="6" refreshedVersion="6" background="1" saveData="1">
    <textPr prompt="0" sourceFile="C:\I section (Liya)\Test_Rcr\Test_355_IPE220_450_LBA_N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2" xr16:uid="{00000000-0015-0000-FFFF-FFFF46010000}" name="Test_355_IPE220_450_LBA_N__63" type="6" refreshedVersion="6" background="1" saveData="1">
    <textPr prompt="0" sourceFile="C:\I section (Liya)\Test_Rcr\Test_355_IPE220_450_LBA_N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3" xr16:uid="{00000000-0015-0000-FFFF-FFFF47010000}" name="Test_355_IPE220_450_LBA_N__64" type="6" refreshedVersion="6" background="1" saveData="1">
    <textPr prompt="0" sourceFile="C:\I section (Liya)\Test_Rcr\Test_355_IPE220_450_LBA_N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4" xr16:uid="{00000000-0015-0000-FFFF-FFFF48010000}" name="Test_355_IPE330_450_GMNIA_M__2" type="6" refreshedVersion="6" background="1" saveData="1">
    <textPr prompt="0" codePage="850" sourceFile="C:\I section (Liya)\Test_fichiers\Test_355_IPE330_450_GMNIA_M__2.txt" thousands=" " space="1" consecutive="1">
      <textFields count="4">
        <textField/>
        <textField/>
        <textField/>
        <textField/>
      </textFields>
    </textPr>
  </connection>
  <connection id="525" xr16:uid="{00000000-0015-0000-FFFF-FFFF49010000}" name="Test_355_IPE330_450_GMNIA_M__21" type="6" refreshedVersion="6" background="1" saveData="1">
    <textPr prompt="0" sourceFile="C:\I section (Liya)\Test_fichiers\Test_355_IPE330_450_GMNIA_M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6" xr16:uid="{00000000-0015-0000-FFFF-FFFF4A010000}" name="Test_355_IPE330-_450_GMNIA_M__5" type="6" refreshedVersion="6" background="1" saveData="1">
    <textPr prompt="0" codePage="850" sourceFile="C:\I section (Liya)\Test_fichiers\Test_355_IPE330-_450_GMNIA_M__5.txt" thousands=" " space="1" consecutive="1">
      <textFields count="4">
        <textField/>
        <textField/>
        <textField/>
        <textField/>
      </textFields>
    </textPr>
  </connection>
  <connection id="527" xr16:uid="{00000000-0015-0000-FFFF-FFFF4B010000}" name="Test_355_IPE330-_450_GMNIA_M__51" type="6" refreshedVersion="6" background="1" saveData="1">
    <textPr prompt="0" sourceFile="C:\I section (Liya)\Test_fichiers\Test_355_IPE330-_450_GMNIA_M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8" xr16:uid="{00000000-0015-0000-FFFF-FFFF4C010000}" name="Test_355_IPE330_450_LBA_M__2" type="6" refreshedVersion="6" background="1" saveData="1">
    <textPr prompt="0" sourceFile="C:\I section (Liya)\Test_fichiers\Test_355_IPE330_450_LBA_M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9" xr16:uid="{00000000-0015-0000-FFFF-FFFF4D010000}" name="Test_355_IPE330-_450_LBA_M__5" type="6" refreshedVersion="6" background="1" saveData="1">
    <textPr prompt="0" sourceFile="C:\I section (Liya)\Test_fichiers\Test_355_IPE330-_450_LBA_M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0" xr16:uid="{00000000-0015-0000-FFFF-FFFF4E010000}" name="Test_355_IPE600_20_GMNIA_Mz__1" type="6" refreshedVersion="6" background="1" saveData="1">
    <textPr prompt="0" codePage="850" sourceFile="C:\I section (Liya)\Test\Test_355_IPE600_20_GMNIA_Mz__1.txt" thousands=" " space="1" consecutive="1">
      <textFields count="4">
        <textField/>
        <textField/>
        <textField/>
        <textField/>
      </textFields>
    </textPr>
  </connection>
  <connection id="531" xr16:uid="{00000000-0015-0000-FFFF-FFFF4F010000}" name="Test_355_IPE600_20_GMNIA_Mz__11" type="6" refreshedVersion="6" background="1" saveData="1">
    <textPr prompt="0" codePage="850" sourceFile="C:\I section (Liya)\Test\Test_355_IPE600_20_GMNIA_Mz__1.txt" thousands=" " space="1" consecutive="1">
      <textFields count="4">
        <textField/>
        <textField/>
        <textField/>
        <textField/>
      </textFields>
    </textPr>
  </connection>
  <connection id="532" xr16:uid="{00000000-0015-0000-FFFF-FFFF50010000}" name="Test_355_IPE600_20_GMNIA_Mz__12" type="6" refreshedVersion="6" background="1" saveData="1">
    <textPr prompt="0" codePage="850" sourceFile="C:\I section (Liya)\Test\Test_355_IPE600_20_GMNIA_Mz__1.txt" thousands=" " space="1" consecutive="1">
      <textFields count="4">
        <textField/>
        <textField/>
        <textField/>
        <textField/>
      </textFields>
    </textPr>
  </connection>
  <connection id="533" xr16:uid="{00000000-0015-0000-FFFF-FFFF51010000}" name="Test_355_IPE600_20_LBA_Mz__1" type="6" refreshedVersion="6" background="1" saveData="1">
    <textPr prompt="0" sourceFile="C:\I section (Liya)\Test\Test_355_IPE600_20_LBA_Mz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4" xr16:uid="{00000000-0015-0000-FFFF-FFFF52010000}" name="Test_355_IPE600_450_GMNIA_M__3" type="6" refreshedVersion="6" background="1" saveData="1">
    <textPr prompt="0" codePage="850" sourceFile="C:\I section (Liya)\Test_fichiers\Test_355_IPE600_450_GMNIA_M__3.txt" thousands=" " space="1" consecutive="1">
      <textFields count="4">
        <textField/>
        <textField/>
        <textField/>
        <textField/>
      </textFields>
    </textPr>
  </connection>
  <connection id="535" xr16:uid="{00000000-0015-0000-FFFF-FFFF53010000}" name="Test_355_IPE600_450_GMNIA_M__31" type="6" refreshedVersion="6" background="1" saveData="1">
    <textPr prompt="0" sourceFile="C:\I section (Liya)\Test_fichiers\Test_355_IPE600_450_GMNIA_M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6" xr16:uid="{00000000-0015-0000-FFFF-FFFF54010000}" name="Test_355_IPE600-_450_GMNIA_M__6" type="6" refreshedVersion="6" background="1" saveData="1">
    <textPr prompt="0" codePage="850" sourceFile="C:\I section (Liya)\Test_fichiers\Test_355_IPE600-_450_GMNIA_M__6.txt" thousands=" " space="1" consecutive="1">
      <textFields count="4">
        <textField/>
        <textField/>
        <textField/>
        <textField/>
      </textFields>
    </textPr>
  </connection>
  <connection id="537" xr16:uid="{00000000-0015-0000-FFFF-FFFF55010000}" name="Test_355_IPE600-_450_GMNIA_M__61" type="6" refreshedVersion="6" background="1" saveData="1">
    <textPr prompt="0" sourceFile="C:\I section (Liya)\Test_fichiers\Test_355_IPE600-_450_GMNIA_M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8" xr16:uid="{00000000-0015-0000-FFFF-FFFF56010000}" name="Test_355_IPE600_450_LBA_M__3" type="6" refreshedVersion="6" background="1" saveData="1">
    <textPr prompt="0" sourceFile="C:\I section (Liya)\Test_fichiers\Test_355_IPE600_450_LBA_M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9" xr16:uid="{00000000-0015-0000-FFFF-FFFF57010000}" name="Test_355_IPE600-_450_LBA_M__6" type="6" refreshedVersion="6" background="1" saveData="1">
    <textPr prompt="0" sourceFile="C:\I section (Liya)\Test_fichiers\Test_355_IPE600-_450_LBA_M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0" xr16:uid="{00000000-0015-0000-FFFF-FFFF58010000}" name="Test_tools_355_W250X3_450_GMNIA_N__13" type="6" refreshedVersion="6" background="1" saveData="1">
    <textPr prompt="0" codePage="850" sourceFile="C:\I section (Liya)\Test_tools\Test_tools_355_W250X3_450_GMNIA_N__1.txt" thousands=" " space="1" consecutive="1">
      <textFields count="4">
        <textField/>
        <textField/>
        <textField/>
        <textField/>
      </textFields>
    </textPr>
  </connection>
  <connection id="541" xr16:uid="{00000000-0015-0000-FFFF-FFFF59010000}" name="Type_1_mesh_355_HEA280-_450_GMNIA_M__101" type="6" refreshedVersion="6" background="1" saveData="1">
    <textPr prompt="0" sourceFile="C:\I section (Liya)\Type_1_mesh_M\Type_1_mesh_355_HEA280-_450_GMNIA_M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2" xr16:uid="{00000000-0015-0000-FFFF-FFFF5A010000}" name="Type_1_mesh_355_HEA280-_450_GMNIA_M__102" type="6" refreshedVersion="6" background="1" saveData="1">
    <textPr prompt="0" sourceFile="C:\I section (Liya)\Type_1_mesh_M\Type_1_mesh_355_HEA280-_450_GMNIA_M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3" xr16:uid="{00000000-0015-0000-FFFF-FFFF5B010000}" name="Type_1_mesh_355_HEA280_450_GMNIA_M__71" type="6" refreshedVersion="6" background="1" saveData="1">
    <textPr prompt="0" sourceFile="C:\I section (Liya)\Type_1_mesh_M\Type_1_mesh_355_HEA280_450_GMNIA_M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4" xr16:uid="{00000000-0015-0000-FFFF-FFFF5C010000}" name="Type_1_mesh_355_HEA280_450_GMNIA_M__72" type="6" refreshedVersion="6" background="1" saveData="1">
    <textPr prompt="0" sourceFile="C:\I section (Liya)\Type_1_mesh_M\Type_1_mesh_355_HEA280_450_GMNIA_M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5" xr16:uid="{00000000-0015-0000-FFFF-FFFF5D010000}" name="Type_1_mesh_355_HEA280-_450_GMNIA_N__101" type="6" refreshedVersion="6" background="1" saveData="1">
    <textPr prompt="0" sourceFile="C:\I section (Liya)\Type_1_mesh_N\Type_1_mesh_355_HEA280-_450_GMNIA_N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6" xr16:uid="{00000000-0015-0000-FFFF-FFFF5E010000}" name="Type_1_mesh_355_HEA280_450_GMNIA_N__71" type="6" refreshedVersion="6" background="1" saveData="1">
    <textPr prompt="0" sourceFile="C:\I section (Liya)\Type_1_mesh_N\Type_1_mesh_355_HEA280_450_GMNIA_N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7" xr16:uid="{00000000-0015-0000-FFFF-FFFF5F010000}" name="Type_1_mesh_355_HEA280_700_GMNIA_M__311" type="6" refreshedVersion="6" background="1" saveData="1">
    <textPr prompt="0" sourceFile="C:\I section (Liya)\Type_1_mesh_M\Type_1_mesh_355_HEA280_700_GMNIA_M__3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8" xr16:uid="{00000000-0015-0000-FFFF-FFFF60010000}" name="Type_1_mesh_355_HEA280_700_GMNIA_M__312" type="6" refreshedVersion="6" background="1" saveData="1">
    <textPr prompt="0" sourceFile="C:\I section (Liya)\Type_1_mesh_M\Type_1_mesh_355_HEA280_700_GMNIA_M__3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9" xr16:uid="{00000000-0015-0000-FFFF-FFFF61010000}" name="Type_1_mesh_355_HEA280-_700_GMNIA_M__341" type="6" refreshedVersion="6" background="1" saveData="1">
    <textPr prompt="0" sourceFile="C:\I section (Liya)\Type_1_mesh_M\Type_1_mesh_355_HEA280-_700_GMNIA_M__3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0" xr16:uid="{00000000-0015-0000-FFFF-FFFF62010000}" name="Type_1_mesh_355_HEA280-_700_GMNIA_M__342" type="6" refreshedVersion="6" background="1" saveData="1">
    <textPr prompt="0" sourceFile="C:\I section (Liya)\Type_1_mesh_M\Type_1_mesh_355_HEA280-_700_GMNIA_M__3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1" xr16:uid="{00000000-0015-0000-FFFF-FFFF63010000}" name="Type_1_mesh_355_HEA280_700_GMNIA_N__31" type="6" refreshedVersion="6" background="1" saveData="1">
    <textPr prompt="0" codePage="850" sourceFile="C:\I section (Liya)\Type_1_mesh_N\Type_1_mesh_355_HEA280_700_GMNIA_N__31.txt" thousands=" " space="1" consecutive="1">
      <textFields count="4">
        <textField/>
        <textField/>
        <textField/>
        <textField/>
      </textFields>
    </textPr>
  </connection>
  <connection id="552" xr16:uid="{00000000-0015-0000-FFFF-FFFF64010000}" name="Type_1_mesh_355_HEA280_700_GMNIA_N__311" type="6" refreshedVersion="6" background="1" saveData="1">
    <textPr prompt="0" sourceFile="C:\I section (Liya)\Type_1_mesh_N\Type_1_mesh_355_HEA280_700_GMNIA_N__3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3" xr16:uid="{00000000-0015-0000-FFFF-FFFF65010000}" name="Type_1_mesh_355_HEA280-_700_GMNIA_N__34" type="6" refreshedVersion="6" background="1" saveData="1">
    <textPr prompt="0" codePage="850" sourceFile="C:\I section (Liya)\Type_1_mesh_N\Type_1_mesh_355_HEA280-_700_GMNIA_N__34.txt" thousands=" " space="1" consecutive="1">
      <textFields count="4">
        <textField/>
        <textField/>
        <textField/>
        <textField/>
      </textFields>
    </textPr>
  </connection>
  <connection id="554" xr16:uid="{00000000-0015-0000-FFFF-FFFF66010000}" name="Type_1_mesh_355_HEA280-_700_GMNIA_N__341" type="6" refreshedVersion="6" background="1" saveData="1">
    <textPr prompt="0" sourceFile="C:\I section (Liya)\Type_1_mesh_N\Type_1_mesh_355_HEA280-_700_GMNIA_N__3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5" xr16:uid="{00000000-0015-0000-FFFF-FFFF67010000}" name="Type_1_mesh_355_HEA400-_450_GMNIA_M__111" type="6" refreshedVersion="6" background="1" saveData="1">
    <textPr prompt="0" sourceFile="C:\I section (Liya)\Type_1_mesh_M\Type_1_mesh_355_HEA400-_450_GMNIA_M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6" xr16:uid="{00000000-0015-0000-FFFF-FFFF68010000}" name="Type_1_mesh_355_HEA400-_450_GMNIA_M__112" type="6" refreshedVersion="6" background="1" saveData="1">
    <textPr prompt="0" sourceFile="C:\I section (Liya)\Type_1_mesh_M\Type_1_mesh_355_HEA400-_450_GMNIA_M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7" xr16:uid="{00000000-0015-0000-FFFF-FFFF69010000}" name="Type_1_mesh_355_HEA400_450_GMNIA_M__81" type="6" refreshedVersion="6" background="1" saveData="1">
    <textPr prompt="0" sourceFile="C:\I section (Liya)\Type_1_mesh_M\Type_1_mesh_355_HEA400_450_GMNIA_M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8" xr16:uid="{00000000-0015-0000-FFFF-FFFF6A010000}" name="Type_1_mesh_355_HEA400_450_GMNIA_M__82" type="6" refreshedVersion="6" background="1" saveData="1">
    <textPr prompt="0" sourceFile="C:\I section (Liya)\Type_1_mesh_M\Type_1_mesh_355_HEA400_450_GMNIA_M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9" xr16:uid="{00000000-0015-0000-FFFF-FFFF6B010000}" name="Type_1_mesh_355_HEA400-_450_GMNIA_N__111" type="6" refreshedVersion="6" background="1" saveData="1">
    <textPr prompt="0" sourceFile="C:\I section (Liya)\Type_1_mesh_N\Type_1_mesh_355_HEA400-_450_GMNIA_N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0" xr16:uid="{00000000-0015-0000-FFFF-FFFF6C010000}" name="Type_1_mesh_355_HEA400_450_GMNIA_N__81" type="6" refreshedVersion="6" background="1" saveData="1">
    <textPr prompt="0" sourceFile="C:\I section (Liya)\Type_1_mesh_N\Type_1_mesh_355_HEA400_450_GMNIA_N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1" xr16:uid="{00000000-0015-0000-FFFF-FFFF6D010000}" name="Type_1_mesh_355_HEA400_700_GMNIA_M__321" type="6" refreshedVersion="6" background="1" saveData="1">
    <textPr prompt="0" sourceFile="C:\I section (Liya)\Type_1_mesh_M\Type_1_mesh_355_HEA400_700_GMNIA_M__3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2" xr16:uid="{00000000-0015-0000-FFFF-FFFF6E010000}" name="Type_1_mesh_355_HEA400_700_GMNIA_M__322" type="6" refreshedVersion="6" background="1" saveData="1">
    <textPr prompt="0" sourceFile="C:\I section (Liya)\Type_1_mesh_M\Type_1_mesh_355_HEA400_700_GMNIA_M__3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3" xr16:uid="{00000000-0015-0000-FFFF-FFFF6F010000}" name="Type_1_mesh_355_HEA400-_700_GMNIA_M__351" type="6" refreshedVersion="6" background="1" saveData="1">
    <textPr prompt="0" sourceFile="C:\I section (Liya)\Type_1_mesh_M\Type_1_mesh_355_HEA400-_700_GMNIA_M__3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4" xr16:uid="{00000000-0015-0000-FFFF-FFFF70010000}" name="Type_1_mesh_355_HEA400-_700_GMNIA_M__352" type="6" refreshedVersion="6" background="1" saveData="1">
    <textPr prompt="0" sourceFile="C:\I section (Liya)\Type_1_mesh_M\Type_1_mesh_355_HEA400-_700_GMNIA_M__3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5" xr16:uid="{00000000-0015-0000-FFFF-FFFF71010000}" name="Type_1_mesh_355_HEA400_700_GMNIA_N__32" type="6" refreshedVersion="6" background="1" saveData="1">
    <textPr prompt="0" codePage="850" sourceFile="C:\I section (Liya)\Type_1_mesh_N\Type_1_mesh_355_HEA400_700_GMNIA_N__32.txt" thousands=" " space="1" consecutive="1">
      <textFields count="4">
        <textField/>
        <textField/>
        <textField/>
        <textField/>
      </textFields>
    </textPr>
  </connection>
  <connection id="566" xr16:uid="{00000000-0015-0000-FFFF-FFFF72010000}" name="Type_1_mesh_355_HEA400_700_GMNIA_N__321" type="6" refreshedVersion="6" background="1" saveData="1">
    <textPr prompt="0" sourceFile="C:\I section (Liya)\Type_1_mesh_N\Type_1_mesh_355_HEA400_700_GMNIA_N__3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7" xr16:uid="{00000000-0015-0000-FFFF-FFFF73010000}" name="Type_1_mesh_355_HEA400-_700_GMNIA_N__35" type="6" refreshedVersion="6" background="1" saveData="1">
    <textPr prompt="0" codePage="850" sourceFile="C:\I section (Liya)\Type_1_mesh_N\Type_1_mesh_355_HEA400-_700_GMNIA_N__35.txt" thousands=" " space="1" consecutive="1">
      <textFields count="4">
        <textField/>
        <textField/>
        <textField/>
        <textField/>
      </textFields>
    </textPr>
  </connection>
  <connection id="568" xr16:uid="{00000000-0015-0000-FFFF-FFFF74010000}" name="Type_1_mesh_355_HEA400-_700_GMNIA_N__351" type="6" refreshedVersion="6" background="1" saveData="1">
    <textPr prompt="0" sourceFile="C:\I section (Liya)\Type_1_mesh_N\Type_1_mesh_355_HEA400-_700_GMNIA_N__3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9" xr16:uid="{00000000-0015-0000-FFFF-FFFF75010000}" name="Type_1_mesh_355_HEA800-_450_GMNIA_M__121" type="6" refreshedVersion="6" background="1" saveData="1">
    <textPr prompt="0" sourceFile="C:\I section (Liya)\Type_1_mesh_M\Type_1_mesh_355_HEA800-_450_GMNIA_M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0" xr16:uid="{00000000-0015-0000-FFFF-FFFF76010000}" name="Type_1_mesh_355_HEA800-_450_GMNIA_M__122" type="6" refreshedVersion="6" background="1" saveData="1">
    <textPr prompt="0" sourceFile="C:\I section (Liya)\Type_1_mesh_M\Type_1_mesh_355_HEA800-_450_GMNIA_M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1" xr16:uid="{00000000-0015-0000-FFFF-FFFF77010000}" name="Type_1_mesh_355_HEA800_450_GMNIA_M__91" type="6" refreshedVersion="6" background="1" saveData="1">
    <textPr prompt="0" sourceFile="C:\I section (Liya)\Type_1_mesh_M\Type_1_mesh_355_HEA800_450_GMNIA_M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2" xr16:uid="{00000000-0015-0000-FFFF-FFFF78010000}" name="Type_1_mesh_355_HEA800_450_GMNIA_M__92" type="6" refreshedVersion="6" background="1" saveData="1">
    <textPr prompt="0" sourceFile="C:\I section (Liya)\Type_1_mesh_M\Type_1_mesh_355_HEA800_450_GMNIA_M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3" xr16:uid="{00000000-0015-0000-FFFF-FFFF79010000}" name="Type_1_mesh_355_HEA800-_450_GMNIA_N__121" type="6" refreshedVersion="6" background="1" saveData="1">
    <textPr prompt="0" sourceFile="C:\I section (Liya)\Type_1_mesh_N\Type_1_mesh_355_HEA800-_450_GMNIA_N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4" xr16:uid="{00000000-0015-0000-FFFF-FFFF7A010000}" name="Type_1_mesh_355_HEA800_450_GMNIA_N__91" type="6" refreshedVersion="6" background="1" saveData="1">
    <textPr prompt="0" sourceFile="C:\I section (Liya)\Type_1_mesh_N\Type_1_mesh_355_HEA800_450_GMNIA_N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5" xr16:uid="{00000000-0015-0000-FFFF-FFFF7B010000}" name="Type_1_mesh_355_HEA800_700_GMNIA_M__331" type="6" refreshedVersion="6" background="1" saveData="1">
    <textPr prompt="0" sourceFile="C:\I section (Liya)\Type_1_mesh_M\Type_1_mesh_355_HEA800_700_GMNIA_M__3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6" xr16:uid="{00000000-0015-0000-FFFF-FFFF7C010000}" name="Type_1_mesh_355_HEA800_700_GMNIA_M__332" type="6" refreshedVersion="6" background="1" saveData="1">
    <textPr prompt="0" sourceFile="C:\I section (Liya)\Type_1_mesh_M\Type_1_mesh_355_HEA800_700_GMNIA_M__3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7" xr16:uid="{00000000-0015-0000-FFFF-FFFF7D010000}" name="Type_1_mesh_355_HEA800-_700_GMNIA_M__361" type="6" refreshedVersion="6" background="1" saveData="1">
    <textPr prompt="0" sourceFile="C:\I section (Liya)\Type_1_mesh_M\Type_1_mesh_355_HEA800-_700_GMNIA_M__3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8" xr16:uid="{00000000-0015-0000-FFFF-FFFF7E010000}" name="Type_1_mesh_355_HEA800-_700_GMNIA_M__362" type="6" refreshedVersion="6" background="1" saveData="1">
    <textPr prompt="0" sourceFile="C:\I section (Liya)\Type_1_mesh_M\Type_1_mesh_355_HEA800-_700_GMNIA_M__3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9" xr16:uid="{00000000-0015-0000-FFFF-FFFF7F010000}" name="Type_1_mesh_355_HEA800_700_GMNIA_N__33" type="6" refreshedVersion="6" background="1" saveData="1">
    <textPr prompt="0" codePage="850" sourceFile="C:\I section (Liya)\Type_1_mesh_N\Type_1_mesh_355_HEA800_700_GMNIA_N__33.txt" thousands=" " space="1" consecutive="1">
      <textFields count="4">
        <textField/>
        <textField/>
        <textField/>
        <textField/>
      </textFields>
    </textPr>
  </connection>
  <connection id="580" xr16:uid="{00000000-0015-0000-FFFF-FFFF80010000}" name="Type_1_mesh_355_HEA800_700_GMNIA_N__331" type="6" refreshedVersion="6" background="1" saveData="1">
    <textPr prompt="0" sourceFile="C:\I section (Liya)\Type_1_mesh_N\Type_1_mesh_355_HEA800_700_GMNIA_N__3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1" xr16:uid="{00000000-0015-0000-FFFF-FFFF81010000}" name="Type_1_mesh_355_HEA800-_700_GMNIA_N__36" type="6" refreshedVersion="6" background="1" saveData="1">
    <textPr prompt="0" codePage="850" sourceFile="C:\I section (Liya)\Type_1_mesh_N\Type_1_mesh_355_HEA800-_700_GMNIA_N__36.txt" thousands=" " space="1" consecutive="1">
      <textFields count="4">
        <textField/>
        <textField/>
        <textField/>
        <textField/>
      </textFields>
    </textPr>
  </connection>
  <connection id="582" xr16:uid="{00000000-0015-0000-FFFF-FFFF82010000}" name="Type_1_mesh_355_HEA800-_700_GMNIA_N__361" type="6" refreshedVersion="6" background="1" saveData="1">
    <textPr prompt="0" sourceFile="C:\I section (Liya)\Type_1_mesh_N\Type_1_mesh_355_HEA800-_700_GMNIA_N__3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3" xr16:uid="{00000000-0015-0000-FFFF-FFFF83010000}" name="Type_1_mesh_355_IPE200_450_GMNIA_M__11" type="6" refreshedVersion="6" background="1" saveData="1">
    <textPr prompt="0" sourceFile="C:\I section (Liya)\Type_1_mesh_M\Type_1_mesh_355_IPE200_450_GMNIA_M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4" xr16:uid="{00000000-0015-0000-FFFF-FFFF84010000}" name="Type_1_mesh_355_IPE200_450_GMNIA_M__12" type="6" refreshedVersion="6" background="1" saveData="1">
    <textPr prompt="0" sourceFile="C:\I section (Liya)\Type_1_mesh_M\Type_1_mesh_355_IPE200_450_GMNIA_M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5" xr16:uid="{00000000-0015-0000-FFFF-FFFF85010000}" name="Type_1_mesh_355_IPE200_450_GMNIA_M__13" type="6" refreshedVersion="6" background="1" saveData="1">
    <textPr prompt="0" sourceFile="C:\I section (Liya)\Type_1_mesh_M\Type_1_mesh_355_IPE200_450_GMNIA_M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6" xr16:uid="{00000000-0015-0000-FFFF-FFFF86010000}" name="Type_1_mesh_355_IPE200-_450_GMNIA_M__41" type="6" refreshedVersion="6" background="1" saveData="1">
    <textPr prompt="0" sourceFile="C:\I section (Liya)\Type_1_mesh_M\Type_1_mesh_355_IPE200-_450_GMNIA_M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7" xr16:uid="{00000000-0015-0000-FFFF-FFFF87010000}" name="Type_1_mesh_355_IPE200-_450_GMNIA_M__42" type="6" refreshedVersion="6" background="1" saveData="1">
    <textPr prompt="0" sourceFile="C:\I section (Liya)\Type_1_mesh_M\Type_1_mesh_355_IPE200-_450_GMNIA_M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8" xr16:uid="{00000000-0015-0000-FFFF-FFFF88010000}" name="Type_1_mesh_355_IPE200_450_GMNIA_N__11" type="6" refreshedVersion="6" background="1" saveData="1">
    <textPr prompt="0" sourceFile="C:\I section (Liya)\Type_1_mesh_N\Type_1_mesh_355_IPE200_450_GMNIA_N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9" xr16:uid="{00000000-0015-0000-FFFF-FFFF89010000}" name="Type_1_mesh_355_IPE200-_450_GMNIA_N__41" type="6" refreshedVersion="6" background="1" saveData="1">
    <textPr prompt="0" sourceFile="C:\I section (Liya)\Type_1_mesh_N\Type_1_mesh_355_IPE200-_450_GMNIA_N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0" xr16:uid="{00000000-0015-0000-FFFF-FFFF8A010000}" name="Type_1_mesh_355_IPE200_700_GMNIA_M__251" type="6" refreshedVersion="6" background="1" saveData="1">
    <textPr prompt="0" sourceFile="C:\I section (Liya)\Type_1_mesh_M\Type_1_mesh_355_IPE200_700_GMNIA_M__2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1" xr16:uid="{00000000-0015-0000-FFFF-FFFF8B010000}" name="Type_1_mesh_355_IPE200_700_GMNIA_M__252" type="6" refreshedVersion="6" background="1" saveData="1">
    <textPr prompt="0" sourceFile="C:\I section (Liya)\Type_1_mesh_M\Type_1_mesh_355_IPE200_700_GMNIA_M__2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2" xr16:uid="{00000000-0015-0000-FFFF-FFFF8C010000}" name="Type_1_mesh_355_IPE200-_700_GMNIA_M__281" type="6" refreshedVersion="6" background="1" saveData="1">
    <textPr prompt="0" sourceFile="C:\I section (Liya)\Type_1_mesh_M\Type_1_mesh_355_IPE200-_700_GMNIA_M__2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3" xr16:uid="{00000000-0015-0000-FFFF-FFFF8D010000}" name="Type_1_mesh_355_IPE200-_700_GMNIA_M__282" type="6" refreshedVersion="6" background="1" saveData="1">
    <textPr prompt="0" sourceFile="C:\I section (Liya)\Type_1_mesh_M\Type_1_mesh_355_IPE200-_700_GMNIA_M__2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4" xr16:uid="{00000000-0015-0000-FFFF-FFFF8E010000}" name="Type_1_mesh_355_IPE200_700_GMNIA_N__251" type="6" refreshedVersion="6" background="1" saveData="1">
    <textPr prompt="0" sourceFile="C:\I section (Liya)\Type_1_mesh_N\Type_1_mesh_355_IPE200_700_GMNIA_N__2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5" xr16:uid="{00000000-0015-0000-FFFF-FFFF8F010000}" name="Type_1_mesh_355_IPE200-_700_GMNIA_N__281" type="6" refreshedVersion="6" background="1" saveData="1">
    <textPr prompt="0" sourceFile="C:\I section (Liya)\Type_1_mesh_N\Type_1_mesh_355_IPE200-_700_GMNIA_N__2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6" xr16:uid="{00000000-0015-0000-FFFF-FFFF90010000}" name="Type_1_mesh_355_IPE330_450_GMNIA_M__21" type="6" refreshedVersion="6" background="1" saveData="1">
    <textPr prompt="0" sourceFile="C:\I section (Liya)\Type_1_mesh_M\Type_1_mesh_355_IPE330_450_GMNIA_M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7" xr16:uid="{00000000-0015-0000-FFFF-FFFF91010000}" name="Type_1_mesh_355_IPE330_450_GMNIA_M__22" type="6" refreshedVersion="6" background="1" saveData="1">
    <textPr prompt="0" sourceFile="C:\I section (Liya)\Type_1_mesh_M\Type_1_mesh_355_IPE330_450_GMNIA_M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8" xr16:uid="{00000000-0015-0000-FFFF-FFFF92010000}" name="Type_1_mesh_355_IPE330-_450_GMNIA_M__51" type="6" refreshedVersion="6" background="1" saveData="1">
    <textPr prompt="0" sourceFile="C:\I section (Liya)\Type_1_mesh_M\Type_1_mesh_355_IPE330-_450_GMNIA_M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9" xr16:uid="{00000000-0015-0000-FFFF-FFFF93010000}" name="Type_1_mesh_355_IPE330-_450_GMNIA_M__52" type="6" refreshedVersion="6" background="1" saveData="1">
    <textPr prompt="0" sourceFile="C:\I section (Liya)\Type_1_mesh_M\Type_1_mesh_355_IPE330-_450_GMNIA_M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0" xr16:uid="{00000000-0015-0000-FFFF-FFFF94010000}" name="Type_1_mesh_355_IPE330_450_GMNIA_N__21" type="6" refreshedVersion="6" background="1" saveData="1">
    <textPr prompt="0" sourceFile="C:\I section (Liya)\Type_1_mesh_N\Type_1_mesh_355_IPE330_450_GMNIA_N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1" xr16:uid="{00000000-0015-0000-FFFF-FFFF95010000}" name="Type_1_mesh_355_IPE330-_450_GMNIA_N__51" type="6" refreshedVersion="6" background="1" saveData="1">
    <textPr prompt="0" sourceFile="C:\I section (Liya)\Type_1_mesh_N\Type_1_mesh_355_IPE330-_450_GMNIA_N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2" xr16:uid="{00000000-0015-0000-FFFF-FFFF96010000}" name="Type_1_mesh_355_IPE330_700_GMNIA_M__261" type="6" refreshedVersion="6" background="1" saveData="1">
    <textPr prompt="0" sourceFile="C:\I section (Liya)\Type_1_mesh_M\Type_1_mesh_355_IPE330_700_GMNIA_M__2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3" xr16:uid="{00000000-0015-0000-FFFF-FFFF97010000}" name="Type_1_mesh_355_IPE330_700_GMNIA_M__262" type="6" refreshedVersion="6" background="1" saveData="1">
    <textPr prompt="0" sourceFile="C:\I section (Liya)\Type_1_mesh_M\Type_1_mesh_355_IPE330_700_GMNIA_M__2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4" xr16:uid="{00000000-0015-0000-FFFF-FFFF98010000}" name="Type_1_mesh_355_IPE330-_700_GMNIA_M__291" type="6" refreshedVersion="6" background="1" saveData="1">
    <textPr prompt="0" sourceFile="C:\I section (Liya)\Type_1_mesh_M\Type_1_mesh_355_IPE330-_700_GMNIA_M__2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5" xr16:uid="{00000000-0015-0000-FFFF-FFFF99010000}" name="Type_1_mesh_355_IPE330-_700_GMNIA_M__292" type="6" refreshedVersion="6" background="1" saveData="1">
    <textPr prompt="0" sourceFile="C:\I section (Liya)\Type_1_mesh_M\Type_1_mesh_355_IPE330-_700_GMNIA_M__2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6" xr16:uid="{00000000-0015-0000-FFFF-FFFF9A010000}" name="Type_1_mesh_355_IPE330_700_GMNIA_N__261" type="6" refreshedVersion="6" background="1" saveData="1">
    <textPr prompt="0" sourceFile="C:\I section (Liya)\Type_1_mesh_N\Type_1_mesh_355_IPE330_700_GMNIA_N__2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7" xr16:uid="{00000000-0015-0000-FFFF-FFFF9B010000}" name="Type_1_mesh_355_IPE330-_700_GMNIA_N__29" type="6" refreshedVersion="6" background="1" saveData="1">
    <textPr prompt="0" codePage="850" sourceFile="C:\I section (Liya)\Type_1_mesh_N\Type_1_mesh_355_IPE330-_700_GMNIA_N__29.txt" thousands=" " space="1" consecutive="1">
      <textFields count="4">
        <textField/>
        <textField/>
        <textField/>
        <textField/>
      </textFields>
    </textPr>
  </connection>
  <connection id="608" xr16:uid="{00000000-0015-0000-FFFF-FFFF9C010000}" name="Type_1_mesh_355_IPE330-_700_GMNIA_N__291" type="6" refreshedVersion="6" background="1" saveData="1">
    <textPr prompt="0" sourceFile="C:\I section (Liya)\Type_1_mesh_N\Type_1_mesh_355_IPE330-_700_GMNIA_N__2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9" xr16:uid="{00000000-0015-0000-FFFF-FFFF9D010000}" name="Type_1_mesh_355_IPE600_450_GMNIA_M__31" type="6" refreshedVersion="6" background="1" saveData="1">
    <textPr prompt="0" sourceFile="C:\I section (Liya)\Type_1_mesh_M\Type_1_mesh_355_IPE600_450_GMNIA_M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0" xr16:uid="{00000000-0015-0000-FFFF-FFFF9E010000}" name="Type_1_mesh_355_IPE600_450_GMNIA_M__32" type="6" refreshedVersion="6" background="1" saveData="1">
    <textPr prompt="0" sourceFile="C:\I section (Liya)\Type_1_mesh_M\Type_1_mesh_355_IPE600_450_GMNIA_M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1" xr16:uid="{00000000-0015-0000-FFFF-FFFF9F010000}" name="Type_1_mesh_355_IPE600-_450_GMNIA_M__61" type="6" refreshedVersion="6" background="1" saveData="1">
    <textPr prompt="0" sourceFile="C:\I section (Liya)\Type_1_mesh_M\Type_1_mesh_355_IPE600-_450_GMNIA_M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2" xr16:uid="{00000000-0015-0000-FFFF-FFFFA0010000}" name="Type_1_mesh_355_IPE600-_450_GMNIA_M__62" type="6" refreshedVersion="6" background="1" saveData="1">
    <textPr prompt="0" sourceFile="C:\I section (Liya)\Type_1_mesh_M\Type_1_mesh_355_IPE600-_450_GMNIA_M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3" xr16:uid="{00000000-0015-0000-FFFF-FFFFA1010000}" name="Type_1_mesh_355_IPE600_450_GMNIA_N__31" type="6" refreshedVersion="6" background="1" saveData="1">
    <textPr prompt="0" sourceFile="C:\I section (Liya)\Type_1_mesh_N\Type_1_mesh_355_IPE600_450_GMNIA_N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4" xr16:uid="{00000000-0015-0000-FFFF-FFFFA2010000}" name="Type_1_mesh_355_IPE600-_450_GMNIA_N__61" type="6" refreshedVersion="6" background="1" saveData="1">
    <textPr prompt="0" sourceFile="C:\I section (Liya)\Type_1_mesh_N\Type_1_mesh_355_IPE600-_450_GMNIA_N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5" xr16:uid="{00000000-0015-0000-FFFF-FFFFA3010000}" name="Type_1_mesh_355_IPE600_700_GMNIA_M__271" type="6" refreshedVersion="6" background="1" saveData="1">
    <textPr prompt="0" sourceFile="C:\I section (Liya)\Type_1_mesh_M\Type_1_mesh_355_IPE600_700_GMNIA_M__2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6" xr16:uid="{00000000-0015-0000-FFFF-FFFFA4010000}" name="Type_1_mesh_355_IPE600_700_GMNIA_M__272" type="6" refreshedVersion="6" background="1" saveData="1">
    <textPr prompt="0" sourceFile="C:\I section (Liya)\Type_1_mesh_M\Type_1_mesh_355_IPE600_700_GMNIA_M__2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7" xr16:uid="{00000000-0015-0000-FFFF-FFFFA5010000}" name="Type_1_mesh_355_IPE600-_700_GMNIA_M__301" type="6" refreshedVersion="6" background="1" saveData="1">
    <textPr prompt="0" sourceFile="C:\I section (Liya)\Type_1_mesh_M\Type_1_mesh_355_IPE600-_700_GMNIA_M__3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8" xr16:uid="{00000000-0015-0000-FFFF-FFFFA6010000}" name="Type_1_mesh_355_IPE600-_700_GMNIA_M__302" type="6" refreshedVersion="6" background="1" saveData="1">
    <textPr prompt="0" sourceFile="C:\I section (Liya)\Type_1_mesh_M\Type_1_mesh_355_IPE600-_700_GMNIA_M__3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9" xr16:uid="{00000000-0015-0000-FFFF-FFFFA7010000}" name="Type_1_mesh_355_IPE600_700_GMNIA_N__271" type="6" refreshedVersion="6" background="1" saveData="1">
    <textPr prompt="0" sourceFile="C:\I section (Liya)\Type_1_mesh_N\Type_1_mesh_355_IPE600_700_GMNIA_N__2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0" xr16:uid="{00000000-0015-0000-FFFF-FFFFA8010000}" name="Type_1_mesh_355_IPE600-_700_GMNIA_N__30" type="6" refreshedVersion="6" background="1" saveData="1">
    <textPr prompt="0" codePage="850" sourceFile="C:\I section (Liya)\Type_1_mesh_N\Type_1_mesh_355_IPE600-_700_GMNIA_N__30.txt" thousands=" " space="1" consecutive="1">
      <textFields count="4">
        <textField/>
        <textField/>
        <textField/>
        <textField/>
      </textFields>
    </textPr>
  </connection>
  <connection id="621" xr16:uid="{00000000-0015-0000-FFFF-FFFFA9010000}" name="Type_1_mesh_355_IPE600-_700_GMNIA_N__301" type="6" refreshedVersion="6" background="1" saveData="1">
    <textPr prompt="0" sourceFile="C:\I section (Liya)\Type_1_mesh_N\Type_1_mesh_355_IPE600-_700_GMNIA_N__3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2" xr16:uid="{00000000-0015-0000-FFFF-FFFFAA010000}" name="Type_1_mesh_690_HEA280_450_GMNIA_M__191" type="6" refreshedVersion="6" background="1" saveData="1">
    <textPr prompt="0" sourceFile="C:\I section (Liya)\Type_1_mesh_M\Type_1_mesh_690_HEA280_450_GMNIA_M__1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3" xr16:uid="{00000000-0015-0000-FFFF-FFFFAB010000}" name="Type_1_mesh_690_HEA280_450_GMNIA_M__192" type="6" refreshedVersion="6" background="1" saveData="1">
    <textPr prompt="0" sourceFile="C:\I section (Liya)\Type_1_mesh_M\Type_1_mesh_690_HEA280_450_GMNIA_M__1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4" xr16:uid="{00000000-0015-0000-FFFF-FFFFAC010000}" name="Type_1_mesh_690_HEA280-_450_GMNIA_M__221" type="6" refreshedVersion="6" background="1" saveData="1">
    <textPr prompt="0" sourceFile="C:\I section (Liya)\Type_1_mesh_M\Type_1_mesh_690_HEA280-_450_GMNIA_M__2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5" xr16:uid="{00000000-0015-0000-FFFF-FFFFAD010000}" name="Type_1_mesh_690_HEA280-_450_GMNIA_M__222" type="6" refreshedVersion="6" background="1" saveData="1">
    <textPr prompt="0" sourceFile="C:\I section (Liya)\Type_1_mesh_M\Type_1_mesh_690_HEA280-_450_GMNIA_M__2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6" xr16:uid="{00000000-0015-0000-FFFF-FFFFAE010000}" name="Type_1_mesh_690_HEA280_450_GMNIA_N__191" type="6" refreshedVersion="6" background="1" saveData="1">
    <textPr prompt="0" sourceFile="C:\I section (Liya)\Type_1_mesh_N\Type_1_mesh_690_HEA280_450_GMNIA_N__1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7" xr16:uid="{00000000-0015-0000-FFFF-FFFFAF010000}" name="Type_1_mesh_690_HEA280-_450_GMNIA_N__221" type="6" refreshedVersion="6" background="1" saveData="1">
    <textPr prompt="0" sourceFile="C:\I section (Liya)\Type_1_mesh_N\Type_1_mesh_690_HEA280-_450_GMNIA_N__2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8" xr16:uid="{00000000-0015-0000-FFFF-FFFFB0010000}" name="Type_1_mesh_690_HEA280_700_GMNIA_M__431" type="6" refreshedVersion="6" background="1" saveData="1">
    <textPr prompt="0" sourceFile="C:\I section (Liya)\Type_1_mesh_M\Type_1_mesh_690_HEA280_700_GMNIA_M__4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9" xr16:uid="{00000000-0015-0000-FFFF-FFFFB1010000}" name="Type_1_mesh_690_HEA280_700_GMNIA_M__432" type="6" refreshedVersion="6" background="1" saveData="1">
    <textPr prompt="0" sourceFile="C:\I section (Liya)\Type_1_mesh_M\Type_1_mesh_690_HEA280_700_GMNIA_M__4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0" xr16:uid="{00000000-0015-0000-FFFF-FFFFB2010000}" name="Type_1_mesh_690_HEA280-_700_GMNIA_M__461" type="6" refreshedVersion="6" background="1" saveData="1">
    <textPr prompt="0" sourceFile="C:\I section (Liya)\Type_1_mesh_M\Type_1_mesh_690_HEA280-_700_GMNIA_M__4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1" xr16:uid="{00000000-0015-0000-FFFF-FFFFB3010000}" name="Type_1_mesh_690_HEA280-_700_GMNIA_M__462" type="6" refreshedVersion="6" background="1" saveData="1">
    <textPr prompt="0" sourceFile="C:\I section (Liya)\Type_1_mesh_M\Type_1_mesh_690_HEA280-_700_GMNIA_M__4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2" xr16:uid="{00000000-0015-0000-FFFF-FFFFB4010000}" name="Type_1_mesh_690_HEA280_700_GMNIA_N__43" type="6" refreshedVersion="6" background="1" saveData="1">
    <textPr prompt="0" codePage="850" sourceFile="C:\I section (Liya)\Type_1_mesh_N\Type_1_mesh_690_HEA280_700_GMNIA_N__43.txt" thousands=" " space="1" consecutive="1">
      <textFields count="4">
        <textField/>
        <textField/>
        <textField/>
        <textField/>
      </textFields>
    </textPr>
  </connection>
  <connection id="633" xr16:uid="{00000000-0015-0000-FFFF-FFFFB5010000}" name="Type_1_mesh_690_HEA280_700_GMNIA_N__431" type="6" refreshedVersion="6" background="1" saveData="1">
    <textPr prompt="0" sourceFile="C:\I section (Liya)\Type_1_mesh_N\Type_1_mesh_690_HEA280_700_GMNIA_N__4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4" xr16:uid="{00000000-0015-0000-FFFF-FFFFB6010000}" name="Type_1_mesh_690_HEA280-_700_GMNIA_N__46" type="6" refreshedVersion="6" background="1" saveData="1">
    <textPr prompt="0" codePage="850" sourceFile="C:\I section (Liya)\Type_1_mesh_N\Type_1_mesh_690_HEA280-_700_GMNIA_N__46.txt" thousands=" " space="1" consecutive="1">
      <textFields count="4">
        <textField/>
        <textField/>
        <textField/>
        <textField/>
      </textFields>
    </textPr>
  </connection>
  <connection id="635" xr16:uid="{00000000-0015-0000-FFFF-FFFFB7010000}" name="Type_1_mesh_690_HEA280-_700_GMNIA_N__461" type="6" refreshedVersion="6" background="1" saveData="1">
    <textPr prompt="0" sourceFile="C:\I section (Liya)\Type_1_mesh_N\Type_1_mesh_690_HEA280-_700_GMNIA_N__4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6" xr16:uid="{00000000-0015-0000-FFFF-FFFFB8010000}" name="Type_1_mesh_690_HEA400_450_GMNIA_M__201" type="6" refreshedVersion="6" background="1" saveData="1">
    <textPr prompt="0" sourceFile="C:\I section (Liya)\Type_1_mesh_M\Type_1_mesh_690_HEA400_450_GMNIA_M__2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7" xr16:uid="{00000000-0015-0000-FFFF-FFFFB9010000}" name="Type_1_mesh_690_HEA400_450_GMNIA_M__202" type="6" refreshedVersion="6" background="1" saveData="1">
    <textPr prompt="0" sourceFile="C:\I section (Liya)\Type_1_mesh_M\Type_1_mesh_690_HEA400_450_GMNIA_M__2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8" xr16:uid="{00000000-0015-0000-FFFF-FFFFBA010000}" name="Type_1_mesh_690_HEA400-_450_GMNIA_M__231" type="6" refreshedVersion="6" background="1" saveData="1">
    <textPr prompt="0" sourceFile="C:\I section (Liya)\Type_1_mesh_M\Type_1_mesh_690_HEA400-_450_GMNIA_M__2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9" xr16:uid="{00000000-0015-0000-FFFF-FFFFBB010000}" name="Type_1_mesh_690_HEA400-_450_GMNIA_M__232" type="6" refreshedVersion="6" background="1" saveData="1">
    <textPr prompt="0" sourceFile="C:\I section (Liya)\Type_1_mesh_M\Type_1_mesh_690_HEA400-_450_GMNIA_M__2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0" xr16:uid="{00000000-0015-0000-FFFF-FFFFBC010000}" name="Type_1_mesh_690_HEA400_450_GMNIA_N__201" type="6" refreshedVersion="6" background="1" saveData="1">
    <textPr prompt="0" sourceFile="C:\I section (Liya)\Type_1_mesh_N\Type_1_mesh_690_HEA400_450_GMNIA_N__2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1" xr16:uid="{00000000-0015-0000-FFFF-FFFFBD010000}" name="Type_1_mesh_690_HEA400-_450_GMNIA_N__231" type="6" refreshedVersion="6" background="1" saveData="1">
    <textPr prompt="0" sourceFile="C:\I section (Liya)\Type_1_mesh_N\Type_1_mesh_690_HEA400-_450_GMNIA_N__2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2" xr16:uid="{00000000-0015-0000-FFFF-FFFFBE010000}" name="Type_1_mesh_690_HEA400_700_GMNIA_M__441" type="6" refreshedVersion="6" background="1" saveData="1">
    <textPr prompt="0" sourceFile="C:\I section (Liya)\Type_1_mesh_M\Type_1_mesh_690_HEA400_700_GMNIA_M__4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3" xr16:uid="{00000000-0015-0000-FFFF-FFFFBF010000}" name="Type_1_mesh_690_HEA400_700_GMNIA_M__442" type="6" refreshedVersion="6" background="1" saveData="1">
    <textPr prompt="0" sourceFile="C:\I section (Liya)\Type_1_mesh_M\Type_1_mesh_690_HEA400_700_GMNIA_M__4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4" xr16:uid="{00000000-0015-0000-FFFF-FFFFC0010000}" name="Type_1_mesh_690_HEA400-_700_GMNIA_M__471" type="6" refreshedVersion="6" background="1" saveData="1">
    <textPr prompt="0" sourceFile="C:\I section (Liya)\Type_1_mesh_M\Type_1_mesh_690_HEA400-_700_GMNIA_M__4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5" xr16:uid="{00000000-0015-0000-FFFF-FFFFC1010000}" name="Type_1_mesh_690_HEA400-_700_GMNIA_M__472" type="6" refreshedVersion="6" background="1" saveData="1">
    <textPr prompt="0" sourceFile="C:\I section (Liya)\Type_1_mesh_M\Type_1_mesh_690_HEA400-_700_GMNIA_M__4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6" xr16:uid="{00000000-0015-0000-FFFF-FFFFC2010000}" name="Type_1_mesh_690_HEA400_700_GMNIA_N__44" type="6" refreshedVersion="6" background="1" saveData="1">
    <textPr prompt="0" codePage="850" sourceFile="C:\I section (Liya)\Type_1_mesh_N\Type_1_mesh_690_HEA400_700_GMNIA_N__44.txt" thousands=" " space="1" consecutive="1">
      <textFields count="4">
        <textField/>
        <textField/>
        <textField/>
        <textField/>
      </textFields>
    </textPr>
  </connection>
  <connection id="647" xr16:uid="{00000000-0015-0000-FFFF-FFFFC3010000}" name="Type_1_mesh_690_HEA400_700_GMNIA_N__441" type="6" refreshedVersion="6" background="1" saveData="1">
    <textPr prompt="0" sourceFile="C:\I section (Liya)\Type_1_mesh_N\Type_1_mesh_690_HEA400_700_GMNIA_N__4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8" xr16:uid="{00000000-0015-0000-FFFF-FFFFC4010000}" name="Type_1_mesh_690_HEA400-_700_GMNIA_N__47" type="6" refreshedVersion="6" background="1" saveData="1">
    <textPr prompt="0" codePage="850" sourceFile="C:\I section (Liya)\Type_1_mesh_N\Type_1_mesh_690_HEA400-_700_GMNIA_N__47.txt" thousands=" " space="1" consecutive="1">
      <textFields count="4">
        <textField/>
        <textField/>
        <textField/>
        <textField/>
      </textFields>
    </textPr>
  </connection>
  <connection id="649" xr16:uid="{00000000-0015-0000-FFFF-FFFFC5010000}" name="Type_1_mesh_690_HEA400-_700_GMNIA_N__471" type="6" refreshedVersion="6" background="1" saveData="1">
    <textPr prompt="0" sourceFile="C:\I section (Liya)\Type_1_mesh_N\Type_1_mesh_690_HEA400-_700_GMNIA_N__4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0" xr16:uid="{00000000-0015-0000-FFFF-FFFFC6010000}" name="Type_1_mesh_690_HEA800_450_GMNIA_M__211" type="6" refreshedVersion="6" background="1" saveData="1">
    <textPr prompt="0" sourceFile="C:\I section (Liya)\Type_1_mesh_M\Type_1_mesh_690_HEA800_450_GMNIA_M__2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1" xr16:uid="{00000000-0015-0000-FFFF-FFFFC7010000}" name="Type_1_mesh_690_HEA800_450_GMNIA_M__212" type="6" refreshedVersion="6" background="1" saveData="1">
    <textPr prompt="0" sourceFile="C:\I section (Liya)\Type_1_mesh_M\Type_1_mesh_690_HEA800_450_GMNIA_M__2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2" xr16:uid="{00000000-0015-0000-FFFF-FFFFC8010000}" name="Type_1_mesh_690_HEA800-_450_GMNIA_M__241" type="6" refreshedVersion="6" background="1" saveData="1">
    <textPr prompt="0" sourceFile="C:\I section (Liya)\Type_1_mesh_M\Type_1_mesh_690_HEA800-_450_GMNIA_M__2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3" xr16:uid="{00000000-0015-0000-FFFF-FFFFC9010000}" name="Type_1_mesh_690_HEA800-_450_GMNIA_M__242" type="6" refreshedVersion="6" background="1" saveData="1">
    <textPr prompt="0" sourceFile="C:\I section (Liya)\Type_1_mesh_M\Type_1_mesh_690_HEA800-_450_GMNIA_M__2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4" xr16:uid="{00000000-0015-0000-FFFF-FFFFCA010000}" name="Type_1_mesh_690_HEA800_450_GMNIA_N__211" type="6" refreshedVersion="6" background="1" saveData="1">
    <textPr prompt="0" sourceFile="C:\I section (Liya)\Type_1_mesh_N\Type_1_mesh_690_HEA800_450_GMNIA_N__2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5" xr16:uid="{00000000-0015-0000-FFFF-FFFFCB010000}" name="Type_1_mesh_690_HEA800-_450_GMNIA_N__241" type="6" refreshedVersion="6" background="1" saveData="1">
    <textPr prompt="0" sourceFile="C:\I section (Liya)\Type_1_mesh_N\Type_1_mesh_690_HEA800-_450_GMNIA_N__2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6" xr16:uid="{00000000-0015-0000-FFFF-FFFFCC010000}" name="Type_1_mesh_690_HEA800_700_GMNIA_M__451" type="6" refreshedVersion="6" background="1" saveData="1">
    <textPr prompt="0" sourceFile="C:\I section (Liya)\Type_1_mesh_M\Type_1_mesh_690_HEA800_700_GMNIA_M__4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7" xr16:uid="{00000000-0015-0000-FFFF-FFFFCD010000}" name="Type_1_mesh_690_HEA800_700_GMNIA_M__452" type="6" refreshedVersion="6" background="1" saveData="1">
    <textPr prompt="0" sourceFile="C:\I section (Liya)\Type_1_mesh_M\Type_1_mesh_690_HEA800_700_GMNIA_M__4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8" xr16:uid="{00000000-0015-0000-FFFF-FFFFCE010000}" name="Type_1_mesh_690_HEA800-_700_GMNIA_M__481" type="6" refreshedVersion="6" background="1" saveData="1">
    <textPr prompt="0" sourceFile="C:\I section (Liya)\Type_1_mesh_M\Type_1_mesh_690_HEA800-_700_GMNIA_M__4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9" xr16:uid="{00000000-0015-0000-FFFF-FFFFCF010000}" name="Type_1_mesh_690_HEA800-_700_GMNIA_M__482" type="6" refreshedVersion="6" background="1" saveData="1">
    <textPr prompt="0" sourceFile="C:\I section (Liya)\Type_1_mesh_M\Type_1_mesh_690_HEA800-_700_GMNIA_M__4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0" xr16:uid="{00000000-0015-0000-FFFF-FFFFD0010000}" name="Type_1_mesh_690_HEA800_700_GMNIA_N__45" type="6" refreshedVersion="6" background="1" saveData="1">
    <textPr prompt="0" codePage="850" sourceFile="C:\I section (Liya)\Type_1_mesh_N\Type_1_mesh_690_HEA800_700_GMNIA_N__45.txt" thousands=" " space="1" consecutive="1">
      <textFields count="4">
        <textField/>
        <textField/>
        <textField/>
        <textField/>
      </textFields>
    </textPr>
  </connection>
  <connection id="661" xr16:uid="{00000000-0015-0000-FFFF-FFFFD1010000}" name="Type_1_mesh_690_HEA800_700_GMNIA_N__451" type="6" refreshedVersion="6" background="1" saveData="1">
    <textPr prompt="0" sourceFile="C:\I section (Liya)\Type_1_mesh_N\Type_1_mesh_690_HEA800_700_GMNIA_N__4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2" xr16:uid="{00000000-0015-0000-FFFF-FFFFD2010000}" name="Type_1_mesh_690_HEA800-_700_GMNIA_N__48" type="6" refreshedVersion="6" background="1" saveData="1">
    <textPr prompt="0" codePage="850" sourceFile="C:\I section (Liya)\Type_1_mesh_N\Type_1_mesh_690_HEA800-_700_GMNIA_N__48.txt" thousands=" " space="1" consecutive="1">
      <textFields count="4">
        <textField/>
        <textField/>
        <textField/>
        <textField/>
      </textFields>
    </textPr>
  </connection>
  <connection id="663" xr16:uid="{00000000-0015-0000-FFFF-FFFFD3010000}" name="Type_1_mesh_690_HEA800-_700_GMNIA_N__481" type="6" refreshedVersion="6" background="1" saveData="1">
    <textPr prompt="0" sourceFile="C:\I section (Liya)\Type_1_mesh_N\Type_1_mesh_690_HEA800-_700_GMNIA_N__4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4" xr16:uid="{00000000-0015-0000-FFFF-FFFFD4010000}" name="Type_1_mesh_690_IPE200_450_GMNIA_M__131" type="6" refreshedVersion="6" background="1" saveData="1">
    <textPr prompt="0" sourceFile="C:\I section (Liya)\Type_1_mesh_M\Type_1_mesh_690_IPE200_450_GMNIA_M__1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5" xr16:uid="{00000000-0015-0000-FFFF-FFFFD5010000}" name="Type_1_mesh_690_IPE200_450_GMNIA_M__132" type="6" refreshedVersion="6" background="1" saveData="1">
    <textPr prompt="0" sourceFile="C:\I section (Liya)\Type_1_mesh_M\Type_1_mesh_690_IPE200_450_GMNIA_M__1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6" xr16:uid="{00000000-0015-0000-FFFF-FFFFD6010000}" name="Type_1_mesh_690_IPE200-_450_GMNIA_M__161" type="6" refreshedVersion="6" background="1" saveData="1">
    <textPr prompt="0" sourceFile="C:\I section (Liya)\Type_1_mesh_M\Type_1_mesh_690_IPE200-_450_GMNIA_M__1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7" xr16:uid="{00000000-0015-0000-FFFF-FFFFD7010000}" name="Type_1_mesh_690_IPE200-_450_GMNIA_M__162" type="6" refreshedVersion="6" background="1" saveData="1">
    <textPr prompt="0" sourceFile="C:\I section (Liya)\Type_1_mesh_M\Type_1_mesh_690_IPE200-_450_GMNIA_M__1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8" xr16:uid="{00000000-0015-0000-FFFF-FFFFD8010000}" name="Type_1_mesh_690_IPE200_450_GMNIA_N__131" type="6" refreshedVersion="6" background="1" saveData="1">
    <textPr prompt="0" sourceFile="C:\I section (Liya)\Type_1_mesh_N\Type_1_mesh_690_IPE200_450_GMNIA_N__1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9" xr16:uid="{00000000-0015-0000-FFFF-FFFFD9010000}" name="Type_1_mesh_690_IPE200-_450_GMNIA_N__161" type="6" refreshedVersion="6" background="1" saveData="1">
    <textPr prompt="0" sourceFile="C:\I section (Liya)\Type_1_mesh_N\Type_1_mesh_690_IPE200-_450_GMNIA_N__1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0" xr16:uid="{00000000-0015-0000-FFFF-FFFFDA010000}" name="Type_1_mesh_690_IPE200_700_GMNIA_M__371" type="6" refreshedVersion="6" background="1" saveData="1">
    <textPr prompt="0" sourceFile="C:\I section (Liya)\Type_1_mesh_M\Type_1_mesh_690_IPE200_700_GMNIA_M__3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1" xr16:uid="{00000000-0015-0000-FFFF-FFFFDB010000}" name="Type_1_mesh_690_IPE200_700_GMNIA_M__372" type="6" refreshedVersion="6" background="1" saveData="1">
    <textPr prompt="0" sourceFile="C:\I section (Liya)\Type_1_mesh_M\Type_1_mesh_690_IPE200_700_GMNIA_M__3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2" xr16:uid="{00000000-0015-0000-FFFF-FFFFDC010000}" name="Type_1_mesh_690_IPE200-_700_GMNIA_M__401" type="6" refreshedVersion="6" background="1" saveData="1">
    <textPr prompt="0" sourceFile="C:\I section (Liya)\Type_1_mesh_M\Type_1_mesh_690_IPE200-_700_GMNIA_M__4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3" xr16:uid="{00000000-0015-0000-FFFF-FFFFDD010000}" name="Type_1_mesh_690_IPE200-_700_GMNIA_M__402" type="6" refreshedVersion="6" background="1" saveData="1">
    <textPr prompt="0" sourceFile="C:\I section (Liya)\Type_1_mesh_M\Type_1_mesh_690_IPE200-_700_GMNIA_M__4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4" xr16:uid="{00000000-0015-0000-FFFF-FFFFDE010000}" name="Type_1_mesh_690_IPE200_700_GMNIA_N__37" type="6" refreshedVersion="6" background="1" saveData="1">
    <textPr prompt="0" codePage="850" sourceFile="C:\I section (Liya)\Type_1_mesh_N\Type_1_mesh_690_IPE200_700_GMNIA_N__37.txt" thousands=" " space="1" consecutive="1">
      <textFields count="4">
        <textField/>
        <textField/>
        <textField/>
        <textField/>
      </textFields>
    </textPr>
  </connection>
  <connection id="675" xr16:uid="{00000000-0015-0000-FFFF-FFFFDF010000}" name="Type_1_mesh_690_IPE200_700_GMNIA_N__371" type="6" refreshedVersion="6" background="1" saveData="1">
    <textPr prompt="0" sourceFile="C:\I section (Liya)\Type_1_mesh_N\Type_1_mesh_690_IPE200_700_GMNIA_N__3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6" xr16:uid="{00000000-0015-0000-FFFF-FFFFE0010000}" name="Type_1_mesh_690_IPE200-_700_GMNIA_N__40" type="6" refreshedVersion="6" background="1" saveData="1">
    <textPr prompt="0" codePage="850" sourceFile="C:\I section (Liya)\Type_1_mesh_N\Type_1_mesh_690_IPE200-_700_GMNIA_N__40.txt" thousands=" " space="1" consecutive="1">
      <textFields count="4">
        <textField/>
        <textField/>
        <textField/>
        <textField/>
      </textFields>
    </textPr>
  </connection>
  <connection id="677" xr16:uid="{00000000-0015-0000-FFFF-FFFFE1010000}" name="Type_1_mesh_690_IPE200-_700_GMNIA_N__401" type="6" refreshedVersion="6" background="1" saveData="1">
    <textPr prompt="0" sourceFile="C:\I section (Liya)\Type_1_mesh_N\Type_1_mesh_690_IPE200-_700_GMNIA_N__4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8" xr16:uid="{00000000-0015-0000-FFFF-FFFFE2010000}" name="Type_1_mesh_690_IPE330_450_GMNIA_M__141" type="6" refreshedVersion="6" background="1" saveData="1">
    <textPr prompt="0" sourceFile="C:\I section (Liya)\Type_1_mesh_M\Type_1_mesh_690_IPE330_450_GMNIA_M__1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9" xr16:uid="{00000000-0015-0000-FFFF-FFFFE3010000}" name="Type_1_mesh_690_IPE330_450_GMNIA_M__142" type="6" refreshedVersion="6" background="1" saveData="1">
    <textPr prompt="0" sourceFile="C:\I section (Liya)\Type_1_mesh_M\Type_1_mesh_690_IPE330_450_GMNIA_M__1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0" xr16:uid="{00000000-0015-0000-FFFF-FFFFE4010000}" name="Type_1_mesh_690_IPE330-_450_GMNIA_M__171" type="6" refreshedVersion="6" background="1" saveData="1">
    <textPr prompt="0" sourceFile="C:\I section (Liya)\Type_1_mesh_M\Type_1_mesh_690_IPE330-_450_GMNIA_M__1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1" xr16:uid="{00000000-0015-0000-FFFF-FFFFE5010000}" name="Type_1_mesh_690_IPE330-_450_GMNIA_M__172" type="6" refreshedVersion="6" background="1" saveData="1">
    <textPr prompt="0" sourceFile="C:\I section (Liya)\Type_1_mesh_M\Type_1_mesh_690_IPE330-_450_GMNIA_M__1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2" xr16:uid="{00000000-0015-0000-FFFF-FFFFE6010000}" name="Type_1_mesh_690_IPE330_450_GMNIA_N__141" type="6" refreshedVersion="6" background="1" saveData="1">
    <textPr prompt="0" sourceFile="C:\I section (Liya)\Type_1_mesh_N\Type_1_mesh_690_IPE330_450_GMNIA_N__1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3" xr16:uid="{00000000-0015-0000-FFFF-FFFFE7010000}" name="Type_1_mesh_690_IPE330-_450_GMNIA_N__171" type="6" refreshedVersion="6" background="1" saveData="1">
    <textPr prompt="0" sourceFile="C:\I section (Liya)\Type_1_mesh_N\Type_1_mesh_690_IPE330-_450_GMNIA_N__1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4" xr16:uid="{00000000-0015-0000-FFFF-FFFFE8010000}" name="Type_1_mesh_690_IPE330_700_GMNIA_M__381" type="6" refreshedVersion="6" background="1" saveData="1">
    <textPr prompt="0" sourceFile="C:\I section (Liya)\Type_1_mesh_M\Type_1_mesh_690_IPE330_700_GMNIA_M__3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5" xr16:uid="{00000000-0015-0000-FFFF-FFFFE9010000}" name="Type_1_mesh_690_IPE330_700_GMNIA_M__382" type="6" refreshedVersion="6" background="1" saveData="1">
    <textPr prompt="0" sourceFile="C:\I section (Liya)\Type_1_mesh_M\Type_1_mesh_690_IPE330_700_GMNIA_M__3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6" xr16:uid="{00000000-0015-0000-FFFF-FFFFEA010000}" name="Type_1_mesh_690_IPE330-_700_GMNIA_M__411" type="6" refreshedVersion="6" background="1" saveData="1">
    <textPr prompt="0" sourceFile="C:\I section (Liya)\Type_1_mesh_M\Type_1_mesh_690_IPE330-_700_GMNIA_M__4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7" xr16:uid="{00000000-0015-0000-FFFF-FFFFEB010000}" name="Type_1_mesh_690_IPE330-_700_GMNIA_M__412" type="6" refreshedVersion="6" background="1" saveData="1">
    <textPr prompt="0" sourceFile="C:\I section (Liya)\Type_1_mesh_M\Type_1_mesh_690_IPE330-_700_GMNIA_M__4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8" xr16:uid="{00000000-0015-0000-FFFF-FFFFEC010000}" name="Type_1_mesh_690_IPE330_700_GMNIA_N__38" type="6" refreshedVersion="6" background="1" saveData="1">
    <textPr prompt="0" codePage="850" sourceFile="C:\I section (Liya)\Type_1_mesh_N\Type_1_mesh_690_IPE330_700_GMNIA_N__38.txt" thousands=" " space="1" consecutive="1">
      <textFields count="4">
        <textField/>
        <textField/>
        <textField/>
        <textField/>
      </textFields>
    </textPr>
  </connection>
  <connection id="689" xr16:uid="{00000000-0015-0000-FFFF-FFFFED010000}" name="Type_1_mesh_690_IPE330_700_GMNIA_N__381" type="6" refreshedVersion="6" background="1" saveData="1">
    <textPr prompt="0" sourceFile="C:\I section (Liya)\Type_1_mesh_N\Type_1_mesh_690_IPE330_700_GMNIA_N__3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0" xr16:uid="{00000000-0015-0000-FFFF-FFFFEE010000}" name="Type_1_mesh_690_IPE330-_700_GMNIA_N__41" type="6" refreshedVersion="6" background="1" saveData="1">
    <textPr prompt="0" codePage="850" sourceFile="C:\I section (Liya)\Type_1_mesh_N\Type_1_mesh_690_IPE330-_700_GMNIA_N__41.txt" thousands=" " space="1" consecutive="1">
      <textFields count="4">
        <textField/>
        <textField/>
        <textField/>
        <textField/>
      </textFields>
    </textPr>
  </connection>
  <connection id="691" xr16:uid="{00000000-0015-0000-FFFF-FFFFEF010000}" name="Type_1_mesh_690_IPE330-_700_GMNIA_N__411" type="6" refreshedVersion="6" background="1" saveData="1">
    <textPr prompt="0" sourceFile="C:\I section (Liya)\Type_1_mesh_N\Type_1_mesh_690_IPE330-_700_GMNIA_N__4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2" xr16:uid="{00000000-0015-0000-FFFF-FFFFF0010000}" name="Type_1_mesh_690_IPE600_450_GMNIA_M__151" type="6" refreshedVersion="6" background="1" saveData="1">
    <textPr prompt="0" sourceFile="C:\I section (Liya)\Type_1_mesh_M\Type_1_mesh_690_IPE600_450_GMNIA_M__1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3" xr16:uid="{00000000-0015-0000-FFFF-FFFFF1010000}" name="Type_1_mesh_690_IPE600_450_GMNIA_M__152" type="6" refreshedVersion="6" background="1" saveData="1">
    <textPr prompt="0" sourceFile="C:\I section (Liya)\Type_1_mesh_M\Type_1_mesh_690_IPE600_450_GMNIA_M__1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4" xr16:uid="{00000000-0015-0000-FFFF-FFFFF2010000}" name="Type_1_mesh_690_IPE600-_450_GMNIA_M__181" type="6" refreshedVersion="6" background="1" saveData="1">
    <textPr prompt="0" sourceFile="C:\I section (Liya)\Type_1_mesh_M\Type_1_mesh_690_IPE600-_450_GMNIA_M__1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5" xr16:uid="{00000000-0015-0000-FFFF-FFFFF3010000}" name="Type_1_mesh_690_IPE600-_450_GMNIA_M__182" type="6" refreshedVersion="6" background="1" saveData="1">
    <textPr prompt="0" sourceFile="C:\I section (Liya)\Type_1_mesh_M\Type_1_mesh_690_IPE600-_450_GMNIA_M__1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6" xr16:uid="{00000000-0015-0000-FFFF-FFFFF4010000}" name="Type_1_mesh_690_IPE600_450_GMNIA_N__151" type="6" refreshedVersion="6" background="1" saveData="1">
    <textPr prompt="0" sourceFile="C:\I section (Liya)\Type_1_mesh_N\Type_1_mesh_690_IPE600_450_GMNIA_N__1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7" xr16:uid="{00000000-0015-0000-FFFF-FFFFF5010000}" name="Type_1_mesh_690_IPE600-_450_GMNIA_N__181" type="6" refreshedVersion="6" background="1" saveData="1">
    <textPr prompt="0" sourceFile="C:\I section (Liya)\Type_1_mesh_N\Type_1_mesh_690_IPE600-_450_GMNIA_N__1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8" xr16:uid="{00000000-0015-0000-FFFF-FFFFF6010000}" name="Type_1_mesh_690_IPE600_700_GMNIA_M__391" type="6" refreshedVersion="6" background="1" saveData="1">
    <textPr prompt="0" sourceFile="C:\I section (Liya)\Type_1_mesh_M\Type_1_mesh_690_IPE600_700_GMNIA_M__3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9" xr16:uid="{00000000-0015-0000-FFFF-FFFFF7010000}" name="Type_1_mesh_690_IPE600_700_GMNIA_M__392" type="6" refreshedVersion="6" background="1" saveData="1">
    <textPr prompt="0" sourceFile="C:\I section (Liya)\Type_1_mesh_M\Type_1_mesh_690_IPE600_700_GMNIA_M__3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0" xr16:uid="{00000000-0015-0000-FFFF-FFFFF8010000}" name="Type_1_mesh_690_IPE600-_700_GMNIA_M__421" type="6" refreshedVersion="6" background="1" saveData="1">
    <textPr prompt="0" sourceFile="C:\I section (Liya)\Type_1_mesh_M\Type_1_mesh_690_IPE600-_700_GMNIA_M__4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1" xr16:uid="{00000000-0015-0000-FFFF-FFFFF9010000}" name="Type_1_mesh_690_IPE600-_700_GMNIA_M__422" type="6" refreshedVersion="6" background="1" saveData="1">
    <textPr prompt="0" sourceFile="C:\I section (Liya)\Type_1_mesh_M\Type_1_mesh_690_IPE600-_700_GMNIA_M__4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2" xr16:uid="{00000000-0015-0000-FFFF-FFFFFA010000}" name="Type_1_mesh_690_IPE600_700_GMNIA_N__39" type="6" refreshedVersion="6" background="1" saveData="1">
    <textPr prompt="0" codePage="850" sourceFile="C:\I section (Liya)\Type_1_mesh_N\Type_1_mesh_690_IPE600_700_GMNIA_N__39.txt" thousands=" " space="1" consecutive="1">
      <textFields count="4">
        <textField/>
        <textField/>
        <textField/>
        <textField/>
      </textFields>
    </textPr>
  </connection>
  <connection id="703" xr16:uid="{00000000-0015-0000-FFFF-FFFFFB010000}" name="Type_1_mesh_690_IPE600_700_GMNIA_N__391" type="6" refreshedVersion="6" background="1" saveData="1">
    <textPr prompt="0" sourceFile="C:\I section (Liya)\Type_1_mesh_N\Type_1_mesh_690_IPE600_700_GMNIA_N__3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4" xr16:uid="{00000000-0015-0000-FFFF-FFFFFC010000}" name="Type_1_mesh_690_IPE600-_700_GMNIA_N__42" type="6" refreshedVersion="6" background="1" saveData="1">
    <textPr prompt="0" codePage="850" sourceFile="C:\I section (Liya)\Type_1_mesh_N\Type_1_mesh_690_IPE600-_700_GMNIA_N__42.txt" thousands=" " space="1" consecutive="1">
      <textFields count="4">
        <textField/>
        <textField/>
        <textField/>
        <textField/>
      </textFields>
    </textPr>
  </connection>
  <connection id="705" xr16:uid="{00000000-0015-0000-FFFF-FFFFFD010000}" name="Type_1_mesh_690_IPE600-_700_GMNIA_N__421" type="6" refreshedVersion="6" background="1" saveData="1">
    <textPr prompt="0" sourceFile="C:\I section (Liya)\Type_1_mesh_N\Type_1_mesh_690_IPE600-_700_GMNIA_N__4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6" xr16:uid="{00000000-0015-0000-FFFF-FFFFFE010000}" name="Type_2_mesh_355_HEA280-_450_LBA_N__10" type="6" refreshedVersion="6" background="1" saveData="1">
    <textPr prompt="0" sourceFile="C:\I section (Liya)\Type_2_mesh_N_LBA\Type_2_mesh_355_HEA280-_450_LBA_N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7" xr16:uid="{00000000-0015-0000-FFFF-FFFFFF010000}" name="Type_2_mesh_355_HEA280-_450_LBA_N__102" type="6" refreshedVersion="6" background="1" saveData="1">
    <textPr prompt="0" sourceFile="C:\I section (Liya)\Type_2_mesh_N_LBA\Type_2_mesh_355_HEA280-_450_LBA_N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8" xr16:uid="{00000000-0015-0000-FFFF-FFFF00020000}" name="Type_2_mesh_355_HEA280-_450_LBA_N__103" type="6" refreshedVersion="6" background="1" saveData="1">
    <textPr prompt="0" sourceFile="C:\I section (Liya)\Type_2_mesh_N_LBA\Type_2_mesh_355_HEA280-_450_LBA_N__10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9" xr16:uid="{00000000-0015-0000-FFFF-FFFF01020000}" name="Type_2_mesh_355_HEA280_450_LBA_N__7" type="6" refreshedVersion="6" background="1" saveData="1">
    <textPr prompt="0" sourceFile="C:\I section (Liya)\Type_2_mesh_N_LBA\Type_2_mesh_355_HEA280_450_LBA_N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0" xr16:uid="{00000000-0015-0000-FFFF-FFFF02020000}" name="Type_2_mesh_355_HEA280_450_LBA_N__727" type="6" refreshedVersion="6" background="1" saveData="1">
    <textPr prompt="0" sourceFile="C:\I section (Liya)\Type_2_mesh_N_LBA\Type_2_mesh_355_HEA280_450_LBA_N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1" xr16:uid="{00000000-0015-0000-FFFF-FFFF03020000}" name="Type_2_mesh_355_HEA280_450_LBA_N__728" type="6" refreshedVersion="6" background="1" saveData="1">
    <textPr prompt="0" sourceFile="C:\I section (Liya)\Type_2_mesh_N_LBA\Type_2_mesh_355_HEA280_450_LBA_N__7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2" xr16:uid="{00000000-0015-0000-FFFF-FFFF04020000}" name="Type_2_mesh_355_HEA400-_450_LBA_N__11" type="6" refreshedVersion="6" background="1" saveData="1">
    <textPr prompt="0" sourceFile="C:\I section (Liya)\Type_2_mesh_N_LBA\Type_2_mesh_355_HEA400-_450_LBA_N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3" xr16:uid="{00000000-0015-0000-FFFF-FFFF05020000}" name="Type_2_mesh_355_HEA400-_450_LBA_N__112" type="6" refreshedVersion="6" background="1" saveData="1">
    <textPr prompt="0" sourceFile="C:\I section (Liya)\Type_2_mesh_N_LBA\Type_2_mesh_355_HEA400-_450_LBA_N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4" xr16:uid="{00000000-0015-0000-FFFF-FFFF06020000}" name="Type_2_mesh_355_HEA400-_450_LBA_N__113" type="6" refreshedVersion="6" background="1" saveData="1">
    <textPr prompt="0" sourceFile="C:\I section (Liya)\Type_2_mesh_N_LBA\Type_2_mesh_355_HEA400-_450_LBA_N__1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5" xr16:uid="{00000000-0015-0000-FFFF-FFFF07020000}" name="Type_2_mesh_355_HEA400_450_LBA_N__8" type="6" refreshedVersion="6" background="1" saveData="1">
    <textPr prompt="0" sourceFile="C:\I section (Liya)\Type_2_mesh_N_LBA\Type_2_mesh_355_HEA400_450_LBA_N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6" xr16:uid="{00000000-0015-0000-FFFF-FFFF08020000}" name="Type_2_mesh_355_HEA400_450_LBA_N__82" type="6" refreshedVersion="6" background="1" saveData="1">
    <textPr prompt="0" sourceFile="C:\I section (Liya)\Type_2_mesh_N_LBA\Type_2_mesh_355_HEA400_450_LBA_N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7" xr16:uid="{00000000-0015-0000-FFFF-FFFF09020000}" name="Type_2_mesh_355_HEA400_450_LBA_N__83" type="6" refreshedVersion="6" background="1" saveData="1">
    <textPr prompt="0" sourceFile="C:\I section (Liya)\Type_2_mesh_N_LBA\Type_2_mesh_355_HEA400_450_LBA_N__8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8" xr16:uid="{00000000-0015-0000-FFFF-FFFF0A020000}" name="Type_2_mesh_355_HEA800-_450_LBA_N__12" type="6" refreshedVersion="6" background="1" saveData="1">
    <textPr prompt="0" sourceFile="C:\I section (Liya)\Type_2_mesh_N_LBA\Type_2_mesh_355_HEA800-_450_LBA_N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9" xr16:uid="{00000000-0015-0000-FFFF-FFFF0B020000}" name="Type_2_mesh_355_HEA800-_450_LBA_N__122" type="6" refreshedVersion="6" background="1" saveData="1">
    <textPr prompt="0" sourceFile="C:\I section (Liya)\Type_2_mesh_N_LBA\Type_2_mesh_355_HEA800-_450_LBA_N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0" xr16:uid="{00000000-0015-0000-FFFF-FFFF0C020000}" name="Type_2_mesh_355_HEA800-_450_LBA_N__123" type="6" refreshedVersion="6" background="1" saveData="1">
    <textPr prompt="0" sourceFile="C:\I section (Liya)\Type_2_mesh_N_LBA\Type_2_mesh_355_HEA800-_450_LBA_N__1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1" xr16:uid="{00000000-0015-0000-FFFF-FFFF0D020000}" name="Type_2_mesh_355_HEA800_450_LBA_N__9" type="6" refreshedVersion="6" background="1" saveData="1">
    <textPr prompt="0" sourceFile="C:\I section (Liya)\Type_2_mesh_N_LBA\Type_2_mesh_355_HEA800_450_LBA_N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2" xr16:uid="{00000000-0015-0000-FFFF-FFFF0E020000}" name="Type_2_mesh_355_HEA800_450_LBA_N__92" type="6" refreshedVersion="6" background="1" saveData="1">
    <textPr prompt="0" sourceFile="C:\I section (Liya)\Type_2_mesh_N_LBA\Type_2_mesh_355_HEA800_450_LBA_N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3" xr16:uid="{00000000-0015-0000-FFFF-FFFF0F020000}" name="Type_2_mesh_355_HEA800_450_LBA_N__93" type="6" refreshedVersion="6" background="1" saveData="1">
    <textPr prompt="0" sourceFile="C:\I section (Liya)\Type_2_mesh_N_LBA\Type_2_mesh_355_HEA800_450_LBA_N__9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4" xr16:uid="{00000000-0015-0000-FFFF-FFFF10020000}" name="Type_2_mesh_355_IPE200_450_LBA_N__1" type="6" refreshedVersion="6" background="1" saveData="1">
    <textPr prompt="0" sourceFile="C:\I section (Liya)\Type_2_mesh_N_LBA\Type_2_mesh_355_IPE200_450_LBA_N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5" xr16:uid="{00000000-0015-0000-FFFF-FFFF11020000}" name="Type_2_mesh_355_IPE200_450_LBA_N__110" type="6" refreshedVersion="6" background="1" saveData="1">
    <textPr prompt="0" sourceFile="C:\I section (Liya)\Type_2_mesh_N_LBA\Type_2_mesh_355_IPE200_450_LBA_N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6" xr16:uid="{00000000-0015-0000-FFFF-FFFF12020000}" name="Type_2_mesh_355_IPE200_450_LBA_N__19" type="6" refreshedVersion="6" background="1" saveData="1">
    <textPr prompt="0" sourceFile="C:\I section (Liya)\Type_2_mesh_N_LBA\Type_2_mesh_355_IPE200_450_LBA_N__1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7" xr16:uid="{00000000-0015-0000-FFFF-FFFF13020000}" name="Type_2_mesh_355_IPE200-_450_LBA_N__4" type="6" refreshedVersion="6" background="1" saveData="1">
    <textPr prompt="0" sourceFile="C:\I section (Liya)\Type_2_mesh_N_LBA\Type_2_mesh_355_IPE200-_450_LBA_N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8" xr16:uid="{00000000-0015-0000-FFFF-FFFF14020000}" name="Type_2_mesh_355_IPE200-_450_LBA_N__48" type="6" refreshedVersion="6" background="1" saveData="1">
    <textPr prompt="0" sourceFile="C:\I section (Liya)\Type_2_mesh_N_LBA\Type_2_mesh_355_IPE200-_450_LBA_N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9" xr16:uid="{00000000-0015-0000-FFFF-FFFF15020000}" name="Type_2_mesh_355_IPE200-_450_LBA_N__49" type="6" refreshedVersion="6" background="1" saveData="1">
    <textPr prompt="0" sourceFile="C:\I section (Liya)\Type_2_mesh_N_LBA\Type_2_mesh_355_IPE200-_450_LBA_N__4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0" xr16:uid="{00000000-0015-0000-FFFF-FFFF16020000}" name="Type_2_mesh_355_IPE330_450_LBA_N__2" type="6" refreshedVersion="6" background="1" saveData="1">
    <textPr prompt="0" sourceFile="C:\I section (Liya)\Type_2_mesh_N_LBA\Type_2_mesh_355_IPE330_450_LBA_N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1" xr16:uid="{00000000-0015-0000-FFFF-FFFF17020000}" name="Type_2_mesh_355_IPE330_450_LBA_N__28" type="6" refreshedVersion="6" background="1" saveData="1">
    <textPr prompt="0" sourceFile="C:\I section (Liya)\Type_2_mesh_N_LBA\Type_2_mesh_355_IPE330_450_LBA_N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2" xr16:uid="{00000000-0015-0000-FFFF-FFFF18020000}" name="Type_2_mesh_355_IPE330_450_LBA_N__29" type="6" refreshedVersion="6" background="1" saveData="1">
    <textPr prompt="0" sourceFile="C:\I section (Liya)\Type_2_mesh_N_LBA\Type_2_mesh_355_IPE330_450_LBA_N__2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3" xr16:uid="{00000000-0015-0000-FFFF-FFFF19020000}" name="Type_2_mesh_355_IPE330-_450_LBA_N__5" type="6" refreshedVersion="6" background="1" saveData="1">
    <textPr prompt="0" sourceFile="C:\I section (Liya)\Type_2_mesh_N_LBA\Type_2_mesh_355_IPE330-_450_LBA_N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4" xr16:uid="{00000000-0015-0000-FFFF-FFFF1A020000}" name="Type_2_mesh_355_IPE330-_450_LBA_N__58" type="6" refreshedVersion="6" background="1" saveData="1">
    <textPr prompt="0" sourceFile="C:\I section (Liya)\Type_2_mesh_N_LBA\Type_2_mesh_355_IPE330-_450_LBA_N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5" xr16:uid="{00000000-0015-0000-FFFF-FFFF1B020000}" name="Type_2_mesh_355_IPE330-_450_LBA_N__59" type="6" refreshedVersion="6" background="1" saveData="1">
    <textPr prompt="0" sourceFile="C:\I section (Liya)\Type_2_mesh_N_LBA\Type_2_mesh_355_IPE330-_450_LBA_N__5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6" xr16:uid="{00000000-0015-0000-FFFF-FFFF1C020000}" name="Type_2_mesh_355_IPE600_450_LBA_N__3" type="6" refreshedVersion="6" background="1" saveData="1">
    <textPr prompt="0" sourceFile="C:\I section (Liya)\Type_2_mesh_N_LBA\Type_2_mesh_355_IPE600_450_LBA_N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7" xr16:uid="{00000000-0015-0000-FFFF-FFFF1D020000}" name="Type_2_mesh_355_IPE600_450_LBA_N__38" type="6" refreshedVersion="6" background="1" saveData="1">
    <textPr prompt="0" sourceFile="C:\I section (Liya)\Type_2_mesh_N_LBA\Type_2_mesh_355_IPE600_450_LBA_N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8" xr16:uid="{00000000-0015-0000-FFFF-FFFF1E020000}" name="Type_2_mesh_355_IPE600_450_LBA_N__39" type="6" refreshedVersion="6" background="1" saveData="1">
    <textPr prompt="0" sourceFile="C:\I section (Liya)\Type_2_mesh_N_LBA\Type_2_mesh_355_IPE600_450_LBA_N__3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9" xr16:uid="{00000000-0015-0000-FFFF-FFFF1F020000}" name="Type_2_mesh_355_IPE600-_450_LBA_N__6" type="6" refreshedVersion="6" background="1" saveData="1">
    <textPr prompt="0" sourceFile="C:\I section (Liya)\Type_2_mesh_N_LBA\Type_2_mesh_355_IPE600-_450_LBA_N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0" xr16:uid="{00000000-0015-0000-FFFF-FFFF20020000}" name="Type_2_mesh_355_IPE600-_450_LBA_N__68" type="6" refreshedVersion="6" background="1" saveData="1">
    <textPr prompt="0" sourceFile="C:\I section (Liya)\Type_2_mesh_N_LBA\Type_2_mesh_355_IPE600-_450_LBA_N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1" xr16:uid="{00000000-0015-0000-FFFF-FFFF21020000}" name="Type_2_mesh_355_IPE600-_450_LBA_N__69" type="6" refreshedVersion="6" background="1" saveData="1">
    <textPr prompt="0" sourceFile="C:\I section (Liya)\Type_2_mesh_N_LBA\Type_2_mesh_355_IPE600-_450_LBA_N__6.dat" thousands=" 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<sst xmlns="http://schemas.openxmlformats.org/spreadsheetml/2006/main" count="3307" uniqueCount="572">
  <si>
    <t>Geometry</t>
  </si>
  <si>
    <t>Loading</t>
  </si>
  <si>
    <t>Other parameters</t>
  </si>
  <si>
    <t>Abaqus result</t>
  </si>
  <si>
    <t>Headname :</t>
  </si>
  <si>
    <t>Number</t>
  </si>
  <si>
    <t>Designation</t>
  </si>
  <si>
    <t>Temperature</t>
  </si>
  <si>
    <t>Fy</t>
  </si>
  <si>
    <t>Young's modulus</t>
  </si>
  <si>
    <t>(-)</t>
  </si>
  <si>
    <t>(MPa)</t>
  </si>
  <si>
    <t>(mm)</t>
  </si>
  <si>
    <t>Flange width 
(B)</t>
  </si>
  <si>
    <t>Height 
(H)</t>
  </si>
  <si>
    <t>Flange thickness 
(tf)</t>
  </si>
  <si>
    <t>Web thicknesss
(tw)</t>
  </si>
  <si>
    <t>Radius
(r)</t>
  </si>
  <si>
    <t>Length
(L)</t>
  </si>
  <si>
    <t>Load proportionality factor</t>
  </si>
  <si>
    <t>Finished analysis</t>
  </si>
  <si>
    <t>Analysis</t>
  </si>
  <si>
    <t>Type analysis
(1=LBA, 2=Eig+GMNIA, 3= GMNIA)</t>
  </si>
  <si>
    <t>*</t>
  </si>
  <si>
    <t>Abaqus</t>
  </si>
  <si>
    <t>6.12-1</t>
  </si>
  <si>
    <t>Date</t>
  </si>
  <si>
    <t>Time</t>
  </si>
  <si>
    <t>For</t>
  </si>
  <si>
    <t>use</t>
  </si>
  <si>
    <t>by</t>
  </si>
  <si>
    <t>under</t>
  </si>
  <si>
    <t>license</t>
  </si>
  <si>
    <t>from</t>
  </si>
  <si>
    <t>Dassault</t>
  </si>
  <si>
    <t>Systemes</t>
  </si>
  <si>
    <t>or</t>
  </si>
  <si>
    <t>its</t>
  </si>
  <si>
    <t>subsidiary.</t>
  </si>
  <si>
    <t>The</t>
  </si>
  <si>
    <t>Software</t>
  </si>
  <si>
    <t>is</t>
  </si>
  <si>
    <t>a</t>
  </si>
  <si>
    <t>product</t>
  </si>
  <si>
    <t>of:</t>
  </si>
  <si>
    <t>Simulia</t>
  </si>
  <si>
    <t>Corp.</t>
  </si>
  <si>
    <t>Rising</t>
  </si>
  <si>
    <t>Sun</t>
  </si>
  <si>
    <t>Mills</t>
  </si>
  <si>
    <t>Valley</t>
  </si>
  <si>
    <t>Street</t>
  </si>
  <si>
    <t>Providence,</t>
  </si>
  <si>
    <t>RI</t>
  </si>
  <si>
    <t>02909-2499,</t>
  </si>
  <si>
    <t>USA</t>
  </si>
  <si>
    <t>available</t>
  </si>
  <si>
    <t>only</t>
  </si>
  <si>
    <t>subsidiary</t>
  </si>
  <si>
    <t>and</t>
  </si>
  <si>
    <t>may</t>
  </si>
  <si>
    <t>be</t>
  </si>
  <si>
    <t>used</t>
  </si>
  <si>
    <t>reproduced</t>
  </si>
  <si>
    <t>in</t>
  </si>
  <si>
    <t>accordance</t>
  </si>
  <si>
    <t>with</t>
  </si>
  <si>
    <t>the</t>
  </si>
  <si>
    <t>terms</t>
  </si>
  <si>
    <t>of</t>
  </si>
  <si>
    <t>such</t>
  </si>
  <si>
    <t>license.</t>
  </si>
  <si>
    <t>On</t>
  </si>
  <si>
    <t>machine</t>
  </si>
  <si>
    <t>FSGUNIV-OEH2E73</t>
  </si>
  <si>
    <t>you</t>
  </si>
  <si>
    <t>are</t>
  </si>
  <si>
    <t>authorized</t>
  </si>
  <si>
    <t>to</t>
  </si>
  <si>
    <t>run</t>
  </si>
  <si>
    <t>Abaqus/Standard</t>
  </si>
  <si>
    <t>until</t>
  </si>
  <si>
    <t>31-Dec-2050</t>
  </si>
  <si>
    <t>Your</t>
  </si>
  <si>
    <t>site</t>
  </si>
  <si>
    <t>id</t>
  </si>
  <si>
    <t>is:</t>
  </si>
  <si>
    <t>AE125930</t>
  </si>
  <si>
    <t>assistance</t>
  </si>
  <si>
    <t>any</t>
  </si>
  <si>
    <t>other</t>
  </si>
  <si>
    <t>information</t>
  </si>
  <si>
    <t>obtain</t>
  </si>
  <si>
    <t>contact</t>
  </si>
  <si>
    <t>for</t>
  </si>
  <si>
    <t>your</t>
  </si>
  <si>
    <t>local</t>
  </si>
  <si>
    <t>office</t>
  </si>
  <si>
    <t>world</t>
  </si>
  <si>
    <t>wide</t>
  </si>
  <si>
    <t>web</t>
  </si>
  <si>
    <t>at:</t>
  </si>
  <si>
    <t>http://www.simulia.com/about/locations.html</t>
  </si>
  <si>
    <t>*****************</t>
  </si>
  <si>
    <t>N</t>
  </si>
  <si>
    <t>O</t>
  </si>
  <si>
    <t>T</t>
  </si>
  <si>
    <t>I</t>
  </si>
  <si>
    <t>C</t>
  </si>
  <si>
    <t>E</t>
  </si>
  <si>
    <t>BUILD</t>
  </si>
  <si>
    <t>ID:</t>
  </si>
  <si>
    <t>2012_03_13-20.44.39</t>
  </si>
  <si>
    <t>Please</t>
  </si>
  <si>
    <t>make</t>
  </si>
  <si>
    <t>sure</t>
  </si>
  <si>
    <t>using</t>
  </si>
  <si>
    <t>release</t>
  </si>
  <si>
    <t>manuals</t>
  </si>
  <si>
    <t>plus</t>
  </si>
  <si>
    <t>notes</t>
  </si>
  <si>
    <t>accompanying</t>
  </si>
  <si>
    <t>this</t>
  </si>
  <si>
    <t>release.</t>
  </si>
  <si>
    <t>PROCESSING</t>
  </si>
  <si>
    <t>PART,</t>
  </si>
  <si>
    <t>INSTANCE,</t>
  </si>
  <si>
    <t>AND</t>
  </si>
  <si>
    <t>ASSEMBLY</t>
  </si>
  <si>
    <t>INFORMATION</t>
  </si>
  <si>
    <t>*******************************************************</t>
  </si>
  <si>
    <t>END</t>
  </si>
  <si>
    <t>***********************************************************</t>
  </si>
  <si>
    <t>OPTIONS</t>
  </si>
  <si>
    <t>BEING</t>
  </si>
  <si>
    <t>PROCESSED</t>
  </si>
  <si>
    <t>***************************</t>
  </si>
  <si>
    <t>*HEADING</t>
  </si>
  <si>
    <t>All</t>
  </si>
  <si>
    <t>units</t>
  </si>
  <si>
    <t>&amp;</t>
  </si>
  <si>
    <t>mm</t>
  </si>
  <si>
    <t>*NODE,NSET=ALL</t>
  </si>
  <si>
    <t>*ELEMENT,TYPE=S4R,ELSET=STRIP1</t>
  </si>
  <si>
    <t>*ELEMENT,TYPE=S4R,ELSET=STRIP2</t>
  </si>
  <si>
    <t>*ELEMENT,TYPE=S4R,ELSET=STRIP3</t>
  </si>
  <si>
    <t>*ELEMENT,TYPE=S4R,ELSET=STRIP4</t>
  </si>
  <si>
    <t>*ELEMENT,TYPE=S4R,ELSET=STRIP5</t>
  </si>
  <si>
    <t>*ELEMENT,TYPE=S4R,ELSET=STRIP6</t>
  </si>
  <si>
    <t>*ELEMENT,TYPE=S4R,ELSET=STRIP7</t>
  </si>
  <si>
    <t>*ELEMENT,TYPE=S4R,ELSET=STRIP8</t>
  </si>
  <si>
    <t>*ELEMENT,TYPE=S4R,ELSET=STRIP9</t>
  </si>
  <si>
    <t>*ELEMENT,TYPE=S4R,ELSET=STRIP10</t>
  </si>
  <si>
    <t>*ELEMENT,TYPE=S4R,ELSET=STRIP11</t>
  </si>
  <si>
    <t>*ELEMENT,TYPE=S4R,ELSET=STRIP12</t>
  </si>
  <si>
    <t>*ELEMENT,TYPE=S4R,ELSET=STRIP13</t>
  </si>
  <si>
    <t>*ELEMENT,TYPE=S4R,ELSET=STRIP14</t>
  </si>
  <si>
    <t>*ELEMENT,TYPE=S4R,ELSET=STRIP15</t>
  </si>
  <si>
    <t>*ELEMENT,TYPE=S4R,ELSET=STRIP16</t>
  </si>
  <si>
    <t>*ELEMENT,TYPE=S4R,ELSET=STRIP17</t>
  </si>
  <si>
    <t>*ELEMENT,TYPE=S4R,ELSET=STRIP18</t>
  </si>
  <si>
    <t>*ELEMENT,TYPE=S4R,ELSET=STRIP19</t>
  </si>
  <si>
    <t>*ELEMENT,TYPE=S4R,ELSET=STRIP20</t>
  </si>
  <si>
    <t>*ELEMENT,TYPE=S4R,ELSET=STRIP21</t>
  </si>
  <si>
    <t>*ELEMENT,TYPE=S4R,ELSET=STRIP22</t>
  </si>
  <si>
    <t>*ELEMENT,TYPE=S4R,ELSET=STRIP23</t>
  </si>
  <si>
    <t>*ELEMENT,TYPE=S4R,ELSET=STRIP24</t>
  </si>
  <si>
    <t>*ELEMENT,TYPE=S4R,ELSET=STRIP25</t>
  </si>
  <si>
    <t>*ELEMENT,TYPE=S4R,ELSET=STRIP26</t>
  </si>
  <si>
    <t>*ELEMENT,</t>
  </si>
  <si>
    <t>TYPE</t>
  </si>
  <si>
    <t>=</t>
  </si>
  <si>
    <t>B31</t>
  </si>
  <si>
    <t>*ELSET,</t>
  </si>
  <si>
    <t>ELSET</t>
  </si>
  <si>
    <t>TOPBEAM,GENERATE</t>
  </si>
  <si>
    <t>BOTTOMBEAM,GENERATE</t>
  </si>
  <si>
    <t>Type=SpringA,</t>
  </si>
  <si>
    <t>elset=Spring</t>
  </si>
  <si>
    <t>*NSET,</t>
  </si>
  <si>
    <t>NSET=END1</t>
  </si>
  <si>
    <t>NSET=END2</t>
  </si>
  <si>
    <t>NSET=REFXZERO_centroid</t>
  </si>
  <si>
    <t>NSET=REFXL_centroid</t>
  </si>
  <si>
    <t>NSET=REFXZERO_shear</t>
  </si>
  <si>
    <t>NSET=REFXL_shear</t>
  </si>
  <si>
    <t>NSET=MidZERO_upperflange</t>
  </si>
  <si>
    <t>NSET=MidXL_upperflange</t>
  </si>
  <si>
    <t>NSET=MidZERO_lowerflange</t>
  </si>
  <si>
    <t>NSET=MidXL_lowerflange</t>
  </si>
  <si>
    <t>NSET=MIDDLE</t>
  </si>
  <si>
    <t>NSET=web_nodes1</t>
  </si>
  <si>
    <t>NSET=web_nodes2</t>
  </si>
  <si>
    <t>NSET=upperflange_nodes1</t>
  </si>
  <si>
    <t>NSET=upperflange_nodes2</t>
  </si>
  <si>
    <t>NSET=lowerflange_nodes1</t>
  </si>
  <si>
    <t>NSET=lowerflange_nodes2</t>
  </si>
  <si>
    <t>NSET</t>
  </si>
  <si>
    <t>zip1,</t>
  </si>
  <si>
    <t>generate</t>
  </si>
  <si>
    <t>zip2,</t>
  </si>
  <si>
    <t>Masternodes_ZERO</t>
  </si>
  <si>
    <t>Masternodes_XL</t>
  </si>
  <si>
    <t>*MATERIAL,</t>
  </si>
  <si>
    <t>NAME=MAT100</t>
  </si>
  <si>
    <t>*ELASTIC,</t>
  </si>
  <si>
    <t>TYPE=ISOTROPIC</t>
  </si>
  <si>
    <t>*PLASTIC</t>
  </si>
  <si>
    <t>NAME=MAT200</t>
  </si>
  <si>
    <t>NAME=MAT300</t>
  </si>
  <si>
    <t>*SPRING,</t>
  </si>
  <si>
    <t>ELSET=Spring</t>
  </si>
  <si>
    <t>*INITIAL</t>
  </si>
  <si>
    <t>CONDITIONS,TYPE=STRESS</t>
  </si>
  <si>
    <t>*SHELL</t>
  </si>
  <si>
    <t>SECTION,</t>
  </si>
  <si>
    <t>ELSET=STRIP1,</t>
  </si>
  <si>
    <t>MATERIAL=MAT100</t>
  </si>
  <si>
    <t>ELSET=STRIP2,</t>
  </si>
  <si>
    <t>ELSET=STRIP3,</t>
  </si>
  <si>
    <t>ELSET=STRIP4,</t>
  </si>
  <si>
    <t>ELSET=STRIP5,</t>
  </si>
  <si>
    <t>ELSET=STRIP6,</t>
  </si>
  <si>
    <t>ELSET=STRIP7,</t>
  </si>
  <si>
    <t>ELSET=STRIP8,</t>
  </si>
  <si>
    <t>ELSET=STRIP9,</t>
  </si>
  <si>
    <t>ELSET=STRIP10,</t>
  </si>
  <si>
    <t>ELSET=STRIP11,</t>
  </si>
  <si>
    <t>MATERIAL=MAT200</t>
  </si>
  <si>
    <t>ELSET=STRIP12,</t>
  </si>
  <si>
    <t>ELSET=STRIP13,</t>
  </si>
  <si>
    <t>ELSET=STRIP14,</t>
  </si>
  <si>
    <t>ELSET=STRIP15,</t>
  </si>
  <si>
    <t>ELSET=STRIP16,</t>
  </si>
  <si>
    <t>ELSET=STRIP17,</t>
  </si>
  <si>
    <t>ELSET=STRIP18,</t>
  </si>
  <si>
    <t>ELSET=STRIP19,</t>
  </si>
  <si>
    <t>MATERIAL=MAT300</t>
  </si>
  <si>
    <t>ELSET=STRIP20,</t>
  </si>
  <si>
    <t>ELSET=STRIP21,</t>
  </si>
  <si>
    <t>ELSET=STRIP22,</t>
  </si>
  <si>
    <t>ELSET=STRIP23,</t>
  </si>
  <si>
    <t>ELSET=STRIP24,</t>
  </si>
  <si>
    <t>ELSET=STRIP25,</t>
  </si>
  <si>
    <t>ELSET=STRIP26,</t>
  </si>
  <si>
    <t>*BOUNDARY</t>
  </si>
  <si>
    <t>*EQUATION</t>
  </si>
  <si>
    <t>*BEAM</t>
  </si>
  <si>
    <t>TOPBEAM,</t>
  </si>
  <si>
    <t>MATERIAL</t>
  </si>
  <si>
    <t>MAT100,</t>
  </si>
  <si>
    <t>temperature</t>
  </si>
  <si>
    <t>GRADIENTS,</t>
  </si>
  <si>
    <t>section=BOX</t>
  </si>
  <si>
    <t>BOTTOMBEAM,</t>
  </si>
  <si>
    <t>*Output,</t>
  </si>
  <si>
    <t>field,</t>
  </si>
  <si>
    <t>variable=PRESELECT</t>
  </si>
  <si>
    <t>history,</t>
  </si>
  <si>
    <t>*STEP,NAME=RESIDUALSTRESSES,NLGEOM=YES,INC=100</t>
  </si>
  <si>
    <t>*STEP,</t>
  </si>
  <si>
    <t>name=STEP</t>
  </si>
  <si>
    <t>1,</t>
  </si>
  <si>
    <t>nlgeom=YES,</t>
  </si>
  <si>
    <t>INC=</t>
  </si>
  <si>
    <t>*STATIC</t>
  </si>
  <si>
    <t>***WARNING:</t>
  </si>
  <si>
    <t>THIS</t>
  </si>
  <si>
    <t>OPTION</t>
  </si>
  <si>
    <t>WILL</t>
  </si>
  <si>
    <t>NOT</t>
  </si>
  <si>
    <t>BE</t>
  </si>
  <si>
    <t>STEP-DEPENDENT.</t>
  </si>
  <si>
    <t>LINE</t>
  </si>
  <si>
    <t>IMAGE:</t>
  </si>
  <si>
    <t>*END</t>
  </si>
  <si>
    <t>STEP</t>
  </si>
  <si>
    <t>*STATIC,Riks</t>
  </si>
  <si>
    <t>TOO</t>
  </si>
  <si>
    <t>MANY</t>
  </si>
  <si>
    <t>DATA</t>
  </si>
  <si>
    <t>LINES</t>
  </si>
  <si>
    <t>HAVE</t>
  </si>
  <si>
    <t>BEEN</t>
  </si>
  <si>
    <t>SPECIFIED</t>
  </si>
  <si>
    <t>FOR</t>
  </si>
  <si>
    <t>*CLOAD</t>
  </si>
  <si>
    <t>P</t>
  </si>
  <si>
    <t>R</t>
  </si>
  <si>
    <t>B</t>
  </si>
  <si>
    <t>L</t>
  </si>
  <si>
    <t>M</t>
  </si>
  <si>
    <t>S</t>
  </si>
  <si>
    <t>Z</t>
  </si>
  <si>
    <t>NUMBER</t>
  </si>
  <si>
    <t>OF</t>
  </si>
  <si>
    <t>ELEMENTS</t>
  </si>
  <si>
    <t>IS</t>
  </si>
  <si>
    <t>NODES</t>
  </si>
  <si>
    <t>DEFINED</t>
  </si>
  <si>
    <t>BY</t>
  </si>
  <si>
    <t>THE</t>
  </si>
  <si>
    <t>USER</t>
  </si>
  <si>
    <t>INTERNAL</t>
  </si>
  <si>
    <t>GENERATED</t>
  </si>
  <si>
    <t>PROGRAM</t>
  </si>
  <si>
    <t>TOTAL</t>
  </si>
  <si>
    <t>VARIABLES</t>
  </si>
  <si>
    <t>IN</t>
  </si>
  <si>
    <t>MODEL</t>
  </si>
  <si>
    <t>(DEGREES</t>
  </si>
  <si>
    <t>FREEDOM</t>
  </si>
  <si>
    <t>PLUS</t>
  </si>
  <si>
    <t>MAX</t>
  </si>
  <si>
    <t>NO.</t>
  </si>
  <si>
    <t>ANY</t>
  </si>
  <si>
    <t>LAGRANGE</t>
  </si>
  <si>
    <t>MULTIPLIER</t>
  </si>
  <si>
    <t>VARIABLES.</t>
  </si>
  <si>
    <t>INCLUDE</t>
  </si>
  <si>
    <t>*PRINT,SOLVE=YES</t>
  </si>
  <si>
    <t>TO</t>
  </si>
  <si>
    <t>GET</t>
  </si>
  <si>
    <t>ACTUAL</t>
  </si>
  <si>
    <t>NUMBER.)</t>
  </si>
  <si>
    <t>INPUT</t>
  </si>
  <si>
    <t>JOB</t>
  </si>
  <si>
    <t>TIME</t>
  </si>
  <si>
    <t>SUMMARY</t>
  </si>
  <si>
    <t>(SEC)</t>
  </si>
  <si>
    <t>SYSTEM</t>
  </si>
  <si>
    <t>CPU</t>
  </si>
  <si>
    <t>WALLCLOCK</t>
  </si>
  <si>
    <t>INCREMENT</t>
  </si>
  <si>
    <t>COMPLETED</t>
  </si>
  <si>
    <t>A</t>
  </si>
  <si>
    <t>Y</t>
  </si>
  <si>
    <t>AUTOMATIC</t>
  </si>
  <si>
    <t>CONTROL</t>
  </si>
  <si>
    <t>WITH</t>
  </si>
  <si>
    <t>-</t>
  </si>
  <si>
    <t>SUGGESTED</t>
  </si>
  <si>
    <t>INITIAL</t>
  </si>
  <si>
    <t>PERIOD</t>
  </si>
  <si>
    <t>MINIMUM</t>
  </si>
  <si>
    <t>ALLOWED</t>
  </si>
  <si>
    <t>MAXIMUM</t>
  </si>
  <si>
    <t>LINEAR</t>
  </si>
  <si>
    <t>EQUATION</t>
  </si>
  <si>
    <t>SOLVER</t>
  </si>
  <si>
    <t>DIRECT</t>
  </si>
  <si>
    <t>SPARSE</t>
  </si>
  <si>
    <t>LARGE</t>
  </si>
  <si>
    <t>DISPLACEMENT</t>
  </si>
  <si>
    <t>THEORY</t>
  </si>
  <si>
    <t>USED</t>
  </si>
  <si>
    <t>PROCESS</t>
  </si>
  <si>
    <t>FLOATING</t>
  </si>
  <si>
    <t>PT</t>
  </si>
  <si>
    <t>MEMORY</t>
  </si>
  <si>
    <t>OPERATIONS</t>
  </si>
  <si>
    <t>REQUIRED</t>
  </si>
  <si>
    <t>MINIMIZE</t>
  </si>
  <si>
    <t>I/O</t>
  </si>
  <si>
    <t>PER</t>
  </si>
  <si>
    <t>ITERATION</t>
  </si>
  <si>
    <t>(MBYTES)</t>
  </si>
  <si>
    <t>NOTE:</t>
  </si>
  <si>
    <t>SINCE</t>
  </si>
  <si>
    <t>ABAQUS</t>
  </si>
  <si>
    <t>DOES</t>
  </si>
  <si>
    <t>PRE-ALLOCATE</t>
  </si>
  <si>
    <t>ONLY</t>
  </si>
  <si>
    <t>ALLOCATES</t>
  </si>
  <si>
    <t>AS</t>
  </si>
  <si>
    <t>NEEDED</t>
  </si>
  <si>
    <t>DURING</t>
  </si>
  <si>
    <t>ANALYSIS,</t>
  </si>
  <si>
    <t>REQUIREMENT</t>
  </si>
  <si>
    <t>PRINTED</t>
  </si>
  <si>
    <t>HERE</t>
  </si>
  <si>
    <t>CAN</t>
  </si>
  <si>
    <t>VIEWED</t>
  </si>
  <si>
    <t>GENERAL</t>
  </si>
  <si>
    <t>GUIDELINE</t>
  </si>
  <si>
    <t>BASED</t>
  </si>
  <si>
    <t>ON</t>
  </si>
  <si>
    <t>BEST</t>
  </si>
  <si>
    <t>KNOWLEDGE</t>
  </si>
  <si>
    <t>AVAILABLE</t>
  </si>
  <si>
    <t>AT</t>
  </si>
  <si>
    <t>BEGINNING</t>
  </si>
  <si>
    <t>BEFORE</t>
  </si>
  <si>
    <t>SOLUTION</t>
  </si>
  <si>
    <t>HAS</t>
  </si>
  <si>
    <t>BEGUN.</t>
  </si>
  <si>
    <t>ESTIMATE</t>
  </si>
  <si>
    <t>NORMALLY</t>
  </si>
  <si>
    <t>UPDATED</t>
  </si>
  <si>
    <t>EVERY</t>
  </si>
  <si>
    <t>STEP.</t>
  </si>
  <si>
    <t>IT</t>
  </si>
  <si>
    <t>VALUE</t>
  </si>
  <si>
    <t>FROM</t>
  </si>
  <si>
    <t>CURRENT</t>
  </si>
  <si>
    <t>LAST</t>
  </si>
  <si>
    <t>UNSYMMETRIC</t>
  </si>
  <si>
    <t>TAKEN</t>
  </si>
  <si>
    <t>INTO</t>
  </si>
  <si>
    <t>ACCOUNT</t>
  </si>
  <si>
    <t>IF</t>
  </si>
  <si>
    <t>APPLICABLE.</t>
  </si>
  <si>
    <t>ACTIVE</t>
  </si>
  <si>
    <t>DEGREES</t>
  </si>
  <si>
    <t>FIRST</t>
  </si>
  <si>
    <t>STEP,</t>
  </si>
  <si>
    <t>MIGHT</t>
  </si>
  <si>
    <t>SIGNIFICANTLY</t>
  </si>
  <si>
    <t>DIFFERENT</t>
  </si>
  <si>
    <t>THAN</t>
  </si>
  <si>
    <t>USAGE</t>
  </si>
  <si>
    <t>PROBLEMS</t>
  </si>
  <si>
    <t>SUBSTANTIAL</t>
  </si>
  <si>
    <t>CHANGES</t>
  </si>
  <si>
    <t>BETWEEN</t>
  </si>
  <si>
    <t>STEPS</t>
  </si>
  <si>
    <t>(OR</t>
  </si>
  <si>
    <t>EVEN</t>
  </si>
  <si>
    <t>WITHIN</t>
  </si>
  <si>
    <t>SAME</t>
  </si>
  <si>
    <t>STEP).</t>
  </si>
  <si>
    <t>EXAMPLES</t>
  </si>
  <si>
    <t>ARE:</t>
  </si>
  <si>
    <t>SIGNIFICANT</t>
  </si>
  <si>
    <t>CONTACT</t>
  </si>
  <si>
    <t>CHANGES,</t>
  </si>
  <si>
    <t>CHANGE,</t>
  </si>
  <si>
    <t>BOTH</t>
  </si>
  <si>
    <t>STATIC</t>
  </si>
  <si>
    <t>STEADY</t>
  </si>
  <si>
    <t>STATE</t>
  </si>
  <si>
    <t>DYNAMIC</t>
  </si>
  <si>
    <t>PROCEDURES</t>
  </si>
  <si>
    <t>WHERE</t>
  </si>
  <si>
    <t>ACOUSTIC</t>
  </si>
  <si>
    <t>ACTIVATED</t>
  </si>
  <si>
    <t>STEPS.</t>
  </si>
  <si>
    <t>MULTI-PROCESS</t>
  </si>
  <si>
    <t>EXECUTION,</t>
  </si>
  <si>
    <t>ESTIMATED</t>
  </si>
  <si>
    <t>POINT</t>
  </si>
  <si>
    <t>EACH</t>
  </si>
  <si>
    <t>AN</t>
  </si>
  <si>
    <t>SCHEDULING</t>
  </si>
  <si>
    <t>REFLECT</t>
  </si>
  <si>
    <t>PROCESS.</t>
  </si>
  <si>
    <t>ARE</t>
  </si>
  <si>
    <t>DYNAMICALLY</t>
  </si>
  <si>
    <t>BALANCED</t>
  </si>
  <si>
    <t>SO</t>
  </si>
  <si>
    <t>BALANCE</t>
  </si>
  <si>
    <t>PROCESSES</t>
  </si>
  <si>
    <t>EXPECTED</t>
  </si>
  <si>
    <t>BETTER</t>
  </si>
  <si>
    <t>HERE.</t>
  </si>
  <si>
    <t>UPPER</t>
  </si>
  <si>
    <t>LIMIT</t>
  </si>
  <si>
    <t>THAT</t>
  </si>
  <si>
    <t>ALLOCATED</t>
  </si>
  <si>
    <t>DEPEND</t>
  </si>
  <si>
    <t>PARAMETER</t>
  </si>
  <si>
    <t>AMOUNT</t>
  </si>
  <si>
    <t>PHYSICAL</t>
  </si>
  <si>
    <t>MACHINE.</t>
  </si>
  <si>
    <t>PLEASE</t>
  </si>
  <si>
    <t>SEE</t>
  </si>
  <si>
    <t>ABAQUS ANALYSIS USER'S MANUAL</t>
  </si>
  <si>
    <t>MORE</t>
  </si>
  <si>
    <t>DETAILS.</t>
  </si>
  <si>
    <t>DISK</t>
  </si>
  <si>
    <t>SPACE</t>
  </si>
  <si>
    <t>SCRATCH</t>
  </si>
  <si>
    <t>WELL</t>
  </si>
  <si>
    <t>I/O.</t>
  </si>
  <si>
    <t>GREATER</t>
  </si>
  <si>
    <t>I/O,</t>
  </si>
  <si>
    <t>THEN</t>
  </si>
  <si>
    <t>CLOSE</t>
  </si>
  <si>
    <t>MEMORY TO MINIMIZE I/O</t>
  </si>
  <si>
    <t>VALUE,</t>
  </si>
  <si>
    <t>CLOSE-TO-ZERO;</t>
  </si>
  <si>
    <t>OTHERWISE,</t>
  </si>
  <si>
    <t>PREVIOUSLY</t>
  </si>
  <si>
    <t>MENTIONED</t>
  </si>
  <si>
    <t>LIMIT,</t>
  </si>
  <si>
    <t>ROUGHLY</t>
  </si>
  <si>
    <t>PROPORTIONAL</t>
  </si>
  <si>
    <t>DIFFERENCE</t>
  </si>
  <si>
    <t>LIMIT.</t>
  </si>
  <si>
    <t>HOWEVER</t>
  </si>
  <si>
    <t>ACCURATE</t>
  </si>
  <si>
    <t>POSSIBLE.</t>
  </si>
  <si>
    <t>USING</t>
  </si>
  <si>
    <t>*RESTART, WRITE</t>
  </si>
  <si>
    <t>GENERATE</t>
  </si>
  <si>
    <t>WRITTEN</t>
  </si>
  <si>
    <t>WORK</t>
  </si>
  <si>
    <t>DIRECTORY.</t>
  </si>
  <si>
    <t>LOAD</t>
  </si>
  <si>
    <t>ARC</t>
  </si>
  <si>
    <t>LENGTH</t>
  </si>
  <si>
    <t>SCALE</t>
  </si>
  <si>
    <t>FACTOR</t>
  </si>
  <si>
    <t>MODIFIED</t>
  </si>
  <si>
    <t>RIKS</t>
  </si>
  <si>
    <t>METHOD</t>
  </si>
  <si>
    <t>AMPLITUDE</t>
  </si>
  <si>
    <t>REFERENCES</t>
  </si>
  <si>
    <t>IGNORED</t>
  </si>
  <si>
    <t>INCS</t>
  </si>
  <si>
    <t>*STEP</t>
  </si>
  <si>
    <t>CARD</t>
  </si>
  <si>
    <t>ENDS</t>
  </si>
  <si>
    <t>ANALYSIS</t>
  </si>
  <si>
    <t>COMPLETE</t>
  </si>
  <si>
    <t>WARNING</t>
  </si>
  <si>
    <t>MESSAGES</t>
  </si>
  <si>
    <t>DAT</t>
  </si>
  <si>
    <t>FILE</t>
  </si>
  <si>
    <t>MSG</t>
  </si>
  <si>
    <t>WARNINGS</t>
  </si>
  <si>
    <t>NEGATIVE</t>
  </si>
  <si>
    <t>EIGENVALUES</t>
  </si>
  <si>
    <t>(s)</t>
  </si>
  <si>
    <t>Computation time</t>
  </si>
  <si>
    <t>Folder name</t>
  </si>
  <si>
    <t>Rcr Abaqus</t>
  </si>
  <si>
    <t>Rpl MatLab</t>
  </si>
  <si>
    <t>Eurocode</t>
  </si>
  <si>
    <r>
      <t>θ</t>
    </r>
    <r>
      <rPr>
        <vertAlign val="subscript"/>
        <sz val="11"/>
        <color theme="1"/>
        <rFont val="Calibri"/>
        <family val="2"/>
      </rPr>
      <t>a</t>
    </r>
  </si>
  <si>
    <r>
      <t>k</t>
    </r>
    <r>
      <rPr>
        <vertAlign val="subscript"/>
        <sz val="11"/>
        <color theme="1"/>
        <rFont val="Calibri"/>
        <family val="2"/>
        <scheme val="minor"/>
      </rPr>
      <t>y,</t>
    </r>
    <r>
      <rPr>
        <vertAlign val="subscript"/>
        <sz val="11"/>
        <color theme="1"/>
        <rFont val="Calibri"/>
        <family val="2"/>
      </rPr>
      <t>θ</t>
    </r>
  </si>
  <si>
    <r>
      <t>k</t>
    </r>
    <r>
      <rPr>
        <vertAlign val="subscript"/>
        <sz val="11"/>
        <color theme="1"/>
        <rFont val="Calibri"/>
        <family val="2"/>
        <scheme val="minor"/>
      </rPr>
      <t>p,</t>
    </r>
    <r>
      <rPr>
        <vertAlign val="subscript"/>
        <sz val="11"/>
        <color theme="1"/>
        <rFont val="Calibri"/>
        <family val="2"/>
      </rPr>
      <t>θ</t>
    </r>
  </si>
  <si>
    <r>
      <t>k</t>
    </r>
    <r>
      <rPr>
        <vertAlign val="subscript"/>
        <sz val="11"/>
        <color theme="1"/>
        <rFont val="Calibri"/>
        <family val="2"/>
        <scheme val="minor"/>
      </rPr>
      <t>E,</t>
    </r>
    <r>
      <rPr>
        <vertAlign val="subscript"/>
        <sz val="11"/>
        <color theme="1"/>
        <rFont val="Calibri"/>
        <family val="2"/>
      </rPr>
      <t>θ</t>
    </r>
  </si>
  <si>
    <r>
      <t>k</t>
    </r>
    <r>
      <rPr>
        <vertAlign val="subscript"/>
        <sz val="11"/>
        <color theme="1"/>
        <rFont val="Calibri"/>
        <family val="2"/>
        <scheme val="minor"/>
      </rPr>
      <t>0,2p,</t>
    </r>
    <r>
      <rPr>
        <vertAlign val="subscript"/>
        <sz val="11"/>
        <color theme="1"/>
        <rFont val="Calibri"/>
        <family val="2"/>
      </rPr>
      <t>θ</t>
    </r>
  </si>
  <si>
    <t>vsup :</t>
  </si>
  <si>
    <t xml:space="preserve">vinf : </t>
  </si>
  <si>
    <t>v :</t>
  </si>
  <si>
    <t>Multiplier</t>
  </si>
  <si>
    <t>Initial load (N)</t>
  </si>
  <si>
    <t>Initial load (My)</t>
  </si>
  <si>
    <t>Initial Load (Mz)</t>
  </si>
  <si>
    <t>(kNm)</t>
  </si>
  <si>
    <t>(kN)</t>
  </si>
  <si>
    <t>Type of loading Abaqus</t>
  </si>
  <si>
    <t>IPE120</t>
  </si>
  <si>
    <t>n</t>
  </si>
  <si>
    <t>θ</t>
  </si>
  <si>
    <t>IPE220</t>
  </si>
  <si>
    <t>IPE270</t>
  </si>
  <si>
    <t>IPE360</t>
  </si>
  <si>
    <t>IPE400</t>
  </si>
  <si>
    <t>IPE600</t>
  </si>
  <si>
    <t>HEA120</t>
  </si>
  <si>
    <t>HEA240</t>
  </si>
  <si>
    <t>HEA300</t>
  </si>
  <si>
    <t>HEA400</t>
  </si>
  <si>
    <t>HEA500</t>
  </si>
  <si>
    <t>HEA600</t>
  </si>
  <si>
    <t>HEA1000</t>
  </si>
  <si>
    <t>Hot-rolled</t>
  </si>
  <si>
    <t>Hot-rolled_690_N_0.4_My_Mz_30</t>
  </si>
  <si>
    <r>
      <t>(</t>
    </r>
    <r>
      <rPr>
        <sz val="14"/>
        <color theme="1"/>
        <rFont val="Calibri"/>
        <family val="2"/>
      </rPr>
      <t>◦C)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</si>
</sst>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#,##0&quot; °C&quot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0"/>
      <name val="Tahoma"/>
      <family val="2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15" fontId="0" fillId="0" borderId="0" xfId="0" applyNumberFormat="1"/>
    <xf numFmtId="21" fontId="0" fillId="0" borderId="0" xfId="0" applyNumberFormat="1"/>
    <xf numFmtId="11" fontId="0" fillId="0" borderId="0" xfId="0" applyNumberFormat="1"/>
    <xf numFmtId="164" fontId="0" fillId="0" borderId="0" xfId="0" applyNumberFormat="1" applyAlignment="1">
      <alignment horizontal="center"/>
    </xf>
    <xf numFmtId="0" fontId="4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Border="1" applyAlignment="1">
      <alignment textRotation="90"/>
    </xf>
    <xf numFmtId="0" fontId="5" fillId="0" borderId="2" xfId="0" applyFont="1" applyBorder="1" applyAlignment="1">
      <alignment textRotation="90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5" xfId="0" applyFont="1" applyBorder="1" applyAlignment="1">
      <alignment horizontal="center" vertical="center" textRotation="90" wrapText="1"/>
    </xf>
    <xf numFmtId="0" fontId="6" fillId="0" borderId="6" xfId="0" applyFont="1" applyBorder="1" applyAlignment="1">
      <alignment horizontal="center" vertical="center" textRotation="90" wrapText="1"/>
    </xf>
    <xf numFmtId="0" fontId="7" fillId="0" borderId="6" xfId="0" applyFont="1" applyBorder="1" applyAlignment="1">
      <alignment horizontal="center" vertical="center" textRotation="90" wrapText="1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</cellXfs>
  <cellStyles count="1">
    <cellStyle name="Normal" xfId="0" builtinId="0"/>
  </cellStyles>
  <dxfs count="10"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Data_results!$AB$3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Data_results!$AA$4:$AA$68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xVal>
          <c:yVal>
            <c:numRef>
              <c:f>Data_results!$AB$4:$AB$68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23-4D63-8489-BB3A1485CD70}"/>
            </c:ext>
          </c:extLst>
        </c:ser>
        <c:ser>
          <c:idx val="1"/>
          <c:order val="1"/>
          <c:tx>
            <c:strRef>
              <c:f>Data_results!$AC$3</c:f>
              <c:strCache>
                <c:ptCount val="1"/>
                <c:pt idx="0">
                  <c:v>350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Data_results!$AA$4:$AA$68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xVal>
          <c:yVal>
            <c:numRef>
              <c:f>Data_results!$AC$4:$AC$68</c:f>
              <c:numCache>
                <c:formatCode>General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23-4D63-8489-BB3A1485CD70}"/>
            </c:ext>
          </c:extLst>
        </c:ser>
        <c:ser>
          <c:idx val="2"/>
          <c:order val="2"/>
          <c:tx>
            <c:strRef>
              <c:f>Data_results!$AD$3</c:f>
              <c:strCache>
                <c:ptCount val="1"/>
                <c:pt idx="0">
                  <c:v>450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Data_results!$AA$4:$AA$68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xVal>
          <c:yVal>
            <c:numRef>
              <c:f>Data_results!$AD$4:$AD$68</c:f>
              <c:numCache>
                <c:formatCode>General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23-4D63-8489-BB3A1485CD70}"/>
            </c:ext>
          </c:extLst>
        </c:ser>
        <c:ser>
          <c:idx val="3"/>
          <c:order val="3"/>
          <c:tx>
            <c:strRef>
              <c:f>Data_results!$AE$3</c:f>
              <c:strCache>
                <c:ptCount val="1"/>
                <c:pt idx="0">
                  <c:v>550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Data_results!$AA$4:$AA$68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xVal>
          <c:yVal>
            <c:numRef>
              <c:f>Data_results!$AE$4:$AE$68</c:f>
              <c:numCache>
                <c:formatCode>General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23-4D63-8489-BB3A1485CD70}"/>
            </c:ext>
          </c:extLst>
        </c:ser>
        <c:ser>
          <c:idx val="4"/>
          <c:order val="4"/>
          <c:tx>
            <c:strRef>
              <c:f>Data_results!$AF$3</c:f>
              <c:strCache>
                <c:ptCount val="1"/>
                <c:pt idx="0">
                  <c:v>700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Data_results!$AA$4:$AA$68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xVal>
          <c:yVal>
            <c:numRef>
              <c:f>Data_results!$AF$4:$AF$68</c:f>
              <c:numCache>
                <c:formatCode>General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23-4D63-8489-BB3A1485C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079327"/>
        <c:axId val="1820078495"/>
      </c:scatterChart>
      <c:valAx>
        <c:axId val="1820079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078495"/>
        <c:crosses val="autoZero"/>
        <c:crossBetween val="midCat"/>
      </c:valAx>
      <c:valAx>
        <c:axId val="1820078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07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390525</xdr:colOff>
      <xdr:row>1</xdr:row>
      <xdr:rowOff>685799</xdr:rowOff>
    </xdr:from>
    <xdr:to>
      <xdr:col>25</xdr:col>
      <xdr:colOff>476250</xdr:colOff>
      <xdr:row>2</xdr:row>
      <xdr:rowOff>47624</xdr:rowOff>
    </xdr:to>
    <xdr:sp macro="[0]!get_abaqus_result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354425" y="876299"/>
          <a:ext cx="16097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Abaqus</a:t>
          </a:r>
          <a:r>
            <a:rPr lang="en-CA" sz="1100" baseline="0"/>
            <a:t> results</a:t>
          </a:r>
          <a:endParaRPr lang="en-CA" sz="1100"/>
        </a:p>
      </xdr:txBody>
    </xdr:sp>
    <xdr:clientData/>
  </xdr:twoCellAnchor>
  <xdr:twoCellAnchor>
    <xdr:from>
      <xdr:col>23</xdr:col>
      <xdr:colOff>409575</xdr:colOff>
      <xdr:row>10</xdr:row>
      <xdr:rowOff>28575</xdr:rowOff>
    </xdr:from>
    <xdr:to>
      <xdr:col>25</xdr:col>
      <xdr:colOff>495300</xdr:colOff>
      <xdr:row>12</xdr:row>
      <xdr:rowOff>19050</xdr:rowOff>
    </xdr:to>
    <xdr:sp macro="[0]!get_computation_tim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506825" y="2924175"/>
          <a:ext cx="16097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computation time</a:t>
          </a:r>
        </a:p>
      </xdr:txBody>
    </xdr:sp>
    <xdr:clientData/>
  </xdr:twoCellAnchor>
  <xdr:twoCellAnchor>
    <xdr:from>
      <xdr:col>23</xdr:col>
      <xdr:colOff>419100</xdr:colOff>
      <xdr:row>4</xdr:row>
      <xdr:rowOff>152400</xdr:rowOff>
    </xdr:from>
    <xdr:to>
      <xdr:col>25</xdr:col>
      <xdr:colOff>495300</xdr:colOff>
      <xdr:row>6</xdr:row>
      <xdr:rowOff>123825</xdr:rowOff>
    </xdr:to>
    <xdr:sp macro="[0]!get_Abaqus_Rc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6516350" y="1905000"/>
          <a:ext cx="16002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Rcr</a:t>
          </a:r>
        </a:p>
      </xdr:txBody>
    </xdr:sp>
    <xdr:clientData/>
  </xdr:twoCellAnchor>
  <xdr:twoCellAnchor>
    <xdr:from>
      <xdr:col>23</xdr:col>
      <xdr:colOff>428625</xdr:colOff>
      <xdr:row>7</xdr:row>
      <xdr:rowOff>59532</xdr:rowOff>
    </xdr:from>
    <xdr:to>
      <xdr:col>25</xdr:col>
      <xdr:colOff>504825</xdr:colOff>
      <xdr:row>9</xdr:row>
      <xdr:rowOff>30957</xdr:rowOff>
    </xdr:to>
    <xdr:sp macro="[0]!get_Rpl_matlab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7764125" y="2381251"/>
          <a:ext cx="16002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Rpl</a:t>
          </a:r>
        </a:p>
      </xdr:txBody>
    </xdr:sp>
    <xdr:clientData/>
  </xdr:twoCellAnchor>
  <xdr:twoCellAnchor>
    <xdr:from>
      <xdr:col>8</xdr:col>
      <xdr:colOff>250032</xdr:colOff>
      <xdr:row>20</xdr:row>
      <xdr:rowOff>21429</xdr:rowOff>
    </xdr:from>
    <xdr:to>
      <xdr:col>14</xdr:col>
      <xdr:colOff>178595</xdr:colOff>
      <xdr:row>34</xdr:row>
      <xdr:rowOff>145254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350_GMNIA_My_Mz_30__21" connectionId="34" xr16:uid="{00000000-0016-0000-0100-000066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_700_GMNIA_N__39" connectionId="702" xr16:uid="{00000000-0016-0000-0100-000028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-_700_GMNIA_N__46" connectionId="634" xr16:uid="{00000000-0016-0000-0100-00004A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280_450_GMNIA_M__7" connectionId="472" xr16:uid="{00000000-0016-0000-0100-000041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_700_GMNIA_N__33" connectionId="579" xr16:uid="{00000000-0016-0000-0100-000060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700_GMNIA_My_Mz_30__64" connectionId="103" xr16:uid="{00000000-0016-0000-0100-00002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450_GMNIA_My_Mz_30__29" connectionId="142" xr16:uid="{00000000-0016-0000-0100-000035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550_GMNIA_My_Mz_30__49" connectionId="70" xr16:uid="{00000000-0016-0000-0100-000068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600_20_GMNIA_Mz__3" connectionId="532" xr16:uid="{00000000-0016-0000-0100-00005D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-_700_GMNIA_N__42" connectionId="704" xr16:uid="{00000000-0016-0000-0100-000014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400_450_GMNIA_M__8" connectionId="478" xr16:uid="{00000000-0016-0000-0100-000053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600_450_GMNIA_M__3" connectionId="534" xr16:uid="{00000000-0016-0000-0100-00005B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450_GMNIA_My_Mz_30__32" connectionId="187" xr16:uid="{00000000-0016-0000-0100-000039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700_GMNIA_My_Mz_30__60" connectionId="43" xr16:uid="{00000000-0016-0000-0100-00001A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450_GMNIA_My_Mz_30__39" connectionId="7" xr16:uid="{00000000-0016-0000-0100-00005C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700_GMNIA_My_Mz_30__55" connectionId="148" xr16:uid="{00000000-0016-0000-0100-000022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-_700_GMNIA_N__34" connectionId="553" xr16:uid="{00000000-0016-0000-0100-000040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700_GMNIA_My_Mz_30__59" connectionId="28" xr16:uid="{00000000-0016-0000-0100-000031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700_GMNIA_My_Mz_30__65" connectionId="13" xr16:uid="{00000000-0016-0000-0100-000051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550_GMNIA_My_Mz_30__48" connectionId="55" xr16:uid="{00000000-0016-0000-0100-000043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-_700_GMNIA_N__47" connectionId="648" xr16:uid="{00000000-0016-0000-0100-000011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550_GMNIA_My_Mz_30__46" connectionId="25" xr16:uid="{00000000-0016-0000-0100-000021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330_450_GMNIA_M__2" connectionId="524" xr16:uid="{00000000-0016-0000-0100-000029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550_GMNIA_My_Mz_30__42" connectionId="145" xr16:uid="{00000000-0016-0000-0100-00000A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700_GMNIA_My_Mz_30__58" connectionId="193" xr16:uid="{00000000-0016-0000-0100-000002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20_GMNIA_My_Mz_30__9" connectionId="46" xr16:uid="{00000000-0016-0000-0100-00004B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550_GMNIA_My_Mz_30__47" connectionId="40" xr16:uid="{00000000-0016-0000-0100-00000C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550_GMNIA_My_Mz_30__44" connectionId="175" xr16:uid="{00000000-0016-0000-0100-000034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600-_450_GMNIA_M__6" connectionId="536" xr16:uid="{00000000-0016-0000-0100-000038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_700_GMNIA_N__38" connectionId="688" xr16:uid="{00000000-0016-0000-0100-00000E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-_700_GMNIA_N__41" connectionId="690" xr16:uid="{00000000-0016-0000-0100-000064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-_700_GMNIA_N__35" connectionId="567" xr16:uid="{00000000-0016-0000-0100-000062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800-_450_GMNIA_M__12" connectionId="482" xr16:uid="{00000000-0016-0000-0100-000003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_700_GMNIA_N__32" connectionId="565" xr16:uid="{00000000-0016-0000-0100-000046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_700_GMNIA_N__44" connectionId="646" xr16:uid="{00000000-0016-0000-0100-000010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450_GMNIA_My_Mz_30__33" connectionId="22" xr16:uid="{00000000-0016-0000-0100-000012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600_20_GMNIA_Mz__1" connectionId="530" xr16:uid="{00000000-0016-0000-0100-00000B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0_IPE120_20_GMNIA_N_0.5_My_Mz_50__1" connectionId="463" xr16:uid="{00000000-0016-0000-0100-00003A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00_450_GMNIA_M__1" connectionId="488" xr16:uid="{00000000-0016-0000-0100-000027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0_IPE120_20_GMNIA_N_0.5_My_Mz_50__2" connectionId="464" xr16:uid="{00000000-0016-0000-0100-000026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20_GMNIA_My_Mz_30__5" connectionId="166" xr16:uid="{00000000-0016-0000-0100-00000F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550_GMNIA_My_Mz_30__40" connectionId="115" xr16:uid="{00000000-0016-0000-0100-000032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550_GMNIA_My_Mz_30__52" connectionId="10" xr16:uid="{00000000-0016-0000-0100-00001F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450_GMNIA_My_Mz_30__31" connectionId="172" xr16:uid="{00000000-0016-0000-0100-000044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20_GMNIA_My_Mz_30__3" connectionId="136" xr16:uid="{00000000-0016-0000-0100-00002C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350_GMNIA_My_Mz_30__25" connectionId="94" xr16:uid="{00000000-0016-0000-0100-00001B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350_GMNIA_My_Mz_30__22" connectionId="49" xr16:uid="{00000000-0016-0000-0100-000061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350_GMNIA_My_Mz_30__23" connectionId="64" xr16:uid="{00000000-0016-0000-0100-000000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120_20_GMNIA_Mz__2" connectionId="467" xr16:uid="{00000000-0016-0000-0100-00000D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20_GMNIA_My_Mz_30__11" connectionId="76" xr16:uid="{00000000-0016-0000-0100-000033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700_GMNIA_My_Mz_30__61" connectionId="58" xr16:uid="{00000000-0016-0000-0100-00003C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450_GMNIA_My_Mz_30__36" connectionId="67" xr16:uid="{00000000-0016-0000-0100-000024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20_GMNIA_My_Mz_30__1" connectionId="106" xr16:uid="{00000000-0016-0000-0100-00001C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20_GMNIA_My_Mz_30__2" connectionId="121" xr16:uid="{00000000-0016-0000-0100-000016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700_GMNIA_My_Mz_30__54" connectionId="133" xr16:uid="{00000000-0016-0000-0100-000007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350_GMNIA_My_Mz_30__17" connectionId="154" xr16:uid="{00000000-0016-0000-0100-000063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20_GMNIA_My_Mz_30__4" connectionId="151" xr16:uid="{00000000-0016-0000-0100-000058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550_GMNIA_My_Mz_30__50" connectionId="85" xr16:uid="{00000000-0016-0000-0100-000036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450_GMNIA_My_Mz_30__34" connectionId="37" xr16:uid="{00000000-0016-0000-0100-000057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_700_GMNIA_N__43" connectionId="632" xr16:uid="{00000000-0016-0000-0100-00001E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550_GMNIA_My_Mz_30__41" connectionId="130" xr16:uid="{00000000-0016-0000-0100-000050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600_20_GMNIA_Mz__2" connectionId="531" xr16:uid="{00000000-0016-0000-0100-000059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-_700_GMNIA_N__30" connectionId="620" xr16:uid="{00000000-0016-0000-0100-000054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550_GMNIA_My_Mz_30__43" connectionId="160" xr16:uid="{00000000-0016-0000-0100-00005F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550_GMNIA_My_Mz_30__51" connectionId="100" xr16:uid="{00000000-0016-0000-0100-00004E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700_GMNIA_My_Mz_30__63" connectionId="88" xr16:uid="{00000000-0016-0000-0100-000047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450_GMNIA_My_Mz_30__38" connectionId="97" xr16:uid="{00000000-0016-0000-0100-00003D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20_GMNIA_My_Mz_30__7" connectionId="16" xr16:uid="{00000000-0016-0000-0100-000004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20_GMNIA_My_Mz_30__8" connectionId="31" xr16:uid="{00000000-0016-0000-0100-000042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-_700_GMNIA_N__29" connectionId="607" xr16:uid="{00000000-0016-0000-0100-000005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700_GMNIA_My_Mz_30__56" connectionId="163" xr16:uid="{00000000-0016-0000-0100-00002A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700_GMNIA_My_Mz_30__53" connectionId="118" xr16:uid="{00000000-0016-0000-0100-00005A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330-_450_GMNIA_M__5" connectionId="526" xr16:uid="{00000000-0016-0000-0100-00002D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400-_450_GMNIA_M__11" connectionId="476" xr16:uid="{00000000-0016-0000-0100-00003B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450_GMNIA_My_Mz_30__28" connectionId="127" xr16:uid="{00000000-0016-0000-0100-000013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-_700_GMNIA_N__48" connectionId="662" xr16:uid="{00000000-0016-0000-0100-000020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700_GMNIA_My_Mz_30__57" connectionId="178" xr16:uid="{00000000-0016-0000-0100-00005E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120_20_GMNIA_Mz__3" connectionId="468" xr16:uid="{00000000-0016-0000-0100-000037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350_GMNIA_My_Mz_30__24" connectionId="79" xr16:uid="{00000000-0016-0000-0100-000052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350_GMNIA_My_Mz_30__15" connectionId="124" xr16:uid="{00000000-0016-0000-0100-000015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00-_450_GMNIA_M__4" connectionId="490" xr16:uid="{00000000-0016-0000-0100-00002F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800_450_GMNIA_M__9" connectionId="484" xr16:uid="{00000000-0016-0000-0100-00003E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-_700_GMNIA_N__40" connectionId="676" xr16:uid="{00000000-0016-0000-0100-000049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350_GMNIA_My_Mz_30__20" connectionId="19" xr16:uid="{00000000-0016-0000-0100-000055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700_GMNIA_My_Mz_30__62" connectionId="73" xr16:uid="{00000000-0016-0000-0100-00004C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-_700_GMNIA_N__36" connectionId="581" xr16:uid="{00000000-0016-0000-0100-000023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20_GMNIA_My_Mz_30__6" connectionId="181" xr16:uid="{00000000-0016-0000-0100-000008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350_GMNIA_My_Mz_30__18" connectionId="169" xr16:uid="{00000000-0016-0000-0100-00001D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_700_GMNIA_N__45" connectionId="660" xr16:uid="{00000000-0016-0000-0100-000067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350_GMNIA_My_Mz_30__19" connectionId="184" xr16:uid="{00000000-0016-0000-0100-00002B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20_GMNIA_My_Mz_30__10" connectionId="61" xr16:uid="{00000000-0016-0000-0100-000006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350_GMNIA_My_Mz_30__16" connectionId="139" xr16:uid="{00000000-0016-0000-0100-000018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_700_GMNIA_N__31" connectionId="551" xr16:uid="{00000000-0016-0000-0100-000065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350_GMNIA_My_Mz_30__14" connectionId="109" xr16:uid="{00000000-0016-0000-0100-000045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450_GMNIA_My_Mz_30__35" connectionId="52" xr16:uid="{00000000-0016-0000-0100-000009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450_GMNIA_My_Mz_30__27" connectionId="112" xr16:uid="{00000000-0016-0000-0100-00004D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450_GMNIA_My_Mz_30__30" connectionId="157" xr16:uid="{00000000-0016-0000-0100-000030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450_GMNIA_My_Mz_30__37" connectionId="82" xr16:uid="{00000000-0016-0000-0100-000017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20_GMNIA_My_Mz_30__13" connectionId="1" xr16:uid="{00000000-0016-0000-0100-000056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550_GMNIA_My_Mz_30__45" connectionId="190" xr16:uid="{00000000-0016-0000-0100-000048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_700_GMNIA_N__37" connectionId="674" xr16:uid="{00000000-0016-0000-0100-00002E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350_GMNIA_My_Mz_30__26" connectionId="4" xr16:uid="{00000000-0016-0000-0100-00004F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tools_355_W250X3_450_GMNIA_N__4" connectionId="540" xr16:uid="{00000000-0016-0000-0100-000019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280-_450_GMNIA_M__10" connectionId="470" xr16:uid="{00000000-0016-0000-0100-00003F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20_GMNIA_My_Mz_30__12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350_LBA_My_Mz_30__18" connectionId="156" xr16:uid="{00000000-0016-0000-0300-00007E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350_LBA_N_0.4_My_Mz_30__14_2" connectionId="246" xr16:uid="{41DF15FA-FE09-4525-8A86-369A4B50878D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20_LBA_My_Mz_30__11" connectionId="77" xr16:uid="{00000000-0016-0000-0300-000090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330-_450_LBA_M__5" connectionId="529" xr16:uid="{00000000-0016-0000-0300-0000AB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280_450_LBA_N__32" connectionId="711" xr16:uid="{00000000-0016-0000-0300-00001901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400-_450_LBA_N__11" connectionId="712" xr16:uid="{00000000-0016-0000-0300-00006301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400_20_LBA_N_0.4_My_Mz_30__10_1" connectionId="363" xr16:uid="{B1D528B4-074E-48B9-858E-7DCBD064BA55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200-_450_LBA_N__13" connectionId="729" xr16:uid="{00000000-0016-0000-0300-000095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800-_450_LBA_N__14" connectionId="719" xr16:uid="{00000000-0016-0000-0300-00002C01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000_550_LBA_N_0.4_My_Mz_30__52_2" connectionId="288" xr16:uid="{900F9750-8D23-499E-AF7B-AEC93BEEDE51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20_450_LBA_N_0.4_My_Mz_30__33_2" connectionId="267" xr16:uid="{564DAB5F-70CF-4A08-9350-B195C07620D8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450x177_300_LBA_N__11" connectionId="416" xr16:uid="{00000000-0016-0000-0300-00001201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550_LBA_N_0.4_My_Mz_30__40" connectionId="324" xr16:uid="{7EB923B7-491C-42DE-894B-34D6A7A31F74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400_700_LBA_N_0.4_My_Mz_30__57_1" connectionId="222" xr16:uid="{3CB9494B-C77E-4349-8FBF-4647EC9C077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20_LBA_My_Mz_30__8" connectionId="18" xr16:uid="{00000000-0016-0000-0300-000098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240_350_LBA_N_0.4_My_Mz_30__21_1" connectionId="375" xr16:uid="{9D8E1C33-5E68-4293-87D3-AA45D0AEFF07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330-_450_LBA_N__14" connectionId="735" xr16:uid="{00000000-0016-0000-0300-0000C2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550_LBA_My_Mz_30__43" connectionId="147" xr16:uid="{00000000-0016-0000-0300-00000A01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600_20_LBA_N_0.4_My_Mz_30__12_2" connectionId="244" xr16:uid="{B761123D-0ECA-4FFD-816F-7682F863EAF6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700_LBA_My_Mz_30__59" connectionId="29" xr16:uid="{00000000-0016-0000-0300-0000AD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800_450_LBA_M__9" connectionId="487" xr16:uid="{00000000-0016-0000-0300-00007C01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360_450_LBA_N_0.4_My_Mz_30__30_2" connectionId="263" xr16:uid="{5AC1D398-172B-4419-8209-713DEC6BC5AD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000_550_LBA_N_0.4_My_Mz_30__52_1" connectionId="216" xr16:uid="{BAC6EBFD-5E1A-45CC-8CDA-D5DD997AE0EC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700_LBA_N_0.4_My_Mz_30__56" connectionId="342" xr16:uid="{66130596-0080-4A22-BB4A-CB7C73D533F7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1" connectionId="507" xr16:uid="{00000000-0016-0000-0300-00005401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20_350_LBA_N_0.4_My_Mz_30__20_2" connectionId="252" xr16:uid="{5DB24221-4C61-4D1D-9324-37BF3EA04A01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280_450_LBA_M__7" connectionId="475" xr16:uid="{00000000-0016-0000-0300-000077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600_350_LBA_N_0.4_My_Mz_30__19_2" connectionId="251" xr16:uid="{601AEAAE-9FF9-4E19-8C40-8627F90BB606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197''_700_LBA_N__36" connectionId="426" xr16:uid="{00000000-0016-0000-0300-0000E9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700_LBA_My_Mz_30__55" connectionId="135" xr16:uid="{00000000-0016-0000-0300-00002D01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600_450_LBA_N__3" connectionId="736" xr16:uid="{00000000-0016-0000-0300-000071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50x503_700_LBA_M__68" connectionId="437" xr16:uid="{00000000-0016-0000-0300-0000B7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" connectionId="494" xr16:uid="{00000000-0016-0000-0300-00004C01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600_450_LBA_M__51" connectionId="405" xr16:uid="{00000000-0016-0000-0300-00003B01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450_LBA_N_0.4_My_Mz_30__27_2" connectionId="260" xr16:uid="{CFABF5E5-BD52-4A87-9032-F5A6C8462A6A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2" connectionId="520" xr16:uid="{00000000-0016-0000-0300-00007B01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400_450_LBA_N_0.4_My_Mz_30__36_2" connectionId="270" xr16:uid="{C7882F6B-B896-4995-98E8-4A2501E5E4A1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20_700_LBA_N_0.4_My_Mz_30__54_1" connectionId="218" xr16:uid="{17D5E14A-1E99-4FFD-AC15-863FCA10DE87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700_LBA_My_Mz_30__60" connectionId="44" xr16:uid="{00000000-0016-0000-0300-00007101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4" connectionId="522" xr16:uid="{00000000-0016-0000-0300-0000C7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360_550_LBA_N_0.4_My_Mz_30__43_2" connectionId="278" xr16:uid="{488BA0AD-4202-4BD6-9BC4-9C394652D0B7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550_LBA_My_Mz_30__51" connectionId="101" xr16:uid="{00000000-0016-0000-0300-00007E01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197''_450_LBA_N__24" connectionId="424" xr16:uid="{00000000-0016-0000-0300-00007A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20_20_LBA_N_0.4_My_Mz_30__2_2" connectionId="233" xr16:uid="{15863281-4A9E-4F19-B4AA-20D8AB92740E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350_LBA_N_0.4_My_Mz_30__21" connectionId="304" xr16:uid="{C23512C8-DD25-4A4C-A49A-BEADB0BFDDCA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400_20_LBA_N_0.4_My_Mz_30__10_2" connectionId="241" xr16:uid="{6D9CF87D-402E-4B1E-B2EC-872AA1FBC19D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550_LBA_My_Mz_30__49" connectionId="71" xr16:uid="{00000000-0016-0000-0300-00001F01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800_450_LBA_N__12" connectionId="723" xr16:uid="{00000000-0016-0000-0300-00004A01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200-_450_LBA_N__12" connectionId="728" xr16:uid="{00000000-0016-0000-0300-0000B3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350_LBA_N_0.4_My_Mz_30__25" connectionId="308" xr16:uid="{D65C4BC1-BBC2-45CF-BEDF-33902CBC9575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197''_700_LBA_M__72" connectionId="425" xr16:uid="{00000000-0016-0000-0300-00004E01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450_LBA_N_0.4_My_Mz_30__31" connectionId="315" xr16:uid="{21B0320B-409B-4919-92EC-93C87EE2A7CC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700_LBA_My_Mz_30__59" connectionId="195" xr16:uid="{00000000-0016-0000-0300-00003301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20_LBA_N_0.4_My_Mz_30__2" connectionId="197" xr16:uid="{5CD6EB03-C7D1-41A5-B45F-4DB8268E5388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20_20_LBA_N_0.4_My_Mz_30__7_2" connectionId="238" xr16:uid="{B0AC2834-297E-49F7-9DB2-B7134D1ED5DC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550_LBA_My_Mz_30__52" connectionId="11" xr16:uid="{00000000-0016-0000-0300-00000C01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450_LBA_My_Mz_30__35" connectionId="39" xr16:uid="{00000000-0016-0000-0300-00004901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450_LBA_N_0.4_My_Mz_30__35" connectionId="319" xr16:uid="{61764F68-E2EF-4F7A-B85A-ECDA5A71046D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360_700_LBA_N_0.4_My_Mz_30__56_2" connectionId="292" xr16:uid="{58A108B3-9061-420E-A8FC-BF63CC85ADE6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20_LBA_My_Mz_30__5" connectionId="153" xr16:uid="{00000000-0016-0000-0300-00003901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700_LBA_My_Mz_30__53" connectionId="119" xr16:uid="{00000000-0016-0000-0300-0000C8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350_LBA_My_Mz_30__21" connectionId="21" xr16:uid="{00000000-0016-0000-0300-00000901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800-_450_LBA_M__12" connectionId="486" xr16:uid="{00000000-0016-0000-0300-00007C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360_20_LBA_N_0.4_My_Mz_30__4_2" connectionId="235" xr16:uid="{0BF4A679-9671-4338-9C6A-9ECAACC41948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20_LBA_N_0.4_My_Mz_30__5" connectionId="325" xr16:uid="{45BB2644-6FC7-44D3-BBB1-91D31D65BEF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20_LBA_N_0.4_My_Mz_30__7" connectionId="347" xr16:uid="{0CFF9752-631D-4C3C-9F86-3F9337116D92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00-_450_LBA_M__4" connectionId="493" xr16:uid="{00000000-0016-0000-0300-0000D5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350_LBA_My_Mz_30__24" connectionId="80" xr16:uid="{00000000-0016-0000-0300-00006F01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450_LBA_My_Mz_30__27" connectionId="113" xr16:uid="{00000000-0016-0000-0300-00006D01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70_450_LBA_N_0.4_My_Mz_30__29_1" connectionId="384" xr16:uid="{830A2CEC-419F-4E8E-9459-6844AC074461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550_LBA_My_Mz_30__41" connectionId="117" xr16:uid="{00000000-0016-0000-0300-00009A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20_550_LBA_N_0.4_My_Mz_30__46_1" connectionId="210" xr16:uid="{F8C168CE-3AF1-44D2-8C03-C2D613B9F385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700_LBA_My_Mz_30__63" connectionId="75" xr16:uid="{00000000-0016-0000-0300-0000FC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350_LBA_My_Mz_30__16" connectionId="140" xr16:uid="{00000000-0016-0000-0300-0000B5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70_20_LBA_N_0.4_My_Mz_30__3_1" connectionId="355" xr16:uid="{B339DDE8-2059-4753-8D06-66D9EDE7FB52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550_LBA_My_Mz_30__42" connectionId="132" xr16:uid="{00000000-0016-0000-0300-000086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550_LBA_N_0.4_My_Mz_30__47" connectionId="332" xr16:uid="{342E1A55-B330-4A06-9145-C96C672ECC6B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1200x302''_300_LBA_M__42" connectionId="409" xr16:uid="{00000000-0016-0000-0300-00007001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600_550_LBA_N_0.4_My_Mz_30__45_1" connectionId="208" xr16:uid="{56712AD3-FE68-48CE-A5BB-DFCD965491DF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700_LBA_My_Mz_30__54" connectionId="134" xr16:uid="{00000000-0016-0000-0300-000070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450_LBA_My_Mz_30__28" connectionId="128" xr16:uid="{00000000-0016-0000-0300-0000A9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240_350_LBA_N_0.4_My_Mz_30__21_2" connectionId="254" xr16:uid="{8A2DF786-FE95-4D15-9520-50D687A8BEBB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20_LBA_N_0.4_My_Mz_30__1_4" connectionId="232" xr16:uid="{0D7EC4A5-73A8-4ACE-A281-76F4C76323B3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50x503_700_LBA_N__32" connectionId="438" xr16:uid="{00000000-0016-0000-0300-0000F5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550_LBA_My_Mz_30__45" connectionId="191" xr16:uid="{00000000-0016-0000-0300-00005501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350_LBA_My_Mz_30__26" connectionId="5" xr16:uid="{00000000-0016-0000-0300-0000E0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350_LBA_My_Mz_30__20" connectionId="186" xr16:uid="{00000000-0016-0000-0300-00005601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450x177_300_LBA_M__47" connectionId="415" xr16:uid="{00000000-0016-0000-0300-0000FF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450_LBA_N_0.4_My_Mz_30__27_1" connectionId="382" xr16:uid="{4CCF55DB-65E2-4DA3-8C4E-F7DF2119FB41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600-_450_LBA_N__6" connectionId="739" xr16:uid="{00000000-0016-0000-0300-00004801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300_20_LBA_N_0.4_My_Mz_30__9_1" connectionId="362" xr16:uid="{730827FA-DF95-4C05-8385-9967FD85CD3C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20_450_LBA_N_0.4_My_Mz_30__33_1" connectionId="388" xr16:uid="{E9F097FF-78BA-4E93-8056-D168F124D356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450_LBA_N_0.4_My_Mz_30__34" connectionId="318" xr16:uid="{90A9EDF9-6175-46C9-BBAF-89BE44095F8C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20_LBA_My_Mz_30__10" connectionId="62" xr16:uid="{00000000-0016-0000-0300-0000CB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00x369_450_LBA_N__22" connectionId="442" xr16:uid="{00000000-0016-0000-0300-00008F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600_20_LBA_N_0.4_My_Mz_30__12_1" connectionId="365" xr16:uid="{3535ABBD-A66F-4106-BA8A-F5DD8E7F9AE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550_LBA_N_0.4_My_Mz_30__44" connectionId="329" xr16:uid="{13F5A828-ECBD-4E8E-BEA4-5382FCE21A26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4" connectionId="509" xr16:uid="{00000000-0016-0000-0300-00002A01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7" connectionId="495" xr16:uid="{00000000-0016-0000-0300-0000D9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600_300_LBA_M__39" connectionId="403" xr16:uid="{00000000-0016-0000-0300-0000F7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20_LBA_N_0.4_My_Mz_30__1_2" connectionId="196" xr16:uid="{E0FBD1B6-D08A-43B6-99A9-2B8D14E1ADB4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20_350_LBA_N_0.4_My_Mz_30__20_1" connectionId="374" xr16:uid="{5816606E-323C-470F-8DED-769AB8608376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400_350_LBA_N_0.4_My_Mz_30__18_2" connectionId="250" xr16:uid="{145EA62E-07DB-4182-A08A-727443F43753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350_LBA_N_0.4_My_Mz_30__16" connectionId="253" xr16:uid="{3C0E22EC-870A-46C0-AC0F-6517D9F6E0D2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600_20_LBA_N_0.4_My_Mz_30__6_1" connectionId="359" xr16:uid="{AE00006B-311D-4B4C-A398-1D6EC17B1E69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20_350_LBA_N_0.4_My_Mz_30__15_2" connectionId="247" xr16:uid="{1620AC1D-7083-4239-ABA4-5A0399AD9ADD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220_300_LBA_M__37" connectionId="391" xr16:uid="{00000000-0016-0000-0300-00006001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7" connectionId="508" xr16:uid="{00000000-0016-0000-0300-00004201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20_LBA_My_Mz_30__5" connectionId="167" xr16:uid="{00000000-0016-0000-0300-00007500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400_450_LBA_M__8" connectionId="481" xr16:uid="{00000000-0016-0000-0300-00007701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20_LBA_My_Mz_30__7" connectionId="183" xr16:uid="{00000000-0016-0000-0300-00007900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450x177_700_LBA_M__71" connectionId="419" xr16:uid="{00000000-0016-0000-0300-0000C000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450x177_700_LBA_N__35" connectionId="420" xr16:uid="{00000000-0016-0000-0300-00009E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330_450_LBA_M__2" connectionId="528" xr16:uid="{00000000-0016-0000-0300-00008700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400_20_LBA_N_0.4_My_Mz_30__5_2" connectionId="236" xr16:uid="{685F359F-C3E1-4BFC-81EA-DB3592F504AC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350_LBA_My_Mz_30__24" connectionId="66" xr16:uid="{00000000-0016-0000-0300-0000CA00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20_550_LBA_N_0.4_My_Mz_30__41_1" connectionId="204" xr16:uid="{07713451-7D69-4D4F-B338-EA6AECB99C8A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360_300_LBA_N__2" connectionId="398" xr16:uid="{00000000-0016-0000-0300-00002001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600_550_LBA_N_0.4_My_Mz_30__51_2" connectionId="287" xr16:uid="{7D4E4BAD-3E73-4E80-8BFD-DCB38C28983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2" connectionId="512" xr16:uid="{00000000-0016-0000-0300-00006E01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50x503_300_LBA_N__8" connectionId="434" xr16:uid="{00000000-0016-0000-0300-000069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50x503_450_LBA_M__56" connectionId="435" xr16:uid="{00000000-0016-0000-0300-0000CE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0" connectionId="502" xr16:uid="{00000000-0016-0000-0300-00008101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330_450_LBA_N__10" connectionId="731" xr16:uid="{00000000-0016-0000-0300-00005301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360_700_LBA_N_0.4_My_Mz_30__56_1" connectionId="221" xr16:uid="{93F45BF5-BBD7-4FFD-8C2D-77A6DA29D96D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220_450_LBA_M__49" connectionId="393" xr16:uid="{00000000-0016-0000-0300-00000801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20_LBA_My_Mz_30__6" connectionId="182" xr16:uid="{00000000-0016-0000-0300-00009300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20_LBA_My_Mz_30__9" connectionId="33" xr16:uid="{00000000-0016-0000-0300-0000EA00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600_450_LBA_N_0.4_My_Mz_30__32_1" connectionId="387" xr16:uid="{45F2328E-BE97-4B3C-91FF-9DC4C8ED644A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350_LBA_My_Mz_30__16" connectionId="126" xr16:uid="{00000000-0016-0000-0300-00003A01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360_700_LBA_M__62" connectionId="401" xr16:uid="{00000000-0016-0000-0300-00007800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330_450_LBA_N__2" connectionId="730" xr16:uid="{00000000-0016-0000-0300-000074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400-_450_LBA_M__11" connectionId="480" xr16:uid="{00000000-0016-0000-0300-00007D01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200-_450_LBA_N__4" connectionId="727" xr16:uid="{00000000-0016-0000-0300-00002B01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550_LBA_My_Mz_30__46" connectionId="192" xr16:uid="{00000000-0016-0000-0300-0000C3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197''_300_LBA_N__12" connectionId="422" xr16:uid="{00000000-0016-0000-0300-0000F2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600_700_LBA_N__27" connectionId="408" xr16:uid="{00000000-0016-0000-0300-00009B00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651_450_LBA_M__55" connectionId="429" xr16:uid="{00000000-0016-0000-0300-0000B8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500_450_LBA_N_0.4_My_Mz_30__37_2" connectionId="271" xr16:uid="{DFACF4EF-40A9-43B5-BB2E-BD254F8AB1A5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500_350_LBA_N_0.4_My_Mz_30__24_2" connectionId="257" xr16:uid="{1FA97875-82A5-4236-B0D8-C1CFB1DD9809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600_550_LBA_N_0.4_My_Mz_30__45_2" connectionId="280" xr16:uid="{D6529290-68D1-4658-B4D8-BA3E527B4199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550_LBA_N_0.4_My_Mz_30__49" connectionId="334" xr16:uid="{875C90AB-216B-4D7C-8B6C-8BD8CEA302EB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70_700_LBA_N_0.4_My_Mz_30__55_1" connectionId="219" xr16:uid="{22532CF4-B843-4715-8E93-EB87AA4752DD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50x499_300_LBA_M__45" connectionId="445" xr16:uid="{00000000-0016-0000-0300-000072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400_450_LBA_N_0.4_My_Mz_30__36_1" connectionId="199" xr16:uid="{36F3BB00-2D4B-403A-BD74-BF99EB54C44B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700_LBA_N_0.4_My_Mz_30__60" connectionId="346" xr16:uid="{4CE56D61-5553-4BE2-826D-DCAEEC219695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550_LBA_N_0.4_My_Mz_30__48" connectionId="333" xr16:uid="{EB4B3168-8B0A-40A4-A0C8-4D51760EB98A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550_LBA_My_Mz_30__48" connectionId="56" xr16:uid="{00000000-0016-0000-0300-00008400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400_350_LBA_N_0.4_My_Mz_30__23_2" connectionId="256" xr16:uid="{A1340D1A-8988-4B2E-857C-6AEB423E488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450_LBA_My_Mz_30__37" connectionId="83" xr16:uid="{00000000-0016-0000-0300-0000A8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550_LBA_My_Mz_30__47" connectionId="41" xr16:uid="{00000000-0016-0000-0300-00001601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20_LBA_N_0.4_My_Mz_30__1_3" connectionId="353" xr16:uid="{BCC529BC-6835-4E14-9FDB-3CF409BCE02D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20_550_LBA_N_0.4_My_Mz_30__41_2" connectionId="276" xr16:uid="{C90A7BE2-DF6A-41A4-8AFE-91277B925123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450x177_450_LBA_M__59" connectionId="417" xr16:uid="{00000000-0016-0000-0300-00000B01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400_550_LBA_N_0.4_My_Mz_30__44_2" connectionId="279" xr16:uid="{5ACDD028-C1E1-493D-91C2-8EF446340CBE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700_LBA_My_Mz_30__58" connectionId="180" xr16:uid="{00000000-0016-0000-0300-00006501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600_450_LBA_N_0.4_My_Mz_30__32_2" connectionId="266" xr16:uid="{EE2C7B2E-6C20-44F4-A6F3-427A141B5BAE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450_LBA_My_Mz_30__31" connectionId="159" xr16:uid="{00000000-0016-0000-0300-0000CD00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350_LBA_My_Mz_30__23" connectionId="65" xr16:uid="{00000000-0016-0000-0300-00005F01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350_LBA_My_Mz_30__17" connectionId="141" xr16:uid="{00000000-0016-0000-0300-0000AC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360_450_LBA_M__50" connectionId="399" xr16:uid="{00000000-0016-0000-0300-0000F600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300_350_LBA_N_0.4_My_Mz_30__22_2" connectionId="255" xr16:uid="{82182492-8CCD-4B0F-AD89-CB49AE0BD776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240_450_LBA_N_0.4_My_Mz_30__34_2" connectionId="268" xr16:uid="{1070DAF7-10DC-4463-B375-646FD8EBD0D6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600_450_LBA_N__15" connectionId="406" xr16:uid="{00000000-0016-0000-0300-0000D000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651_450_LBA_N__19" connectionId="430" xr16:uid="{00000000-0016-0000-0300-0000A500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700_LBA_N_0.4_My_Mz_30__54" connectionId="340" xr16:uid="{BDC94A3C-77DE-4E6F-A8DD-DF075DA96D5A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800-_450_LBA_N__12" connectionId="718" xr16:uid="{00000000-0016-0000-0300-00005C01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450_LBA_My_Mz_30__29" connectionId="143" xr16:uid="{00000000-0016-0000-0300-0000B200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30" connectionId="523" xr16:uid="{00000000-0016-0000-0300-00008200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700_LBA_My_Mz_30__56" connectionId="164" xr16:uid="{00000000-0016-0000-0300-000038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550_LBA_N_0.4_My_Mz_30__40_1" connectionId="203" xr16:uid="{375E5FF1-4191-4246-916A-78B4E56EC088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550_LBA_My_Mz_30__51" connectionId="87" xr16:uid="{00000000-0016-0000-0300-0000ED00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350_LBA_N_0.4_My_Mz_30__22" connectionId="305" xr16:uid="{5A8EC82C-6DCD-4EB9-B1ED-8B4D273101E7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9" connectionId="518" xr16:uid="{00000000-0016-0000-0300-00000501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350_LBA_N_0.4_My_Mz_30__20" connectionId="297" xr16:uid="{34E4C689-7C65-4352-9CF4-B8076DC2304B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000_20_LBA_N_0.4_My_Mz_30__13_1" connectionId="366" xr16:uid="{35A81F9F-DC27-41B0-AF2A-89F4E24B6EB6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550_LBA_My_Mz_30__46" connectionId="26" xr16:uid="{00000000-0016-0000-0300-0000B900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700x245_450_LBA_N__16" connectionId="454" xr16:uid="{00000000-0016-0000-0300-00005B01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20_550_LBA_N_0.4_My_Mz_30__46_2" connectionId="281" xr16:uid="{2254F619-2407-43F5-BAA0-0B6CEE4F9869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700_LBA_N_0.4_My_Mz_30__53_1" connectionId="217" xr16:uid="{88B6A854-9F79-4C38-A04D-3F1FE8EBF824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700_LBA_My_Mz_30__65" connectionId="105" xr16:uid="{00000000-0016-0000-0300-00001B01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20_700_LBA_N_0.4_My_Mz_30__54_2" connectionId="290" xr16:uid="{6E835A9B-16BE-4D81-B676-A49E4045D228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450_LBA_My_Mz_30__37" connectionId="69" xr16:uid="{00000000-0016-0000-0300-00000101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240_20_LBA_N_0.4_My_Mz_30__8_1" connectionId="361" xr16:uid="{2170B27C-6713-4A39-AA72-956F9AEE5F78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20_LBA_N_0.4_My_Mz_30__13" connectionId="220" xr16:uid="{2C619B1A-399E-4C5D-B540-6FE4F1819C76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550_LBA_N_0.4_My_Mz_30__43" connectionId="328" xr16:uid="{6EB99119-DD0C-4996-8F86-F0B68E3D0F8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20_LBA_My_Mz_30__2" connectionId="122" xr16:uid="{00000000-0016-0000-0300-00000D01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600_700_LBA_M__63" connectionId="407" xr16:uid="{00000000-0016-0000-0300-0000BC00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550_LBA_N_0.4_My_Mz_30__50" connectionId="335" xr16:uid="{A3CC23C8-02CA-4C72-BD50-B6A4688935B8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20_LBA_My_Mz_30__14" connectionId="3" xr16:uid="{00000000-0016-0000-0300-0000B400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50x499_450_LBA_N__21" connectionId="448" xr16:uid="{00000000-0016-0000-0300-00004F01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20_450_LBA_N_0.4_My_Mz_30__28_1" connectionId="383" xr16:uid="{4C84654A-93DD-40B8-BFF5-98C423BC107F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900x347_700_LBA_M__65" connectionId="461" xr16:uid="{00000000-0016-0000-0300-00001E01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651_700_LBA_N__31" connectionId="432" xr16:uid="{00000000-0016-0000-0300-00002401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700_LBA_N_0.4_My_Mz_30__53_2" connectionId="289" xr16:uid="{354AAAA1-33EF-40AE-9200-5BD4EF01706F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50x503_300_LBA_M__44" connectionId="433" xr16:uid="{00000000-0016-0000-0300-00008201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350_LBA_N_0.4_My_Mz_30__24" connectionId="307" xr16:uid="{E9441CC7-1412-4B2C-BB9C-4C98171BA06F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00_450_LBA_M__1" connectionId="492" xr16:uid="{00000000-0016-0000-0300-0000BB00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500_20_LBA_N_0.4_My_Mz_30__11_1" connectionId="364" xr16:uid="{0946C629-769B-4710-A746-4C2BFFFB5F69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550_LBA_N_0.4_My_Mz_30__52" connectionId="338" xr16:uid="{C2718F96-5F4D-458A-BAEB-C5300B9389F4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300_700_LBA_N_0.4_My_Mz_30__61_1" connectionId="226" xr16:uid="{7E4F54DF-0667-42A5-ACA2-59BC511515C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350_LBA_N_0.4_My_Mz_30__18" connectionId="275" xr16:uid="{74A3DAE3-8395-475A-A13D-54F5E1B9A0CB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400_700_LBA_N_0.4_My_Mz_30__62_2" connectionId="299" xr16:uid="{8B9E34F2-9961-4016-904B-41F27678F07B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300_20_LBA_N_0.4_My_Mz_30__9_2" connectionId="240" xr16:uid="{D941716F-9D92-49D3-A2B8-CCB6948E3821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20_LBA_My_Mz_30__2" connectionId="108" xr16:uid="{00000000-0016-0000-0300-00005901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550_LBA_N_0.4_My_Mz_30__41" connectionId="326" xr16:uid="{1BC6B3AE-BC42-40BE-B75D-6BF2CFB186B7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550_LBA_My_Mz_30__49" connectionId="57" xr16:uid="{00000000-0016-0000-0300-00006201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800_450_LBA_N__11" connectionId="722" xr16:uid="{00000000-0016-0000-0300-0000CC00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00x369_300_LBA_M__46" connectionId="439" xr16:uid="{00000000-0016-0000-0300-0000E700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700_LBA_N_0.4_My_Mz_30__64" connectionId="351" xr16:uid="{A46DD167-39D6-4F8D-9B2D-3E531A54DD4F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700_LBA_My_Mz_30__54" connectionId="120" xr16:uid="{00000000-0016-0000-0300-00001501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450_LBA_My_Mz_30__29" connectionId="129" xr16:uid="{00000000-0016-0000-0300-00007D00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450_LBA_My_Mz_30__32" connectionId="188" xr16:uid="{00000000-0016-0000-0300-00003501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7" connectionId="516" xr16:uid="{00000000-0016-0000-0300-00008500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700_LBA_N_0.4_My_Mz_30__59" connectionId="345" xr16:uid="{C82B59D7-5EFD-464D-B7F8-D996EDFC559B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550_LBA_My_Mz_30__43" connectionId="161" xr16:uid="{00000000-0016-0000-0300-00005D01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9" connectionId="497" xr16:uid="{00000000-0016-0000-0300-00005E01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400_20_LBA_N_0.4_My_Mz_30__5_1" connectionId="357" xr16:uid="{A6922281-7DF2-4935-90E5-13E911E14CEB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450_LBA_N_0.4_My_Mz_30__29" connectionId="312" xr16:uid="{C8F2C2CE-5FF2-4FD6-846F-75A45B54F361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20_LBA_N_0.4_My_Mz_30__8" connectionId="358" xr16:uid="{442A4F65-E233-484E-8BE3-92E7E662B25D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4" connectionId="501" xr16:uid="{00000000-0016-0000-0300-00006801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350_LBA_My_Mz_30__26" connectionId="96" xr16:uid="{00000000-0016-0000-0300-0000DD00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50x499_700_LBA_N__33" connectionId="450" xr16:uid="{00000000-0016-0000-0300-0000BD00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240_550_LBA_N_0.4_My_Mz_30__47_2" connectionId="282" xr16:uid="{03DB656B-D862-4766-9997-4ECD63895FF5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000_20_LBA_N_0.4_My_Mz_30__13_2" connectionId="245" xr16:uid="{B4841809-29D9-46F3-84F1-10161BF855BD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220_300_LBA_N__1" connectionId="392" xr16:uid="{00000000-0016-0000-0300-0000E100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00x369_700_LBA_M__70" connectionId="443" xr16:uid="{00000000-0016-0000-0300-0000C100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450_LBA_My_Mz_30__33" connectionId="23" xr16:uid="{00000000-0016-0000-0300-00000601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700_LBA_My_Mz_30__60" connectionId="30" xr16:uid="{00000000-0016-0000-0300-00008D00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20_LBA_My_Mz_30__10" connectionId="48" xr16:uid="{00000000-0016-0000-0300-0000D800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20_LBA_My_Mz_30__4" connectionId="152" xr16:uid="{00000000-0016-0000-0300-00003F01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20_LBA_N_0.4_My_Mz_30__12" connectionId="209" xr16:uid="{400E4077-98D3-4310-AAD6-0ED54A15CC24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280_450_LBA_N__31" connectionId="710" xr16:uid="{00000000-0016-0000-0300-0000E200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000_700_LBA_N_0.4_My_Mz_30__65_1" connectionId="230" xr16:uid="{42F856E7-ED54-4BA5-B024-BA3B410F6292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20_350_LBA_N_0.4_My_Mz_30__15_1" connectionId="368" xr16:uid="{3F366072-A6B1-4503-9385-F13F46E2769E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1" connectionId="515" xr16:uid="{00000000-0016-0000-0300-00003101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00x369_700_LBA_N__34" connectionId="444" xr16:uid="{00000000-0016-0000-0300-00004401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450_LBA_My_Mz_30__40" connectionId="9" xr16:uid="{00000000-0016-0000-0300-0000DC00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550_LBA_My_Mz_30__44" connectionId="176" xr16:uid="{00000000-0016-0000-0300-00003D01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700x245_300_LBA_N__4" connectionId="452" xr16:uid="{00000000-0016-0000-0300-00008000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600_700_LBA_N_0.4_My_Mz_30__64_2" connectionId="301" xr16:uid="{BDBEB0A1-6D62-4188-8EF0-532FC47A7185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700x245_700_LBA_N__28" connectionId="456" xr16:uid="{00000000-0016-0000-0300-00005001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70_20_LBA_N_0.4_My_Mz_30__3_2" connectionId="234" xr16:uid="{EB5D0E87-11E1-4F39-80FF-6006A830C49A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400_550_LBA_N_0.4_My_Mz_30__49_1" connectionId="213" xr16:uid="{7CD3C9B6-F101-4273-A97F-91E41866C16D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70_350_LBA_N_0.4_My_Mz_30__16_1" connectionId="370" xr16:uid="{96C64D53-C5C8-467A-B404-7E3CA328826D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500_700_LBA_N_0.4_My_Mz_30__63_2" connectionId="300" xr16:uid="{1F3F7112-1AA4-4384-880F-CA63DB412175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000_350_LBA_N_0.4_My_Mz_30__26_2" connectionId="259" xr16:uid="{323F2ED4-6FC4-40A7-B7F1-EDC2BFBFAC4C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700x245_450_LBA_M__52" connectionId="453" xr16:uid="{00000000-0016-0000-0300-0000F400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450_LBA_N_0.4_My_Mz_30__32" connectionId="316" xr16:uid="{4A853405-12BA-4D4B-849F-BBAE28FC7855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800_450_LBA_N__9" connectionId="721" xr16:uid="{00000000-0016-0000-0300-00008C00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70_700_LBA_N_0.4_My_Mz_30__55_2" connectionId="291" xr16:uid="{08156258-0109-41BB-9822-D26694A5A40F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197''_450_LBA_M__60" connectionId="423" xr16:uid="{00000000-0016-0000-0300-0000AE00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500_450_LBA_N_0.4_My_Mz_30__37_1" connectionId="200" xr16:uid="{343F8171-72DC-4DA5-9168-B3C09D247B1D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450_LBA_N_0.4_My_Mz_30__33" connectionId="317" xr16:uid="{E1E349BD-8DC0-4E95-88E2-CBC71AA469A7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20_LBA_My_Mz_30__3" connectionId="137" xr16:uid="{00000000-0016-0000-0300-00002901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550_LBA_My_Mz_30__41" connectionId="131" xr16:uid="{00000000-0016-0000-0300-00008800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220_450_LBA_N__13" connectionId="394" xr16:uid="{00000000-0016-0000-0300-0000F800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450_LBA_My_Mz_30__30" connectionId="144" xr16:uid="{00000000-0016-0000-0300-0000A600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220_700_LBA_M__61" connectionId="395" xr16:uid="{00000000-0016-0000-0300-0000E400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20_LBA_N_0.4_My_Mz_30__3" connectionId="303" xr16:uid="{D7B3D1BF-BA5B-47D8-BBA0-F7EC7D22467F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700_LBA_N_0.4_My_Mz_30__65" connectionId="352" xr16:uid="{E887F127-1760-417F-BA9E-065925E986E8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450_LBA_My_Mz_30__34" connectionId="38" xr16:uid="{00000000-0016-0000-0300-00003C01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" connectionId="499" xr16:uid="{00000000-0016-0000-0300-00000201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900x347_300_LBA_N__5" connectionId="458" xr16:uid="{00000000-0016-0000-0300-00001101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700x245_700_LBA_M__64" connectionId="455" xr16:uid="{00000000-0016-0000-0300-00000401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450_LBA_My_Mz_30__32" connectionId="174" xr16:uid="{00000000-0016-0000-0300-0000E500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350_LBA_My_Mz_30__19" connectionId="185" xr16:uid="{00000000-0016-0000-0300-0000C600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350_LBA_My_Mz_30__17" connectionId="155" xr16:uid="{00000000-0016-0000-0300-00004D01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550_LBA_N_0.4_My_Mz_30__40_2" connectionId="274" xr16:uid="{1ED906FB-A2A9-4263-B494-058EB5DCCD6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50x499_700_LBA_M__69" connectionId="449" xr16:uid="{00000000-0016-0000-0300-0000D300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550_LBA_My_Mz_30__52" connectionId="102" xr16:uid="{00000000-0016-0000-0300-0000A400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400_450_LBA_N_0.4_My_Mz_30__31_2" connectionId="265" xr16:uid="{1D91B0CC-E30C-4C3C-A420-62D991533818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197''_300_LBA_M__48" connectionId="421" xr16:uid="{00000000-0016-0000-0300-00006701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600_700_LBA_N_0.4_My_Mz_30__58_1" connectionId="223" xr16:uid="{A2E304D8-B5F1-42EB-9D4D-EF4AE56126EE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350_LBA_My_Mz_30__25" connectionId="95" xr16:uid="{00000000-0016-0000-0300-00004501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700_LBA_My_Mz_30__56" connectionId="150" xr16:uid="{00000000-0016-0000-0300-00007201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400-_450_LBA_N__13" connectionId="713" xr16:uid="{00000000-0016-0000-0300-0000A000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360_350_LBA_N_0.4_My_Mz_30__17_1" connectionId="371" xr16:uid="{281B1A8F-4D25-49EA-8225-87B8BEC34767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360_700_LBA_N__26" connectionId="402" xr16:uid="{00000000-0016-0000-0300-0000AA00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700_LBA_N_0.4_My_Mz_30__61" connectionId="348" xr16:uid="{CC3509DE-66F4-4E23-AEA8-AEB556C4081F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350_LBA_My_Mz_30__22" connectionId="50" xr16:uid="{00000000-0016-0000-0300-0000FE00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3" connectionId="517" xr16:uid="{00000000-0016-0000-0300-00001C01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20_LBA_My_Mz_30__12" connectionId="92" xr16:uid="{00000000-0016-0000-0300-00001001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550_LBA_N_0.4_My_Mz_30__46" connectionId="331" xr16:uid="{B3048D16-1EE4-4251-B862-A6405C92B7FF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600_450_LBA_M__3" connectionId="538" xr16:uid="{00000000-0016-0000-0300-00003701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700_LBA_My_Mz_30__62" connectionId="60" xr16:uid="{00000000-0016-0000-0300-0000CF00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700_LBA_N_0.4_My_Mz_30__53" connectionId="339" xr16:uid="{629D47F9-1F23-4159-8353-EA72A8891B78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450_LBA_My_Mz_30__33" connectionId="189" xr16:uid="{00000000-0016-0000-0300-00000E01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20_LBA_My_Mz_30__13" connectionId="2" xr16:uid="{00000000-0016-0000-0300-00009100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450_LBA_My_Mz_30__39" connectionId="99" xr16:uid="{00000000-0016-0000-0300-00002601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400_450_LBA_N__8" connectionId="715" xr16:uid="{00000000-0016-0000-0300-00008B00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700_LBA_N_0.4_My_Mz_30__63" connectionId="350" xr16:uid="{6902BECB-74D8-4F5A-8121-29A3F987E873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400_550_LBA_N_0.4_My_Mz_30__44_1" connectionId="207" xr16:uid="{7007B181-82D0-49A2-AE9D-805FBC05A27E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0" connectionId="510" xr16:uid="{00000000-0016-0000-0300-0000E600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000_700_LBA_N_0.4_My_Mz_30__65_2" connectionId="302" xr16:uid="{9AC1DEA6-F1D8-41C8-9EE0-38D1154F2016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700_LBA_N_0.4_My_Mz_30__57" connectionId="343" xr16:uid="{B1AE69F6-331E-425A-A42F-F459E9376D84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70_550_LBA_N_0.4_My_Mz_30__42_2" connectionId="277" xr16:uid="{1B193D52-A206-4C42-B4A6-F410812CC1A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1200x302''_700_LBA_M__66" connectionId="413" xr16:uid="{00000000-0016-0000-0300-00002701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700_LBA_My_Mz_30__55" connectionId="149" xr16:uid="{00000000-0016-0000-0300-00006E00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350_LBA_My_Mz_30__27" connectionId="6" xr16:uid="{00000000-0016-0000-0300-00009C00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330_450_LBA_N__11" connectionId="732" xr16:uid="{00000000-0016-0000-0300-00000F01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700_LBA_N_0.4_My_Mz_30__55" connectionId="341" xr16:uid="{677472E2-B612-4450-AB28-FD1A109D0956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550_LBA_My_Mz_30__42" connectionId="146" xr16:uid="{00000000-0016-0000-0300-00006F00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450_LBA_My_Mz_30__35" connectionId="53" xr16:uid="{00000000-0016-0000-0300-0000BE00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20_LBA_My_Mz_30__7" connectionId="17" xr16:uid="{00000000-0016-0000-0300-00001701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120_350_LBA_N_0.4_My_Mz_30__14_1" connectionId="367" xr16:uid="{B038458D-70A5-49CC-84FB-3EA2F5B6EF36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550_LBA_My_Mz_30__50" connectionId="86" xr16:uid="{00000000-0016-0000-0300-00001A01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700_LBA_N_0.4_My_Mz_30__58" connectionId="344" xr16:uid="{2E52EB3A-E1F6-4445-81F7-078CC8697B34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1200x302''_450_LBA_N__18" connectionId="412" xr16:uid="{00000000-0016-0000-0300-00007B00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450_LBA_My_Mz_30__30" connectionId="158" xr16:uid="{00000000-0016-0000-0300-00009700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280-_450_LBA_M__10" connectionId="474" xr16:uid="{00000000-0016-0000-0300-00007F01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350_LBA_My_Mz_30__14" connectionId="110" xr16:uid="{00000000-0016-0000-0300-0000F000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600_450_LBA_N_0.4_My_Mz_30__38_1" connectionId="201" xr16:uid="{DDC75901-3551-4850-8BC8-8EBE47174551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450_LBA_N_0.4_My_Mz_30__36" connectionId="320" xr16:uid="{F7431510-A371-457F-B0AC-4373E002F829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000_450_LBA_N_0.4_My_Mz_30__39_1" connectionId="202" xr16:uid="{E333865E-1FF3-4864-A697-60F195E05FA2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800-_450_LBA_N__15" connectionId="720" xr16:uid="{00000000-0016-0000-0300-00003E01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350_LBA_N_0.4_My_Mz_30__23" connectionId="306" xr16:uid="{C3BE4CCB-9F68-4D68-9D6D-BC099F313C05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900x347_700_LBA_N__29" connectionId="462" xr16:uid="{00000000-0016-0000-0300-00006A01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550_LBA_N_0.4_My_Mz_30__45" connectionId="330" xr16:uid="{1B5E3996-1CF1-4215-AEAF-C472A88B138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360_350_LBA_N_0.4_My_Mz_30__17_2" connectionId="249" xr16:uid="{91E7BE03-C8D7-40C5-832D-52CEB5C2D1D9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20_LBA_N_0.4_My_Mz_30__9" connectionId="369" xr16:uid="{1798855B-F2BC-4250-AB14-3F5AC206A9D5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300_700_LBA_N_0.4_My_Mz_30__61_2" connectionId="298" xr16:uid="{2D59ADD2-869E-44F7-8DD7-D28C2F3719CA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700_LBA_N_0.4_My_Mz_30__62" connectionId="349" xr16:uid="{28C129C9-E789-457F-AF1A-90749B8091BA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20_700_LBA_N_0.4_My_Mz_30__59_2" connectionId="295" xr16:uid="{18B5EB07-8EA7-4585-9B64-277B5351E1ED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450_LBA_My_Mz_30__38" connectionId="84" xr16:uid="{00000000-0016-0000-0300-00004B01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700_LBA_My_Mz_30__66" connectionId="15" xr16:uid="{00000000-0016-0000-0300-00005101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1200x302''_450_LBA_M__54" connectionId="411" xr16:uid="{00000000-0016-0000-0300-00007A01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550_LBA_My_Mz_30__50" connectionId="72" xr16:uid="{00000000-0016-0000-0300-0000C500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600_20_LBA_Mz__1" connectionId="533" xr16:uid="{00000000-0016-0000-0300-00001401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400_450_LBA_N__10" connectionId="716" xr16:uid="{00000000-0016-0000-0300-00009900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450_LBA_My_Mz_30__28" connectionId="114" xr16:uid="{00000000-0016-0000-0300-00001801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350_LBA_N_0.4_My_Mz_30__14" connectionId="231" xr16:uid="{0B05BC4D-1F72-4068-B537-9EFC8A04F006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400_350_LBA_N_0.4_My_Mz_30__18_1" connectionId="372" xr16:uid="{4A02E09F-2D4D-4156-8C58-35F57A63B56E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20_LBA_My_Mz_30__13" connectionId="93" xr16:uid="{00000000-0016-0000-0300-00007301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350_LBA_My_Mz_30__23" connectionId="51" xr16:uid="{00000000-0016-0000-0300-0000D700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900x347_450_LBA_N__17" connectionId="460" xr16:uid="{00000000-0016-0000-0300-00006C00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200_450_LBA_N__11" connectionId="725" xr16:uid="{00000000-0016-0000-0300-00007501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240_550_LBA_N_0.4_My_Mz_30__47_1" connectionId="211" xr16:uid="{0C2F4121-3A5F-4AF9-A2BF-C6EC5FC9A2AE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360_450_LBA_N_0.4_My_Mz_30__30_1" connectionId="385" xr16:uid="{F8052AAC-E0AD-4698-B5EB-CCF8750FF8EE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500_700_LBA_N_0.4_My_Mz_30__63_1" connectionId="228" xr16:uid="{12B5DDAC-BC1C-4BB5-A06E-11B00CB971D8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450_LBA_My_Mz_30__38" connectionId="98" xr16:uid="{00000000-0016-0000-0300-0000E300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240_20_LBA_N_0.4_My_Mz_30__8_2" connectionId="239" xr16:uid="{06092769-53BE-4C15-AC8C-B03EC913DDFC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350_LBA_N_0.4_My_Mz_30__19" connectionId="286" xr16:uid="{8EC49EC1-6613-429D-A58E-F9D348859FD1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700_LBA_My_Mz_30__61" connectionId="59" xr16:uid="{00000000-0016-0000-0300-00002801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400_350_LBA_N_0.4_My_Mz_30__23_1" connectionId="377" xr16:uid="{0F1449DF-8E52-4E45-9C9E-93595072E74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330-_450_LBA_N__13" connectionId="734" xr16:uid="{00000000-0016-0000-0300-0000B100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600_700_LBA_N_0.4_My_Mz_30__58_2" connectionId="294" xr16:uid="{D809451F-8DD8-4901-8326-DF7B59C74B73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600_450_LBA_N_0.4_My_Mz_30__38_2" connectionId="272" xr16:uid="{1BF82E67-1104-4195-B4FA-3C00BDE66047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450_LBA_My_Mz_30__36" connectionId="68" xr16:uid="{00000000-0016-0000-0300-00002F01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900x347_300_LBA_M__41" connectionId="457" xr16:uid="{00000000-0016-0000-0300-0000EE00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280-_450_LBA_N__12" connectionId="707" xr16:uid="{00000000-0016-0000-0300-0000DA00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600-_450_LBA_N__14" connectionId="740" xr16:uid="{00000000-0016-0000-0300-0000EF00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600_350_LBA_N_0.4_My_Mz_30__25_1" connectionId="379" xr16:uid="{BD864844-1D91-40A4-A279-71ABE89527E1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3" connectionId="496" xr16:uid="{00000000-0016-0000-0300-0000FD00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700x245_300_LBA_M__40" connectionId="451" xr16:uid="{00000000-0016-0000-0300-0000DE00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450_LBA_N_0.4_My_Mz_30__38" connectionId="322" xr16:uid="{69F83017-25E1-4C5A-BD59-9E7C4317257F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550_LBA_N_0.4_My_Mz_30__42" connectionId="327" xr16:uid="{2A2EBEE3-DF3F-4549-9010-104514B02E3D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700_LBA_My_Mz_30__65" connectionId="14" xr16:uid="{00000000-0016-0000-0300-0000C900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240_700_LBA_N_0.4_My_Mz_30__60_1" connectionId="225" xr16:uid="{268F47D1-35E5-4CF9-821C-497790ABF215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6" connectionId="519" xr16:uid="{00000000-0016-0000-0300-0000D600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280_450_LBA_N__7" connectionId="709" xr16:uid="{00000000-0016-0000-0300-00005201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20_20_LBA_N_0.4_My_Mz_30__2_1" connectionId="354" xr16:uid="{94B768A0-7988-4232-A28C-D2025FE75459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1200x302''_700_LBA_N__30" connectionId="414" xr16:uid="{00000000-0016-0000-0300-00006D00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400_700_LBA_N_0.4_My_Mz_30__57_2" connectionId="293" xr16:uid="{B176D788-D345-4760-B154-C9AEB42D5B54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600_700_LBA_N_0.4_My_Mz_30__64_1" connectionId="229" xr16:uid="{904F78BC-5366-4FE0-9D6C-8EE85D03A6EC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200_450_LBA_N__1" connectionId="724" xr16:uid="{00000000-0016-0000-0300-00002301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500_20_LBA_N_0.4_My_Mz_30__11_2" connectionId="243" xr16:uid="{3B6F80C4-FA31-42C6-89B9-C8F88F0807FC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20_20_LBA_N_0.4_My_Mz_30__7_1" connectionId="360" xr16:uid="{E6385C16-71DB-4474-A693-4C5E9ECFDD04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240_700_LBA_N_0.4_My_Mz_30__60_2" connectionId="296" xr16:uid="{55EF43C8-5D6C-41A1-AF86-3E5292DD687E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1200x302''_300_LBA_N__6" connectionId="410" xr16:uid="{00000000-0016-0000-0300-00001D01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450_LBA_My_Mz_30__34" connectionId="24" xr16:uid="{00000000-0016-0000-0300-0000B000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550_LBA_My_Mz_30__53" connectionId="12" xr16:uid="{00000000-0016-0000-0300-00006B01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20_LBA_N_0.4_My_Mz_30__10" connectionId="380" xr16:uid="{C6583ED1-C36F-4C1F-96E2-BA5C0CCA7968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360_300_LBA_M__38" connectionId="397" xr16:uid="{00000000-0016-0000-0300-00007801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700_LBA_My_Mz_30__61" connectionId="45" xr16:uid="{00000000-0016-0000-0300-00008E00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350_LBA_N_0.4_My_Mz_30__15" connectionId="242" xr16:uid="{1A6824CB-9172-4288-BB3E-5637FA1BB4E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20_LBA_N_0.4_My_Mz_30__4" connectionId="314" xr16:uid="{F18C177E-5CB1-4FCF-B902-D8DEB0181A65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200_450_LBA_N__10" connectionId="726" xr16:uid="{00000000-0016-0000-0300-00008100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350_LBA_My_Mz_30__22" connectionId="36" xr16:uid="{00000000-0016-0000-0300-00009400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20_LBA_My_Mz_30__6" connectionId="168" xr16:uid="{00000000-0016-0000-0300-0000AF00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6" connectionId="511" xr16:uid="{00000000-0016-0000-0300-0000A300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450_LBA_N_0.4_My_Mz_30__37" connectionId="321" xr16:uid="{969ED3B8-793F-49A0-A8FF-A00D7417E27C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300_350_LBA_N_0.4_My_Mz_30__22_1" connectionId="376" xr16:uid="{901D4E57-63CF-4C86-9466-90C2C48F39E9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600_350_LBA_N_0.4_My_Mz_30__25_2" connectionId="258" xr16:uid="{D062408F-1514-4334-A911-3B9E05D0D336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360_450_LBA_N__14" connectionId="400" xr16:uid="{00000000-0016-0000-0300-0000F300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50x503_450_LBA_N__20" connectionId="436" xr16:uid="{00000000-0016-0000-0300-00008900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350_LBA_N_0.4_My_Mz_30__26" connectionId="309" xr16:uid="{222E2036-8681-4702-B510-92B6776DAB78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450_LBA_N_0.4_My_Mz_30__28" connectionId="311" xr16:uid="{32726C62-1490-42C4-AED2-4100B3C06A8E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550_LBA_My_Mz_30__45" connectionId="177" xr16:uid="{00000000-0016-0000-0300-00004101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240_450_LBA_N_0.4_My_Mz_30__34_1" connectionId="389" xr16:uid="{4117CFE9-EC7A-43EF-BE51-94B633F0298F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500_550_LBA_N_0.4_My_Mz_30__50_1" connectionId="214" xr16:uid="{5D04C827-49F2-418E-AEC1-0518A9A193A6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700_LBA_My_Mz_30__58" connectionId="194" xr16:uid="{00000000-0016-0000-0300-0000A200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600_350_LBA_N_0.4_My_Mz_30__19_1" connectionId="373" xr16:uid="{B75B3C89-FBF1-490D-83D1-11F0A7A379EE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600_300_LBA_N__3" connectionId="404" xr16:uid="{00000000-0016-0000-0300-00003201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651_300_LBA_N__7" connectionId="428" xr16:uid="{00000000-0016-0000-0300-0000EB00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3" connectionId="504" xr16:uid="{00000000-0016-0000-0300-0000B600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900x347_450_LBA_M__53" connectionId="459" xr16:uid="{00000000-0016-0000-0300-00006101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8" connectionId="500" xr16:uid="{00000000-0016-0000-0300-0000D200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8" connectionId="521" xr16:uid="{00000000-0016-0000-0300-00007601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500_350_LBA_N_0.4_My_Mz_30__24_1" connectionId="378" xr16:uid="{507DD825-5389-4A7C-82FF-44C4A749B785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400-_450_LBA_N__14" connectionId="714" xr16:uid="{00000000-0016-0000-0300-00007600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700_LBA_My_Mz_30__63" connectionId="89" xr16:uid="{00000000-0016-0000-0300-0000FB00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20_450_LBA_N_0.4_My_Mz_30__28_2" connectionId="261" xr16:uid="{BD0F9DA6-7087-435F-9AB7-DCA66B852023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280-_450_LBA_N__10" connectionId="706" xr16:uid="{00000000-0016-0000-0300-00003001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20_LBA_My_Mz_30__9" connectionId="47" xr16:uid="{00000000-0016-0000-0300-00009600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20_LBA_My_Mz_30__1" connectionId="107" xr16:uid="{00000000-0016-0000-0300-00009200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700_LBA_My_Mz_30__57" connectionId="179" xr16:uid="{00000000-0016-0000-0300-0000A100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550_LBA_My_Mz_30__48" connectionId="42" xr16:uid="{00000000-0016-0000-0300-00002E01000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550_LBA_My_Mz_30__47" connectionId="27" xr16:uid="{00000000-0016-0000-0300-00003601000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600_20_LBA_N_0.4_My_Mz_30__6_2" connectionId="237" xr16:uid="{2D53EA33-3677-440C-8113-5B64AF547A5F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70_20_LBA_My_Mz_30__4" connectionId="138" xr16:uid="{00000000-0016-0000-0300-0000790100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450_LBA_N_0.4_My_Mz_30__27" connectionId="310" xr16:uid="{D146D0E8-AE16-4AE1-AD4F-C5D7C2AE1793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IPE220_700_LBA_N__25" connectionId="396" xr16:uid="{00000000-0016-0000-0300-00004001000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5" connectionId="498" xr16:uid="{00000000-0016-0000-0300-00004601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360_550_LBA_N_0.4_My_Mz_30__43_1" connectionId="206" xr16:uid="{4EA2D810-AC12-4BF4-96A2-E8CB44C7BAEB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70_350_LBA_N_0.4_My_Mz_30__16_2" connectionId="248" xr16:uid="{AF4B7623-E212-4A88-85C9-A63EF02A3139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400_450_LBA_N_0.4_My_Mz_30__31_1" connectionId="386" xr16:uid="{55EA6027-07B1-469C-8CB0-AC9E38671D68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350_LBA_My_Mz_30__18" connectionId="170" xr16:uid="{00000000-0016-0000-0300-00007F00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651_700_LBA_M__67" connectionId="431" xr16:uid="{00000000-0016-0000-0300-00009D000000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400_700_LBA_N_0.4_My_Mz_30__62_1" connectionId="227" xr16:uid="{FF4594D0-F078-40AC-AA0B-F5FDE6DD5F5C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350_LBA_My_Mz_30__25" connectionId="81" xr16:uid="{00000000-0016-0000-0300-00006C010000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700_LBA_My_Mz_30__62" connectionId="74" xr16:uid="{00000000-0016-0000-0300-000058010000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20_LBA_My_Mz_30__12" connectionId="78" xr16:uid="{00000000-0016-0000-0300-0000130100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500_550_LBA_N_0.4_My_Mz_30__50_2" connectionId="285" xr16:uid="{2A74F82F-772E-4E49-9A24-12CDDE57A145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400_450_LBA_N__11" connectionId="717" xr16:uid="{00000000-0016-0000-0300-0000A700000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6" connectionId="503" xr16:uid="{00000000-0016-0000-0300-0000D400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000_350_LBA_N_0.4_My_Mz_30__26_1" connectionId="381" xr16:uid="{C536334D-DF9E-4F7F-BC23-DD6E91B0DFEA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70_550_LBA_N_0.4_My_Mz_30__42_1" connectionId="205" xr16:uid="{2AE6BD29-B16A-48E6-A031-BF447D4F79FA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50x499_450_LBA_M__57" connectionId="447" xr16:uid="{00000000-0016-0000-0300-00007300000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300_450_LBA_N_0.4_My_Mz_30__35_2" connectionId="269" xr16:uid="{616E744B-056E-4E61-8627-DC027300F997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300_550_LBA_N_0.4_My_Mz_30__48_2" connectionId="283" xr16:uid="{10967D63-C955-49DF-84D1-199485A1ABCB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500x651_300_LBA_M__43" connectionId="427" xr16:uid="{00000000-0016-0000-0300-00008A00000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20_LBA_My_Mz_30__8" connectionId="32" xr16:uid="{00000000-0016-0000-0300-00006A00000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5" connectionId="514" xr16:uid="{00000000-0016-0000-0300-0000F100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600-_450_LBA_M__6" connectionId="539" xr16:uid="{00000000-0016-0000-0300-0000FA00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450_LBA_N_0.4_My_Mz_30__30" connectionId="313" xr16:uid="{FA542A3C-3728-47B8-B7BA-855F71B030D2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300_450_LBA_N_0.4_My_Mz_30__35_1" connectionId="390" xr16:uid="{A9694E2B-2C86-4785-AB6B-CDA47482490E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450_LBA_My_Mz_30__31" connectionId="173" xr16:uid="{00000000-0016-0000-0300-00009F000000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350_LBA_My_Mz_30__15" connectionId="125" xr16:uid="{00000000-0016-0000-0300-0000BA00000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20_LBA_N_0.4_My_Mz_30__11" connectionId="198" xr16:uid="{FEEE5A99-287A-4D21-9D47-C5594883966F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00x369_300_LBA_N__10" connectionId="440" xr16:uid="{00000000-0016-0000-0300-000057010000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400_550_LBA_N_0.4_My_Mz_30__49_2" connectionId="284" xr16:uid="{B031B90D-BA34-4EB4-9D78-DF1F180CD6FE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300_450_LBA_My_Mz_30__36" connectionId="54" xr16:uid="{00000000-0016-0000-0300-000066010000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550_LBA_My_Mz_30__40" connectionId="116" xr16:uid="{00000000-0016-0000-0300-00006B000000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270_450_LBA_N_0.4_My_Mz_30__29_2" connectionId="262" xr16:uid="{A05DCBA8-1F53-492A-BA9D-0F172B558E4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700_LBA_My_Mz_30__64" connectionId="104" xr16:uid="{00000000-0016-0000-0300-00002501000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600_450_LBA_N__11" connectionId="737" xr16:uid="{00000000-0016-0000-0300-0000C4000000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400_350_LBA_My_Mz_30__19" connectionId="171" xr16:uid="{00000000-0016-0000-0300-000022010000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20_350_LBA_My_Mz_30__20" connectionId="20" xr16:uid="{00000000-0016-0000-0300-00000301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330-_450_LBA_N__5" connectionId="733" xr16:uid="{00000000-0016-0000-0300-00002101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120_20_LBA_Mz__2" connectionId="469" xr16:uid="{00000000-0016-0000-0300-000083000000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600-_450_LBA_N__15" connectionId="741" xr16:uid="{00000000-0016-0000-0300-00004701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120_350_LBA_My_Mz_30__15" connectionId="111" xr16:uid="{00000000-0016-0000-0300-0000E800000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220_20_LBA_My_Mz_30__3" connectionId="123" xr16:uid="{00000000-0016-0000-0300-0000BF00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28" connectionId="513" xr16:uid="{00000000-0016-0000-0300-00003401000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9" connectionId="505" xr16:uid="{00000000-0016-0000-0300-000074010000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000_450_LBA_N_0.4_My_Mz_30__39_2" connectionId="273" xr16:uid="{34F457F6-CF83-457A-99F7-9C36A0FEDE5F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700_LBA_My_Mz_30__57" connectionId="165" xr16:uid="{00000000-0016-0000-0300-0000D100000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50x499_300_LBA_N__9" connectionId="446" xr16:uid="{00000000-0016-0000-0300-00006901000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500_700_LBA_My_Mz_30__64" connectionId="90" xr16:uid="{00000000-0016-0000-0300-0000EC00000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450_LBA_My_Mz_30__39" connectionId="8" xr16:uid="{00000000-0016-0000-0300-000080010000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HEA280-_450_LBA_N__13" connectionId="708" xr16:uid="{00000000-0016-0000-0300-00006401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1000_450_LBA_N_0.4_My_Mz_30__39" connectionId="323" xr16:uid="{AAA3F8B1-DE47-4F40-A3AA-D7CBF896282B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600_550_LBA_N_0.4_My_Mz_30__51_1" connectionId="215" xr16:uid="{7CF176F8-D93B-430B-A7F4-D119369AE90E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240_350_LBA_My_Mz_30__21" connectionId="35" xr16:uid="{00000000-0016-0000-0300-000043010000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20_450_LBA_N__15" connectionId="506" xr16:uid="{00000000-0016-0000-0300-0000F90000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300_550_LBA_N_0.4_My_Mz_30__48_1" connectionId="212" xr16:uid="{CB3EE9FA-89C8-4A50-B706-FC7275B8146F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550_LBA_My_Mz_30__44" connectionId="162" xr16:uid="{00000000-0016-0000-0300-0000DB00000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450x177_450_LBA_N__23" connectionId="418" xr16:uid="{00000000-0016-0000-0300-00000001000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HEA120_700_LBA_N_0.4_My_Mz_30__59_1" connectionId="224" xr16:uid="{31FA4F3A-5539-4550-834E-2C917FED0C7C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600_550_LBA_N_0.4_My_Mz_30__51" connectionId="337" xr16:uid="{2BB959EA-9466-4C8B-86EB-980E82E8B076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S_Fy_355_WWF600x369_450_LBA_M__58" connectionId="441" xr16:uid="{00000000-0016-0000-0300-0000DF00000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_rolled_690_IPE360_20_LBA_N_0.4_My_Mz_30__4_1" connectionId="356" xr16:uid="{C107834C-7B71-439E-A32B-7D8CD846AB96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360_350_LBA_N_0.4_My_Mz_30__17" connectionId="264" xr16:uid="{26A7C3E6-52B6-4D4A-9864-674D51037A79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2_mesh_355_IPE600_450_LBA_N__12" connectionId="738" xr16:uid="{00000000-0016-0000-0300-000007010000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IPE600_20_LBA_N_0.4_My_Mz_30__6" connectionId="336" xr16:uid="{DD0826FE-36F4-4A9C-A0EE-4689A5F9FD14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t-rolled_690_HEA400_20_LBA_My_Mz_30__11" connectionId="63" xr16:uid="{00000000-0016-0000-0300-00005A01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_700_GMNIA_N__38" connectionId="689" xr16:uid="{00000000-0016-0000-0400-0000AD01000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-_450_GMNIA_M__5" connectionId="598" xr16:uid="{00000000-0016-0000-0400-00008501000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-_700_GMNIA_M__29" connectionId="593" xr16:uid="{00000000-0016-0000-0400-00001402000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600_450_GMNIA_M__3" connectionId="535" xr16:uid="{00000000-0016-0000-0400-00009B01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_450_GMNIA_N__7" connectionId="546" xr16:uid="{00000000-0016-0000-0400-0000E0010000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800-_450_GMNIA_M__12" connectionId="483" xr16:uid="{00000000-0016-0000-0400-00001A02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_450_GMNIA_N__2" connectionId="600" xr16:uid="{00000000-0016-0000-0400-00000D02000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330-_450_GMNIA_M__5" connectionId="527" xr16:uid="{00000000-0016-0000-0400-0000C701000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0_IPE120_20_GMNIA_N_0.5_My_Mz_50__1" connectionId="465" xr16:uid="{00000000-0016-0000-0400-00000502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_450_GMNIA_N__1" connectionId="588" xr16:uid="{00000000-0016-0000-0400-00009A010000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_450_GMNIA_M__4" connectionId="610" xr16:uid="{00000000-0016-0000-0400-0000F801000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_450_GMNIA_M__21" connectionId="650" xr16:uid="{00000000-0016-0000-0400-0000E7010000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-_450_GMNIA_N__6" connectionId="614" xr16:uid="{00000000-0016-0000-0400-0000F301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_450_GMNIA_M__1" connectionId="583" xr16:uid="{00000000-0016-0000-0400-0000A6010000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_450_GMNIA_N__9" connectionId="574" xr16:uid="{00000000-0016-0000-0400-000098010000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-_450_GMNIA_M__18" connectionId="681" xr16:uid="{00000000-0016-0000-0400-00001E020000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-_700_GMNIA_M__48" connectionId="645" xr16:uid="{00000000-0016-0000-0400-0000C2010000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_700_GMNIA_M__26" connectionId="591" xr16:uid="{00000000-0016-0000-0400-00001B02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-_450_GMNIA_M__6" connectionId="611" xr16:uid="{00000000-0016-0000-0400-0000EA01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-_700_GMNIA_N__29" connectionId="608" xr16:uid="{00000000-0016-0000-0400-0000C001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280_450_GMNIA_M__7" connectionId="473" xr16:uid="{00000000-0016-0000-0400-00002002000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-_450_GMNIA_M__13" connectionId="570" xr16:uid="{00000000-0016-0000-0400-000004020000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-_700_GMNIA_M__41" connectionId="673" xr16:uid="{00000000-0016-0000-0400-0000D801000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-_700_GMNIA_M__48" connectionId="658" xr16:uid="{00000000-0016-0000-0400-00009101000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-_450_GMNIA_N__23" connectionId="641" xr16:uid="{00000000-0016-0000-0400-0000DC010000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_450_GMNIA_N__21" connectionId="654" xr16:uid="{00000000-0016-0000-0400-00001D020000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-_700_GMNIA_N__36" connectionId="582" xr16:uid="{00000000-0016-0000-0400-0000B8010000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-_450_GMNIA_M__23" connectionId="638" xr16:uid="{00000000-0016-0000-0400-0000F7010000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_700_GMNIA_M__45" connectionId="643" xr16:uid="{00000000-0016-0000-0400-0000A2010000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-_450_GMNIA_N__17" connectionId="683" xr16:uid="{00000000-0016-0000-0400-0000B2010000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_450_GMNIA_N__20" connectionId="640" xr16:uid="{00000000-0016-0000-0400-0000CF010000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_700_GMNIA_M__33" connectionId="562" xr16:uid="{00000000-0016-0000-0400-0000C3010000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_450_GMNIA_N__13" connectionId="668" xr16:uid="{00000000-0016-0000-0400-0000EF010000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-_450_GMNIA_M__25" connectionId="653" xr16:uid="{00000000-0016-0000-0400-0000B1010000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_700_GMNIA_N__37" connectionId="675" xr16:uid="{00000000-0016-0000-0400-0000BA010000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-_450_GMNIA_M__12" connectionId="569" xr16:uid="{00000000-0016-0000-0400-00008A010000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-_450_GMNIA_N__22" connectionId="627" xr16:uid="{00000000-0016-0000-0400-0000AF010000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-_450_GMNIA_M__10" connectionId="541" xr16:uid="{00000000-0016-0000-0400-000088010000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800_450_GMNIA_M__9" connectionId="485" xr16:uid="{00000000-0016-0000-0400-0000D0010000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_700_GMNIA_N__45" connectionId="661" xr16:uid="{00000000-0016-0000-0400-000095010000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-_700_GMNIA_N__28" connectionId="595" xr16:uid="{00000000-0016-0000-0400-0000C5010000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-_450_GMNIA_M__4" connectionId="586" xr16:uid="{00000000-0016-0000-0400-000019020000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_700_GMNIA_M__34" connectionId="576" xr16:uid="{00000000-0016-0000-0400-0000F0010000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-_450_GMNIA_N__18" connectionId="697" xr16:uid="{00000000-0016-0000-0400-0000D7010000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-_700_GMNIA_M__37" connectionId="578" xr16:uid="{00000000-0016-0000-0400-00008B010000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_700_GMNIA_M__45" connectionId="656" xr16:uid="{00000000-0016-0000-0400-0000E6010000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-_700_GMNIA_M__40" connectionId="672" xr16:uid="{00000000-0016-0000-0400-0000E5010000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_700_GMNIA_N__43" connectionId="633" xr16:uid="{00000000-0016-0000-0400-000083010000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-_700_GMNIA_M__28" connectionId="592" xr16:uid="{00000000-0016-0000-0400-000015020000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-_450_GMNIA_M__24" connectionId="652" xr16:uid="{00000000-0016-0000-0400-0000D5010000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_700_GMNIA_M__32" connectionId="561" xr16:uid="{00000000-0016-0000-0400-000002020000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-_700_GMNIA_N__47" connectionId="649" xr16:uid="{00000000-0016-0000-0400-00009E010000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_700_GMNIA_N__26" connectionId="606" xr16:uid="{00000000-0016-0000-0400-00000E020000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-_450_GMNIA_M__17" connectionId="667" xr16:uid="{00000000-0016-0000-0400-00009D010000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400_450_GMNIA_M__8" connectionId="479" xr16:uid="{00000000-0016-0000-0400-00000C020000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_700_GMNIA_M__28" connectionId="616" xr16:uid="{00000000-0016-0000-0400-0000C6010000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_700_GMNIA_M__25" connectionId="590" xr16:uid="{00000000-0016-0000-0400-0000FD010000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_450_GMNIA_M__21" connectionId="637" xr16:uid="{00000000-0016-0000-0400-000092010000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-_700_GMNIA_M__36" connectionId="577" xr16:uid="{00000000-0016-0000-0400-00009F010000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-_700_GMNIA_M__34" connectionId="549" xr16:uid="{00000000-0016-0000-0400-0000DD010000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-_450_GMNIA_M__16" connectionId="666" xr16:uid="{00000000-0016-0000-0400-0000D3010000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_450_GMNIA_M__20" connectionId="636" xr16:uid="{00000000-0016-0000-0400-0000FE010000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-_450_GMNIA_M__24" connectionId="639" xr16:uid="{00000000-0016-0000-0400-0000BE010000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-_450_GMNIA_N__24" connectionId="655" xr16:uid="{00000000-0016-0000-0400-0000B0010000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_700_GMNIA_M__33" connectionId="575" xr16:uid="{00000000-0016-0000-0400-0000E1010000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-_700_GMNIA_M__43" connectionId="701" xr16:uid="{00000000-0016-0000-0400-000006020000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_450_GMNIA_M__3" connectionId="609" xr16:uid="{00000000-0016-0000-0400-0000BC010000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0_IPE120_20_GMNIA_N_0.5_My_Mz_50__2" connectionId="466" xr16:uid="{00000000-0016-0000-0400-0000D6010000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_700_GMNIA_N__39" connectionId="703" xr16:uid="{00000000-0016-0000-0400-0000B4010000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-_700_GMNIA_M__47" connectionId="644" xr16:uid="{00000000-0016-0000-0400-0000CA010000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_700_GMNIA_M__27" connectionId="615" xr16:uid="{00000000-0016-0000-0400-0000AA010000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_450_GMNIA_M__16" connectionId="693" xr16:uid="{00000000-0016-0000-0400-0000DE010000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400-_450_GMNIA_M__11" connectionId="477" xr16:uid="{00000000-0016-0000-0400-0000D4010000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_700_GMNIA_N__25" connectionId="594" xr16:uid="{00000000-0016-0000-0400-0000A1010000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_450_GMNIA_M__7" connectionId="543" xr16:uid="{00000000-0016-0000-0400-00008D010000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_450_GMNIA_M__8" connectionId="544" xr16:uid="{00000000-0016-0000-0400-0000F6010000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_700_GMNIA_N__33" connectionId="580" xr16:uid="{00000000-0016-0000-0400-0000EB010000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-_700_GMNIA_M__42" connectionId="700" xr16:uid="{00000000-0016-0000-0400-0000E8010000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_450_GMNIA_M__13" connectionId="664" xr16:uid="{00000000-0016-0000-0400-000021020000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-_700_GMNIA_M__30" connectionId="605" xr16:uid="{00000000-0016-0000-0400-0000C8010000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-_450_GMNIA_M__6" connectionId="599" xr16:uid="{00000000-0016-0000-0400-000018020000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-_700_GMNIA_N__41" connectionId="691" xr16:uid="{00000000-0016-0000-0400-00000F020000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_450_GMNIA_M__14" connectionId="678" xr16:uid="{00000000-0016-0000-0400-000008020000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600-_450_GMNIA_M__6" connectionId="537" xr16:uid="{00000000-0016-0000-0400-000007020000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-_450_GMNIA_M__22" connectionId="624" xr16:uid="{00000000-0016-0000-0400-0000C4010000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-_700_GMNIA_M__29" connectionId="604" xr16:uid="{00000000-0016-0000-0400-0000F5010000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_700_GMNIA_M__31" connectionId="547" xr16:uid="{00000000-0016-0000-0400-0000A7010000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-_700_GMNIA_N__35" connectionId="568" xr16:uid="{00000000-0016-0000-0400-000093010000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_450_GMNIA_N__3" connectionId="613" xr16:uid="{00000000-0016-0000-0400-00008F010000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-_450_GMNIA_M__7" connectionId="612" xr16:uid="{00000000-0016-0000-0400-0000FF010000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00-_450_GMNIA_M__4" connectionId="491" xr16:uid="{00000000-0016-0000-0400-0000EE010000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-_450_GMNIA_N__5" connectionId="601" xr16:uid="{00000000-0016-0000-0400-0000DA010000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_450_GMNIA_M__15" connectionId="692" xr16:uid="{00000000-0016-0000-0400-0000CC010000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_700_GMNIA_N__32" connectionId="566" xr16:uid="{00000000-0016-0000-0400-0000DB010000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_450_GMNIA_M__14" connectionId="665" xr16:uid="{00000000-0016-0000-0400-000097010000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_700_GMNIA_M__37" connectionId="670" xr16:uid="{00000000-0016-0000-0400-000016020000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-_450_GMNIA_M__17" connectionId="680" xr16:uid="{00000000-0016-0000-0400-0000FB010000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-_700_GMNIA_N__46" connectionId="635" xr16:uid="{00000000-0016-0000-0400-00000A020000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_450_GMNIA_N__8" connectionId="560" xr16:uid="{00000000-0016-0000-0400-0000CE010000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_450_GMNIA_N__14" connectionId="682" xr16:uid="{00000000-0016-0000-0400-00008E010000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_700_GMNIA_N__44" connectionId="647" xr16:uid="{00000000-0016-0000-0400-0000F1010000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-_700_GMNIA_M__49" connectionId="659" xr16:uid="{00000000-0016-0000-0400-0000F9010000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_450_GMNIA_M__22" connectionId="651" xr16:uid="{00000000-0016-0000-0400-000096010000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-_450_GMNIA_M__12" connectionId="556" xr16:uid="{00000000-0016-0000-0400-0000FC010000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_450_GMNIA_M__19" connectionId="622" xr16:uid="{00000000-0016-0000-0400-0000A8010000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200_450_GMNIA_M__1" connectionId="489" xr16:uid="{00000000-0016-0000-0400-000001020000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_450_GMNIA_N__19" connectionId="626" xr16:uid="{00000000-0016-0000-0400-00001C020000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-_700_GMNIA_M__35" connectionId="563" xr16:uid="{00000000-0016-0000-0400-0000A5010000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-_700_GMNIA_N__30" connectionId="621" xr16:uid="{00000000-0016-0000-0400-000003020000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_700_GMNIA_M__32" connectionId="548" xr16:uid="{00000000-0016-0000-0400-0000FA010000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_450_GMNIA_M__2" connectionId="584" xr16:uid="{00000000-0016-0000-0400-0000B6010000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IPE330_450_GMNIA_M__2" connectionId="525" xr16:uid="{00000000-0016-0000-0400-000094010000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-_700_GMNIA_M__41" connectionId="686" xr16:uid="{00000000-0016-0000-0400-0000BF010000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-_700_GMNIA_N__40" connectionId="677" xr16:uid="{00000000-0016-0000-0400-0000AE010000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_450_GMNIA_M__15" connectionId="679" xr16:uid="{00000000-0016-0000-0400-000087010000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_700_GMNIA_M__46" connectionId="657" xr16:uid="{00000000-0016-0000-0400-0000EC010000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_700_GMNIA_M__43" connectionId="628" xr16:uid="{00000000-0016-0000-0400-000012020000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-_700_GMNIA_M__36" connectionId="564" xr16:uid="{00000000-0016-0000-0400-0000CD010000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-_450_GMNIA_N__10" connectionId="545" xr16:uid="{00000000-0016-0000-0400-0000B3010000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_450_GMNIA_M__8" connectionId="557" xr16:uid="{00000000-0016-0000-0400-000009020000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_450_GMNIA_M__9" connectionId="571" xr16:uid="{00000000-0016-0000-0400-0000BD010000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-_450_GMNIA_M__23" connectionId="625" xr16:uid="{00000000-0016-0000-0400-0000B9010000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-_450_GMNIA_N__11" connectionId="559" xr16:uid="{00000000-0016-0000-0400-00008C010000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_700_GMNIA_M__40" connectionId="699" xr16:uid="{00000000-0016-0000-0400-0000C1010000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355_HEA280-_450_GMNIA_M__10" connectionId="471" xr16:uid="{00000000-0016-0000-0400-0000AB010000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_450_GMNIA_M__3" connectionId="597" xr16:uid="{00000000-0016-0000-0400-00009C010000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-_450_GMNIA_M__5" connectionId="587" xr16:uid="{00000000-0016-0000-0400-0000D1010000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400_700_GMNIA_M__44" connectionId="642" xr16:uid="{00000000-0016-0000-0400-0000C9010000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-_700_GMNIA_M__42" connectionId="687" xr16:uid="{00000000-0016-0000-0400-0000ED010000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_700_GMNIA_M__27" connectionId="603" xr16:uid="{00000000-0016-0000-0400-0000E4010000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_450_GMNIA_M__2" connectionId="596" xr16:uid="{00000000-0016-0000-0400-000089010000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_700_GMNIA_M__39" connectionId="685" xr16:uid="{00000000-0016-0000-0400-0000D9010000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_700_GMNIA_N__27" connectionId="619" xr16:uid="{00000000-0016-0000-0400-00000B020000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-_450_GMNIA_M__18" connectionId="694" xr16:uid="{00000000-0016-0000-0400-0000B7010000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_450_GMNIA_M__20" connectionId="623" xr16:uid="{00000000-0016-0000-0400-0000A0010000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-_700_GMNIA_M__31" connectionId="618" xr16:uid="{00000000-0016-0000-0400-0000D2010000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-_450_GMNIA_N__16" connectionId="669" xr16:uid="{00000000-0016-0000-0400-0000A3010000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-_700_GMNIA_N__42" connectionId="705" xr16:uid="{00000000-0016-0000-0400-0000DF010000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_450_GMNIA_M__10" connectionId="572" xr16:uid="{00000000-0016-0000-0400-000090010000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600-_700_GMNIA_M__30" connectionId="617" xr16:uid="{00000000-0016-0000-0400-000017020000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_700_GMNIA_M__39" connectionId="698" xr16:uid="{00000000-0016-0000-0400-000084010000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330_700_GMNIA_M__38" connectionId="684" xr16:uid="{00000000-0016-0000-0400-000011020000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200_700_GMNIA_M__38" connectionId="671" xr16:uid="{00000000-0016-0000-0400-00001F020000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-_450_GMNIA_M__11" connectionId="555" xr16:uid="{00000000-0016-0000-0400-000000020000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-_700_GMNIA_M__47" connectionId="631" xr16:uid="{00000000-0016-0000-0400-000099010000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800-_450_GMNIA_N__12" connectionId="573" xr16:uid="{00000000-0016-0000-0400-000086010000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-_450_GMNIA_M__11" connectionId="542" xr16:uid="{00000000-0016-0000-0400-0000AC010000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400_450_GMNIA_M__9" connectionId="558" xr16:uid="{00000000-0016-0000-0400-0000F2010000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_450_GMNIA_M__3" connectionId="585" xr16:uid="{00000000-0016-0000-0400-0000A4010000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_450_GMNIA_N__15" connectionId="696" xr16:uid="{00000000-0016-0000-0400-0000A9010000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_700_GMNIA_M__44" connectionId="629" xr16:uid="{00000000-0016-0000-0400-0000E2010000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280-_700_GMNIA_M__46" connectionId="630" xr16:uid="{00000000-0016-0000-0400-000010020000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-_700_GMNIA_M__35" connectionId="550" xr16:uid="{00000000-0016-0000-0400-0000CB010000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200-_450_GMNIA_N__4" connectionId="589" xr16:uid="{00000000-0016-0000-0400-0000BB010000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IPE330_700_GMNIA_M__26" connectionId="602" xr16:uid="{00000000-0016-0000-0400-0000F4010000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HEA800-_700_GMNIA_N__48" connectionId="663" xr16:uid="{00000000-0016-0000-0400-000013020000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_700_GMNIA_N__31" connectionId="552" xr16:uid="{00000000-0016-0000-0400-0000E3010000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690_IPE600-_450_GMNIA_M__19" connectionId="695" xr16:uid="{00000000-0016-0000-0400-0000B5010000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ype_1_mesh_355_HEA280-_700_GMNIA_N__34" connectionId="554" xr16:uid="{00000000-0016-0000-0400-0000E901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22.xml"/><Relationship Id="rId299" Type="http://schemas.openxmlformats.org/officeDocument/2006/relationships/queryTable" Target="../queryTables/queryTable404.xml"/><Relationship Id="rId21" Type="http://schemas.openxmlformats.org/officeDocument/2006/relationships/queryTable" Target="../queryTables/queryTable126.xml"/><Relationship Id="rId63" Type="http://schemas.openxmlformats.org/officeDocument/2006/relationships/queryTable" Target="../queryTables/queryTable168.xml"/><Relationship Id="rId159" Type="http://schemas.openxmlformats.org/officeDocument/2006/relationships/queryTable" Target="../queryTables/queryTable264.xml"/><Relationship Id="rId324" Type="http://schemas.openxmlformats.org/officeDocument/2006/relationships/queryTable" Target="../queryTables/queryTable429.xml"/><Relationship Id="rId366" Type="http://schemas.openxmlformats.org/officeDocument/2006/relationships/queryTable" Target="../queryTables/queryTable471.xml"/><Relationship Id="rId170" Type="http://schemas.openxmlformats.org/officeDocument/2006/relationships/queryTable" Target="../queryTables/queryTable275.xml"/><Relationship Id="rId226" Type="http://schemas.openxmlformats.org/officeDocument/2006/relationships/queryTable" Target="../queryTables/queryTable331.xml"/><Relationship Id="rId433" Type="http://schemas.openxmlformats.org/officeDocument/2006/relationships/queryTable" Target="../queryTables/queryTable538.xml"/><Relationship Id="rId268" Type="http://schemas.openxmlformats.org/officeDocument/2006/relationships/queryTable" Target="../queryTables/queryTable373.xml"/><Relationship Id="rId475" Type="http://schemas.openxmlformats.org/officeDocument/2006/relationships/queryTable" Target="../queryTables/queryTable580.xml"/><Relationship Id="rId32" Type="http://schemas.openxmlformats.org/officeDocument/2006/relationships/queryTable" Target="../queryTables/queryTable137.xml"/><Relationship Id="rId74" Type="http://schemas.openxmlformats.org/officeDocument/2006/relationships/queryTable" Target="../queryTables/queryTable179.xml"/><Relationship Id="rId128" Type="http://schemas.openxmlformats.org/officeDocument/2006/relationships/queryTable" Target="../queryTables/queryTable233.xml"/><Relationship Id="rId335" Type="http://schemas.openxmlformats.org/officeDocument/2006/relationships/queryTable" Target="../queryTables/queryTable440.xml"/><Relationship Id="rId377" Type="http://schemas.openxmlformats.org/officeDocument/2006/relationships/queryTable" Target="../queryTables/queryTable482.xml"/><Relationship Id="rId5" Type="http://schemas.openxmlformats.org/officeDocument/2006/relationships/queryTable" Target="../queryTables/queryTable110.xml"/><Relationship Id="rId181" Type="http://schemas.openxmlformats.org/officeDocument/2006/relationships/queryTable" Target="../queryTables/queryTable286.xml"/><Relationship Id="rId237" Type="http://schemas.openxmlformats.org/officeDocument/2006/relationships/queryTable" Target="../queryTables/queryTable342.xml"/><Relationship Id="rId402" Type="http://schemas.openxmlformats.org/officeDocument/2006/relationships/queryTable" Target="../queryTables/queryTable507.xml"/><Relationship Id="rId279" Type="http://schemas.openxmlformats.org/officeDocument/2006/relationships/queryTable" Target="../queryTables/queryTable384.xml"/><Relationship Id="rId444" Type="http://schemas.openxmlformats.org/officeDocument/2006/relationships/queryTable" Target="../queryTables/queryTable549.xml"/><Relationship Id="rId43" Type="http://schemas.openxmlformats.org/officeDocument/2006/relationships/queryTable" Target="../queryTables/queryTable148.xml"/><Relationship Id="rId139" Type="http://schemas.openxmlformats.org/officeDocument/2006/relationships/queryTable" Target="../queryTables/queryTable244.xml"/><Relationship Id="rId290" Type="http://schemas.openxmlformats.org/officeDocument/2006/relationships/queryTable" Target="../queryTables/queryTable395.xml"/><Relationship Id="rId304" Type="http://schemas.openxmlformats.org/officeDocument/2006/relationships/queryTable" Target="../queryTables/queryTable409.xml"/><Relationship Id="rId346" Type="http://schemas.openxmlformats.org/officeDocument/2006/relationships/queryTable" Target="../queryTables/queryTable451.xml"/><Relationship Id="rId388" Type="http://schemas.openxmlformats.org/officeDocument/2006/relationships/queryTable" Target="../queryTables/queryTable493.xml"/><Relationship Id="rId85" Type="http://schemas.openxmlformats.org/officeDocument/2006/relationships/queryTable" Target="../queryTables/queryTable190.xml"/><Relationship Id="rId150" Type="http://schemas.openxmlformats.org/officeDocument/2006/relationships/queryTable" Target="../queryTables/queryTable255.xml"/><Relationship Id="rId192" Type="http://schemas.openxmlformats.org/officeDocument/2006/relationships/queryTable" Target="../queryTables/queryTable297.xml"/><Relationship Id="rId206" Type="http://schemas.openxmlformats.org/officeDocument/2006/relationships/queryTable" Target="../queryTables/queryTable311.xml"/><Relationship Id="rId413" Type="http://schemas.openxmlformats.org/officeDocument/2006/relationships/queryTable" Target="../queryTables/queryTable518.xml"/><Relationship Id="rId248" Type="http://schemas.openxmlformats.org/officeDocument/2006/relationships/queryTable" Target="../queryTables/queryTable353.xml"/><Relationship Id="rId455" Type="http://schemas.openxmlformats.org/officeDocument/2006/relationships/queryTable" Target="../queryTables/queryTable560.xml"/><Relationship Id="rId12" Type="http://schemas.openxmlformats.org/officeDocument/2006/relationships/queryTable" Target="../queryTables/queryTable117.xml"/><Relationship Id="rId108" Type="http://schemas.openxmlformats.org/officeDocument/2006/relationships/queryTable" Target="../queryTables/queryTable213.xml"/><Relationship Id="rId315" Type="http://schemas.openxmlformats.org/officeDocument/2006/relationships/queryTable" Target="../queryTables/queryTable420.xml"/><Relationship Id="rId357" Type="http://schemas.openxmlformats.org/officeDocument/2006/relationships/queryTable" Target="../queryTables/queryTable462.xml"/><Relationship Id="rId54" Type="http://schemas.openxmlformats.org/officeDocument/2006/relationships/queryTable" Target="../queryTables/queryTable159.xml"/><Relationship Id="rId96" Type="http://schemas.openxmlformats.org/officeDocument/2006/relationships/queryTable" Target="../queryTables/queryTable201.xml"/><Relationship Id="rId161" Type="http://schemas.openxmlformats.org/officeDocument/2006/relationships/queryTable" Target="../queryTables/queryTable266.xml"/><Relationship Id="rId217" Type="http://schemas.openxmlformats.org/officeDocument/2006/relationships/queryTable" Target="../queryTables/queryTable322.xml"/><Relationship Id="rId399" Type="http://schemas.openxmlformats.org/officeDocument/2006/relationships/queryTable" Target="../queryTables/queryTable504.xml"/><Relationship Id="rId259" Type="http://schemas.openxmlformats.org/officeDocument/2006/relationships/queryTable" Target="../queryTables/queryTable364.xml"/><Relationship Id="rId424" Type="http://schemas.openxmlformats.org/officeDocument/2006/relationships/queryTable" Target="../queryTables/queryTable529.xml"/><Relationship Id="rId466" Type="http://schemas.openxmlformats.org/officeDocument/2006/relationships/queryTable" Target="../queryTables/queryTable571.xml"/><Relationship Id="rId23" Type="http://schemas.openxmlformats.org/officeDocument/2006/relationships/queryTable" Target="../queryTables/queryTable128.xml"/><Relationship Id="rId119" Type="http://schemas.openxmlformats.org/officeDocument/2006/relationships/queryTable" Target="../queryTables/queryTable224.xml"/><Relationship Id="rId270" Type="http://schemas.openxmlformats.org/officeDocument/2006/relationships/queryTable" Target="../queryTables/queryTable375.xml"/><Relationship Id="rId326" Type="http://schemas.openxmlformats.org/officeDocument/2006/relationships/queryTable" Target="../queryTables/queryTable431.xml"/><Relationship Id="rId65" Type="http://schemas.openxmlformats.org/officeDocument/2006/relationships/queryTable" Target="../queryTables/queryTable170.xml"/><Relationship Id="rId130" Type="http://schemas.openxmlformats.org/officeDocument/2006/relationships/queryTable" Target="../queryTables/queryTable235.xml"/><Relationship Id="rId368" Type="http://schemas.openxmlformats.org/officeDocument/2006/relationships/queryTable" Target="../queryTables/queryTable473.xml"/><Relationship Id="rId172" Type="http://schemas.openxmlformats.org/officeDocument/2006/relationships/queryTable" Target="../queryTables/queryTable277.xml"/><Relationship Id="rId228" Type="http://schemas.openxmlformats.org/officeDocument/2006/relationships/queryTable" Target="../queryTables/queryTable333.xml"/><Relationship Id="rId435" Type="http://schemas.openxmlformats.org/officeDocument/2006/relationships/queryTable" Target="../queryTables/queryTable540.xml"/><Relationship Id="rId477" Type="http://schemas.openxmlformats.org/officeDocument/2006/relationships/queryTable" Target="../queryTables/queryTable582.xml"/><Relationship Id="rId281" Type="http://schemas.openxmlformats.org/officeDocument/2006/relationships/queryTable" Target="../queryTables/queryTable386.xml"/><Relationship Id="rId337" Type="http://schemas.openxmlformats.org/officeDocument/2006/relationships/queryTable" Target="../queryTables/queryTable442.xml"/><Relationship Id="rId34" Type="http://schemas.openxmlformats.org/officeDocument/2006/relationships/queryTable" Target="../queryTables/queryTable139.xml"/><Relationship Id="rId76" Type="http://schemas.openxmlformats.org/officeDocument/2006/relationships/queryTable" Target="../queryTables/queryTable181.xml"/><Relationship Id="rId141" Type="http://schemas.openxmlformats.org/officeDocument/2006/relationships/queryTable" Target="../queryTables/queryTable246.xml"/><Relationship Id="rId379" Type="http://schemas.openxmlformats.org/officeDocument/2006/relationships/queryTable" Target="../queryTables/queryTable484.xml"/><Relationship Id="rId7" Type="http://schemas.openxmlformats.org/officeDocument/2006/relationships/queryTable" Target="../queryTables/queryTable112.xml"/><Relationship Id="rId183" Type="http://schemas.openxmlformats.org/officeDocument/2006/relationships/queryTable" Target="../queryTables/queryTable288.xml"/><Relationship Id="rId239" Type="http://schemas.openxmlformats.org/officeDocument/2006/relationships/queryTable" Target="../queryTables/queryTable344.xml"/><Relationship Id="rId390" Type="http://schemas.openxmlformats.org/officeDocument/2006/relationships/queryTable" Target="../queryTables/queryTable495.xml"/><Relationship Id="rId404" Type="http://schemas.openxmlformats.org/officeDocument/2006/relationships/queryTable" Target="../queryTables/queryTable509.xml"/><Relationship Id="rId446" Type="http://schemas.openxmlformats.org/officeDocument/2006/relationships/queryTable" Target="../queryTables/queryTable551.xml"/><Relationship Id="rId250" Type="http://schemas.openxmlformats.org/officeDocument/2006/relationships/queryTable" Target="../queryTables/queryTable355.xml"/><Relationship Id="rId292" Type="http://schemas.openxmlformats.org/officeDocument/2006/relationships/queryTable" Target="../queryTables/queryTable397.xml"/><Relationship Id="rId306" Type="http://schemas.openxmlformats.org/officeDocument/2006/relationships/queryTable" Target="../queryTables/queryTable411.xml"/><Relationship Id="rId45" Type="http://schemas.openxmlformats.org/officeDocument/2006/relationships/queryTable" Target="../queryTables/queryTable150.xml"/><Relationship Id="rId87" Type="http://schemas.openxmlformats.org/officeDocument/2006/relationships/queryTable" Target="../queryTables/queryTable192.xml"/><Relationship Id="rId110" Type="http://schemas.openxmlformats.org/officeDocument/2006/relationships/queryTable" Target="../queryTables/queryTable215.xml"/><Relationship Id="rId348" Type="http://schemas.openxmlformats.org/officeDocument/2006/relationships/queryTable" Target="../queryTables/queryTable453.xml"/><Relationship Id="rId152" Type="http://schemas.openxmlformats.org/officeDocument/2006/relationships/queryTable" Target="../queryTables/queryTable257.xml"/><Relationship Id="rId194" Type="http://schemas.openxmlformats.org/officeDocument/2006/relationships/queryTable" Target="../queryTables/queryTable299.xml"/><Relationship Id="rId208" Type="http://schemas.openxmlformats.org/officeDocument/2006/relationships/queryTable" Target="../queryTables/queryTable313.xml"/><Relationship Id="rId415" Type="http://schemas.openxmlformats.org/officeDocument/2006/relationships/queryTable" Target="../queryTables/queryTable520.xml"/><Relationship Id="rId457" Type="http://schemas.openxmlformats.org/officeDocument/2006/relationships/queryTable" Target="../queryTables/queryTable562.xml"/><Relationship Id="rId261" Type="http://schemas.openxmlformats.org/officeDocument/2006/relationships/queryTable" Target="../queryTables/queryTable366.xml"/><Relationship Id="rId14" Type="http://schemas.openxmlformats.org/officeDocument/2006/relationships/queryTable" Target="../queryTables/queryTable119.xml"/><Relationship Id="rId56" Type="http://schemas.openxmlformats.org/officeDocument/2006/relationships/queryTable" Target="../queryTables/queryTable161.xml"/><Relationship Id="rId317" Type="http://schemas.openxmlformats.org/officeDocument/2006/relationships/queryTable" Target="../queryTables/queryTable422.xml"/><Relationship Id="rId359" Type="http://schemas.openxmlformats.org/officeDocument/2006/relationships/queryTable" Target="../queryTables/queryTable464.xml"/><Relationship Id="rId98" Type="http://schemas.openxmlformats.org/officeDocument/2006/relationships/queryTable" Target="../queryTables/queryTable203.xml"/><Relationship Id="rId121" Type="http://schemas.openxmlformats.org/officeDocument/2006/relationships/queryTable" Target="../queryTables/queryTable226.xml"/><Relationship Id="rId163" Type="http://schemas.openxmlformats.org/officeDocument/2006/relationships/queryTable" Target="../queryTables/queryTable268.xml"/><Relationship Id="rId219" Type="http://schemas.openxmlformats.org/officeDocument/2006/relationships/queryTable" Target="../queryTables/queryTable324.xml"/><Relationship Id="rId370" Type="http://schemas.openxmlformats.org/officeDocument/2006/relationships/queryTable" Target="../queryTables/queryTable475.xml"/><Relationship Id="rId426" Type="http://schemas.openxmlformats.org/officeDocument/2006/relationships/queryTable" Target="../queryTables/queryTable531.xml"/><Relationship Id="rId230" Type="http://schemas.openxmlformats.org/officeDocument/2006/relationships/queryTable" Target="../queryTables/queryTable335.xml"/><Relationship Id="rId468" Type="http://schemas.openxmlformats.org/officeDocument/2006/relationships/queryTable" Target="../queryTables/queryTable573.xml"/><Relationship Id="rId25" Type="http://schemas.openxmlformats.org/officeDocument/2006/relationships/queryTable" Target="../queryTables/queryTable130.xml"/><Relationship Id="rId67" Type="http://schemas.openxmlformats.org/officeDocument/2006/relationships/queryTable" Target="../queryTables/queryTable172.xml"/><Relationship Id="rId272" Type="http://schemas.openxmlformats.org/officeDocument/2006/relationships/queryTable" Target="../queryTables/queryTable377.xml"/><Relationship Id="rId328" Type="http://schemas.openxmlformats.org/officeDocument/2006/relationships/queryTable" Target="../queryTables/queryTable433.xml"/><Relationship Id="rId132" Type="http://schemas.openxmlformats.org/officeDocument/2006/relationships/queryTable" Target="../queryTables/queryTable237.xml"/><Relationship Id="rId174" Type="http://schemas.openxmlformats.org/officeDocument/2006/relationships/queryTable" Target="../queryTables/queryTable279.xml"/><Relationship Id="rId381" Type="http://schemas.openxmlformats.org/officeDocument/2006/relationships/queryTable" Target="../queryTables/queryTable486.xml"/><Relationship Id="rId241" Type="http://schemas.openxmlformats.org/officeDocument/2006/relationships/queryTable" Target="../queryTables/queryTable346.xml"/><Relationship Id="rId437" Type="http://schemas.openxmlformats.org/officeDocument/2006/relationships/queryTable" Target="../queryTables/queryTable542.xml"/><Relationship Id="rId36" Type="http://schemas.openxmlformats.org/officeDocument/2006/relationships/queryTable" Target="../queryTables/queryTable141.xml"/><Relationship Id="rId283" Type="http://schemas.openxmlformats.org/officeDocument/2006/relationships/queryTable" Target="../queryTables/queryTable388.xml"/><Relationship Id="rId339" Type="http://schemas.openxmlformats.org/officeDocument/2006/relationships/queryTable" Target="../queryTables/queryTable444.xml"/><Relationship Id="rId78" Type="http://schemas.openxmlformats.org/officeDocument/2006/relationships/queryTable" Target="../queryTables/queryTable183.xml"/><Relationship Id="rId101" Type="http://schemas.openxmlformats.org/officeDocument/2006/relationships/queryTable" Target="../queryTables/queryTable206.xml"/><Relationship Id="rId143" Type="http://schemas.openxmlformats.org/officeDocument/2006/relationships/queryTable" Target="../queryTables/queryTable248.xml"/><Relationship Id="rId185" Type="http://schemas.openxmlformats.org/officeDocument/2006/relationships/queryTable" Target="../queryTables/queryTable290.xml"/><Relationship Id="rId350" Type="http://schemas.openxmlformats.org/officeDocument/2006/relationships/queryTable" Target="../queryTables/queryTable455.xml"/><Relationship Id="rId406" Type="http://schemas.openxmlformats.org/officeDocument/2006/relationships/queryTable" Target="../queryTables/queryTable511.xml"/><Relationship Id="rId9" Type="http://schemas.openxmlformats.org/officeDocument/2006/relationships/queryTable" Target="../queryTables/queryTable114.xml"/><Relationship Id="rId210" Type="http://schemas.openxmlformats.org/officeDocument/2006/relationships/queryTable" Target="../queryTables/queryTable315.xml"/><Relationship Id="rId392" Type="http://schemas.openxmlformats.org/officeDocument/2006/relationships/queryTable" Target="../queryTables/queryTable497.xml"/><Relationship Id="rId448" Type="http://schemas.openxmlformats.org/officeDocument/2006/relationships/queryTable" Target="../queryTables/queryTable553.xml"/><Relationship Id="rId252" Type="http://schemas.openxmlformats.org/officeDocument/2006/relationships/queryTable" Target="../queryTables/queryTable357.xml"/><Relationship Id="rId294" Type="http://schemas.openxmlformats.org/officeDocument/2006/relationships/queryTable" Target="../queryTables/queryTable399.xml"/><Relationship Id="rId308" Type="http://schemas.openxmlformats.org/officeDocument/2006/relationships/queryTable" Target="../queryTables/queryTable413.xml"/><Relationship Id="rId47" Type="http://schemas.openxmlformats.org/officeDocument/2006/relationships/queryTable" Target="../queryTables/queryTable152.xml"/><Relationship Id="rId89" Type="http://schemas.openxmlformats.org/officeDocument/2006/relationships/queryTable" Target="../queryTables/queryTable194.xml"/><Relationship Id="rId112" Type="http://schemas.openxmlformats.org/officeDocument/2006/relationships/queryTable" Target="../queryTables/queryTable217.xml"/><Relationship Id="rId154" Type="http://schemas.openxmlformats.org/officeDocument/2006/relationships/queryTable" Target="../queryTables/queryTable259.xml"/><Relationship Id="rId361" Type="http://schemas.openxmlformats.org/officeDocument/2006/relationships/queryTable" Target="../queryTables/queryTable466.xml"/><Relationship Id="rId196" Type="http://schemas.openxmlformats.org/officeDocument/2006/relationships/queryTable" Target="../queryTables/queryTable301.xml"/><Relationship Id="rId417" Type="http://schemas.openxmlformats.org/officeDocument/2006/relationships/queryTable" Target="../queryTables/queryTable522.xml"/><Relationship Id="rId459" Type="http://schemas.openxmlformats.org/officeDocument/2006/relationships/queryTable" Target="../queryTables/queryTable564.xml"/><Relationship Id="rId16" Type="http://schemas.openxmlformats.org/officeDocument/2006/relationships/queryTable" Target="../queryTables/queryTable121.xml"/><Relationship Id="rId221" Type="http://schemas.openxmlformats.org/officeDocument/2006/relationships/queryTable" Target="../queryTables/queryTable326.xml"/><Relationship Id="rId263" Type="http://schemas.openxmlformats.org/officeDocument/2006/relationships/queryTable" Target="../queryTables/queryTable368.xml"/><Relationship Id="rId319" Type="http://schemas.openxmlformats.org/officeDocument/2006/relationships/queryTable" Target="../queryTables/queryTable424.xml"/><Relationship Id="rId470" Type="http://schemas.openxmlformats.org/officeDocument/2006/relationships/queryTable" Target="../queryTables/queryTable575.xml"/><Relationship Id="rId58" Type="http://schemas.openxmlformats.org/officeDocument/2006/relationships/queryTable" Target="../queryTables/queryTable163.xml"/><Relationship Id="rId123" Type="http://schemas.openxmlformats.org/officeDocument/2006/relationships/queryTable" Target="../queryTables/queryTable228.xml"/><Relationship Id="rId330" Type="http://schemas.openxmlformats.org/officeDocument/2006/relationships/queryTable" Target="../queryTables/queryTable435.xml"/><Relationship Id="rId165" Type="http://schemas.openxmlformats.org/officeDocument/2006/relationships/queryTable" Target="../queryTables/queryTable270.xml"/><Relationship Id="rId372" Type="http://schemas.openxmlformats.org/officeDocument/2006/relationships/queryTable" Target="../queryTables/queryTable477.xml"/><Relationship Id="rId428" Type="http://schemas.openxmlformats.org/officeDocument/2006/relationships/queryTable" Target="../queryTables/queryTable533.xml"/><Relationship Id="rId232" Type="http://schemas.openxmlformats.org/officeDocument/2006/relationships/queryTable" Target="../queryTables/queryTable337.xml"/><Relationship Id="rId274" Type="http://schemas.openxmlformats.org/officeDocument/2006/relationships/queryTable" Target="../queryTables/queryTable379.xml"/><Relationship Id="rId27" Type="http://schemas.openxmlformats.org/officeDocument/2006/relationships/queryTable" Target="../queryTables/queryTable132.xml"/><Relationship Id="rId69" Type="http://schemas.openxmlformats.org/officeDocument/2006/relationships/queryTable" Target="../queryTables/queryTable174.xml"/><Relationship Id="rId134" Type="http://schemas.openxmlformats.org/officeDocument/2006/relationships/queryTable" Target="../queryTables/queryTable239.xml"/><Relationship Id="rId80" Type="http://schemas.openxmlformats.org/officeDocument/2006/relationships/queryTable" Target="../queryTables/queryTable185.xml"/><Relationship Id="rId176" Type="http://schemas.openxmlformats.org/officeDocument/2006/relationships/queryTable" Target="../queryTables/queryTable281.xml"/><Relationship Id="rId341" Type="http://schemas.openxmlformats.org/officeDocument/2006/relationships/queryTable" Target="../queryTables/queryTable446.xml"/><Relationship Id="rId383" Type="http://schemas.openxmlformats.org/officeDocument/2006/relationships/queryTable" Target="../queryTables/queryTable488.xml"/><Relationship Id="rId439" Type="http://schemas.openxmlformats.org/officeDocument/2006/relationships/queryTable" Target="../queryTables/queryTable544.xml"/><Relationship Id="rId201" Type="http://schemas.openxmlformats.org/officeDocument/2006/relationships/queryTable" Target="../queryTables/queryTable306.xml"/><Relationship Id="rId243" Type="http://schemas.openxmlformats.org/officeDocument/2006/relationships/queryTable" Target="../queryTables/queryTable348.xml"/><Relationship Id="rId285" Type="http://schemas.openxmlformats.org/officeDocument/2006/relationships/queryTable" Target="../queryTables/queryTable390.xml"/><Relationship Id="rId450" Type="http://schemas.openxmlformats.org/officeDocument/2006/relationships/queryTable" Target="../queryTables/queryTable555.xml"/><Relationship Id="rId38" Type="http://schemas.openxmlformats.org/officeDocument/2006/relationships/queryTable" Target="../queryTables/queryTable143.xml"/><Relationship Id="rId103" Type="http://schemas.openxmlformats.org/officeDocument/2006/relationships/queryTable" Target="../queryTables/queryTable208.xml"/><Relationship Id="rId310" Type="http://schemas.openxmlformats.org/officeDocument/2006/relationships/queryTable" Target="../queryTables/queryTable415.xml"/><Relationship Id="rId91" Type="http://schemas.openxmlformats.org/officeDocument/2006/relationships/queryTable" Target="../queryTables/queryTable196.xml"/><Relationship Id="rId145" Type="http://schemas.openxmlformats.org/officeDocument/2006/relationships/queryTable" Target="../queryTables/queryTable250.xml"/><Relationship Id="rId187" Type="http://schemas.openxmlformats.org/officeDocument/2006/relationships/queryTable" Target="../queryTables/queryTable292.xml"/><Relationship Id="rId352" Type="http://schemas.openxmlformats.org/officeDocument/2006/relationships/queryTable" Target="../queryTables/queryTable457.xml"/><Relationship Id="rId394" Type="http://schemas.openxmlformats.org/officeDocument/2006/relationships/queryTable" Target="../queryTables/queryTable499.xml"/><Relationship Id="rId408" Type="http://schemas.openxmlformats.org/officeDocument/2006/relationships/queryTable" Target="../queryTables/queryTable513.xml"/><Relationship Id="rId212" Type="http://schemas.openxmlformats.org/officeDocument/2006/relationships/queryTable" Target="../queryTables/queryTable317.xml"/><Relationship Id="rId254" Type="http://schemas.openxmlformats.org/officeDocument/2006/relationships/queryTable" Target="../queryTables/queryTable359.xml"/><Relationship Id="rId49" Type="http://schemas.openxmlformats.org/officeDocument/2006/relationships/queryTable" Target="../queryTables/queryTable154.xml"/><Relationship Id="rId114" Type="http://schemas.openxmlformats.org/officeDocument/2006/relationships/queryTable" Target="../queryTables/queryTable219.xml"/><Relationship Id="rId296" Type="http://schemas.openxmlformats.org/officeDocument/2006/relationships/queryTable" Target="../queryTables/queryTable401.xml"/><Relationship Id="rId461" Type="http://schemas.openxmlformats.org/officeDocument/2006/relationships/queryTable" Target="../queryTables/queryTable566.xml"/><Relationship Id="rId60" Type="http://schemas.openxmlformats.org/officeDocument/2006/relationships/queryTable" Target="../queryTables/queryTable165.xml"/><Relationship Id="rId156" Type="http://schemas.openxmlformats.org/officeDocument/2006/relationships/queryTable" Target="../queryTables/queryTable261.xml"/><Relationship Id="rId198" Type="http://schemas.openxmlformats.org/officeDocument/2006/relationships/queryTable" Target="../queryTables/queryTable303.xml"/><Relationship Id="rId321" Type="http://schemas.openxmlformats.org/officeDocument/2006/relationships/queryTable" Target="../queryTables/queryTable426.xml"/><Relationship Id="rId363" Type="http://schemas.openxmlformats.org/officeDocument/2006/relationships/queryTable" Target="../queryTables/queryTable468.xml"/><Relationship Id="rId419" Type="http://schemas.openxmlformats.org/officeDocument/2006/relationships/queryTable" Target="../queryTables/queryTable524.xml"/><Relationship Id="rId223" Type="http://schemas.openxmlformats.org/officeDocument/2006/relationships/queryTable" Target="../queryTables/queryTable328.xml"/><Relationship Id="rId430" Type="http://schemas.openxmlformats.org/officeDocument/2006/relationships/queryTable" Target="../queryTables/queryTable535.xml"/><Relationship Id="rId18" Type="http://schemas.openxmlformats.org/officeDocument/2006/relationships/queryTable" Target="../queryTables/queryTable123.xml"/><Relationship Id="rId265" Type="http://schemas.openxmlformats.org/officeDocument/2006/relationships/queryTable" Target="../queryTables/queryTable370.xml"/><Relationship Id="rId472" Type="http://schemas.openxmlformats.org/officeDocument/2006/relationships/queryTable" Target="../queryTables/queryTable577.xml"/><Relationship Id="rId125" Type="http://schemas.openxmlformats.org/officeDocument/2006/relationships/queryTable" Target="../queryTables/queryTable230.xml"/><Relationship Id="rId167" Type="http://schemas.openxmlformats.org/officeDocument/2006/relationships/queryTable" Target="../queryTables/queryTable272.xml"/><Relationship Id="rId332" Type="http://schemas.openxmlformats.org/officeDocument/2006/relationships/queryTable" Target="../queryTables/queryTable437.xml"/><Relationship Id="rId374" Type="http://schemas.openxmlformats.org/officeDocument/2006/relationships/queryTable" Target="../queryTables/queryTable479.xml"/><Relationship Id="rId71" Type="http://schemas.openxmlformats.org/officeDocument/2006/relationships/queryTable" Target="../queryTables/queryTable176.xml"/><Relationship Id="rId234" Type="http://schemas.openxmlformats.org/officeDocument/2006/relationships/queryTable" Target="../queryTables/queryTable339.xml"/><Relationship Id="rId2" Type="http://schemas.openxmlformats.org/officeDocument/2006/relationships/queryTable" Target="../queryTables/queryTable107.xml"/><Relationship Id="rId29" Type="http://schemas.openxmlformats.org/officeDocument/2006/relationships/queryTable" Target="../queryTables/queryTable134.xml"/><Relationship Id="rId276" Type="http://schemas.openxmlformats.org/officeDocument/2006/relationships/queryTable" Target="../queryTables/queryTable381.xml"/><Relationship Id="rId441" Type="http://schemas.openxmlformats.org/officeDocument/2006/relationships/queryTable" Target="../queryTables/queryTable546.xml"/><Relationship Id="rId40" Type="http://schemas.openxmlformats.org/officeDocument/2006/relationships/queryTable" Target="../queryTables/queryTable145.xml"/><Relationship Id="rId136" Type="http://schemas.openxmlformats.org/officeDocument/2006/relationships/queryTable" Target="../queryTables/queryTable241.xml"/><Relationship Id="rId178" Type="http://schemas.openxmlformats.org/officeDocument/2006/relationships/queryTable" Target="../queryTables/queryTable283.xml"/><Relationship Id="rId301" Type="http://schemas.openxmlformats.org/officeDocument/2006/relationships/queryTable" Target="../queryTables/queryTable406.xml"/><Relationship Id="rId343" Type="http://schemas.openxmlformats.org/officeDocument/2006/relationships/queryTable" Target="../queryTables/queryTable448.xml"/><Relationship Id="rId82" Type="http://schemas.openxmlformats.org/officeDocument/2006/relationships/queryTable" Target="../queryTables/queryTable187.xml"/><Relationship Id="rId203" Type="http://schemas.openxmlformats.org/officeDocument/2006/relationships/queryTable" Target="../queryTables/queryTable308.xml"/><Relationship Id="rId385" Type="http://schemas.openxmlformats.org/officeDocument/2006/relationships/queryTable" Target="../queryTables/queryTable490.xml"/><Relationship Id="rId245" Type="http://schemas.openxmlformats.org/officeDocument/2006/relationships/queryTable" Target="../queryTables/queryTable350.xml"/><Relationship Id="rId287" Type="http://schemas.openxmlformats.org/officeDocument/2006/relationships/queryTable" Target="../queryTables/queryTable392.xml"/><Relationship Id="rId410" Type="http://schemas.openxmlformats.org/officeDocument/2006/relationships/queryTable" Target="../queryTables/queryTable515.xml"/><Relationship Id="rId452" Type="http://schemas.openxmlformats.org/officeDocument/2006/relationships/queryTable" Target="../queryTables/queryTable557.xml"/><Relationship Id="rId105" Type="http://schemas.openxmlformats.org/officeDocument/2006/relationships/queryTable" Target="../queryTables/queryTable210.xml"/><Relationship Id="rId147" Type="http://schemas.openxmlformats.org/officeDocument/2006/relationships/queryTable" Target="../queryTables/queryTable252.xml"/><Relationship Id="rId312" Type="http://schemas.openxmlformats.org/officeDocument/2006/relationships/queryTable" Target="../queryTables/queryTable417.xml"/><Relationship Id="rId354" Type="http://schemas.openxmlformats.org/officeDocument/2006/relationships/queryTable" Target="../queryTables/queryTable459.xml"/><Relationship Id="rId51" Type="http://schemas.openxmlformats.org/officeDocument/2006/relationships/queryTable" Target="../queryTables/queryTable156.xml"/><Relationship Id="rId72" Type="http://schemas.openxmlformats.org/officeDocument/2006/relationships/queryTable" Target="../queryTables/queryTable177.xml"/><Relationship Id="rId93" Type="http://schemas.openxmlformats.org/officeDocument/2006/relationships/queryTable" Target="../queryTables/queryTable198.xml"/><Relationship Id="rId189" Type="http://schemas.openxmlformats.org/officeDocument/2006/relationships/queryTable" Target="../queryTables/queryTable294.xml"/><Relationship Id="rId375" Type="http://schemas.openxmlformats.org/officeDocument/2006/relationships/queryTable" Target="../queryTables/queryTable480.xml"/><Relationship Id="rId396" Type="http://schemas.openxmlformats.org/officeDocument/2006/relationships/queryTable" Target="../queryTables/queryTable501.xml"/><Relationship Id="rId3" Type="http://schemas.openxmlformats.org/officeDocument/2006/relationships/queryTable" Target="../queryTables/queryTable108.xml"/><Relationship Id="rId214" Type="http://schemas.openxmlformats.org/officeDocument/2006/relationships/queryTable" Target="../queryTables/queryTable319.xml"/><Relationship Id="rId235" Type="http://schemas.openxmlformats.org/officeDocument/2006/relationships/queryTable" Target="../queryTables/queryTable340.xml"/><Relationship Id="rId256" Type="http://schemas.openxmlformats.org/officeDocument/2006/relationships/queryTable" Target="../queryTables/queryTable361.xml"/><Relationship Id="rId277" Type="http://schemas.openxmlformats.org/officeDocument/2006/relationships/queryTable" Target="../queryTables/queryTable382.xml"/><Relationship Id="rId298" Type="http://schemas.openxmlformats.org/officeDocument/2006/relationships/queryTable" Target="../queryTables/queryTable403.xml"/><Relationship Id="rId400" Type="http://schemas.openxmlformats.org/officeDocument/2006/relationships/queryTable" Target="../queryTables/queryTable505.xml"/><Relationship Id="rId421" Type="http://schemas.openxmlformats.org/officeDocument/2006/relationships/queryTable" Target="../queryTables/queryTable526.xml"/><Relationship Id="rId442" Type="http://schemas.openxmlformats.org/officeDocument/2006/relationships/queryTable" Target="../queryTables/queryTable547.xml"/><Relationship Id="rId463" Type="http://schemas.openxmlformats.org/officeDocument/2006/relationships/queryTable" Target="../queryTables/queryTable568.xml"/><Relationship Id="rId116" Type="http://schemas.openxmlformats.org/officeDocument/2006/relationships/queryTable" Target="../queryTables/queryTable221.xml"/><Relationship Id="rId137" Type="http://schemas.openxmlformats.org/officeDocument/2006/relationships/queryTable" Target="../queryTables/queryTable242.xml"/><Relationship Id="rId158" Type="http://schemas.openxmlformats.org/officeDocument/2006/relationships/queryTable" Target="../queryTables/queryTable263.xml"/><Relationship Id="rId302" Type="http://schemas.openxmlformats.org/officeDocument/2006/relationships/queryTable" Target="../queryTables/queryTable407.xml"/><Relationship Id="rId323" Type="http://schemas.openxmlformats.org/officeDocument/2006/relationships/queryTable" Target="../queryTables/queryTable428.xml"/><Relationship Id="rId344" Type="http://schemas.openxmlformats.org/officeDocument/2006/relationships/queryTable" Target="../queryTables/queryTable449.xml"/><Relationship Id="rId20" Type="http://schemas.openxmlformats.org/officeDocument/2006/relationships/queryTable" Target="../queryTables/queryTable125.xml"/><Relationship Id="rId41" Type="http://schemas.openxmlformats.org/officeDocument/2006/relationships/queryTable" Target="../queryTables/queryTable146.xml"/><Relationship Id="rId62" Type="http://schemas.openxmlformats.org/officeDocument/2006/relationships/queryTable" Target="../queryTables/queryTable167.xml"/><Relationship Id="rId83" Type="http://schemas.openxmlformats.org/officeDocument/2006/relationships/queryTable" Target="../queryTables/queryTable188.xml"/><Relationship Id="rId179" Type="http://schemas.openxmlformats.org/officeDocument/2006/relationships/queryTable" Target="../queryTables/queryTable284.xml"/><Relationship Id="rId365" Type="http://schemas.openxmlformats.org/officeDocument/2006/relationships/queryTable" Target="../queryTables/queryTable470.xml"/><Relationship Id="rId386" Type="http://schemas.openxmlformats.org/officeDocument/2006/relationships/queryTable" Target="../queryTables/queryTable491.xml"/><Relationship Id="rId190" Type="http://schemas.openxmlformats.org/officeDocument/2006/relationships/queryTable" Target="../queryTables/queryTable295.xml"/><Relationship Id="rId204" Type="http://schemas.openxmlformats.org/officeDocument/2006/relationships/queryTable" Target="../queryTables/queryTable309.xml"/><Relationship Id="rId225" Type="http://schemas.openxmlformats.org/officeDocument/2006/relationships/queryTable" Target="../queryTables/queryTable330.xml"/><Relationship Id="rId246" Type="http://schemas.openxmlformats.org/officeDocument/2006/relationships/queryTable" Target="../queryTables/queryTable351.xml"/><Relationship Id="rId267" Type="http://schemas.openxmlformats.org/officeDocument/2006/relationships/queryTable" Target="../queryTables/queryTable372.xml"/><Relationship Id="rId288" Type="http://schemas.openxmlformats.org/officeDocument/2006/relationships/queryTable" Target="../queryTables/queryTable393.xml"/><Relationship Id="rId411" Type="http://schemas.openxmlformats.org/officeDocument/2006/relationships/queryTable" Target="../queryTables/queryTable516.xml"/><Relationship Id="rId432" Type="http://schemas.openxmlformats.org/officeDocument/2006/relationships/queryTable" Target="../queryTables/queryTable537.xml"/><Relationship Id="rId453" Type="http://schemas.openxmlformats.org/officeDocument/2006/relationships/queryTable" Target="../queryTables/queryTable558.xml"/><Relationship Id="rId474" Type="http://schemas.openxmlformats.org/officeDocument/2006/relationships/queryTable" Target="../queryTables/queryTable579.xml"/><Relationship Id="rId106" Type="http://schemas.openxmlformats.org/officeDocument/2006/relationships/queryTable" Target="../queryTables/queryTable211.xml"/><Relationship Id="rId127" Type="http://schemas.openxmlformats.org/officeDocument/2006/relationships/queryTable" Target="../queryTables/queryTable232.xml"/><Relationship Id="rId313" Type="http://schemas.openxmlformats.org/officeDocument/2006/relationships/queryTable" Target="../queryTables/queryTable418.xml"/><Relationship Id="rId10" Type="http://schemas.openxmlformats.org/officeDocument/2006/relationships/queryTable" Target="../queryTables/queryTable115.xml"/><Relationship Id="rId31" Type="http://schemas.openxmlformats.org/officeDocument/2006/relationships/queryTable" Target="../queryTables/queryTable136.xml"/><Relationship Id="rId52" Type="http://schemas.openxmlformats.org/officeDocument/2006/relationships/queryTable" Target="../queryTables/queryTable157.xml"/><Relationship Id="rId73" Type="http://schemas.openxmlformats.org/officeDocument/2006/relationships/queryTable" Target="../queryTables/queryTable178.xml"/><Relationship Id="rId94" Type="http://schemas.openxmlformats.org/officeDocument/2006/relationships/queryTable" Target="../queryTables/queryTable199.xml"/><Relationship Id="rId148" Type="http://schemas.openxmlformats.org/officeDocument/2006/relationships/queryTable" Target="../queryTables/queryTable253.xml"/><Relationship Id="rId169" Type="http://schemas.openxmlformats.org/officeDocument/2006/relationships/queryTable" Target="../queryTables/queryTable274.xml"/><Relationship Id="rId334" Type="http://schemas.openxmlformats.org/officeDocument/2006/relationships/queryTable" Target="../queryTables/queryTable439.xml"/><Relationship Id="rId355" Type="http://schemas.openxmlformats.org/officeDocument/2006/relationships/queryTable" Target="../queryTables/queryTable460.xml"/><Relationship Id="rId376" Type="http://schemas.openxmlformats.org/officeDocument/2006/relationships/queryTable" Target="../queryTables/queryTable481.xml"/><Relationship Id="rId397" Type="http://schemas.openxmlformats.org/officeDocument/2006/relationships/queryTable" Target="../queryTables/queryTable502.xml"/><Relationship Id="rId4" Type="http://schemas.openxmlformats.org/officeDocument/2006/relationships/queryTable" Target="../queryTables/queryTable109.xml"/><Relationship Id="rId180" Type="http://schemas.openxmlformats.org/officeDocument/2006/relationships/queryTable" Target="../queryTables/queryTable285.xml"/><Relationship Id="rId215" Type="http://schemas.openxmlformats.org/officeDocument/2006/relationships/queryTable" Target="../queryTables/queryTable320.xml"/><Relationship Id="rId236" Type="http://schemas.openxmlformats.org/officeDocument/2006/relationships/queryTable" Target="../queryTables/queryTable341.xml"/><Relationship Id="rId257" Type="http://schemas.openxmlformats.org/officeDocument/2006/relationships/queryTable" Target="../queryTables/queryTable362.xml"/><Relationship Id="rId278" Type="http://schemas.openxmlformats.org/officeDocument/2006/relationships/queryTable" Target="../queryTables/queryTable383.xml"/><Relationship Id="rId401" Type="http://schemas.openxmlformats.org/officeDocument/2006/relationships/queryTable" Target="../queryTables/queryTable506.xml"/><Relationship Id="rId422" Type="http://schemas.openxmlformats.org/officeDocument/2006/relationships/queryTable" Target="../queryTables/queryTable527.xml"/><Relationship Id="rId443" Type="http://schemas.openxmlformats.org/officeDocument/2006/relationships/queryTable" Target="../queryTables/queryTable548.xml"/><Relationship Id="rId464" Type="http://schemas.openxmlformats.org/officeDocument/2006/relationships/queryTable" Target="../queryTables/queryTable569.xml"/><Relationship Id="rId303" Type="http://schemas.openxmlformats.org/officeDocument/2006/relationships/queryTable" Target="../queryTables/queryTable408.xml"/><Relationship Id="rId42" Type="http://schemas.openxmlformats.org/officeDocument/2006/relationships/queryTable" Target="../queryTables/queryTable147.xml"/><Relationship Id="rId84" Type="http://schemas.openxmlformats.org/officeDocument/2006/relationships/queryTable" Target="../queryTables/queryTable189.xml"/><Relationship Id="rId138" Type="http://schemas.openxmlformats.org/officeDocument/2006/relationships/queryTable" Target="../queryTables/queryTable243.xml"/><Relationship Id="rId345" Type="http://schemas.openxmlformats.org/officeDocument/2006/relationships/queryTable" Target="../queryTables/queryTable450.xml"/><Relationship Id="rId387" Type="http://schemas.openxmlformats.org/officeDocument/2006/relationships/queryTable" Target="../queryTables/queryTable492.xml"/><Relationship Id="rId191" Type="http://schemas.openxmlformats.org/officeDocument/2006/relationships/queryTable" Target="../queryTables/queryTable296.xml"/><Relationship Id="rId205" Type="http://schemas.openxmlformats.org/officeDocument/2006/relationships/queryTable" Target="../queryTables/queryTable310.xml"/><Relationship Id="rId247" Type="http://schemas.openxmlformats.org/officeDocument/2006/relationships/queryTable" Target="../queryTables/queryTable352.xml"/><Relationship Id="rId412" Type="http://schemas.openxmlformats.org/officeDocument/2006/relationships/queryTable" Target="../queryTables/queryTable517.xml"/><Relationship Id="rId107" Type="http://schemas.openxmlformats.org/officeDocument/2006/relationships/queryTable" Target="../queryTables/queryTable212.xml"/><Relationship Id="rId289" Type="http://schemas.openxmlformats.org/officeDocument/2006/relationships/queryTable" Target="../queryTables/queryTable394.xml"/><Relationship Id="rId454" Type="http://schemas.openxmlformats.org/officeDocument/2006/relationships/queryTable" Target="../queryTables/queryTable559.xml"/><Relationship Id="rId11" Type="http://schemas.openxmlformats.org/officeDocument/2006/relationships/queryTable" Target="../queryTables/queryTable116.xml"/><Relationship Id="rId53" Type="http://schemas.openxmlformats.org/officeDocument/2006/relationships/queryTable" Target="../queryTables/queryTable158.xml"/><Relationship Id="rId149" Type="http://schemas.openxmlformats.org/officeDocument/2006/relationships/queryTable" Target="../queryTables/queryTable254.xml"/><Relationship Id="rId314" Type="http://schemas.openxmlformats.org/officeDocument/2006/relationships/queryTable" Target="../queryTables/queryTable419.xml"/><Relationship Id="rId356" Type="http://schemas.openxmlformats.org/officeDocument/2006/relationships/queryTable" Target="../queryTables/queryTable461.xml"/><Relationship Id="rId398" Type="http://schemas.openxmlformats.org/officeDocument/2006/relationships/queryTable" Target="../queryTables/queryTable503.xml"/><Relationship Id="rId95" Type="http://schemas.openxmlformats.org/officeDocument/2006/relationships/queryTable" Target="../queryTables/queryTable200.xml"/><Relationship Id="rId160" Type="http://schemas.openxmlformats.org/officeDocument/2006/relationships/queryTable" Target="../queryTables/queryTable265.xml"/><Relationship Id="rId216" Type="http://schemas.openxmlformats.org/officeDocument/2006/relationships/queryTable" Target="../queryTables/queryTable321.xml"/><Relationship Id="rId423" Type="http://schemas.openxmlformats.org/officeDocument/2006/relationships/queryTable" Target="../queryTables/queryTable528.xml"/><Relationship Id="rId258" Type="http://schemas.openxmlformats.org/officeDocument/2006/relationships/queryTable" Target="../queryTables/queryTable363.xml"/><Relationship Id="rId465" Type="http://schemas.openxmlformats.org/officeDocument/2006/relationships/queryTable" Target="../queryTables/queryTable570.xml"/><Relationship Id="rId22" Type="http://schemas.openxmlformats.org/officeDocument/2006/relationships/queryTable" Target="../queryTables/queryTable127.xml"/><Relationship Id="rId64" Type="http://schemas.openxmlformats.org/officeDocument/2006/relationships/queryTable" Target="../queryTables/queryTable169.xml"/><Relationship Id="rId118" Type="http://schemas.openxmlformats.org/officeDocument/2006/relationships/queryTable" Target="../queryTables/queryTable223.xml"/><Relationship Id="rId325" Type="http://schemas.openxmlformats.org/officeDocument/2006/relationships/queryTable" Target="../queryTables/queryTable430.xml"/><Relationship Id="rId367" Type="http://schemas.openxmlformats.org/officeDocument/2006/relationships/queryTable" Target="../queryTables/queryTable472.xml"/><Relationship Id="rId171" Type="http://schemas.openxmlformats.org/officeDocument/2006/relationships/queryTable" Target="../queryTables/queryTable276.xml"/><Relationship Id="rId227" Type="http://schemas.openxmlformats.org/officeDocument/2006/relationships/queryTable" Target="../queryTables/queryTable332.xml"/><Relationship Id="rId269" Type="http://schemas.openxmlformats.org/officeDocument/2006/relationships/queryTable" Target="../queryTables/queryTable374.xml"/><Relationship Id="rId434" Type="http://schemas.openxmlformats.org/officeDocument/2006/relationships/queryTable" Target="../queryTables/queryTable539.xml"/><Relationship Id="rId476" Type="http://schemas.openxmlformats.org/officeDocument/2006/relationships/queryTable" Target="../queryTables/queryTable581.xml"/><Relationship Id="rId33" Type="http://schemas.openxmlformats.org/officeDocument/2006/relationships/queryTable" Target="../queryTables/queryTable138.xml"/><Relationship Id="rId129" Type="http://schemas.openxmlformats.org/officeDocument/2006/relationships/queryTable" Target="../queryTables/queryTable234.xml"/><Relationship Id="rId280" Type="http://schemas.openxmlformats.org/officeDocument/2006/relationships/queryTable" Target="../queryTables/queryTable385.xml"/><Relationship Id="rId336" Type="http://schemas.openxmlformats.org/officeDocument/2006/relationships/queryTable" Target="../queryTables/queryTable441.xml"/><Relationship Id="rId75" Type="http://schemas.openxmlformats.org/officeDocument/2006/relationships/queryTable" Target="../queryTables/queryTable180.xml"/><Relationship Id="rId140" Type="http://schemas.openxmlformats.org/officeDocument/2006/relationships/queryTable" Target="../queryTables/queryTable245.xml"/><Relationship Id="rId182" Type="http://schemas.openxmlformats.org/officeDocument/2006/relationships/queryTable" Target="../queryTables/queryTable287.xml"/><Relationship Id="rId378" Type="http://schemas.openxmlformats.org/officeDocument/2006/relationships/queryTable" Target="../queryTables/queryTable483.xml"/><Relationship Id="rId403" Type="http://schemas.openxmlformats.org/officeDocument/2006/relationships/queryTable" Target="../queryTables/queryTable508.xml"/><Relationship Id="rId6" Type="http://schemas.openxmlformats.org/officeDocument/2006/relationships/queryTable" Target="../queryTables/queryTable111.xml"/><Relationship Id="rId238" Type="http://schemas.openxmlformats.org/officeDocument/2006/relationships/queryTable" Target="../queryTables/queryTable343.xml"/><Relationship Id="rId445" Type="http://schemas.openxmlformats.org/officeDocument/2006/relationships/queryTable" Target="../queryTables/queryTable550.xml"/><Relationship Id="rId291" Type="http://schemas.openxmlformats.org/officeDocument/2006/relationships/queryTable" Target="../queryTables/queryTable396.xml"/><Relationship Id="rId305" Type="http://schemas.openxmlformats.org/officeDocument/2006/relationships/queryTable" Target="../queryTables/queryTable410.xml"/><Relationship Id="rId347" Type="http://schemas.openxmlformats.org/officeDocument/2006/relationships/queryTable" Target="../queryTables/queryTable452.xml"/><Relationship Id="rId44" Type="http://schemas.openxmlformats.org/officeDocument/2006/relationships/queryTable" Target="../queryTables/queryTable149.xml"/><Relationship Id="rId86" Type="http://schemas.openxmlformats.org/officeDocument/2006/relationships/queryTable" Target="../queryTables/queryTable191.xml"/><Relationship Id="rId151" Type="http://schemas.openxmlformats.org/officeDocument/2006/relationships/queryTable" Target="../queryTables/queryTable256.xml"/><Relationship Id="rId389" Type="http://schemas.openxmlformats.org/officeDocument/2006/relationships/queryTable" Target="../queryTables/queryTable494.xml"/><Relationship Id="rId193" Type="http://schemas.openxmlformats.org/officeDocument/2006/relationships/queryTable" Target="../queryTables/queryTable298.xml"/><Relationship Id="rId207" Type="http://schemas.openxmlformats.org/officeDocument/2006/relationships/queryTable" Target="../queryTables/queryTable312.xml"/><Relationship Id="rId249" Type="http://schemas.openxmlformats.org/officeDocument/2006/relationships/queryTable" Target="../queryTables/queryTable354.xml"/><Relationship Id="rId414" Type="http://schemas.openxmlformats.org/officeDocument/2006/relationships/queryTable" Target="../queryTables/queryTable519.xml"/><Relationship Id="rId456" Type="http://schemas.openxmlformats.org/officeDocument/2006/relationships/queryTable" Target="../queryTables/queryTable561.xml"/><Relationship Id="rId13" Type="http://schemas.openxmlformats.org/officeDocument/2006/relationships/queryTable" Target="../queryTables/queryTable118.xml"/><Relationship Id="rId109" Type="http://schemas.openxmlformats.org/officeDocument/2006/relationships/queryTable" Target="../queryTables/queryTable214.xml"/><Relationship Id="rId260" Type="http://schemas.openxmlformats.org/officeDocument/2006/relationships/queryTable" Target="../queryTables/queryTable365.xml"/><Relationship Id="rId316" Type="http://schemas.openxmlformats.org/officeDocument/2006/relationships/queryTable" Target="../queryTables/queryTable421.xml"/><Relationship Id="rId55" Type="http://schemas.openxmlformats.org/officeDocument/2006/relationships/queryTable" Target="../queryTables/queryTable160.xml"/><Relationship Id="rId97" Type="http://schemas.openxmlformats.org/officeDocument/2006/relationships/queryTable" Target="../queryTables/queryTable202.xml"/><Relationship Id="rId120" Type="http://schemas.openxmlformats.org/officeDocument/2006/relationships/queryTable" Target="../queryTables/queryTable225.xml"/><Relationship Id="rId358" Type="http://schemas.openxmlformats.org/officeDocument/2006/relationships/queryTable" Target="../queryTables/queryTable463.xml"/><Relationship Id="rId162" Type="http://schemas.openxmlformats.org/officeDocument/2006/relationships/queryTable" Target="../queryTables/queryTable267.xml"/><Relationship Id="rId218" Type="http://schemas.openxmlformats.org/officeDocument/2006/relationships/queryTable" Target="../queryTables/queryTable323.xml"/><Relationship Id="rId425" Type="http://schemas.openxmlformats.org/officeDocument/2006/relationships/queryTable" Target="../queryTables/queryTable530.xml"/><Relationship Id="rId467" Type="http://schemas.openxmlformats.org/officeDocument/2006/relationships/queryTable" Target="../queryTables/queryTable572.xml"/><Relationship Id="rId271" Type="http://schemas.openxmlformats.org/officeDocument/2006/relationships/queryTable" Target="../queryTables/queryTable376.xml"/><Relationship Id="rId24" Type="http://schemas.openxmlformats.org/officeDocument/2006/relationships/queryTable" Target="../queryTables/queryTable129.xml"/><Relationship Id="rId66" Type="http://schemas.openxmlformats.org/officeDocument/2006/relationships/queryTable" Target="../queryTables/queryTable171.xml"/><Relationship Id="rId131" Type="http://schemas.openxmlformats.org/officeDocument/2006/relationships/queryTable" Target="../queryTables/queryTable236.xml"/><Relationship Id="rId327" Type="http://schemas.openxmlformats.org/officeDocument/2006/relationships/queryTable" Target="../queryTables/queryTable432.xml"/><Relationship Id="rId369" Type="http://schemas.openxmlformats.org/officeDocument/2006/relationships/queryTable" Target="../queryTables/queryTable474.xml"/><Relationship Id="rId173" Type="http://schemas.openxmlformats.org/officeDocument/2006/relationships/queryTable" Target="../queryTables/queryTable278.xml"/><Relationship Id="rId229" Type="http://schemas.openxmlformats.org/officeDocument/2006/relationships/queryTable" Target="../queryTables/queryTable334.xml"/><Relationship Id="rId380" Type="http://schemas.openxmlformats.org/officeDocument/2006/relationships/queryTable" Target="../queryTables/queryTable485.xml"/><Relationship Id="rId436" Type="http://schemas.openxmlformats.org/officeDocument/2006/relationships/queryTable" Target="../queryTables/queryTable541.xml"/><Relationship Id="rId240" Type="http://schemas.openxmlformats.org/officeDocument/2006/relationships/queryTable" Target="../queryTables/queryTable345.xml"/><Relationship Id="rId35" Type="http://schemas.openxmlformats.org/officeDocument/2006/relationships/queryTable" Target="../queryTables/queryTable140.xml"/><Relationship Id="rId77" Type="http://schemas.openxmlformats.org/officeDocument/2006/relationships/queryTable" Target="../queryTables/queryTable182.xml"/><Relationship Id="rId100" Type="http://schemas.openxmlformats.org/officeDocument/2006/relationships/queryTable" Target="../queryTables/queryTable205.xml"/><Relationship Id="rId282" Type="http://schemas.openxmlformats.org/officeDocument/2006/relationships/queryTable" Target="../queryTables/queryTable387.xml"/><Relationship Id="rId338" Type="http://schemas.openxmlformats.org/officeDocument/2006/relationships/queryTable" Target="../queryTables/queryTable443.xml"/><Relationship Id="rId8" Type="http://schemas.openxmlformats.org/officeDocument/2006/relationships/queryTable" Target="../queryTables/queryTable113.xml"/><Relationship Id="rId142" Type="http://schemas.openxmlformats.org/officeDocument/2006/relationships/queryTable" Target="../queryTables/queryTable247.xml"/><Relationship Id="rId184" Type="http://schemas.openxmlformats.org/officeDocument/2006/relationships/queryTable" Target="../queryTables/queryTable289.xml"/><Relationship Id="rId391" Type="http://schemas.openxmlformats.org/officeDocument/2006/relationships/queryTable" Target="../queryTables/queryTable496.xml"/><Relationship Id="rId405" Type="http://schemas.openxmlformats.org/officeDocument/2006/relationships/queryTable" Target="../queryTables/queryTable510.xml"/><Relationship Id="rId447" Type="http://schemas.openxmlformats.org/officeDocument/2006/relationships/queryTable" Target="../queryTables/queryTable552.xml"/><Relationship Id="rId251" Type="http://schemas.openxmlformats.org/officeDocument/2006/relationships/queryTable" Target="../queryTables/queryTable356.xml"/><Relationship Id="rId46" Type="http://schemas.openxmlformats.org/officeDocument/2006/relationships/queryTable" Target="../queryTables/queryTable151.xml"/><Relationship Id="rId293" Type="http://schemas.openxmlformats.org/officeDocument/2006/relationships/queryTable" Target="../queryTables/queryTable398.xml"/><Relationship Id="rId307" Type="http://schemas.openxmlformats.org/officeDocument/2006/relationships/queryTable" Target="../queryTables/queryTable412.xml"/><Relationship Id="rId349" Type="http://schemas.openxmlformats.org/officeDocument/2006/relationships/queryTable" Target="../queryTables/queryTable454.xml"/><Relationship Id="rId88" Type="http://schemas.openxmlformats.org/officeDocument/2006/relationships/queryTable" Target="../queryTables/queryTable193.xml"/><Relationship Id="rId111" Type="http://schemas.openxmlformats.org/officeDocument/2006/relationships/queryTable" Target="../queryTables/queryTable216.xml"/><Relationship Id="rId153" Type="http://schemas.openxmlformats.org/officeDocument/2006/relationships/queryTable" Target="../queryTables/queryTable258.xml"/><Relationship Id="rId195" Type="http://schemas.openxmlformats.org/officeDocument/2006/relationships/queryTable" Target="../queryTables/queryTable300.xml"/><Relationship Id="rId209" Type="http://schemas.openxmlformats.org/officeDocument/2006/relationships/queryTable" Target="../queryTables/queryTable314.xml"/><Relationship Id="rId360" Type="http://schemas.openxmlformats.org/officeDocument/2006/relationships/queryTable" Target="../queryTables/queryTable465.xml"/><Relationship Id="rId416" Type="http://schemas.openxmlformats.org/officeDocument/2006/relationships/queryTable" Target="../queryTables/queryTable521.xml"/><Relationship Id="rId220" Type="http://schemas.openxmlformats.org/officeDocument/2006/relationships/queryTable" Target="../queryTables/queryTable325.xml"/><Relationship Id="rId458" Type="http://schemas.openxmlformats.org/officeDocument/2006/relationships/queryTable" Target="../queryTables/queryTable563.xml"/><Relationship Id="rId15" Type="http://schemas.openxmlformats.org/officeDocument/2006/relationships/queryTable" Target="../queryTables/queryTable120.xml"/><Relationship Id="rId57" Type="http://schemas.openxmlformats.org/officeDocument/2006/relationships/queryTable" Target="../queryTables/queryTable162.xml"/><Relationship Id="rId262" Type="http://schemas.openxmlformats.org/officeDocument/2006/relationships/queryTable" Target="../queryTables/queryTable367.xml"/><Relationship Id="rId318" Type="http://schemas.openxmlformats.org/officeDocument/2006/relationships/queryTable" Target="../queryTables/queryTable423.xml"/><Relationship Id="rId99" Type="http://schemas.openxmlformats.org/officeDocument/2006/relationships/queryTable" Target="../queryTables/queryTable204.xml"/><Relationship Id="rId122" Type="http://schemas.openxmlformats.org/officeDocument/2006/relationships/queryTable" Target="../queryTables/queryTable227.xml"/><Relationship Id="rId164" Type="http://schemas.openxmlformats.org/officeDocument/2006/relationships/queryTable" Target="../queryTables/queryTable269.xml"/><Relationship Id="rId371" Type="http://schemas.openxmlformats.org/officeDocument/2006/relationships/queryTable" Target="../queryTables/queryTable476.xml"/><Relationship Id="rId427" Type="http://schemas.openxmlformats.org/officeDocument/2006/relationships/queryTable" Target="../queryTables/queryTable532.xml"/><Relationship Id="rId469" Type="http://schemas.openxmlformats.org/officeDocument/2006/relationships/queryTable" Target="../queryTables/queryTable574.xml"/><Relationship Id="rId26" Type="http://schemas.openxmlformats.org/officeDocument/2006/relationships/queryTable" Target="../queryTables/queryTable131.xml"/><Relationship Id="rId231" Type="http://schemas.openxmlformats.org/officeDocument/2006/relationships/queryTable" Target="../queryTables/queryTable336.xml"/><Relationship Id="rId273" Type="http://schemas.openxmlformats.org/officeDocument/2006/relationships/queryTable" Target="../queryTables/queryTable378.xml"/><Relationship Id="rId329" Type="http://schemas.openxmlformats.org/officeDocument/2006/relationships/queryTable" Target="../queryTables/queryTable434.xml"/><Relationship Id="rId68" Type="http://schemas.openxmlformats.org/officeDocument/2006/relationships/queryTable" Target="../queryTables/queryTable173.xml"/><Relationship Id="rId133" Type="http://schemas.openxmlformats.org/officeDocument/2006/relationships/queryTable" Target="../queryTables/queryTable238.xml"/><Relationship Id="rId175" Type="http://schemas.openxmlformats.org/officeDocument/2006/relationships/queryTable" Target="../queryTables/queryTable280.xml"/><Relationship Id="rId340" Type="http://schemas.openxmlformats.org/officeDocument/2006/relationships/queryTable" Target="../queryTables/queryTable445.xml"/><Relationship Id="rId200" Type="http://schemas.openxmlformats.org/officeDocument/2006/relationships/queryTable" Target="../queryTables/queryTable305.xml"/><Relationship Id="rId382" Type="http://schemas.openxmlformats.org/officeDocument/2006/relationships/queryTable" Target="../queryTables/queryTable487.xml"/><Relationship Id="rId438" Type="http://schemas.openxmlformats.org/officeDocument/2006/relationships/queryTable" Target="../queryTables/queryTable543.xml"/><Relationship Id="rId242" Type="http://schemas.openxmlformats.org/officeDocument/2006/relationships/queryTable" Target="../queryTables/queryTable347.xml"/><Relationship Id="rId284" Type="http://schemas.openxmlformats.org/officeDocument/2006/relationships/queryTable" Target="../queryTables/queryTable389.xml"/><Relationship Id="rId37" Type="http://schemas.openxmlformats.org/officeDocument/2006/relationships/queryTable" Target="../queryTables/queryTable142.xml"/><Relationship Id="rId79" Type="http://schemas.openxmlformats.org/officeDocument/2006/relationships/queryTable" Target="../queryTables/queryTable184.xml"/><Relationship Id="rId102" Type="http://schemas.openxmlformats.org/officeDocument/2006/relationships/queryTable" Target="../queryTables/queryTable207.xml"/><Relationship Id="rId144" Type="http://schemas.openxmlformats.org/officeDocument/2006/relationships/queryTable" Target="../queryTables/queryTable249.xml"/><Relationship Id="rId90" Type="http://schemas.openxmlformats.org/officeDocument/2006/relationships/queryTable" Target="../queryTables/queryTable195.xml"/><Relationship Id="rId186" Type="http://schemas.openxmlformats.org/officeDocument/2006/relationships/queryTable" Target="../queryTables/queryTable291.xml"/><Relationship Id="rId351" Type="http://schemas.openxmlformats.org/officeDocument/2006/relationships/queryTable" Target="../queryTables/queryTable456.xml"/><Relationship Id="rId393" Type="http://schemas.openxmlformats.org/officeDocument/2006/relationships/queryTable" Target="../queryTables/queryTable498.xml"/><Relationship Id="rId407" Type="http://schemas.openxmlformats.org/officeDocument/2006/relationships/queryTable" Target="../queryTables/queryTable512.xml"/><Relationship Id="rId449" Type="http://schemas.openxmlformats.org/officeDocument/2006/relationships/queryTable" Target="../queryTables/queryTable554.xml"/><Relationship Id="rId211" Type="http://schemas.openxmlformats.org/officeDocument/2006/relationships/queryTable" Target="../queryTables/queryTable316.xml"/><Relationship Id="rId253" Type="http://schemas.openxmlformats.org/officeDocument/2006/relationships/queryTable" Target="../queryTables/queryTable358.xml"/><Relationship Id="rId295" Type="http://schemas.openxmlformats.org/officeDocument/2006/relationships/queryTable" Target="../queryTables/queryTable400.xml"/><Relationship Id="rId309" Type="http://schemas.openxmlformats.org/officeDocument/2006/relationships/queryTable" Target="../queryTables/queryTable414.xml"/><Relationship Id="rId460" Type="http://schemas.openxmlformats.org/officeDocument/2006/relationships/queryTable" Target="../queryTables/queryTable565.xml"/><Relationship Id="rId48" Type="http://schemas.openxmlformats.org/officeDocument/2006/relationships/queryTable" Target="../queryTables/queryTable153.xml"/><Relationship Id="rId113" Type="http://schemas.openxmlformats.org/officeDocument/2006/relationships/queryTable" Target="../queryTables/queryTable218.xml"/><Relationship Id="rId320" Type="http://schemas.openxmlformats.org/officeDocument/2006/relationships/queryTable" Target="../queryTables/queryTable425.xml"/><Relationship Id="rId155" Type="http://schemas.openxmlformats.org/officeDocument/2006/relationships/queryTable" Target="../queryTables/queryTable260.xml"/><Relationship Id="rId197" Type="http://schemas.openxmlformats.org/officeDocument/2006/relationships/queryTable" Target="../queryTables/queryTable302.xml"/><Relationship Id="rId362" Type="http://schemas.openxmlformats.org/officeDocument/2006/relationships/queryTable" Target="../queryTables/queryTable467.xml"/><Relationship Id="rId418" Type="http://schemas.openxmlformats.org/officeDocument/2006/relationships/queryTable" Target="../queryTables/queryTable523.xml"/><Relationship Id="rId222" Type="http://schemas.openxmlformats.org/officeDocument/2006/relationships/queryTable" Target="../queryTables/queryTable327.xml"/><Relationship Id="rId264" Type="http://schemas.openxmlformats.org/officeDocument/2006/relationships/queryTable" Target="../queryTables/queryTable369.xml"/><Relationship Id="rId471" Type="http://schemas.openxmlformats.org/officeDocument/2006/relationships/queryTable" Target="../queryTables/queryTable576.xml"/><Relationship Id="rId17" Type="http://schemas.openxmlformats.org/officeDocument/2006/relationships/queryTable" Target="../queryTables/queryTable122.xml"/><Relationship Id="rId59" Type="http://schemas.openxmlformats.org/officeDocument/2006/relationships/queryTable" Target="../queryTables/queryTable164.xml"/><Relationship Id="rId124" Type="http://schemas.openxmlformats.org/officeDocument/2006/relationships/queryTable" Target="../queryTables/queryTable229.xml"/><Relationship Id="rId70" Type="http://schemas.openxmlformats.org/officeDocument/2006/relationships/queryTable" Target="../queryTables/queryTable175.xml"/><Relationship Id="rId166" Type="http://schemas.openxmlformats.org/officeDocument/2006/relationships/queryTable" Target="../queryTables/queryTable271.xml"/><Relationship Id="rId331" Type="http://schemas.openxmlformats.org/officeDocument/2006/relationships/queryTable" Target="../queryTables/queryTable436.xml"/><Relationship Id="rId373" Type="http://schemas.openxmlformats.org/officeDocument/2006/relationships/queryTable" Target="../queryTables/queryTable478.xml"/><Relationship Id="rId429" Type="http://schemas.openxmlformats.org/officeDocument/2006/relationships/queryTable" Target="../queryTables/queryTable534.xml"/><Relationship Id="rId1" Type="http://schemas.openxmlformats.org/officeDocument/2006/relationships/queryTable" Target="../queryTables/queryTable106.xml"/><Relationship Id="rId233" Type="http://schemas.openxmlformats.org/officeDocument/2006/relationships/queryTable" Target="../queryTables/queryTable338.xml"/><Relationship Id="rId440" Type="http://schemas.openxmlformats.org/officeDocument/2006/relationships/queryTable" Target="../queryTables/queryTable545.xml"/><Relationship Id="rId28" Type="http://schemas.openxmlformats.org/officeDocument/2006/relationships/queryTable" Target="../queryTables/queryTable133.xml"/><Relationship Id="rId275" Type="http://schemas.openxmlformats.org/officeDocument/2006/relationships/queryTable" Target="../queryTables/queryTable380.xml"/><Relationship Id="rId300" Type="http://schemas.openxmlformats.org/officeDocument/2006/relationships/queryTable" Target="../queryTables/queryTable405.xml"/><Relationship Id="rId81" Type="http://schemas.openxmlformats.org/officeDocument/2006/relationships/queryTable" Target="../queryTables/queryTable186.xml"/><Relationship Id="rId135" Type="http://schemas.openxmlformats.org/officeDocument/2006/relationships/queryTable" Target="../queryTables/queryTable240.xml"/><Relationship Id="rId177" Type="http://schemas.openxmlformats.org/officeDocument/2006/relationships/queryTable" Target="../queryTables/queryTable282.xml"/><Relationship Id="rId342" Type="http://schemas.openxmlformats.org/officeDocument/2006/relationships/queryTable" Target="../queryTables/queryTable447.xml"/><Relationship Id="rId384" Type="http://schemas.openxmlformats.org/officeDocument/2006/relationships/queryTable" Target="../queryTables/queryTable489.xml"/><Relationship Id="rId202" Type="http://schemas.openxmlformats.org/officeDocument/2006/relationships/queryTable" Target="../queryTables/queryTable307.xml"/><Relationship Id="rId244" Type="http://schemas.openxmlformats.org/officeDocument/2006/relationships/queryTable" Target="../queryTables/queryTable349.xml"/><Relationship Id="rId39" Type="http://schemas.openxmlformats.org/officeDocument/2006/relationships/queryTable" Target="../queryTables/queryTable144.xml"/><Relationship Id="rId286" Type="http://schemas.openxmlformats.org/officeDocument/2006/relationships/queryTable" Target="../queryTables/queryTable391.xml"/><Relationship Id="rId451" Type="http://schemas.openxmlformats.org/officeDocument/2006/relationships/queryTable" Target="../queryTables/queryTable556.xml"/><Relationship Id="rId50" Type="http://schemas.openxmlformats.org/officeDocument/2006/relationships/queryTable" Target="../queryTables/queryTable155.xml"/><Relationship Id="rId104" Type="http://schemas.openxmlformats.org/officeDocument/2006/relationships/queryTable" Target="../queryTables/queryTable209.xml"/><Relationship Id="rId146" Type="http://schemas.openxmlformats.org/officeDocument/2006/relationships/queryTable" Target="../queryTables/queryTable251.xml"/><Relationship Id="rId188" Type="http://schemas.openxmlformats.org/officeDocument/2006/relationships/queryTable" Target="../queryTables/queryTable293.xml"/><Relationship Id="rId311" Type="http://schemas.openxmlformats.org/officeDocument/2006/relationships/queryTable" Target="../queryTables/queryTable416.xml"/><Relationship Id="rId353" Type="http://schemas.openxmlformats.org/officeDocument/2006/relationships/queryTable" Target="../queryTables/queryTable458.xml"/><Relationship Id="rId395" Type="http://schemas.openxmlformats.org/officeDocument/2006/relationships/queryTable" Target="../queryTables/queryTable500.xml"/><Relationship Id="rId409" Type="http://schemas.openxmlformats.org/officeDocument/2006/relationships/queryTable" Target="../queryTables/queryTable514.xml"/><Relationship Id="rId92" Type="http://schemas.openxmlformats.org/officeDocument/2006/relationships/queryTable" Target="../queryTables/queryTable197.xml"/><Relationship Id="rId213" Type="http://schemas.openxmlformats.org/officeDocument/2006/relationships/queryTable" Target="../queryTables/queryTable318.xml"/><Relationship Id="rId420" Type="http://schemas.openxmlformats.org/officeDocument/2006/relationships/queryTable" Target="../queryTables/queryTable525.xml"/><Relationship Id="rId255" Type="http://schemas.openxmlformats.org/officeDocument/2006/relationships/queryTable" Target="../queryTables/queryTable360.xml"/><Relationship Id="rId297" Type="http://schemas.openxmlformats.org/officeDocument/2006/relationships/queryTable" Target="../queryTables/queryTable402.xml"/><Relationship Id="rId462" Type="http://schemas.openxmlformats.org/officeDocument/2006/relationships/queryTable" Target="../queryTables/queryTable567.xml"/><Relationship Id="rId115" Type="http://schemas.openxmlformats.org/officeDocument/2006/relationships/queryTable" Target="../queryTables/queryTable220.xml"/><Relationship Id="rId157" Type="http://schemas.openxmlformats.org/officeDocument/2006/relationships/queryTable" Target="../queryTables/queryTable262.xml"/><Relationship Id="rId322" Type="http://schemas.openxmlformats.org/officeDocument/2006/relationships/queryTable" Target="../queryTables/queryTable427.xml"/><Relationship Id="rId364" Type="http://schemas.openxmlformats.org/officeDocument/2006/relationships/queryTable" Target="../queryTables/queryTable469.xml"/><Relationship Id="rId61" Type="http://schemas.openxmlformats.org/officeDocument/2006/relationships/queryTable" Target="../queryTables/queryTable166.xml"/><Relationship Id="rId199" Type="http://schemas.openxmlformats.org/officeDocument/2006/relationships/queryTable" Target="../queryTables/queryTable304.xml"/><Relationship Id="rId19" Type="http://schemas.openxmlformats.org/officeDocument/2006/relationships/queryTable" Target="../queryTables/queryTable124.xml"/><Relationship Id="rId224" Type="http://schemas.openxmlformats.org/officeDocument/2006/relationships/queryTable" Target="../queryTables/queryTable329.xml"/><Relationship Id="rId266" Type="http://schemas.openxmlformats.org/officeDocument/2006/relationships/queryTable" Target="../queryTables/queryTable371.xml"/><Relationship Id="rId431" Type="http://schemas.openxmlformats.org/officeDocument/2006/relationships/queryTable" Target="../queryTables/queryTable536.xml"/><Relationship Id="rId473" Type="http://schemas.openxmlformats.org/officeDocument/2006/relationships/queryTable" Target="../queryTables/queryTable578.xml"/><Relationship Id="rId30" Type="http://schemas.openxmlformats.org/officeDocument/2006/relationships/queryTable" Target="../queryTables/queryTable135.xml"/><Relationship Id="rId126" Type="http://schemas.openxmlformats.org/officeDocument/2006/relationships/queryTable" Target="../queryTables/queryTable231.xml"/><Relationship Id="rId168" Type="http://schemas.openxmlformats.org/officeDocument/2006/relationships/queryTable" Target="../queryTables/queryTable273.xml"/><Relationship Id="rId333" Type="http://schemas.openxmlformats.org/officeDocument/2006/relationships/queryTable" Target="../queryTables/queryTable43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99.xml"/><Relationship Id="rId21" Type="http://schemas.openxmlformats.org/officeDocument/2006/relationships/queryTable" Target="../queryTables/queryTable603.xml"/><Relationship Id="rId42" Type="http://schemas.openxmlformats.org/officeDocument/2006/relationships/queryTable" Target="../queryTables/queryTable624.xml"/><Relationship Id="rId63" Type="http://schemas.openxmlformats.org/officeDocument/2006/relationships/queryTable" Target="../queryTables/queryTable645.xml"/><Relationship Id="rId84" Type="http://schemas.openxmlformats.org/officeDocument/2006/relationships/queryTable" Target="../queryTables/queryTable666.xml"/><Relationship Id="rId138" Type="http://schemas.openxmlformats.org/officeDocument/2006/relationships/queryTable" Target="../queryTables/queryTable720.xml"/><Relationship Id="rId159" Type="http://schemas.openxmlformats.org/officeDocument/2006/relationships/queryTable" Target="../queryTables/queryTable741.xml"/><Relationship Id="rId107" Type="http://schemas.openxmlformats.org/officeDocument/2006/relationships/queryTable" Target="../queryTables/queryTable689.xml"/><Relationship Id="rId11" Type="http://schemas.openxmlformats.org/officeDocument/2006/relationships/queryTable" Target="../queryTables/queryTable593.xml"/><Relationship Id="rId32" Type="http://schemas.openxmlformats.org/officeDocument/2006/relationships/queryTable" Target="../queryTables/queryTable614.xml"/><Relationship Id="rId53" Type="http://schemas.openxmlformats.org/officeDocument/2006/relationships/queryTable" Target="../queryTables/queryTable635.xml"/><Relationship Id="rId74" Type="http://schemas.openxmlformats.org/officeDocument/2006/relationships/queryTable" Target="../queryTables/queryTable656.xml"/><Relationship Id="rId128" Type="http://schemas.openxmlformats.org/officeDocument/2006/relationships/queryTable" Target="../queryTables/queryTable710.xml"/><Relationship Id="rId149" Type="http://schemas.openxmlformats.org/officeDocument/2006/relationships/queryTable" Target="../queryTables/queryTable731.xml"/><Relationship Id="rId5" Type="http://schemas.openxmlformats.org/officeDocument/2006/relationships/queryTable" Target="../queryTables/queryTable587.xml"/><Relationship Id="rId95" Type="http://schemas.openxmlformats.org/officeDocument/2006/relationships/queryTable" Target="../queryTables/queryTable677.xml"/><Relationship Id="rId22" Type="http://schemas.openxmlformats.org/officeDocument/2006/relationships/queryTable" Target="../queryTables/queryTable604.xml"/><Relationship Id="rId43" Type="http://schemas.openxmlformats.org/officeDocument/2006/relationships/queryTable" Target="../queryTables/queryTable625.xml"/><Relationship Id="rId64" Type="http://schemas.openxmlformats.org/officeDocument/2006/relationships/queryTable" Target="../queryTables/queryTable646.xml"/><Relationship Id="rId118" Type="http://schemas.openxmlformats.org/officeDocument/2006/relationships/queryTable" Target="../queryTables/queryTable700.xml"/><Relationship Id="rId139" Type="http://schemas.openxmlformats.org/officeDocument/2006/relationships/queryTable" Target="../queryTables/queryTable721.xml"/><Relationship Id="rId80" Type="http://schemas.openxmlformats.org/officeDocument/2006/relationships/queryTable" Target="../queryTables/queryTable662.xml"/><Relationship Id="rId85" Type="http://schemas.openxmlformats.org/officeDocument/2006/relationships/queryTable" Target="../queryTables/queryTable667.xml"/><Relationship Id="rId150" Type="http://schemas.openxmlformats.org/officeDocument/2006/relationships/queryTable" Target="../queryTables/queryTable732.xml"/><Relationship Id="rId155" Type="http://schemas.openxmlformats.org/officeDocument/2006/relationships/queryTable" Target="../queryTables/queryTable737.xml"/><Relationship Id="rId12" Type="http://schemas.openxmlformats.org/officeDocument/2006/relationships/queryTable" Target="../queryTables/queryTable594.xml"/><Relationship Id="rId17" Type="http://schemas.openxmlformats.org/officeDocument/2006/relationships/queryTable" Target="../queryTables/queryTable599.xml"/><Relationship Id="rId33" Type="http://schemas.openxmlformats.org/officeDocument/2006/relationships/queryTable" Target="../queryTables/queryTable615.xml"/><Relationship Id="rId38" Type="http://schemas.openxmlformats.org/officeDocument/2006/relationships/queryTable" Target="../queryTables/queryTable620.xml"/><Relationship Id="rId59" Type="http://schemas.openxmlformats.org/officeDocument/2006/relationships/queryTable" Target="../queryTables/queryTable641.xml"/><Relationship Id="rId103" Type="http://schemas.openxmlformats.org/officeDocument/2006/relationships/queryTable" Target="../queryTables/queryTable685.xml"/><Relationship Id="rId108" Type="http://schemas.openxmlformats.org/officeDocument/2006/relationships/queryTable" Target="../queryTables/queryTable690.xml"/><Relationship Id="rId124" Type="http://schemas.openxmlformats.org/officeDocument/2006/relationships/queryTable" Target="../queryTables/queryTable706.xml"/><Relationship Id="rId129" Type="http://schemas.openxmlformats.org/officeDocument/2006/relationships/queryTable" Target="../queryTables/queryTable711.xml"/><Relationship Id="rId54" Type="http://schemas.openxmlformats.org/officeDocument/2006/relationships/queryTable" Target="../queryTables/queryTable636.xml"/><Relationship Id="rId70" Type="http://schemas.openxmlformats.org/officeDocument/2006/relationships/queryTable" Target="../queryTables/queryTable652.xml"/><Relationship Id="rId75" Type="http://schemas.openxmlformats.org/officeDocument/2006/relationships/queryTable" Target="../queryTables/queryTable657.xml"/><Relationship Id="rId91" Type="http://schemas.openxmlformats.org/officeDocument/2006/relationships/queryTable" Target="../queryTables/queryTable673.xml"/><Relationship Id="rId96" Type="http://schemas.openxmlformats.org/officeDocument/2006/relationships/queryTable" Target="../queryTables/queryTable678.xml"/><Relationship Id="rId140" Type="http://schemas.openxmlformats.org/officeDocument/2006/relationships/queryTable" Target="../queryTables/queryTable722.xml"/><Relationship Id="rId145" Type="http://schemas.openxmlformats.org/officeDocument/2006/relationships/queryTable" Target="../queryTables/queryTable727.xml"/><Relationship Id="rId1" Type="http://schemas.openxmlformats.org/officeDocument/2006/relationships/queryTable" Target="../queryTables/queryTable583.xml"/><Relationship Id="rId6" Type="http://schemas.openxmlformats.org/officeDocument/2006/relationships/queryTable" Target="../queryTables/queryTable588.xml"/><Relationship Id="rId23" Type="http://schemas.openxmlformats.org/officeDocument/2006/relationships/queryTable" Target="../queryTables/queryTable605.xml"/><Relationship Id="rId28" Type="http://schemas.openxmlformats.org/officeDocument/2006/relationships/queryTable" Target="../queryTables/queryTable610.xml"/><Relationship Id="rId49" Type="http://schemas.openxmlformats.org/officeDocument/2006/relationships/queryTable" Target="../queryTables/queryTable631.xml"/><Relationship Id="rId114" Type="http://schemas.openxmlformats.org/officeDocument/2006/relationships/queryTable" Target="../queryTables/queryTable696.xml"/><Relationship Id="rId119" Type="http://schemas.openxmlformats.org/officeDocument/2006/relationships/queryTable" Target="../queryTables/queryTable701.xml"/><Relationship Id="rId44" Type="http://schemas.openxmlformats.org/officeDocument/2006/relationships/queryTable" Target="../queryTables/queryTable626.xml"/><Relationship Id="rId60" Type="http://schemas.openxmlformats.org/officeDocument/2006/relationships/queryTable" Target="../queryTables/queryTable642.xml"/><Relationship Id="rId65" Type="http://schemas.openxmlformats.org/officeDocument/2006/relationships/queryTable" Target="../queryTables/queryTable647.xml"/><Relationship Id="rId81" Type="http://schemas.openxmlformats.org/officeDocument/2006/relationships/queryTable" Target="../queryTables/queryTable663.xml"/><Relationship Id="rId86" Type="http://schemas.openxmlformats.org/officeDocument/2006/relationships/queryTable" Target="../queryTables/queryTable668.xml"/><Relationship Id="rId130" Type="http://schemas.openxmlformats.org/officeDocument/2006/relationships/queryTable" Target="../queryTables/queryTable712.xml"/><Relationship Id="rId135" Type="http://schemas.openxmlformats.org/officeDocument/2006/relationships/queryTable" Target="../queryTables/queryTable717.xml"/><Relationship Id="rId151" Type="http://schemas.openxmlformats.org/officeDocument/2006/relationships/queryTable" Target="../queryTables/queryTable733.xml"/><Relationship Id="rId156" Type="http://schemas.openxmlformats.org/officeDocument/2006/relationships/queryTable" Target="../queryTables/queryTable738.xml"/><Relationship Id="rId13" Type="http://schemas.openxmlformats.org/officeDocument/2006/relationships/queryTable" Target="../queryTables/queryTable595.xml"/><Relationship Id="rId18" Type="http://schemas.openxmlformats.org/officeDocument/2006/relationships/queryTable" Target="../queryTables/queryTable600.xml"/><Relationship Id="rId39" Type="http://schemas.openxmlformats.org/officeDocument/2006/relationships/queryTable" Target="../queryTables/queryTable621.xml"/><Relationship Id="rId109" Type="http://schemas.openxmlformats.org/officeDocument/2006/relationships/queryTable" Target="../queryTables/queryTable691.xml"/><Relationship Id="rId34" Type="http://schemas.openxmlformats.org/officeDocument/2006/relationships/queryTable" Target="../queryTables/queryTable616.xml"/><Relationship Id="rId50" Type="http://schemas.openxmlformats.org/officeDocument/2006/relationships/queryTable" Target="../queryTables/queryTable632.xml"/><Relationship Id="rId55" Type="http://schemas.openxmlformats.org/officeDocument/2006/relationships/queryTable" Target="../queryTables/queryTable637.xml"/><Relationship Id="rId76" Type="http://schemas.openxmlformats.org/officeDocument/2006/relationships/queryTable" Target="../queryTables/queryTable658.xml"/><Relationship Id="rId97" Type="http://schemas.openxmlformats.org/officeDocument/2006/relationships/queryTable" Target="../queryTables/queryTable679.xml"/><Relationship Id="rId104" Type="http://schemas.openxmlformats.org/officeDocument/2006/relationships/queryTable" Target="../queryTables/queryTable686.xml"/><Relationship Id="rId120" Type="http://schemas.openxmlformats.org/officeDocument/2006/relationships/queryTable" Target="../queryTables/queryTable702.xml"/><Relationship Id="rId125" Type="http://schemas.openxmlformats.org/officeDocument/2006/relationships/queryTable" Target="../queryTables/queryTable707.xml"/><Relationship Id="rId141" Type="http://schemas.openxmlformats.org/officeDocument/2006/relationships/queryTable" Target="../queryTables/queryTable723.xml"/><Relationship Id="rId146" Type="http://schemas.openxmlformats.org/officeDocument/2006/relationships/queryTable" Target="../queryTables/queryTable728.xml"/><Relationship Id="rId7" Type="http://schemas.openxmlformats.org/officeDocument/2006/relationships/queryTable" Target="../queryTables/queryTable589.xml"/><Relationship Id="rId71" Type="http://schemas.openxmlformats.org/officeDocument/2006/relationships/queryTable" Target="../queryTables/queryTable653.xml"/><Relationship Id="rId92" Type="http://schemas.openxmlformats.org/officeDocument/2006/relationships/queryTable" Target="../queryTables/queryTable674.xml"/><Relationship Id="rId2" Type="http://schemas.openxmlformats.org/officeDocument/2006/relationships/queryTable" Target="../queryTables/queryTable584.xml"/><Relationship Id="rId29" Type="http://schemas.openxmlformats.org/officeDocument/2006/relationships/queryTable" Target="../queryTables/queryTable611.xml"/><Relationship Id="rId24" Type="http://schemas.openxmlformats.org/officeDocument/2006/relationships/queryTable" Target="../queryTables/queryTable606.xml"/><Relationship Id="rId40" Type="http://schemas.openxmlformats.org/officeDocument/2006/relationships/queryTable" Target="../queryTables/queryTable622.xml"/><Relationship Id="rId45" Type="http://schemas.openxmlformats.org/officeDocument/2006/relationships/queryTable" Target="../queryTables/queryTable627.xml"/><Relationship Id="rId66" Type="http://schemas.openxmlformats.org/officeDocument/2006/relationships/queryTable" Target="../queryTables/queryTable648.xml"/><Relationship Id="rId87" Type="http://schemas.openxmlformats.org/officeDocument/2006/relationships/queryTable" Target="../queryTables/queryTable669.xml"/><Relationship Id="rId110" Type="http://schemas.openxmlformats.org/officeDocument/2006/relationships/queryTable" Target="../queryTables/queryTable692.xml"/><Relationship Id="rId115" Type="http://schemas.openxmlformats.org/officeDocument/2006/relationships/queryTable" Target="../queryTables/queryTable697.xml"/><Relationship Id="rId131" Type="http://schemas.openxmlformats.org/officeDocument/2006/relationships/queryTable" Target="../queryTables/queryTable713.xml"/><Relationship Id="rId136" Type="http://schemas.openxmlformats.org/officeDocument/2006/relationships/queryTable" Target="../queryTables/queryTable718.xml"/><Relationship Id="rId157" Type="http://schemas.openxmlformats.org/officeDocument/2006/relationships/queryTable" Target="../queryTables/queryTable739.xml"/><Relationship Id="rId61" Type="http://schemas.openxmlformats.org/officeDocument/2006/relationships/queryTable" Target="../queryTables/queryTable643.xml"/><Relationship Id="rId82" Type="http://schemas.openxmlformats.org/officeDocument/2006/relationships/queryTable" Target="../queryTables/queryTable664.xml"/><Relationship Id="rId152" Type="http://schemas.openxmlformats.org/officeDocument/2006/relationships/queryTable" Target="../queryTables/queryTable734.xml"/><Relationship Id="rId19" Type="http://schemas.openxmlformats.org/officeDocument/2006/relationships/queryTable" Target="../queryTables/queryTable601.xml"/><Relationship Id="rId14" Type="http://schemas.openxmlformats.org/officeDocument/2006/relationships/queryTable" Target="../queryTables/queryTable596.xml"/><Relationship Id="rId30" Type="http://schemas.openxmlformats.org/officeDocument/2006/relationships/queryTable" Target="../queryTables/queryTable612.xml"/><Relationship Id="rId35" Type="http://schemas.openxmlformats.org/officeDocument/2006/relationships/queryTable" Target="../queryTables/queryTable617.xml"/><Relationship Id="rId56" Type="http://schemas.openxmlformats.org/officeDocument/2006/relationships/queryTable" Target="../queryTables/queryTable638.xml"/><Relationship Id="rId77" Type="http://schemas.openxmlformats.org/officeDocument/2006/relationships/queryTable" Target="../queryTables/queryTable659.xml"/><Relationship Id="rId100" Type="http://schemas.openxmlformats.org/officeDocument/2006/relationships/queryTable" Target="../queryTables/queryTable682.xml"/><Relationship Id="rId105" Type="http://schemas.openxmlformats.org/officeDocument/2006/relationships/queryTable" Target="../queryTables/queryTable687.xml"/><Relationship Id="rId126" Type="http://schemas.openxmlformats.org/officeDocument/2006/relationships/queryTable" Target="../queryTables/queryTable708.xml"/><Relationship Id="rId147" Type="http://schemas.openxmlformats.org/officeDocument/2006/relationships/queryTable" Target="../queryTables/queryTable729.xml"/><Relationship Id="rId8" Type="http://schemas.openxmlformats.org/officeDocument/2006/relationships/queryTable" Target="../queryTables/queryTable590.xml"/><Relationship Id="rId51" Type="http://schemas.openxmlformats.org/officeDocument/2006/relationships/queryTable" Target="../queryTables/queryTable633.xml"/><Relationship Id="rId72" Type="http://schemas.openxmlformats.org/officeDocument/2006/relationships/queryTable" Target="../queryTables/queryTable654.xml"/><Relationship Id="rId93" Type="http://schemas.openxmlformats.org/officeDocument/2006/relationships/queryTable" Target="../queryTables/queryTable675.xml"/><Relationship Id="rId98" Type="http://schemas.openxmlformats.org/officeDocument/2006/relationships/queryTable" Target="../queryTables/queryTable680.xml"/><Relationship Id="rId121" Type="http://schemas.openxmlformats.org/officeDocument/2006/relationships/queryTable" Target="../queryTables/queryTable703.xml"/><Relationship Id="rId142" Type="http://schemas.openxmlformats.org/officeDocument/2006/relationships/queryTable" Target="../queryTables/queryTable724.xml"/><Relationship Id="rId3" Type="http://schemas.openxmlformats.org/officeDocument/2006/relationships/queryTable" Target="../queryTables/queryTable585.xml"/><Relationship Id="rId25" Type="http://schemas.openxmlformats.org/officeDocument/2006/relationships/queryTable" Target="../queryTables/queryTable607.xml"/><Relationship Id="rId46" Type="http://schemas.openxmlformats.org/officeDocument/2006/relationships/queryTable" Target="../queryTables/queryTable628.xml"/><Relationship Id="rId67" Type="http://schemas.openxmlformats.org/officeDocument/2006/relationships/queryTable" Target="../queryTables/queryTable649.xml"/><Relationship Id="rId116" Type="http://schemas.openxmlformats.org/officeDocument/2006/relationships/queryTable" Target="../queryTables/queryTable698.xml"/><Relationship Id="rId137" Type="http://schemas.openxmlformats.org/officeDocument/2006/relationships/queryTable" Target="../queryTables/queryTable719.xml"/><Relationship Id="rId158" Type="http://schemas.openxmlformats.org/officeDocument/2006/relationships/queryTable" Target="../queryTables/queryTable740.xml"/><Relationship Id="rId20" Type="http://schemas.openxmlformats.org/officeDocument/2006/relationships/queryTable" Target="../queryTables/queryTable602.xml"/><Relationship Id="rId41" Type="http://schemas.openxmlformats.org/officeDocument/2006/relationships/queryTable" Target="../queryTables/queryTable623.xml"/><Relationship Id="rId62" Type="http://schemas.openxmlformats.org/officeDocument/2006/relationships/queryTable" Target="../queryTables/queryTable644.xml"/><Relationship Id="rId83" Type="http://schemas.openxmlformats.org/officeDocument/2006/relationships/queryTable" Target="../queryTables/queryTable665.xml"/><Relationship Id="rId88" Type="http://schemas.openxmlformats.org/officeDocument/2006/relationships/queryTable" Target="../queryTables/queryTable670.xml"/><Relationship Id="rId111" Type="http://schemas.openxmlformats.org/officeDocument/2006/relationships/queryTable" Target="../queryTables/queryTable693.xml"/><Relationship Id="rId132" Type="http://schemas.openxmlformats.org/officeDocument/2006/relationships/queryTable" Target="../queryTables/queryTable714.xml"/><Relationship Id="rId153" Type="http://schemas.openxmlformats.org/officeDocument/2006/relationships/queryTable" Target="../queryTables/queryTable735.xml"/><Relationship Id="rId15" Type="http://schemas.openxmlformats.org/officeDocument/2006/relationships/queryTable" Target="../queryTables/queryTable597.xml"/><Relationship Id="rId36" Type="http://schemas.openxmlformats.org/officeDocument/2006/relationships/queryTable" Target="../queryTables/queryTable618.xml"/><Relationship Id="rId57" Type="http://schemas.openxmlformats.org/officeDocument/2006/relationships/queryTable" Target="../queryTables/queryTable639.xml"/><Relationship Id="rId106" Type="http://schemas.openxmlformats.org/officeDocument/2006/relationships/queryTable" Target="../queryTables/queryTable688.xml"/><Relationship Id="rId127" Type="http://schemas.openxmlformats.org/officeDocument/2006/relationships/queryTable" Target="../queryTables/queryTable709.xml"/><Relationship Id="rId10" Type="http://schemas.openxmlformats.org/officeDocument/2006/relationships/queryTable" Target="../queryTables/queryTable592.xml"/><Relationship Id="rId31" Type="http://schemas.openxmlformats.org/officeDocument/2006/relationships/queryTable" Target="../queryTables/queryTable613.xml"/><Relationship Id="rId52" Type="http://schemas.openxmlformats.org/officeDocument/2006/relationships/queryTable" Target="../queryTables/queryTable634.xml"/><Relationship Id="rId73" Type="http://schemas.openxmlformats.org/officeDocument/2006/relationships/queryTable" Target="../queryTables/queryTable655.xml"/><Relationship Id="rId78" Type="http://schemas.openxmlformats.org/officeDocument/2006/relationships/queryTable" Target="../queryTables/queryTable660.xml"/><Relationship Id="rId94" Type="http://schemas.openxmlformats.org/officeDocument/2006/relationships/queryTable" Target="../queryTables/queryTable676.xml"/><Relationship Id="rId99" Type="http://schemas.openxmlformats.org/officeDocument/2006/relationships/queryTable" Target="../queryTables/queryTable681.xml"/><Relationship Id="rId101" Type="http://schemas.openxmlformats.org/officeDocument/2006/relationships/queryTable" Target="../queryTables/queryTable683.xml"/><Relationship Id="rId122" Type="http://schemas.openxmlformats.org/officeDocument/2006/relationships/queryTable" Target="../queryTables/queryTable704.xml"/><Relationship Id="rId143" Type="http://schemas.openxmlformats.org/officeDocument/2006/relationships/queryTable" Target="../queryTables/queryTable725.xml"/><Relationship Id="rId148" Type="http://schemas.openxmlformats.org/officeDocument/2006/relationships/queryTable" Target="../queryTables/queryTable730.xml"/><Relationship Id="rId4" Type="http://schemas.openxmlformats.org/officeDocument/2006/relationships/queryTable" Target="../queryTables/queryTable586.xml"/><Relationship Id="rId9" Type="http://schemas.openxmlformats.org/officeDocument/2006/relationships/queryTable" Target="../queryTables/queryTable591.xml"/><Relationship Id="rId26" Type="http://schemas.openxmlformats.org/officeDocument/2006/relationships/queryTable" Target="../queryTables/queryTable608.xml"/><Relationship Id="rId47" Type="http://schemas.openxmlformats.org/officeDocument/2006/relationships/queryTable" Target="../queryTables/queryTable629.xml"/><Relationship Id="rId68" Type="http://schemas.openxmlformats.org/officeDocument/2006/relationships/queryTable" Target="../queryTables/queryTable650.xml"/><Relationship Id="rId89" Type="http://schemas.openxmlformats.org/officeDocument/2006/relationships/queryTable" Target="../queryTables/queryTable671.xml"/><Relationship Id="rId112" Type="http://schemas.openxmlformats.org/officeDocument/2006/relationships/queryTable" Target="../queryTables/queryTable694.xml"/><Relationship Id="rId133" Type="http://schemas.openxmlformats.org/officeDocument/2006/relationships/queryTable" Target="../queryTables/queryTable715.xml"/><Relationship Id="rId154" Type="http://schemas.openxmlformats.org/officeDocument/2006/relationships/queryTable" Target="../queryTables/queryTable736.xml"/><Relationship Id="rId16" Type="http://schemas.openxmlformats.org/officeDocument/2006/relationships/queryTable" Target="../queryTables/queryTable598.xml"/><Relationship Id="rId37" Type="http://schemas.openxmlformats.org/officeDocument/2006/relationships/queryTable" Target="../queryTables/queryTable619.xml"/><Relationship Id="rId58" Type="http://schemas.openxmlformats.org/officeDocument/2006/relationships/queryTable" Target="../queryTables/queryTable640.xml"/><Relationship Id="rId79" Type="http://schemas.openxmlformats.org/officeDocument/2006/relationships/queryTable" Target="../queryTables/queryTable661.xml"/><Relationship Id="rId102" Type="http://schemas.openxmlformats.org/officeDocument/2006/relationships/queryTable" Target="../queryTables/queryTable684.xml"/><Relationship Id="rId123" Type="http://schemas.openxmlformats.org/officeDocument/2006/relationships/queryTable" Target="../queryTables/queryTable705.xml"/><Relationship Id="rId144" Type="http://schemas.openxmlformats.org/officeDocument/2006/relationships/queryTable" Target="../queryTables/queryTable726.xml"/><Relationship Id="rId90" Type="http://schemas.openxmlformats.org/officeDocument/2006/relationships/queryTable" Target="../queryTables/queryTable672.xml"/><Relationship Id="rId27" Type="http://schemas.openxmlformats.org/officeDocument/2006/relationships/queryTable" Target="../queryTables/queryTable609.xml"/><Relationship Id="rId48" Type="http://schemas.openxmlformats.org/officeDocument/2006/relationships/queryTable" Target="../queryTables/queryTable630.xml"/><Relationship Id="rId69" Type="http://schemas.openxmlformats.org/officeDocument/2006/relationships/queryTable" Target="../queryTables/queryTable651.xml"/><Relationship Id="rId113" Type="http://schemas.openxmlformats.org/officeDocument/2006/relationships/queryTable" Target="../queryTables/queryTable695.xml"/><Relationship Id="rId134" Type="http://schemas.openxmlformats.org/officeDocument/2006/relationships/queryTable" Target="../queryTables/queryTable7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AF88"/>
  <sheetViews>
    <sheetView tabSelected="1" topLeftCell="B1" zoomScale="80" zoomScaleNormal="80" workbookViewId="0">
      <selection activeCell="AC12" sqref="AC12"/>
    </sheetView>
  </sheetViews>
  <sheetFormatPr defaultColWidth="11.42578125" defaultRowHeight="15" x14ac:dyDescent="0.25"/>
  <cols>
    <col min="1" max="1" width="9.42578125" customWidth="1"/>
    <col min="2" max="4" width="9.28515625" customWidth="1"/>
    <col min="5" max="5" width="11.140625" customWidth="1"/>
    <col min="6" max="6" width="10.5703125" customWidth="1"/>
    <col min="7" max="8" width="9.28515625" customWidth="1"/>
    <col min="9" max="9" width="21.42578125" bestFit="1" customWidth="1"/>
    <col min="10" max="10" width="11.140625" bestFit="1" customWidth="1"/>
    <col min="11" max="18" width="9.28515625" customWidth="1"/>
    <col min="19" max="19" width="11.140625" bestFit="1" customWidth="1"/>
    <col min="20" max="23" width="9.28515625" customWidth="1"/>
  </cols>
  <sheetData>
    <row r="1" spans="1:32" ht="15" customHeight="1" x14ac:dyDescent="0.3">
      <c r="A1" s="14"/>
      <c r="B1" s="15"/>
      <c r="C1" s="29" t="s">
        <v>0</v>
      </c>
      <c r="D1" s="30"/>
      <c r="E1" s="30"/>
      <c r="F1" s="30"/>
      <c r="G1" s="30"/>
      <c r="H1" s="31"/>
      <c r="I1" s="16" t="s">
        <v>21</v>
      </c>
      <c r="J1" s="29" t="s">
        <v>1</v>
      </c>
      <c r="K1" s="30"/>
      <c r="L1" s="30"/>
      <c r="M1" s="30"/>
      <c r="N1" s="30"/>
      <c r="O1" s="31"/>
      <c r="P1" s="32" t="s">
        <v>2</v>
      </c>
      <c r="Q1" s="33"/>
      <c r="R1" s="33"/>
      <c r="S1" s="29" t="s">
        <v>3</v>
      </c>
      <c r="T1" s="31"/>
      <c r="U1" s="27" t="s">
        <v>547</v>
      </c>
      <c r="V1" s="28"/>
      <c r="W1" s="16"/>
    </row>
    <row r="2" spans="1:32" ht="78" customHeight="1" x14ac:dyDescent="0.25">
      <c r="A2" s="17" t="s">
        <v>5</v>
      </c>
      <c r="B2" s="17" t="s">
        <v>6</v>
      </c>
      <c r="C2" s="18" t="s">
        <v>13</v>
      </c>
      <c r="D2" s="18" t="s">
        <v>14</v>
      </c>
      <c r="E2" s="18" t="s">
        <v>15</v>
      </c>
      <c r="F2" s="18" t="s">
        <v>16</v>
      </c>
      <c r="G2" s="18" t="s">
        <v>17</v>
      </c>
      <c r="H2" s="18" t="s">
        <v>18</v>
      </c>
      <c r="I2" s="18" t="s">
        <v>22</v>
      </c>
      <c r="J2" s="19" t="s">
        <v>553</v>
      </c>
      <c r="K2" s="20" t="s">
        <v>555</v>
      </c>
      <c r="L2" s="21" t="s">
        <v>556</v>
      </c>
      <c r="M2" s="20" t="s">
        <v>548</v>
      </c>
      <c r="N2" s="20" t="s">
        <v>549</v>
      </c>
      <c r="O2" s="20" t="s">
        <v>550</v>
      </c>
      <c r="P2" s="22" t="s">
        <v>7</v>
      </c>
      <c r="Q2" s="22" t="s">
        <v>8</v>
      </c>
      <c r="R2" s="22" t="s">
        <v>9</v>
      </c>
      <c r="S2" s="20" t="s">
        <v>19</v>
      </c>
      <c r="T2" s="20" t="s">
        <v>20</v>
      </c>
      <c r="U2" s="22" t="s">
        <v>536</v>
      </c>
      <c r="V2" s="20" t="s">
        <v>537</v>
      </c>
      <c r="W2" s="18" t="s">
        <v>534</v>
      </c>
    </row>
    <row r="3" spans="1:32" ht="18.75" x14ac:dyDescent="0.25">
      <c r="A3" s="23" t="s">
        <v>10</v>
      </c>
      <c r="B3" s="23" t="s">
        <v>10</v>
      </c>
      <c r="C3" s="23" t="s">
        <v>12</v>
      </c>
      <c r="D3" s="23" t="s">
        <v>12</v>
      </c>
      <c r="E3" s="23" t="s">
        <v>12</v>
      </c>
      <c r="F3" s="23" t="s">
        <v>12</v>
      </c>
      <c r="G3" s="23" t="s">
        <v>12</v>
      </c>
      <c r="H3" s="23" t="s">
        <v>12</v>
      </c>
      <c r="I3" s="23" t="s">
        <v>10</v>
      </c>
      <c r="J3" s="23" t="s">
        <v>10</v>
      </c>
      <c r="K3" s="23"/>
      <c r="L3" s="23"/>
      <c r="M3" s="23" t="s">
        <v>552</v>
      </c>
      <c r="N3" s="23" t="s">
        <v>551</v>
      </c>
      <c r="O3" s="23" t="s">
        <v>551</v>
      </c>
      <c r="P3" s="23" t="s">
        <v>571</v>
      </c>
      <c r="Q3" s="23" t="s">
        <v>11</v>
      </c>
      <c r="R3" s="23" t="s">
        <v>11</v>
      </c>
      <c r="S3" s="23" t="s">
        <v>10</v>
      </c>
      <c r="T3" s="23" t="s">
        <v>10</v>
      </c>
      <c r="U3" s="23" t="s">
        <v>10</v>
      </c>
      <c r="V3" s="23" t="s">
        <v>10</v>
      </c>
      <c r="W3" s="23" t="s">
        <v>533</v>
      </c>
      <c r="AB3">
        <v>20</v>
      </c>
      <c r="AC3">
        <v>350</v>
      </c>
      <c r="AD3">
        <v>450</v>
      </c>
      <c r="AE3">
        <v>550</v>
      </c>
      <c r="AF3">
        <v>700</v>
      </c>
    </row>
    <row r="4" spans="1:32" ht="18.75" x14ac:dyDescent="0.3">
      <c r="A4" s="16">
        <v>1</v>
      </c>
      <c r="B4" s="16" t="s">
        <v>554</v>
      </c>
      <c r="C4" s="16">
        <v>64</v>
      </c>
      <c r="D4" s="16">
        <v>120</v>
      </c>
      <c r="E4" s="16">
        <v>6.3</v>
      </c>
      <c r="F4" s="16">
        <v>4.4000000000000004</v>
      </c>
      <c r="G4" s="16">
        <v>7</v>
      </c>
      <c r="H4" s="16">
        <v>0</v>
      </c>
      <c r="I4" s="16">
        <v>3</v>
      </c>
      <c r="J4" s="16">
        <v>7</v>
      </c>
      <c r="K4" s="24">
        <v>0.4</v>
      </c>
      <c r="L4" s="24">
        <v>30</v>
      </c>
      <c r="M4" s="24">
        <v>104.1720174151005</v>
      </c>
      <c r="N4" s="24">
        <v>4.553778841609061</v>
      </c>
      <c r="O4" s="24">
        <v>0.58797641281813728</v>
      </c>
      <c r="P4" s="24">
        <v>20</v>
      </c>
      <c r="Q4" s="24">
        <v>690</v>
      </c>
      <c r="R4" s="16">
        <v>210000</v>
      </c>
      <c r="S4" s="16"/>
      <c r="T4" s="16"/>
      <c r="U4" s="25">
        <v>0</v>
      </c>
      <c r="V4" s="25">
        <v>4.9389999999999379</v>
      </c>
      <c r="W4" s="26"/>
      <c r="AA4" t="e">
        <f>SQRT(V4/U4)</f>
        <v>#DIV/0!</v>
      </c>
      <c r="AB4">
        <f t="shared" ref="AB4:AB35" si="0">IF(P4=20,S4/V4,NA())</f>
        <v>0</v>
      </c>
      <c r="AC4" t="e">
        <f t="shared" ref="AC4:AC35" si="1">IF(P4=350,S4/V4,NA())</f>
        <v>#N/A</v>
      </c>
      <c r="AD4" t="e">
        <f t="shared" ref="AD4:AD35" si="2">IF(P4=450,S4/V4,NA())</f>
        <v>#N/A</v>
      </c>
      <c r="AE4" t="e">
        <f t="shared" ref="AE4:AE35" si="3">IF(P4=550,S4/V4,NA())</f>
        <v>#N/A</v>
      </c>
      <c r="AF4" t="e">
        <f t="shared" ref="AF4:AF35" si="4">IF(P4=700,S4/V4,NA())</f>
        <v>#N/A</v>
      </c>
    </row>
    <row r="5" spans="1:32" ht="18.75" x14ac:dyDescent="0.3">
      <c r="A5" s="16">
        <v>2</v>
      </c>
      <c r="B5" s="16" t="s">
        <v>557</v>
      </c>
      <c r="C5" s="16">
        <v>110</v>
      </c>
      <c r="D5" s="16">
        <v>220</v>
      </c>
      <c r="E5" s="16">
        <v>9.1999999999999993</v>
      </c>
      <c r="F5" s="16">
        <v>5.9</v>
      </c>
      <c r="G5" s="16">
        <v>12</v>
      </c>
      <c r="H5" s="16">
        <v>0</v>
      </c>
      <c r="I5" s="16">
        <v>3</v>
      </c>
      <c r="J5" s="16">
        <v>7</v>
      </c>
      <c r="K5" s="16">
        <v>0.4</v>
      </c>
      <c r="L5" s="16">
        <v>30</v>
      </c>
      <c r="M5" s="16">
        <v>263.15028045020779</v>
      </c>
      <c r="N5" s="16">
        <v>21.402635493907201</v>
      </c>
      <c r="O5" s="16">
        <v>2.5159234033680251</v>
      </c>
      <c r="P5" s="16">
        <v>20</v>
      </c>
      <c r="Q5" s="16">
        <v>690</v>
      </c>
      <c r="R5" s="16">
        <v>210000</v>
      </c>
      <c r="S5" s="16"/>
      <c r="T5" s="16"/>
      <c r="U5" s="25">
        <v>0</v>
      </c>
      <c r="V5" s="25">
        <v>4.9389999999999379</v>
      </c>
      <c r="W5" s="26"/>
      <c r="AA5" t="e">
        <f t="shared" ref="AA5:AA35" si="5">SQRT(V5/U5)</f>
        <v>#DIV/0!</v>
      </c>
      <c r="AB5">
        <f t="shared" si="0"/>
        <v>0</v>
      </c>
      <c r="AC5" t="e">
        <f t="shared" si="1"/>
        <v>#N/A</v>
      </c>
      <c r="AD5" t="e">
        <f t="shared" si="2"/>
        <v>#N/A</v>
      </c>
      <c r="AE5" t="e">
        <f t="shared" si="3"/>
        <v>#N/A</v>
      </c>
      <c r="AF5" t="e">
        <f t="shared" si="4"/>
        <v>#N/A</v>
      </c>
    </row>
    <row r="6" spans="1:32" ht="18.75" x14ac:dyDescent="0.3">
      <c r="A6" s="16">
        <v>3</v>
      </c>
      <c r="B6" s="16" t="s">
        <v>558</v>
      </c>
      <c r="C6" s="16">
        <v>135</v>
      </c>
      <c r="D6" s="16">
        <v>270</v>
      </c>
      <c r="E6" s="16">
        <v>10.199999999999999</v>
      </c>
      <c r="F6" s="16">
        <v>6.6</v>
      </c>
      <c r="G6" s="16">
        <v>15</v>
      </c>
      <c r="H6" s="16">
        <v>0</v>
      </c>
      <c r="I6" s="16">
        <v>3</v>
      </c>
      <c r="J6" s="16">
        <v>7</v>
      </c>
      <c r="K6" s="16">
        <v>0.4</v>
      </c>
      <c r="L6" s="16">
        <v>30</v>
      </c>
      <c r="M6" s="16">
        <v>362.30927320344978</v>
      </c>
      <c r="N6" s="16">
        <v>36.29498811230566</v>
      </c>
      <c r="O6" s="16">
        <v>4.1975120244914139</v>
      </c>
      <c r="P6" s="16">
        <v>20</v>
      </c>
      <c r="Q6" s="16">
        <v>690</v>
      </c>
      <c r="R6" s="16">
        <v>210000</v>
      </c>
      <c r="S6" s="16"/>
      <c r="T6" s="16"/>
      <c r="U6" s="25">
        <v>0</v>
      </c>
      <c r="V6" s="25">
        <v>4.9389999999999379</v>
      </c>
      <c r="W6" s="26"/>
      <c r="AA6" t="e">
        <f t="shared" si="5"/>
        <v>#DIV/0!</v>
      </c>
      <c r="AB6">
        <f t="shared" si="0"/>
        <v>0</v>
      </c>
      <c r="AC6" t="e">
        <f t="shared" si="1"/>
        <v>#N/A</v>
      </c>
      <c r="AD6" t="e">
        <f t="shared" si="2"/>
        <v>#N/A</v>
      </c>
      <c r="AE6" t="e">
        <f t="shared" si="3"/>
        <v>#N/A</v>
      </c>
      <c r="AF6" t="e">
        <f t="shared" si="4"/>
        <v>#N/A</v>
      </c>
    </row>
    <row r="7" spans="1:32" ht="18.75" x14ac:dyDescent="0.3">
      <c r="A7" s="16">
        <v>4</v>
      </c>
      <c r="B7" s="16" t="s">
        <v>559</v>
      </c>
      <c r="C7" s="16">
        <v>170</v>
      </c>
      <c r="D7" s="16">
        <v>360</v>
      </c>
      <c r="E7" s="16">
        <v>12.7</v>
      </c>
      <c r="F7" s="16">
        <v>8</v>
      </c>
      <c r="G7" s="16">
        <v>18</v>
      </c>
      <c r="H7" s="16">
        <v>0</v>
      </c>
      <c r="I7" s="16">
        <v>3</v>
      </c>
      <c r="J7" s="16">
        <v>7</v>
      </c>
      <c r="K7" s="16">
        <v>0.4</v>
      </c>
      <c r="L7" s="16">
        <v>30</v>
      </c>
      <c r="M7" s="16">
        <v>573.52200529868185</v>
      </c>
      <c r="N7" s="16">
        <v>76.425968893119375</v>
      </c>
      <c r="O7" s="16">
        <v>8.2737555238532714</v>
      </c>
      <c r="P7" s="16">
        <v>20</v>
      </c>
      <c r="Q7" s="16">
        <v>690</v>
      </c>
      <c r="R7" s="16">
        <v>210000</v>
      </c>
      <c r="S7" s="16"/>
      <c r="T7" s="16"/>
      <c r="U7" s="25">
        <v>0</v>
      </c>
      <c r="V7" s="25">
        <v>4.9489999999999377</v>
      </c>
      <c r="W7" s="26"/>
      <c r="AA7" t="e">
        <f t="shared" si="5"/>
        <v>#DIV/0!</v>
      </c>
      <c r="AB7">
        <f t="shared" si="0"/>
        <v>0</v>
      </c>
      <c r="AC7" t="e">
        <f t="shared" si="1"/>
        <v>#N/A</v>
      </c>
      <c r="AD7" t="e">
        <f t="shared" si="2"/>
        <v>#N/A</v>
      </c>
      <c r="AE7" t="e">
        <f t="shared" si="3"/>
        <v>#N/A</v>
      </c>
      <c r="AF7" t="e">
        <f t="shared" si="4"/>
        <v>#N/A</v>
      </c>
    </row>
    <row r="8" spans="1:32" ht="18.75" x14ac:dyDescent="0.3">
      <c r="A8" s="16">
        <v>5</v>
      </c>
      <c r="B8" s="16" t="s">
        <v>560</v>
      </c>
      <c r="C8" s="16">
        <v>180</v>
      </c>
      <c r="D8" s="16">
        <v>400</v>
      </c>
      <c r="E8" s="16">
        <v>13.5</v>
      </c>
      <c r="F8" s="16">
        <v>8.6</v>
      </c>
      <c r="G8" s="16">
        <v>21</v>
      </c>
      <c r="H8" s="16">
        <v>0</v>
      </c>
      <c r="I8" s="16">
        <v>3</v>
      </c>
      <c r="J8" s="16">
        <v>7</v>
      </c>
      <c r="K8" s="24">
        <v>0.4</v>
      </c>
      <c r="L8" s="24">
        <v>30</v>
      </c>
      <c r="M8" s="24">
        <v>666.05563102161864</v>
      </c>
      <c r="N8" s="24">
        <v>98.023181801308027</v>
      </c>
      <c r="O8" s="24">
        <v>9.9146990288964805</v>
      </c>
      <c r="P8" s="24">
        <v>20</v>
      </c>
      <c r="Q8" s="24">
        <v>690</v>
      </c>
      <c r="R8" s="16">
        <v>210000</v>
      </c>
      <c r="S8" s="16"/>
      <c r="T8" s="16"/>
      <c r="U8" s="25">
        <v>0</v>
      </c>
      <c r="V8" s="25">
        <v>4.9589999999999375</v>
      </c>
      <c r="W8" s="26"/>
      <c r="AA8" t="e">
        <f t="shared" si="5"/>
        <v>#DIV/0!</v>
      </c>
      <c r="AB8">
        <f t="shared" si="0"/>
        <v>0</v>
      </c>
      <c r="AC8" t="e">
        <f t="shared" si="1"/>
        <v>#N/A</v>
      </c>
      <c r="AD8" t="e">
        <f t="shared" si="2"/>
        <v>#N/A</v>
      </c>
      <c r="AE8" t="e">
        <f t="shared" si="3"/>
        <v>#N/A</v>
      </c>
      <c r="AF8" t="e">
        <f t="shared" si="4"/>
        <v>#N/A</v>
      </c>
    </row>
    <row r="9" spans="1:32" ht="18.75" x14ac:dyDescent="0.3">
      <c r="A9" s="16">
        <v>6</v>
      </c>
      <c r="B9" s="16" t="s">
        <v>561</v>
      </c>
      <c r="C9" s="16">
        <v>220</v>
      </c>
      <c r="D9" s="16">
        <v>600</v>
      </c>
      <c r="E9" s="16">
        <v>19</v>
      </c>
      <c r="F9" s="16">
        <v>12</v>
      </c>
      <c r="G9" s="16">
        <v>24</v>
      </c>
      <c r="H9" s="16">
        <v>0</v>
      </c>
      <c r="I9" s="16">
        <v>3</v>
      </c>
      <c r="J9" s="16">
        <v>7</v>
      </c>
      <c r="K9" s="24">
        <v>0.4</v>
      </c>
      <c r="L9" s="24">
        <v>30</v>
      </c>
      <c r="M9" s="24">
        <v>1230.0486189436886</v>
      </c>
      <c r="N9" s="24">
        <v>263.3953422690397</v>
      </c>
      <c r="O9" s="24">
        <v>21.026465427846087</v>
      </c>
      <c r="P9" s="24">
        <v>20</v>
      </c>
      <c r="Q9" s="24">
        <v>690</v>
      </c>
      <c r="R9" s="16">
        <v>210000</v>
      </c>
      <c r="S9" s="16"/>
      <c r="T9" s="16"/>
      <c r="U9" s="25">
        <v>0</v>
      </c>
      <c r="V9" s="25">
        <v>5.0189999999999362</v>
      </c>
      <c r="W9" s="26"/>
      <c r="AA9" t="e">
        <f t="shared" si="5"/>
        <v>#DIV/0!</v>
      </c>
      <c r="AB9">
        <f t="shared" si="0"/>
        <v>0</v>
      </c>
      <c r="AC9" t="e">
        <f t="shared" si="1"/>
        <v>#N/A</v>
      </c>
      <c r="AD9" t="e">
        <f t="shared" si="2"/>
        <v>#N/A</v>
      </c>
      <c r="AE9" t="e">
        <f t="shared" si="3"/>
        <v>#N/A</v>
      </c>
      <c r="AF9" t="e">
        <f t="shared" si="4"/>
        <v>#N/A</v>
      </c>
    </row>
    <row r="10" spans="1:32" ht="18.75" x14ac:dyDescent="0.3">
      <c r="A10" s="16">
        <v>7</v>
      </c>
      <c r="B10" s="16" t="s">
        <v>562</v>
      </c>
      <c r="C10" s="16">
        <v>120</v>
      </c>
      <c r="D10" s="16">
        <v>114</v>
      </c>
      <c r="E10" s="16">
        <v>8</v>
      </c>
      <c r="F10" s="16">
        <v>5</v>
      </c>
      <c r="G10" s="16">
        <v>12</v>
      </c>
      <c r="H10" s="16">
        <v>0</v>
      </c>
      <c r="I10" s="16">
        <v>3</v>
      </c>
      <c r="J10" s="16">
        <v>7</v>
      </c>
      <c r="K10" s="24">
        <v>0.4</v>
      </c>
      <c r="L10" s="24">
        <v>30</v>
      </c>
      <c r="M10" s="24">
        <v>199.79329759306501</v>
      </c>
      <c r="N10" s="24">
        <v>8.9606161536909905</v>
      </c>
      <c r="O10" s="24">
        <v>2.5480682561425509</v>
      </c>
      <c r="P10" s="24">
        <v>20</v>
      </c>
      <c r="Q10" s="24">
        <v>690</v>
      </c>
      <c r="R10" s="16">
        <v>210000</v>
      </c>
      <c r="S10" s="16"/>
      <c r="T10" s="16"/>
      <c r="U10" s="25">
        <v>0</v>
      </c>
      <c r="V10" s="25">
        <v>4.7589999999999417</v>
      </c>
      <c r="W10" s="26"/>
      <c r="AA10" t="e">
        <f t="shared" si="5"/>
        <v>#DIV/0!</v>
      </c>
      <c r="AB10">
        <f t="shared" si="0"/>
        <v>0</v>
      </c>
      <c r="AC10" t="e">
        <f t="shared" si="1"/>
        <v>#N/A</v>
      </c>
      <c r="AD10" t="e">
        <f t="shared" si="2"/>
        <v>#N/A</v>
      </c>
      <c r="AE10" t="e">
        <f t="shared" si="3"/>
        <v>#N/A</v>
      </c>
      <c r="AF10" t="e">
        <f t="shared" si="4"/>
        <v>#N/A</v>
      </c>
    </row>
    <row r="11" spans="1:32" ht="18.75" x14ac:dyDescent="0.3">
      <c r="A11" s="16">
        <v>8</v>
      </c>
      <c r="B11" s="16" t="s">
        <v>563</v>
      </c>
      <c r="C11" s="16">
        <v>240</v>
      </c>
      <c r="D11" s="16">
        <v>230</v>
      </c>
      <c r="E11" s="16">
        <v>12</v>
      </c>
      <c r="F11" s="16">
        <v>7.5</v>
      </c>
      <c r="G11" s="16">
        <v>21</v>
      </c>
      <c r="H11" s="16">
        <v>0</v>
      </c>
      <c r="I11" s="16">
        <v>3</v>
      </c>
      <c r="J11" s="16">
        <v>7</v>
      </c>
      <c r="K11" s="24">
        <v>0.4</v>
      </c>
      <c r="L11" s="24">
        <v>30</v>
      </c>
      <c r="M11" s="24">
        <v>605.90340245019001</v>
      </c>
      <c r="N11" s="24">
        <v>55.839398474829508</v>
      </c>
      <c r="O11" s="24">
        <v>15.226715477147849</v>
      </c>
      <c r="P11" s="24">
        <v>20</v>
      </c>
      <c r="Q11" s="24">
        <v>690</v>
      </c>
      <c r="R11" s="16">
        <v>210000</v>
      </c>
      <c r="S11" s="16"/>
      <c r="T11" s="16"/>
      <c r="U11" s="25">
        <v>0</v>
      </c>
      <c r="V11" s="25">
        <v>4.7389999999999421</v>
      </c>
      <c r="W11" s="26"/>
      <c r="AA11" t="e">
        <f t="shared" si="5"/>
        <v>#DIV/0!</v>
      </c>
      <c r="AB11">
        <f t="shared" si="0"/>
        <v>0</v>
      </c>
      <c r="AC11" t="e">
        <f t="shared" si="1"/>
        <v>#N/A</v>
      </c>
      <c r="AD11" t="e">
        <f t="shared" si="2"/>
        <v>#N/A</v>
      </c>
      <c r="AE11" t="e">
        <f t="shared" si="3"/>
        <v>#N/A</v>
      </c>
      <c r="AF11" t="e">
        <f t="shared" si="4"/>
        <v>#N/A</v>
      </c>
    </row>
    <row r="12" spans="1:32" ht="18.75" x14ac:dyDescent="0.3">
      <c r="A12" s="16">
        <v>9</v>
      </c>
      <c r="B12" s="16" t="s">
        <v>564</v>
      </c>
      <c r="C12" s="16">
        <v>300</v>
      </c>
      <c r="D12" s="16">
        <v>290</v>
      </c>
      <c r="E12" s="16">
        <v>14</v>
      </c>
      <c r="F12" s="16">
        <v>8.5</v>
      </c>
      <c r="G12" s="16">
        <v>27</v>
      </c>
      <c r="H12" s="16">
        <v>0</v>
      </c>
      <c r="I12" s="16">
        <v>3</v>
      </c>
      <c r="J12" s="16">
        <v>7</v>
      </c>
      <c r="K12" s="24">
        <v>0.4</v>
      </c>
      <c r="L12" s="24">
        <v>30</v>
      </c>
      <c r="M12" s="24">
        <v>887.36199763631998</v>
      </c>
      <c r="N12" s="24">
        <v>103.73172146360655</v>
      </c>
      <c r="O12" s="24">
        <v>27.75965008220469</v>
      </c>
      <c r="P12" s="24">
        <v>20</v>
      </c>
      <c r="Q12" s="24">
        <v>690</v>
      </c>
      <c r="R12" s="16">
        <v>210000</v>
      </c>
      <c r="S12" s="16"/>
      <c r="T12" s="16"/>
      <c r="U12" s="25">
        <v>0</v>
      </c>
      <c r="V12" s="25">
        <v>4.7289999999999424</v>
      </c>
      <c r="W12" s="26"/>
      <c r="AA12" t="e">
        <f t="shared" si="5"/>
        <v>#DIV/0!</v>
      </c>
      <c r="AB12">
        <f t="shared" si="0"/>
        <v>0</v>
      </c>
      <c r="AC12" t="e">
        <f>IF(P12=350,S12/V12,NA())</f>
        <v>#N/A</v>
      </c>
      <c r="AD12" t="e">
        <f t="shared" si="2"/>
        <v>#N/A</v>
      </c>
      <c r="AE12" t="e">
        <f t="shared" si="3"/>
        <v>#N/A</v>
      </c>
      <c r="AF12" t="e">
        <f t="shared" si="4"/>
        <v>#N/A</v>
      </c>
    </row>
    <row r="13" spans="1:32" ht="18.75" x14ac:dyDescent="0.3">
      <c r="A13" s="16">
        <v>10</v>
      </c>
      <c r="B13" s="16" t="s">
        <v>565</v>
      </c>
      <c r="C13" s="16">
        <v>300</v>
      </c>
      <c r="D13" s="16">
        <v>390</v>
      </c>
      <c r="E13" s="16">
        <v>19</v>
      </c>
      <c r="F13" s="16">
        <v>11</v>
      </c>
      <c r="G13" s="16">
        <v>27</v>
      </c>
      <c r="H13" s="16">
        <v>0</v>
      </c>
      <c r="I13" s="16">
        <v>3</v>
      </c>
      <c r="J13" s="16">
        <v>7</v>
      </c>
      <c r="K13" s="24">
        <v>0.4</v>
      </c>
      <c r="L13" s="24">
        <v>30</v>
      </c>
      <c r="M13" s="24">
        <v>1253.6534262077489</v>
      </c>
      <c r="N13" s="24">
        <v>192.1096652436519</v>
      </c>
      <c r="O13" s="24">
        <v>37.791141976628928</v>
      </c>
      <c r="P13" s="24">
        <v>20</v>
      </c>
      <c r="Q13" s="24">
        <v>690</v>
      </c>
      <c r="R13" s="16">
        <v>210000</v>
      </c>
      <c r="S13" s="16"/>
      <c r="T13" s="16"/>
      <c r="U13" s="25">
        <v>0</v>
      </c>
      <c r="V13" s="25">
        <v>4.8089999999999407</v>
      </c>
      <c r="W13" s="26"/>
      <c r="AA13" t="e">
        <f t="shared" si="5"/>
        <v>#DIV/0!</v>
      </c>
      <c r="AB13">
        <f t="shared" si="0"/>
        <v>0</v>
      </c>
      <c r="AC13" t="e">
        <f t="shared" si="1"/>
        <v>#N/A</v>
      </c>
      <c r="AD13" t="e">
        <f t="shared" si="2"/>
        <v>#N/A</v>
      </c>
      <c r="AE13" t="e">
        <f t="shared" si="3"/>
        <v>#N/A</v>
      </c>
      <c r="AF13" t="e">
        <f t="shared" si="4"/>
        <v>#N/A</v>
      </c>
    </row>
    <row r="14" spans="1:32" ht="18.75" x14ac:dyDescent="0.3">
      <c r="A14" s="16">
        <v>11</v>
      </c>
      <c r="B14" s="16" t="s">
        <v>566</v>
      </c>
      <c r="C14" s="16">
        <v>300</v>
      </c>
      <c r="D14" s="16">
        <v>490</v>
      </c>
      <c r="E14" s="16">
        <v>23</v>
      </c>
      <c r="F14" s="16">
        <v>12</v>
      </c>
      <c r="G14" s="16">
        <v>27</v>
      </c>
      <c r="H14" s="16">
        <v>0</v>
      </c>
      <c r="I14" s="16">
        <v>3</v>
      </c>
      <c r="J14" s="16">
        <v>7</v>
      </c>
      <c r="K14" s="24">
        <v>0.4</v>
      </c>
      <c r="L14" s="24">
        <v>30</v>
      </c>
      <c r="M14" s="24">
        <v>1557.7265690648917</v>
      </c>
      <c r="N14" s="24">
        <v>296.12532340981573</v>
      </c>
      <c r="O14" s="24">
        <v>45.82891764221695</v>
      </c>
      <c r="P14" s="24">
        <v>20</v>
      </c>
      <c r="Q14" s="24">
        <v>690</v>
      </c>
      <c r="R14" s="16">
        <v>210000</v>
      </c>
      <c r="S14" s="16"/>
      <c r="T14" s="16"/>
      <c r="U14" s="25">
        <v>0</v>
      </c>
      <c r="V14" s="25">
        <v>4.8189999999999404</v>
      </c>
      <c r="W14" s="26"/>
      <c r="AA14" t="e">
        <f t="shared" si="5"/>
        <v>#DIV/0!</v>
      </c>
      <c r="AB14">
        <f t="shared" si="0"/>
        <v>0</v>
      </c>
      <c r="AC14" t="e">
        <f t="shared" si="1"/>
        <v>#N/A</v>
      </c>
      <c r="AD14" t="e">
        <f t="shared" si="2"/>
        <v>#N/A</v>
      </c>
      <c r="AE14" t="e">
        <f t="shared" si="3"/>
        <v>#N/A</v>
      </c>
      <c r="AF14" t="e">
        <f t="shared" si="4"/>
        <v>#N/A</v>
      </c>
    </row>
    <row r="15" spans="1:32" ht="18.75" x14ac:dyDescent="0.3">
      <c r="A15" s="16">
        <v>12</v>
      </c>
      <c r="B15" s="16" t="s">
        <v>567</v>
      </c>
      <c r="C15" s="16">
        <v>300</v>
      </c>
      <c r="D15" s="16">
        <v>590</v>
      </c>
      <c r="E15" s="16">
        <v>24</v>
      </c>
      <c r="F15" s="16">
        <v>13</v>
      </c>
      <c r="G15" s="16">
        <v>27</v>
      </c>
      <c r="H15" s="16">
        <v>0</v>
      </c>
      <c r="I15" s="16">
        <v>3</v>
      </c>
      <c r="J15" s="16">
        <v>7</v>
      </c>
      <c r="K15" s="24">
        <v>0.4</v>
      </c>
      <c r="L15" s="24">
        <v>30</v>
      </c>
      <c r="M15" s="24">
        <v>1740.5174262077489</v>
      </c>
      <c r="N15" s="24">
        <v>389.62963920087077</v>
      </c>
      <c r="O15" s="24">
        <v>48.090175865620004</v>
      </c>
      <c r="P15" s="24">
        <v>20</v>
      </c>
      <c r="Q15" s="24">
        <v>690</v>
      </c>
      <c r="R15" s="16">
        <v>210000</v>
      </c>
      <c r="S15" s="16"/>
      <c r="T15" s="16"/>
      <c r="U15" s="25">
        <v>0</v>
      </c>
      <c r="V15" s="25">
        <v>4.888999999999939</v>
      </c>
      <c r="W15" s="26"/>
      <c r="AA15" t="e">
        <f t="shared" si="5"/>
        <v>#DIV/0!</v>
      </c>
      <c r="AB15">
        <f t="shared" si="0"/>
        <v>0</v>
      </c>
      <c r="AC15" t="e">
        <f t="shared" si="1"/>
        <v>#N/A</v>
      </c>
      <c r="AD15" t="e">
        <f t="shared" si="2"/>
        <v>#N/A</v>
      </c>
      <c r="AE15" t="e">
        <f t="shared" si="3"/>
        <v>#N/A</v>
      </c>
      <c r="AF15" t="e">
        <f t="shared" si="4"/>
        <v>#N/A</v>
      </c>
    </row>
    <row r="16" spans="1:32" ht="18.75" x14ac:dyDescent="0.3">
      <c r="A16" s="16">
        <v>13</v>
      </c>
      <c r="B16" s="16" t="s">
        <v>568</v>
      </c>
      <c r="C16" s="16">
        <v>300</v>
      </c>
      <c r="D16" s="16">
        <v>990</v>
      </c>
      <c r="E16" s="16">
        <v>31</v>
      </c>
      <c r="F16" s="16">
        <v>16.5</v>
      </c>
      <c r="G16" s="16">
        <v>30</v>
      </c>
      <c r="H16" s="16">
        <v>0</v>
      </c>
      <c r="I16" s="16">
        <v>3</v>
      </c>
      <c r="J16" s="16">
        <v>7</v>
      </c>
      <c r="K16" s="24">
        <v>0.4</v>
      </c>
      <c r="L16" s="24">
        <v>30</v>
      </c>
      <c r="M16" s="24">
        <v>2735.1258242423705</v>
      </c>
      <c r="N16" s="24">
        <v>961.70186858712566</v>
      </c>
      <c r="O16" s="24">
        <v>63.632057217654925</v>
      </c>
      <c r="P16" s="24">
        <v>20</v>
      </c>
      <c r="Q16" s="24">
        <v>690</v>
      </c>
      <c r="R16" s="16">
        <v>210000</v>
      </c>
      <c r="S16" s="16"/>
      <c r="T16" s="16"/>
      <c r="U16" s="25">
        <v>0</v>
      </c>
      <c r="V16" s="25">
        <v>5.0389999999999358</v>
      </c>
      <c r="W16" s="26"/>
      <c r="AA16" t="e">
        <f t="shared" si="5"/>
        <v>#DIV/0!</v>
      </c>
      <c r="AB16">
        <f t="shared" si="0"/>
        <v>0</v>
      </c>
      <c r="AC16" t="e">
        <f t="shared" si="1"/>
        <v>#N/A</v>
      </c>
      <c r="AD16" t="e">
        <f t="shared" si="2"/>
        <v>#N/A</v>
      </c>
      <c r="AE16" t="e">
        <f t="shared" si="3"/>
        <v>#N/A</v>
      </c>
      <c r="AF16" t="e">
        <f t="shared" si="4"/>
        <v>#N/A</v>
      </c>
    </row>
    <row r="17" spans="1:32" ht="18.75" x14ac:dyDescent="0.3">
      <c r="A17" s="16">
        <v>14</v>
      </c>
      <c r="B17" s="16" t="s">
        <v>554</v>
      </c>
      <c r="C17" s="16">
        <v>64</v>
      </c>
      <c r="D17" s="16">
        <v>120</v>
      </c>
      <c r="E17" s="16">
        <v>6.3</v>
      </c>
      <c r="F17" s="16">
        <v>4.4000000000000004</v>
      </c>
      <c r="G17" s="16">
        <v>7</v>
      </c>
      <c r="H17" s="16">
        <v>0</v>
      </c>
      <c r="I17" s="16">
        <v>3</v>
      </c>
      <c r="J17" s="16">
        <v>7</v>
      </c>
      <c r="K17" s="24">
        <v>0.4</v>
      </c>
      <c r="L17" s="24">
        <v>30</v>
      </c>
      <c r="M17" s="24">
        <v>104.1720174151005</v>
      </c>
      <c r="N17" s="24">
        <v>4.553778841609061</v>
      </c>
      <c r="O17" s="24">
        <v>0.58797641281813728</v>
      </c>
      <c r="P17" s="24">
        <v>350</v>
      </c>
      <c r="Q17" s="24">
        <v>690</v>
      </c>
      <c r="R17" s="16">
        <v>210000</v>
      </c>
      <c r="S17" s="16"/>
      <c r="T17" s="16"/>
      <c r="U17" s="25">
        <v>0</v>
      </c>
      <c r="V17" s="25">
        <v>4.9389999999999379</v>
      </c>
      <c r="W17" s="26"/>
      <c r="AA17" t="e">
        <f t="shared" si="5"/>
        <v>#DIV/0!</v>
      </c>
      <c r="AB17" t="e">
        <f>IF(P17=20,S17/V17,NA())</f>
        <v>#N/A</v>
      </c>
      <c r="AC17">
        <f t="shared" si="1"/>
        <v>0</v>
      </c>
      <c r="AD17" t="e">
        <f t="shared" si="2"/>
        <v>#N/A</v>
      </c>
      <c r="AE17" t="e">
        <f t="shared" si="3"/>
        <v>#N/A</v>
      </c>
      <c r="AF17" t="e">
        <f t="shared" si="4"/>
        <v>#N/A</v>
      </c>
    </row>
    <row r="18" spans="1:32" ht="18.75" x14ac:dyDescent="0.3">
      <c r="A18" s="16">
        <v>15</v>
      </c>
      <c r="B18" s="16" t="s">
        <v>557</v>
      </c>
      <c r="C18" s="16">
        <v>110</v>
      </c>
      <c r="D18" s="16">
        <v>220</v>
      </c>
      <c r="E18" s="16">
        <v>9.1999999999999993</v>
      </c>
      <c r="F18" s="16">
        <v>5.9</v>
      </c>
      <c r="G18" s="16">
        <v>12</v>
      </c>
      <c r="H18" s="16">
        <v>0</v>
      </c>
      <c r="I18" s="16">
        <v>3</v>
      </c>
      <c r="J18" s="16">
        <v>7</v>
      </c>
      <c r="K18" s="24">
        <v>0.4</v>
      </c>
      <c r="L18" s="24">
        <v>30</v>
      </c>
      <c r="M18" s="24">
        <v>263.15028045020779</v>
      </c>
      <c r="N18" s="24">
        <v>21.402635493907201</v>
      </c>
      <c r="O18" s="24">
        <v>2.5159234033680251</v>
      </c>
      <c r="P18" s="24">
        <v>350</v>
      </c>
      <c r="Q18" s="24">
        <v>690</v>
      </c>
      <c r="R18" s="16">
        <v>210000</v>
      </c>
      <c r="S18" s="16"/>
      <c r="T18" s="16"/>
      <c r="U18" s="25">
        <v>0</v>
      </c>
      <c r="V18" s="25">
        <v>4.9289999999999381</v>
      </c>
      <c r="W18" s="26"/>
      <c r="AA18" t="e">
        <f t="shared" si="5"/>
        <v>#DIV/0!</v>
      </c>
      <c r="AB18" t="e">
        <f t="shared" si="0"/>
        <v>#N/A</v>
      </c>
      <c r="AC18">
        <f t="shared" si="1"/>
        <v>0</v>
      </c>
      <c r="AD18" t="e">
        <f t="shared" si="2"/>
        <v>#N/A</v>
      </c>
      <c r="AE18" t="e">
        <f t="shared" si="3"/>
        <v>#N/A</v>
      </c>
      <c r="AF18" t="e">
        <f t="shared" si="4"/>
        <v>#N/A</v>
      </c>
    </row>
    <row r="19" spans="1:32" ht="18.75" x14ac:dyDescent="0.3">
      <c r="A19" s="16">
        <v>16</v>
      </c>
      <c r="B19" s="16" t="s">
        <v>558</v>
      </c>
      <c r="C19" s="16">
        <v>135</v>
      </c>
      <c r="D19" s="16">
        <v>270</v>
      </c>
      <c r="E19" s="16">
        <v>10.199999999999999</v>
      </c>
      <c r="F19" s="16">
        <v>6.6</v>
      </c>
      <c r="G19" s="16">
        <v>15</v>
      </c>
      <c r="H19" s="16">
        <v>0</v>
      </c>
      <c r="I19" s="16">
        <v>3</v>
      </c>
      <c r="J19" s="16">
        <v>7</v>
      </c>
      <c r="K19" s="24">
        <v>0.4</v>
      </c>
      <c r="L19" s="24">
        <v>30</v>
      </c>
      <c r="M19" s="24">
        <v>362.30927320344978</v>
      </c>
      <c r="N19" s="24">
        <v>36.29498811230566</v>
      </c>
      <c r="O19" s="24">
        <v>4.1975120244914139</v>
      </c>
      <c r="P19" s="24">
        <v>350</v>
      </c>
      <c r="Q19" s="24">
        <v>690</v>
      </c>
      <c r="R19" s="16">
        <v>210000</v>
      </c>
      <c r="S19" s="16"/>
      <c r="T19" s="16"/>
      <c r="U19" s="25">
        <v>0</v>
      </c>
      <c r="V19" s="25">
        <v>4.9289999999999381</v>
      </c>
      <c r="W19" s="26"/>
      <c r="AA19" t="e">
        <f t="shared" si="5"/>
        <v>#DIV/0!</v>
      </c>
      <c r="AB19" t="e">
        <f t="shared" si="0"/>
        <v>#N/A</v>
      </c>
      <c r="AC19">
        <f t="shared" si="1"/>
        <v>0</v>
      </c>
      <c r="AD19" t="e">
        <f t="shared" si="2"/>
        <v>#N/A</v>
      </c>
      <c r="AE19" t="e">
        <f t="shared" si="3"/>
        <v>#N/A</v>
      </c>
      <c r="AF19" t="e">
        <f t="shared" si="4"/>
        <v>#N/A</v>
      </c>
    </row>
    <row r="20" spans="1:32" ht="18.75" x14ac:dyDescent="0.3">
      <c r="A20" s="16">
        <v>17</v>
      </c>
      <c r="B20" s="16" t="s">
        <v>559</v>
      </c>
      <c r="C20" s="16">
        <v>170</v>
      </c>
      <c r="D20" s="16">
        <v>360</v>
      </c>
      <c r="E20" s="16">
        <v>12.7</v>
      </c>
      <c r="F20" s="16">
        <v>8</v>
      </c>
      <c r="G20" s="16">
        <v>18</v>
      </c>
      <c r="H20" s="16">
        <v>0</v>
      </c>
      <c r="I20" s="16">
        <v>3</v>
      </c>
      <c r="J20" s="16">
        <v>7</v>
      </c>
      <c r="K20" s="24">
        <v>0.4</v>
      </c>
      <c r="L20" s="24">
        <v>30</v>
      </c>
      <c r="M20" s="24">
        <v>573.52200529868185</v>
      </c>
      <c r="N20" s="24">
        <v>76.425968893119375</v>
      </c>
      <c r="O20" s="24">
        <v>8.2737555238532714</v>
      </c>
      <c r="P20" s="24">
        <v>350</v>
      </c>
      <c r="Q20" s="24">
        <v>690</v>
      </c>
      <c r="R20" s="16">
        <v>210000</v>
      </c>
      <c r="S20" s="16"/>
      <c r="T20" s="16"/>
      <c r="U20" s="25">
        <v>0</v>
      </c>
      <c r="V20" s="25">
        <v>4.9389999999999379</v>
      </c>
      <c r="W20" s="16"/>
      <c r="AA20" t="e">
        <f t="shared" si="5"/>
        <v>#DIV/0!</v>
      </c>
      <c r="AB20" t="e">
        <f t="shared" si="0"/>
        <v>#N/A</v>
      </c>
      <c r="AC20">
        <f t="shared" si="1"/>
        <v>0</v>
      </c>
      <c r="AD20" t="e">
        <f t="shared" si="2"/>
        <v>#N/A</v>
      </c>
      <c r="AE20" t="e">
        <f t="shared" si="3"/>
        <v>#N/A</v>
      </c>
      <c r="AF20" t="e">
        <f t="shared" si="4"/>
        <v>#N/A</v>
      </c>
    </row>
    <row r="21" spans="1:32" ht="18.75" x14ac:dyDescent="0.3">
      <c r="A21" s="16">
        <v>18</v>
      </c>
      <c r="B21" s="16" t="s">
        <v>560</v>
      </c>
      <c r="C21" s="16">
        <v>180</v>
      </c>
      <c r="D21" s="16">
        <v>400</v>
      </c>
      <c r="E21" s="16">
        <v>13.5</v>
      </c>
      <c r="F21" s="16">
        <v>8.6</v>
      </c>
      <c r="G21" s="16">
        <v>21</v>
      </c>
      <c r="H21" s="16">
        <v>0</v>
      </c>
      <c r="I21" s="16">
        <v>3</v>
      </c>
      <c r="J21" s="16">
        <v>7</v>
      </c>
      <c r="K21" s="16">
        <v>0.4</v>
      </c>
      <c r="L21" s="16">
        <v>30</v>
      </c>
      <c r="M21" s="16">
        <v>666.05563102161864</v>
      </c>
      <c r="N21" s="16">
        <v>98.023181801308027</v>
      </c>
      <c r="O21" s="16">
        <v>9.9146990288964805</v>
      </c>
      <c r="P21" s="16">
        <v>350</v>
      </c>
      <c r="Q21" s="16">
        <v>690</v>
      </c>
      <c r="R21" s="16">
        <v>210000</v>
      </c>
      <c r="S21" s="16"/>
      <c r="T21" s="16"/>
      <c r="U21" s="25">
        <v>0</v>
      </c>
      <c r="V21" s="25">
        <v>4.9589999999999375</v>
      </c>
      <c r="W21" s="16"/>
      <c r="AA21" t="e">
        <f t="shared" si="5"/>
        <v>#DIV/0!</v>
      </c>
      <c r="AB21" t="e">
        <f t="shared" si="0"/>
        <v>#N/A</v>
      </c>
      <c r="AC21">
        <f t="shared" si="1"/>
        <v>0</v>
      </c>
      <c r="AD21" t="e">
        <f t="shared" si="2"/>
        <v>#N/A</v>
      </c>
      <c r="AE21" t="e">
        <f t="shared" si="3"/>
        <v>#N/A</v>
      </c>
      <c r="AF21" t="e">
        <f t="shared" si="4"/>
        <v>#N/A</v>
      </c>
    </row>
    <row r="22" spans="1:32" ht="18.75" x14ac:dyDescent="0.3">
      <c r="A22" s="16">
        <v>19</v>
      </c>
      <c r="B22" s="16" t="s">
        <v>561</v>
      </c>
      <c r="C22" s="16">
        <v>220</v>
      </c>
      <c r="D22" s="16">
        <v>600</v>
      </c>
      <c r="E22" s="16">
        <v>19</v>
      </c>
      <c r="F22" s="16">
        <v>12</v>
      </c>
      <c r="G22" s="16">
        <v>24</v>
      </c>
      <c r="H22" s="16">
        <v>0</v>
      </c>
      <c r="I22" s="16">
        <v>3</v>
      </c>
      <c r="J22" s="16">
        <v>7</v>
      </c>
      <c r="K22" s="16">
        <v>0.4</v>
      </c>
      <c r="L22" s="16">
        <v>30</v>
      </c>
      <c r="M22" s="16">
        <v>1230.0486189436886</v>
      </c>
      <c r="N22" s="16">
        <v>263.3953422690397</v>
      </c>
      <c r="O22" s="16">
        <v>21.026465427846087</v>
      </c>
      <c r="P22" s="16">
        <v>350</v>
      </c>
      <c r="Q22" s="16">
        <v>690</v>
      </c>
      <c r="R22" s="16">
        <v>210000</v>
      </c>
      <c r="S22" s="16"/>
      <c r="T22" s="16"/>
      <c r="U22" s="25">
        <v>0</v>
      </c>
      <c r="V22" s="25">
        <v>5.0189999999999362</v>
      </c>
      <c r="W22" s="16"/>
      <c r="AA22" t="e">
        <f t="shared" si="5"/>
        <v>#DIV/0!</v>
      </c>
      <c r="AB22" t="e">
        <f t="shared" si="0"/>
        <v>#N/A</v>
      </c>
      <c r="AC22">
        <f t="shared" si="1"/>
        <v>0</v>
      </c>
      <c r="AD22" t="e">
        <f t="shared" si="2"/>
        <v>#N/A</v>
      </c>
      <c r="AE22" t="e">
        <f t="shared" si="3"/>
        <v>#N/A</v>
      </c>
      <c r="AF22" t="e">
        <f t="shared" si="4"/>
        <v>#N/A</v>
      </c>
    </row>
    <row r="23" spans="1:32" ht="18.75" x14ac:dyDescent="0.3">
      <c r="A23" s="16">
        <v>20</v>
      </c>
      <c r="B23" s="16" t="s">
        <v>562</v>
      </c>
      <c r="C23" s="16">
        <v>120</v>
      </c>
      <c r="D23" s="16">
        <v>114</v>
      </c>
      <c r="E23" s="16">
        <v>8</v>
      </c>
      <c r="F23" s="16">
        <v>5</v>
      </c>
      <c r="G23" s="16">
        <v>12</v>
      </c>
      <c r="H23" s="16">
        <v>0</v>
      </c>
      <c r="I23" s="16">
        <v>3</v>
      </c>
      <c r="J23" s="16">
        <v>7</v>
      </c>
      <c r="K23" s="16">
        <v>0.4</v>
      </c>
      <c r="L23" s="16">
        <v>30</v>
      </c>
      <c r="M23" s="16">
        <v>199.79329759306501</v>
      </c>
      <c r="N23" s="16">
        <v>8.9606161536909905</v>
      </c>
      <c r="O23" s="16">
        <v>2.5480682561425509</v>
      </c>
      <c r="P23" s="16">
        <v>350</v>
      </c>
      <c r="Q23" s="16">
        <v>690</v>
      </c>
      <c r="R23" s="16">
        <v>210000</v>
      </c>
      <c r="S23" s="16"/>
      <c r="T23" s="16"/>
      <c r="U23" s="25">
        <v>0</v>
      </c>
      <c r="V23" s="25">
        <v>4.7589999999999417</v>
      </c>
      <c r="W23" s="16"/>
      <c r="AA23" t="e">
        <f t="shared" si="5"/>
        <v>#DIV/0!</v>
      </c>
      <c r="AB23" t="e">
        <f t="shared" si="0"/>
        <v>#N/A</v>
      </c>
      <c r="AC23">
        <f t="shared" si="1"/>
        <v>0</v>
      </c>
      <c r="AD23" t="e">
        <f t="shared" si="2"/>
        <v>#N/A</v>
      </c>
      <c r="AE23" t="e">
        <f t="shared" si="3"/>
        <v>#N/A</v>
      </c>
      <c r="AF23" t="e">
        <f t="shared" si="4"/>
        <v>#N/A</v>
      </c>
    </row>
    <row r="24" spans="1:32" ht="18.75" x14ac:dyDescent="0.3">
      <c r="A24" s="16">
        <v>21</v>
      </c>
      <c r="B24" s="16" t="s">
        <v>563</v>
      </c>
      <c r="C24" s="16">
        <v>240</v>
      </c>
      <c r="D24" s="16">
        <v>230</v>
      </c>
      <c r="E24" s="16">
        <v>12</v>
      </c>
      <c r="F24" s="16">
        <v>7.5</v>
      </c>
      <c r="G24" s="16">
        <v>21</v>
      </c>
      <c r="H24" s="16">
        <v>0</v>
      </c>
      <c r="I24" s="16">
        <v>3</v>
      </c>
      <c r="J24" s="16">
        <v>7</v>
      </c>
      <c r="K24" s="24">
        <v>0.4</v>
      </c>
      <c r="L24" s="24">
        <v>30</v>
      </c>
      <c r="M24" s="24">
        <v>605.90340245019001</v>
      </c>
      <c r="N24" s="24">
        <v>55.839398474829508</v>
      </c>
      <c r="O24" s="24">
        <v>15.226715477147849</v>
      </c>
      <c r="P24" s="24">
        <v>350</v>
      </c>
      <c r="Q24" s="24">
        <v>690</v>
      </c>
      <c r="R24" s="16">
        <v>210000</v>
      </c>
      <c r="S24" s="16"/>
      <c r="T24" s="16"/>
      <c r="U24" s="25">
        <v>0</v>
      </c>
      <c r="V24" s="25">
        <v>4.7489999999999419</v>
      </c>
      <c r="W24" s="16"/>
      <c r="AA24" t="e">
        <f t="shared" si="5"/>
        <v>#DIV/0!</v>
      </c>
      <c r="AB24" t="e">
        <f t="shared" si="0"/>
        <v>#N/A</v>
      </c>
      <c r="AC24">
        <f t="shared" si="1"/>
        <v>0</v>
      </c>
      <c r="AD24" t="e">
        <f t="shared" si="2"/>
        <v>#N/A</v>
      </c>
      <c r="AE24" t="e">
        <f t="shared" si="3"/>
        <v>#N/A</v>
      </c>
      <c r="AF24" t="e">
        <f t="shared" si="4"/>
        <v>#N/A</v>
      </c>
    </row>
    <row r="25" spans="1:32" ht="18.75" x14ac:dyDescent="0.3">
      <c r="A25" s="16">
        <v>22</v>
      </c>
      <c r="B25" s="16" t="s">
        <v>564</v>
      </c>
      <c r="C25" s="16">
        <v>300</v>
      </c>
      <c r="D25" s="16">
        <v>290</v>
      </c>
      <c r="E25" s="16">
        <v>14</v>
      </c>
      <c r="F25" s="16">
        <v>8.5</v>
      </c>
      <c r="G25" s="16">
        <v>27</v>
      </c>
      <c r="H25" s="16">
        <v>0</v>
      </c>
      <c r="I25" s="16">
        <v>3</v>
      </c>
      <c r="J25" s="16">
        <v>7</v>
      </c>
      <c r="K25" s="24">
        <v>0.4</v>
      </c>
      <c r="L25" s="24">
        <v>30</v>
      </c>
      <c r="M25" s="24">
        <v>887.36199763631998</v>
      </c>
      <c r="N25" s="24">
        <v>103.73172146360655</v>
      </c>
      <c r="O25" s="24">
        <v>27.75965008220469</v>
      </c>
      <c r="P25" s="24">
        <v>350</v>
      </c>
      <c r="Q25" s="24">
        <v>690</v>
      </c>
      <c r="R25" s="16">
        <v>210000</v>
      </c>
      <c r="S25" s="16"/>
      <c r="T25" s="16"/>
      <c r="U25" s="25">
        <v>0</v>
      </c>
      <c r="V25" s="25">
        <v>4.7389999999999421</v>
      </c>
      <c r="W25" s="16"/>
      <c r="AA25" t="e">
        <f t="shared" si="5"/>
        <v>#DIV/0!</v>
      </c>
      <c r="AB25" t="e">
        <f t="shared" si="0"/>
        <v>#N/A</v>
      </c>
      <c r="AC25">
        <f t="shared" si="1"/>
        <v>0</v>
      </c>
      <c r="AD25" t="e">
        <f t="shared" si="2"/>
        <v>#N/A</v>
      </c>
      <c r="AE25" t="e">
        <f t="shared" si="3"/>
        <v>#N/A</v>
      </c>
      <c r="AF25" t="e">
        <f t="shared" si="4"/>
        <v>#N/A</v>
      </c>
    </row>
    <row r="26" spans="1:32" ht="18.75" x14ac:dyDescent="0.3">
      <c r="A26" s="16">
        <v>23</v>
      </c>
      <c r="B26" s="16" t="s">
        <v>565</v>
      </c>
      <c r="C26" s="16">
        <v>300</v>
      </c>
      <c r="D26" s="16">
        <v>390</v>
      </c>
      <c r="E26" s="16">
        <v>19</v>
      </c>
      <c r="F26" s="16">
        <v>11</v>
      </c>
      <c r="G26" s="16">
        <v>27</v>
      </c>
      <c r="H26" s="16">
        <v>0</v>
      </c>
      <c r="I26" s="16">
        <v>3</v>
      </c>
      <c r="J26" s="16">
        <v>7</v>
      </c>
      <c r="K26" s="24">
        <v>0.4</v>
      </c>
      <c r="L26" s="24">
        <v>30</v>
      </c>
      <c r="M26" s="24">
        <v>1253.6534262077489</v>
      </c>
      <c r="N26" s="24">
        <v>192.1096652436519</v>
      </c>
      <c r="O26" s="24">
        <v>37.791141976628928</v>
      </c>
      <c r="P26" s="24">
        <v>350</v>
      </c>
      <c r="Q26" s="24">
        <v>690</v>
      </c>
      <c r="R26" s="16">
        <v>210000</v>
      </c>
      <c r="S26" s="16"/>
      <c r="T26" s="16"/>
      <c r="U26" s="25">
        <v>0</v>
      </c>
      <c r="V26" s="25">
        <v>4.7789999999999413</v>
      </c>
      <c r="W26" s="16"/>
      <c r="AA26" t="e">
        <f t="shared" si="5"/>
        <v>#DIV/0!</v>
      </c>
      <c r="AB26" t="e">
        <f t="shared" si="0"/>
        <v>#N/A</v>
      </c>
      <c r="AC26">
        <f t="shared" si="1"/>
        <v>0</v>
      </c>
      <c r="AD26" t="e">
        <f t="shared" si="2"/>
        <v>#N/A</v>
      </c>
      <c r="AE26" t="e">
        <f t="shared" si="3"/>
        <v>#N/A</v>
      </c>
      <c r="AF26" t="e">
        <f t="shared" si="4"/>
        <v>#N/A</v>
      </c>
    </row>
    <row r="27" spans="1:32" ht="18.75" x14ac:dyDescent="0.3">
      <c r="A27" s="16">
        <v>24</v>
      </c>
      <c r="B27" s="16" t="s">
        <v>566</v>
      </c>
      <c r="C27" s="16">
        <v>300</v>
      </c>
      <c r="D27" s="16">
        <v>490</v>
      </c>
      <c r="E27" s="16">
        <v>23</v>
      </c>
      <c r="F27" s="16">
        <v>12</v>
      </c>
      <c r="G27" s="16">
        <v>27</v>
      </c>
      <c r="H27" s="16">
        <v>0</v>
      </c>
      <c r="I27" s="16">
        <v>3</v>
      </c>
      <c r="J27" s="16">
        <v>7</v>
      </c>
      <c r="K27" s="24">
        <v>0.4</v>
      </c>
      <c r="L27" s="24">
        <v>30</v>
      </c>
      <c r="M27" s="24">
        <v>1557.7265690648917</v>
      </c>
      <c r="N27" s="24">
        <v>296.12532340981573</v>
      </c>
      <c r="O27" s="24">
        <v>45.82891764221695</v>
      </c>
      <c r="P27" s="24">
        <v>350</v>
      </c>
      <c r="Q27" s="24">
        <v>690</v>
      </c>
      <c r="R27" s="16">
        <v>210000</v>
      </c>
      <c r="S27" s="16"/>
      <c r="T27" s="16"/>
      <c r="U27" s="25">
        <v>0</v>
      </c>
      <c r="V27" s="25">
        <v>4.8089999999999407</v>
      </c>
      <c r="W27" s="16"/>
      <c r="AA27" t="e">
        <f t="shared" si="5"/>
        <v>#DIV/0!</v>
      </c>
      <c r="AB27" t="e">
        <f t="shared" si="0"/>
        <v>#N/A</v>
      </c>
      <c r="AC27">
        <f t="shared" si="1"/>
        <v>0</v>
      </c>
      <c r="AD27" t="e">
        <f t="shared" si="2"/>
        <v>#N/A</v>
      </c>
      <c r="AE27" t="e">
        <f t="shared" si="3"/>
        <v>#N/A</v>
      </c>
      <c r="AF27" t="e">
        <f t="shared" si="4"/>
        <v>#N/A</v>
      </c>
    </row>
    <row r="28" spans="1:32" ht="18.75" x14ac:dyDescent="0.3">
      <c r="A28" s="16">
        <v>25</v>
      </c>
      <c r="B28" s="16" t="s">
        <v>567</v>
      </c>
      <c r="C28" s="16">
        <v>300</v>
      </c>
      <c r="D28" s="16">
        <v>590</v>
      </c>
      <c r="E28" s="16">
        <v>24</v>
      </c>
      <c r="F28" s="16">
        <v>13</v>
      </c>
      <c r="G28" s="16">
        <v>27</v>
      </c>
      <c r="H28" s="16">
        <v>0</v>
      </c>
      <c r="I28" s="16">
        <v>3</v>
      </c>
      <c r="J28" s="16">
        <v>7</v>
      </c>
      <c r="K28" s="24">
        <v>0.4</v>
      </c>
      <c r="L28" s="24">
        <v>30</v>
      </c>
      <c r="M28" s="24">
        <v>1740.5174262077489</v>
      </c>
      <c r="N28" s="24">
        <v>389.62963920087077</v>
      </c>
      <c r="O28" s="24">
        <v>48.090175865620004</v>
      </c>
      <c r="P28" s="24">
        <v>350</v>
      </c>
      <c r="Q28" s="24">
        <v>690</v>
      </c>
      <c r="R28" s="16">
        <v>210000</v>
      </c>
      <c r="S28" s="16"/>
      <c r="T28" s="16"/>
      <c r="U28" s="25">
        <v>0</v>
      </c>
      <c r="V28" s="25">
        <v>4.8689999999999394</v>
      </c>
      <c r="W28" s="16"/>
      <c r="AA28" t="e">
        <f t="shared" si="5"/>
        <v>#DIV/0!</v>
      </c>
      <c r="AB28" t="e">
        <f t="shared" si="0"/>
        <v>#N/A</v>
      </c>
      <c r="AC28">
        <f t="shared" si="1"/>
        <v>0</v>
      </c>
      <c r="AD28" t="e">
        <f t="shared" si="2"/>
        <v>#N/A</v>
      </c>
      <c r="AE28" t="e">
        <f t="shared" si="3"/>
        <v>#N/A</v>
      </c>
      <c r="AF28" t="e">
        <f t="shared" si="4"/>
        <v>#N/A</v>
      </c>
    </row>
    <row r="29" spans="1:32" ht="18.75" x14ac:dyDescent="0.3">
      <c r="A29" s="16">
        <v>26</v>
      </c>
      <c r="B29" s="16" t="s">
        <v>568</v>
      </c>
      <c r="C29" s="16">
        <v>300</v>
      </c>
      <c r="D29" s="16">
        <v>990</v>
      </c>
      <c r="E29" s="16">
        <v>31</v>
      </c>
      <c r="F29" s="16">
        <v>16.5</v>
      </c>
      <c r="G29" s="16">
        <v>30</v>
      </c>
      <c r="H29" s="16">
        <v>0</v>
      </c>
      <c r="I29" s="16">
        <v>3</v>
      </c>
      <c r="J29" s="16">
        <v>7</v>
      </c>
      <c r="K29" s="24">
        <v>0.4</v>
      </c>
      <c r="L29" s="24">
        <v>30</v>
      </c>
      <c r="M29" s="24">
        <v>2735.1258242423705</v>
      </c>
      <c r="N29" s="24">
        <v>961.70186858712566</v>
      </c>
      <c r="O29" s="24">
        <v>63.632057217654925</v>
      </c>
      <c r="P29" s="24">
        <v>350</v>
      </c>
      <c r="Q29" s="24">
        <v>690</v>
      </c>
      <c r="R29" s="16">
        <v>210000</v>
      </c>
      <c r="S29" s="16"/>
      <c r="T29" s="16"/>
      <c r="U29" s="25">
        <v>0</v>
      </c>
      <c r="V29" s="25">
        <v>5.0389999999999358</v>
      </c>
      <c r="W29" s="16"/>
      <c r="AA29" t="e">
        <f t="shared" si="5"/>
        <v>#DIV/0!</v>
      </c>
      <c r="AB29" t="e">
        <f t="shared" si="0"/>
        <v>#N/A</v>
      </c>
      <c r="AC29">
        <f t="shared" si="1"/>
        <v>0</v>
      </c>
      <c r="AD29" t="e">
        <f t="shared" si="2"/>
        <v>#N/A</v>
      </c>
      <c r="AE29" t="e">
        <f t="shared" si="3"/>
        <v>#N/A</v>
      </c>
      <c r="AF29" t="e">
        <f t="shared" si="4"/>
        <v>#N/A</v>
      </c>
    </row>
    <row r="30" spans="1:32" ht="18.75" x14ac:dyDescent="0.3">
      <c r="A30" s="16">
        <v>27</v>
      </c>
      <c r="B30" s="16" t="s">
        <v>554</v>
      </c>
      <c r="C30" s="16">
        <v>64</v>
      </c>
      <c r="D30" s="16">
        <v>120</v>
      </c>
      <c r="E30" s="16">
        <v>6.3</v>
      </c>
      <c r="F30" s="16">
        <v>4.4000000000000004</v>
      </c>
      <c r="G30" s="16">
        <v>7</v>
      </c>
      <c r="H30" s="16">
        <v>0</v>
      </c>
      <c r="I30" s="16">
        <v>3</v>
      </c>
      <c r="J30" s="16">
        <v>7</v>
      </c>
      <c r="K30" s="24">
        <v>0.4</v>
      </c>
      <c r="L30" s="24">
        <v>30</v>
      </c>
      <c r="M30" s="24">
        <v>92.713095499439433</v>
      </c>
      <c r="N30" s="24">
        <v>4.0528631690320633</v>
      </c>
      <c r="O30" s="24">
        <v>0.52329900740814239</v>
      </c>
      <c r="P30" s="24">
        <v>450</v>
      </c>
      <c r="Q30" s="24">
        <v>690</v>
      </c>
      <c r="R30" s="16">
        <v>210000</v>
      </c>
      <c r="S30" s="16"/>
      <c r="T30" s="16"/>
      <c r="U30" s="25">
        <v>0</v>
      </c>
      <c r="V30" s="25">
        <v>4.9389999999999379</v>
      </c>
      <c r="W30" s="16"/>
      <c r="AA30" t="e">
        <f t="shared" si="5"/>
        <v>#DIV/0!</v>
      </c>
      <c r="AB30" t="e">
        <f t="shared" si="0"/>
        <v>#N/A</v>
      </c>
      <c r="AC30" t="e">
        <f t="shared" si="1"/>
        <v>#N/A</v>
      </c>
      <c r="AD30">
        <f t="shared" si="2"/>
        <v>0</v>
      </c>
      <c r="AE30" t="e">
        <f t="shared" si="3"/>
        <v>#N/A</v>
      </c>
      <c r="AF30" t="e">
        <f t="shared" si="4"/>
        <v>#N/A</v>
      </c>
    </row>
    <row r="31" spans="1:32" ht="18.75" x14ac:dyDescent="0.3">
      <c r="A31" s="16">
        <v>28</v>
      </c>
      <c r="B31" s="16" t="s">
        <v>557</v>
      </c>
      <c r="C31" s="16">
        <v>110</v>
      </c>
      <c r="D31" s="16">
        <v>220</v>
      </c>
      <c r="E31" s="16">
        <v>9.1999999999999993</v>
      </c>
      <c r="F31" s="16">
        <v>5.9</v>
      </c>
      <c r="G31" s="16">
        <v>12</v>
      </c>
      <c r="H31" s="16">
        <v>0</v>
      </c>
      <c r="I31" s="16">
        <v>3</v>
      </c>
      <c r="J31" s="16">
        <v>7</v>
      </c>
      <c r="K31" s="24">
        <v>0.4</v>
      </c>
      <c r="L31" s="24">
        <v>30</v>
      </c>
      <c r="M31" s="24">
        <v>234.20374960068497</v>
      </c>
      <c r="N31" s="24">
        <v>19.048345589577405</v>
      </c>
      <c r="O31" s="24">
        <v>2.2391718289975424</v>
      </c>
      <c r="P31" s="24">
        <v>450</v>
      </c>
      <c r="Q31" s="24">
        <v>690</v>
      </c>
      <c r="R31" s="16">
        <v>210000</v>
      </c>
      <c r="S31" s="16"/>
      <c r="T31" s="16"/>
      <c r="U31" s="25">
        <v>0</v>
      </c>
      <c r="V31" s="25">
        <v>4.9289999999999381</v>
      </c>
      <c r="W31" s="16"/>
      <c r="AA31" t="e">
        <f t="shared" si="5"/>
        <v>#DIV/0!</v>
      </c>
      <c r="AB31" t="e">
        <f t="shared" si="0"/>
        <v>#N/A</v>
      </c>
      <c r="AC31" t="e">
        <f t="shared" si="1"/>
        <v>#N/A</v>
      </c>
      <c r="AD31">
        <f t="shared" si="2"/>
        <v>0</v>
      </c>
      <c r="AE31" t="e">
        <f t="shared" si="3"/>
        <v>#N/A</v>
      </c>
      <c r="AF31" t="e">
        <f t="shared" si="4"/>
        <v>#N/A</v>
      </c>
    </row>
    <row r="32" spans="1:32" ht="18.75" x14ac:dyDescent="0.3">
      <c r="A32" s="16">
        <v>29</v>
      </c>
      <c r="B32" s="16" t="s">
        <v>558</v>
      </c>
      <c r="C32" s="16">
        <v>135</v>
      </c>
      <c r="D32" s="16">
        <v>270</v>
      </c>
      <c r="E32" s="16">
        <v>10.199999999999999</v>
      </c>
      <c r="F32" s="16">
        <v>6.6</v>
      </c>
      <c r="G32" s="16">
        <v>15</v>
      </c>
      <c r="H32" s="16">
        <v>0</v>
      </c>
      <c r="I32" s="16">
        <v>3</v>
      </c>
      <c r="J32" s="16">
        <v>7</v>
      </c>
      <c r="K32" s="24">
        <v>0.4</v>
      </c>
      <c r="L32" s="24">
        <v>30</v>
      </c>
      <c r="M32" s="24">
        <v>322.45525315107028</v>
      </c>
      <c r="N32" s="24">
        <v>32.302539419952033</v>
      </c>
      <c r="O32" s="24">
        <v>3.7357857017973575</v>
      </c>
      <c r="P32" s="24">
        <v>450</v>
      </c>
      <c r="Q32" s="24">
        <v>690</v>
      </c>
      <c r="R32" s="16">
        <v>210000</v>
      </c>
      <c r="S32" s="16"/>
      <c r="T32" s="16"/>
      <c r="U32" s="25">
        <v>0</v>
      </c>
      <c r="V32" s="25">
        <v>4.9289999999999381</v>
      </c>
      <c r="W32" s="16"/>
      <c r="AA32" t="e">
        <f t="shared" si="5"/>
        <v>#DIV/0!</v>
      </c>
      <c r="AB32" t="e">
        <f t="shared" si="0"/>
        <v>#N/A</v>
      </c>
      <c r="AC32" t="e">
        <f t="shared" si="1"/>
        <v>#N/A</v>
      </c>
      <c r="AD32">
        <f t="shared" si="2"/>
        <v>0</v>
      </c>
      <c r="AE32" t="e">
        <f t="shared" si="3"/>
        <v>#N/A</v>
      </c>
      <c r="AF32" t="e">
        <f t="shared" si="4"/>
        <v>#N/A</v>
      </c>
    </row>
    <row r="33" spans="1:32" ht="18.75" x14ac:dyDescent="0.3">
      <c r="A33" s="16">
        <v>30</v>
      </c>
      <c r="B33" s="16" t="s">
        <v>559</v>
      </c>
      <c r="C33" s="16">
        <v>170</v>
      </c>
      <c r="D33" s="16">
        <v>360</v>
      </c>
      <c r="E33" s="16">
        <v>12.7</v>
      </c>
      <c r="F33" s="16">
        <v>8</v>
      </c>
      <c r="G33" s="16">
        <v>18</v>
      </c>
      <c r="H33" s="16">
        <v>0</v>
      </c>
      <c r="I33" s="16">
        <v>3</v>
      </c>
      <c r="J33" s="16">
        <v>7</v>
      </c>
      <c r="K33" s="24">
        <v>0.4</v>
      </c>
      <c r="L33" s="24">
        <v>30</v>
      </c>
      <c r="M33" s="24">
        <v>510.43458471582693</v>
      </c>
      <c r="N33" s="24">
        <v>68.019112314876253</v>
      </c>
      <c r="O33" s="24">
        <v>7.3636424162294114</v>
      </c>
      <c r="P33" s="24">
        <v>450</v>
      </c>
      <c r="Q33" s="24">
        <v>690</v>
      </c>
      <c r="R33" s="16">
        <v>210000</v>
      </c>
      <c r="S33" s="16"/>
      <c r="T33" s="16"/>
      <c r="U33" s="25">
        <v>0</v>
      </c>
      <c r="V33" s="25">
        <v>4.9389999999999379</v>
      </c>
      <c r="W33" s="16"/>
      <c r="AA33" t="e">
        <f t="shared" si="5"/>
        <v>#DIV/0!</v>
      </c>
      <c r="AB33" t="e">
        <f t="shared" si="0"/>
        <v>#N/A</v>
      </c>
      <c r="AC33" t="e">
        <f t="shared" si="1"/>
        <v>#N/A</v>
      </c>
      <c r="AD33">
        <f t="shared" si="2"/>
        <v>0</v>
      </c>
      <c r="AE33" t="e">
        <f t="shared" si="3"/>
        <v>#N/A</v>
      </c>
      <c r="AF33" t="e">
        <f t="shared" si="4"/>
        <v>#N/A</v>
      </c>
    </row>
    <row r="34" spans="1:32" ht="18.75" x14ac:dyDescent="0.3">
      <c r="A34" s="16">
        <v>31</v>
      </c>
      <c r="B34" s="16" t="s">
        <v>560</v>
      </c>
      <c r="C34" s="16">
        <v>180</v>
      </c>
      <c r="D34" s="16">
        <v>400</v>
      </c>
      <c r="E34" s="16">
        <v>13.5</v>
      </c>
      <c r="F34" s="16">
        <v>8.6</v>
      </c>
      <c r="G34" s="16">
        <v>21</v>
      </c>
      <c r="H34" s="16">
        <v>0</v>
      </c>
      <c r="I34" s="16">
        <v>3</v>
      </c>
      <c r="J34" s="16">
        <v>7</v>
      </c>
      <c r="K34" s="24">
        <v>0.4</v>
      </c>
      <c r="L34" s="24">
        <v>30</v>
      </c>
      <c r="M34" s="24">
        <v>592.78951160924066</v>
      </c>
      <c r="N34" s="24">
        <v>87.240631803164135</v>
      </c>
      <c r="O34" s="24">
        <v>8.8240821357178696</v>
      </c>
      <c r="P34" s="24">
        <v>450</v>
      </c>
      <c r="Q34" s="24">
        <v>690</v>
      </c>
      <c r="R34" s="16">
        <v>210000</v>
      </c>
      <c r="S34" s="16"/>
      <c r="T34" s="16"/>
      <c r="U34" s="25">
        <v>0</v>
      </c>
      <c r="V34" s="25">
        <v>4.9589999999999375</v>
      </c>
      <c r="W34" s="16"/>
      <c r="AA34" t="e">
        <f t="shared" si="5"/>
        <v>#DIV/0!</v>
      </c>
      <c r="AB34" t="e">
        <f t="shared" si="0"/>
        <v>#N/A</v>
      </c>
      <c r="AC34" t="e">
        <f t="shared" si="1"/>
        <v>#N/A</v>
      </c>
      <c r="AD34">
        <f t="shared" si="2"/>
        <v>0</v>
      </c>
      <c r="AE34" t="e">
        <f t="shared" si="3"/>
        <v>#N/A</v>
      </c>
      <c r="AF34" t="e">
        <f t="shared" si="4"/>
        <v>#N/A</v>
      </c>
    </row>
    <row r="35" spans="1:32" ht="18.75" x14ac:dyDescent="0.3">
      <c r="A35" s="16">
        <v>32</v>
      </c>
      <c r="B35" s="16" t="s">
        <v>561</v>
      </c>
      <c r="C35" s="16">
        <v>220</v>
      </c>
      <c r="D35" s="16">
        <v>600</v>
      </c>
      <c r="E35" s="16">
        <v>19</v>
      </c>
      <c r="F35" s="16">
        <v>12</v>
      </c>
      <c r="G35" s="16">
        <v>24</v>
      </c>
      <c r="H35" s="16">
        <v>0</v>
      </c>
      <c r="I35" s="16">
        <v>3</v>
      </c>
      <c r="J35" s="16">
        <v>7</v>
      </c>
      <c r="K35" s="24">
        <v>0.4</v>
      </c>
      <c r="L35" s="24">
        <v>30</v>
      </c>
      <c r="M35" s="24">
        <v>1094.7432708598828</v>
      </c>
      <c r="N35" s="24">
        <v>234.42185461944533</v>
      </c>
      <c r="O35" s="24">
        <v>18.713554230783018</v>
      </c>
      <c r="P35" s="24">
        <v>450</v>
      </c>
      <c r="Q35" s="24">
        <v>690</v>
      </c>
      <c r="R35" s="16">
        <v>210000</v>
      </c>
      <c r="S35" s="16"/>
      <c r="T35" s="16"/>
      <c r="U35" s="25">
        <v>0</v>
      </c>
      <c r="V35" s="25">
        <v>5.0189999999999362</v>
      </c>
      <c r="W35" s="16"/>
      <c r="AA35" t="e">
        <f t="shared" si="5"/>
        <v>#DIV/0!</v>
      </c>
      <c r="AB35" t="e">
        <f t="shared" si="0"/>
        <v>#N/A</v>
      </c>
      <c r="AC35" t="e">
        <f t="shared" si="1"/>
        <v>#N/A</v>
      </c>
      <c r="AD35">
        <f t="shared" si="2"/>
        <v>0</v>
      </c>
      <c r="AE35" t="e">
        <f t="shared" si="3"/>
        <v>#N/A</v>
      </c>
      <c r="AF35" t="e">
        <f t="shared" si="4"/>
        <v>#N/A</v>
      </c>
    </row>
    <row r="36" spans="1:32" ht="18.75" x14ac:dyDescent="0.3">
      <c r="A36" s="16">
        <v>33</v>
      </c>
      <c r="B36" s="16" t="s">
        <v>562</v>
      </c>
      <c r="C36" s="16">
        <v>120</v>
      </c>
      <c r="D36" s="16">
        <v>114</v>
      </c>
      <c r="E36" s="16">
        <v>8</v>
      </c>
      <c r="F36" s="16">
        <v>5</v>
      </c>
      <c r="G36" s="16">
        <v>12</v>
      </c>
      <c r="H36" s="16">
        <v>0</v>
      </c>
      <c r="I36" s="16">
        <v>3</v>
      </c>
      <c r="J36" s="16">
        <v>7</v>
      </c>
      <c r="K36" s="24">
        <v>0.4</v>
      </c>
      <c r="L36" s="24">
        <v>30</v>
      </c>
      <c r="M36" s="24">
        <v>177.81603485782787</v>
      </c>
      <c r="N36" s="24">
        <v>7.9749483767849805</v>
      </c>
      <c r="O36" s="24">
        <v>2.2677807479668703</v>
      </c>
      <c r="P36" s="24">
        <v>450</v>
      </c>
      <c r="Q36" s="24">
        <v>690</v>
      </c>
      <c r="R36" s="16">
        <v>210000</v>
      </c>
      <c r="S36" s="16"/>
      <c r="T36" s="16"/>
      <c r="U36" s="25">
        <v>0</v>
      </c>
      <c r="V36" s="25">
        <v>4.7589999999999417</v>
      </c>
      <c r="W36" s="16"/>
      <c r="AA36" t="e">
        <f t="shared" ref="AA36:AA68" si="6">SQRT(V36/U36)</f>
        <v>#DIV/0!</v>
      </c>
      <c r="AB36" t="e">
        <f t="shared" ref="AB36:AB68" si="7">IF(P36=20,S36/V36,NA())</f>
        <v>#N/A</v>
      </c>
      <c r="AC36" t="e">
        <f t="shared" ref="AC36:AC68" si="8">IF(P36=350,S36/V36,NA())</f>
        <v>#N/A</v>
      </c>
      <c r="AD36">
        <f t="shared" ref="AD36:AD68" si="9">IF(P36=450,S36/V36,NA())</f>
        <v>0</v>
      </c>
      <c r="AE36" t="e">
        <f t="shared" ref="AE36:AE68" si="10">IF(P36=550,S36/V36,NA())</f>
        <v>#N/A</v>
      </c>
      <c r="AF36" t="e">
        <f t="shared" ref="AF36:AF68" si="11">IF(P36=700,S36/V36,NA())</f>
        <v>#N/A</v>
      </c>
    </row>
    <row r="37" spans="1:32" ht="18.75" x14ac:dyDescent="0.3">
      <c r="A37" s="16">
        <v>34</v>
      </c>
      <c r="B37" s="16" t="s">
        <v>563</v>
      </c>
      <c r="C37" s="16">
        <v>240</v>
      </c>
      <c r="D37" s="16">
        <v>230</v>
      </c>
      <c r="E37" s="16">
        <v>12</v>
      </c>
      <c r="F37" s="16">
        <v>7.5</v>
      </c>
      <c r="G37" s="16">
        <v>21</v>
      </c>
      <c r="H37" s="16">
        <v>0</v>
      </c>
      <c r="I37" s="16">
        <v>3</v>
      </c>
      <c r="J37" s="16">
        <v>7</v>
      </c>
      <c r="K37" s="16">
        <v>0.4</v>
      </c>
      <c r="L37" s="16">
        <v>30</v>
      </c>
      <c r="M37" s="16">
        <v>539.25402818066914</v>
      </c>
      <c r="N37" s="16">
        <v>49.697064642598257</v>
      </c>
      <c r="O37" s="16">
        <v>13.551776774661587</v>
      </c>
      <c r="P37" s="16">
        <v>450</v>
      </c>
      <c r="Q37" s="16">
        <v>690</v>
      </c>
      <c r="R37" s="16">
        <v>210000</v>
      </c>
      <c r="S37" s="16"/>
      <c r="T37" s="16"/>
      <c r="U37" s="25">
        <v>0</v>
      </c>
      <c r="V37" s="25">
        <v>4.7489999999999419</v>
      </c>
      <c r="W37" s="16"/>
      <c r="AA37" t="e">
        <f t="shared" si="6"/>
        <v>#DIV/0!</v>
      </c>
      <c r="AB37" t="e">
        <f t="shared" si="7"/>
        <v>#N/A</v>
      </c>
      <c r="AC37" t="e">
        <f t="shared" si="8"/>
        <v>#N/A</v>
      </c>
      <c r="AD37">
        <f t="shared" si="9"/>
        <v>0</v>
      </c>
      <c r="AE37" t="e">
        <f t="shared" si="10"/>
        <v>#N/A</v>
      </c>
      <c r="AF37" t="e">
        <f t="shared" si="11"/>
        <v>#N/A</v>
      </c>
    </row>
    <row r="38" spans="1:32" ht="18.75" x14ac:dyDescent="0.3">
      <c r="A38" s="16">
        <v>35</v>
      </c>
      <c r="B38" s="16" t="s">
        <v>564</v>
      </c>
      <c r="C38" s="16">
        <v>300</v>
      </c>
      <c r="D38" s="16">
        <v>290</v>
      </c>
      <c r="E38" s="16">
        <v>14</v>
      </c>
      <c r="F38" s="16">
        <v>8.5</v>
      </c>
      <c r="G38" s="16">
        <v>27</v>
      </c>
      <c r="H38" s="16">
        <v>0</v>
      </c>
      <c r="I38" s="16">
        <v>3</v>
      </c>
      <c r="J38" s="16">
        <v>7</v>
      </c>
      <c r="K38" s="16">
        <v>0.4</v>
      </c>
      <c r="L38" s="16">
        <v>30</v>
      </c>
      <c r="M38" s="16">
        <v>789.75217789632484</v>
      </c>
      <c r="N38" s="16">
        <v>92.321232102609841</v>
      </c>
      <c r="O38" s="16">
        <v>24.70608857316217</v>
      </c>
      <c r="P38" s="16">
        <v>450</v>
      </c>
      <c r="Q38" s="16">
        <v>690</v>
      </c>
      <c r="R38" s="16">
        <v>210000</v>
      </c>
      <c r="S38" s="16"/>
      <c r="T38" s="16"/>
      <c r="U38" s="25">
        <v>0</v>
      </c>
      <c r="V38" s="25">
        <v>4.7289999999999424</v>
      </c>
      <c r="W38" s="16"/>
      <c r="AA38" t="e">
        <f t="shared" si="6"/>
        <v>#DIV/0!</v>
      </c>
      <c r="AB38" t="e">
        <f t="shared" si="7"/>
        <v>#N/A</v>
      </c>
      <c r="AC38" t="e">
        <f t="shared" si="8"/>
        <v>#N/A</v>
      </c>
      <c r="AD38">
        <f t="shared" si="9"/>
        <v>0</v>
      </c>
      <c r="AE38" t="e">
        <f t="shared" si="10"/>
        <v>#N/A</v>
      </c>
      <c r="AF38" t="e">
        <f t="shared" si="11"/>
        <v>#N/A</v>
      </c>
    </row>
    <row r="39" spans="1:32" ht="18.75" x14ac:dyDescent="0.3">
      <c r="A39" s="16">
        <v>36</v>
      </c>
      <c r="B39" s="16" t="s">
        <v>565</v>
      </c>
      <c r="C39" s="16">
        <v>300</v>
      </c>
      <c r="D39" s="16">
        <v>390</v>
      </c>
      <c r="E39" s="16">
        <v>19</v>
      </c>
      <c r="F39" s="16">
        <v>11</v>
      </c>
      <c r="G39" s="16">
        <v>27</v>
      </c>
      <c r="H39" s="16">
        <v>0</v>
      </c>
      <c r="I39" s="16">
        <v>3</v>
      </c>
      <c r="J39" s="16">
        <v>7</v>
      </c>
      <c r="K39" s="16">
        <v>0.4</v>
      </c>
      <c r="L39" s="16">
        <v>30</v>
      </c>
      <c r="M39" s="16">
        <v>1115.7515493248964</v>
      </c>
      <c r="N39" s="16">
        <v>170.97760206685021</v>
      </c>
      <c r="O39" s="16">
        <v>33.634116359199751</v>
      </c>
      <c r="P39" s="16">
        <v>450</v>
      </c>
      <c r="Q39" s="16">
        <v>690</v>
      </c>
      <c r="R39" s="16">
        <v>210000</v>
      </c>
      <c r="S39" s="16"/>
      <c r="T39" s="16"/>
      <c r="U39" s="25">
        <v>0</v>
      </c>
      <c r="V39" s="25">
        <v>4.7889999999999411</v>
      </c>
      <c r="W39" s="16"/>
      <c r="AA39" t="e">
        <f t="shared" si="6"/>
        <v>#DIV/0!</v>
      </c>
      <c r="AB39" t="e">
        <f t="shared" si="7"/>
        <v>#N/A</v>
      </c>
      <c r="AC39" t="e">
        <f t="shared" si="8"/>
        <v>#N/A</v>
      </c>
      <c r="AD39">
        <f t="shared" si="9"/>
        <v>0</v>
      </c>
      <c r="AE39" t="e">
        <f t="shared" si="10"/>
        <v>#N/A</v>
      </c>
      <c r="AF39" t="e">
        <f t="shared" si="11"/>
        <v>#N/A</v>
      </c>
    </row>
    <row r="40" spans="1:32" ht="18.75" x14ac:dyDescent="0.3">
      <c r="A40" s="16">
        <v>37</v>
      </c>
      <c r="B40" s="16" t="s">
        <v>566</v>
      </c>
      <c r="C40" s="16">
        <v>300</v>
      </c>
      <c r="D40" s="16">
        <v>490</v>
      </c>
      <c r="E40" s="16">
        <v>23</v>
      </c>
      <c r="F40" s="16">
        <v>12</v>
      </c>
      <c r="G40" s="16">
        <v>27</v>
      </c>
      <c r="H40" s="16">
        <v>0</v>
      </c>
      <c r="I40" s="16">
        <v>3</v>
      </c>
      <c r="J40" s="16">
        <v>7</v>
      </c>
      <c r="K40" s="24">
        <v>0.4</v>
      </c>
      <c r="L40" s="24">
        <v>30</v>
      </c>
      <c r="M40" s="24">
        <v>1386.3766464677535</v>
      </c>
      <c r="N40" s="24">
        <v>263.551537834736</v>
      </c>
      <c r="O40" s="24">
        <v>40.787736701573081</v>
      </c>
      <c r="P40" s="24">
        <v>450</v>
      </c>
      <c r="Q40" s="24">
        <v>690</v>
      </c>
      <c r="R40" s="16">
        <v>210000</v>
      </c>
      <c r="S40" s="16"/>
      <c r="T40" s="16"/>
      <c r="U40" s="25">
        <v>0</v>
      </c>
      <c r="V40" s="25">
        <v>4.8089999999999407</v>
      </c>
      <c r="W40" s="16"/>
      <c r="AA40" t="e">
        <f t="shared" si="6"/>
        <v>#DIV/0!</v>
      </c>
      <c r="AB40" t="e">
        <f t="shared" si="7"/>
        <v>#N/A</v>
      </c>
      <c r="AC40" t="e">
        <f t="shared" si="8"/>
        <v>#N/A</v>
      </c>
      <c r="AD40">
        <f t="shared" si="9"/>
        <v>0</v>
      </c>
      <c r="AE40" t="e">
        <f t="shared" si="10"/>
        <v>#N/A</v>
      </c>
      <c r="AF40" t="e">
        <f t="shared" si="11"/>
        <v>#N/A</v>
      </c>
    </row>
    <row r="41" spans="1:32" ht="18.75" x14ac:dyDescent="0.3">
      <c r="A41" s="16">
        <v>38</v>
      </c>
      <c r="B41" s="16" t="s">
        <v>567</v>
      </c>
      <c r="C41" s="16">
        <v>300</v>
      </c>
      <c r="D41" s="16">
        <v>590</v>
      </c>
      <c r="E41" s="16">
        <v>24</v>
      </c>
      <c r="F41" s="16">
        <v>13</v>
      </c>
      <c r="G41" s="16">
        <v>27</v>
      </c>
      <c r="H41" s="16">
        <v>0</v>
      </c>
      <c r="I41" s="16">
        <v>3</v>
      </c>
      <c r="J41" s="16">
        <v>7</v>
      </c>
      <c r="K41" s="24">
        <v>0.4</v>
      </c>
      <c r="L41" s="24">
        <v>30</v>
      </c>
      <c r="M41" s="24">
        <v>1549.0605093248967</v>
      </c>
      <c r="N41" s="24">
        <v>346.77037888877493</v>
      </c>
      <c r="O41" s="24">
        <v>42.800256520401817</v>
      </c>
      <c r="P41" s="24">
        <v>450</v>
      </c>
      <c r="Q41" s="24">
        <v>690</v>
      </c>
      <c r="R41" s="16">
        <v>210000</v>
      </c>
      <c r="S41" s="16"/>
      <c r="T41" s="16"/>
      <c r="U41" s="25">
        <v>0</v>
      </c>
      <c r="V41" s="25">
        <v>4.8689999999999394</v>
      </c>
      <c r="W41" s="16"/>
      <c r="AA41" t="e">
        <f t="shared" si="6"/>
        <v>#DIV/0!</v>
      </c>
      <c r="AB41" t="e">
        <f t="shared" si="7"/>
        <v>#N/A</v>
      </c>
      <c r="AC41" t="e">
        <f t="shared" si="8"/>
        <v>#N/A</v>
      </c>
      <c r="AD41">
        <f t="shared" si="9"/>
        <v>0</v>
      </c>
      <c r="AE41" t="e">
        <f t="shared" si="10"/>
        <v>#N/A</v>
      </c>
      <c r="AF41" t="e">
        <f t="shared" si="11"/>
        <v>#N/A</v>
      </c>
    </row>
    <row r="42" spans="1:32" ht="18.75" x14ac:dyDescent="0.3">
      <c r="A42" s="16">
        <v>39</v>
      </c>
      <c r="B42" s="16" t="s">
        <v>568</v>
      </c>
      <c r="C42" s="16">
        <v>300</v>
      </c>
      <c r="D42" s="16">
        <v>990</v>
      </c>
      <c r="E42" s="16">
        <v>31</v>
      </c>
      <c r="F42" s="16">
        <v>16.5</v>
      </c>
      <c r="G42" s="16">
        <v>30</v>
      </c>
      <c r="H42" s="16">
        <v>0</v>
      </c>
      <c r="I42" s="16">
        <v>3</v>
      </c>
      <c r="J42" s="16">
        <v>7</v>
      </c>
      <c r="K42" s="24">
        <v>0.4</v>
      </c>
      <c r="L42" s="24">
        <v>30</v>
      </c>
      <c r="M42" s="24">
        <v>2434.26198357571</v>
      </c>
      <c r="N42" s="24">
        <v>855.91466304254197</v>
      </c>
      <c r="O42" s="24">
        <v>56.632530923712878</v>
      </c>
      <c r="P42" s="24">
        <v>450</v>
      </c>
      <c r="Q42" s="24">
        <v>690</v>
      </c>
      <c r="R42" s="16">
        <v>210000</v>
      </c>
      <c r="S42" s="16"/>
      <c r="T42" s="16"/>
      <c r="U42" s="25">
        <v>0</v>
      </c>
      <c r="V42" s="25">
        <v>5.028999999999936</v>
      </c>
      <c r="W42" s="16"/>
      <c r="AA42" t="e">
        <f t="shared" si="6"/>
        <v>#DIV/0!</v>
      </c>
      <c r="AB42" t="e">
        <f t="shared" si="7"/>
        <v>#N/A</v>
      </c>
      <c r="AC42" t="e">
        <f t="shared" si="8"/>
        <v>#N/A</v>
      </c>
      <c r="AD42">
        <f t="shared" si="9"/>
        <v>0</v>
      </c>
      <c r="AE42" t="e">
        <f t="shared" si="10"/>
        <v>#N/A</v>
      </c>
      <c r="AF42" t="e">
        <f t="shared" si="11"/>
        <v>#N/A</v>
      </c>
    </row>
    <row r="43" spans="1:32" ht="18.75" x14ac:dyDescent="0.3">
      <c r="A43" s="16">
        <v>40</v>
      </c>
      <c r="B43" s="16" t="s">
        <v>554</v>
      </c>
      <c r="C43" s="16">
        <v>64</v>
      </c>
      <c r="D43" s="16">
        <v>120</v>
      </c>
      <c r="E43" s="16">
        <v>6.3</v>
      </c>
      <c r="F43" s="16">
        <v>4.4000000000000004</v>
      </c>
      <c r="G43" s="16">
        <v>7</v>
      </c>
      <c r="H43" s="16">
        <v>0</v>
      </c>
      <c r="I43" s="16">
        <v>3</v>
      </c>
      <c r="J43" s="16">
        <v>7</v>
      </c>
      <c r="K43" s="24">
        <v>0.4</v>
      </c>
      <c r="L43" s="24">
        <v>30</v>
      </c>
      <c r="M43" s="24">
        <v>65.107510884437801</v>
      </c>
      <c r="N43" s="24">
        <v>2.8461117760056633</v>
      </c>
      <c r="O43" s="24">
        <v>0.3674852580113358</v>
      </c>
      <c r="P43" s="24">
        <v>550</v>
      </c>
      <c r="Q43" s="24">
        <v>690</v>
      </c>
      <c r="R43" s="16">
        <v>210000</v>
      </c>
      <c r="S43" s="16"/>
      <c r="T43" s="16"/>
      <c r="U43" s="25">
        <v>0</v>
      </c>
      <c r="V43" s="25">
        <v>4.9389999999999379</v>
      </c>
      <c r="W43" s="16"/>
      <c r="AA43" t="e">
        <f t="shared" si="6"/>
        <v>#DIV/0!</v>
      </c>
      <c r="AB43" t="e">
        <f t="shared" si="7"/>
        <v>#N/A</v>
      </c>
      <c r="AC43" t="e">
        <f t="shared" si="8"/>
        <v>#N/A</v>
      </c>
      <c r="AD43" t="e">
        <f t="shared" si="9"/>
        <v>#N/A</v>
      </c>
      <c r="AE43">
        <f t="shared" si="10"/>
        <v>0</v>
      </c>
      <c r="AF43" t="e">
        <f t="shared" si="11"/>
        <v>#N/A</v>
      </c>
    </row>
    <row r="44" spans="1:32" ht="18.75" x14ac:dyDescent="0.3">
      <c r="A44" s="16">
        <v>41</v>
      </c>
      <c r="B44" s="16" t="s">
        <v>557</v>
      </c>
      <c r="C44" s="16">
        <v>110</v>
      </c>
      <c r="D44" s="16">
        <v>220</v>
      </c>
      <c r="E44" s="16">
        <v>9.1999999999999993</v>
      </c>
      <c r="F44" s="16">
        <v>5.9</v>
      </c>
      <c r="G44" s="16">
        <v>12</v>
      </c>
      <c r="H44" s="16">
        <v>0</v>
      </c>
      <c r="I44" s="16">
        <v>3</v>
      </c>
      <c r="J44" s="16">
        <v>7</v>
      </c>
      <c r="K44" s="24">
        <v>0.4</v>
      </c>
      <c r="L44" s="24">
        <v>30</v>
      </c>
      <c r="M44" s="24">
        <v>164.46892528137985</v>
      </c>
      <c r="N44" s="24">
        <v>13.376647183692002</v>
      </c>
      <c r="O44" s="24">
        <v>1.572452127105016</v>
      </c>
      <c r="P44" s="24">
        <v>550</v>
      </c>
      <c r="Q44" s="24">
        <v>690</v>
      </c>
      <c r="R44" s="16">
        <v>210000</v>
      </c>
      <c r="S44" s="16"/>
      <c r="T44" s="16"/>
      <c r="U44" s="25">
        <v>0</v>
      </c>
      <c r="V44" s="25">
        <v>4.9289999999999381</v>
      </c>
      <c r="W44" s="16"/>
      <c r="AA44" t="e">
        <f t="shared" si="6"/>
        <v>#DIV/0!</v>
      </c>
      <c r="AB44" t="e">
        <f t="shared" si="7"/>
        <v>#N/A</v>
      </c>
      <c r="AC44" t="e">
        <f t="shared" si="8"/>
        <v>#N/A</v>
      </c>
      <c r="AD44" t="e">
        <f t="shared" si="9"/>
        <v>#N/A</v>
      </c>
      <c r="AE44">
        <f t="shared" si="10"/>
        <v>0</v>
      </c>
      <c r="AF44" t="e">
        <f t="shared" si="11"/>
        <v>#N/A</v>
      </c>
    </row>
    <row r="45" spans="1:32" ht="18.75" x14ac:dyDescent="0.3">
      <c r="A45" s="16">
        <v>42</v>
      </c>
      <c r="B45" s="16" t="s">
        <v>558</v>
      </c>
      <c r="C45" s="16">
        <v>135</v>
      </c>
      <c r="D45" s="16">
        <v>270</v>
      </c>
      <c r="E45" s="16">
        <v>10.199999999999999</v>
      </c>
      <c r="F45" s="16">
        <v>6.6</v>
      </c>
      <c r="G45" s="16">
        <v>15</v>
      </c>
      <c r="H45" s="16">
        <v>0</v>
      </c>
      <c r="I45" s="16">
        <v>3</v>
      </c>
      <c r="J45" s="16">
        <v>7</v>
      </c>
      <c r="K45" s="24">
        <v>0.4</v>
      </c>
      <c r="L45" s="24">
        <v>30</v>
      </c>
      <c r="M45" s="24">
        <v>226.44329575215608</v>
      </c>
      <c r="N45" s="24">
        <v>22.684367570191036</v>
      </c>
      <c r="O45" s="24">
        <v>2.6234450153071331</v>
      </c>
      <c r="P45" s="24">
        <v>550</v>
      </c>
      <c r="Q45" s="24">
        <v>690</v>
      </c>
      <c r="R45" s="16">
        <v>210000</v>
      </c>
      <c r="S45" s="16"/>
      <c r="T45" s="16"/>
      <c r="U45" s="25">
        <v>0</v>
      </c>
      <c r="V45" s="25">
        <v>4.9289999999999381</v>
      </c>
      <c r="W45" s="16"/>
      <c r="AA45" t="e">
        <f t="shared" si="6"/>
        <v>#DIV/0!</v>
      </c>
      <c r="AB45" t="e">
        <f t="shared" si="7"/>
        <v>#N/A</v>
      </c>
      <c r="AC45" t="e">
        <f t="shared" si="8"/>
        <v>#N/A</v>
      </c>
      <c r="AD45" t="e">
        <f t="shared" si="9"/>
        <v>#N/A</v>
      </c>
      <c r="AE45">
        <f t="shared" si="10"/>
        <v>0</v>
      </c>
      <c r="AF45" t="e">
        <f t="shared" si="11"/>
        <v>#N/A</v>
      </c>
    </row>
    <row r="46" spans="1:32" ht="18.75" x14ac:dyDescent="0.3">
      <c r="A46" s="16">
        <v>43</v>
      </c>
      <c r="B46" s="16" t="s">
        <v>559</v>
      </c>
      <c r="C46" s="16">
        <v>170</v>
      </c>
      <c r="D46" s="16">
        <v>360</v>
      </c>
      <c r="E46" s="16">
        <v>12.7</v>
      </c>
      <c r="F46" s="16">
        <v>8</v>
      </c>
      <c r="G46" s="16">
        <v>18</v>
      </c>
      <c r="H46" s="16">
        <v>0</v>
      </c>
      <c r="I46" s="16">
        <v>3</v>
      </c>
      <c r="J46" s="16">
        <v>7</v>
      </c>
      <c r="K46" s="24">
        <v>0.4</v>
      </c>
      <c r="L46" s="24">
        <v>30</v>
      </c>
      <c r="M46" s="24">
        <v>358.45125331167623</v>
      </c>
      <c r="N46" s="24">
        <v>47.766230558199602</v>
      </c>
      <c r="O46" s="24">
        <v>5.1710972024082933</v>
      </c>
      <c r="P46" s="24">
        <v>550</v>
      </c>
      <c r="Q46" s="24">
        <v>690</v>
      </c>
      <c r="R46" s="16">
        <v>210000</v>
      </c>
      <c r="S46" s="16"/>
      <c r="T46" s="16"/>
      <c r="U46" s="25">
        <v>0</v>
      </c>
      <c r="V46" s="25">
        <v>4.9389999999999379</v>
      </c>
      <c r="W46" s="16"/>
      <c r="AA46" t="e">
        <f t="shared" si="6"/>
        <v>#DIV/0!</v>
      </c>
      <c r="AB46" t="e">
        <f t="shared" si="7"/>
        <v>#N/A</v>
      </c>
      <c r="AC46" t="e">
        <f t="shared" si="8"/>
        <v>#N/A</v>
      </c>
      <c r="AD46" t="e">
        <f t="shared" si="9"/>
        <v>#N/A</v>
      </c>
      <c r="AE46">
        <f t="shared" si="10"/>
        <v>0</v>
      </c>
      <c r="AF46" t="e">
        <f t="shared" si="11"/>
        <v>#N/A</v>
      </c>
    </row>
    <row r="47" spans="1:32" ht="18.75" x14ac:dyDescent="0.3">
      <c r="A47" s="16">
        <v>44</v>
      </c>
      <c r="B47" s="16" t="s">
        <v>560</v>
      </c>
      <c r="C47" s="16">
        <v>180</v>
      </c>
      <c r="D47" s="16">
        <v>400</v>
      </c>
      <c r="E47" s="16">
        <v>13.5</v>
      </c>
      <c r="F47" s="16">
        <v>8.6</v>
      </c>
      <c r="G47" s="16">
        <v>21</v>
      </c>
      <c r="H47" s="16">
        <v>0</v>
      </c>
      <c r="I47" s="16">
        <v>3</v>
      </c>
      <c r="J47" s="16">
        <v>7</v>
      </c>
      <c r="K47" s="24">
        <v>0.4</v>
      </c>
      <c r="L47" s="24">
        <v>30</v>
      </c>
      <c r="M47" s="24">
        <v>416.28476938851162</v>
      </c>
      <c r="N47" s="24">
        <v>61.264488625817521</v>
      </c>
      <c r="O47" s="24">
        <v>6.1966868930603018</v>
      </c>
      <c r="P47" s="24">
        <v>550</v>
      </c>
      <c r="Q47" s="24">
        <v>690</v>
      </c>
      <c r="R47" s="16">
        <v>210000</v>
      </c>
      <c r="S47" s="16"/>
      <c r="T47" s="16"/>
      <c r="U47" s="25">
        <v>0</v>
      </c>
      <c r="V47" s="25">
        <v>4.9589999999999375</v>
      </c>
      <c r="W47" s="16"/>
      <c r="AA47" t="e">
        <f t="shared" si="6"/>
        <v>#DIV/0!</v>
      </c>
      <c r="AB47" t="e">
        <f t="shared" si="7"/>
        <v>#N/A</v>
      </c>
      <c r="AC47" t="e">
        <f t="shared" si="8"/>
        <v>#N/A</v>
      </c>
      <c r="AD47" t="e">
        <f t="shared" si="9"/>
        <v>#N/A</v>
      </c>
      <c r="AE47">
        <f t="shared" si="10"/>
        <v>0</v>
      </c>
      <c r="AF47" t="e">
        <f t="shared" si="11"/>
        <v>#N/A</v>
      </c>
    </row>
    <row r="48" spans="1:32" ht="18.75" x14ac:dyDescent="0.3">
      <c r="A48" s="16">
        <v>45</v>
      </c>
      <c r="B48" s="16" t="s">
        <v>561</v>
      </c>
      <c r="C48" s="16">
        <v>220</v>
      </c>
      <c r="D48" s="16">
        <v>600</v>
      </c>
      <c r="E48" s="16">
        <v>19</v>
      </c>
      <c r="F48" s="16">
        <v>12</v>
      </c>
      <c r="G48" s="16">
        <v>24</v>
      </c>
      <c r="H48" s="16">
        <v>0</v>
      </c>
      <c r="I48" s="16">
        <v>3</v>
      </c>
      <c r="J48" s="16">
        <v>7</v>
      </c>
      <c r="K48" s="24">
        <v>0.4</v>
      </c>
      <c r="L48" s="24">
        <v>30</v>
      </c>
      <c r="M48" s="24">
        <v>768.78038683980526</v>
      </c>
      <c r="N48" s="24">
        <v>164.62208891814979</v>
      </c>
      <c r="O48" s="24">
        <v>13.141540892403802</v>
      </c>
      <c r="P48" s="24">
        <v>550</v>
      </c>
      <c r="Q48" s="24">
        <v>690</v>
      </c>
      <c r="R48" s="16">
        <v>210000</v>
      </c>
      <c r="S48" s="16"/>
      <c r="T48" s="16"/>
      <c r="U48" s="25">
        <v>0</v>
      </c>
      <c r="V48" s="25">
        <v>5.0189999999999362</v>
      </c>
      <c r="W48" s="16"/>
      <c r="AA48" t="e">
        <f t="shared" si="6"/>
        <v>#DIV/0!</v>
      </c>
      <c r="AB48" t="e">
        <f t="shared" si="7"/>
        <v>#N/A</v>
      </c>
      <c r="AC48" t="e">
        <f t="shared" si="8"/>
        <v>#N/A</v>
      </c>
      <c r="AD48" t="e">
        <f t="shared" si="9"/>
        <v>#N/A</v>
      </c>
      <c r="AE48">
        <f t="shared" si="10"/>
        <v>0</v>
      </c>
      <c r="AF48" t="e">
        <f t="shared" si="11"/>
        <v>#N/A</v>
      </c>
    </row>
    <row r="49" spans="1:32" ht="18.75" x14ac:dyDescent="0.3">
      <c r="A49" s="16">
        <v>46</v>
      </c>
      <c r="B49" s="16" t="s">
        <v>562</v>
      </c>
      <c r="C49" s="16">
        <v>120</v>
      </c>
      <c r="D49" s="16">
        <v>114</v>
      </c>
      <c r="E49" s="16">
        <v>8</v>
      </c>
      <c r="F49" s="16">
        <v>5</v>
      </c>
      <c r="G49" s="16">
        <v>12</v>
      </c>
      <c r="H49" s="16">
        <v>0</v>
      </c>
      <c r="I49" s="16">
        <v>3</v>
      </c>
      <c r="J49" s="16">
        <v>7</v>
      </c>
      <c r="K49" s="24">
        <v>0.4</v>
      </c>
      <c r="L49" s="24">
        <v>30</v>
      </c>
      <c r="M49" s="24">
        <v>124.87081099566559</v>
      </c>
      <c r="N49" s="24">
        <v>5.6003850960568693</v>
      </c>
      <c r="O49" s="24">
        <v>1.5925426600890942</v>
      </c>
      <c r="P49" s="24">
        <v>550</v>
      </c>
      <c r="Q49" s="24">
        <v>690</v>
      </c>
      <c r="R49" s="16">
        <v>210000</v>
      </c>
      <c r="S49" s="16"/>
      <c r="T49" s="16"/>
      <c r="U49" s="25">
        <v>0</v>
      </c>
      <c r="V49" s="25">
        <v>4.7589999999999417</v>
      </c>
      <c r="W49" s="16"/>
      <c r="AA49" t="e">
        <f t="shared" si="6"/>
        <v>#DIV/0!</v>
      </c>
      <c r="AB49" t="e">
        <f t="shared" si="7"/>
        <v>#N/A</v>
      </c>
      <c r="AC49" t="e">
        <f t="shared" si="8"/>
        <v>#N/A</v>
      </c>
      <c r="AD49" t="e">
        <f t="shared" si="9"/>
        <v>#N/A</v>
      </c>
      <c r="AE49">
        <f t="shared" si="10"/>
        <v>0</v>
      </c>
      <c r="AF49" t="e">
        <f t="shared" si="11"/>
        <v>#N/A</v>
      </c>
    </row>
    <row r="50" spans="1:32" ht="18.75" x14ac:dyDescent="0.3">
      <c r="A50" s="16">
        <v>47</v>
      </c>
      <c r="B50" s="16" t="s">
        <v>563</v>
      </c>
      <c r="C50" s="16">
        <v>240</v>
      </c>
      <c r="D50" s="16">
        <v>230</v>
      </c>
      <c r="E50" s="16">
        <v>12</v>
      </c>
      <c r="F50" s="16">
        <v>7.5</v>
      </c>
      <c r="G50" s="16">
        <v>21</v>
      </c>
      <c r="H50" s="16">
        <v>0</v>
      </c>
      <c r="I50" s="16">
        <v>3</v>
      </c>
      <c r="J50" s="16">
        <v>7</v>
      </c>
      <c r="K50" s="24">
        <v>0.4</v>
      </c>
      <c r="L50" s="24">
        <v>30</v>
      </c>
      <c r="M50" s="24">
        <v>378.68962653136884</v>
      </c>
      <c r="N50" s="24">
        <v>34.899624046768444</v>
      </c>
      <c r="O50" s="24">
        <v>9.5166971732174055</v>
      </c>
      <c r="P50" s="24">
        <v>550</v>
      </c>
      <c r="Q50" s="24">
        <v>690</v>
      </c>
      <c r="R50" s="16">
        <v>210000</v>
      </c>
      <c r="S50" s="16"/>
      <c r="T50" s="16"/>
      <c r="U50" s="25">
        <v>0</v>
      </c>
      <c r="V50" s="25">
        <v>4.7489999999999419</v>
      </c>
      <c r="W50" s="16"/>
      <c r="AA50" t="e">
        <f t="shared" si="6"/>
        <v>#DIV/0!</v>
      </c>
      <c r="AB50" t="e">
        <f t="shared" si="7"/>
        <v>#N/A</v>
      </c>
      <c r="AC50" t="e">
        <f t="shared" si="8"/>
        <v>#N/A</v>
      </c>
      <c r="AD50" t="e">
        <f t="shared" si="9"/>
        <v>#N/A</v>
      </c>
      <c r="AE50">
        <f t="shared" si="10"/>
        <v>0</v>
      </c>
      <c r="AF50" t="e">
        <f t="shared" si="11"/>
        <v>#N/A</v>
      </c>
    </row>
    <row r="51" spans="1:32" ht="18.75" x14ac:dyDescent="0.3">
      <c r="A51" s="16">
        <v>48</v>
      </c>
      <c r="B51" s="16" t="s">
        <v>564</v>
      </c>
      <c r="C51" s="16">
        <v>300</v>
      </c>
      <c r="D51" s="16">
        <v>290</v>
      </c>
      <c r="E51" s="16">
        <v>14</v>
      </c>
      <c r="F51" s="16">
        <v>8.5</v>
      </c>
      <c r="G51" s="16">
        <v>27</v>
      </c>
      <c r="H51" s="16">
        <v>0</v>
      </c>
      <c r="I51" s="16">
        <v>3</v>
      </c>
      <c r="J51" s="16">
        <v>7</v>
      </c>
      <c r="K51" s="24">
        <v>0.4</v>
      </c>
      <c r="L51" s="24">
        <v>30</v>
      </c>
      <c r="M51" s="24">
        <v>554.60124852270008</v>
      </c>
      <c r="N51" s="24">
        <v>64.832325914754094</v>
      </c>
      <c r="O51" s="24">
        <v>17.349781301377931</v>
      </c>
      <c r="P51" s="24">
        <v>550</v>
      </c>
      <c r="Q51" s="24">
        <v>690</v>
      </c>
      <c r="R51" s="16">
        <v>210000</v>
      </c>
      <c r="S51" s="16"/>
      <c r="T51" s="16"/>
      <c r="U51" s="25">
        <v>0</v>
      </c>
      <c r="V51" s="25">
        <v>4.7289999999999424</v>
      </c>
      <c r="W51" s="16"/>
      <c r="AA51" t="e">
        <f t="shared" si="6"/>
        <v>#DIV/0!</v>
      </c>
      <c r="AB51" t="e">
        <f t="shared" si="7"/>
        <v>#N/A</v>
      </c>
      <c r="AC51" t="e">
        <f t="shared" si="8"/>
        <v>#N/A</v>
      </c>
      <c r="AD51" t="e">
        <f t="shared" si="9"/>
        <v>#N/A</v>
      </c>
      <c r="AE51">
        <f t="shared" si="10"/>
        <v>0</v>
      </c>
      <c r="AF51" t="e">
        <f t="shared" si="11"/>
        <v>#N/A</v>
      </c>
    </row>
    <row r="52" spans="1:32" ht="18.75" x14ac:dyDescent="0.3">
      <c r="A52" s="16">
        <v>49</v>
      </c>
      <c r="B52" s="16" t="s">
        <v>565</v>
      </c>
      <c r="C52" s="16">
        <v>300</v>
      </c>
      <c r="D52" s="16">
        <v>390</v>
      </c>
      <c r="E52" s="16">
        <v>19</v>
      </c>
      <c r="F52" s="16">
        <v>11</v>
      </c>
      <c r="G52" s="16">
        <v>27</v>
      </c>
      <c r="H52" s="16">
        <v>0</v>
      </c>
      <c r="I52" s="16">
        <v>3</v>
      </c>
      <c r="J52" s="16">
        <v>7</v>
      </c>
      <c r="K52" s="24">
        <v>0.4</v>
      </c>
      <c r="L52" s="24">
        <v>30</v>
      </c>
      <c r="M52" s="24">
        <v>783.53339137984301</v>
      </c>
      <c r="N52" s="24">
        <v>120.06854077728242</v>
      </c>
      <c r="O52" s="24">
        <v>23.619463735393083</v>
      </c>
      <c r="P52" s="24">
        <v>550</v>
      </c>
      <c r="Q52" s="24">
        <v>690</v>
      </c>
      <c r="R52" s="16">
        <v>210000</v>
      </c>
      <c r="S52" s="16"/>
      <c r="T52" s="16"/>
      <c r="U52" s="25">
        <v>0</v>
      </c>
      <c r="V52" s="25">
        <v>4.7889999999999411</v>
      </c>
      <c r="W52" s="16"/>
      <c r="AA52" t="e">
        <f t="shared" si="6"/>
        <v>#DIV/0!</v>
      </c>
      <c r="AB52" t="e">
        <f t="shared" si="7"/>
        <v>#N/A</v>
      </c>
      <c r="AC52" t="e">
        <f t="shared" si="8"/>
        <v>#N/A</v>
      </c>
      <c r="AD52" t="e">
        <f t="shared" si="9"/>
        <v>#N/A</v>
      </c>
      <c r="AE52">
        <f t="shared" si="10"/>
        <v>0</v>
      </c>
      <c r="AF52" t="e">
        <f t="shared" si="11"/>
        <v>#N/A</v>
      </c>
    </row>
    <row r="53" spans="1:32" ht="18.75" x14ac:dyDescent="0.3">
      <c r="A53" s="16">
        <v>50</v>
      </c>
      <c r="B53" s="16" t="s">
        <v>566</v>
      </c>
      <c r="C53" s="16">
        <v>300</v>
      </c>
      <c r="D53" s="16">
        <v>490</v>
      </c>
      <c r="E53" s="16">
        <v>23</v>
      </c>
      <c r="F53" s="16">
        <v>12</v>
      </c>
      <c r="G53" s="16">
        <v>27</v>
      </c>
      <c r="H53" s="16">
        <v>0</v>
      </c>
      <c r="I53" s="16">
        <v>3</v>
      </c>
      <c r="J53" s="16">
        <v>7</v>
      </c>
      <c r="K53" s="24">
        <v>0.4</v>
      </c>
      <c r="L53" s="24">
        <v>30</v>
      </c>
      <c r="M53" s="24">
        <v>973.57910566555745</v>
      </c>
      <c r="N53" s="24">
        <v>185.07832713113484</v>
      </c>
      <c r="O53" s="24">
        <v>28.643073526385596</v>
      </c>
      <c r="P53" s="24">
        <v>550</v>
      </c>
      <c r="Q53" s="24">
        <v>690</v>
      </c>
      <c r="R53" s="16">
        <v>210000</v>
      </c>
      <c r="S53" s="16"/>
      <c r="T53" s="16"/>
      <c r="U53" s="25">
        <v>0</v>
      </c>
      <c r="V53" s="25">
        <v>4.8089999999999407</v>
      </c>
      <c r="W53" s="16"/>
      <c r="AA53" t="e">
        <f t="shared" si="6"/>
        <v>#DIV/0!</v>
      </c>
      <c r="AB53" t="e">
        <f t="shared" si="7"/>
        <v>#N/A</v>
      </c>
      <c r="AC53" t="e">
        <f t="shared" si="8"/>
        <v>#N/A</v>
      </c>
      <c r="AD53" t="e">
        <f t="shared" si="9"/>
        <v>#N/A</v>
      </c>
      <c r="AE53">
        <f t="shared" si="10"/>
        <v>0</v>
      </c>
      <c r="AF53" t="e">
        <f t="shared" si="11"/>
        <v>#N/A</v>
      </c>
    </row>
    <row r="54" spans="1:32" ht="18.75" x14ac:dyDescent="0.3">
      <c r="A54" s="16">
        <v>51</v>
      </c>
      <c r="B54" s="16" t="s">
        <v>567</v>
      </c>
      <c r="C54" s="16">
        <v>300</v>
      </c>
      <c r="D54" s="16">
        <v>590</v>
      </c>
      <c r="E54" s="16">
        <v>24</v>
      </c>
      <c r="F54" s="16">
        <v>13</v>
      </c>
      <c r="G54" s="16">
        <v>27</v>
      </c>
      <c r="H54" s="16">
        <v>0</v>
      </c>
      <c r="I54" s="16">
        <v>3</v>
      </c>
      <c r="J54" s="16">
        <v>7</v>
      </c>
      <c r="K54" s="24">
        <v>0.4</v>
      </c>
      <c r="L54" s="24">
        <v>30</v>
      </c>
      <c r="M54" s="24">
        <v>1087.8233913798431</v>
      </c>
      <c r="N54" s="24">
        <v>243.51852450054426</v>
      </c>
      <c r="O54" s="24">
        <v>30.056359916012504</v>
      </c>
      <c r="P54" s="24">
        <v>550</v>
      </c>
      <c r="Q54" s="24">
        <v>690</v>
      </c>
      <c r="R54" s="16">
        <v>210000</v>
      </c>
      <c r="S54" s="16"/>
      <c r="T54" s="16"/>
      <c r="U54" s="25">
        <v>0</v>
      </c>
      <c r="V54" s="25">
        <v>4.8789999999999392</v>
      </c>
      <c r="W54" s="16"/>
      <c r="AA54" t="e">
        <f t="shared" si="6"/>
        <v>#DIV/0!</v>
      </c>
      <c r="AB54" t="e">
        <f t="shared" si="7"/>
        <v>#N/A</v>
      </c>
      <c r="AC54" t="e">
        <f t="shared" si="8"/>
        <v>#N/A</v>
      </c>
      <c r="AD54" t="e">
        <f t="shared" si="9"/>
        <v>#N/A</v>
      </c>
      <c r="AE54">
        <f t="shared" si="10"/>
        <v>0</v>
      </c>
      <c r="AF54" t="e">
        <f t="shared" si="11"/>
        <v>#N/A</v>
      </c>
    </row>
    <row r="55" spans="1:32" ht="18.75" x14ac:dyDescent="0.3">
      <c r="A55" s="16">
        <v>52</v>
      </c>
      <c r="B55" s="16" t="s">
        <v>568</v>
      </c>
      <c r="C55" s="16">
        <v>300</v>
      </c>
      <c r="D55" s="16">
        <v>990</v>
      </c>
      <c r="E55" s="16">
        <v>31</v>
      </c>
      <c r="F55" s="16">
        <v>16.5</v>
      </c>
      <c r="G55" s="16">
        <v>30</v>
      </c>
      <c r="H55" s="16">
        <v>0</v>
      </c>
      <c r="I55" s="16">
        <v>3</v>
      </c>
      <c r="J55" s="16">
        <v>7</v>
      </c>
      <c r="K55" s="24">
        <v>0.4</v>
      </c>
      <c r="L55" s="24">
        <v>30</v>
      </c>
      <c r="M55" s="24">
        <v>1709.4536401514817</v>
      </c>
      <c r="N55" s="24">
        <v>601.06366786695344</v>
      </c>
      <c r="O55" s="24">
        <v>39.770035761034322</v>
      </c>
      <c r="P55" s="24">
        <v>550</v>
      </c>
      <c r="Q55" s="24">
        <v>690</v>
      </c>
      <c r="R55" s="16">
        <v>210000</v>
      </c>
      <c r="S55" s="16"/>
      <c r="T55" s="16"/>
      <c r="U55" s="25">
        <v>0</v>
      </c>
      <c r="V55" s="25">
        <v>5.028999999999936</v>
      </c>
      <c r="W55" s="16"/>
      <c r="AA55" t="e">
        <f t="shared" si="6"/>
        <v>#DIV/0!</v>
      </c>
      <c r="AB55" t="e">
        <f t="shared" si="7"/>
        <v>#N/A</v>
      </c>
      <c r="AC55" t="e">
        <f t="shared" si="8"/>
        <v>#N/A</v>
      </c>
      <c r="AD55" t="e">
        <f t="shared" si="9"/>
        <v>#N/A</v>
      </c>
      <c r="AE55">
        <f t="shared" si="10"/>
        <v>0</v>
      </c>
      <c r="AF55" t="e">
        <f t="shared" si="11"/>
        <v>#N/A</v>
      </c>
    </row>
    <row r="56" spans="1:32" ht="18.75" x14ac:dyDescent="0.3">
      <c r="A56" s="16">
        <v>53</v>
      </c>
      <c r="B56" s="16" t="s">
        <v>554</v>
      </c>
      <c r="C56" s="16">
        <v>64</v>
      </c>
      <c r="D56" s="16">
        <v>120</v>
      </c>
      <c r="E56" s="16">
        <v>6.3</v>
      </c>
      <c r="F56" s="16">
        <v>4.4000000000000004</v>
      </c>
      <c r="G56" s="16">
        <v>7</v>
      </c>
      <c r="H56" s="16">
        <v>0</v>
      </c>
      <c r="I56" s="16">
        <v>3</v>
      </c>
      <c r="J56" s="16">
        <v>7</v>
      </c>
      <c r="K56" s="24">
        <v>0.4</v>
      </c>
      <c r="L56" s="24">
        <v>30</v>
      </c>
      <c r="M56" s="24">
        <v>23.959564005473112</v>
      </c>
      <c r="N56" s="24">
        <v>1.0473691335700841</v>
      </c>
      <c r="O56" s="24">
        <v>0.13523457494817162</v>
      </c>
      <c r="P56" s="24">
        <v>700</v>
      </c>
      <c r="Q56" s="24">
        <v>690</v>
      </c>
      <c r="R56" s="16">
        <v>210000</v>
      </c>
      <c r="S56" s="16"/>
      <c r="T56" s="16"/>
      <c r="U56" s="25">
        <v>0</v>
      </c>
      <c r="V56" s="25">
        <v>4.9289999999999381</v>
      </c>
      <c r="W56" s="16"/>
      <c r="AA56" t="e">
        <f t="shared" si="6"/>
        <v>#DIV/0!</v>
      </c>
      <c r="AB56" t="e">
        <f t="shared" si="7"/>
        <v>#N/A</v>
      </c>
      <c r="AC56" t="e">
        <f t="shared" si="8"/>
        <v>#N/A</v>
      </c>
      <c r="AD56" t="e">
        <f t="shared" si="9"/>
        <v>#N/A</v>
      </c>
      <c r="AE56" t="e">
        <f t="shared" si="10"/>
        <v>#N/A</v>
      </c>
      <c r="AF56">
        <f t="shared" si="11"/>
        <v>0</v>
      </c>
    </row>
    <row r="57" spans="1:32" ht="18.75" x14ac:dyDescent="0.3">
      <c r="A57" s="16">
        <v>54</v>
      </c>
      <c r="B57" s="16" t="s">
        <v>557</v>
      </c>
      <c r="C57" s="16">
        <v>110</v>
      </c>
      <c r="D57" s="16">
        <v>220</v>
      </c>
      <c r="E57" s="16">
        <v>9.1999999999999993</v>
      </c>
      <c r="F57" s="16">
        <v>5.9</v>
      </c>
      <c r="G57" s="16">
        <v>12</v>
      </c>
      <c r="H57" s="16">
        <v>0</v>
      </c>
      <c r="I57" s="16">
        <v>3</v>
      </c>
      <c r="J57" s="16">
        <v>7</v>
      </c>
      <c r="K57" s="24">
        <v>0.4</v>
      </c>
      <c r="L57" s="24">
        <v>30</v>
      </c>
      <c r="M57" s="24">
        <v>60.524564503547808</v>
      </c>
      <c r="N57" s="24">
        <v>4.9226061635986555</v>
      </c>
      <c r="O57" s="24">
        <v>0.57866238277464588</v>
      </c>
      <c r="P57" s="24">
        <v>700</v>
      </c>
      <c r="Q57" s="24">
        <v>690</v>
      </c>
      <c r="R57" s="16">
        <v>210000</v>
      </c>
      <c r="S57" s="16"/>
      <c r="T57" s="16"/>
      <c r="U57" s="25">
        <v>0</v>
      </c>
      <c r="V57" s="25">
        <v>4.9189999999999383</v>
      </c>
      <c r="W57" s="16"/>
      <c r="AA57" t="e">
        <f t="shared" si="6"/>
        <v>#DIV/0!</v>
      </c>
      <c r="AB57" t="e">
        <f t="shared" si="7"/>
        <v>#N/A</v>
      </c>
      <c r="AC57" t="e">
        <f t="shared" si="8"/>
        <v>#N/A</v>
      </c>
      <c r="AD57" t="e">
        <f t="shared" si="9"/>
        <v>#N/A</v>
      </c>
      <c r="AE57" t="e">
        <f t="shared" si="10"/>
        <v>#N/A</v>
      </c>
      <c r="AF57">
        <f t="shared" si="11"/>
        <v>0</v>
      </c>
    </row>
    <row r="58" spans="1:32" ht="18.75" x14ac:dyDescent="0.3">
      <c r="A58" s="16">
        <v>55</v>
      </c>
      <c r="B58" s="16" t="s">
        <v>558</v>
      </c>
      <c r="C58" s="16">
        <v>135</v>
      </c>
      <c r="D58" s="16">
        <v>270</v>
      </c>
      <c r="E58" s="16">
        <v>10.199999999999999</v>
      </c>
      <c r="F58" s="16">
        <v>6.6</v>
      </c>
      <c r="G58" s="16">
        <v>15</v>
      </c>
      <c r="H58" s="16">
        <v>0</v>
      </c>
      <c r="I58" s="16">
        <v>3</v>
      </c>
      <c r="J58" s="16">
        <v>7</v>
      </c>
      <c r="K58" s="24">
        <v>0.4</v>
      </c>
      <c r="L58" s="24">
        <v>30</v>
      </c>
      <c r="M58" s="24">
        <v>83.331132836793458</v>
      </c>
      <c r="N58" s="24">
        <v>8.3478472658303033</v>
      </c>
      <c r="O58" s="24">
        <v>0.96542776563302513</v>
      </c>
      <c r="P58" s="24">
        <v>700</v>
      </c>
      <c r="Q58" s="24">
        <v>690</v>
      </c>
      <c r="R58" s="16">
        <v>210000</v>
      </c>
      <c r="S58" s="16"/>
      <c r="T58" s="16"/>
      <c r="U58" s="25">
        <v>0</v>
      </c>
      <c r="V58" s="25">
        <v>4.9189999999999383</v>
      </c>
      <c r="W58" s="16"/>
      <c r="AA58" t="e">
        <f t="shared" si="6"/>
        <v>#DIV/0!</v>
      </c>
      <c r="AB58" t="e">
        <f t="shared" si="7"/>
        <v>#N/A</v>
      </c>
      <c r="AC58" t="e">
        <f t="shared" si="8"/>
        <v>#N/A</v>
      </c>
      <c r="AD58" t="e">
        <f t="shared" si="9"/>
        <v>#N/A</v>
      </c>
      <c r="AE58" t="e">
        <f t="shared" si="10"/>
        <v>#N/A</v>
      </c>
      <c r="AF58">
        <f t="shared" si="11"/>
        <v>0</v>
      </c>
    </row>
    <row r="59" spans="1:32" ht="18.75" x14ac:dyDescent="0.3">
      <c r="A59" s="16">
        <v>56</v>
      </c>
      <c r="B59" s="16" t="s">
        <v>559</v>
      </c>
      <c r="C59" s="16">
        <v>170</v>
      </c>
      <c r="D59" s="16">
        <v>360</v>
      </c>
      <c r="E59" s="16">
        <v>12.7</v>
      </c>
      <c r="F59" s="16">
        <v>8</v>
      </c>
      <c r="G59" s="16">
        <v>18</v>
      </c>
      <c r="H59" s="16">
        <v>0</v>
      </c>
      <c r="I59" s="16">
        <v>3</v>
      </c>
      <c r="J59" s="16">
        <v>7</v>
      </c>
      <c r="K59" s="24">
        <v>0.4</v>
      </c>
      <c r="L59" s="24">
        <v>30</v>
      </c>
      <c r="M59" s="24">
        <v>131.91006121869685</v>
      </c>
      <c r="N59" s="24">
        <v>17.577972845417456</v>
      </c>
      <c r="O59" s="24">
        <v>1.9029637704862521</v>
      </c>
      <c r="P59" s="24">
        <v>700</v>
      </c>
      <c r="Q59" s="24">
        <v>690</v>
      </c>
      <c r="R59" s="16">
        <v>210000</v>
      </c>
      <c r="S59" s="16"/>
      <c r="T59" s="16"/>
      <c r="U59" s="25">
        <v>0</v>
      </c>
      <c r="V59" s="25">
        <v>4.9389999999999379</v>
      </c>
      <c r="W59" s="16"/>
      <c r="AA59" t="e">
        <f t="shared" si="6"/>
        <v>#DIV/0!</v>
      </c>
      <c r="AB59" t="e">
        <f t="shared" si="7"/>
        <v>#N/A</v>
      </c>
      <c r="AC59" t="e">
        <f t="shared" si="8"/>
        <v>#N/A</v>
      </c>
      <c r="AD59" t="e">
        <f t="shared" si="9"/>
        <v>#N/A</v>
      </c>
      <c r="AE59" t="e">
        <f t="shared" si="10"/>
        <v>#N/A</v>
      </c>
      <c r="AF59">
        <f t="shared" si="11"/>
        <v>0</v>
      </c>
    </row>
    <row r="60" spans="1:32" ht="18.75" x14ac:dyDescent="0.3">
      <c r="A60" s="16">
        <v>57</v>
      </c>
      <c r="B60" s="16" t="s">
        <v>560</v>
      </c>
      <c r="C60" s="16">
        <v>180</v>
      </c>
      <c r="D60" s="16">
        <v>400</v>
      </c>
      <c r="E60" s="16">
        <v>13.5</v>
      </c>
      <c r="F60" s="16">
        <v>8.6</v>
      </c>
      <c r="G60" s="16">
        <v>21</v>
      </c>
      <c r="H60" s="16">
        <v>0</v>
      </c>
      <c r="I60" s="16">
        <v>3</v>
      </c>
      <c r="J60" s="16">
        <v>7</v>
      </c>
      <c r="K60" s="24">
        <v>0.4</v>
      </c>
      <c r="L60" s="24">
        <v>30</v>
      </c>
      <c r="M60" s="24">
        <v>153.1927951349723</v>
      </c>
      <c r="N60" s="24">
        <v>22.545331814300845</v>
      </c>
      <c r="O60" s="24">
        <v>2.2803807766461905</v>
      </c>
      <c r="P60" s="24">
        <v>700</v>
      </c>
      <c r="Q60" s="24">
        <v>690</v>
      </c>
      <c r="R60" s="16">
        <v>210000</v>
      </c>
      <c r="S60" s="16"/>
      <c r="T60" s="16"/>
      <c r="U60" s="25">
        <v>0</v>
      </c>
      <c r="V60" s="25">
        <v>4.9489999999999377</v>
      </c>
      <c r="W60" s="16"/>
      <c r="AA60" t="e">
        <f t="shared" si="6"/>
        <v>#DIV/0!</v>
      </c>
      <c r="AB60" t="e">
        <f t="shared" si="7"/>
        <v>#N/A</v>
      </c>
      <c r="AC60" t="e">
        <f t="shared" si="8"/>
        <v>#N/A</v>
      </c>
      <c r="AD60" t="e">
        <f t="shared" si="9"/>
        <v>#N/A</v>
      </c>
      <c r="AE60" t="e">
        <f t="shared" si="10"/>
        <v>#N/A</v>
      </c>
      <c r="AF60">
        <f t="shared" si="11"/>
        <v>0</v>
      </c>
    </row>
    <row r="61" spans="1:32" ht="18.75" x14ac:dyDescent="0.3">
      <c r="A61" s="16">
        <v>58</v>
      </c>
      <c r="B61" s="16" t="s">
        <v>561</v>
      </c>
      <c r="C61" s="16">
        <v>220</v>
      </c>
      <c r="D61" s="16">
        <v>600</v>
      </c>
      <c r="E61" s="16">
        <v>19</v>
      </c>
      <c r="F61" s="16">
        <v>12</v>
      </c>
      <c r="G61" s="16">
        <v>24</v>
      </c>
      <c r="H61" s="16">
        <v>0</v>
      </c>
      <c r="I61" s="16">
        <v>3</v>
      </c>
      <c r="J61" s="16">
        <v>7</v>
      </c>
      <c r="K61" s="24">
        <v>0.4</v>
      </c>
      <c r="L61" s="24">
        <v>30</v>
      </c>
      <c r="M61" s="24">
        <v>282.9111823570484</v>
      </c>
      <c r="N61" s="24">
        <v>60.580928721879118</v>
      </c>
      <c r="O61" s="24">
        <v>4.8360870484045995</v>
      </c>
      <c r="P61" s="24">
        <v>700</v>
      </c>
      <c r="Q61" s="24">
        <v>690</v>
      </c>
      <c r="R61" s="16">
        <v>210000</v>
      </c>
      <c r="S61" s="16"/>
      <c r="T61" s="16"/>
      <c r="U61" s="25">
        <v>0</v>
      </c>
      <c r="V61" s="25">
        <v>5.0189999999999362</v>
      </c>
      <c r="W61" s="16"/>
      <c r="AA61" t="e">
        <f t="shared" si="6"/>
        <v>#DIV/0!</v>
      </c>
      <c r="AB61" t="e">
        <f t="shared" si="7"/>
        <v>#N/A</v>
      </c>
      <c r="AC61" t="e">
        <f t="shared" si="8"/>
        <v>#N/A</v>
      </c>
      <c r="AD61" t="e">
        <f t="shared" si="9"/>
        <v>#N/A</v>
      </c>
      <c r="AE61" t="e">
        <f t="shared" si="10"/>
        <v>#N/A</v>
      </c>
      <c r="AF61">
        <f t="shared" si="11"/>
        <v>0</v>
      </c>
    </row>
    <row r="62" spans="1:32" ht="18.75" x14ac:dyDescent="0.3">
      <c r="A62" s="16">
        <v>59</v>
      </c>
      <c r="B62" s="16" t="s">
        <v>562</v>
      </c>
      <c r="C62" s="16">
        <v>120</v>
      </c>
      <c r="D62" s="16">
        <v>114</v>
      </c>
      <c r="E62" s="16">
        <v>8</v>
      </c>
      <c r="F62" s="16">
        <v>5</v>
      </c>
      <c r="G62" s="16">
        <v>12</v>
      </c>
      <c r="H62" s="16">
        <v>0</v>
      </c>
      <c r="I62" s="16">
        <v>3</v>
      </c>
      <c r="J62" s="16">
        <v>7</v>
      </c>
      <c r="K62" s="24">
        <v>0.4</v>
      </c>
      <c r="L62" s="24">
        <v>30</v>
      </c>
      <c r="M62" s="24">
        <v>45.952458446404947</v>
      </c>
      <c r="N62" s="24">
        <v>2.0609417153489278</v>
      </c>
      <c r="O62" s="24">
        <v>0.58605569891278686</v>
      </c>
      <c r="P62" s="24">
        <v>700</v>
      </c>
      <c r="Q62" s="24">
        <v>690</v>
      </c>
      <c r="R62" s="16">
        <v>210000</v>
      </c>
      <c r="S62" s="16"/>
      <c r="T62" s="16"/>
      <c r="U62" s="25">
        <v>0</v>
      </c>
      <c r="V62" s="25">
        <v>4.7489999999999419</v>
      </c>
      <c r="W62" s="16"/>
      <c r="AA62" t="e">
        <f t="shared" si="6"/>
        <v>#DIV/0!</v>
      </c>
      <c r="AB62" t="e">
        <f t="shared" si="7"/>
        <v>#N/A</v>
      </c>
      <c r="AC62" t="e">
        <f t="shared" si="8"/>
        <v>#N/A</v>
      </c>
      <c r="AD62" t="e">
        <f t="shared" si="9"/>
        <v>#N/A</v>
      </c>
      <c r="AE62" t="e">
        <f t="shared" si="10"/>
        <v>#N/A</v>
      </c>
      <c r="AF62">
        <f t="shared" si="11"/>
        <v>0</v>
      </c>
    </row>
    <row r="63" spans="1:32" ht="18.75" x14ac:dyDescent="0.3">
      <c r="A63" s="16">
        <v>60</v>
      </c>
      <c r="B63" s="16" t="s">
        <v>563</v>
      </c>
      <c r="C63" s="16">
        <v>240</v>
      </c>
      <c r="D63" s="16">
        <v>230</v>
      </c>
      <c r="E63" s="16">
        <v>12</v>
      </c>
      <c r="F63" s="16">
        <v>7.5</v>
      </c>
      <c r="G63" s="16">
        <v>21</v>
      </c>
      <c r="H63" s="16">
        <v>0</v>
      </c>
      <c r="I63" s="16">
        <v>3</v>
      </c>
      <c r="J63" s="16">
        <v>7</v>
      </c>
      <c r="K63" s="24">
        <v>0.4</v>
      </c>
      <c r="L63" s="24">
        <v>30</v>
      </c>
      <c r="M63" s="24">
        <v>139.35778256354374</v>
      </c>
      <c r="N63" s="24">
        <v>12.843061649210787</v>
      </c>
      <c r="O63" s="24">
        <v>3.5021445597440048</v>
      </c>
      <c r="P63" s="24">
        <v>700</v>
      </c>
      <c r="Q63" s="24">
        <v>690</v>
      </c>
      <c r="R63" s="16">
        <v>210000</v>
      </c>
      <c r="S63" s="16"/>
      <c r="T63" s="16"/>
      <c r="U63" s="25">
        <v>0</v>
      </c>
      <c r="V63" s="25">
        <v>4.7389999999999421</v>
      </c>
      <c r="W63" s="16"/>
      <c r="AA63" t="e">
        <f t="shared" si="6"/>
        <v>#DIV/0!</v>
      </c>
      <c r="AB63" t="e">
        <f t="shared" si="7"/>
        <v>#N/A</v>
      </c>
      <c r="AC63" t="e">
        <f t="shared" si="8"/>
        <v>#N/A</v>
      </c>
      <c r="AD63" t="e">
        <f t="shared" si="9"/>
        <v>#N/A</v>
      </c>
      <c r="AE63" t="e">
        <f t="shared" si="10"/>
        <v>#N/A</v>
      </c>
      <c r="AF63">
        <f t="shared" si="11"/>
        <v>0</v>
      </c>
    </row>
    <row r="64" spans="1:32" ht="18.75" x14ac:dyDescent="0.3">
      <c r="A64" s="16">
        <v>61</v>
      </c>
      <c r="B64" s="16" t="s">
        <v>564</v>
      </c>
      <c r="C64" s="16">
        <v>300</v>
      </c>
      <c r="D64" s="16">
        <v>290</v>
      </c>
      <c r="E64" s="16">
        <v>14</v>
      </c>
      <c r="F64" s="16">
        <v>8.5</v>
      </c>
      <c r="G64" s="16">
        <v>27</v>
      </c>
      <c r="H64" s="16">
        <v>0</v>
      </c>
      <c r="I64" s="16">
        <v>3</v>
      </c>
      <c r="J64" s="16">
        <v>7</v>
      </c>
      <c r="K64" s="24">
        <v>0.4</v>
      </c>
      <c r="L64" s="24">
        <v>30</v>
      </c>
      <c r="M64" s="24">
        <v>204.09325945635359</v>
      </c>
      <c r="N64" s="24">
        <v>23.85829593662951</v>
      </c>
      <c r="O64" s="24">
        <v>6.3847195189070804</v>
      </c>
      <c r="P64" s="24">
        <v>700</v>
      </c>
      <c r="Q64" s="24">
        <v>690</v>
      </c>
      <c r="R64" s="16">
        <v>210000</v>
      </c>
      <c r="S64" s="16"/>
      <c r="T64" s="16"/>
      <c r="U64" s="25">
        <v>0</v>
      </c>
      <c r="V64" s="25">
        <v>4.7289999999999424</v>
      </c>
      <c r="W64" s="16"/>
      <c r="AA64" t="e">
        <f t="shared" si="6"/>
        <v>#DIV/0!</v>
      </c>
      <c r="AB64" t="e">
        <f t="shared" si="7"/>
        <v>#N/A</v>
      </c>
      <c r="AC64" t="e">
        <f t="shared" si="8"/>
        <v>#N/A</v>
      </c>
      <c r="AD64" t="e">
        <f t="shared" si="9"/>
        <v>#N/A</v>
      </c>
      <c r="AE64" t="e">
        <f t="shared" si="10"/>
        <v>#N/A</v>
      </c>
      <c r="AF64">
        <f t="shared" si="11"/>
        <v>0</v>
      </c>
    </row>
    <row r="65" spans="1:32" ht="18.75" x14ac:dyDescent="0.3">
      <c r="A65" s="16">
        <v>62</v>
      </c>
      <c r="B65" s="16" t="s">
        <v>565</v>
      </c>
      <c r="C65" s="16">
        <v>300</v>
      </c>
      <c r="D65" s="16">
        <v>390</v>
      </c>
      <c r="E65" s="16">
        <v>19</v>
      </c>
      <c r="F65" s="16">
        <v>11</v>
      </c>
      <c r="G65" s="16">
        <v>27</v>
      </c>
      <c r="H65" s="16">
        <v>0</v>
      </c>
      <c r="I65" s="16">
        <v>3</v>
      </c>
      <c r="J65" s="16">
        <v>7</v>
      </c>
      <c r="K65" s="24">
        <v>0.4</v>
      </c>
      <c r="L65" s="24">
        <v>30</v>
      </c>
      <c r="M65" s="24">
        <v>288.34028802778215</v>
      </c>
      <c r="N65" s="24">
        <v>44.185223006039926</v>
      </c>
      <c r="O65" s="24">
        <v>8.6919626546246551</v>
      </c>
      <c r="P65" s="24">
        <v>700</v>
      </c>
      <c r="Q65" s="24">
        <v>690</v>
      </c>
      <c r="R65" s="16">
        <v>210000</v>
      </c>
      <c r="S65" s="16"/>
      <c r="T65" s="16"/>
      <c r="U65" s="25">
        <v>0</v>
      </c>
      <c r="V65" s="25">
        <v>4.7789999999999413</v>
      </c>
      <c r="W65" s="16"/>
      <c r="AA65" t="e">
        <f t="shared" si="6"/>
        <v>#DIV/0!</v>
      </c>
      <c r="AB65" t="e">
        <f t="shared" si="7"/>
        <v>#N/A</v>
      </c>
      <c r="AC65" t="e">
        <f t="shared" si="8"/>
        <v>#N/A</v>
      </c>
      <c r="AD65" t="e">
        <f t="shared" si="9"/>
        <v>#N/A</v>
      </c>
      <c r="AE65" t="e">
        <f t="shared" si="10"/>
        <v>#N/A</v>
      </c>
      <c r="AF65">
        <f t="shared" si="11"/>
        <v>0</v>
      </c>
    </row>
    <row r="66" spans="1:32" ht="18.75" x14ac:dyDescent="0.3">
      <c r="A66" s="16">
        <v>63</v>
      </c>
      <c r="B66" s="16" t="s">
        <v>566</v>
      </c>
      <c r="C66" s="16">
        <v>300</v>
      </c>
      <c r="D66" s="16">
        <v>490</v>
      </c>
      <c r="E66" s="16">
        <v>23</v>
      </c>
      <c r="F66" s="16">
        <v>12</v>
      </c>
      <c r="G66" s="16">
        <v>27</v>
      </c>
      <c r="H66" s="16">
        <v>0</v>
      </c>
      <c r="I66" s="16">
        <v>3</v>
      </c>
      <c r="J66" s="16">
        <v>7</v>
      </c>
      <c r="K66" s="24">
        <v>0.4</v>
      </c>
      <c r="L66" s="24">
        <v>30</v>
      </c>
      <c r="M66" s="24">
        <v>358.27711088492521</v>
      </c>
      <c r="N66" s="24">
        <v>68.10882438425763</v>
      </c>
      <c r="O66" s="24">
        <v>10.5406510577099</v>
      </c>
      <c r="P66" s="24">
        <v>700</v>
      </c>
      <c r="Q66" s="24">
        <v>690</v>
      </c>
      <c r="R66" s="16">
        <v>210000</v>
      </c>
      <c r="S66" s="16"/>
      <c r="T66" s="16"/>
      <c r="U66" s="25">
        <v>0</v>
      </c>
      <c r="V66" s="25">
        <v>4.8089999999999407</v>
      </c>
      <c r="W66" s="16"/>
      <c r="AA66" t="e">
        <f t="shared" si="6"/>
        <v>#DIV/0!</v>
      </c>
      <c r="AB66" t="e">
        <f t="shared" si="7"/>
        <v>#N/A</v>
      </c>
      <c r="AC66" t="e">
        <f t="shared" si="8"/>
        <v>#N/A</v>
      </c>
      <c r="AD66" t="e">
        <f t="shared" si="9"/>
        <v>#N/A</v>
      </c>
      <c r="AE66" t="e">
        <f t="shared" si="10"/>
        <v>#N/A</v>
      </c>
      <c r="AF66">
        <f t="shared" si="11"/>
        <v>0</v>
      </c>
    </row>
    <row r="67" spans="1:32" ht="18.75" x14ac:dyDescent="0.3">
      <c r="A67" s="16">
        <v>64</v>
      </c>
      <c r="B67" s="16" t="s">
        <v>567</v>
      </c>
      <c r="C67" s="16">
        <v>300</v>
      </c>
      <c r="D67" s="16">
        <v>590</v>
      </c>
      <c r="E67" s="16">
        <v>24</v>
      </c>
      <c r="F67" s="16">
        <v>13</v>
      </c>
      <c r="G67" s="16">
        <v>27</v>
      </c>
      <c r="H67" s="16">
        <v>0</v>
      </c>
      <c r="I67" s="16">
        <v>3</v>
      </c>
      <c r="J67" s="16">
        <v>7</v>
      </c>
      <c r="K67" s="24">
        <v>0.4</v>
      </c>
      <c r="L67" s="24">
        <v>30</v>
      </c>
      <c r="M67" s="24">
        <v>400.31900802778222</v>
      </c>
      <c r="N67" s="24">
        <v>89.614817016200277</v>
      </c>
      <c r="O67" s="24">
        <v>11.060740449092604</v>
      </c>
      <c r="P67" s="24">
        <v>700</v>
      </c>
      <c r="Q67" s="24">
        <v>690</v>
      </c>
      <c r="R67" s="16">
        <v>210000</v>
      </c>
      <c r="S67" s="16"/>
      <c r="T67" s="16"/>
      <c r="U67" s="25">
        <v>0</v>
      </c>
      <c r="V67" s="25">
        <v>4.8789999999999392</v>
      </c>
      <c r="W67" s="16"/>
      <c r="AA67" t="e">
        <f t="shared" si="6"/>
        <v>#DIV/0!</v>
      </c>
      <c r="AB67" t="e">
        <f t="shared" si="7"/>
        <v>#N/A</v>
      </c>
      <c r="AC67" t="e">
        <f t="shared" si="8"/>
        <v>#N/A</v>
      </c>
      <c r="AD67" t="e">
        <f t="shared" si="9"/>
        <v>#N/A</v>
      </c>
      <c r="AE67" t="e">
        <f t="shared" si="10"/>
        <v>#N/A</v>
      </c>
      <c r="AF67">
        <f t="shared" si="11"/>
        <v>0</v>
      </c>
    </row>
    <row r="68" spans="1:32" ht="18.75" x14ac:dyDescent="0.3">
      <c r="A68" s="16">
        <v>65</v>
      </c>
      <c r="B68" s="16" t="s">
        <v>568</v>
      </c>
      <c r="C68" s="16">
        <v>300</v>
      </c>
      <c r="D68" s="16">
        <v>990</v>
      </c>
      <c r="E68" s="16">
        <v>31</v>
      </c>
      <c r="F68" s="16">
        <v>16.5</v>
      </c>
      <c r="G68" s="16">
        <v>30</v>
      </c>
      <c r="H68" s="16">
        <v>0</v>
      </c>
      <c r="I68" s="16">
        <v>3</v>
      </c>
      <c r="J68" s="16">
        <v>7</v>
      </c>
      <c r="K68" s="24">
        <v>0.4</v>
      </c>
      <c r="L68" s="24">
        <v>30</v>
      </c>
      <c r="M68" s="24">
        <v>629.07893957574527</v>
      </c>
      <c r="N68" s="24">
        <v>221.19142977503893</v>
      </c>
      <c r="O68" s="24">
        <v>14.635373160060634</v>
      </c>
      <c r="P68" s="24">
        <v>700</v>
      </c>
      <c r="Q68" s="24">
        <v>690</v>
      </c>
      <c r="R68" s="16">
        <v>210000</v>
      </c>
      <c r="S68" s="16"/>
      <c r="T68" s="16"/>
      <c r="U68" s="25">
        <v>0</v>
      </c>
      <c r="V68" s="25">
        <v>5.0189999999999362</v>
      </c>
      <c r="W68" s="16"/>
      <c r="AA68" t="e">
        <f t="shared" si="6"/>
        <v>#DIV/0!</v>
      </c>
      <c r="AB68" t="e">
        <f t="shared" si="7"/>
        <v>#N/A</v>
      </c>
      <c r="AC68" t="e">
        <f t="shared" si="8"/>
        <v>#N/A</v>
      </c>
      <c r="AD68" t="e">
        <f t="shared" si="9"/>
        <v>#N/A</v>
      </c>
      <c r="AE68" t="e">
        <f t="shared" si="10"/>
        <v>#N/A</v>
      </c>
      <c r="AF68">
        <f t="shared" si="11"/>
        <v>0</v>
      </c>
    </row>
    <row r="69" spans="1:3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2"/>
      <c r="L69" s="2"/>
      <c r="M69" s="2"/>
      <c r="N69" s="2"/>
      <c r="O69" s="2"/>
      <c r="P69" s="2"/>
      <c r="Q69" s="2"/>
      <c r="R69" s="1"/>
      <c r="S69" s="1"/>
      <c r="T69" s="1"/>
      <c r="U69" s="10"/>
      <c r="V69" s="10"/>
      <c r="W69" s="1"/>
    </row>
    <row r="70" spans="1:3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2"/>
      <c r="L70" s="2"/>
      <c r="M70" s="2"/>
      <c r="N70" s="2"/>
      <c r="O70" s="2"/>
      <c r="P70" s="2"/>
      <c r="Q70" s="2"/>
      <c r="R70" s="1"/>
      <c r="S70" s="1"/>
      <c r="T70" s="1"/>
      <c r="U70" s="10"/>
      <c r="V70" s="10"/>
      <c r="W70" s="1"/>
    </row>
    <row r="71" spans="1:3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2"/>
      <c r="L71" s="2"/>
      <c r="M71" s="2"/>
      <c r="N71" s="2"/>
      <c r="O71" s="2"/>
      <c r="P71" s="2"/>
      <c r="Q71" s="2"/>
      <c r="R71" s="1"/>
      <c r="S71" s="1"/>
      <c r="T71" s="1"/>
      <c r="U71" s="10"/>
      <c r="V71" s="10"/>
      <c r="W71" s="1"/>
    </row>
    <row r="72" spans="1:3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2"/>
      <c r="L72" s="2"/>
      <c r="M72" s="2"/>
      <c r="N72" s="2"/>
      <c r="O72" s="2"/>
      <c r="P72" s="2"/>
      <c r="Q72" s="2"/>
      <c r="R72" s="1"/>
      <c r="S72" s="1"/>
      <c r="T72" s="1"/>
      <c r="U72" s="10"/>
      <c r="V72" s="10"/>
      <c r="W72" s="1"/>
    </row>
    <row r="73" spans="1:3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2"/>
      <c r="L73" s="2"/>
      <c r="M73" s="2"/>
      <c r="N73" s="2"/>
      <c r="O73" s="2"/>
      <c r="P73" s="2"/>
      <c r="Q73" s="2"/>
      <c r="R73" s="1"/>
      <c r="S73" s="1"/>
      <c r="T73" s="1"/>
      <c r="U73" s="10"/>
      <c r="V73" s="10"/>
      <c r="W73" s="1"/>
    </row>
    <row r="74" spans="1:3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2"/>
      <c r="L74" s="2"/>
      <c r="M74" s="2"/>
      <c r="N74" s="2"/>
      <c r="O74" s="2"/>
      <c r="P74" s="2"/>
      <c r="Q74" s="2"/>
      <c r="R74" s="1"/>
      <c r="S74" s="1"/>
      <c r="T74" s="1"/>
      <c r="U74" s="10"/>
      <c r="V74" s="10"/>
      <c r="W74" s="1"/>
    </row>
    <row r="75" spans="1:3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2"/>
      <c r="L75" s="2"/>
      <c r="M75" s="2"/>
      <c r="N75" s="2"/>
      <c r="O75" s="2"/>
      <c r="P75" s="2"/>
      <c r="Q75" s="2"/>
      <c r="R75" s="1"/>
      <c r="S75" s="1"/>
      <c r="T75" s="1"/>
      <c r="U75" s="10"/>
      <c r="V75" s="10"/>
      <c r="W75" s="1"/>
    </row>
    <row r="76" spans="1:3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2"/>
      <c r="L76" s="2"/>
      <c r="M76" s="2"/>
      <c r="N76" s="2"/>
      <c r="O76" s="2"/>
      <c r="P76" s="2"/>
      <c r="Q76" s="2"/>
      <c r="R76" s="1"/>
      <c r="S76" s="1"/>
      <c r="T76" s="1"/>
      <c r="U76" s="10"/>
      <c r="V76" s="10"/>
      <c r="W76" s="1"/>
    </row>
    <row r="77" spans="1:3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2"/>
      <c r="L77" s="2"/>
      <c r="M77" s="2"/>
      <c r="N77" s="2"/>
      <c r="O77" s="2"/>
      <c r="P77" s="2"/>
      <c r="Q77" s="2"/>
      <c r="R77" s="1"/>
      <c r="S77" s="1"/>
      <c r="T77" s="1"/>
      <c r="U77" s="10"/>
      <c r="V77" s="10"/>
      <c r="W77" s="1"/>
    </row>
    <row r="78" spans="1:3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2"/>
      <c r="L78" s="2"/>
      <c r="M78" s="2"/>
      <c r="N78" s="2"/>
      <c r="O78" s="2"/>
      <c r="P78" s="2"/>
      <c r="Q78" s="2"/>
      <c r="R78" s="1"/>
      <c r="S78" s="1"/>
      <c r="T78" s="1"/>
      <c r="U78" s="10"/>
      <c r="V78" s="10"/>
      <c r="W78" s="1"/>
    </row>
    <row r="79" spans="1:3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2"/>
      <c r="L79" s="2"/>
      <c r="M79" s="2"/>
      <c r="N79" s="2"/>
      <c r="O79" s="2"/>
      <c r="P79" s="2"/>
      <c r="Q79" s="2"/>
      <c r="R79" s="1"/>
      <c r="S79" s="1"/>
      <c r="T79" s="1"/>
      <c r="U79" s="10"/>
      <c r="V79" s="10"/>
      <c r="W79" s="1"/>
    </row>
    <row r="80" spans="1:3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2"/>
      <c r="L80" s="2"/>
      <c r="M80" s="2"/>
      <c r="N80" s="2"/>
      <c r="O80" s="2"/>
      <c r="P80" s="2"/>
      <c r="Q80" s="2"/>
      <c r="R80" s="1"/>
      <c r="S80" s="1"/>
      <c r="T80" s="1"/>
      <c r="U80" s="10"/>
      <c r="V80" s="10"/>
      <c r="W80" s="1"/>
    </row>
    <row r="81" spans="1:2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2"/>
      <c r="L81" s="2"/>
      <c r="M81" s="2"/>
      <c r="N81" s="2"/>
      <c r="O81" s="2"/>
      <c r="P81" s="2"/>
      <c r="Q81" s="2"/>
      <c r="R81" s="1"/>
      <c r="S81" s="1"/>
      <c r="T81" s="1"/>
      <c r="U81" s="10"/>
      <c r="V81" s="10"/>
      <c r="W81" s="1"/>
    </row>
    <row r="82" spans="1:2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2"/>
      <c r="L82" s="2"/>
      <c r="M82" s="2"/>
      <c r="N82" s="2"/>
      <c r="O82" s="2"/>
      <c r="P82" s="2"/>
      <c r="Q82" s="2"/>
      <c r="R82" s="1"/>
      <c r="S82" s="1"/>
      <c r="T82" s="1"/>
      <c r="U82" s="10"/>
      <c r="V82" s="10"/>
      <c r="W82" s="1"/>
    </row>
    <row r="83" spans="1:2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2"/>
      <c r="L83" s="2"/>
      <c r="M83" s="2"/>
      <c r="N83" s="2"/>
      <c r="O83" s="2"/>
      <c r="P83" s="2"/>
      <c r="Q83" s="2"/>
      <c r="R83" s="1"/>
      <c r="S83" s="1"/>
      <c r="T83" s="1"/>
      <c r="U83" s="10"/>
      <c r="V83" s="10"/>
      <c r="W83" s="1"/>
    </row>
    <row r="84" spans="1:2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2"/>
      <c r="L84" s="2"/>
      <c r="M84" s="2"/>
      <c r="N84" s="2"/>
      <c r="O84" s="2"/>
      <c r="P84" s="2"/>
      <c r="Q84" s="2"/>
      <c r="R84" s="1"/>
      <c r="S84" s="1"/>
      <c r="T84" s="1"/>
      <c r="U84" s="10"/>
      <c r="V84" s="10"/>
      <c r="W84" s="1"/>
    </row>
    <row r="85" spans="1:2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2"/>
      <c r="L85" s="2"/>
      <c r="M85" s="2"/>
      <c r="N85" s="2"/>
      <c r="O85" s="2"/>
      <c r="P85" s="2"/>
      <c r="Q85" s="2"/>
      <c r="R85" s="1"/>
      <c r="S85" s="1"/>
      <c r="T85" s="1"/>
      <c r="U85" s="10"/>
      <c r="V85" s="10"/>
      <c r="W85" s="1"/>
    </row>
    <row r="86" spans="1:2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2"/>
      <c r="L86" s="2"/>
      <c r="M86" s="2"/>
      <c r="N86" s="2"/>
      <c r="O86" s="2"/>
      <c r="P86" s="2"/>
      <c r="Q86" s="2"/>
      <c r="R86" s="1"/>
      <c r="S86" s="1"/>
      <c r="T86" s="1"/>
      <c r="U86" s="10"/>
      <c r="V86" s="10"/>
      <c r="W86" s="1"/>
    </row>
    <row r="87" spans="1:2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2"/>
      <c r="L87" s="2"/>
      <c r="M87" s="2"/>
      <c r="N87" s="2"/>
      <c r="O87" s="2"/>
      <c r="P87" s="2"/>
      <c r="Q87" s="2"/>
      <c r="R87" s="1"/>
      <c r="S87" s="1"/>
      <c r="T87" s="1"/>
      <c r="U87" s="10"/>
      <c r="V87" s="10"/>
      <c r="W87" s="1"/>
    </row>
    <row r="88" spans="1:2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2"/>
      <c r="L88" s="2"/>
      <c r="M88" s="2"/>
      <c r="N88" s="2"/>
      <c r="O88" s="2"/>
      <c r="P88" s="2"/>
      <c r="Q88" s="2"/>
      <c r="R88" s="1"/>
      <c r="S88" s="1"/>
      <c r="T88" s="1"/>
      <c r="U88" s="10"/>
      <c r="V88" s="10"/>
      <c r="W88" s="1"/>
    </row>
  </sheetData>
  <mergeCells count="5">
    <mergeCell ref="U1:V1"/>
    <mergeCell ref="C1:H1"/>
    <mergeCell ref="J1:O1"/>
    <mergeCell ref="P1:R1"/>
    <mergeCell ref="S1:T1"/>
  </mergeCells>
  <conditionalFormatting sqref="T4:T7">
    <cfRule type="expression" dxfId="9" priority="10">
      <formula>T4="Yes"</formula>
    </cfRule>
  </conditionalFormatting>
  <conditionalFormatting sqref="T4:T7">
    <cfRule type="expression" dxfId="8" priority="9">
      <formula>T4="No"</formula>
    </cfRule>
  </conditionalFormatting>
  <conditionalFormatting sqref="T8:T19">
    <cfRule type="expression" dxfId="7" priority="8">
      <formula>T8="Yes"</formula>
    </cfRule>
  </conditionalFormatting>
  <conditionalFormatting sqref="T8:T19">
    <cfRule type="expression" dxfId="6" priority="7">
      <formula>T8="No"</formula>
    </cfRule>
  </conditionalFormatting>
  <conditionalFormatting sqref="T20:T23 T36:T39">
    <cfRule type="expression" dxfId="5" priority="6">
      <formula>T20="Yes"</formula>
    </cfRule>
  </conditionalFormatting>
  <conditionalFormatting sqref="T20:T23 T36:T39">
    <cfRule type="expression" dxfId="4" priority="5">
      <formula>T20="No"</formula>
    </cfRule>
  </conditionalFormatting>
  <conditionalFormatting sqref="T24:T35 T40:T51">
    <cfRule type="expression" dxfId="3" priority="4">
      <formula>T24="Yes"</formula>
    </cfRule>
  </conditionalFormatting>
  <conditionalFormatting sqref="T24:T35 T40:T51">
    <cfRule type="expression" dxfId="2" priority="3">
      <formula>T24="No"</formula>
    </cfRule>
  </conditionalFormatting>
  <conditionalFormatting sqref="T52:T88">
    <cfRule type="expression" dxfId="1" priority="2">
      <formula>T52="Yes"</formula>
    </cfRule>
  </conditionalFormatting>
  <conditionalFormatting sqref="T52:T88">
    <cfRule type="expression" dxfId="0" priority="1">
      <formula>T52="No"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D1:G2"/>
  <sheetViews>
    <sheetView workbookViewId="0">
      <selection activeCell="G2" sqref="G2"/>
    </sheetView>
  </sheetViews>
  <sheetFormatPr defaultColWidth="9.140625" defaultRowHeight="15" x14ac:dyDescent="0.25"/>
  <cols>
    <col min="2" max="2" width="8" bestFit="1" customWidth="1"/>
    <col min="3" max="3" width="10" bestFit="1" customWidth="1"/>
    <col min="4" max="4" width="12" bestFit="1" customWidth="1"/>
    <col min="5" max="5" width="9" bestFit="1" customWidth="1"/>
    <col min="6" max="6" width="15.42578125" customWidth="1"/>
    <col min="7" max="7" width="17.85546875" customWidth="1"/>
    <col min="8" max="8" width="15.42578125" customWidth="1"/>
  </cols>
  <sheetData>
    <row r="1" spans="4:7" x14ac:dyDescent="0.25">
      <c r="D1" s="5"/>
      <c r="F1" t="s">
        <v>535</v>
      </c>
      <c r="G1" t="s">
        <v>570</v>
      </c>
    </row>
    <row r="2" spans="4:7" x14ac:dyDescent="0.25">
      <c r="D2" s="5"/>
      <c r="F2" t="s">
        <v>4</v>
      </c>
      <c r="G2" t="s">
        <v>569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E16"/>
  <sheetViews>
    <sheetView workbookViewId="0">
      <selection activeCell="E16" sqref="E16"/>
    </sheetView>
  </sheetViews>
  <sheetFormatPr defaultColWidth="9.140625" defaultRowHeight="15" x14ac:dyDescent="0.25"/>
  <sheetData>
    <row r="16" spans="5:5" x14ac:dyDescent="0.25">
      <c r="E16">
        <v>450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SM643"/>
  <sheetViews>
    <sheetView workbookViewId="0">
      <selection activeCell="R33" sqref="R33"/>
    </sheetView>
  </sheetViews>
  <sheetFormatPr defaultColWidth="9.140625" defaultRowHeight="15" x14ac:dyDescent="0.25"/>
  <cols>
    <col min="1" max="1" width="1.85546875" bestFit="1" customWidth="1"/>
    <col min="2" max="2" width="60.85546875" bestFit="1" customWidth="1"/>
    <col min="3" max="3" width="32" bestFit="1" customWidth="1"/>
    <col min="4" max="4" width="22.42578125" bestFit="1" customWidth="1"/>
    <col min="5" max="5" width="23.7109375" bestFit="1" customWidth="1"/>
    <col min="6" max="6" width="14" bestFit="1" customWidth="1"/>
    <col min="7" max="8" width="13.42578125" bestFit="1" customWidth="1"/>
    <col min="9" max="9" width="13.5703125" bestFit="1" customWidth="1"/>
    <col min="10" max="10" width="23.7109375" bestFit="1" customWidth="1"/>
    <col min="11" max="11" width="10.5703125" bestFit="1" customWidth="1"/>
    <col min="12" max="12" width="12" bestFit="1" customWidth="1"/>
    <col min="13" max="13" width="14.42578125" bestFit="1" customWidth="1"/>
    <col min="14" max="14" width="10.140625" bestFit="1" customWidth="1"/>
    <col min="15" max="15" width="13.5703125" bestFit="1" customWidth="1"/>
    <col min="16" max="16" width="11.140625" bestFit="1" customWidth="1"/>
    <col min="17" max="17" width="10" bestFit="1" customWidth="1"/>
    <col min="18" max="18" width="6.42578125" bestFit="1" customWidth="1"/>
    <col min="19" max="19" width="9.140625" bestFit="1" customWidth="1"/>
    <col min="20" max="20" width="6.42578125" bestFit="1" customWidth="1"/>
    <col min="21" max="21" width="3.28515625" bestFit="1" customWidth="1"/>
    <col min="22" max="22" width="2.28515625" bestFit="1" customWidth="1"/>
    <col min="23" max="23" width="1.85546875" bestFit="1" customWidth="1"/>
    <col min="24" max="24" width="2.28515625" bestFit="1" customWidth="1"/>
    <col min="25" max="26" width="2.140625" bestFit="1" customWidth="1"/>
    <col min="27" max="27" width="1.85546875" bestFit="1" customWidth="1"/>
    <col min="28" max="28" width="2.140625" bestFit="1" customWidth="1"/>
    <col min="29" max="225" width="1.85546875" bestFit="1" customWidth="1"/>
    <col min="226" max="229" width="2" customWidth="1"/>
    <col min="230" max="230" width="2" bestFit="1" customWidth="1"/>
    <col min="231" max="242" width="2" customWidth="1"/>
    <col min="243" max="243" width="2" bestFit="1" customWidth="1"/>
    <col min="244" max="255" width="2" customWidth="1"/>
    <col min="256" max="256" width="2" bestFit="1" customWidth="1"/>
    <col min="257" max="268" width="2" customWidth="1"/>
    <col min="269" max="269" width="2" bestFit="1" customWidth="1"/>
    <col min="270" max="281" width="2" customWidth="1"/>
    <col min="282" max="282" width="2" bestFit="1" customWidth="1"/>
    <col min="283" max="294" width="2" customWidth="1"/>
    <col min="295" max="295" width="2" bestFit="1" customWidth="1"/>
    <col min="296" max="307" width="2" customWidth="1"/>
    <col min="308" max="308" width="2" bestFit="1" customWidth="1"/>
    <col min="309" max="320" width="2" customWidth="1"/>
    <col min="321" max="321" width="2" bestFit="1" customWidth="1"/>
    <col min="322" max="333" width="2" customWidth="1"/>
    <col min="334" max="334" width="2" bestFit="1" customWidth="1"/>
    <col min="335" max="346" width="2" customWidth="1"/>
    <col min="347" max="347" width="2" bestFit="1" customWidth="1"/>
    <col min="348" max="353" width="2" customWidth="1"/>
    <col min="354" max="354" width="2" bestFit="1" customWidth="1"/>
    <col min="355" max="359" width="2" customWidth="1"/>
    <col min="360" max="361" width="2" bestFit="1" customWidth="1"/>
    <col min="362" max="371" width="2" customWidth="1"/>
    <col min="372" max="373" width="2" bestFit="1" customWidth="1"/>
    <col min="374" max="383" width="2" customWidth="1"/>
    <col min="384" max="385" width="2" bestFit="1" customWidth="1"/>
    <col min="386" max="395" width="2" customWidth="1"/>
    <col min="396" max="397" width="2" bestFit="1" customWidth="1"/>
    <col min="398" max="407" width="2" customWidth="1"/>
    <col min="408" max="409" width="2" bestFit="1" customWidth="1"/>
    <col min="410" max="419" width="2" customWidth="1"/>
    <col min="420" max="421" width="2" bestFit="1" customWidth="1"/>
    <col min="422" max="422" width="2" customWidth="1"/>
    <col min="423" max="424" width="2" bestFit="1" customWidth="1"/>
    <col min="425" max="425" width="2" customWidth="1"/>
    <col min="426" max="427" width="2" bestFit="1" customWidth="1"/>
    <col min="428" max="439" width="2" customWidth="1"/>
    <col min="440" max="469" width="2" bestFit="1" customWidth="1"/>
    <col min="470" max="474" width="2" customWidth="1"/>
    <col min="475" max="475" width="2" bestFit="1" customWidth="1"/>
    <col min="476" max="486" width="2" customWidth="1"/>
    <col min="487" max="487" width="2" bestFit="1" customWidth="1"/>
    <col min="488" max="498" width="2" customWidth="1"/>
    <col min="499" max="499" width="2" bestFit="1" customWidth="1"/>
    <col min="500" max="507" width="2" customWidth="1"/>
  </cols>
  <sheetData>
    <row r="3" spans="5:483" x14ac:dyDescent="0.25"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</row>
    <row r="23" spans="4:198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</row>
    <row r="36" spans="31:507" x14ac:dyDescent="0.25">
      <c r="AE36" t="s">
        <v>23</v>
      </c>
      <c r="AF36" t="s">
        <v>23</v>
      </c>
      <c r="AG36" t="s">
        <v>23</v>
      </c>
      <c r="AH36" t="s">
        <v>23</v>
      </c>
      <c r="AI36" t="s">
        <v>23</v>
      </c>
      <c r="AJ36" t="s">
        <v>23</v>
      </c>
      <c r="AK36" t="s">
        <v>23</v>
      </c>
      <c r="AL36" t="s">
        <v>23</v>
      </c>
      <c r="AM36" t="s">
        <v>23</v>
      </c>
      <c r="AN36" t="s">
        <v>23</v>
      </c>
      <c r="AO36" t="s">
        <v>23</v>
      </c>
      <c r="AP36" t="s">
        <v>23</v>
      </c>
      <c r="AQ36" t="s">
        <v>23</v>
      </c>
      <c r="AR36" t="s">
        <v>23</v>
      </c>
      <c r="AS36" t="s">
        <v>23</v>
      </c>
      <c r="AT36" t="s">
        <v>23</v>
      </c>
      <c r="AU36" t="s">
        <v>23</v>
      </c>
      <c r="AV36" t="s">
        <v>23</v>
      </c>
      <c r="AW36" t="s">
        <v>23</v>
      </c>
      <c r="AX36" t="s">
        <v>23</v>
      </c>
      <c r="AY36" t="s">
        <v>23</v>
      </c>
      <c r="AZ36" t="s">
        <v>23</v>
      </c>
      <c r="BA36" t="s">
        <v>23</v>
      </c>
      <c r="BB36" t="s">
        <v>23</v>
      </c>
      <c r="BC36" t="s">
        <v>23</v>
      </c>
      <c r="BD36" t="s">
        <v>23</v>
      </c>
      <c r="BE36" t="s">
        <v>23</v>
      </c>
      <c r="BF36" t="s">
        <v>23</v>
      </c>
      <c r="BG36" t="s">
        <v>23</v>
      </c>
      <c r="BH36" t="s">
        <v>23</v>
      </c>
      <c r="BI36" t="s">
        <v>23</v>
      </c>
      <c r="BJ36" t="s">
        <v>23</v>
      </c>
      <c r="BK36" t="s">
        <v>23</v>
      </c>
      <c r="BL36" t="s">
        <v>23</v>
      </c>
      <c r="BM36" t="s">
        <v>23</v>
      </c>
      <c r="BN36" t="s">
        <v>23</v>
      </c>
      <c r="BO36" t="s">
        <v>23</v>
      </c>
      <c r="BP36" t="s">
        <v>23</v>
      </c>
      <c r="BQ36" t="s">
        <v>23</v>
      </c>
      <c r="BR36" t="s">
        <v>23</v>
      </c>
      <c r="BS36" t="s">
        <v>23</v>
      </c>
      <c r="BT36" t="s">
        <v>23</v>
      </c>
      <c r="BU36" t="s">
        <v>23</v>
      </c>
      <c r="BV36" t="s">
        <v>23</v>
      </c>
      <c r="BW36" t="s">
        <v>23</v>
      </c>
      <c r="BX36" t="s">
        <v>23</v>
      </c>
      <c r="BY36" t="s">
        <v>23</v>
      </c>
      <c r="BZ36" t="s">
        <v>23</v>
      </c>
      <c r="CA36" t="s">
        <v>23</v>
      </c>
      <c r="CB36" t="s">
        <v>23</v>
      </c>
      <c r="CC36" t="s">
        <v>23</v>
      </c>
      <c r="CD36" t="s">
        <v>23</v>
      </c>
      <c r="CE36" t="s">
        <v>23</v>
      </c>
      <c r="CF36" t="s">
        <v>23</v>
      </c>
      <c r="CG36" t="s">
        <v>23</v>
      </c>
      <c r="CH36" t="s">
        <v>23</v>
      </c>
      <c r="CI36" t="s">
        <v>23</v>
      </c>
      <c r="CJ36" t="s">
        <v>23</v>
      </c>
      <c r="CK36" t="s">
        <v>23</v>
      </c>
      <c r="CL36" t="s">
        <v>23</v>
      </c>
      <c r="CM36" t="s">
        <v>23</v>
      </c>
      <c r="CN36" t="s">
        <v>23</v>
      </c>
      <c r="CO36" t="s">
        <v>23</v>
      </c>
      <c r="CP36" t="s">
        <v>23</v>
      </c>
      <c r="CQ36" t="s">
        <v>23</v>
      </c>
      <c r="CR36" t="s">
        <v>23</v>
      </c>
      <c r="CS36" t="s">
        <v>23</v>
      </c>
      <c r="CT36" t="s">
        <v>23</v>
      </c>
      <c r="CU36" t="s">
        <v>23</v>
      </c>
      <c r="CV36" t="s">
        <v>23</v>
      </c>
      <c r="CW36" t="s">
        <v>23</v>
      </c>
      <c r="CX36" t="s">
        <v>23</v>
      </c>
      <c r="CY36" t="s">
        <v>23</v>
      </c>
      <c r="CZ36" t="s">
        <v>23</v>
      </c>
      <c r="DA36" t="s">
        <v>23</v>
      </c>
      <c r="DB36" t="s">
        <v>23</v>
      </c>
      <c r="DC36" t="s">
        <v>23</v>
      </c>
      <c r="DD36" t="s">
        <v>23</v>
      </c>
      <c r="DE36" t="s">
        <v>23</v>
      </c>
      <c r="DF36" t="s">
        <v>23</v>
      </c>
      <c r="DG36" t="s">
        <v>23</v>
      </c>
      <c r="DH36" t="s">
        <v>23</v>
      </c>
      <c r="DI36" t="s">
        <v>23</v>
      </c>
      <c r="DJ36" t="s">
        <v>23</v>
      </c>
      <c r="DK36" t="s">
        <v>23</v>
      </c>
      <c r="DL36" t="s">
        <v>23</v>
      </c>
      <c r="DM36" t="s">
        <v>23</v>
      </c>
      <c r="DN36" t="s">
        <v>23</v>
      </c>
      <c r="DO36" t="s">
        <v>23</v>
      </c>
      <c r="DP36" t="s">
        <v>23</v>
      </c>
      <c r="DQ36" t="s">
        <v>23</v>
      </c>
      <c r="DR36" t="s">
        <v>23</v>
      </c>
      <c r="DS36" t="s">
        <v>23</v>
      </c>
      <c r="DT36" t="s">
        <v>23</v>
      </c>
      <c r="DU36" t="s">
        <v>23</v>
      </c>
      <c r="DV36" t="s">
        <v>23</v>
      </c>
      <c r="DW36" t="s">
        <v>23</v>
      </c>
      <c r="DX36" t="s">
        <v>23</v>
      </c>
      <c r="DY36" t="s">
        <v>23</v>
      </c>
      <c r="DZ36" t="s">
        <v>23</v>
      </c>
      <c r="EA36" t="s">
        <v>23</v>
      </c>
      <c r="EB36" t="s">
        <v>23</v>
      </c>
      <c r="EC36" t="s">
        <v>23</v>
      </c>
      <c r="ED36" t="s">
        <v>23</v>
      </c>
      <c r="EE36" t="s">
        <v>23</v>
      </c>
      <c r="EF36" t="s">
        <v>23</v>
      </c>
      <c r="EG36" t="s">
        <v>23</v>
      </c>
      <c r="EH36" t="s">
        <v>23</v>
      </c>
      <c r="EI36" t="s">
        <v>23</v>
      </c>
      <c r="EJ36" t="s">
        <v>23</v>
      </c>
      <c r="EK36" t="s">
        <v>23</v>
      </c>
      <c r="EL36" t="s">
        <v>23</v>
      </c>
      <c r="EM36" t="s">
        <v>23</v>
      </c>
      <c r="EN36" t="s">
        <v>23</v>
      </c>
      <c r="EO36" t="s">
        <v>23</v>
      </c>
      <c r="EP36" t="s">
        <v>23</v>
      </c>
      <c r="EQ36" t="s">
        <v>23</v>
      </c>
      <c r="ER36" t="s">
        <v>23</v>
      </c>
      <c r="ES36" t="s">
        <v>23</v>
      </c>
      <c r="ET36" t="s">
        <v>23</v>
      </c>
      <c r="EU36" t="s">
        <v>23</v>
      </c>
      <c r="EV36" t="s">
        <v>23</v>
      </c>
      <c r="EW36" t="s">
        <v>23</v>
      </c>
      <c r="EX36" t="s">
        <v>23</v>
      </c>
      <c r="EY36" t="s">
        <v>23</v>
      </c>
      <c r="EZ36" t="s">
        <v>23</v>
      </c>
      <c r="FA36" t="s">
        <v>23</v>
      </c>
      <c r="FB36" t="s">
        <v>23</v>
      </c>
      <c r="FC36" t="s">
        <v>23</v>
      </c>
      <c r="FD36" t="s">
        <v>23</v>
      </c>
      <c r="FE36" t="s">
        <v>23</v>
      </c>
      <c r="FF36" t="s">
        <v>23</v>
      </c>
      <c r="FG36" t="s">
        <v>23</v>
      </c>
      <c r="FH36" t="s">
        <v>23</v>
      </c>
      <c r="FI36" t="s">
        <v>23</v>
      </c>
      <c r="FJ36" t="s">
        <v>23</v>
      </c>
      <c r="FK36" t="s">
        <v>23</v>
      </c>
      <c r="FL36" t="s">
        <v>23</v>
      </c>
      <c r="FM36" t="s">
        <v>23</v>
      </c>
      <c r="FN36" t="s">
        <v>23</v>
      </c>
      <c r="FO36" t="s">
        <v>23</v>
      </c>
      <c r="FP36" t="s">
        <v>23</v>
      </c>
      <c r="FQ36" t="s">
        <v>23</v>
      </c>
      <c r="FR36" t="s">
        <v>23</v>
      </c>
      <c r="FS36" t="s">
        <v>23</v>
      </c>
      <c r="FT36" t="s">
        <v>23</v>
      </c>
      <c r="FU36" t="s">
        <v>23</v>
      </c>
      <c r="FV36" t="s">
        <v>23</v>
      </c>
      <c r="FW36" t="s">
        <v>23</v>
      </c>
      <c r="FX36" t="s">
        <v>23</v>
      </c>
      <c r="FY36" t="s">
        <v>23</v>
      </c>
      <c r="FZ36" t="s">
        <v>23</v>
      </c>
      <c r="GA36" t="s">
        <v>23</v>
      </c>
      <c r="GB36" t="s">
        <v>23</v>
      </c>
      <c r="GC36" t="s">
        <v>23</v>
      </c>
      <c r="GD36" t="s">
        <v>23</v>
      </c>
      <c r="GE36" t="s">
        <v>23</v>
      </c>
      <c r="GF36" t="s">
        <v>23</v>
      </c>
      <c r="GG36" t="s">
        <v>23</v>
      </c>
      <c r="GH36" t="s">
        <v>23</v>
      </c>
      <c r="GI36" t="s">
        <v>23</v>
      </c>
      <c r="GJ36" t="s">
        <v>23</v>
      </c>
      <c r="GK36" t="s">
        <v>23</v>
      </c>
      <c r="GL36" t="s">
        <v>23</v>
      </c>
      <c r="GM36" t="s">
        <v>23</v>
      </c>
      <c r="GN36" t="s">
        <v>23</v>
      </c>
      <c r="GO36" t="s">
        <v>23</v>
      </c>
      <c r="GP36" t="s">
        <v>23</v>
      </c>
      <c r="GQ36" t="s">
        <v>23</v>
      </c>
      <c r="GR36" t="s">
        <v>23</v>
      </c>
      <c r="GS36" t="s">
        <v>23</v>
      </c>
      <c r="GT36" t="s">
        <v>23</v>
      </c>
      <c r="GU36" t="s">
        <v>23</v>
      </c>
      <c r="GV36" t="s">
        <v>23</v>
      </c>
      <c r="GW36" t="s">
        <v>23</v>
      </c>
      <c r="GX36" t="s">
        <v>23</v>
      </c>
      <c r="GY36" t="s">
        <v>23</v>
      </c>
      <c r="GZ36" t="s">
        <v>23</v>
      </c>
      <c r="HA36" t="s">
        <v>23</v>
      </c>
      <c r="HB36" t="s">
        <v>23</v>
      </c>
      <c r="HC36" t="s">
        <v>23</v>
      </c>
      <c r="HD36" t="s">
        <v>23</v>
      </c>
      <c r="HE36" t="s">
        <v>23</v>
      </c>
      <c r="HF36" t="s">
        <v>23</v>
      </c>
      <c r="HG36" t="s">
        <v>23</v>
      </c>
      <c r="HH36" t="s">
        <v>23</v>
      </c>
      <c r="HI36" t="s">
        <v>23</v>
      </c>
      <c r="HJ36" t="s">
        <v>23</v>
      </c>
      <c r="HK36" t="s">
        <v>23</v>
      </c>
      <c r="HL36" t="s">
        <v>23</v>
      </c>
      <c r="HM36" t="s">
        <v>23</v>
      </c>
      <c r="HN36" t="s">
        <v>23</v>
      </c>
      <c r="HO36" t="s">
        <v>23</v>
      </c>
      <c r="HP36" t="s">
        <v>23</v>
      </c>
      <c r="HQ36" t="s">
        <v>23</v>
      </c>
    </row>
    <row r="37" spans="31:507" x14ac:dyDescent="0.25">
      <c r="HR37" t="s">
        <v>23</v>
      </c>
      <c r="HS37" t="s">
        <v>23</v>
      </c>
      <c r="HT37" t="s">
        <v>23</v>
      </c>
      <c r="HU37" t="s">
        <v>23</v>
      </c>
      <c r="HV37" t="s">
        <v>23</v>
      </c>
      <c r="HW37" t="s">
        <v>23</v>
      </c>
      <c r="HX37" t="s">
        <v>23</v>
      </c>
      <c r="HY37" t="s">
        <v>23</v>
      </c>
      <c r="HZ37" t="s">
        <v>23</v>
      </c>
      <c r="IA37" t="s">
        <v>23</v>
      </c>
      <c r="IB37" t="s">
        <v>23</v>
      </c>
      <c r="IC37" t="s">
        <v>23</v>
      </c>
      <c r="ID37" t="s">
        <v>23</v>
      </c>
      <c r="IE37" t="s">
        <v>23</v>
      </c>
      <c r="IF37" t="s">
        <v>23</v>
      </c>
      <c r="IG37" t="s">
        <v>23</v>
      </c>
      <c r="IH37" t="s">
        <v>23</v>
      </c>
      <c r="II37" t="s">
        <v>23</v>
      </c>
      <c r="IJ37" t="s">
        <v>23</v>
      </c>
      <c r="IK37" t="s">
        <v>23</v>
      </c>
      <c r="IL37" t="s">
        <v>23</v>
      </c>
      <c r="IM37" t="s">
        <v>23</v>
      </c>
      <c r="IN37" t="s">
        <v>23</v>
      </c>
      <c r="IO37" t="s">
        <v>23</v>
      </c>
      <c r="IP37" t="s">
        <v>23</v>
      </c>
      <c r="IQ37" t="s">
        <v>23</v>
      </c>
      <c r="IR37" t="s">
        <v>23</v>
      </c>
      <c r="IS37" t="s">
        <v>23</v>
      </c>
      <c r="IT37" t="s">
        <v>23</v>
      </c>
      <c r="IU37" t="s">
        <v>23</v>
      </c>
      <c r="IV37" t="s">
        <v>23</v>
      </c>
      <c r="IW37" t="s">
        <v>23</v>
      </c>
      <c r="IX37" t="s">
        <v>23</v>
      </c>
      <c r="IY37" t="s">
        <v>23</v>
      </c>
      <c r="IZ37" t="s">
        <v>23</v>
      </c>
      <c r="JA37" t="s">
        <v>23</v>
      </c>
      <c r="JB37" t="s">
        <v>23</v>
      </c>
      <c r="JC37" t="s">
        <v>23</v>
      </c>
      <c r="JD37" t="s">
        <v>23</v>
      </c>
      <c r="JE37" t="s">
        <v>23</v>
      </c>
      <c r="JF37" t="s">
        <v>23</v>
      </c>
      <c r="JG37" t="s">
        <v>23</v>
      </c>
      <c r="JH37" t="s">
        <v>23</v>
      </c>
      <c r="JI37" t="s">
        <v>23</v>
      </c>
      <c r="JJ37" t="s">
        <v>23</v>
      </c>
      <c r="JK37" t="s">
        <v>23</v>
      </c>
      <c r="JL37" t="s">
        <v>23</v>
      </c>
      <c r="JM37" t="s">
        <v>23</v>
      </c>
      <c r="JN37" t="s">
        <v>23</v>
      </c>
      <c r="JO37" t="s">
        <v>23</v>
      </c>
      <c r="JP37" t="s">
        <v>23</v>
      </c>
      <c r="JQ37" t="s">
        <v>23</v>
      </c>
      <c r="JR37" t="s">
        <v>23</v>
      </c>
      <c r="JS37" t="s">
        <v>23</v>
      </c>
      <c r="JT37" t="s">
        <v>23</v>
      </c>
      <c r="JU37" t="s">
        <v>23</v>
      </c>
      <c r="JV37" t="s">
        <v>23</v>
      </c>
      <c r="JW37" t="s">
        <v>23</v>
      </c>
      <c r="JX37" t="s">
        <v>23</v>
      </c>
      <c r="JY37" t="s">
        <v>23</v>
      </c>
      <c r="JZ37" t="s">
        <v>23</v>
      </c>
      <c r="KA37" t="s">
        <v>23</v>
      </c>
      <c r="KB37" t="s">
        <v>23</v>
      </c>
      <c r="KC37" t="s">
        <v>23</v>
      </c>
      <c r="KD37" t="s">
        <v>23</v>
      </c>
      <c r="KE37" t="s">
        <v>23</v>
      </c>
      <c r="KF37" t="s">
        <v>23</v>
      </c>
      <c r="KG37" t="s">
        <v>23</v>
      </c>
      <c r="KH37" t="s">
        <v>23</v>
      </c>
      <c r="KI37" t="s">
        <v>23</v>
      </c>
      <c r="KJ37" t="s">
        <v>23</v>
      </c>
      <c r="KK37" t="s">
        <v>23</v>
      </c>
      <c r="KL37" t="s">
        <v>23</v>
      </c>
      <c r="KM37" t="s">
        <v>23</v>
      </c>
      <c r="KN37" t="s">
        <v>23</v>
      </c>
      <c r="KO37" t="s">
        <v>23</v>
      </c>
      <c r="KP37" t="s">
        <v>23</v>
      </c>
      <c r="KQ37" t="s">
        <v>23</v>
      </c>
      <c r="KR37" t="s">
        <v>23</v>
      </c>
      <c r="KS37" t="s">
        <v>23</v>
      </c>
      <c r="KT37" t="s">
        <v>23</v>
      </c>
      <c r="KU37" t="s">
        <v>23</v>
      </c>
      <c r="KV37" t="s">
        <v>23</v>
      </c>
      <c r="KW37" t="s">
        <v>23</v>
      </c>
      <c r="KX37" t="s">
        <v>23</v>
      </c>
      <c r="KY37" t="s">
        <v>23</v>
      </c>
      <c r="KZ37" t="s">
        <v>23</v>
      </c>
      <c r="LA37" t="s">
        <v>23</v>
      </c>
      <c r="LB37" t="s">
        <v>23</v>
      </c>
      <c r="LC37" t="s">
        <v>23</v>
      </c>
      <c r="LD37" t="s">
        <v>23</v>
      </c>
      <c r="LE37" t="s">
        <v>23</v>
      </c>
      <c r="LF37" t="s">
        <v>23</v>
      </c>
      <c r="LG37" t="s">
        <v>23</v>
      </c>
      <c r="LH37" t="s">
        <v>23</v>
      </c>
      <c r="LI37" t="s">
        <v>23</v>
      </c>
      <c r="LJ37" t="s">
        <v>23</v>
      </c>
      <c r="LK37" t="s">
        <v>23</v>
      </c>
      <c r="LL37" t="s">
        <v>23</v>
      </c>
      <c r="LM37" t="s">
        <v>23</v>
      </c>
      <c r="LN37" t="s">
        <v>23</v>
      </c>
      <c r="LO37" t="s">
        <v>23</v>
      </c>
      <c r="LP37" t="s">
        <v>23</v>
      </c>
      <c r="LQ37" t="s">
        <v>23</v>
      </c>
      <c r="LR37" t="s">
        <v>23</v>
      </c>
      <c r="LS37" t="s">
        <v>23</v>
      </c>
      <c r="LT37" t="s">
        <v>23</v>
      </c>
      <c r="LU37" t="s">
        <v>23</v>
      </c>
      <c r="LV37" t="s">
        <v>23</v>
      </c>
      <c r="LW37" t="s">
        <v>23</v>
      </c>
      <c r="LX37" t="s">
        <v>23</v>
      </c>
      <c r="LY37" t="s">
        <v>23</v>
      </c>
      <c r="LZ37" t="s">
        <v>23</v>
      </c>
      <c r="MA37" t="s">
        <v>23</v>
      </c>
      <c r="MB37" t="s">
        <v>23</v>
      </c>
      <c r="MC37" t="s">
        <v>23</v>
      </c>
      <c r="MD37" t="s">
        <v>23</v>
      </c>
      <c r="ME37" t="s">
        <v>23</v>
      </c>
      <c r="MF37" t="s">
        <v>23</v>
      </c>
      <c r="MG37" t="s">
        <v>23</v>
      </c>
      <c r="MH37" t="s">
        <v>23</v>
      </c>
      <c r="MI37" t="s">
        <v>23</v>
      </c>
      <c r="MJ37" t="s">
        <v>23</v>
      </c>
      <c r="MK37" t="s">
        <v>23</v>
      </c>
      <c r="ML37" t="s">
        <v>23</v>
      </c>
      <c r="MM37" t="s">
        <v>23</v>
      </c>
      <c r="MN37" t="s">
        <v>23</v>
      </c>
      <c r="MO37" t="s">
        <v>23</v>
      </c>
      <c r="MP37" t="s">
        <v>23</v>
      </c>
      <c r="MQ37" t="s">
        <v>23</v>
      </c>
      <c r="MR37" t="s">
        <v>23</v>
      </c>
      <c r="MS37" t="s">
        <v>23</v>
      </c>
      <c r="MT37" t="s">
        <v>23</v>
      </c>
      <c r="MU37" t="s">
        <v>23</v>
      </c>
      <c r="MV37" t="s">
        <v>23</v>
      </c>
      <c r="MW37" t="s">
        <v>23</v>
      </c>
      <c r="MX37" t="s">
        <v>23</v>
      </c>
      <c r="MY37" t="s">
        <v>23</v>
      </c>
      <c r="MZ37" t="s">
        <v>23</v>
      </c>
      <c r="NA37" t="s">
        <v>23</v>
      </c>
      <c r="NB37" t="s">
        <v>23</v>
      </c>
      <c r="NC37" t="s">
        <v>23</v>
      </c>
      <c r="ND37" t="s">
        <v>23</v>
      </c>
      <c r="NE37" t="s">
        <v>23</v>
      </c>
      <c r="NF37" t="s">
        <v>23</v>
      </c>
      <c r="NG37" t="s">
        <v>23</v>
      </c>
      <c r="NH37" t="s">
        <v>23</v>
      </c>
      <c r="NI37" t="s">
        <v>23</v>
      </c>
      <c r="NJ37" t="s">
        <v>23</v>
      </c>
      <c r="NK37" t="s">
        <v>23</v>
      </c>
      <c r="NL37" t="s">
        <v>23</v>
      </c>
      <c r="NM37" t="s">
        <v>23</v>
      </c>
      <c r="NN37" t="s">
        <v>23</v>
      </c>
      <c r="NO37" t="s">
        <v>23</v>
      </c>
      <c r="NP37" t="s">
        <v>23</v>
      </c>
      <c r="NQ37" t="s">
        <v>23</v>
      </c>
      <c r="NR37" t="s">
        <v>23</v>
      </c>
      <c r="NS37" t="s">
        <v>23</v>
      </c>
      <c r="NT37" t="s">
        <v>23</v>
      </c>
      <c r="NU37" t="s">
        <v>23</v>
      </c>
      <c r="NV37" t="s">
        <v>23</v>
      </c>
      <c r="NW37" t="s">
        <v>23</v>
      </c>
      <c r="NX37" t="s">
        <v>23</v>
      </c>
      <c r="NY37" t="s">
        <v>23</v>
      </c>
      <c r="NZ37" t="s">
        <v>23</v>
      </c>
      <c r="OA37" t="s">
        <v>23</v>
      </c>
      <c r="OB37" t="s">
        <v>23</v>
      </c>
      <c r="OC37" t="s">
        <v>23</v>
      </c>
      <c r="OD37" t="s">
        <v>23</v>
      </c>
      <c r="OE37" t="s">
        <v>23</v>
      </c>
      <c r="OF37" t="s">
        <v>23</v>
      </c>
      <c r="OG37" t="s">
        <v>23</v>
      </c>
      <c r="OH37" t="s">
        <v>23</v>
      </c>
      <c r="OI37" t="s">
        <v>23</v>
      </c>
      <c r="OJ37" t="s">
        <v>23</v>
      </c>
      <c r="OK37" t="s">
        <v>23</v>
      </c>
      <c r="OL37" t="s">
        <v>23</v>
      </c>
      <c r="OM37" t="s">
        <v>23</v>
      </c>
      <c r="ON37" t="s">
        <v>23</v>
      </c>
      <c r="OO37" t="s">
        <v>23</v>
      </c>
      <c r="OP37" t="s">
        <v>23</v>
      </c>
      <c r="OQ37" t="s">
        <v>23</v>
      </c>
      <c r="OR37" t="s">
        <v>23</v>
      </c>
      <c r="OS37" t="s">
        <v>23</v>
      </c>
      <c r="OT37" t="s">
        <v>23</v>
      </c>
      <c r="OU37" t="s">
        <v>23</v>
      </c>
      <c r="OV37" t="s">
        <v>23</v>
      </c>
      <c r="OW37" t="s">
        <v>23</v>
      </c>
      <c r="OX37" t="s">
        <v>23</v>
      </c>
      <c r="OY37" t="s">
        <v>23</v>
      </c>
      <c r="OZ37" t="s">
        <v>23</v>
      </c>
      <c r="PA37" t="s">
        <v>23</v>
      </c>
      <c r="PB37" t="s">
        <v>23</v>
      </c>
      <c r="PC37" t="s">
        <v>23</v>
      </c>
      <c r="PD37" t="s">
        <v>23</v>
      </c>
      <c r="PE37" t="s">
        <v>23</v>
      </c>
      <c r="PF37" t="s">
        <v>23</v>
      </c>
      <c r="PG37" t="s">
        <v>23</v>
      </c>
      <c r="PH37" t="s">
        <v>23</v>
      </c>
      <c r="PI37" t="s">
        <v>23</v>
      </c>
      <c r="PJ37" t="s">
        <v>23</v>
      </c>
      <c r="PK37" t="s">
        <v>23</v>
      </c>
      <c r="PL37" t="s">
        <v>23</v>
      </c>
      <c r="PM37" t="s">
        <v>23</v>
      </c>
      <c r="PN37" t="s">
        <v>23</v>
      </c>
      <c r="PO37" t="s">
        <v>23</v>
      </c>
      <c r="PP37" t="s">
        <v>23</v>
      </c>
      <c r="PQ37" t="s">
        <v>23</v>
      </c>
      <c r="PR37" t="s">
        <v>23</v>
      </c>
      <c r="PS37" t="s">
        <v>23</v>
      </c>
      <c r="PT37" t="s">
        <v>23</v>
      </c>
      <c r="PU37" t="s">
        <v>23</v>
      </c>
      <c r="PV37" t="s">
        <v>23</v>
      </c>
      <c r="PW37" t="s">
        <v>23</v>
      </c>
      <c r="PX37" t="s">
        <v>23</v>
      </c>
      <c r="PY37" t="s">
        <v>23</v>
      </c>
      <c r="PZ37" t="s">
        <v>23</v>
      </c>
      <c r="QA37" t="s">
        <v>23</v>
      </c>
      <c r="QB37" t="s">
        <v>23</v>
      </c>
      <c r="QC37" t="s">
        <v>23</v>
      </c>
      <c r="QD37" t="s">
        <v>23</v>
      </c>
      <c r="QE37" t="s">
        <v>23</v>
      </c>
      <c r="QF37" t="s">
        <v>23</v>
      </c>
      <c r="QG37" t="s">
        <v>23</v>
      </c>
      <c r="QH37" t="s">
        <v>23</v>
      </c>
      <c r="QI37" t="s">
        <v>23</v>
      </c>
      <c r="QJ37" t="s">
        <v>23</v>
      </c>
      <c r="QK37" t="s">
        <v>23</v>
      </c>
      <c r="QL37" t="s">
        <v>23</v>
      </c>
      <c r="QM37" t="s">
        <v>23</v>
      </c>
      <c r="QN37" t="s">
        <v>23</v>
      </c>
      <c r="QO37" t="s">
        <v>23</v>
      </c>
      <c r="QP37" t="s">
        <v>23</v>
      </c>
      <c r="QQ37" t="s">
        <v>23</v>
      </c>
      <c r="QR37" t="s">
        <v>23</v>
      </c>
      <c r="QS37" t="s">
        <v>23</v>
      </c>
      <c r="QT37" t="s">
        <v>23</v>
      </c>
      <c r="QU37" t="s">
        <v>23</v>
      </c>
      <c r="QV37" t="s">
        <v>23</v>
      </c>
      <c r="QW37" t="s">
        <v>23</v>
      </c>
      <c r="QX37" t="s">
        <v>23</v>
      </c>
      <c r="QY37" t="s">
        <v>23</v>
      </c>
      <c r="QZ37" t="s">
        <v>23</v>
      </c>
      <c r="RA37" t="s">
        <v>23</v>
      </c>
      <c r="RB37" t="s">
        <v>23</v>
      </c>
      <c r="RC37" t="s">
        <v>23</v>
      </c>
      <c r="RD37" t="s">
        <v>23</v>
      </c>
      <c r="RE37" t="s">
        <v>23</v>
      </c>
      <c r="RF37" t="s">
        <v>23</v>
      </c>
      <c r="RG37" t="s">
        <v>23</v>
      </c>
      <c r="RH37" t="s">
        <v>23</v>
      </c>
      <c r="RI37" t="s">
        <v>23</v>
      </c>
      <c r="RJ37" t="s">
        <v>23</v>
      </c>
      <c r="RK37" t="s">
        <v>23</v>
      </c>
      <c r="RL37" t="s">
        <v>23</v>
      </c>
      <c r="RM37" t="s">
        <v>23</v>
      </c>
      <c r="RN37" t="s">
        <v>23</v>
      </c>
      <c r="RO37" t="s">
        <v>23</v>
      </c>
      <c r="RP37" t="s">
        <v>23</v>
      </c>
      <c r="RQ37" t="s">
        <v>23</v>
      </c>
      <c r="RR37" t="s">
        <v>23</v>
      </c>
      <c r="RS37" t="s">
        <v>23</v>
      </c>
      <c r="RT37" t="s">
        <v>23</v>
      </c>
      <c r="RU37" t="s">
        <v>23</v>
      </c>
      <c r="RV37" t="s">
        <v>23</v>
      </c>
      <c r="RW37" t="s">
        <v>23</v>
      </c>
      <c r="RX37" t="s">
        <v>23</v>
      </c>
      <c r="RY37" t="s">
        <v>23</v>
      </c>
      <c r="RZ37" t="s">
        <v>23</v>
      </c>
      <c r="SA37" t="s">
        <v>23</v>
      </c>
      <c r="SB37" t="s">
        <v>23</v>
      </c>
      <c r="SC37" t="s">
        <v>23</v>
      </c>
      <c r="SD37" t="s">
        <v>23</v>
      </c>
      <c r="SE37" t="s">
        <v>23</v>
      </c>
      <c r="SF37" t="s">
        <v>23</v>
      </c>
      <c r="SG37" t="s">
        <v>23</v>
      </c>
      <c r="SH37" t="s">
        <v>23</v>
      </c>
      <c r="SI37" t="s">
        <v>23</v>
      </c>
      <c r="SJ37" t="s">
        <v>23</v>
      </c>
      <c r="SK37" t="s">
        <v>23</v>
      </c>
      <c r="SL37" t="s">
        <v>23</v>
      </c>
      <c r="SM37" t="s">
        <v>23</v>
      </c>
    </row>
    <row r="55" spans="31:507" x14ac:dyDescent="0.25">
      <c r="HR55" t="s">
        <v>23</v>
      </c>
      <c r="HS55" t="s">
        <v>23</v>
      </c>
      <c r="HT55" t="s">
        <v>23</v>
      </c>
      <c r="HU55" t="s">
        <v>23</v>
      </c>
      <c r="HV55" t="s">
        <v>23</v>
      </c>
      <c r="HW55" t="s">
        <v>23</v>
      </c>
      <c r="HX55" t="s">
        <v>23</v>
      </c>
      <c r="HY55" t="s">
        <v>23</v>
      </c>
      <c r="HZ55" t="s">
        <v>23</v>
      </c>
      <c r="IA55" t="s">
        <v>23</v>
      </c>
      <c r="IB55" t="s">
        <v>23</v>
      </c>
      <c r="IC55" t="s">
        <v>23</v>
      </c>
      <c r="ID55" t="s">
        <v>23</v>
      </c>
      <c r="IE55" t="s">
        <v>23</v>
      </c>
      <c r="IF55" t="s">
        <v>23</v>
      </c>
      <c r="IG55" t="s">
        <v>23</v>
      </c>
      <c r="IH55" t="s">
        <v>23</v>
      </c>
      <c r="II55" t="s">
        <v>23</v>
      </c>
      <c r="IJ55" t="s">
        <v>23</v>
      </c>
      <c r="IK55" t="s">
        <v>23</v>
      </c>
      <c r="IL55" t="s">
        <v>23</v>
      </c>
      <c r="IM55" t="s">
        <v>23</v>
      </c>
      <c r="IN55" t="s">
        <v>23</v>
      </c>
      <c r="IO55" t="s">
        <v>23</v>
      </c>
      <c r="IP55" t="s">
        <v>23</v>
      </c>
      <c r="IQ55" t="s">
        <v>23</v>
      </c>
      <c r="IR55" t="s">
        <v>23</v>
      </c>
      <c r="IS55" t="s">
        <v>23</v>
      </c>
      <c r="IT55" t="s">
        <v>23</v>
      </c>
      <c r="IU55" t="s">
        <v>23</v>
      </c>
      <c r="IV55" t="s">
        <v>23</v>
      </c>
      <c r="IW55" t="s">
        <v>23</v>
      </c>
      <c r="IX55" t="s">
        <v>23</v>
      </c>
      <c r="IY55" t="s">
        <v>23</v>
      </c>
      <c r="IZ55" t="s">
        <v>23</v>
      </c>
      <c r="JA55" t="s">
        <v>23</v>
      </c>
      <c r="JB55" t="s">
        <v>23</v>
      </c>
      <c r="JC55" t="s">
        <v>23</v>
      </c>
      <c r="JD55" t="s">
        <v>23</v>
      </c>
      <c r="JE55" t="s">
        <v>23</v>
      </c>
      <c r="JF55" t="s">
        <v>23</v>
      </c>
      <c r="JG55" t="s">
        <v>23</v>
      </c>
      <c r="JH55" t="s">
        <v>23</v>
      </c>
      <c r="JI55" t="s">
        <v>23</v>
      </c>
      <c r="JJ55" t="s">
        <v>23</v>
      </c>
      <c r="JK55" t="s">
        <v>23</v>
      </c>
      <c r="JL55" t="s">
        <v>23</v>
      </c>
      <c r="JM55" t="s">
        <v>23</v>
      </c>
      <c r="JN55" t="s">
        <v>23</v>
      </c>
      <c r="JO55" t="s">
        <v>23</v>
      </c>
      <c r="JP55" t="s">
        <v>23</v>
      </c>
      <c r="JQ55" t="s">
        <v>23</v>
      </c>
      <c r="JR55" t="s">
        <v>23</v>
      </c>
      <c r="JS55" t="s">
        <v>23</v>
      </c>
      <c r="JT55" t="s">
        <v>23</v>
      </c>
      <c r="JU55" t="s">
        <v>23</v>
      </c>
      <c r="JV55" t="s">
        <v>23</v>
      </c>
      <c r="JW55" t="s">
        <v>23</v>
      </c>
      <c r="JX55" t="s">
        <v>23</v>
      </c>
      <c r="JY55" t="s">
        <v>23</v>
      </c>
      <c r="JZ55" t="s">
        <v>23</v>
      </c>
      <c r="KA55" t="s">
        <v>23</v>
      </c>
      <c r="KB55" t="s">
        <v>23</v>
      </c>
      <c r="KC55" t="s">
        <v>23</v>
      </c>
      <c r="KD55" t="s">
        <v>23</v>
      </c>
      <c r="KE55" t="s">
        <v>23</v>
      </c>
      <c r="KF55" t="s">
        <v>23</v>
      </c>
      <c r="KG55" t="s">
        <v>23</v>
      </c>
      <c r="KH55" t="s">
        <v>23</v>
      </c>
      <c r="KI55" t="s">
        <v>23</v>
      </c>
      <c r="KJ55" t="s">
        <v>23</v>
      </c>
      <c r="KK55" t="s">
        <v>23</v>
      </c>
      <c r="KL55" t="s">
        <v>23</v>
      </c>
      <c r="KM55" t="s">
        <v>23</v>
      </c>
      <c r="KN55" t="s">
        <v>23</v>
      </c>
      <c r="KO55" t="s">
        <v>23</v>
      </c>
      <c r="KP55" t="s">
        <v>23</v>
      </c>
      <c r="KQ55" t="s">
        <v>23</v>
      </c>
      <c r="KR55" t="s">
        <v>23</v>
      </c>
      <c r="KS55" t="s">
        <v>23</v>
      </c>
      <c r="KT55" t="s">
        <v>23</v>
      </c>
      <c r="KU55" t="s">
        <v>23</v>
      </c>
      <c r="KV55" t="s">
        <v>23</v>
      </c>
      <c r="KW55" t="s">
        <v>23</v>
      </c>
      <c r="KX55" t="s">
        <v>23</v>
      </c>
      <c r="KY55" t="s">
        <v>23</v>
      </c>
      <c r="KZ55" t="s">
        <v>23</v>
      </c>
      <c r="LA55" t="s">
        <v>23</v>
      </c>
      <c r="LB55" t="s">
        <v>23</v>
      </c>
      <c r="LC55" t="s">
        <v>23</v>
      </c>
      <c r="LD55" t="s">
        <v>23</v>
      </c>
      <c r="LE55" t="s">
        <v>23</v>
      </c>
      <c r="LF55" t="s">
        <v>23</v>
      </c>
      <c r="LG55" t="s">
        <v>23</v>
      </c>
      <c r="LH55" t="s">
        <v>23</v>
      </c>
      <c r="LI55" t="s">
        <v>23</v>
      </c>
      <c r="LJ55" t="s">
        <v>23</v>
      </c>
      <c r="LK55" t="s">
        <v>23</v>
      </c>
      <c r="LL55" t="s">
        <v>23</v>
      </c>
      <c r="LM55" t="s">
        <v>23</v>
      </c>
      <c r="LN55" t="s">
        <v>23</v>
      </c>
      <c r="LO55" t="s">
        <v>23</v>
      </c>
      <c r="LP55" t="s">
        <v>23</v>
      </c>
      <c r="LQ55" t="s">
        <v>23</v>
      </c>
      <c r="LR55" t="s">
        <v>23</v>
      </c>
      <c r="LS55" t="s">
        <v>23</v>
      </c>
      <c r="LT55" t="s">
        <v>23</v>
      </c>
      <c r="LU55" t="s">
        <v>23</v>
      </c>
      <c r="LV55" t="s">
        <v>23</v>
      </c>
      <c r="LW55" t="s">
        <v>23</v>
      </c>
      <c r="LX55" t="s">
        <v>23</v>
      </c>
      <c r="LY55" t="s">
        <v>23</v>
      </c>
      <c r="LZ55" t="s">
        <v>23</v>
      </c>
      <c r="MA55" t="s">
        <v>23</v>
      </c>
      <c r="MB55" t="s">
        <v>23</v>
      </c>
      <c r="MC55" t="s">
        <v>23</v>
      </c>
      <c r="MD55" t="s">
        <v>23</v>
      </c>
      <c r="ME55" t="s">
        <v>23</v>
      </c>
      <c r="MF55" t="s">
        <v>23</v>
      </c>
      <c r="MG55" t="s">
        <v>23</v>
      </c>
      <c r="MH55" t="s">
        <v>23</v>
      </c>
      <c r="MI55" t="s">
        <v>23</v>
      </c>
      <c r="MJ55" t="s">
        <v>23</v>
      </c>
      <c r="MK55" t="s">
        <v>23</v>
      </c>
      <c r="ML55" t="s">
        <v>23</v>
      </c>
      <c r="MM55" t="s">
        <v>23</v>
      </c>
      <c r="MN55" t="s">
        <v>23</v>
      </c>
      <c r="MO55" t="s">
        <v>23</v>
      </c>
      <c r="MP55" t="s">
        <v>23</v>
      </c>
      <c r="MQ55" t="s">
        <v>23</v>
      </c>
      <c r="MR55" t="s">
        <v>23</v>
      </c>
      <c r="MS55" t="s">
        <v>23</v>
      </c>
      <c r="MT55" t="s">
        <v>23</v>
      </c>
      <c r="MU55" t="s">
        <v>23</v>
      </c>
      <c r="MV55" t="s">
        <v>23</v>
      </c>
      <c r="MW55" t="s">
        <v>23</v>
      </c>
      <c r="MX55" t="s">
        <v>23</v>
      </c>
      <c r="MY55" t="s">
        <v>23</v>
      </c>
      <c r="MZ55" t="s">
        <v>23</v>
      </c>
      <c r="NA55" t="s">
        <v>23</v>
      </c>
      <c r="NB55" t="s">
        <v>23</v>
      </c>
      <c r="NC55" t="s">
        <v>23</v>
      </c>
      <c r="ND55" t="s">
        <v>23</v>
      </c>
      <c r="NE55" t="s">
        <v>23</v>
      </c>
      <c r="NF55" t="s">
        <v>23</v>
      </c>
      <c r="NG55" t="s">
        <v>23</v>
      </c>
      <c r="NH55" t="s">
        <v>23</v>
      </c>
      <c r="NI55" t="s">
        <v>23</v>
      </c>
      <c r="NJ55" t="s">
        <v>23</v>
      </c>
      <c r="NK55" t="s">
        <v>23</v>
      </c>
      <c r="NL55" t="s">
        <v>23</v>
      </c>
      <c r="NM55" t="s">
        <v>23</v>
      </c>
      <c r="NN55" t="s">
        <v>23</v>
      </c>
      <c r="NO55" t="s">
        <v>23</v>
      </c>
      <c r="NP55" t="s">
        <v>23</v>
      </c>
      <c r="NQ55" t="s">
        <v>23</v>
      </c>
      <c r="NR55" t="s">
        <v>23</v>
      </c>
      <c r="NS55" t="s">
        <v>23</v>
      </c>
      <c r="NT55" t="s">
        <v>23</v>
      </c>
      <c r="NU55" t="s">
        <v>23</v>
      </c>
      <c r="NV55" t="s">
        <v>23</v>
      </c>
      <c r="NW55" t="s">
        <v>23</v>
      </c>
      <c r="NX55" t="s">
        <v>23</v>
      </c>
      <c r="NY55" t="s">
        <v>23</v>
      </c>
      <c r="NZ55" t="s">
        <v>23</v>
      </c>
      <c r="OA55" t="s">
        <v>23</v>
      </c>
      <c r="OB55" t="s">
        <v>23</v>
      </c>
      <c r="OC55" t="s">
        <v>23</v>
      </c>
      <c r="OD55" t="s">
        <v>23</v>
      </c>
      <c r="OE55" t="s">
        <v>23</v>
      </c>
      <c r="OF55" t="s">
        <v>23</v>
      </c>
      <c r="OG55" t="s">
        <v>23</v>
      </c>
      <c r="OH55" t="s">
        <v>23</v>
      </c>
      <c r="OI55" t="s">
        <v>23</v>
      </c>
      <c r="OJ55" t="s">
        <v>23</v>
      </c>
      <c r="OK55" t="s">
        <v>23</v>
      </c>
      <c r="OL55" t="s">
        <v>23</v>
      </c>
      <c r="OM55" t="s">
        <v>23</v>
      </c>
      <c r="ON55" t="s">
        <v>23</v>
      </c>
      <c r="OO55" t="s">
        <v>23</v>
      </c>
      <c r="OP55" t="s">
        <v>23</v>
      </c>
      <c r="OQ55" t="s">
        <v>23</v>
      </c>
      <c r="OR55" t="s">
        <v>23</v>
      </c>
      <c r="OS55" t="s">
        <v>23</v>
      </c>
      <c r="OT55" t="s">
        <v>23</v>
      </c>
      <c r="OU55" t="s">
        <v>23</v>
      </c>
      <c r="OV55" t="s">
        <v>23</v>
      </c>
      <c r="OW55" t="s">
        <v>23</v>
      </c>
      <c r="OX55" t="s">
        <v>23</v>
      </c>
      <c r="OY55" t="s">
        <v>23</v>
      </c>
      <c r="OZ55" t="s">
        <v>23</v>
      </c>
      <c r="PA55" t="s">
        <v>23</v>
      </c>
      <c r="PB55" t="s">
        <v>23</v>
      </c>
      <c r="PC55" t="s">
        <v>23</v>
      </c>
      <c r="PD55" t="s">
        <v>23</v>
      </c>
      <c r="PE55" t="s">
        <v>23</v>
      </c>
      <c r="PF55" t="s">
        <v>23</v>
      </c>
      <c r="PG55" t="s">
        <v>23</v>
      </c>
      <c r="PH55" t="s">
        <v>23</v>
      </c>
      <c r="PI55" t="s">
        <v>23</v>
      </c>
      <c r="PJ55" t="s">
        <v>23</v>
      </c>
      <c r="PK55" t="s">
        <v>23</v>
      </c>
      <c r="PL55" t="s">
        <v>23</v>
      </c>
      <c r="PM55" t="s">
        <v>23</v>
      </c>
      <c r="PN55" t="s">
        <v>23</v>
      </c>
      <c r="PO55" t="s">
        <v>23</v>
      </c>
      <c r="PP55" t="s">
        <v>23</v>
      </c>
      <c r="PQ55" t="s">
        <v>23</v>
      </c>
      <c r="PR55" t="s">
        <v>23</v>
      </c>
      <c r="PS55" t="s">
        <v>23</v>
      </c>
      <c r="PT55" t="s">
        <v>23</v>
      </c>
      <c r="PU55" t="s">
        <v>23</v>
      </c>
      <c r="PV55" t="s">
        <v>23</v>
      </c>
      <c r="PW55" t="s">
        <v>23</v>
      </c>
      <c r="PX55" t="s">
        <v>23</v>
      </c>
      <c r="PY55" t="s">
        <v>23</v>
      </c>
      <c r="PZ55" t="s">
        <v>23</v>
      </c>
      <c r="QA55" t="s">
        <v>23</v>
      </c>
      <c r="QB55" t="s">
        <v>23</v>
      </c>
      <c r="QC55" t="s">
        <v>23</v>
      </c>
      <c r="QD55" t="s">
        <v>23</v>
      </c>
      <c r="QE55" t="s">
        <v>23</v>
      </c>
      <c r="QF55" t="s">
        <v>23</v>
      </c>
      <c r="QG55" t="s">
        <v>23</v>
      </c>
      <c r="QH55" t="s">
        <v>23</v>
      </c>
      <c r="QI55" t="s">
        <v>23</v>
      </c>
      <c r="QJ55" t="s">
        <v>23</v>
      </c>
      <c r="QK55" t="s">
        <v>23</v>
      </c>
      <c r="QL55" t="s">
        <v>23</v>
      </c>
      <c r="QM55" t="s">
        <v>23</v>
      </c>
      <c r="QN55" t="s">
        <v>23</v>
      </c>
      <c r="QO55" t="s">
        <v>23</v>
      </c>
      <c r="QP55" t="s">
        <v>23</v>
      </c>
      <c r="QQ55" t="s">
        <v>23</v>
      </c>
      <c r="QR55" t="s">
        <v>23</v>
      </c>
      <c r="QS55" t="s">
        <v>23</v>
      </c>
      <c r="QT55" t="s">
        <v>23</v>
      </c>
      <c r="QU55" t="s">
        <v>23</v>
      </c>
      <c r="QV55" t="s">
        <v>23</v>
      </c>
      <c r="QW55" t="s">
        <v>23</v>
      </c>
      <c r="QX55" t="s">
        <v>23</v>
      </c>
      <c r="QY55" t="s">
        <v>23</v>
      </c>
      <c r="QZ55" t="s">
        <v>23</v>
      </c>
      <c r="RA55" t="s">
        <v>23</v>
      </c>
      <c r="RB55" t="s">
        <v>23</v>
      </c>
      <c r="RC55" t="s">
        <v>23</v>
      </c>
      <c r="RD55" t="s">
        <v>23</v>
      </c>
      <c r="RE55" t="s">
        <v>23</v>
      </c>
      <c r="RF55" t="s">
        <v>23</v>
      </c>
      <c r="RG55" t="s">
        <v>23</v>
      </c>
      <c r="RH55" t="s">
        <v>23</v>
      </c>
      <c r="RI55" t="s">
        <v>23</v>
      </c>
      <c r="RJ55" t="s">
        <v>23</v>
      </c>
      <c r="RK55" t="s">
        <v>23</v>
      </c>
      <c r="RL55" t="s">
        <v>23</v>
      </c>
      <c r="RM55" t="s">
        <v>23</v>
      </c>
      <c r="RN55" t="s">
        <v>23</v>
      </c>
      <c r="RO55" t="s">
        <v>23</v>
      </c>
      <c r="RP55" t="s">
        <v>23</v>
      </c>
      <c r="RQ55" t="s">
        <v>23</v>
      </c>
      <c r="RR55" t="s">
        <v>23</v>
      </c>
      <c r="RS55" t="s">
        <v>23</v>
      </c>
      <c r="RT55" t="s">
        <v>23</v>
      </c>
      <c r="RU55" t="s">
        <v>23</v>
      </c>
      <c r="RV55" t="s">
        <v>23</v>
      </c>
      <c r="RW55" t="s">
        <v>23</v>
      </c>
      <c r="RX55" t="s">
        <v>23</v>
      </c>
      <c r="RY55" t="s">
        <v>23</v>
      </c>
      <c r="RZ55" t="s">
        <v>23</v>
      </c>
      <c r="SA55" t="s">
        <v>23</v>
      </c>
      <c r="SB55" t="s">
        <v>23</v>
      </c>
      <c r="SC55" t="s">
        <v>23</v>
      </c>
      <c r="SD55" t="s">
        <v>23</v>
      </c>
      <c r="SE55" t="s">
        <v>23</v>
      </c>
      <c r="SF55" t="s">
        <v>23</v>
      </c>
      <c r="SG55" t="s">
        <v>23</v>
      </c>
      <c r="SH55" t="s">
        <v>23</v>
      </c>
      <c r="SI55" t="s">
        <v>23</v>
      </c>
      <c r="SJ55" t="s">
        <v>23</v>
      </c>
      <c r="SK55" t="s">
        <v>23</v>
      </c>
      <c r="SL55" t="s">
        <v>23</v>
      </c>
      <c r="SM55" t="s">
        <v>23</v>
      </c>
    </row>
    <row r="59" spans="31:507" x14ac:dyDescent="0.25">
      <c r="AE59" t="s">
        <v>23</v>
      </c>
      <c r="AF59" t="s">
        <v>23</v>
      </c>
      <c r="AG59" t="s">
        <v>23</v>
      </c>
      <c r="AH59" t="s">
        <v>23</v>
      </c>
      <c r="AI59" t="s">
        <v>23</v>
      </c>
      <c r="AJ59" t="s">
        <v>23</v>
      </c>
      <c r="AK59" t="s">
        <v>23</v>
      </c>
      <c r="AL59" t="s">
        <v>23</v>
      </c>
      <c r="AM59" t="s">
        <v>23</v>
      </c>
      <c r="AN59" t="s">
        <v>23</v>
      </c>
      <c r="AO59" t="s">
        <v>23</v>
      </c>
      <c r="AP59" t="s">
        <v>23</v>
      </c>
      <c r="AQ59" t="s">
        <v>23</v>
      </c>
      <c r="AR59" t="s">
        <v>23</v>
      </c>
      <c r="AS59" t="s">
        <v>23</v>
      </c>
      <c r="AT59" t="s">
        <v>23</v>
      </c>
      <c r="AU59" t="s">
        <v>23</v>
      </c>
      <c r="AV59" t="s">
        <v>23</v>
      </c>
      <c r="AW59" t="s">
        <v>23</v>
      </c>
      <c r="AX59" t="s">
        <v>23</v>
      </c>
      <c r="AY59" t="s">
        <v>23</v>
      </c>
      <c r="AZ59" t="s">
        <v>23</v>
      </c>
      <c r="BA59" t="s">
        <v>23</v>
      </c>
      <c r="BB59" t="s">
        <v>23</v>
      </c>
      <c r="BC59" t="s">
        <v>23</v>
      </c>
      <c r="BD59" t="s">
        <v>23</v>
      </c>
      <c r="BE59" t="s">
        <v>23</v>
      </c>
      <c r="BF59" t="s">
        <v>23</v>
      </c>
      <c r="BG59" t="s">
        <v>23</v>
      </c>
      <c r="BH59" t="s">
        <v>23</v>
      </c>
      <c r="BI59" t="s">
        <v>23</v>
      </c>
      <c r="BJ59" t="s">
        <v>23</v>
      </c>
      <c r="BK59" t="s">
        <v>23</v>
      </c>
      <c r="BL59" t="s">
        <v>23</v>
      </c>
      <c r="BM59" t="s">
        <v>23</v>
      </c>
      <c r="BN59" t="s">
        <v>23</v>
      </c>
      <c r="BO59" t="s">
        <v>23</v>
      </c>
      <c r="BP59" t="s">
        <v>23</v>
      </c>
      <c r="BQ59" t="s">
        <v>23</v>
      </c>
      <c r="BR59" t="s">
        <v>23</v>
      </c>
      <c r="BS59" t="s">
        <v>23</v>
      </c>
      <c r="BT59" t="s">
        <v>23</v>
      </c>
      <c r="BU59" t="s">
        <v>23</v>
      </c>
      <c r="BV59" t="s">
        <v>23</v>
      </c>
      <c r="BW59" t="s">
        <v>23</v>
      </c>
      <c r="BX59" t="s">
        <v>23</v>
      </c>
      <c r="BY59" t="s">
        <v>23</v>
      </c>
      <c r="BZ59" t="s">
        <v>23</v>
      </c>
      <c r="CA59" t="s">
        <v>23</v>
      </c>
      <c r="CB59" t="s">
        <v>23</v>
      </c>
      <c r="CC59" t="s">
        <v>23</v>
      </c>
      <c r="CD59" t="s">
        <v>23</v>
      </c>
      <c r="CE59" t="s">
        <v>23</v>
      </c>
      <c r="CF59" t="s">
        <v>23</v>
      </c>
      <c r="CG59" t="s">
        <v>23</v>
      </c>
      <c r="CH59" t="s">
        <v>23</v>
      </c>
      <c r="CI59" t="s">
        <v>23</v>
      </c>
      <c r="CJ59" t="s">
        <v>23</v>
      </c>
      <c r="CK59" t="s">
        <v>23</v>
      </c>
      <c r="CL59" t="s">
        <v>23</v>
      </c>
      <c r="CM59" t="s">
        <v>23</v>
      </c>
      <c r="CN59" t="s">
        <v>23</v>
      </c>
      <c r="CO59" t="s">
        <v>23</v>
      </c>
      <c r="CP59" t="s">
        <v>23</v>
      </c>
      <c r="CQ59" t="s">
        <v>23</v>
      </c>
      <c r="CR59" t="s">
        <v>23</v>
      </c>
      <c r="CS59" t="s">
        <v>23</v>
      </c>
      <c r="CT59" t="s">
        <v>23</v>
      </c>
      <c r="CU59" t="s">
        <v>23</v>
      </c>
      <c r="CV59" t="s">
        <v>23</v>
      </c>
      <c r="CW59" t="s">
        <v>23</v>
      </c>
      <c r="CX59" t="s">
        <v>23</v>
      </c>
      <c r="CY59" t="s">
        <v>23</v>
      </c>
      <c r="CZ59" t="s">
        <v>23</v>
      </c>
      <c r="DA59" t="s">
        <v>23</v>
      </c>
      <c r="DB59" t="s">
        <v>23</v>
      </c>
      <c r="DC59" t="s">
        <v>23</v>
      </c>
      <c r="DD59" t="s">
        <v>23</v>
      </c>
      <c r="DE59" t="s">
        <v>23</v>
      </c>
      <c r="DF59" t="s">
        <v>23</v>
      </c>
      <c r="DG59" t="s">
        <v>23</v>
      </c>
      <c r="DH59" t="s">
        <v>23</v>
      </c>
      <c r="DI59" t="s">
        <v>23</v>
      </c>
      <c r="DJ59" t="s">
        <v>23</v>
      </c>
      <c r="DK59" t="s">
        <v>23</v>
      </c>
      <c r="DL59" t="s">
        <v>23</v>
      </c>
      <c r="DM59" t="s">
        <v>23</v>
      </c>
      <c r="DN59" t="s">
        <v>23</v>
      </c>
      <c r="DO59" t="s">
        <v>23</v>
      </c>
      <c r="DP59" t="s">
        <v>23</v>
      </c>
      <c r="DQ59" t="s">
        <v>23</v>
      </c>
      <c r="DR59" t="s">
        <v>23</v>
      </c>
      <c r="DS59" t="s">
        <v>23</v>
      </c>
      <c r="DT59" t="s">
        <v>23</v>
      </c>
      <c r="DU59" t="s">
        <v>23</v>
      </c>
      <c r="DV59" t="s">
        <v>23</v>
      </c>
      <c r="DW59" t="s">
        <v>23</v>
      </c>
      <c r="DX59" t="s">
        <v>23</v>
      </c>
      <c r="DY59" t="s">
        <v>23</v>
      </c>
      <c r="DZ59" t="s">
        <v>23</v>
      </c>
      <c r="EA59" t="s">
        <v>23</v>
      </c>
      <c r="EB59" t="s">
        <v>23</v>
      </c>
      <c r="EC59" t="s">
        <v>23</v>
      </c>
      <c r="ED59" t="s">
        <v>23</v>
      </c>
      <c r="EE59" t="s">
        <v>23</v>
      </c>
      <c r="EF59" t="s">
        <v>23</v>
      </c>
      <c r="EG59" t="s">
        <v>23</v>
      </c>
      <c r="EH59" t="s">
        <v>23</v>
      </c>
      <c r="EI59" t="s">
        <v>23</v>
      </c>
      <c r="EJ59" t="s">
        <v>23</v>
      </c>
      <c r="EK59" t="s">
        <v>23</v>
      </c>
      <c r="EL59" t="s">
        <v>23</v>
      </c>
      <c r="EM59" t="s">
        <v>23</v>
      </c>
      <c r="EN59" t="s">
        <v>23</v>
      </c>
      <c r="EO59" t="s">
        <v>23</v>
      </c>
      <c r="EP59" t="s">
        <v>23</v>
      </c>
      <c r="EQ59" t="s">
        <v>23</v>
      </c>
      <c r="ER59" t="s">
        <v>23</v>
      </c>
      <c r="ES59" t="s">
        <v>23</v>
      </c>
      <c r="ET59" t="s">
        <v>23</v>
      </c>
      <c r="EU59" t="s">
        <v>23</v>
      </c>
      <c r="EV59" t="s">
        <v>23</v>
      </c>
      <c r="EW59" t="s">
        <v>23</v>
      </c>
      <c r="EX59" t="s">
        <v>23</v>
      </c>
      <c r="EY59" t="s">
        <v>23</v>
      </c>
      <c r="EZ59" t="s">
        <v>23</v>
      </c>
      <c r="FA59" t="s">
        <v>23</v>
      </c>
      <c r="FB59" t="s">
        <v>23</v>
      </c>
      <c r="FC59" t="s">
        <v>23</v>
      </c>
      <c r="FD59" t="s">
        <v>23</v>
      </c>
      <c r="FE59" t="s">
        <v>23</v>
      </c>
      <c r="FF59" t="s">
        <v>23</v>
      </c>
      <c r="FG59" t="s">
        <v>23</v>
      </c>
      <c r="FH59" t="s">
        <v>23</v>
      </c>
      <c r="FI59" t="s">
        <v>23</v>
      </c>
      <c r="FJ59" t="s">
        <v>23</v>
      </c>
      <c r="FK59" t="s">
        <v>23</v>
      </c>
      <c r="FL59" t="s">
        <v>23</v>
      </c>
      <c r="FM59" t="s">
        <v>23</v>
      </c>
      <c r="FN59" t="s">
        <v>23</v>
      </c>
      <c r="FO59" t="s">
        <v>23</v>
      </c>
      <c r="FP59" t="s">
        <v>23</v>
      </c>
      <c r="FQ59" t="s">
        <v>23</v>
      </c>
      <c r="FR59" t="s">
        <v>23</v>
      </c>
      <c r="FS59" t="s">
        <v>23</v>
      </c>
      <c r="FT59" t="s">
        <v>23</v>
      </c>
      <c r="FU59" t="s">
        <v>23</v>
      </c>
      <c r="FV59" t="s">
        <v>23</v>
      </c>
      <c r="FW59" t="s">
        <v>23</v>
      </c>
      <c r="FX59" t="s">
        <v>23</v>
      </c>
      <c r="FY59" t="s">
        <v>23</v>
      </c>
      <c r="FZ59" t="s">
        <v>23</v>
      </c>
      <c r="GA59" t="s">
        <v>23</v>
      </c>
      <c r="GB59" t="s">
        <v>23</v>
      </c>
      <c r="GC59" t="s">
        <v>23</v>
      </c>
      <c r="GD59" t="s">
        <v>23</v>
      </c>
      <c r="GE59" t="s">
        <v>23</v>
      </c>
      <c r="GF59" t="s">
        <v>23</v>
      </c>
      <c r="GG59" t="s">
        <v>23</v>
      </c>
      <c r="GH59" t="s">
        <v>23</v>
      </c>
      <c r="GI59" t="s">
        <v>23</v>
      </c>
      <c r="GJ59" t="s">
        <v>23</v>
      </c>
      <c r="GK59" t="s">
        <v>23</v>
      </c>
      <c r="GL59" t="s">
        <v>23</v>
      </c>
      <c r="GM59" t="s">
        <v>23</v>
      </c>
      <c r="GN59" t="s">
        <v>23</v>
      </c>
      <c r="GO59" t="s">
        <v>23</v>
      </c>
      <c r="GP59" t="s">
        <v>23</v>
      </c>
      <c r="GQ59" t="s">
        <v>23</v>
      </c>
      <c r="GR59" t="s">
        <v>23</v>
      </c>
      <c r="GS59" t="s">
        <v>23</v>
      </c>
      <c r="GT59" t="s">
        <v>23</v>
      </c>
      <c r="GU59" t="s">
        <v>23</v>
      </c>
      <c r="GV59" t="s">
        <v>23</v>
      </c>
      <c r="GW59" t="s">
        <v>23</v>
      </c>
      <c r="GX59" t="s">
        <v>23</v>
      </c>
      <c r="GY59" t="s">
        <v>23</v>
      </c>
      <c r="GZ59" t="s">
        <v>23</v>
      </c>
      <c r="HA59" t="s">
        <v>23</v>
      </c>
      <c r="HB59" t="s">
        <v>23</v>
      </c>
      <c r="HC59" t="s">
        <v>23</v>
      </c>
      <c r="HD59" t="s">
        <v>23</v>
      </c>
      <c r="HE59" t="s">
        <v>23</v>
      </c>
      <c r="HF59" t="s">
        <v>23</v>
      </c>
      <c r="HG59" t="s">
        <v>23</v>
      </c>
      <c r="HH59" t="s">
        <v>23</v>
      </c>
      <c r="HI59" t="s">
        <v>23</v>
      </c>
      <c r="HJ59" t="s">
        <v>23</v>
      </c>
      <c r="HK59" t="s">
        <v>23</v>
      </c>
      <c r="HL59" t="s">
        <v>23</v>
      </c>
      <c r="HM59" t="s">
        <v>23</v>
      </c>
      <c r="HN59" t="s">
        <v>23</v>
      </c>
      <c r="HO59" t="s">
        <v>23</v>
      </c>
      <c r="HP59" t="s">
        <v>23</v>
      </c>
      <c r="HQ59" t="s">
        <v>23</v>
      </c>
    </row>
    <row r="279" spans="406:415" x14ac:dyDescent="0.25">
      <c r="OP279" s="4"/>
      <c r="OV279" s="4"/>
      <c r="OY279" s="4"/>
    </row>
    <row r="299" spans="409:417" x14ac:dyDescent="0.25">
      <c r="OS299" s="4"/>
      <c r="OW299" s="4"/>
      <c r="OX299" s="4"/>
      <c r="OZ299" s="4"/>
      <c r="PA299" s="4"/>
    </row>
    <row r="310" spans="402:411" x14ac:dyDescent="0.25">
      <c r="OL310" s="5"/>
      <c r="OR310" s="5"/>
      <c r="OU310" s="5"/>
    </row>
    <row r="318" spans="402:411" x14ac:dyDescent="0.25">
      <c r="OQ318" s="4"/>
      <c r="OT318" s="4"/>
    </row>
    <row r="330" spans="405:413" x14ac:dyDescent="0.25">
      <c r="OO330" s="5"/>
      <c r="OR330" s="4"/>
      <c r="OS330" s="5"/>
      <c r="OT330" s="5"/>
      <c r="OU330" s="4"/>
      <c r="OV330" s="5"/>
      <c r="OW330" s="5"/>
    </row>
    <row r="348" spans="403:481" x14ac:dyDescent="0.25">
      <c r="QD348" s="3"/>
      <c r="QF348" s="4"/>
      <c r="QG348" s="3"/>
      <c r="QI348" s="4"/>
      <c r="QJ348" s="3"/>
      <c r="QL348" s="4"/>
      <c r="QM348" s="3"/>
      <c r="QO348" s="4"/>
      <c r="QP348" s="3"/>
      <c r="QR348" s="4"/>
      <c r="QS348" s="3"/>
      <c r="QU348" s="4"/>
      <c r="QV348" s="3"/>
      <c r="QX348" s="4"/>
      <c r="QY348" s="3"/>
      <c r="RA348" s="4"/>
      <c r="RB348" s="3"/>
      <c r="RD348" s="4"/>
      <c r="RE348" s="3"/>
      <c r="RG348" s="4"/>
      <c r="RH348" s="3"/>
      <c r="RJ348" s="4"/>
      <c r="RK348" s="3"/>
      <c r="RM348" s="4"/>
    </row>
    <row r="349" spans="403:481" x14ac:dyDescent="0.25">
      <c r="OM349" s="5"/>
      <c r="OP349" s="5"/>
    </row>
    <row r="360" spans="404:483" x14ac:dyDescent="0.25">
      <c r="QK360" s="3"/>
      <c r="QL360" s="3"/>
      <c r="QM360" s="4"/>
      <c r="QN360" s="4"/>
      <c r="QO360" s="3"/>
      <c r="QP360" s="4"/>
      <c r="QQ360" s="4"/>
      <c r="QW360" s="3"/>
      <c r="QX360" s="3"/>
      <c r="QY360" s="4"/>
      <c r="QZ360" s="4"/>
      <c r="RA360" s="3"/>
      <c r="RB360" s="4"/>
      <c r="RC360" s="4"/>
      <c r="RI360" s="3"/>
      <c r="RJ360" s="3"/>
      <c r="RK360" s="4"/>
      <c r="RL360" s="4"/>
      <c r="RM360" s="3"/>
      <c r="RN360" s="4"/>
      <c r="RO360" s="4"/>
    </row>
    <row r="361" spans="404:483" x14ac:dyDescent="0.25">
      <c r="ON361" s="5"/>
      <c r="OQ361" s="5"/>
    </row>
    <row r="379" spans="5:477" x14ac:dyDescent="0.25">
      <c r="E379" s="3"/>
      <c r="F379" s="3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  <c r="FG379" s="4"/>
      <c r="FH379" s="4"/>
      <c r="FI379" s="4"/>
      <c r="FJ379" s="4"/>
      <c r="FK379" s="4"/>
      <c r="FL379" s="4"/>
      <c r="FM379" s="4"/>
      <c r="FN379" s="4"/>
      <c r="FO379" s="4"/>
      <c r="FP379" s="4"/>
      <c r="FQ379" s="4"/>
      <c r="FR379" s="4"/>
      <c r="FS379" s="4"/>
      <c r="FT379" s="4"/>
      <c r="FU379" s="4"/>
      <c r="FV379" s="4"/>
      <c r="FW379" s="4"/>
      <c r="FX379" s="4"/>
      <c r="FY379" s="4"/>
      <c r="FZ379" s="4"/>
      <c r="GA379" s="4"/>
      <c r="GB379" s="4"/>
      <c r="GC379" s="4"/>
      <c r="GD379" s="4"/>
      <c r="GE379" s="4"/>
      <c r="GF379" s="4"/>
      <c r="GG379" s="4"/>
      <c r="GH379" s="4"/>
      <c r="GI379" s="4"/>
      <c r="GJ379" s="4"/>
      <c r="GK379" s="4"/>
      <c r="GL379" s="4"/>
      <c r="GM379" s="4"/>
      <c r="GN379" s="4"/>
      <c r="GO379" s="4"/>
      <c r="GP379" s="4"/>
      <c r="GQ379" s="4"/>
      <c r="GR379" s="4"/>
      <c r="GS379" s="4"/>
      <c r="QB379" s="5"/>
      <c r="QE379" s="5"/>
      <c r="QH379" s="5"/>
      <c r="QK379" s="5"/>
      <c r="QN379" s="5"/>
      <c r="QQ379" s="5"/>
      <c r="QT379" s="5"/>
      <c r="QW379" s="5"/>
      <c r="QZ379" s="5"/>
      <c r="RC379" s="5"/>
      <c r="RF379" s="5"/>
      <c r="RI379" s="5"/>
    </row>
    <row r="390" spans="200:479" x14ac:dyDescent="0.25">
      <c r="GR390" s="3"/>
      <c r="GT390" s="4"/>
      <c r="HE390" s="3"/>
      <c r="HG390" s="4"/>
      <c r="HR390" s="3"/>
      <c r="HT390" s="4"/>
      <c r="IE390" s="3"/>
      <c r="IG390" s="4"/>
      <c r="IR390" s="3"/>
      <c r="IT390" s="4"/>
      <c r="JE390" s="3"/>
      <c r="JG390" s="4"/>
      <c r="JR390" s="3"/>
      <c r="JT390" s="4"/>
      <c r="KE390" s="3"/>
      <c r="KG390" s="4"/>
      <c r="KR390" s="3"/>
      <c r="KT390" s="4"/>
      <c r="LE390" s="3"/>
      <c r="LG390" s="4"/>
    </row>
    <row r="391" spans="200:479" x14ac:dyDescent="0.25">
      <c r="QI391" s="5"/>
      <c r="QJ391" s="5"/>
      <c r="QL391" s="5"/>
      <c r="QM391" s="5"/>
      <c r="QU391" s="5"/>
      <c r="QV391" s="5"/>
      <c r="QX391" s="5"/>
      <c r="QY391" s="5"/>
      <c r="RG391" s="5"/>
      <c r="RH391" s="5"/>
      <c r="RJ391" s="5"/>
      <c r="RK391" s="5"/>
    </row>
    <row r="402" spans="3:476" x14ac:dyDescent="0.25">
      <c r="GY402" s="3"/>
      <c r="HA402" s="4"/>
      <c r="HL402" s="3"/>
      <c r="HN402" s="4"/>
      <c r="HY402" s="3"/>
      <c r="IA402" s="4"/>
      <c r="IL402" s="3"/>
      <c r="IN402" s="4"/>
      <c r="IY402" s="3"/>
      <c r="JA402" s="4"/>
      <c r="JL402" s="3"/>
      <c r="JN402" s="4"/>
      <c r="JY402" s="3"/>
      <c r="KA402" s="4"/>
      <c r="KL402" s="3"/>
      <c r="KN402" s="4"/>
      <c r="KY402" s="3"/>
      <c r="LA402" s="4"/>
      <c r="LL402" s="3"/>
      <c r="LN402" s="4"/>
      <c r="LS402" s="3"/>
      <c r="LU402" s="4"/>
      <c r="QE402" s="3"/>
      <c r="QG402" s="4"/>
      <c r="QH402" s="3"/>
      <c r="QJ402" s="4"/>
      <c r="QQ402" s="3"/>
      <c r="QS402" s="4"/>
      <c r="QT402" s="3"/>
      <c r="QV402" s="4"/>
      <c r="RC402" s="3"/>
      <c r="RE402" s="4"/>
      <c r="RF402" s="3"/>
      <c r="RH402" s="4"/>
    </row>
    <row r="412" spans="3:476" x14ac:dyDescent="0.25"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</row>
    <row r="420" spans="198:403" x14ac:dyDescent="0.25">
      <c r="GZ420" s="3"/>
      <c r="HA420" s="3"/>
      <c r="HB420" s="4"/>
      <c r="HC420" s="4"/>
      <c r="HM420" s="3"/>
      <c r="HN420" s="3"/>
      <c r="HO420" s="4"/>
      <c r="HP420" s="4"/>
      <c r="HZ420" s="3"/>
      <c r="IA420" s="3"/>
      <c r="IB420" s="4"/>
      <c r="IC420" s="4"/>
      <c r="IM420" s="3"/>
      <c r="IN420" s="3"/>
      <c r="IO420" s="4"/>
      <c r="IP420" s="4"/>
      <c r="IZ420" s="3"/>
      <c r="JA420" s="3"/>
      <c r="JB420" s="4"/>
      <c r="JC420" s="4"/>
      <c r="JM420" s="3"/>
      <c r="JN420" s="3"/>
      <c r="JO420" s="4"/>
      <c r="JP420" s="4"/>
      <c r="JZ420" s="3"/>
      <c r="KA420" s="3"/>
      <c r="KB420" s="4"/>
      <c r="KC420" s="4"/>
      <c r="KM420" s="3"/>
      <c r="KN420" s="3"/>
      <c r="KO420" s="4"/>
      <c r="KP420" s="4"/>
      <c r="KZ420" s="3"/>
      <c r="LA420" s="3"/>
      <c r="LB420" s="4"/>
      <c r="LC420" s="4"/>
      <c r="LM420" s="3"/>
      <c r="LN420" s="3"/>
      <c r="LO420" s="4"/>
      <c r="LP420" s="4"/>
    </row>
    <row r="421" spans="198:403" x14ac:dyDescent="0.25">
      <c r="GP421" s="5"/>
      <c r="HC421" s="5"/>
      <c r="HP421" s="5"/>
      <c r="IC421" s="5"/>
      <c r="IP421" s="5"/>
      <c r="JC421" s="5"/>
      <c r="JP421" s="5"/>
      <c r="KC421" s="5"/>
      <c r="KP421" s="5"/>
      <c r="LC421" s="5"/>
    </row>
    <row r="428" spans="198:403" x14ac:dyDescent="0.25">
      <c r="MB428" s="4"/>
      <c r="ME428" s="4"/>
      <c r="MN428" s="4"/>
      <c r="MQ428" s="4"/>
      <c r="MZ428" s="4"/>
      <c r="NC428" s="4"/>
      <c r="NL428" s="4"/>
      <c r="NO428" s="4"/>
      <c r="NX428" s="4"/>
      <c r="OA428" s="4"/>
      <c r="OJ428" s="4"/>
      <c r="OM428" s="4"/>
    </row>
    <row r="432" spans="198:403" x14ac:dyDescent="0.25">
      <c r="GS432" s="3"/>
      <c r="GU432" s="4"/>
      <c r="HF432" s="3"/>
      <c r="HH432" s="4"/>
      <c r="HS432" s="3"/>
      <c r="HU432" s="4"/>
      <c r="IF432" s="3"/>
      <c r="IH432" s="4"/>
      <c r="IS432" s="3"/>
      <c r="IU432" s="4"/>
      <c r="JF432" s="3"/>
      <c r="JH432" s="4"/>
      <c r="JS432" s="3"/>
      <c r="JU432" s="4"/>
      <c r="KF432" s="3"/>
      <c r="KH432" s="4"/>
      <c r="KS432" s="3"/>
      <c r="KU432" s="4"/>
      <c r="LF432" s="3"/>
      <c r="LH432" s="4"/>
    </row>
    <row r="433" spans="205:474" x14ac:dyDescent="0.25">
      <c r="GW433" s="5"/>
      <c r="HJ433" s="5"/>
      <c r="HW433" s="5"/>
      <c r="IJ433" s="5"/>
      <c r="IW433" s="5"/>
      <c r="JJ433" s="5"/>
      <c r="JW433" s="5"/>
      <c r="KJ433" s="5"/>
      <c r="KW433" s="5"/>
      <c r="LJ433" s="5"/>
      <c r="LQ433" s="5"/>
      <c r="QC433" s="5"/>
      <c r="QF433" s="5"/>
      <c r="QO433" s="5"/>
      <c r="QR433" s="5"/>
      <c r="RA433" s="5"/>
      <c r="RD433" s="5"/>
    </row>
    <row r="438" spans="205:474" x14ac:dyDescent="0.25">
      <c r="HB438" s="3"/>
      <c r="HC438" s="3"/>
      <c r="HD438" s="4"/>
      <c r="HE438" s="4"/>
      <c r="HO438" s="3"/>
      <c r="HP438" s="3"/>
      <c r="HQ438" s="4"/>
      <c r="HR438" s="4"/>
      <c r="IB438" s="3"/>
      <c r="IC438" s="3"/>
      <c r="ID438" s="4"/>
      <c r="IE438" s="4"/>
      <c r="IO438" s="3"/>
      <c r="IP438" s="3"/>
      <c r="IQ438" s="4"/>
      <c r="IR438" s="4"/>
      <c r="JB438" s="3"/>
      <c r="JC438" s="3"/>
      <c r="JD438" s="4"/>
      <c r="JE438" s="4"/>
      <c r="JO438" s="3"/>
      <c r="JP438" s="3"/>
      <c r="JQ438" s="4"/>
      <c r="JR438" s="4"/>
      <c r="KB438" s="3"/>
      <c r="KC438" s="3"/>
      <c r="KD438" s="4"/>
      <c r="KE438" s="4"/>
      <c r="KO438" s="3"/>
      <c r="KP438" s="3"/>
      <c r="KQ438" s="4"/>
      <c r="KR438" s="4"/>
      <c r="LB438" s="3"/>
      <c r="LC438" s="3"/>
      <c r="LD438" s="4"/>
      <c r="LE438" s="4"/>
      <c r="LO438" s="3"/>
      <c r="LP438" s="3"/>
      <c r="LQ438" s="4"/>
      <c r="LR438" s="4"/>
      <c r="PB438" s="4"/>
      <c r="PC438" s="4"/>
      <c r="PD438" s="4"/>
      <c r="PE438" s="4"/>
      <c r="PF438" s="4"/>
      <c r="PG438" s="4"/>
      <c r="PH438" s="4"/>
      <c r="PI438" s="4"/>
      <c r="PJ438" s="4"/>
      <c r="PK438" s="4"/>
      <c r="PL438" s="4"/>
      <c r="PM438" s="4"/>
      <c r="PN438" s="4"/>
      <c r="PO438" s="4"/>
      <c r="PP438" s="4"/>
      <c r="PQ438" s="4"/>
      <c r="PR438" s="4"/>
      <c r="PS438" s="4"/>
      <c r="PT438" s="4"/>
      <c r="PU438" s="4"/>
      <c r="PV438" s="4"/>
      <c r="PW438" s="4"/>
      <c r="PX438" s="4"/>
      <c r="PY438" s="4"/>
      <c r="PZ438" s="4"/>
      <c r="QA438" s="4"/>
      <c r="QB438" s="4"/>
      <c r="QC438" s="4"/>
      <c r="QD438" s="4"/>
      <c r="QE438" s="4"/>
      <c r="QF438" s="3"/>
      <c r="QH438" s="4"/>
      <c r="QR438" s="3"/>
      <c r="QT438" s="4"/>
      <c r="RD438" s="3"/>
      <c r="RF438" s="4"/>
    </row>
    <row r="450" spans="3:477" x14ac:dyDescent="0.25"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HD450" s="3"/>
      <c r="HF450" s="4"/>
      <c r="HQ450" s="3"/>
      <c r="HS450" s="4"/>
      <c r="ID450" s="3"/>
      <c r="IF450" s="4"/>
      <c r="IQ450" s="3"/>
      <c r="IS450" s="4"/>
      <c r="JD450" s="3"/>
      <c r="JF450" s="4"/>
      <c r="JQ450" s="3"/>
      <c r="JS450" s="4"/>
      <c r="KD450" s="3"/>
      <c r="KF450" s="4"/>
      <c r="KQ450" s="3"/>
      <c r="KS450" s="4"/>
      <c r="LD450" s="3"/>
      <c r="LF450" s="4"/>
      <c r="LQ450" s="3"/>
      <c r="LS450" s="4"/>
      <c r="QI450" s="3"/>
      <c r="QK450" s="4"/>
      <c r="QU450" s="3"/>
      <c r="QW450" s="4"/>
      <c r="RG450" s="3"/>
      <c r="RI450" s="4"/>
    </row>
    <row r="451" spans="3:477" x14ac:dyDescent="0.25">
      <c r="GX451" s="5"/>
      <c r="GY451" s="5"/>
      <c r="HK451" s="5"/>
      <c r="HL451" s="5"/>
      <c r="HX451" s="5"/>
      <c r="HY451" s="5"/>
      <c r="IK451" s="5"/>
      <c r="IL451" s="5"/>
      <c r="IX451" s="5"/>
      <c r="IY451" s="5"/>
      <c r="JK451" s="5"/>
      <c r="JL451" s="5"/>
      <c r="JX451" s="5"/>
      <c r="JY451" s="5"/>
      <c r="KK451" s="5"/>
      <c r="KL451" s="5"/>
      <c r="KX451" s="5"/>
      <c r="KY451" s="5"/>
      <c r="LK451" s="5"/>
      <c r="LL451" s="5"/>
    </row>
    <row r="452" spans="3:477" x14ac:dyDescent="0.25">
      <c r="MF452" s="4"/>
      <c r="MG452" s="4"/>
      <c r="MR452" s="4"/>
      <c r="MS452" s="4"/>
      <c r="ND452" s="4"/>
      <c r="NE452" s="4"/>
      <c r="NP452" s="4"/>
      <c r="NQ452" s="4"/>
      <c r="OB452" s="4"/>
      <c r="OC452" s="4"/>
      <c r="ON452" s="4"/>
      <c r="OO452" s="4"/>
    </row>
    <row r="459" spans="3:477" x14ac:dyDescent="0.25">
      <c r="LX459" s="5"/>
      <c r="MA459" s="5"/>
      <c r="MJ459" s="5"/>
      <c r="MM459" s="5"/>
      <c r="MV459" s="5"/>
      <c r="MY459" s="5"/>
      <c r="NH459" s="5"/>
      <c r="NK459" s="5"/>
      <c r="NT459" s="5"/>
      <c r="NW459" s="5"/>
      <c r="OF459" s="5"/>
      <c r="OI459" s="5"/>
    </row>
    <row r="462" spans="3:477" x14ac:dyDescent="0.25">
      <c r="GT462" s="3"/>
      <c r="GV462" s="4"/>
      <c r="HG462" s="3"/>
      <c r="HI462" s="4"/>
      <c r="HT462" s="3"/>
      <c r="HV462" s="4"/>
      <c r="IG462" s="3"/>
      <c r="II462" s="4"/>
      <c r="IT462" s="3"/>
      <c r="IV462" s="4"/>
      <c r="JG462" s="3"/>
      <c r="JI462" s="4"/>
      <c r="JT462" s="3"/>
      <c r="JV462" s="4"/>
      <c r="KG462" s="3"/>
      <c r="KI462" s="4"/>
      <c r="KT462" s="3"/>
      <c r="KV462" s="4"/>
      <c r="LG462" s="3"/>
      <c r="LI462" s="4"/>
    </row>
    <row r="463" spans="3:477" x14ac:dyDescent="0.25">
      <c r="GQ463" s="5"/>
      <c r="HD463" s="5"/>
      <c r="HQ463" s="5"/>
      <c r="ID463" s="5"/>
      <c r="IQ463" s="5"/>
      <c r="JD463" s="5"/>
      <c r="JQ463" s="5"/>
      <c r="KD463" s="5"/>
      <c r="KQ463" s="5"/>
      <c r="LD463" s="5"/>
    </row>
    <row r="464" spans="3:477" x14ac:dyDescent="0.25">
      <c r="MC464" s="4"/>
      <c r="MD464" s="4"/>
      <c r="MO464" s="4"/>
      <c r="MP464" s="4"/>
      <c r="NA464" s="4"/>
      <c r="NB464" s="4"/>
      <c r="NM464" s="4"/>
      <c r="NN464" s="4"/>
      <c r="NY464" s="4"/>
      <c r="NZ464" s="4"/>
      <c r="OK464" s="4"/>
      <c r="OL464" s="4"/>
    </row>
    <row r="469" spans="208:470" x14ac:dyDescent="0.25">
      <c r="GZ469" s="5"/>
      <c r="HA469" s="5"/>
      <c r="HM469" s="5"/>
      <c r="HN469" s="5"/>
      <c r="HZ469" s="5"/>
      <c r="IA469" s="5"/>
      <c r="IM469" s="5"/>
      <c r="IN469" s="5"/>
      <c r="IZ469" s="5"/>
      <c r="JA469" s="5"/>
      <c r="JM469" s="5"/>
      <c r="JN469" s="5"/>
      <c r="JZ469" s="5"/>
      <c r="KA469" s="5"/>
      <c r="KM469" s="5"/>
      <c r="KN469" s="5"/>
      <c r="KZ469" s="5"/>
      <c r="LA469" s="5"/>
      <c r="LM469" s="5"/>
      <c r="LN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D469" s="5"/>
      <c r="QP469" s="5"/>
      <c r="RB469" s="5"/>
    </row>
    <row r="481" spans="3:473" x14ac:dyDescent="0.25">
      <c r="HB481" s="5"/>
      <c r="HO481" s="5"/>
      <c r="IB481" s="5"/>
      <c r="IO481" s="5"/>
      <c r="JB481" s="5"/>
      <c r="JO481" s="5"/>
      <c r="KB481" s="5"/>
      <c r="KO481" s="5"/>
      <c r="LB481" s="5"/>
      <c r="LO481" s="5"/>
      <c r="QG481" s="5"/>
      <c r="QS481" s="5"/>
      <c r="RE481" s="5"/>
    </row>
    <row r="483" spans="3:473" x14ac:dyDescent="0.25">
      <c r="MB483" s="5"/>
      <c r="MC483" s="5"/>
      <c r="MN483" s="5"/>
      <c r="MO483" s="5"/>
      <c r="MZ483" s="5"/>
      <c r="NA483" s="5"/>
      <c r="NL483" s="5"/>
      <c r="NM483" s="5"/>
      <c r="NX483" s="5"/>
      <c r="NY483" s="5"/>
      <c r="OJ483" s="5"/>
      <c r="OK483" s="5"/>
    </row>
    <row r="493" spans="3:473" x14ac:dyDescent="0.25"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R493" s="5"/>
      <c r="HE493" s="5"/>
      <c r="HR493" s="5"/>
      <c r="IE493" s="5"/>
      <c r="IR493" s="5"/>
      <c r="JE493" s="5"/>
      <c r="JR493" s="5"/>
      <c r="KE493" s="5"/>
      <c r="KR493" s="5"/>
      <c r="LE493" s="5"/>
    </row>
    <row r="494" spans="3:473" x14ac:dyDescent="0.25"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</row>
    <row r="495" spans="3:473" x14ac:dyDescent="0.25"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LY495" s="5"/>
      <c r="LZ495" s="5"/>
      <c r="MK495" s="5"/>
      <c r="ML495" s="5"/>
      <c r="MW495" s="5"/>
      <c r="MX495" s="5"/>
      <c r="NI495" s="5"/>
      <c r="NJ495" s="5"/>
      <c r="NU495" s="5"/>
      <c r="NV495" s="5"/>
      <c r="OG495" s="5"/>
      <c r="OH495" s="5"/>
    </row>
    <row r="496" spans="3:473" x14ac:dyDescent="0.25"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</row>
    <row r="497" spans="3:322" x14ac:dyDescent="0.25"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</row>
    <row r="498" spans="3:322" x14ac:dyDescent="0.25"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U498" s="3"/>
      <c r="GW498" s="4"/>
      <c r="HH498" s="3"/>
      <c r="HJ498" s="4"/>
      <c r="HU498" s="3"/>
      <c r="HW498" s="4"/>
      <c r="IH498" s="3"/>
      <c r="IJ498" s="4"/>
      <c r="IU498" s="3"/>
      <c r="IW498" s="4"/>
      <c r="JH498" s="3"/>
      <c r="JJ498" s="4"/>
      <c r="JU498" s="3"/>
      <c r="JW498" s="4"/>
      <c r="KH498" s="3"/>
      <c r="KJ498" s="4"/>
      <c r="KU498" s="3"/>
      <c r="KW498" s="4"/>
      <c r="LH498" s="3"/>
      <c r="LJ498" s="4"/>
    </row>
    <row r="499" spans="3:322" x14ac:dyDescent="0.25"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</row>
    <row r="500" spans="3:322" x14ac:dyDescent="0.25"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</row>
    <row r="501" spans="3:322" x14ac:dyDescent="0.25"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</row>
    <row r="502" spans="3:322" x14ac:dyDescent="0.25"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</row>
    <row r="529" spans="201:318" x14ac:dyDescent="0.25">
      <c r="GS529" s="5"/>
      <c r="HF529" s="5"/>
      <c r="HS529" s="5"/>
      <c r="IF529" s="5"/>
      <c r="IS529" s="5"/>
      <c r="JF529" s="5"/>
      <c r="JS529" s="5"/>
      <c r="KF529" s="5"/>
      <c r="KS529" s="5"/>
      <c r="LF529" s="5"/>
    </row>
    <row r="548" spans="334:399" x14ac:dyDescent="0.25">
      <c r="LV548" s="4"/>
      <c r="LW548" s="4"/>
      <c r="LX548" s="4"/>
      <c r="LY548" s="4"/>
      <c r="MH548" s="4"/>
      <c r="MI548" s="4"/>
      <c r="MJ548" s="4"/>
      <c r="MK548" s="4"/>
      <c r="MT548" s="4"/>
      <c r="MU548" s="4"/>
      <c r="MV548" s="4"/>
      <c r="MW548" s="4"/>
      <c r="NF548" s="4"/>
      <c r="NG548" s="4"/>
      <c r="NH548" s="4"/>
      <c r="NI548" s="4"/>
      <c r="NR548" s="4"/>
      <c r="NS548" s="4"/>
      <c r="NT548" s="4"/>
      <c r="NU548" s="4"/>
      <c r="OD548" s="4"/>
      <c r="OE548" s="4"/>
      <c r="OF548" s="4"/>
      <c r="OG548" s="4"/>
    </row>
    <row r="560" spans="334:399" x14ac:dyDescent="0.25">
      <c r="LZ560" s="4"/>
      <c r="MA560" s="4"/>
      <c r="ML560" s="4"/>
      <c r="MM560" s="4"/>
      <c r="MX560" s="4"/>
      <c r="MY560" s="4"/>
      <c r="NJ560" s="4"/>
      <c r="NK560" s="4"/>
      <c r="NV560" s="4"/>
      <c r="NW560" s="4"/>
      <c r="OH560" s="4"/>
      <c r="OI560" s="4"/>
    </row>
    <row r="564" spans="204:324" x14ac:dyDescent="0.25">
      <c r="GV564" s="3"/>
      <c r="GX564" s="4"/>
      <c r="HI564" s="3"/>
      <c r="HK564" s="4"/>
      <c r="HV564" s="3"/>
      <c r="HX564" s="4"/>
      <c r="II564" s="3"/>
      <c r="IK564" s="4"/>
      <c r="IV564" s="3"/>
      <c r="IX564" s="4"/>
      <c r="JI564" s="3"/>
      <c r="JK564" s="4"/>
      <c r="JV564" s="3"/>
      <c r="JX564" s="4"/>
      <c r="KI564" s="3"/>
      <c r="KK564" s="4"/>
      <c r="KV564" s="3"/>
      <c r="KX564" s="4"/>
      <c r="LI564" s="3"/>
      <c r="LK564" s="4"/>
    </row>
    <row r="576" spans="204:324" x14ac:dyDescent="0.25">
      <c r="GW576" s="3"/>
      <c r="GY576" s="4"/>
      <c r="HJ576" s="3"/>
      <c r="HL576" s="4"/>
      <c r="HW576" s="3"/>
      <c r="HY576" s="4"/>
      <c r="IJ576" s="3"/>
      <c r="IL576" s="4"/>
      <c r="IW576" s="3"/>
      <c r="IY576" s="4"/>
      <c r="JJ576" s="3"/>
      <c r="JL576" s="4"/>
      <c r="JW576" s="3"/>
      <c r="JY576" s="4"/>
      <c r="KJ576" s="3"/>
      <c r="KL576" s="4"/>
      <c r="KW576" s="3"/>
      <c r="KY576" s="4"/>
      <c r="LJ576" s="3"/>
      <c r="LL576" s="4"/>
    </row>
    <row r="579" spans="330:395" x14ac:dyDescent="0.25">
      <c r="LR579" s="5"/>
      <c r="LS579" s="5"/>
      <c r="LT579" s="5"/>
      <c r="LU579" s="5"/>
      <c r="MD579" s="5"/>
      <c r="ME579" s="5"/>
      <c r="MF579" s="5"/>
      <c r="MG579" s="5"/>
      <c r="MP579" s="5"/>
      <c r="MQ579" s="5"/>
      <c r="MR579" s="5"/>
      <c r="MS579" s="5"/>
      <c r="NB579" s="5"/>
      <c r="NC579" s="5"/>
      <c r="ND579" s="5"/>
      <c r="NE579" s="5"/>
      <c r="NN579" s="5"/>
      <c r="NO579" s="5"/>
      <c r="NP579" s="5"/>
      <c r="NQ579" s="5"/>
      <c r="NZ579" s="5"/>
      <c r="OA579" s="5"/>
      <c r="OB579" s="5"/>
      <c r="OC579" s="5"/>
    </row>
    <row r="591" spans="330:395" x14ac:dyDescent="0.25">
      <c r="LV591" s="5"/>
      <c r="LW591" s="5"/>
      <c r="MH591" s="5"/>
      <c r="MI591" s="5"/>
      <c r="MT591" s="5"/>
      <c r="MU591" s="5"/>
      <c r="NF591" s="5"/>
      <c r="NG591" s="5"/>
      <c r="NR591" s="5"/>
      <c r="NS591" s="5"/>
      <c r="OD591" s="5"/>
      <c r="OE591" s="5"/>
    </row>
    <row r="595" spans="202:320" x14ac:dyDescent="0.25">
      <c r="GT595" s="5"/>
      <c r="HG595" s="5"/>
      <c r="HT595" s="5"/>
      <c r="IG595" s="5"/>
      <c r="IT595" s="5"/>
      <c r="JG595" s="5"/>
      <c r="JT595" s="5"/>
      <c r="KG595" s="5"/>
      <c r="KT595" s="5"/>
      <c r="LG595" s="5"/>
    </row>
    <row r="607" spans="202:320" x14ac:dyDescent="0.25">
      <c r="GU607" s="5"/>
      <c r="HH607" s="5"/>
      <c r="HU607" s="5"/>
      <c r="IH607" s="5"/>
      <c r="IU607" s="5"/>
      <c r="JH607" s="5"/>
      <c r="JU607" s="5"/>
      <c r="KH607" s="5"/>
      <c r="KU607" s="5"/>
      <c r="LH607" s="5"/>
    </row>
    <row r="612" spans="206:332" x14ac:dyDescent="0.25">
      <c r="GX612" s="3"/>
      <c r="GZ612" s="4"/>
      <c r="HK612" s="3"/>
      <c r="HM612" s="4"/>
      <c r="HX612" s="3"/>
      <c r="HZ612" s="4"/>
      <c r="IK612" s="3"/>
      <c r="IM612" s="4"/>
      <c r="IX612" s="3"/>
      <c r="IZ612" s="4"/>
      <c r="JK612" s="3"/>
      <c r="JM612" s="4"/>
      <c r="JX612" s="3"/>
      <c r="JZ612" s="4"/>
      <c r="KK612" s="3"/>
      <c r="KM612" s="4"/>
      <c r="KX612" s="3"/>
      <c r="KZ612" s="4"/>
      <c r="LK612" s="3"/>
      <c r="LM612" s="4"/>
      <c r="LR612" s="3"/>
      <c r="LT612" s="4"/>
    </row>
    <row r="643" spans="204:328" x14ac:dyDescent="0.25">
      <c r="GV643" s="5"/>
      <c r="HI643" s="5"/>
      <c r="HV643" s="5"/>
      <c r="II643" s="5"/>
      <c r="IV643" s="5"/>
      <c r="JI643" s="5"/>
      <c r="JV643" s="5"/>
      <c r="KI643" s="5"/>
      <c r="KV643" s="5"/>
      <c r="LI643" s="5"/>
      <c r="LP643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C1:HK447"/>
  <sheetViews>
    <sheetView topLeftCell="A433" workbookViewId="0">
      <selection activeCell="K31" sqref="K31"/>
    </sheetView>
  </sheetViews>
  <sheetFormatPr defaultColWidth="9.140625" defaultRowHeight="15" x14ac:dyDescent="0.25"/>
  <cols>
    <col min="1" max="1" width="2" bestFit="1" customWidth="1"/>
    <col min="2" max="2" width="61.28515625" bestFit="1" customWidth="1"/>
    <col min="3" max="3" width="32.42578125" bestFit="1" customWidth="1"/>
    <col min="4" max="4" width="18.5703125" bestFit="1" customWidth="1"/>
    <col min="5" max="5" width="24.42578125" bestFit="1" customWidth="1"/>
    <col min="6" max="6" width="14.42578125" bestFit="1" customWidth="1"/>
    <col min="7" max="7" width="14" bestFit="1" customWidth="1"/>
    <col min="8" max="8" width="17.140625" bestFit="1" customWidth="1"/>
    <col min="9" max="9" width="14.140625" bestFit="1" customWidth="1"/>
    <col min="10" max="10" width="24.42578125" bestFit="1" customWidth="1"/>
    <col min="11" max="11" width="11.42578125" bestFit="1" customWidth="1"/>
    <col min="12" max="12" width="12.5703125" bestFit="1" customWidth="1"/>
    <col min="13" max="13" width="15" bestFit="1" customWidth="1"/>
    <col min="14" max="14" width="10.28515625" bestFit="1" customWidth="1"/>
    <col min="15" max="15" width="14" bestFit="1" customWidth="1"/>
    <col min="16" max="16" width="11.7109375" bestFit="1" customWidth="1"/>
    <col min="17" max="17" width="10.42578125" bestFit="1" customWidth="1"/>
    <col min="18" max="18" width="6.7109375" bestFit="1" customWidth="1"/>
    <col min="19" max="19" width="9.5703125" bestFit="1" customWidth="1"/>
    <col min="20" max="20" width="6.7109375" bestFit="1" customWidth="1"/>
    <col min="21" max="21" width="3.42578125" bestFit="1" customWidth="1"/>
    <col min="22" max="23" width="2" bestFit="1" customWidth="1"/>
    <col min="24" max="25" width="2" customWidth="1"/>
    <col min="26" max="26" width="2" bestFit="1" customWidth="1"/>
    <col min="27" max="28" width="2" customWidth="1"/>
    <col min="29" max="29" width="2" bestFit="1" customWidth="1"/>
    <col min="30" max="30" width="2" customWidth="1"/>
    <col min="31" max="32" width="2" bestFit="1" customWidth="1"/>
    <col min="33" max="33" width="2" customWidth="1"/>
    <col min="34" max="35" width="2" bestFit="1" customWidth="1"/>
    <col min="36" max="37" width="2" customWidth="1"/>
    <col min="38" max="38" width="2" bestFit="1" customWidth="1"/>
    <col min="39" max="40" width="2" customWidth="1"/>
    <col min="41" max="41" width="2" bestFit="1" customWidth="1"/>
    <col min="42" max="49" width="2" customWidth="1"/>
    <col min="50" max="50" width="2" bestFit="1" customWidth="1"/>
    <col min="51" max="52" width="2" customWidth="1"/>
    <col min="53" max="53" width="2" bestFit="1" customWidth="1"/>
    <col min="54" max="61" width="2" customWidth="1"/>
    <col min="62" max="62" width="2" bestFit="1" customWidth="1"/>
    <col min="63" max="64" width="2" customWidth="1"/>
    <col min="65" max="65" width="2" bestFit="1" customWidth="1"/>
    <col min="66" max="73" width="2" customWidth="1"/>
    <col min="74" max="74" width="2" bestFit="1" customWidth="1"/>
    <col min="75" max="76" width="2" customWidth="1"/>
    <col min="77" max="77" width="2" bestFit="1" customWidth="1"/>
    <col min="78" max="78" width="2" customWidth="1"/>
    <col min="79" max="80" width="2" bestFit="1" customWidth="1"/>
    <col min="81" max="81" width="2" customWidth="1"/>
    <col min="82" max="83" width="2" bestFit="1" customWidth="1"/>
    <col min="84" max="85" width="2" customWidth="1"/>
    <col min="86" max="86" width="2" bestFit="1" customWidth="1"/>
    <col min="87" max="88" width="2" customWidth="1"/>
    <col min="89" max="89" width="2" bestFit="1" customWidth="1"/>
    <col min="90" max="97" width="2" customWidth="1"/>
    <col min="98" max="98" width="2" bestFit="1" customWidth="1"/>
    <col min="99" max="100" width="2" customWidth="1"/>
    <col min="101" max="101" width="2" bestFit="1" customWidth="1"/>
    <col min="102" max="109" width="2" customWidth="1"/>
    <col min="110" max="110" width="2" bestFit="1" customWidth="1"/>
    <col min="111" max="112" width="2" customWidth="1"/>
    <col min="113" max="113" width="2" bestFit="1" customWidth="1"/>
    <col min="114" max="121" width="2" customWidth="1"/>
    <col min="122" max="122" width="2" bestFit="1" customWidth="1"/>
    <col min="123" max="124" width="2" customWidth="1"/>
    <col min="125" max="125" width="2" bestFit="1" customWidth="1"/>
    <col min="126" max="126" width="2" customWidth="1"/>
    <col min="127" max="128" width="2" bestFit="1" customWidth="1"/>
    <col min="129" max="129" width="2" customWidth="1"/>
    <col min="130" max="131" width="2" bestFit="1" customWidth="1"/>
    <col min="132" max="133" width="2" customWidth="1"/>
    <col min="134" max="134" width="2" bestFit="1" customWidth="1"/>
    <col min="135" max="136" width="2" customWidth="1"/>
    <col min="137" max="137" width="2" bestFit="1" customWidth="1"/>
    <col min="138" max="145" width="2" customWidth="1"/>
    <col min="146" max="146" width="2" bestFit="1" customWidth="1"/>
    <col min="147" max="148" width="2" customWidth="1"/>
    <col min="149" max="149" width="2" bestFit="1" customWidth="1"/>
    <col min="150" max="157" width="2" customWidth="1"/>
    <col min="158" max="158" width="2" bestFit="1" customWidth="1"/>
    <col min="159" max="160" width="2" customWidth="1"/>
    <col min="161" max="161" width="2" bestFit="1" customWidth="1"/>
    <col min="162" max="169" width="2" customWidth="1"/>
    <col min="170" max="170" width="2" bestFit="1" customWidth="1"/>
    <col min="171" max="172" width="2" customWidth="1"/>
    <col min="173" max="173" width="2" bestFit="1" customWidth="1"/>
    <col min="174" max="174" width="2" customWidth="1"/>
    <col min="175" max="176" width="2" bestFit="1" customWidth="1"/>
    <col min="177" max="177" width="2" customWidth="1"/>
    <col min="178" max="189" width="2" bestFit="1" customWidth="1"/>
    <col min="190" max="190" width="61.7109375" bestFit="1" customWidth="1"/>
    <col min="191" max="191" width="32.5703125" bestFit="1" customWidth="1"/>
    <col min="192" max="192" width="18.7109375" bestFit="1" customWidth="1"/>
    <col min="193" max="193" width="24.5703125" bestFit="1" customWidth="1"/>
    <col min="194" max="194" width="14.5703125" bestFit="1" customWidth="1"/>
    <col min="195" max="195" width="14.140625" bestFit="1" customWidth="1"/>
    <col min="196" max="196" width="17.28515625" bestFit="1" customWidth="1"/>
    <col min="197" max="197" width="14.28515625" bestFit="1" customWidth="1"/>
    <col min="198" max="198" width="24.5703125" bestFit="1" customWidth="1"/>
    <col min="199" max="199" width="11.42578125" bestFit="1" customWidth="1"/>
    <col min="200" max="200" width="12.5703125" bestFit="1" customWidth="1"/>
    <col min="201" max="201" width="15.140625" bestFit="1" customWidth="1"/>
    <col min="202" max="202" width="10.28515625" bestFit="1" customWidth="1"/>
    <col min="203" max="203" width="14.140625" bestFit="1" customWidth="1"/>
    <col min="204" max="204" width="11.7109375" bestFit="1" customWidth="1"/>
    <col min="205" max="205" width="10.42578125" bestFit="1" customWidth="1"/>
    <col min="206" max="206" width="6.7109375" bestFit="1" customWidth="1"/>
    <col min="207" max="207" width="9.5703125" bestFit="1" customWidth="1"/>
    <col min="208" max="208" width="6.7109375" bestFit="1" customWidth="1"/>
    <col min="209" max="209" width="3.42578125" bestFit="1" customWidth="1"/>
    <col min="210" max="219" width="2" bestFit="1" customWidth="1"/>
  </cols>
  <sheetData>
    <row r="1" spans="5:200" x14ac:dyDescent="0.25">
      <c r="GG1">
        <v>1</v>
      </c>
    </row>
    <row r="3" spans="5:200" x14ac:dyDescent="0.25"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GH3" t="s">
        <v>24</v>
      </c>
      <c r="GI3" t="s">
        <v>25</v>
      </c>
      <c r="GJ3" t="s">
        <v>26</v>
      </c>
      <c r="GK3" s="3">
        <v>43692</v>
      </c>
      <c r="GL3" t="s">
        <v>27</v>
      </c>
      <c r="GM3" s="4">
        <v>0.41606481481481478</v>
      </c>
    </row>
    <row r="4" spans="5:200" x14ac:dyDescent="0.25">
      <c r="GH4" t="s">
        <v>28</v>
      </c>
      <c r="GI4" t="s">
        <v>29</v>
      </c>
      <c r="GJ4" t="s">
        <v>30</v>
      </c>
      <c r="GK4" t="s">
        <v>31</v>
      </c>
      <c r="GL4" t="s">
        <v>32</v>
      </c>
      <c r="GM4" t="s">
        <v>33</v>
      </c>
      <c r="GN4" t="s">
        <v>34</v>
      </c>
      <c r="GO4" t="s">
        <v>35</v>
      </c>
      <c r="GP4" t="s">
        <v>36</v>
      </c>
      <c r="GQ4" t="s">
        <v>37</v>
      </c>
      <c r="GR4" t="s">
        <v>38</v>
      </c>
    </row>
    <row r="8" spans="5:200" x14ac:dyDescent="0.25">
      <c r="GH8" t="s">
        <v>39</v>
      </c>
      <c r="GI8" t="s">
        <v>24</v>
      </c>
      <c r="GJ8" t="s">
        <v>40</v>
      </c>
      <c r="GK8" t="s">
        <v>41</v>
      </c>
      <c r="GL8" t="s">
        <v>42</v>
      </c>
      <c r="GM8" t="s">
        <v>43</v>
      </c>
      <c r="GN8" t="s">
        <v>44</v>
      </c>
    </row>
    <row r="10" spans="5:200" x14ac:dyDescent="0.25">
      <c r="GH10" t="s">
        <v>34</v>
      </c>
      <c r="GI10" t="s">
        <v>35</v>
      </c>
      <c r="GJ10" t="s">
        <v>45</v>
      </c>
      <c r="GK10" t="s">
        <v>46</v>
      </c>
    </row>
    <row r="11" spans="5:200" x14ac:dyDescent="0.25">
      <c r="GH11" t="s">
        <v>47</v>
      </c>
      <c r="GI11" t="s">
        <v>48</v>
      </c>
      <c r="GJ11" t="s">
        <v>49</v>
      </c>
    </row>
    <row r="12" spans="5:200" x14ac:dyDescent="0.25">
      <c r="GH12">
        <v>166</v>
      </c>
      <c r="GI12" t="s">
        <v>50</v>
      </c>
      <c r="GJ12" t="s">
        <v>51</v>
      </c>
    </row>
    <row r="13" spans="5:200" x14ac:dyDescent="0.25">
      <c r="GH13" t="s">
        <v>52</v>
      </c>
      <c r="GI13" t="s">
        <v>53</v>
      </c>
      <c r="GJ13" t="s">
        <v>54</v>
      </c>
      <c r="GK13" t="s">
        <v>55</v>
      </c>
    </row>
    <row r="17" spans="190:198" x14ac:dyDescent="0.25">
      <c r="GH17" t="s">
        <v>39</v>
      </c>
      <c r="GI17" t="s">
        <v>24</v>
      </c>
      <c r="GJ17" t="s">
        <v>40</v>
      </c>
      <c r="GK17" t="s">
        <v>41</v>
      </c>
      <c r="GL17" t="s">
        <v>56</v>
      </c>
      <c r="GM17" t="s">
        <v>57</v>
      </c>
      <c r="GN17" t="s">
        <v>31</v>
      </c>
      <c r="GO17" t="s">
        <v>32</v>
      </c>
    </row>
    <row r="18" spans="190:198" x14ac:dyDescent="0.25">
      <c r="GH18" t="s">
        <v>33</v>
      </c>
      <c r="GI18" t="s">
        <v>34</v>
      </c>
      <c r="GJ18" t="s">
        <v>35</v>
      </c>
      <c r="GK18" t="s">
        <v>36</v>
      </c>
      <c r="GL18" t="s">
        <v>37</v>
      </c>
      <c r="GM18" t="s">
        <v>58</v>
      </c>
      <c r="GN18" t="s">
        <v>59</v>
      </c>
      <c r="GO18" t="s">
        <v>60</v>
      </c>
      <c r="GP18" t="s">
        <v>61</v>
      </c>
    </row>
    <row r="19" spans="190:198" x14ac:dyDescent="0.25">
      <c r="GH19" t="s">
        <v>62</v>
      </c>
      <c r="GI19" t="s">
        <v>36</v>
      </c>
      <c r="GJ19" t="s">
        <v>63</v>
      </c>
      <c r="GK19" t="s">
        <v>57</v>
      </c>
      <c r="GL19" t="s">
        <v>64</v>
      </c>
      <c r="GM19" t="s">
        <v>65</v>
      </c>
      <c r="GN19" t="s">
        <v>66</v>
      </c>
      <c r="GO19" t="s">
        <v>67</v>
      </c>
      <c r="GP19" t="s">
        <v>68</v>
      </c>
    </row>
    <row r="20" spans="190:198" x14ac:dyDescent="0.25">
      <c r="GH20" t="s">
        <v>69</v>
      </c>
      <c r="GI20" t="s">
        <v>70</v>
      </c>
      <c r="GJ20" t="s">
        <v>71</v>
      </c>
    </row>
    <row r="22" spans="190:198" x14ac:dyDescent="0.25">
      <c r="GH22" t="s">
        <v>72</v>
      </c>
      <c r="GI22" t="s">
        <v>73</v>
      </c>
      <c r="GJ22" t="s">
        <v>74</v>
      </c>
    </row>
    <row r="23" spans="190:198" x14ac:dyDescent="0.25">
      <c r="GH23" t="s">
        <v>75</v>
      </c>
      <c r="GI23" t="s">
        <v>76</v>
      </c>
      <c r="GJ23" t="s">
        <v>77</v>
      </c>
      <c r="GK23" t="s">
        <v>78</v>
      </c>
      <c r="GL23" t="s">
        <v>79</v>
      </c>
    </row>
    <row r="24" spans="190:198" x14ac:dyDescent="0.25">
      <c r="GH24" t="s">
        <v>80</v>
      </c>
      <c r="GI24" t="s">
        <v>81</v>
      </c>
      <c r="GJ24" t="s">
        <v>82</v>
      </c>
    </row>
    <row r="26" spans="190:198" x14ac:dyDescent="0.25">
      <c r="GH26" t="s">
        <v>83</v>
      </c>
      <c r="GI26" t="s">
        <v>84</v>
      </c>
      <c r="GJ26" t="s">
        <v>85</v>
      </c>
      <c r="GK26" t="s">
        <v>86</v>
      </c>
      <c r="GL26" t="s">
        <v>87</v>
      </c>
    </row>
    <row r="30" spans="190:198" x14ac:dyDescent="0.25">
      <c r="GH30" t="s">
        <v>28</v>
      </c>
      <c r="GI30" t="s">
        <v>88</v>
      </c>
      <c r="GJ30" t="s">
        <v>36</v>
      </c>
      <c r="GK30" t="s">
        <v>89</v>
      </c>
      <c r="GL30" t="s">
        <v>90</v>
      </c>
      <c r="GM30" t="s">
        <v>91</v>
      </c>
      <c r="GN30" t="s">
        <v>75</v>
      </c>
      <c r="GO30" t="s">
        <v>60</v>
      </c>
    </row>
    <row r="31" spans="190:198" x14ac:dyDescent="0.25">
      <c r="GH31" t="s">
        <v>92</v>
      </c>
      <c r="GI31" t="s">
        <v>93</v>
      </c>
      <c r="GJ31" t="s">
        <v>91</v>
      </c>
      <c r="GK31" t="s">
        <v>94</v>
      </c>
      <c r="GL31" t="s">
        <v>95</v>
      </c>
      <c r="GM31" t="s">
        <v>96</v>
      </c>
      <c r="GN31" t="s">
        <v>97</v>
      </c>
    </row>
    <row r="32" spans="190:198" x14ac:dyDescent="0.25">
      <c r="GH32" t="s">
        <v>33</v>
      </c>
      <c r="GI32" t="s">
        <v>67</v>
      </c>
      <c r="GJ32" t="s">
        <v>98</v>
      </c>
      <c r="GK32" t="s">
        <v>99</v>
      </c>
      <c r="GL32" t="s">
        <v>100</v>
      </c>
      <c r="GM32" t="s">
        <v>101</v>
      </c>
    </row>
    <row r="34" spans="31:219" x14ac:dyDescent="0.25">
      <c r="GH34" t="s">
        <v>102</v>
      </c>
    </row>
    <row r="37" spans="31:219" x14ac:dyDescent="0.25">
      <c r="AE37" t="s">
        <v>23</v>
      </c>
      <c r="AF37" t="s">
        <v>23</v>
      </c>
      <c r="AG37" t="s">
        <v>23</v>
      </c>
      <c r="AH37" t="s">
        <v>23</v>
      </c>
      <c r="AI37" t="s">
        <v>23</v>
      </c>
      <c r="AJ37" t="s">
        <v>23</v>
      </c>
      <c r="AK37" t="s">
        <v>23</v>
      </c>
      <c r="AL37" t="s">
        <v>23</v>
      </c>
      <c r="AM37" t="s">
        <v>23</v>
      </c>
      <c r="AN37" t="s">
        <v>23</v>
      </c>
      <c r="AO37" t="s">
        <v>23</v>
      </c>
      <c r="AP37" t="s">
        <v>23</v>
      </c>
      <c r="AQ37" t="s">
        <v>23</v>
      </c>
      <c r="AR37" t="s">
        <v>23</v>
      </c>
      <c r="AS37" t="s">
        <v>23</v>
      </c>
      <c r="AT37" t="s">
        <v>23</v>
      </c>
      <c r="AU37" t="s">
        <v>23</v>
      </c>
      <c r="AV37" t="s">
        <v>23</v>
      </c>
      <c r="AW37" t="s">
        <v>23</v>
      </c>
      <c r="AX37" t="s">
        <v>23</v>
      </c>
      <c r="AY37" t="s">
        <v>23</v>
      </c>
      <c r="AZ37" t="s">
        <v>23</v>
      </c>
      <c r="BA37" t="s">
        <v>23</v>
      </c>
      <c r="BB37" t="s">
        <v>23</v>
      </c>
      <c r="BC37" t="s">
        <v>23</v>
      </c>
      <c r="BD37" t="s">
        <v>23</v>
      </c>
      <c r="BE37" t="s">
        <v>23</v>
      </c>
      <c r="BF37" t="s">
        <v>23</v>
      </c>
      <c r="BG37" t="s">
        <v>23</v>
      </c>
      <c r="BH37" t="s">
        <v>23</v>
      </c>
      <c r="BI37" t="s">
        <v>23</v>
      </c>
      <c r="BJ37" t="s">
        <v>23</v>
      </c>
      <c r="BK37" t="s">
        <v>23</v>
      </c>
      <c r="BL37" t="s">
        <v>23</v>
      </c>
      <c r="BM37" t="s">
        <v>23</v>
      </c>
      <c r="BN37" t="s">
        <v>23</v>
      </c>
      <c r="BO37" t="s">
        <v>23</v>
      </c>
      <c r="BP37" t="s">
        <v>23</v>
      </c>
      <c r="BQ37" t="s">
        <v>23</v>
      </c>
      <c r="BR37" t="s">
        <v>23</v>
      </c>
      <c r="BS37" t="s">
        <v>23</v>
      </c>
      <c r="BT37" t="s">
        <v>23</v>
      </c>
      <c r="BU37" t="s">
        <v>23</v>
      </c>
      <c r="BV37" t="s">
        <v>23</v>
      </c>
      <c r="BW37" t="s">
        <v>23</v>
      </c>
      <c r="BX37" t="s">
        <v>23</v>
      </c>
      <c r="BY37" t="s">
        <v>23</v>
      </c>
      <c r="BZ37" t="s">
        <v>23</v>
      </c>
      <c r="CA37" t="s">
        <v>23</v>
      </c>
      <c r="CB37" t="s">
        <v>23</v>
      </c>
      <c r="CC37" t="s">
        <v>23</v>
      </c>
      <c r="CD37" t="s">
        <v>23</v>
      </c>
      <c r="CE37" t="s">
        <v>23</v>
      </c>
      <c r="CF37" t="s">
        <v>23</v>
      </c>
      <c r="CG37" t="s">
        <v>23</v>
      </c>
      <c r="CH37" t="s">
        <v>23</v>
      </c>
      <c r="CI37" t="s">
        <v>23</v>
      </c>
      <c r="CJ37" t="s">
        <v>23</v>
      </c>
      <c r="CK37" t="s">
        <v>23</v>
      </c>
      <c r="CL37" t="s">
        <v>23</v>
      </c>
      <c r="CM37" t="s">
        <v>23</v>
      </c>
      <c r="CN37" t="s">
        <v>23</v>
      </c>
      <c r="CO37" t="s">
        <v>23</v>
      </c>
      <c r="CP37" t="s">
        <v>23</v>
      </c>
      <c r="CQ37" t="s">
        <v>23</v>
      </c>
      <c r="CR37" t="s">
        <v>23</v>
      </c>
      <c r="CS37" t="s">
        <v>23</v>
      </c>
      <c r="CT37" t="s">
        <v>23</v>
      </c>
      <c r="CU37" t="s">
        <v>23</v>
      </c>
      <c r="CV37" t="s">
        <v>23</v>
      </c>
      <c r="CW37" t="s">
        <v>23</v>
      </c>
      <c r="CX37" t="s">
        <v>23</v>
      </c>
      <c r="CY37" t="s">
        <v>23</v>
      </c>
      <c r="CZ37" t="s">
        <v>23</v>
      </c>
      <c r="DA37" t="s">
        <v>23</v>
      </c>
      <c r="DB37" t="s">
        <v>23</v>
      </c>
      <c r="DC37" t="s">
        <v>23</v>
      </c>
      <c r="DD37" t="s">
        <v>23</v>
      </c>
      <c r="DE37" t="s">
        <v>23</v>
      </c>
      <c r="DF37" t="s">
        <v>23</v>
      </c>
      <c r="DG37" t="s">
        <v>23</v>
      </c>
      <c r="DH37" t="s">
        <v>23</v>
      </c>
      <c r="DI37" t="s">
        <v>23</v>
      </c>
      <c r="DJ37" t="s">
        <v>23</v>
      </c>
      <c r="DK37" t="s">
        <v>23</v>
      </c>
      <c r="DL37" t="s">
        <v>23</v>
      </c>
      <c r="DM37" t="s">
        <v>23</v>
      </c>
      <c r="DN37" t="s">
        <v>23</v>
      </c>
      <c r="DO37" t="s">
        <v>23</v>
      </c>
      <c r="DP37" t="s">
        <v>23</v>
      </c>
      <c r="DQ37" t="s">
        <v>23</v>
      </c>
      <c r="DR37" t="s">
        <v>23</v>
      </c>
      <c r="DS37" t="s">
        <v>23</v>
      </c>
      <c r="DT37" t="s">
        <v>23</v>
      </c>
      <c r="DU37" t="s">
        <v>23</v>
      </c>
      <c r="DV37" t="s">
        <v>23</v>
      </c>
      <c r="DW37" t="s">
        <v>23</v>
      </c>
      <c r="DX37" t="s">
        <v>23</v>
      </c>
      <c r="DY37" t="s">
        <v>23</v>
      </c>
      <c r="DZ37" t="s">
        <v>23</v>
      </c>
      <c r="EA37" t="s">
        <v>23</v>
      </c>
      <c r="EB37" t="s">
        <v>23</v>
      </c>
      <c r="EC37" t="s">
        <v>23</v>
      </c>
      <c r="ED37" t="s">
        <v>23</v>
      </c>
      <c r="EE37" t="s">
        <v>23</v>
      </c>
      <c r="EF37" t="s">
        <v>23</v>
      </c>
      <c r="EG37" t="s">
        <v>23</v>
      </c>
      <c r="EH37" t="s">
        <v>23</v>
      </c>
      <c r="EI37" t="s">
        <v>23</v>
      </c>
      <c r="EJ37" t="s">
        <v>23</v>
      </c>
      <c r="EK37" t="s">
        <v>23</v>
      </c>
      <c r="EL37" t="s">
        <v>23</v>
      </c>
      <c r="EM37" t="s">
        <v>23</v>
      </c>
      <c r="EN37" t="s">
        <v>23</v>
      </c>
      <c r="EO37" t="s">
        <v>23</v>
      </c>
      <c r="EP37" t="s">
        <v>23</v>
      </c>
      <c r="EQ37" t="s">
        <v>23</v>
      </c>
      <c r="ER37" t="s">
        <v>23</v>
      </c>
      <c r="ES37" t="s">
        <v>23</v>
      </c>
      <c r="ET37" t="s">
        <v>23</v>
      </c>
      <c r="EU37" t="s">
        <v>23</v>
      </c>
      <c r="EV37" t="s">
        <v>23</v>
      </c>
      <c r="EW37" t="s">
        <v>23</v>
      </c>
      <c r="EX37" t="s">
        <v>23</v>
      </c>
      <c r="EY37" t="s">
        <v>23</v>
      </c>
      <c r="EZ37" t="s">
        <v>23</v>
      </c>
      <c r="FA37" t="s">
        <v>23</v>
      </c>
      <c r="FB37" t="s">
        <v>23</v>
      </c>
      <c r="FC37" t="s">
        <v>23</v>
      </c>
      <c r="FD37" t="s">
        <v>23</v>
      </c>
      <c r="FE37" t="s">
        <v>23</v>
      </c>
      <c r="FF37" t="s">
        <v>23</v>
      </c>
      <c r="FG37" t="s">
        <v>23</v>
      </c>
      <c r="FH37" t="s">
        <v>23</v>
      </c>
      <c r="FI37" t="s">
        <v>23</v>
      </c>
      <c r="FJ37" t="s">
        <v>23</v>
      </c>
      <c r="FK37" t="s">
        <v>23</v>
      </c>
      <c r="FL37" t="s">
        <v>23</v>
      </c>
      <c r="FM37" t="s">
        <v>23</v>
      </c>
      <c r="FN37" t="s">
        <v>23</v>
      </c>
      <c r="FO37" t="s">
        <v>23</v>
      </c>
      <c r="FP37" t="s">
        <v>23</v>
      </c>
      <c r="FQ37" t="s">
        <v>23</v>
      </c>
      <c r="FR37" t="s">
        <v>23</v>
      </c>
      <c r="FS37" t="s">
        <v>23</v>
      </c>
      <c r="FT37" t="s">
        <v>23</v>
      </c>
      <c r="FU37" t="s">
        <v>23</v>
      </c>
      <c r="FV37" t="s">
        <v>23</v>
      </c>
      <c r="FW37" t="s">
        <v>23</v>
      </c>
      <c r="FX37" t="s">
        <v>23</v>
      </c>
      <c r="FY37" t="s">
        <v>23</v>
      </c>
      <c r="FZ37" t="s">
        <v>23</v>
      </c>
      <c r="GA37" t="s">
        <v>23</v>
      </c>
      <c r="GB37" t="s">
        <v>23</v>
      </c>
      <c r="GC37" t="s">
        <v>23</v>
      </c>
      <c r="GD37" t="s">
        <v>23</v>
      </c>
      <c r="GE37" t="s">
        <v>23</v>
      </c>
      <c r="GF37" t="s">
        <v>23</v>
      </c>
      <c r="GH37" t="s">
        <v>23</v>
      </c>
      <c r="GI37" t="s">
        <v>23</v>
      </c>
      <c r="GJ37" t="s">
        <v>23</v>
      </c>
      <c r="GK37" t="s">
        <v>23</v>
      </c>
      <c r="GL37" t="s">
        <v>23</v>
      </c>
      <c r="GM37" t="s">
        <v>23</v>
      </c>
      <c r="GN37" t="s">
        <v>23</v>
      </c>
      <c r="GO37" t="s">
        <v>23</v>
      </c>
      <c r="GP37" t="s">
        <v>23</v>
      </c>
      <c r="GQ37" t="s">
        <v>23</v>
      </c>
      <c r="GR37" t="s">
        <v>23</v>
      </c>
      <c r="GS37" t="s">
        <v>23</v>
      </c>
      <c r="GT37" t="s">
        <v>23</v>
      </c>
      <c r="GU37" t="s">
        <v>23</v>
      </c>
      <c r="GV37" t="s">
        <v>23</v>
      </c>
      <c r="GW37" t="s">
        <v>23</v>
      </c>
      <c r="GX37" t="s">
        <v>23</v>
      </c>
      <c r="GY37" t="s">
        <v>23</v>
      </c>
      <c r="GZ37" t="s">
        <v>23</v>
      </c>
      <c r="HA37" t="s">
        <v>23</v>
      </c>
      <c r="HB37" t="s">
        <v>23</v>
      </c>
      <c r="HC37" t="s">
        <v>23</v>
      </c>
      <c r="HD37" t="s">
        <v>23</v>
      </c>
      <c r="HE37" t="s">
        <v>23</v>
      </c>
      <c r="HF37" t="s">
        <v>23</v>
      </c>
      <c r="HG37" t="s">
        <v>23</v>
      </c>
      <c r="HH37" t="s">
        <v>23</v>
      </c>
      <c r="HI37" t="s">
        <v>23</v>
      </c>
      <c r="HJ37" t="s">
        <v>23</v>
      </c>
      <c r="HK37" t="s">
        <v>23</v>
      </c>
    </row>
    <row r="38" spans="31:219" x14ac:dyDescent="0.25">
      <c r="GH38" t="s">
        <v>23</v>
      </c>
      <c r="GI38" t="s">
        <v>23</v>
      </c>
    </row>
    <row r="39" spans="31:219" x14ac:dyDescent="0.25">
      <c r="GH39" t="s">
        <v>23</v>
      </c>
      <c r="GI39" t="s">
        <v>103</v>
      </c>
      <c r="GJ39" t="s">
        <v>23</v>
      </c>
    </row>
    <row r="40" spans="31:219" x14ac:dyDescent="0.25">
      <c r="GH40" t="s">
        <v>23</v>
      </c>
      <c r="GI40" t="s">
        <v>23</v>
      </c>
      <c r="GJ40" t="s">
        <v>104</v>
      </c>
      <c r="GK40" t="s">
        <v>105</v>
      </c>
      <c r="GL40" t="s">
        <v>106</v>
      </c>
      <c r="GM40" t="s">
        <v>107</v>
      </c>
      <c r="GN40" t="s">
        <v>108</v>
      </c>
      <c r="GO40" t="s">
        <v>109</v>
      </c>
      <c r="GP40" t="s">
        <v>23</v>
      </c>
      <c r="GQ40" t="s">
        <v>23</v>
      </c>
    </row>
    <row r="41" spans="31:219" x14ac:dyDescent="0.25">
      <c r="GH41" t="s">
        <v>23</v>
      </c>
      <c r="GI41" t="s">
        <v>103</v>
      </c>
      <c r="GJ41" t="s">
        <v>23</v>
      </c>
    </row>
    <row r="42" spans="31:219" x14ac:dyDescent="0.25">
      <c r="GH42" t="s">
        <v>23</v>
      </c>
      <c r="GI42" t="s">
        <v>23</v>
      </c>
    </row>
    <row r="43" spans="31:219" x14ac:dyDescent="0.25">
      <c r="GH43" t="s">
        <v>23</v>
      </c>
      <c r="GI43" t="s">
        <v>23</v>
      </c>
    </row>
    <row r="44" spans="31:219" x14ac:dyDescent="0.25">
      <c r="GH44" t="s">
        <v>23</v>
      </c>
      <c r="GI44" t="s">
        <v>24</v>
      </c>
      <c r="GJ44" t="s">
        <v>25</v>
      </c>
      <c r="GK44" t="s">
        <v>23</v>
      </c>
    </row>
    <row r="45" spans="31:219" x14ac:dyDescent="0.25">
      <c r="GH45" t="s">
        <v>23</v>
      </c>
      <c r="GI45" t="s">
        <v>23</v>
      </c>
    </row>
    <row r="46" spans="31:219" x14ac:dyDescent="0.25">
      <c r="GH46" t="s">
        <v>23</v>
      </c>
      <c r="GI46" t="s">
        <v>110</v>
      </c>
      <c r="GJ46" t="s">
        <v>111</v>
      </c>
      <c r="GK46" t="s">
        <v>112</v>
      </c>
      <c r="GL46">
        <v>119612</v>
      </c>
      <c r="GM46" t="s">
        <v>23</v>
      </c>
    </row>
    <row r="47" spans="31:219" x14ac:dyDescent="0.25">
      <c r="GH47" t="s">
        <v>23</v>
      </c>
      <c r="GI47" t="s">
        <v>23</v>
      </c>
    </row>
    <row r="48" spans="31:219" x14ac:dyDescent="0.25">
      <c r="GH48" t="s">
        <v>23</v>
      </c>
      <c r="GI48" t="s">
        <v>23</v>
      </c>
    </row>
    <row r="49" spans="31:219" x14ac:dyDescent="0.25">
      <c r="GH49" t="s">
        <v>23</v>
      </c>
      <c r="GI49" t="s">
        <v>113</v>
      </c>
      <c r="GJ49" t="s">
        <v>114</v>
      </c>
      <c r="GK49" t="s">
        <v>115</v>
      </c>
      <c r="GL49" t="s">
        <v>75</v>
      </c>
      <c r="GM49" t="s">
        <v>76</v>
      </c>
      <c r="GN49" t="s">
        <v>116</v>
      </c>
      <c r="GO49" t="s">
        <v>117</v>
      </c>
      <c r="GP49">
        <v>6.12</v>
      </c>
      <c r="GQ49" t="s">
        <v>118</v>
      </c>
      <c r="GR49" t="s">
        <v>23</v>
      </c>
    </row>
    <row r="50" spans="31:219" x14ac:dyDescent="0.25">
      <c r="GH50" t="s">
        <v>23</v>
      </c>
      <c r="GI50" t="s">
        <v>119</v>
      </c>
      <c r="GJ50" t="s">
        <v>67</v>
      </c>
      <c r="GK50" t="s">
        <v>120</v>
      </c>
      <c r="GL50" t="s">
        <v>121</v>
      </c>
      <c r="GM50" t="s">
        <v>122</v>
      </c>
      <c r="GN50" t="s">
        <v>123</v>
      </c>
      <c r="GO50" t="s">
        <v>23</v>
      </c>
    </row>
    <row r="51" spans="31:219" x14ac:dyDescent="0.25">
      <c r="GH51" t="s">
        <v>23</v>
      </c>
      <c r="GI51" t="s">
        <v>23</v>
      </c>
    </row>
    <row r="52" spans="31:219" x14ac:dyDescent="0.25">
      <c r="GH52" t="s">
        <v>23</v>
      </c>
      <c r="GI52" t="s">
        <v>23</v>
      </c>
    </row>
    <row r="53" spans="31:219" x14ac:dyDescent="0.25">
      <c r="GH53" t="s">
        <v>23</v>
      </c>
      <c r="GI53" t="s">
        <v>23</v>
      </c>
    </row>
    <row r="54" spans="31:219" x14ac:dyDescent="0.25">
      <c r="GH54" t="s">
        <v>23</v>
      </c>
      <c r="GI54" t="s">
        <v>23</v>
      </c>
    </row>
    <row r="55" spans="31:219" x14ac:dyDescent="0.25">
      <c r="AE55" t="s">
        <v>23</v>
      </c>
      <c r="AF55" t="s">
        <v>23</v>
      </c>
      <c r="AG55" t="s">
        <v>23</v>
      </c>
      <c r="AH55" t="s">
        <v>23</v>
      </c>
      <c r="AI55" t="s">
        <v>23</v>
      </c>
      <c r="AJ55" t="s">
        <v>23</v>
      </c>
      <c r="AK55" t="s">
        <v>23</v>
      </c>
      <c r="AL55" t="s">
        <v>23</v>
      </c>
      <c r="AM55" t="s">
        <v>23</v>
      </c>
      <c r="AN55" t="s">
        <v>23</v>
      </c>
      <c r="AO55" t="s">
        <v>23</v>
      </c>
      <c r="AP55" t="s">
        <v>23</v>
      </c>
      <c r="AQ55" t="s">
        <v>23</v>
      </c>
      <c r="AR55" t="s">
        <v>23</v>
      </c>
      <c r="AS55" t="s">
        <v>23</v>
      </c>
      <c r="AT55" t="s">
        <v>23</v>
      </c>
      <c r="AU55" t="s">
        <v>23</v>
      </c>
      <c r="AV55" t="s">
        <v>23</v>
      </c>
      <c r="AW55" t="s">
        <v>23</v>
      </c>
      <c r="AX55" t="s">
        <v>23</v>
      </c>
      <c r="AY55" t="s">
        <v>23</v>
      </c>
      <c r="AZ55" t="s">
        <v>23</v>
      </c>
      <c r="BA55" t="s">
        <v>23</v>
      </c>
      <c r="BB55" t="s">
        <v>23</v>
      </c>
      <c r="BC55" t="s">
        <v>23</v>
      </c>
      <c r="BD55" t="s">
        <v>23</v>
      </c>
      <c r="BE55" t="s">
        <v>23</v>
      </c>
      <c r="BF55" t="s">
        <v>23</v>
      </c>
      <c r="BG55" t="s">
        <v>23</v>
      </c>
      <c r="BH55" t="s">
        <v>23</v>
      </c>
      <c r="BI55" t="s">
        <v>23</v>
      </c>
      <c r="BJ55" t="s">
        <v>23</v>
      </c>
      <c r="BK55" t="s">
        <v>23</v>
      </c>
      <c r="BL55" t="s">
        <v>23</v>
      </c>
      <c r="BM55" t="s">
        <v>23</v>
      </c>
      <c r="BN55" t="s">
        <v>23</v>
      </c>
      <c r="BO55" t="s">
        <v>23</v>
      </c>
      <c r="BP55" t="s">
        <v>23</v>
      </c>
      <c r="BQ55" t="s">
        <v>23</v>
      </c>
      <c r="BR55" t="s">
        <v>23</v>
      </c>
      <c r="BS55" t="s">
        <v>23</v>
      </c>
      <c r="BT55" t="s">
        <v>23</v>
      </c>
      <c r="BU55" t="s">
        <v>23</v>
      </c>
      <c r="BV55" t="s">
        <v>23</v>
      </c>
      <c r="BW55" t="s">
        <v>23</v>
      </c>
      <c r="BX55" t="s">
        <v>23</v>
      </c>
      <c r="BY55" t="s">
        <v>23</v>
      </c>
      <c r="BZ55" t="s">
        <v>23</v>
      </c>
      <c r="CA55" t="s">
        <v>23</v>
      </c>
      <c r="CB55" t="s">
        <v>23</v>
      </c>
      <c r="CC55" t="s">
        <v>23</v>
      </c>
      <c r="CD55" t="s">
        <v>23</v>
      </c>
      <c r="CE55" t="s">
        <v>23</v>
      </c>
      <c r="CF55" t="s">
        <v>23</v>
      </c>
      <c r="CG55" t="s">
        <v>23</v>
      </c>
      <c r="CH55" t="s">
        <v>23</v>
      </c>
      <c r="CI55" t="s">
        <v>23</v>
      </c>
      <c r="CJ55" t="s">
        <v>23</v>
      </c>
      <c r="CK55" t="s">
        <v>23</v>
      </c>
      <c r="CL55" t="s">
        <v>23</v>
      </c>
      <c r="CM55" t="s">
        <v>23</v>
      </c>
      <c r="CN55" t="s">
        <v>23</v>
      </c>
      <c r="CO55" t="s">
        <v>23</v>
      </c>
      <c r="CP55" t="s">
        <v>23</v>
      </c>
      <c r="CQ55" t="s">
        <v>23</v>
      </c>
      <c r="CR55" t="s">
        <v>23</v>
      </c>
      <c r="CS55" t="s">
        <v>23</v>
      </c>
      <c r="CT55" t="s">
        <v>23</v>
      </c>
      <c r="CU55" t="s">
        <v>23</v>
      </c>
      <c r="CV55" t="s">
        <v>23</v>
      </c>
      <c r="CW55" t="s">
        <v>23</v>
      </c>
      <c r="CX55" t="s">
        <v>23</v>
      </c>
      <c r="CY55" t="s">
        <v>23</v>
      </c>
      <c r="CZ55" t="s">
        <v>23</v>
      </c>
      <c r="DA55" t="s">
        <v>23</v>
      </c>
      <c r="DB55" t="s">
        <v>23</v>
      </c>
      <c r="DC55" t="s">
        <v>23</v>
      </c>
      <c r="DD55" t="s">
        <v>23</v>
      </c>
      <c r="DE55" t="s">
        <v>23</v>
      </c>
      <c r="DF55" t="s">
        <v>23</v>
      </c>
      <c r="DG55" t="s">
        <v>23</v>
      </c>
      <c r="DH55" t="s">
        <v>23</v>
      </c>
      <c r="DI55" t="s">
        <v>23</v>
      </c>
      <c r="DJ55" t="s">
        <v>23</v>
      </c>
      <c r="DK55" t="s">
        <v>23</v>
      </c>
      <c r="DL55" t="s">
        <v>23</v>
      </c>
      <c r="DM55" t="s">
        <v>23</v>
      </c>
      <c r="DN55" t="s">
        <v>23</v>
      </c>
      <c r="DO55" t="s">
        <v>23</v>
      </c>
      <c r="DP55" t="s">
        <v>23</v>
      </c>
      <c r="DQ55" t="s">
        <v>23</v>
      </c>
      <c r="DR55" t="s">
        <v>23</v>
      </c>
      <c r="DS55" t="s">
        <v>23</v>
      </c>
      <c r="DT55" t="s">
        <v>23</v>
      </c>
      <c r="DU55" t="s">
        <v>23</v>
      </c>
      <c r="DV55" t="s">
        <v>23</v>
      </c>
      <c r="DW55" t="s">
        <v>23</v>
      </c>
      <c r="DX55" t="s">
        <v>23</v>
      </c>
      <c r="DY55" t="s">
        <v>23</v>
      </c>
      <c r="DZ55" t="s">
        <v>23</v>
      </c>
      <c r="EA55" t="s">
        <v>23</v>
      </c>
      <c r="EB55" t="s">
        <v>23</v>
      </c>
      <c r="EC55" t="s">
        <v>23</v>
      </c>
      <c r="ED55" t="s">
        <v>23</v>
      </c>
      <c r="EE55" t="s">
        <v>23</v>
      </c>
      <c r="EF55" t="s">
        <v>23</v>
      </c>
      <c r="EG55" t="s">
        <v>23</v>
      </c>
      <c r="EH55" t="s">
        <v>23</v>
      </c>
      <c r="EI55" t="s">
        <v>23</v>
      </c>
      <c r="EJ55" t="s">
        <v>23</v>
      </c>
      <c r="EK55" t="s">
        <v>23</v>
      </c>
      <c r="EL55" t="s">
        <v>23</v>
      </c>
      <c r="EM55" t="s">
        <v>23</v>
      </c>
      <c r="EN55" t="s">
        <v>23</v>
      </c>
      <c r="EO55" t="s">
        <v>23</v>
      </c>
      <c r="EP55" t="s">
        <v>23</v>
      </c>
      <c r="EQ55" t="s">
        <v>23</v>
      </c>
      <c r="ER55" t="s">
        <v>23</v>
      </c>
      <c r="ES55" t="s">
        <v>23</v>
      </c>
      <c r="ET55" t="s">
        <v>23</v>
      </c>
      <c r="EU55" t="s">
        <v>23</v>
      </c>
      <c r="EV55" t="s">
        <v>23</v>
      </c>
      <c r="EW55" t="s">
        <v>23</v>
      </c>
      <c r="EX55" t="s">
        <v>23</v>
      </c>
      <c r="EY55" t="s">
        <v>23</v>
      </c>
      <c r="EZ55" t="s">
        <v>23</v>
      </c>
      <c r="FA55" t="s">
        <v>23</v>
      </c>
      <c r="FB55" t="s">
        <v>23</v>
      </c>
      <c r="FC55" t="s">
        <v>23</v>
      </c>
      <c r="FD55" t="s">
        <v>23</v>
      </c>
      <c r="FE55" t="s">
        <v>23</v>
      </c>
      <c r="FF55" t="s">
        <v>23</v>
      </c>
      <c r="FG55" t="s">
        <v>23</v>
      </c>
      <c r="FH55" t="s">
        <v>23</v>
      </c>
      <c r="FI55" t="s">
        <v>23</v>
      </c>
      <c r="FJ55" t="s">
        <v>23</v>
      </c>
      <c r="FK55" t="s">
        <v>23</v>
      </c>
      <c r="FL55" t="s">
        <v>23</v>
      </c>
      <c r="FM55" t="s">
        <v>23</v>
      </c>
      <c r="FN55" t="s">
        <v>23</v>
      </c>
      <c r="FO55" t="s">
        <v>23</v>
      </c>
      <c r="FP55" t="s">
        <v>23</v>
      </c>
      <c r="FQ55" t="s">
        <v>23</v>
      </c>
      <c r="FR55" t="s">
        <v>23</v>
      </c>
      <c r="FS55" t="s">
        <v>23</v>
      </c>
      <c r="FT55" t="s">
        <v>23</v>
      </c>
      <c r="FU55" t="s">
        <v>23</v>
      </c>
      <c r="FV55" t="s">
        <v>23</v>
      </c>
      <c r="FW55" t="s">
        <v>23</v>
      </c>
      <c r="FX55" t="s">
        <v>23</v>
      </c>
      <c r="FY55" t="s">
        <v>23</v>
      </c>
      <c r="FZ55" t="s">
        <v>23</v>
      </c>
      <c r="GA55" t="s">
        <v>23</v>
      </c>
      <c r="GB55" t="s">
        <v>23</v>
      </c>
      <c r="GC55" t="s">
        <v>23</v>
      </c>
      <c r="GD55" t="s">
        <v>23</v>
      </c>
      <c r="GE55" t="s">
        <v>23</v>
      </c>
      <c r="GF55" t="s">
        <v>23</v>
      </c>
      <c r="GH55" t="s">
        <v>23</v>
      </c>
      <c r="GI55" t="s">
        <v>23</v>
      </c>
      <c r="GJ55" t="s">
        <v>23</v>
      </c>
      <c r="GK55" t="s">
        <v>23</v>
      </c>
      <c r="GL55" t="s">
        <v>23</v>
      </c>
      <c r="GM55" t="s">
        <v>23</v>
      </c>
      <c r="GN55" t="s">
        <v>23</v>
      </c>
      <c r="GO55" t="s">
        <v>23</v>
      </c>
      <c r="GP55" t="s">
        <v>23</v>
      </c>
      <c r="GQ55" t="s">
        <v>23</v>
      </c>
      <c r="GR55" t="s">
        <v>23</v>
      </c>
      <c r="GS55" t="s">
        <v>23</v>
      </c>
      <c r="GT55" t="s">
        <v>23</v>
      </c>
      <c r="GU55" t="s">
        <v>23</v>
      </c>
      <c r="GV55" t="s">
        <v>23</v>
      </c>
      <c r="GW55" t="s">
        <v>23</v>
      </c>
      <c r="GX55" t="s">
        <v>23</v>
      </c>
      <c r="GY55" t="s">
        <v>23</v>
      </c>
      <c r="GZ55" t="s">
        <v>23</v>
      </c>
      <c r="HA55" t="s">
        <v>23</v>
      </c>
      <c r="HB55" t="s">
        <v>23</v>
      </c>
      <c r="HC55" t="s">
        <v>23</v>
      </c>
      <c r="HD55" t="s">
        <v>23</v>
      </c>
      <c r="HE55" t="s">
        <v>23</v>
      </c>
      <c r="HF55" t="s">
        <v>23</v>
      </c>
      <c r="HG55" t="s">
        <v>23</v>
      </c>
      <c r="HH55" t="s">
        <v>23</v>
      </c>
      <c r="HI55" t="s">
        <v>23</v>
      </c>
      <c r="HJ55" t="s">
        <v>23</v>
      </c>
      <c r="HK55" t="s">
        <v>23</v>
      </c>
    </row>
    <row r="62" spans="31:219" x14ac:dyDescent="0.25">
      <c r="GH62" t="s">
        <v>124</v>
      </c>
      <c r="GI62" t="s">
        <v>125</v>
      </c>
      <c r="GJ62" t="s">
        <v>126</v>
      </c>
      <c r="GK62" t="s">
        <v>127</v>
      </c>
      <c r="GL62" t="s">
        <v>128</v>
      </c>
      <c r="GM62" t="s">
        <v>129</v>
      </c>
    </row>
    <row r="63" spans="31:219" x14ac:dyDescent="0.25">
      <c r="GH63" t="s">
        <v>130</v>
      </c>
    </row>
    <row r="66" spans="190:196" x14ac:dyDescent="0.25">
      <c r="GH66" t="s">
        <v>131</v>
      </c>
      <c r="GI66" t="s">
        <v>124</v>
      </c>
      <c r="GJ66" t="s">
        <v>125</v>
      </c>
      <c r="GK66" t="s">
        <v>126</v>
      </c>
      <c r="GL66" t="s">
        <v>127</v>
      </c>
      <c r="GM66" t="s">
        <v>128</v>
      </c>
      <c r="GN66" t="s">
        <v>129</v>
      </c>
    </row>
    <row r="67" spans="190:196" x14ac:dyDescent="0.25">
      <c r="GH67" t="s">
        <v>132</v>
      </c>
    </row>
    <row r="72" spans="190:196" x14ac:dyDescent="0.25">
      <c r="GH72" t="s">
        <v>133</v>
      </c>
      <c r="GI72" t="s">
        <v>134</v>
      </c>
      <c r="GJ72" t="s">
        <v>135</v>
      </c>
    </row>
    <row r="73" spans="190:196" x14ac:dyDescent="0.25">
      <c r="GH73" t="s">
        <v>136</v>
      </c>
    </row>
    <row r="76" spans="190:196" x14ac:dyDescent="0.25">
      <c r="GH76" t="s">
        <v>137</v>
      </c>
    </row>
    <row r="77" spans="190:196" x14ac:dyDescent="0.25">
      <c r="GH77" t="s">
        <v>138</v>
      </c>
      <c r="GI77" t="s">
        <v>139</v>
      </c>
      <c r="GJ77" t="s">
        <v>76</v>
      </c>
      <c r="GK77" t="s">
        <v>64</v>
      </c>
      <c r="GL77" t="s">
        <v>104</v>
      </c>
      <c r="GM77" t="s">
        <v>140</v>
      </c>
      <c r="GN77" t="s">
        <v>141</v>
      </c>
    </row>
    <row r="78" spans="190:196" x14ac:dyDescent="0.25">
      <c r="GH78" t="s">
        <v>142</v>
      </c>
    </row>
    <row r="79" spans="190:196" x14ac:dyDescent="0.25">
      <c r="GH79" t="s">
        <v>143</v>
      </c>
    </row>
    <row r="80" spans="190:196" x14ac:dyDescent="0.25">
      <c r="GH80" t="s">
        <v>144</v>
      </c>
    </row>
    <row r="81" spans="190:190" x14ac:dyDescent="0.25">
      <c r="GH81" t="s">
        <v>145</v>
      </c>
    </row>
    <row r="82" spans="190:190" x14ac:dyDescent="0.25">
      <c r="GH82" t="s">
        <v>146</v>
      </c>
    </row>
    <row r="83" spans="190:190" x14ac:dyDescent="0.25">
      <c r="GH83" t="s">
        <v>147</v>
      </c>
    </row>
    <row r="84" spans="190:190" x14ac:dyDescent="0.25">
      <c r="GH84" t="s">
        <v>148</v>
      </c>
    </row>
    <row r="85" spans="190:190" x14ac:dyDescent="0.25">
      <c r="GH85" t="s">
        <v>149</v>
      </c>
    </row>
    <row r="86" spans="190:190" x14ac:dyDescent="0.25">
      <c r="GH86" t="s">
        <v>150</v>
      </c>
    </row>
    <row r="87" spans="190:190" x14ac:dyDescent="0.25">
      <c r="GH87" t="s">
        <v>151</v>
      </c>
    </row>
    <row r="88" spans="190:190" x14ac:dyDescent="0.25">
      <c r="GH88" t="s">
        <v>152</v>
      </c>
    </row>
    <row r="89" spans="190:190" x14ac:dyDescent="0.25">
      <c r="GH89" t="s">
        <v>153</v>
      </c>
    </row>
    <row r="90" spans="190:190" x14ac:dyDescent="0.25">
      <c r="GH90" t="s">
        <v>154</v>
      </c>
    </row>
    <row r="91" spans="190:190" x14ac:dyDescent="0.25">
      <c r="GH91" t="s">
        <v>155</v>
      </c>
    </row>
    <row r="92" spans="190:190" x14ac:dyDescent="0.25">
      <c r="GH92" t="s">
        <v>156</v>
      </c>
    </row>
    <row r="93" spans="190:190" x14ac:dyDescent="0.25">
      <c r="GH93" t="s">
        <v>157</v>
      </c>
    </row>
    <row r="94" spans="190:190" x14ac:dyDescent="0.25">
      <c r="GH94" t="s">
        <v>158</v>
      </c>
    </row>
    <row r="95" spans="190:190" x14ac:dyDescent="0.25">
      <c r="GH95" t="s">
        <v>159</v>
      </c>
    </row>
    <row r="96" spans="190:190" x14ac:dyDescent="0.25">
      <c r="GH96" t="s">
        <v>160</v>
      </c>
    </row>
    <row r="97" spans="190:193" x14ac:dyDescent="0.25">
      <c r="GH97" t="s">
        <v>161</v>
      </c>
    </row>
    <row r="98" spans="190:193" x14ac:dyDescent="0.25">
      <c r="GH98" t="s">
        <v>162</v>
      </c>
    </row>
    <row r="99" spans="190:193" x14ac:dyDescent="0.25">
      <c r="GH99" t="s">
        <v>163</v>
      </c>
    </row>
    <row r="100" spans="190:193" x14ac:dyDescent="0.25">
      <c r="GH100" t="s">
        <v>164</v>
      </c>
    </row>
    <row r="101" spans="190:193" x14ac:dyDescent="0.25">
      <c r="GH101" t="s">
        <v>165</v>
      </c>
    </row>
    <row r="102" spans="190:193" x14ac:dyDescent="0.25">
      <c r="GH102" t="s">
        <v>166</v>
      </c>
    </row>
    <row r="103" spans="190:193" x14ac:dyDescent="0.25">
      <c r="GH103" t="s">
        <v>167</v>
      </c>
    </row>
    <row r="104" spans="190:193" x14ac:dyDescent="0.25">
      <c r="GH104" t="s">
        <v>168</v>
      </c>
    </row>
    <row r="105" spans="190:193" x14ac:dyDescent="0.25">
      <c r="GH105" t="s">
        <v>169</v>
      </c>
      <c r="GI105" t="s">
        <v>170</v>
      </c>
      <c r="GJ105" t="s">
        <v>171</v>
      </c>
      <c r="GK105" t="s">
        <v>172</v>
      </c>
    </row>
    <row r="106" spans="190:193" x14ac:dyDescent="0.25">
      <c r="GH106" t="s">
        <v>173</v>
      </c>
      <c r="GI106" t="s">
        <v>174</v>
      </c>
      <c r="GJ106" t="s">
        <v>171</v>
      </c>
      <c r="GK106" t="s">
        <v>175</v>
      </c>
    </row>
    <row r="107" spans="190:193" x14ac:dyDescent="0.25">
      <c r="GH107" t="s">
        <v>169</v>
      </c>
      <c r="GI107" t="s">
        <v>170</v>
      </c>
      <c r="GJ107" t="s">
        <v>171</v>
      </c>
      <c r="GK107" t="s">
        <v>172</v>
      </c>
    </row>
    <row r="108" spans="190:193" x14ac:dyDescent="0.25">
      <c r="GH108" t="s">
        <v>173</v>
      </c>
      <c r="GI108" t="s">
        <v>174</v>
      </c>
      <c r="GJ108" t="s">
        <v>171</v>
      </c>
      <c r="GK108" t="s">
        <v>176</v>
      </c>
    </row>
    <row r="109" spans="190:193" x14ac:dyDescent="0.25">
      <c r="GH109" t="s">
        <v>169</v>
      </c>
      <c r="GI109" t="s">
        <v>177</v>
      </c>
      <c r="GJ109" t="s">
        <v>178</v>
      </c>
    </row>
    <row r="110" spans="190:193" x14ac:dyDescent="0.25">
      <c r="GH110" t="s">
        <v>179</v>
      </c>
      <c r="GI110" t="s">
        <v>180</v>
      </c>
    </row>
    <row r="111" spans="190:193" x14ac:dyDescent="0.25">
      <c r="GH111" t="s">
        <v>179</v>
      </c>
      <c r="GI111" t="s">
        <v>181</v>
      </c>
    </row>
    <row r="112" spans="190:193" x14ac:dyDescent="0.25">
      <c r="GH112" t="s">
        <v>179</v>
      </c>
      <c r="GI112" t="s">
        <v>182</v>
      </c>
    </row>
    <row r="113" spans="190:194" x14ac:dyDescent="0.25">
      <c r="GH113" t="s">
        <v>179</v>
      </c>
      <c r="GI113" t="s">
        <v>183</v>
      </c>
    </row>
    <row r="114" spans="190:194" x14ac:dyDescent="0.25">
      <c r="GH114" t="s">
        <v>179</v>
      </c>
      <c r="GI114" t="s">
        <v>184</v>
      </c>
    </row>
    <row r="115" spans="190:194" x14ac:dyDescent="0.25">
      <c r="GH115" t="s">
        <v>179</v>
      </c>
      <c r="GI115" t="s">
        <v>185</v>
      </c>
    </row>
    <row r="116" spans="190:194" x14ac:dyDescent="0.25">
      <c r="GH116" t="s">
        <v>179</v>
      </c>
      <c r="GI116" t="s">
        <v>186</v>
      </c>
    </row>
    <row r="117" spans="190:194" x14ac:dyDescent="0.25">
      <c r="GH117" t="s">
        <v>179</v>
      </c>
      <c r="GI117" t="s">
        <v>187</v>
      </c>
    </row>
    <row r="118" spans="190:194" x14ac:dyDescent="0.25">
      <c r="GH118" t="s">
        <v>179</v>
      </c>
      <c r="GI118" t="s">
        <v>188</v>
      </c>
    </row>
    <row r="119" spans="190:194" x14ac:dyDescent="0.25">
      <c r="GH119" t="s">
        <v>179</v>
      </c>
      <c r="GI119" t="s">
        <v>189</v>
      </c>
    </row>
    <row r="120" spans="190:194" x14ac:dyDescent="0.25">
      <c r="GH120" t="s">
        <v>179</v>
      </c>
      <c r="GI120" t="s">
        <v>190</v>
      </c>
    </row>
    <row r="121" spans="190:194" x14ac:dyDescent="0.25">
      <c r="GH121" t="s">
        <v>179</v>
      </c>
      <c r="GI121" t="s">
        <v>191</v>
      </c>
    </row>
    <row r="122" spans="190:194" x14ac:dyDescent="0.25">
      <c r="GH122" t="s">
        <v>179</v>
      </c>
      <c r="GI122" t="s">
        <v>192</v>
      </c>
    </row>
    <row r="123" spans="190:194" x14ac:dyDescent="0.25">
      <c r="GH123" t="s">
        <v>179</v>
      </c>
      <c r="GI123" t="s">
        <v>193</v>
      </c>
    </row>
    <row r="124" spans="190:194" x14ac:dyDescent="0.25">
      <c r="GH124" t="s">
        <v>179</v>
      </c>
      <c r="GI124" t="s">
        <v>194</v>
      </c>
    </row>
    <row r="125" spans="190:194" x14ac:dyDescent="0.25">
      <c r="GH125" t="s">
        <v>179</v>
      </c>
      <c r="GI125" t="s">
        <v>195</v>
      </c>
    </row>
    <row r="126" spans="190:194" x14ac:dyDescent="0.25">
      <c r="GH126" t="s">
        <v>179</v>
      </c>
      <c r="GI126" t="s">
        <v>196</v>
      </c>
    </row>
    <row r="127" spans="190:194" x14ac:dyDescent="0.25">
      <c r="GH127" t="s">
        <v>179</v>
      </c>
      <c r="GI127" t="s">
        <v>197</v>
      </c>
      <c r="GJ127" t="s">
        <v>171</v>
      </c>
      <c r="GK127" t="s">
        <v>198</v>
      </c>
      <c r="GL127" t="s">
        <v>199</v>
      </c>
    </row>
    <row r="128" spans="190:194" x14ac:dyDescent="0.25">
      <c r="GH128" t="s">
        <v>179</v>
      </c>
      <c r="GI128" t="s">
        <v>197</v>
      </c>
      <c r="GJ128" t="s">
        <v>171</v>
      </c>
      <c r="GK128" t="s">
        <v>200</v>
      </c>
      <c r="GL128" t="s">
        <v>199</v>
      </c>
    </row>
    <row r="129" spans="190:193" x14ac:dyDescent="0.25">
      <c r="GH129" t="s">
        <v>179</v>
      </c>
      <c r="GI129" t="s">
        <v>197</v>
      </c>
      <c r="GJ129" t="s">
        <v>171</v>
      </c>
      <c r="GK129" t="s">
        <v>201</v>
      </c>
    </row>
    <row r="130" spans="190:193" x14ac:dyDescent="0.25">
      <c r="GH130" t="s">
        <v>179</v>
      </c>
      <c r="GI130" t="s">
        <v>197</v>
      </c>
      <c r="GJ130" t="s">
        <v>171</v>
      </c>
      <c r="GK130" t="s">
        <v>202</v>
      </c>
    </row>
    <row r="131" spans="190:193" x14ac:dyDescent="0.25">
      <c r="GH131" t="s">
        <v>203</v>
      </c>
      <c r="GI131" t="s">
        <v>204</v>
      </c>
    </row>
    <row r="132" spans="190:193" x14ac:dyDescent="0.25">
      <c r="GH132" t="s">
        <v>205</v>
      </c>
      <c r="GI132" t="s">
        <v>206</v>
      </c>
    </row>
    <row r="133" spans="190:193" x14ac:dyDescent="0.25">
      <c r="GH133" t="s">
        <v>207</v>
      </c>
    </row>
    <row r="134" spans="190:193" x14ac:dyDescent="0.25">
      <c r="GH134" t="s">
        <v>203</v>
      </c>
      <c r="GI134" t="s">
        <v>208</v>
      </c>
    </row>
    <row r="135" spans="190:193" x14ac:dyDescent="0.25">
      <c r="GH135" t="s">
        <v>205</v>
      </c>
      <c r="GI135" t="s">
        <v>206</v>
      </c>
    </row>
    <row r="136" spans="190:193" x14ac:dyDescent="0.25">
      <c r="GH136" t="s">
        <v>207</v>
      </c>
    </row>
    <row r="137" spans="190:193" x14ac:dyDescent="0.25">
      <c r="GH137" t="s">
        <v>203</v>
      </c>
      <c r="GI137" t="s">
        <v>209</v>
      </c>
    </row>
    <row r="138" spans="190:193" x14ac:dyDescent="0.25">
      <c r="GH138" t="s">
        <v>205</v>
      </c>
      <c r="GI138" t="s">
        <v>206</v>
      </c>
    </row>
    <row r="139" spans="190:193" x14ac:dyDescent="0.25">
      <c r="GH139" t="s">
        <v>207</v>
      </c>
    </row>
    <row r="140" spans="190:193" x14ac:dyDescent="0.25">
      <c r="GH140" t="s">
        <v>210</v>
      </c>
      <c r="GI140" t="s">
        <v>211</v>
      </c>
    </row>
    <row r="141" spans="190:193" x14ac:dyDescent="0.25">
      <c r="GH141" t="s">
        <v>212</v>
      </c>
      <c r="GI141" t="s">
        <v>213</v>
      </c>
    </row>
    <row r="142" spans="190:193" x14ac:dyDescent="0.25">
      <c r="GH142" t="s">
        <v>212</v>
      </c>
      <c r="GI142" t="s">
        <v>213</v>
      </c>
    </row>
    <row r="143" spans="190:193" x14ac:dyDescent="0.25">
      <c r="GH143" t="s">
        <v>214</v>
      </c>
      <c r="GI143" t="s">
        <v>215</v>
      </c>
      <c r="GJ143" t="s">
        <v>216</v>
      </c>
      <c r="GK143" t="s">
        <v>217</v>
      </c>
    </row>
    <row r="144" spans="190:193" x14ac:dyDescent="0.25">
      <c r="GH144" t="s">
        <v>214</v>
      </c>
      <c r="GI144" t="s">
        <v>215</v>
      </c>
      <c r="GJ144" t="s">
        <v>218</v>
      </c>
      <c r="GK144" t="s">
        <v>217</v>
      </c>
    </row>
    <row r="145" spans="190:193" x14ac:dyDescent="0.25">
      <c r="GH145" t="s">
        <v>214</v>
      </c>
      <c r="GI145" t="s">
        <v>215</v>
      </c>
      <c r="GJ145" t="s">
        <v>219</v>
      </c>
      <c r="GK145" t="s">
        <v>217</v>
      </c>
    </row>
    <row r="146" spans="190:193" x14ac:dyDescent="0.25">
      <c r="GH146" t="s">
        <v>214</v>
      </c>
      <c r="GI146" t="s">
        <v>215</v>
      </c>
      <c r="GJ146" t="s">
        <v>220</v>
      </c>
      <c r="GK146" t="s">
        <v>217</v>
      </c>
    </row>
    <row r="147" spans="190:193" x14ac:dyDescent="0.25">
      <c r="GH147" t="s">
        <v>214</v>
      </c>
      <c r="GI147" t="s">
        <v>215</v>
      </c>
      <c r="GJ147" t="s">
        <v>221</v>
      </c>
      <c r="GK147" t="s">
        <v>217</v>
      </c>
    </row>
    <row r="148" spans="190:193" x14ac:dyDescent="0.25">
      <c r="GH148" t="s">
        <v>214</v>
      </c>
      <c r="GI148" t="s">
        <v>215</v>
      </c>
      <c r="GJ148" t="s">
        <v>222</v>
      </c>
      <c r="GK148" t="s">
        <v>217</v>
      </c>
    </row>
    <row r="149" spans="190:193" x14ac:dyDescent="0.25">
      <c r="GH149" t="s">
        <v>214</v>
      </c>
      <c r="GI149" t="s">
        <v>215</v>
      </c>
      <c r="GJ149" t="s">
        <v>223</v>
      </c>
      <c r="GK149" t="s">
        <v>217</v>
      </c>
    </row>
    <row r="150" spans="190:193" x14ac:dyDescent="0.25">
      <c r="GH150" t="s">
        <v>214</v>
      </c>
      <c r="GI150" t="s">
        <v>215</v>
      </c>
      <c r="GJ150" t="s">
        <v>224</v>
      </c>
      <c r="GK150" t="s">
        <v>217</v>
      </c>
    </row>
    <row r="151" spans="190:193" x14ac:dyDescent="0.25">
      <c r="GH151" t="s">
        <v>214</v>
      </c>
      <c r="GI151" t="s">
        <v>215</v>
      </c>
      <c r="GJ151" t="s">
        <v>225</v>
      </c>
      <c r="GK151" t="s">
        <v>217</v>
      </c>
    </row>
    <row r="152" spans="190:193" x14ac:dyDescent="0.25">
      <c r="GH152" t="s">
        <v>214</v>
      </c>
      <c r="GI152" t="s">
        <v>215</v>
      </c>
      <c r="GJ152" t="s">
        <v>226</v>
      </c>
      <c r="GK152" t="s">
        <v>217</v>
      </c>
    </row>
    <row r="153" spans="190:193" x14ac:dyDescent="0.25">
      <c r="GH153" t="s">
        <v>214</v>
      </c>
      <c r="GI153" t="s">
        <v>215</v>
      </c>
      <c r="GJ153" t="s">
        <v>227</v>
      </c>
      <c r="GK153" t="s">
        <v>228</v>
      </c>
    </row>
    <row r="154" spans="190:193" x14ac:dyDescent="0.25">
      <c r="GH154" t="s">
        <v>214</v>
      </c>
      <c r="GI154" t="s">
        <v>215</v>
      </c>
      <c r="GJ154" t="s">
        <v>229</v>
      </c>
      <c r="GK154" t="s">
        <v>228</v>
      </c>
    </row>
    <row r="155" spans="190:193" x14ac:dyDescent="0.25">
      <c r="GH155" t="s">
        <v>214</v>
      </c>
      <c r="GI155" t="s">
        <v>215</v>
      </c>
      <c r="GJ155" t="s">
        <v>230</v>
      </c>
      <c r="GK155" t="s">
        <v>228</v>
      </c>
    </row>
    <row r="156" spans="190:193" x14ac:dyDescent="0.25">
      <c r="GH156" t="s">
        <v>214</v>
      </c>
      <c r="GI156" t="s">
        <v>215</v>
      </c>
      <c r="GJ156" t="s">
        <v>231</v>
      </c>
      <c r="GK156" t="s">
        <v>228</v>
      </c>
    </row>
    <row r="157" spans="190:193" x14ac:dyDescent="0.25">
      <c r="GH157" t="s">
        <v>214</v>
      </c>
      <c r="GI157" t="s">
        <v>215</v>
      </c>
      <c r="GJ157" t="s">
        <v>232</v>
      </c>
      <c r="GK157" t="s">
        <v>228</v>
      </c>
    </row>
    <row r="158" spans="190:193" x14ac:dyDescent="0.25">
      <c r="GH158" t="s">
        <v>214</v>
      </c>
      <c r="GI158" t="s">
        <v>215</v>
      </c>
      <c r="GJ158" t="s">
        <v>233</v>
      </c>
      <c r="GK158" t="s">
        <v>228</v>
      </c>
    </row>
    <row r="159" spans="190:193" x14ac:dyDescent="0.25">
      <c r="GH159" t="s">
        <v>214</v>
      </c>
      <c r="GI159" t="s">
        <v>215</v>
      </c>
      <c r="GJ159" t="s">
        <v>234</v>
      </c>
      <c r="GK159" t="s">
        <v>228</v>
      </c>
    </row>
    <row r="160" spans="190:193" x14ac:dyDescent="0.25">
      <c r="GH160" t="s">
        <v>214</v>
      </c>
      <c r="GI160" t="s">
        <v>215</v>
      </c>
      <c r="GJ160" t="s">
        <v>235</v>
      </c>
      <c r="GK160" t="s">
        <v>228</v>
      </c>
    </row>
    <row r="161" spans="190:193" x14ac:dyDescent="0.25">
      <c r="GH161" t="s">
        <v>214</v>
      </c>
      <c r="GI161" t="s">
        <v>215</v>
      </c>
      <c r="GJ161" t="s">
        <v>236</v>
      </c>
      <c r="GK161" t="s">
        <v>237</v>
      </c>
    </row>
    <row r="162" spans="190:193" x14ac:dyDescent="0.25">
      <c r="GH162" t="s">
        <v>214</v>
      </c>
      <c r="GI162" t="s">
        <v>215</v>
      </c>
      <c r="GJ162" t="s">
        <v>238</v>
      </c>
      <c r="GK162" t="s">
        <v>237</v>
      </c>
    </row>
    <row r="163" spans="190:193" x14ac:dyDescent="0.25">
      <c r="GH163" t="s">
        <v>214</v>
      </c>
      <c r="GI163" t="s">
        <v>215</v>
      </c>
      <c r="GJ163" t="s">
        <v>239</v>
      </c>
      <c r="GK163" t="s">
        <v>237</v>
      </c>
    </row>
    <row r="164" spans="190:193" x14ac:dyDescent="0.25">
      <c r="GH164" t="s">
        <v>214</v>
      </c>
      <c r="GI164" t="s">
        <v>215</v>
      </c>
      <c r="GJ164" t="s">
        <v>240</v>
      </c>
      <c r="GK164" t="s">
        <v>237</v>
      </c>
    </row>
    <row r="165" spans="190:193" x14ac:dyDescent="0.25">
      <c r="GH165" t="s">
        <v>214</v>
      </c>
      <c r="GI165" t="s">
        <v>215</v>
      </c>
      <c r="GJ165" t="s">
        <v>241</v>
      </c>
      <c r="GK165" t="s">
        <v>237</v>
      </c>
    </row>
    <row r="166" spans="190:193" x14ac:dyDescent="0.25">
      <c r="GH166" t="s">
        <v>214</v>
      </c>
      <c r="GI166" t="s">
        <v>215</v>
      </c>
      <c r="GJ166" t="s">
        <v>242</v>
      </c>
      <c r="GK166" t="s">
        <v>237</v>
      </c>
    </row>
    <row r="167" spans="190:193" x14ac:dyDescent="0.25">
      <c r="GH167" t="s">
        <v>214</v>
      </c>
      <c r="GI167" t="s">
        <v>215</v>
      </c>
      <c r="GJ167" t="s">
        <v>243</v>
      </c>
      <c r="GK167" t="s">
        <v>237</v>
      </c>
    </row>
    <row r="168" spans="190:193" x14ac:dyDescent="0.25">
      <c r="GH168" t="s">
        <v>214</v>
      </c>
      <c r="GI168" t="s">
        <v>215</v>
      </c>
      <c r="GJ168" t="s">
        <v>244</v>
      </c>
      <c r="GK168" t="s">
        <v>237</v>
      </c>
    </row>
    <row r="169" spans="190:193" x14ac:dyDescent="0.25">
      <c r="GH169" t="s">
        <v>245</v>
      </c>
    </row>
    <row r="170" spans="190:193" x14ac:dyDescent="0.25">
      <c r="GH170" t="s">
        <v>246</v>
      </c>
    </row>
    <row r="171" spans="190:193" x14ac:dyDescent="0.25">
      <c r="GH171" t="s">
        <v>246</v>
      </c>
    </row>
    <row r="172" spans="190:193" x14ac:dyDescent="0.25">
      <c r="GH172" t="s">
        <v>246</v>
      </c>
    </row>
    <row r="173" spans="190:193" x14ac:dyDescent="0.25">
      <c r="GH173" t="s">
        <v>246</v>
      </c>
    </row>
    <row r="174" spans="190:193" x14ac:dyDescent="0.25">
      <c r="GH174" t="s">
        <v>246</v>
      </c>
    </row>
    <row r="175" spans="190:193" x14ac:dyDescent="0.25">
      <c r="GH175" t="s">
        <v>246</v>
      </c>
    </row>
    <row r="176" spans="190:193" x14ac:dyDescent="0.25">
      <c r="GH176" t="s">
        <v>246</v>
      </c>
    </row>
    <row r="177" spans="190:190" x14ac:dyDescent="0.25">
      <c r="GH177" t="s">
        <v>246</v>
      </c>
    </row>
    <row r="178" spans="190:190" x14ac:dyDescent="0.25">
      <c r="GH178" t="s">
        <v>246</v>
      </c>
    </row>
    <row r="179" spans="190:190" x14ac:dyDescent="0.25">
      <c r="GH179" t="s">
        <v>246</v>
      </c>
    </row>
    <row r="180" spans="190:190" x14ac:dyDescent="0.25">
      <c r="GH180" t="s">
        <v>246</v>
      </c>
    </row>
    <row r="181" spans="190:190" x14ac:dyDescent="0.25">
      <c r="GH181" t="s">
        <v>246</v>
      </c>
    </row>
    <row r="182" spans="190:190" x14ac:dyDescent="0.25">
      <c r="GH182" t="s">
        <v>246</v>
      </c>
    </row>
    <row r="183" spans="190:190" x14ac:dyDescent="0.25">
      <c r="GH183" t="s">
        <v>246</v>
      </c>
    </row>
    <row r="184" spans="190:190" x14ac:dyDescent="0.25">
      <c r="GH184" t="s">
        <v>246</v>
      </c>
    </row>
    <row r="185" spans="190:190" x14ac:dyDescent="0.25">
      <c r="GH185" t="s">
        <v>246</v>
      </c>
    </row>
    <row r="186" spans="190:190" x14ac:dyDescent="0.25">
      <c r="GH186" t="s">
        <v>246</v>
      </c>
    </row>
    <row r="187" spans="190:190" x14ac:dyDescent="0.25">
      <c r="GH187" t="s">
        <v>246</v>
      </c>
    </row>
    <row r="188" spans="190:190" x14ac:dyDescent="0.25">
      <c r="GH188" t="s">
        <v>246</v>
      </c>
    </row>
    <row r="189" spans="190:190" x14ac:dyDescent="0.25">
      <c r="GH189" t="s">
        <v>246</v>
      </c>
    </row>
    <row r="190" spans="190:190" x14ac:dyDescent="0.25">
      <c r="GH190" t="s">
        <v>246</v>
      </c>
    </row>
    <row r="191" spans="190:190" x14ac:dyDescent="0.25">
      <c r="GH191" t="s">
        <v>246</v>
      </c>
    </row>
    <row r="192" spans="190:190" x14ac:dyDescent="0.25">
      <c r="GH192" t="s">
        <v>246</v>
      </c>
    </row>
    <row r="193" spans="190:190" x14ac:dyDescent="0.25">
      <c r="GH193" t="s">
        <v>246</v>
      </c>
    </row>
    <row r="194" spans="190:190" x14ac:dyDescent="0.25">
      <c r="GH194" t="s">
        <v>246</v>
      </c>
    </row>
    <row r="195" spans="190:190" x14ac:dyDescent="0.25">
      <c r="GH195" t="s">
        <v>246</v>
      </c>
    </row>
    <row r="196" spans="190:190" x14ac:dyDescent="0.25">
      <c r="GH196" t="s">
        <v>246</v>
      </c>
    </row>
    <row r="197" spans="190:190" x14ac:dyDescent="0.25">
      <c r="GH197" t="s">
        <v>246</v>
      </c>
    </row>
    <row r="198" spans="190:190" x14ac:dyDescent="0.25">
      <c r="GH198" t="s">
        <v>246</v>
      </c>
    </row>
    <row r="199" spans="190:190" x14ac:dyDescent="0.25">
      <c r="GH199" t="s">
        <v>246</v>
      </c>
    </row>
    <row r="200" spans="190:190" x14ac:dyDescent="0.25">
      <c r="GH200" t="s">
        <v>246</v>
      </c>
    </row>
    <row r="201" spans="190:190" x14ac:dyDescent="0.25">
      <c r="GH201" t="s">
        <v>246</v>
      </c>
    </row>
    <row r="202" spans="190:190" x14ac:dyDescent="0.25">
      <c r="GH202" t="s">
        <v>246</v>
      </c>
    </row>
    <row r="203" spans="190:190" x14ac:dyDescent="0.25">
      <c r="GH203" t="s">
        <v>246</v>
      </c>
    </row>
    <row r="204" spans="190:190" x14ac:dyDescent="0.25">
      <c r="GH204" t="s">
        <v>246</v>
      </c>
    </row>
    <row r="205" spans="190:190" x14ac:dyDescent="0.25">
      <c r="GH205" t="s">
        <v>246</v>
      </c>
    </row>
    <row r="206" spans="190:190" x14ac:dyDescent="0.25">
      <c r="GH206" t="s">
        <v>246</v>
      </c>
    </row>
    <row r="207" spans="190:190" x14ac:dyDescent="0.25">
      <c r="GH207" t="s">
        <v>246</v>
      </c>
    </row>
    <row r="208" spans="190:190" x14ac:dyDescent="0.25">
      <c r="GH208" t="s">
        <v>246</v>
      </c>
    </row>
    <row r="209" spans="190:201" x14ac:dyDescent="0.25">
      <c r="GH209" t="s">
        <v>246</v>
      </c>
    </row>
    <row r="210" spans="190:201" x14ac:dyDescent="0.25">
      <c r="GH210" t="s">
        <v>246</v>
      </c>
    </row>
    <row r="211" spans="190:201" x14ac:dyDescent="0.25">
      <c r="GH211" t="s">
        <v>246</v>
      </c>
    </row>
    <row r="212" spans="190:201" x14ac:dyDescent="0.25">
      <c r="GH212" t="s">
        <v>246</v>
      </c>
    </row>
    <row r="213" spans="190:201" x14ac:dyDescent="0.25">
      <c r="GH213" t="s">
        <v>246</v>
      </c>
    </row>
    <row r="214" spans="190:201" x14ac:dyDescent="0.25">
      <c r="GH214" t="s">
        <v>246</v>
      </c>
    </row>
    <row r="215" spans="190:201" x14ac:dyDescent="0.25">
      <c r="GH215" t="s">
        <v>246</v>
      </c>
    </row>
    <row r="216" spans="190:201" x14ac:dyDescent="0.25">
      <c r="GH216" t="s">
        <v>247</v>
      </c>
      <c r="GI216" t="s">
        <v>215</v>
      </c>
      <c r="GJ216" t="s">
        <v>174</v>
      </c>
      <c r="GK216" t="s">
        <v>171</v>
      </c>
      <c r="GL216" t="s">
        <v>248</v>
      </c>
      <c r="GM216" t="s">
        <v>249</v>
      </c>
      <c r="GN216" t="s">
        <v>171</v>
      </c>
      <c r="GO216" t="s">
        <v>250</v>
      </c>
      <c r="GP216" t="s">
        <v>251</v>
      </c>
      <c r="GQ216" t="s">
        <v>171</v>
      </c>
      <c r="GR216" t="s">
        <v>252</v>
      </c>
      <c r="GS216" t="s">
        <v>253</v>
      </c>
    </row>
    <row r="217" spans="190:201" x14ac:dyDescent="0.25">
      <c r="GH217" t="s">
        <v>247</v>
      </c>
      <c r="GI217" t="s">
        <v>215</v>
      </c>
      <c r="GJ217" t="s">
        <v>174</v>
      </c>
      <c r="GK217" t="s">
        <v>171</v>
      </c>
      <c r="GL217" t="s">
        <v>254</v>
      </c>
      <c r="GM217" t="s">
        <v>249</v>
      </c>
      <c r="GN217" t="s">
        <v>171</v>
      </c>
      <c r="GO217" t="s">
        <v>250</v>
      </c>
      <c r="GP217" t="s">
        <v>251</v>
      </c>
      <c r="GQ217" t="s">
        <v>171</v>
      </c>
      <c r="GR217" t="s">
        <v>252</v>
      </c>
      <c r="GS217" t="s">
        <v>253</v>
      </c>
    </row>
    <row r="218" spans="190:201" x14ac:dyDescent="0.25">
      <c r="GH218" t="s">
        <v>214</v>
      </c>
      <c r="GI218" t="s">
        <v>215</v>
      </c>
      <c r="GJ218" t="s">
        <v>216</v>
      </c>
      <c r="GK218" t="s">
        <v>217</v>
      </c>
    </row>
    <row r="219" spans="190:201" x14ac:dyDescent="0.25">
      <c r="GH219" t="s">
        <v>214</v>
      </c>
      <c r="GI219" t="s">
        <v>215</v>
      </c>
      <c r="GJ219" t="s">
        <v>218</v>
      </c>
      <c r="GK219" t="s">
        <v>217</v>
      </c>
    </row>
    <row r="220" spans="190:201" x14ac:dyDescent="0.25">
      <c r="GH220" t="s">
        <v>214</v>
      </c>
      <c r="GI220" t="s">
        <v>215</v>
      </c>
      <c r="GJ220" t="s">
        <v>219</v>
      </c>
      <c r="GK220" t="s">
        <v>217</v>
      </c>
    </row>
    <row r="221" spans="190:201" x14ac:dyDescent="0.25">
      <c r="GH221" t="s">
        <v>214</v>
      </c>
      <c r="GI221" t="s">
        <v>215</v>
      </c>
      <c r="GJ221" t="s">
        <v>220</v>
      </c>
      <c r="GK221" t="s">
        <v>217</v>
      </c>
    </row>
    <row r="222" spans="190:201" x14ac:dyDescent="0.25">
      <c r="GH222" t="s">
        <v>214</v>
      </c>
      <c r="GI222" t="s">
        <v>215</v>
      </c>
      <c r="GJ222" t="s">
        <v>221</v>
      </c>
      <c r="GK222" t="s">
        <v>217</v>
      </c>
    </row>
    <row r="223" spans="190:201" x14ac:dyDescent="0.25">
      <c r="GH223" t="s">
        <v>214</v>
      </c>
      <c r="GI223" t="s">
        <v>215</v>
      </c>
      <c r="GJ223" t="s">
        <v>222</v>
      </c>
      <c r="GK223" t="s">
        <v>217</v>
      </c>
    </row>
    <row r="224" spans="190:201" x14ac:dyDescent="0.25">
      <c r="GH224" t="s">
        <v>214</v>
      </c>
      <c r="GI224" t="s">
        <v>215</v>
      </c>
      <c r="GJ224" t="s">
        <v>223</v>
      </c>
      <c r="GK224" t="s">
        <v>217</v>
      </c>
    </row>
    <row r="225" spans="190:193" x14ac:dyDescent="0.25">
      <c r="GH225" t="s">
        <v>214</v>
      </c>
      <c r="GI225" t="s">
        <v>215</v>
      </c>
      <c r="GJ225" t="s">
        <v>224</v>
      </c>
      <c r="GK225" t="s">
        <v>217</v>
      </c>
    </row>
    <row r="226" spans="190:193" x14ac:dyDescent="0.25">
      <c r="GH226" t="s">
        <v>214</v>
      </c>
      <c r="GI226" t="s">
        <v>215</v>
      </c>
      <c r="GJ226" t="s">
        <v>225</v>
      </c>
      <c r="GK226" t="s">
        <v>217</v>
      </c>
    </row>
    <row r="227" spans="190:193" x14ac:dyDescent="0.25">
      <c r="GH227" t="s">
        <v>214</v>
      </c>
      <c r="GI227" t="s">
        <v>215</v>
      </c>
      <c r="GJ227" t="s">
        <v>226</v>
      </c>
      <c r="GK227" t="s">
        <v>217</v>
      </c>
    </row>
    <row r="228" spans="190:193" x14ac:dyDescent="0.25">
      <c r="GH228" t="s">
        <v>214</v>
      </c>
      <c r="GI228" t="s">
        <v>215</v>
      </c>
      <c r="GJ228" t="s">
        <v>227</v>
      </c>
      <c r="GK228" t="s">
        <v>228</v>
      </c>
    </row>
    <row r="229" spans="190:193" x14ac:dyDescent="0.25">
      <c r="GH229" t="s">
        <v>214</v>
      </c>
      <c r="GI229" t="s">
        <v>215</v>
      </c>
      <c r="GJ229" t="s">
        <v>229</v>
      </c>
      <c r="GK229" t="s">
        <v>228</v>
      </c>
    </row>
    <row r="230" spans="190:193" x14ac:dyDescent="0.25">
      <c r="GH230" t="s">
        <v>214</v>
      </c>
      <c r="GI230" t="s">
        <v>215</v>
      </c>
      <c r="GJ230" t="s">
        <v>230</v>
      </c>
      <c r="GK230" t="s">
        <v>228</v>
      </c>
    </row>
    <row r="231" spans="190:193" x14ac:dyDescent="0.25">
      <c r="GH231" t="s">
        <v>214</v>
      </c>
      <c r="GI231" t="s">
        <v>215</v>
      </c>
      <c r="GJ231" t="s">
        <v>231</v>
      </c>
      <c r="GK231" t="s">
        <v>228</v>
      </c>
    </row>
    <row r="232" spans="190:193" x14ac:dyDescent="0.25">
      <c r="GH232" t="s">
        <v>214</v>
      </c>
      <c r="GI232" t="s">
        <v>215</v>
      </c>
      <c r="GJ232" t="s">
        <v>232</v>
      </c>
      <c r="GK232" t="s">
        <v>228</v>
      </c>
    </row>
    <row r="233" spans="190:193" x14ac:dyDescent="0.25">
      <c r="GH233" t="s">
        <v>214</v>
      </c>
      <c r="GI233" t="s">
        <v>215</v>
      </c>
      <c r="GJ233" t="s">
        <v>233</v>
      </c>
      <c r="GK233" t="s">
        <v>228</v>
      </c>
    </row>
    <row r="234" spans="190:193" x14ac:dyDescent="0.25">
      <c r="GH234" t="s">
        <v>214</v>
      </c>
      <c r="GI234" t="s">
        <v>215</v>
      </c>
      <c r="GJ234" t="s">
        <v>234</v>
      </c>
      <c r="GK234" t="s">
        <v>228</v>
      </c>
    </row>
    <row r="235" spans="190:193" x14ac:dyDescent="0.25">
      <c r="GH235" t="s">
        <v>214</v>
      </c>
      <c r="GI235" t="s">
        <v>215</v>
      </c>
      <c r="GJ235" t="s">
        <v>235</v>
      </c>
      <c r="GK235" t="s">
        <v>228</v>
      </c>
    </row>
    <row r="236" spans="190:193" x14ac:dyDescent="0.25">
      <c r="GH236" t="s">
        <v>214</v>
      </c>
      <c r="GI236" t="s">
        <v>215</v>
      </c>
      <c r="GJ236" t="s">
        <v>236</v>
      </c>
      <c r="GK236" t="s">
        <v>237</v>
      </c>
    </row>
    <row r="237" spans="190:193" x14ac:dyDescent="0.25">
      <c r="GH237" t="s">
        <v>214</v>
      </c>
      <c r="GI237" t="s">
        <v>215</v>
      </c>
      <c r="GJ237" t="s">
        <v>238</v>
      </c>
      <c r="GK237" t="s">
        <v>237</v>
      </c>
    </row>
    <row r="238" spans="190:193" x14ac:dyDescent="0.25">
      <c r="GH238" t="s">
        <v>214</v>
      </c>
      <c r="GI238" t="s">
        <v>215</v>
      </c>
      <c r="GJ238" t="s">
        <v>239</v>
      </c>
      <c r="GK238" t="s">
        <v>237</v>
      </c>
    </row>
    <row r="239" spans="190:193" x14ac:dyDescent="0.25">
      <c r="GH239" t="s">
        <v>214</v>
      </c>
      <c r="GI239" t="s">
        <v>215</v>
      </c>
      <c r="GJ239" t="s">
        <v>240</v>
      </c>
      <c r="GK239" t="s">
        <v>237</v>
      </c>
    </row>
    <row r="240" spans="190:193" x14ac:dyDescent="0.25">
      <c r="GH240" t="s">
        <v>214</v>
      </c>
      <c r="GI240" t="s">
        <v>215</v>
      </c>
      <c r="GJ240" t="s">
        <v>241</v>
      </c>
      <c r="GK240" t="s">
        <v>237</v>
      </c>
    </row>
    <row r="241" spans="190:195" x14ac:dyDescent="0.25">
      <c r="GH241" t="s">
        <v>214</v>
      </c>
      <c r="GI241" t="s">
        <v>215</v>
      </c>
      <c r="GJ241" t="s">
        <v>242</v>
      </c>
      <c r="GK241" t="s">
        <v>237</v>
      </c>
    </row>
    <row r="242" spans="190:195" x14ac:dyDescent="0.25">
      <c r="GH242" t="s">
        <v>214</v>
      </c>
      <c r="GI242" t="s">
        <v>215</v>
      </c>
      <c r="GJ242" t="s">
        <v>243</v>
      </c>
      <c r="GK242" t="s">
        <v>237</v>
      </c>
    </row>
    <row r="243" spans="190:195" x14ac:dyDescent="0.25">
      <c r="GH243" t="s">
        <v>214</v>
      </c>
      <c r="GI243" t="s">
        <v>215</v>
      </c>
      <c r="GJ243" t="s">
        <v>244</v>
      </c>
      <c r="GK243" t="s">
        <v>237</v>
      </c>
    </row>
    <row r="244" spans="190:195" x14ac:dyDescent="0.25">
      <c r="GH244" t="s">
        <v>210</v>
      </c>
      <c r="GI244" t="s">
        <v>211</v>
      </c>
    </row>
    <row r="245" spans="190:195" x14ac:dyDescent="0.25">
      <c r="GH245" t="s">
        <v>255</v>
      </c>
      <c r="GI245" t="s">
        <v>256</v>
      </c>
      <c r="GJ245" t="s">
        <v>257</v>
      </c>
    </row>
    <row r="246" spans="190:195" x14ac:dyDescent="0.25">
      <c r="GH246" t="s">
        <v>255</v>
      </c>
      <c r="GI246" t="s">
        <v>258</v>
      </c>
      <c r="GJ246" t="s">
        <v>257</v>
      </c>
    </row>
    <row r="247" spans="190:195" x14ac:dyDescent="0.25">
      <c r="GH247" t="s">
        <v>212</v>
      </c>
      <c r="GI247" t="s">
        <v>213</v>
      </c>
    </row>
    <row r="248" spans="190:195" x14ac:dyDescent="0.25">
      <c r="GH248" t="s">
        <v>255</v>
      </c>
      <c r="GI248" t="s">
        <v>256</v>
      </c>
      <c r="GJ248" t="s">
        <v>257</v>
      </c>
    </row>
    <row r="249" spans="190:195" x14ac:dyDescent="0.25">
      <c r="GH249" t="s">
        <v>255</v>
      </c>
      <c r="GI249" t="s">
        <v>258</v>
      </c>
      <c r="GJ249" t="s">
        <v>257</v>
      </c>
    </row>
    <row r="250" spans="190:195" x14ac:dyDescent="0.25">
      <c r="GH250" t="s">
        <v>212</v>
      </c>
      <c r="GI250" t="s">
        <v>213</v>
      </c>
    </row>
    <row r="251" spans="190:195" x14ac:dyDescent="0.25">
      <c r="GH251" t="s">
        <v>212</v>
      </c>
      <c r="GI251" t="s">
        <v>213</v>
      </c>
    </row>
    <row r="252" spans="190:195" x14ac:dyDescent="0.25">
      <c r="GH252" t="s">
        <v>255</v>
      </c>
      <c r="GI252" t="s">
        <v>256</v>
      </c>
      <c r="GJ252" t="s">
        <v>257</v>
      </c>
    </row>
    <row r="253" spans="190:195" x14ac:dyDescent="0.25">
      <c r="GH253" t="s">
        <v>255</v>
      </c>
      <c r="GI253" t="s">
        <v>258</v>
      </c>
      <c r="GJ253" t="s">
        <v>257</v>
      </c>
    </row>
    <row r="254" spans="190:195" x14ac:dyDescent="0.25">
      <c r="GH254" t="s">
        <v>259</v>
      </c>
    </row>
    <row r="255" spans="190:195" x14ac:dyDescent="0.25">
      <c r="GH255" t="s">
        <v>260</v>
      </c>
      <c r="GI255" t="s">
        <v>261</v>
      </c>
      <c r="GJ255" t="s">
        <v>262</v>
      </c>
      <c r="GK255" t="s">
        <v>263</v>
      </c>
      <c r="GL255" t="s">
        <v>264</v>
      </c>
      <c r="GM255">
        <v>200</v>
      </c>
    </row>
    <row r="256" spans="190:195" x14ac:dyDescent="0.25">
      <c r="GH256" t="s">
        <v>255</v>
      </c>
      <c r="GI256" t="s">
        <v>256</v>
      </c>
      <c r="GJ256" t="s">
        <v>257</v>
      </c>
    </row>
    <row r="257" spans="190:199" x14ac:dyDescent="0.25">
      <c r="GH257" t="s">
        <v>255</v>
      </c>
      <c r="GI257" t="s">
        <v>258</v>
      </c>
      <c r="GJ257" t="s">
        <v>257</v>
      </c>
    </row>
    <row r="258" spans="190:199" x14ac:dyDescent="0.25">
      <c r="GH258" t="s">
        <v>259</v>
      </c>
    </row>
    <row r="259" spans="190:199" x14ac:dyDescent="0.25">
      <c r="GH259" t="s">
        <v>260</v>
      </c>
      <c r="GI259" t="s">
        <v>261</v>
      </c>
      <c r="GJ259" t="s">
        <v>262</v>
      </c>
      <c r="GK259" t="s">
        <v>263</v>
      </c>
      <c r="GL259" t="s">
        <v>264</v>
      </c>
      <c r="GM259">
        <v>200</v>
      </c>
    </row>
    <row r="260" spans="190:199" x14ac:dyDescent="0.25">
      <c r="GH260" t="s">
        <v>259</v>
      </c>
    </row>
    <row r="261" spans="190:199" x14ac:dyDescent="0.25">
      <c r="GH261" t="s">
        <v>265</v>
      </c>
    </row>
    <row r="263" spans="190:199" x14ac:dyDescent="0.25">
      <c r="GH263" t="s">
        <v>266</v>
      </c>
      <c r="GI263" t="s">
        <v>267</v>
      </c>
      <c r="GJ263" t="s">
        <v>268</v>
      </c>
      <c r="GK263" t="s">
        <v>269</v>
      </c>
      <c r="GL263" t="s">
        <v>270</v>
      </c>
      <c r="GM263" t="s">
        <v>271</v>
      </c>
      <c r="GN263" t="s">
        <v>272</v>
      </c>
    </row>
    <row r="264" spans="190:199" x14ac:dyDescent="0.25">
      <c r="GH264" t="s">
        <v>273</v>
      </c>
      <c r="GI264" t="s">
        <v>274</v>
      </c>
      <c r="GJ264" t="s">
        <v>212</v>
      </c>
      <c r="GK264" t="s">
        <v>213</v>
      </c>
    </row>
    <row r="265" spans="190:199" x14ac:dyDescent="0.25">
      <c r="GH265" t="s">
        <v>275</v>
      </c>
      <c r="GI265" t="s">
        <v>276</v>
      </c>
    </row>
    <row r="266" spans="190:199" x14ac:dyDescent="0.25">
      <c r="GH266" t="s">
        <v>260</v>
      </c>
      <c r="GI266" t="s">
        <v>261</v>
      </c>
      <c r="GJ266" t="s">
        <v>262</v>
      </c>
      <c r="GK266" t="s">
        <v>263</v>
      </c>
      <c r="GL266" t="s">
        <v>264</v>
      </c>
      <c r="GM266">
        <v>200</v>
      </c>
    </row>
    <row r="267" spans="190:199" x14ac:dyDescent="0.25">
      <c r="GH267" t="s">
        <v>277</v>
      </c>
    </row>
    <row r="269" spans="190:199" x14ac:dyDescent="0.25">
      <c r="GH269" t="s">
        <v>266</v>
      </c>
      <c r="GI269" t="s">
        <v>278</v>
      </c>
      <c r="GJ269" t="s">
        <v>279</v>
      </c>
      <c r="GK269" t="s">
        <v>280</v>
      </c>
      <c r="GL269" t="s">
        <v>281</v>
      </c>
      <c r="GM269" t="s">
        <v>282</v>
      </c>
      <c r="GN269" t="s">
        <v>283</v>
      </c>
      <c r="GO269" t="s">
        <v>284</v>
      </c>
      <c r="GP269" t="s">
        <v>285</v>
      </c>
      <c r="GQ269" t="s">
        <v>265</v>
      </c>
    </row>
    <row r="270" spans="190:199" x14ac:dyDescent="0.25">
      <c r="GH270" t="s">
        <v>255</v>
      </c>
      <c r="GI270" t="s">
        <v>256</v>
      </c>
      <c r="GJ270" t="s">
        <v>257</v>
      </c>
    </row>
    <row r="271" spans="190:199" x14ac:dyDescent="0.25">
      <c r="GH271" t="s">
        <v>255</v>
      </c>
      <c r="GI271" t="s">
        <v>258</v>
      </c>
      <c r="GJ271" t="s">
        <v>257</v>
      </c>
    </row>
    <row r="272" spans="190:199" x14ac:dyDescent="0.25">
      <c r="GH272" t="s">
        <v>275</v>
      </c>
      <c r="GI272" t="s">
        <v>276</v>
      </c>
    </row>
    <row r="273" spans="9:200" x14ac:dyDescent="0.25">
      <c r="GH273" t="s">
        <v>245</v>
      </c>
    </row>
    <row r="274" spans="9:200" x14ac:dyDescent="0.25">
      <c r="GH274" t="s">
        <v>259</v>
      </c>
    </row>
    <row r="275" spans="9:200" x14ac:dyDescent="0.25">
      <c r="GH275" t="s">
        <v>265</v>
      </c>
    </row>
    <row r="276" spans="9:200" x14ac:dyDescent="0.25">
      <c r="GH276" t="s">
        <v>275</v>
      </c>
      <c r="GI276" t="s">
        <v>276</v>
      </c>
    </row>
    <row r="277" spans="9:200" x14ac:dyDescent="0.25">
      <c r="GH277" t="s">
        <v>260</v>
      </c>
      <c r="GI277" t="s">
        <v>261</v>
      </c>
      <c r="GJ277" t="s">
        <v>262</v>
      </c>
      <c r="GK277" t="s">
        <v>263</v>
      </c>
      <c r="GL277" t="s">
        <v>264</v>
      </c>
      <c r="GM277">
        <v>200</v>
      </c>
    </row>
    <row r="278" spans="9:200" x14ac:dyDescent="0.25">
      <c r="GH278" t="s">
        <v>277</v>
      </c>
    </row>
    <row r="279" spans="9:200" x14ac:dyDescent="0.25">
      <c r="GH279" t="s">
        <v>286</v>
      </c>
    </row>
    <row r="280" spans="9:200" x14ac:dyDescent="0.25">
      <c r="GH280" t="s">
        <v>275</v>
      </c>
      <c r="GI280" t="s">
        <v>276</v>
      </c>
    </row>
    <row r="284" spans="9:200" x14ac:dyDescent="0.25">
      <c r="GH284" t="s">
        <v>287</v>
      </c>
      <c r="GI284" t="s">
        <v>288</v>
      </c>
      <c r="GJ284" t="s">
        <v>105</v>
      </c>
      <c r="GK284" t="s">
        <v>289</v>
      </c>
      <c r="GL284" t="s">
        <v>290</v>
      </c>
      <c r="GM284" t="s">
        <v>109</v>
      </c>
      <c r="GN284" t="s">
        <v>291</v>
      </c>
      <c r="GO284" t="s">
        <v>292</v>
      </c>
      <c r="GP284" t="s">
        <v>107</v>
      </c>
      <c r="GQ284" t="s">
        <v>293</v>
      </c>
      <c r="GR284" t="s">
        <v>109</v>
      </c>
    </row>
    <row r="287" spans="9:200" x14ac:dyDescent="0.25">
      <c r="GH287" t="s">
        <v>294</v>
      </c>
      <c r="GI287" t="s">
        <v>295</v>
      </c>
      <c r="GJ287" t="s">
        <v>296</v>
      </c>
      <c r="GK287" t="s">
        <v>297</v>
      </c>
      <c r="GL287">
        <v>410</v>
      </c>
    </row>
    <row r="288" spans="9:200" x14ac:dyDescent="0.25">
      <c r="I288" s="4"/>
      <c r="O288" s="4"/>
      <c r="R288" s="4"/>
      <c r="S288" s="3"/>
      <c r="U288" s="4"/>
      <c r="Y288" s="3"/>
      <c r="AA288" s="4"/>
      <c r="AB288" s="3"/>
      <c r="AD288" s="4"/>
      <c r="AE288" s="3"/>
      <c r="AG288" s="4"/>
      <c r="AK288" s="3"/>
      <c r="AM288" s="4"/>
      <c r="AN288" s="3"/>
      <c r="AP288" s="4"/>
      <c r="AQ288" s="3"/>
      <c r="AS288" s="4"/>
      <c r="AW288" s="3"/>
      <c r="AY288" s="4"/>
      <c r="AZ288" s="3"/>
      <c r="BB288" s="4"/>
      <c r="BC288" s="3"/>
      <c r="BE288" s="4"/>
      <c r="BI288" s="3"/>
      <c r="BK288" s="4"/>
      <c r="BL288" s="3"/>
      <c r="BN288" s="4"/>
      <c r="BO288" s="3"/>
      <c r="BQ288" s="4"/>
      <c r="BU288" s="3"/>
      <c r="BW288" s="4"/>
      <c r="BX288" s="3"/>
      <c r="BZ288" s="4"/>
      <c r="CA288" s="3"/>
      <c r="CC288" s="4"/>
      <c r="CG288" s="3"/>
      <c r="CI288" s="4"/>
      <c r="CJ288" s="3"/>
      <c r="CL288" s="4"/>
      <c r="CM288" s="3"/>
      <c r="CO288" s="4"/>
      <c r="CS288" s="3"/>
      <c r="CU288" s="4"/>
      <c r="CV288" s="3"/>
      <c r="CX288" s="4"/>
      <c r="CY288" s="3"/>
      <c r="DA288" s="4"/>
      <c r="DE288" s="3"/>
      <c r="DG288" s="4"/>
      <c r="DH288" s="3"/>
      <c r="DJ288" s="4"/>
      <c r="DK288" s="3"/>
      <c r="DM288" s="4"/>
      <c r="DQ288" s="3"/>
      <c r="DS288" s="4"/>
      <c r="DT288" s="3"/>
      <c r="DV288" s="4"/>
      <c r="DW288" s="3"/>
      <c r="DY288" s="4"/>
      <c r="EC288" s="3"/>
      <c r="EE288" s="4"/>
      <c r="EF288" s="3"/>
      <c r="EH288" s="4"/>
      <c r="EI288" s="3"/>
      <c r="EK288" s="4"/>
      <c r="EO288" s="3"/>
      <c r="EQ288" s="4"/>
      <c r="ER288" s="3"/>
      <c r="ET288" s="4"/>
      <c r="EU288" s="3"/>
      <c r="EW288" s="4"/>
      <c r="FA288" s="3"/>
      <c r="FC288" s="4"/>
      <c r="FD288" s="3"/>
      <c r="FF288" s="4"/>
      <c r="GH288" t="s">
        <v>294</v>
      </c>
      <c r="GI288" t="s">
        <v>295</v>
      </c>
      <c r="GJ288" t="s">
        <v>298</v>
      </c>
      <c r="GK288" t="s">
        <v>297</v>
      </c>
      <c r="GL288">
        <v>391</v>
      </c>
    </row>
    <row r="289" spans="10:199" x14ac:dyDescent="0.25">
      <c r="GH289" t="s">
        <v>294</v>
      </c>
      <c r="GI289" t="s">
        <v>295</v>
      </c>
      <c r="GJ289" t="s">
        <v>298</v>
      </c>
      <c r="GK289" t="s">
        <v>299</v>
      </c>
      <c r="GL289" t="s">
        <v>300</v>
      </c>
      <c r="GM289" t="s">
        <v>301</v>
      </c>
      <c r="GN289" t="s">
        <v>302</v>
      </c>
      <c r="GO289">
        <v>351</v>
      </c>
    </row>
    <row r="290" spans="10:199" x14ac:dyDescent="0.25">
      <c r="GH290" t="s">
        <v>294</v>
      </c>
      <c r="GI290" t="s">
        <v>295</v>
      </c>
      <c r="GJ290" t="s">
        <v>303</v>
      </c>
      <c r="GK290" t="s">
        <v>298</v>
      </c>
      <c r="GL290" t="s">
        <v>304</v>
      </c>
      <c r="GM290" t="s">
        <v>300</v>
      </c>
      <c r="GN290" t="s">
        <v>301</v>
      </c>
      <c r="GO290" t="s">
        <v>305</v>
      </c>
      <c r="GP290">
        <v>40</v>
      </c>
    </row>
    <row r="291" spans="10:199" x14ac:dyDescent="0.25">
      <c r="GH291" t="s">
        <v>306</v>
      </c>
      <c r="GI291" t="s">
        <v>294</v>
      </c>
      <c r="GJ291" t="s">
        <v>295</v>
      </c>
      <c r="GK291" t="s">
        <v>307</v>
      </c>
      <c r="GL291" t="s">
        <v>308</v>
      </c>
      <c r="GM291" t="s">
        <v>301</v>
      </c>
      <c r="GN291" t="s">
        <v>309</v>
      </c>
      <c r="GO291">
        <v>2106</v>
      </c>
    </row>
    <row r="292" spans="10:199" x14ac:dyDescent="0.25">
      <c r="GH292" t="s">
        <v>310</v>
      </c>
      <c r="GI292" t="s">
        <v>295</v>
      </c>
      <c r="GJ292" t="s">
        <v>311</v>
      </c>
      <c r="GK292" t="s">
        <v>312</v>
      </c>
      <c r="GL292" t="s">
        <v>313</v>
      </c>
      <c r="GM292" t="s">
        <v>314</v>
      </c>
      <c r="GN292" t="s">
        <v>295</v>
      </c>
      <c r="GO292" t="s">
        <v>315</v>
      </c>
      <c r="GP292" t="s">
        <v>316</v>
      </c>
      <c r="GQ292" t="s">
        <v>317</v>
      </c>
    </row>
    <row r="293" spans="10:199" x14ac:dyDescent="0.25">
      <c r="GH293" t="s">
        <v>318</v>
      </c>
      <c r="GI293" t="s">
        <v>319</v>
      </c>
      <c r="GJ293" t="s">
        <v>320</v>
      </c>
      <c r="GK293" t="s">
        <v>321</v>
      </c>
      <c r="GL293" t="s">
        <v>322</v>
      </c>
      <c r="GM293" t="s">
        <v>301</v>
      </c>
      <c r="GN293" t="s">
        <v>323</v>
      </c>
      <c r="GO293" t="s">
        <v>324</v>
      </c>
    </row>
    <row r="297" spans="10:199" x14ac:dyDescent="0.25">
      <c r="GH297" t="s">
        <v>131</v>
      </c>
      <c r="GI297" t="s">
        <v>295</v>
      </c>
      <c r="GJ297" t="s">
        <v>302</v>
      </c>
      <c r="GK297" t="s">
        <v>325</v>
      </c>
      <c r="GL297" t="s">
        <v>124</v>
      </c>
    </row>
    <row r="301" spans="10:199" x14ac:dyDescent="0.25">
      <c r="GH301" t="s">
        <v>326</v>
      </c>
      <c r="GI301" t="s">
        <v>327</v>
      </c>
      <c r="GJ301" t="s">
        <v>328</v>
      </c>
    </row>
    <row r="302" spans="10:199" x14ac:dyDescent="0.25">
      <c r="GH302" t="s">
        <v>302</v>
      </c>
      <c r="GI302" t="s">
        <v>327</v>
      </c>
      <c r="GJ302" t="s">
        <v>329</v>
      </c>
      <c r="GK302" t="s">
        <v>171</v>
      </c>
      <c r="GL302">
        <v>0.2</v>
      </c>
    </row>
    <row r="303" spans="10:199" x14ac:dyDescent="0.25">
      <c r="J303" s="5"/>
      <c r="P303" s="5"/>
      <c r="S303" s="5"/>
      <c r="V303" s="5"/>
      <c r="AB303" s="5"/>
      <c r="AE303" s="5"/>
      <c r="AH303" s="5"/>
      <c r="AN303" s="5"/>
      <c r="AQ303" s="5"/>
      <c r="AT303" s="5"/>
      <c r="AZ303" s="5"/>
      <c r="BC303" s="5"/>
      <c r="BF303" s="5"/>
      <c r="BL303" s="5"/>
      <c r="BO303" s="5"/>
      <c r="BR303" s="5"/>
      <c r="BX303" s="5"/>
      <c r="CA303" s="5"/>
      <c r="CD303" s="5"/>
      <c r="CJ303" s="5"/>
      <c r="CM303" s="5"/>
      <c r="CP303" s="5"/>
      <c r="CV303" s="5"/>
      <c r="CY303" s="5"/>
      <c r="DB303" s="5"/>
      <c r="DH303" s="5"/>
      <c r="DK303" s="5"/>
      <c r="DN303" s="5"/>
      <c r="DT303" s="5"/>
      <c r="DW303" s="5"/>
      <c r="DZ303" s="5"/>
      <c r="EF303" s="5"/>
      <c r="EI303" s="5"/>
      <c r="EL303" s="5"/>
      <c r="ER303" s="5"/>
      <c r="EU303" s="5"/>
      <c r="EX303" s="5"/>
      <c r="FD303" s="5"/>
      <c r="FG303" s="5"/>
      <c r="GH303" t="s">
        <v>330</v>
      </c>
      <c r="GI303" t="s">
        <v>327</v>
      </c>
      <c r="GJ303" t="s">
        <v>329</v>
      </c>
      <c r="GK303" t="s">
        <v>171</v>
      </c>
      <c r="GL303">
        <v>0</v>
      </c>
    </row>
    <row r="304" spans="10:199" x14ac:dyDescent="0.25">
      <c r="GH304" t="s">
        <v>306</v>
      </c>
      <c r="GI304" t="s">
        <v>331</v>
      </c>
      <c r="GJ304" t="s">
        <v>327</v>
      </c>
      <c r="GK304" t="s">
        <v>329</v>
      </c>
      <c r="GL304" t="s">
        <v>171</v>
      </c>
      <c r="GM304">
        <v>0.2</v>
      </c>
    </row>
    <row r="305" spans="5:208" x14ac:dyDescent="0.25">
      <c r="GH305" t="s">
        <v>332</v>
      </c>
      <c r="GI305" t="s">
        <v>327</v>
      </c>
      <c r="GJ305" t="s">
        <v>329</v>
      </c>
      <c r="GK305" t="s">
        <v>171</v>
      </c>
      <c r="GL305">
        <v>2</v>
      </c>
    </row>
    <row r="306" spans="5:208" x14ac:dyDescent="0.25">
      <c r="GG306">
        <v>1</v>
      </c>
    </row>
    <row r="308" spans="5:208" x14ac:dyDescent="0.25">
      <c r="E308" s="3"/>
      <c r="F308" s="3"/>
      <c r="G308" s="4"/>
      <c r="H308" s="4"/>
      <c r="L308" s="4"/>
      <c r="P308" s="4"/>
      <c r="Q308" s="4"/>
      <c r="S308" s="4"/>
      <c r="T308" s="4"/>
      <c r="V308" s="3"/>
      <c r="X308" s="4"/>
      <c r="Z308" s="3"/>
      <c r="AA308" s="3"/>
      <c r="AB308" s="4"/>
      <c r="AC308" s="4"/>
      <c r="AD308" s="3"/>
      <c r="AE308" s="4"/>
      <c r="AF308" s="4"/>
      <c r="AH308" s="3"/>
      <c r="AJ308" s="4"/>
      <c r="AL308" s="3"/>
      <c r="AM308" s="3"/>
      <c r="AN308" s="4"/>
      <c r="AO308" s="4"/>
      <c r="AP308" s="3"/>
      <c r="AQ308" s="4"/>
      <c r="AR308" s="4"/>
      <c r="AT308" s="3"/>
      <c r="AV308" s="4"/>
      <c r="AX308" s="3"/>
      <c r="AY308" s="3"/>
      <c r="AZ308" s="4"/>
      <c r="BA308" s="4"/>
      <c r="BB308" s="3"/>
      <c r="BC308" s="4"/>
      <c r="BD308" s="4"/>
      <c r="BF308" s="3"/>
      <c r="BH308" s="4"/>
      <c r="BJ308" s="3"/>
      <c r="BK308" s="3"/>
      <c r="BL308" s="4"/>
      <c r="BM308" s="4"/>
      <c r="BN308" s="3"/>
      <c r="BO308" s="4"/>
      <c r="BP308" s="4"/>
      <c r="BR308" s="3"/>
      <c r="BT308" s="4"/>
      <c r="BV308" s="3"/>
      <c r="BW308" s="3"/>
      <c r="BX308" s="4"/>
      <c r="BY308" s="4"/>
      <c r="BZ308" s="3"/>
      <c r="CA308" s="4"/>
      <c r="CB308" s="4"/>
      <c r="CD308" s="3"/>
      <c r="CF308" s="4"/>
      <c r="CH308" s="3"/>
      <c r="CI308" s="3"/>
      <c r="CJ308" s="4"/>
      <c r="CK308" s="4"/>
      <c r="CL308" s="3"/>
      <c r="CM308" s="4"/>
      <c r="CN308" s="4"/>
      <c r="CP308" s="3"/>
      <c r="CR308" s="4"/>
      <c r="CT308" s="3"/>
      <c r="CU308" s="3"/>
      <c r="CV308" s="4"/>
      <c r="CW308" s="4"/>
      <c r="CX308" s="3"/>
      <c r="CY308" s="4"/>
      <c r="CZ308" s="4"/>
      <c r="DB308" s="3"/>
      <c r="DD308" s="4"/>
      <c r="DF308" s="3"/>
      <c r="DG308" s="3"/>
      <c r="DH308" s="4"/>
      <c r="DI308" s="4"/>
      <c r="DJ308" s="3"/>
      <c r="DK308" s="4"/>
      <c r="DL308" s="4"/>
      <c r="DN308" s="3"/>
      <c r="DP308" s="4"/>
      <c r="DR308" s="3"/>
      <c r="DS308" s="3"/>
      <c r="DT308" s="4"/>
      <c r="DU308" s="4"/>
      <c r="DV308" s="3"/>
      <c r="DW308" s="4"/>
      <c r="DX308" s="4"/>
      <c r="DZ308" s="3"/>
      <c r="EB308" s="4"/>
      <c r="ED308" s="3"/>
      <c r="EE308" s="3"/>
      <c r="EF308" s="4"/>
      <c r="EG308" s="4"/>
      <c r="EH308" s="3"/>
      <c r="EI308" s="4"/>
      <c r="EJ308" s="4"/>
      <c r="EL308" s="3"/>
      <c r="EN308" s="4"/>
      <c r="EP308" s="3"/>
      <c r="EQ308" s="3"/>
      <c r="ER308" s="4"/>
      <c r="ES308" s="4"/>
      <c r="ET308" s="3"/>
      <c r="EU308" s="4"/>
      <c r="EV308" s="4"/>
      <c r="EX308" s="3"/>
      <c r="EZ308" s="4"/>
      <c r="FB308" s="3"/>
      <c r="FC308" s="3"/>
      <c r="FD308" s="4"/>
      <c r="FE308" s="4"/>
      <c r="FF308" s="3"/>
      <c r="FG308" s="4"/>
      <c r="FH308" s="4"/>
      <c r="GH308" t="s">
        <v>24</v>
      </c>
      <c r="GI308" t="s">
        <v>25</v>
      </c>
      <c r="GJ308" t="s">
        <v>26</v>
      </c>
      <c r="GK308" s="3">
        <v>43692</v>
      </c>
      <c r="GL308" t="s">
        <v>27</v>
      </c>
      <c r="GM308" s="4">
        <v>0.4161111111111111</v>
      </c>
    </row>
    <row r="309" spans="5:208" x14ac:dyDescent="0.25">
      <c r="GH309" t="s">
        <v>28</v>
      </c>
      <c r="GI309" t="s">
        <v>29</v>
      </c>
      <c r="GJ309" t="s">
        <v>30</v>
      </c>
      <c r="GK309" t="s">
        <v>31</v>
      </c>
      <c r="GL309" t="s">
        <v>32</v>
      </c>
      <c r="GM309" t="s">
        <v>33</v>
      </c>
      <c r="GN309" t="s">
        <v>34</v>
      </c>
      <c r="GO309" t="s">
        <v>35</v>
      </c>
      <c r="GP309" t="s">
        <v>36</v>
      </c>
      <c r="GQ309" t="s">
        <v>37</v>
      </c>
      <c r="GR309" t="s">
        <v>38</v>
      </c>
    </row>
    <row r="311" spans="5:208" x14ac:dyDescent="0.25">
      <c r="GH311" t="s">
        <v>138</v>
      </c>
      <c r="GI311" t="s">
        <v>139</v>
      </c>
      <c r="GJ311" t="s">
        <v>76</v>
      </c>
      <c r="GK311" t="s">
        <v>64</v>
      </c>
      <c r="GL311" t="s">
        <v>104</v>
      </c>
      <c r="GM311" t="s">
        <v>140</v>
      </c>
      <c r="GN311" t="s">
        <v>141</v>
      </c>
      <c r="GO311" t="s">
        <v>276</v>
      </c>
      <c r="GP311">
        <v>1</v>
      </c>
      <c r="GQ311" t="s">
        <v>333</v>
      </c>
      <c r="GR311">
        <v>1</v>
      </c>
    </row>
    <row r="312" spans="5:208" x14ac:dyDescent="0.25">
      <c r="GH312" t="s">
        <v>327</v>
      </c>
      <c r="GI312" t="s">
        <v>334</v>
      </c>
      <c r="GJ312" t="s">
        <v>308</v>
      </c>
      <c r="GK312" t="s">
        <v>267</v>
      </c>
      <c r="GL312" t="s">
        <v>276</v>
      </c>
      <c r="GM312">
        <v>0</v>
      </c>
    </row>
    <row r="315" spans="5:208" x14ac:dyDescent="0.25">
      <c r="GH315" t="s">
        <v>292</v>
      </c>
      <c r="GI315" t="s">
        <v>106</v>
      </c>
      <c r="GJ315" t="s">
        <v>109</v>
      </c>
      <c r="GK315" t="s">
        <v>287</v>
      </c>
      <c r="GL315">
        <v>1</v>
      </c>
      <c r="GM315" t="s">
        <v>292</v>
      </c>
      <c r="GN315" t="s">
        <v>106</v>
      </c>
      <c r="GO315" t="s">
        <v>335</v>
      </c>
      <c r="GP315" t="s">
        <v>106</v>
      </c>
      <c r="GQ315" t="s">
        <v>107</v>
      </c>
      <c r="GR315" t="s">
        <v>108</v>
      </c>
      <c r="GS315" t="s">
        <v>335</v>
      </c>
      <c r="GT315" t="s">
        <v>104</v>
      </c>
      <c r="GU315" t="s">
        <v>335</v>
      </c>
      <c r="GV315" t="s">
        <v>290</v>
      </c>
      <c r="GW315" t="s">
        <v>336</v>
      </c>
      <c r="GX315" t="s">
        <v>292</v>
      </c>
      <c r="GY315" t="s">
        <v>107</v>
      </c>
      <c r="GZ315" t="s">
        <v>292</v>
      </c>
    </row>
    <row r="316" spans="5:208" x14ac:dyDescent="0.25">
      <c r="E316" s="5"/>
      <c r="K316" s="5"/>
      <c r="N316" s="5"/>
      <c r="Q316" s="5"/>
      <c r="W316" s="5"/>
      <c r="Z316" s="5"/>
      <c r="AC316" s="5"/>
      <c r="AI316" s="5"/>
      <c r="AL316" s="5"/>
      <c r="AO316" s="5"/>
      <c r="AU316" s="5"/>
      <c r="AX316" s="5"/>
      <c r="BA316" s="5"/>
      <c r="BG316" s="5"/>
      <c r="BJ316" s="5"/>
      <c r="BM316" s="5"/>
      <c r="BS316" s="5"/>
      <c r="BV316" s="5"/>
      <c r="BY316" s="5"/>
      <c r="CE316" s="5"/>
      <c r="CH316" s="5"/>
      <c r="CK316" s="5"/>
      <c r="CQ316" s="5"/>
      <c r="CT316" s="5"/>
      <c r="CW316" s="5"/>
      <c r="DC316" s="5"/>
      <c r="DF316" s="5"/>
      <c r="DI316" s="5"/>
      <c r="DO316" s="5"/>
      <c r="DR316" s="5"/>
      <c r="DU316" s="5"/>
      <c r="EA316" s="5"/>
      <c r="ED316" s="5"/>
      <c r="EG316" s="5"/>
      <c r="EM316" s="5"/>
      <c r="EP316" s="5"/>
      <c r="ES316" s="5"/>
      <c r="EY316" s="5"/>
      <c r="FB316" s="5"/>
    </row>
    <row r="320" spans="5:208" x14ac:dyDescent="0.25">
      <c r="GH320" t="s">
        <v>337</v>
      </c>
      <c r="GI320" t="s">
        <v>327</v>
      </c>
      <c r="GJ320" t="s">
        <v>338</v>
      </c>
      <c r="GK320" t="s">
        <v>339</v>
      </c>
      <c r="GL320" t="s">
        <v>340</v>
      </c>
    </row>
    <row r="321" spans="3:203" x14ac:dyDescent="0.25">
      <c r="GH321" t="s">
        <v>335</v>
      </c>
      <c r="GI321" t="s">
        <v>341</v>
      </c>
      <c r="GJ321" t="s">
        <v>342</v>
      </c>
      <c r="GK321" t="s">
        <v>327</v>
      </c>
      <c r="GL321" t="s">
        <v>333</v>
      </c>
      <c r="GM321" t="s">
        <v>295</v>
      </c>
      <c r="GN321">
        <v>1</v>
      </c>
    </row>
    <row r="322" spans="3:203" x14ac:dyDescent="0.25">
      <c r="GH322" t="s">
        <v>127</v>
      </c>
      <c r="GI322" t="s">
        <v>335</v>
      </c>
      <c r="GJ322" t="s">
        <v>306</v>
      </c>
      <c r="GK322" t="s">
        <v>327</v>
      </c>
      <c r="GL322" t="s">
        <v>343</v>
      </c>
      <c r="GM322" t="s">
        <v>295</v>
      </c>
      <c r="GN322">
        <v>1</v>
      </c>
    </row>
    <row r="323" spans="3:203" x14ac:dyDescent="0.25">
      <c r="H323" s="5"/>
      <c r="I323" s="5"/>
      <c r="M323" s="5"/>
      <c r="Q323" s="5"/>
      <c r="R323" s="5"/>
      <c r="T323" s="5"/>
      <c r="U323" s="5"/>
      <c r="Y323" s="5"/>
      <c r="AC323" s="5"/>
      <c r="AD323" s="5"/>
      <c r="AF323" s="5"/>
      <c r="AG323" s="5"/>
      <c r="AK323" s="5"/>
      <c r="AO323" s="5"/>
      <c r="AP323" s="5"/>
      <c r="AR323" s="5"/>
      <c r="AS323" s="5"/>
      <c r="AW323" s="5"/>
      <c r="BA323" s="5"/>
      <c r="BB323" s="5"/>
      <c r="BD323" s="5"/>
      <c r="BE323" s="5"/>
      <c r="BI323" s="5"/>
      <c r="BM323" s="5"/>
      <c r="BN323" s="5"/>
      <c r="BP323" s="5"/>
      <c r="BQ323" s="5"/>
      <c r="BU323" s="5"/>
      <c r="BY323" s="5"/>
      <c r="BZ323" s="5"/>
      <c r="CB323" s="5"/>
      <c r="CC323" s="5"/>
      <c r="CG323" s="5"/>
      <c r="CK323" s="5"/>
      <c r="CL323" s="5"/>
      <c r="CN323" s="5"/>
      <c r="CO323" s="5"/>
      <c r="CS323" s="5"/>
      <c r="CW323" s="5"/>
      <c r="CX323" s="5"/>
      <c r="CZ323" s="5"/>
      <c r="DA323" s="5"/>
      <c r="DE323" s="5"/>
      <c r="DI323" s="5"/>
      <c r="DJ323" s="5"/>
      <c r="DL323" s="5"/>
      <c r="DM323" s="5"/>
      <c r="DQ323" s="5"/>
      <c r="DU323" s="5"/>
      <c r="DV323" s="5"/>
      <c r="DX323" s="5"/>
      <c r="DY323" s="5"/>
      <c r="EC323" s="5"/>
      <c r="EG323" s="5"/>
      <c r="EH323" s="5"/>
      <c r="EJ323" s="5"/>
      <c r="EK323" s="5"/>
      <c r="EO323" s="5"/>
      <c r="ES323" s="5"/>
      <c r="ET323" s="5"/>
      <c r="EV323" s="5"/>
      <c r="EW323" s="5"/>
      <c r="FA323" s="5"/>
      <c r="FE323" s="5"/>
      <c r="FF323" s="5"/>
      <c r="FH323" s="5"/>
      <c r="FI323" s="5"/>
      <c r="GH323" t="s">
        <v>301</v>
      </c>
      <c r="GI323" t="s">
        <v>344</v>
      </c>
      <c r="GJ323" t="s">
        <v>327</v>
      </c>
      <c r="GK323" t="s">
        <v>333</v>
      </c>
      <c r="GL323" t="s">
        <v>345</v>
      </c>
      <c r="GM323" t="s">
        <v>297</v>
      </c>
      <c r="GN323" s="5">
        <v>1.0000000000000001E-5</v>
      </c>
    </row>
    <row r="324" spans="3:203" x14ac:dyDescent="0.25">
      <c r="GH324" t="s">
        <v>301</v>
      </c>
      <c r="GI324" t="s">
        <v>346</v>
      </c>
      <c r="GJ324" t="s">
        <v>327</v>
      </c>
      <c r="GK324" t="s">
        <v>333</v>
      </c>
      <c r="GL324" t="s">
        <v>345</v>
      </c>
      <c r="GM324" t="s">
        <v>297</v>
      </c>
      <c r="GN324">
        <v>1</v>
      </c>
    </row>
    <row r="326" spans="3:203" x14ac:dyDescent="0.25">
      <c r="GH326" t="s">
        <v>347</v>
      </c>
      <c r="GI326" t="s">
        <v>348</v>
      </c>
      <c r="GJ326" t="s">
        <v>349</v>
      </c>
      <c r="GK326" t="s">
        <v>170</v>
      </c>
      <c r="GL326" t="s">
        <v>350</v>
      </c>
      <c r="GM326" t="s">
        <v>351</v>
      </c>
    </row>
    <row r="327" spans="3:203" x14ac:dyDescent="0.25">
      <c r="J327" s="4"/>
      <c r="M327" s="4"/>
      <c r="T327" s="3"/>
      <c r="V327" s="4"/>
      <c r="W327" s="3"/>
      <c r="Y327" s="4"/>
      <c r="AF327" s="3"/>
      <c r="AH327" s="4"/>
      <c r="AI327" s="3"/>
      <c r="AK327" s="4"/>
      <c r="AR327" s="3"/>
      <c r="AT327" s="4"/>
      <c r="AU327" s="3"/>
      <c r="AW327" s="4"/>
      <c r="BD327" s="3"/>
      <c r="BF327" s="4"/>
      <c r="BG327" s="3"/>
      <c r="BI327" s="4"/>
      <c r="BP327" s="3"/>
      <c r="BR327" s="4"/>
      <c r="BS327" s="3"/>
      <c r="BU327" s="4"/>
      <c r="CB327" s="3"/>
      <c r="CD327" s="4"/>
      <c r="CE327" s="3"/>
      <c r="CG327" s="4"/>
      <c r="CN327" s="3"/>
      <c r="CP327" s="4"/>
      <c r="CQ327" s="3"/>
      <c r="CS327" s="4"/>
      <c r="CZ327" s="3"/>
      <c r="DB327" s="4"/>
      <c r="DC327" s="3"/>
      <c r="DE327" s="4"/>
      <c r="DL327" s="3"/>
      <c r="DN327" s="4"/>
      <c r="DO327" s="3"/>
      <c r="DQ327" s="4"/>
      <c r="DX327" s="3"/>
      <c r="DZ327" s="4"/>
      <c r="EA327" s="3"/>
      <c r="EC327" s="4"/>
      <c r="EJ327" s="3"/>
      <c r="EL327" s="4"/>
      <c r="EM327" s="3"/>
      <c r="EO327" s="4"/>
      <c r="EV327" s="3"/>
      <c r="EX327" s="4"/>
      <c r="EY327" s="3"/>
      <c r="FA327" s="4"/>
    </row>
    <row r="328" spans="3:203" x14ac:dyDescent="0.25">
      <c r="GH328" t="s">
        <v>352</v>
      </c>
      <c r="GI328" t="s">
        <v>353</v>
      </c>
      <c r="GJ328" t="s">
        <v>354</v>
      </c>
      <c r="GK328" t="s">
        <v>269</v>
      </c>
      <c r="GL328" t="s">
        <v>271</v>
      </c>
      <c r="GM328" t="s">
        <v>355</v>
      </c>
    </row>
    <row r="330" spans="3:203" x14ac:dyDescent="0.25">
      <c r="GH330" t="s">
        <v>291</v>
      </c>
      <c r="GI330" t="s">
        <v>109</v>
      </c>
      <c r="GJ330" t="s">
        <v>291</v>
      </c>
      <c r="GK330" t="s">
        <v>105</v>
      </c>
      <c r="GL330" t="s">
        <v>288</v>
      </c>
      <c r="GM330" t="s">
        <v>336</v>
      </c>
      <c r="GN330" t="s">
        <v>109</v>
      </c>
      <c r="GO330" t="s">
        <v>292</v>
      </c>
      <c r="GP330" t="s">
        <v>106</v>
      </c>
      <c r="GQ330" t="s">
        <v>107</v>
      </c>
      <c r="GR330" t="s">
        <v>291</v>
      </c>
      <c r="GS330" t="s">
        <v>335</v>
      </c>
      <c r="GT330" t="s">
        <v>106</v>
      </c>
      <c r="GU330" t="s">
        <v>109</v>
      </c>
    </row>
    <row r="332" spans="3:203" x14ac:dyDescent="0.25">
      <c r="GH332" t="s">
        <v>356</v>
      </c>
      <c r="GI332" t="s">
        <v>357</v>
      </c>
      <c r="GJ332" t="s">
        <v>358</v>
      </c>
      <c r="GK332" t="s">
        <v>344</v>
      </c>
      <c r="GL332" t="s">
        <v>359</v>
      </c>
      <c r="GM332" t="s">
        <v>359</v>
      </c>
      <c r="GN332" t="s">
        <v>321</v>
      </c>
    </row>
    <row r="333" spans="3:203" x14ac:dyDescent="0.25">
      <c r="GH333" t="s">
        <v>360</v>
      </c>
      <c r="GI333" t="s">
        <v>361</v>
      </c>
      <c r="GJ333" t="s">
        <v>362</v>
      </c>
      <c r="GK333" t="s">
        <v>363</v>
      </c>
    </row>
    <row r="334" spans="3:203" x14ac:dyDescent="0.25">
      <c r="GH334" t="s">
        <v>364</v>
      </c>
      <c r="GI334" t="s">
        <v>365</v>
      </c>
      <c r="GJ334" t="s">
        <v>366</v>
      </c>
      <c r="GK334" t="s">
        <v>366</v>
      </c>
    </row>
    <row r="336" spans="3:203" x14ac:dyDescent="0.25">
      <c r="C336" s="5"/>
      <c r="D336" s="5"/>
      <c r="H336" s="5"/>
      <c r="L336" s="5"/>
      <c r="M336" s="5"/>
      <c r="O336" s="5"/>
      <c r="P336" s="5"/>
      <c r="T336" s="5"/>
      <c r="X336" s="5"/>
      <c r="Y336" s="5"/>
      <c r="AA336" s="5"/>
      <c r="AB336" s="5"/>
      <c r="AF336" s="5"/>
      <c r="AJ336" s="5"/>
      <c r="AK336" s="5"/>
      <c r="AM336" s="5"/>
      <c r="AN336" s="5"/>
      <c r="AR336" s="5"/>
      <c r="AV336" s="5"/>
      <c r="AW336" s="5"/>
      <c r="AY336" s="5"/>
      <c r="AZ336" s="5"/>
      <c r="BD336" s="5"/>
      <c r="BH336" s="5"/>
      <c r="BI336" s="5"/>
      <c r="BK336" s="5"/>
      <c r="BL336" s="5"/>
      <c r="BP336" s="5"/>
      <c r="BT336" s="5"/>
      <c r="BU336" s="5"/>
      <c r="BW336" s="5"/>
      <c r="BX336" s="5"/>
      <c r="CB336" s="5"/>
      <c r="CF336" s="5"/>
      <c r="CG336" s="5"/>
      <c r="CI336" s="5"/>
      <c r="CJ336" s="5"/>
      <c r="CN336" s="5"/>
      <c r="CR336" s="5"/>
      <c r="CS336" s="5"/>
      <c r="CU336" s="5"/>
      <c r="CV336" s="5"/>
      <c r="CZ336" s="5"/>
      <c r="DD336" s="5"/>
      <c r="DE336" s="5"/>
      <c r="DG336" s="5"/>
      <c r="DH336" s="5"/>
      <c r="DL336" s="5"/>
      <c r="DP336" s="5"/>
      <c r="DQ336" s="5"/>
      <c r="DS336" s="5"/>
      <c r="DT336" s="5"/>
      <c r="DX336" s="5"/>
      <c r="EB336" s="5"/>
      <c r="EC336" s="5"/>
      <c r="EE336" s="5"/>
      <c r="EF336" s="5"/>
      <c r="EJ336" s="5"/>
      <c r="EN336" s="5"/>
      <c r="EO336" s="5"/>
      <c r="EQ336" s="5"/>
      <c r="ER336" s="5"/>
      <c r="EV336" s="5"/>
      <c r="EZ336" s="5"/>
      <c r="FA336" s="5"/>
      <c r="FC336" s="5"/>
      <c r="FD336" s="5"/>
      <c r="GH336">
        <v>1</v>
      </c>
      <c r="GI336" s="5">
        <v>26100000</v>
      </c>
      <c r="GJ336">
        <v>17</v>
      </c>
      <c r="GK336">
        <v>27</v>
      </c>
    </row>
    <row r="338" spans="9:208" x14ac:dyDescent="0.25">
      <c r="GH338" t="s">
        <v>367</v>
      </c>
    </row>
    <row r="339" spans="9:208" x14ac:dyDescent="0.25">
      <c r="K339" s="4"/>
      <c r="N339" s="4"/>
      <c r="U339" s="3"/>
      <c r="W339" s="4"/>
      <c r="X339" s="3"/>
      <c r="Z339" s="4"/>
      <c r="AG339" s="3"/>
      <c r="AI339" s="4"/>
      <c r="AJ339" s="3"/>
      <c r="AL339" s="4"/>
      <c r="AS339" s="3"/>
      <c r="AU339" s="4"/>
      <c r="AV339" s="3"/>
      <c r="AX339" s="4"/>
      <c r="BE339" s="3"/>
      <c r="BG339" s="4"/>
      <c r="BH339" s="3"/>
      <c r="BJ339" s="4"/>
      <c r="BQ339" s="3"/>
      <c r="BS339" s="4"/>
      <c r="BT339" s="3"/>
      <c r="BV339" s="4"/>
      <c r="CC339" s="3"/>
      <c r="CE339" s="4"/>
      <c r="CF339" s="3"/>
      <c r="CH339" s="4"/>
      <c r="CO339" s="3"/>
      <c r="CQ339" s="4"/>
      <c r="CR339" s="3"/>
      <c r="CT339" s="4"/>
      <c r="DA339" s="3"/>
      <c r="DC339" s="4"/>
      <c r="DD339" s="3"/>
      <c r="DF339" s="4"/>
      <c r="DM339" s="3"/>
      <c r="DO339" s="4"/>
      <c r="DP339" s="3"/>
      <c r="DR339" s="4"/>
      <c r="DY339" s="3"/>
      <c r="EA339" s="4"/>
      <c r="EB339" s="3"/>
      <c r="ED339" s="4"/>
      <c r="EK339" s="3"/>
      <c r="EM339" s="4"/>
      <c r="EN339" s="3"/>
      <c r="EP339" s="4"/>
      <c r="EW339" s="3"/>
      <c r="EY339" s="4"/>
      <c r="EZ339" s="3"/>
      <c r="FB339" s="4"/>
      <c r="GH339">
        <v>-1</v>
      </c>
      <c r="GI339" t="s">
        <v>368</v>
      </c>
      <c r="GJ339" t="s">
        <v>369</v>
      </c>
      <c r="GK339" t="s">
        <v>370</v>
      </c>
      <c r="GL339" t="s">
        <v>270</v>
      </c>
      <c r="GM339" t="s">
        <v>371</v>
      </c>
      <c r="GN339" t="s">
        <v>359</v>
      </c>
      <c r="GO339" t="s">
        <v>127</v>
      </c>
      <c r="GP339" t="s">
        <v>372</v>
      </c>
      <c r="GQ339" t="s">
        <v>373</v>
      </c>
      <c r="GR339" t="s">
        <v>359</v>
      </c>
      <c r="GS339" t="s">
        <v>374</v>
      </c>
      <c r="GT339" t="s">
        <v>375</v>
      </c>
      <c r="GU339" t="s">
        <v>376</v>
      </c>
      <c r="GV339" t="s">
        <v>301</v>
      </c>
      <c r="GW339" t="s">
        <v>377</v>
      </c>
    </row>
    <row r="340" spans="9:208" x14ac:dyDescent="0.25">
      <c r="GH340" t="s">
        <v>301</v>
      </c>
      <c r="GI340" t="s">
        <v>359</v>
      </c>
      <c r="GJ340" t="s">
        <v>378</v>
      </c>
      <c r="GK340" t="s">
        <v>379</v>
      </c>
      <c r="GL340" t="s">
        <v>380</v>
      </c>
      <c r="GM340" t="s">
        <v>381</v>
      </c>
      <c r="GN340" t="s">
        <v>372</v>
      </c>
      <c r="GO340" t="s">
        <v>271</v>
      </c>
      <c r="GP340" t="s">
        <v>382</v>
      </c>
      <c r="GQ340" t="s">
        <v>374</v>
      </c>
      <c r="GR340" t="s">
        <v>335</v>
      </c>
      <c r="GS340" t="s">
        <v>383</v>
      </c>
      <c r="GT340" t="s">
        <v>384</v>
      </c>
      <c r="GU340" t="s">
        <v>385</v>
      </c>
      <c r="GV340" t="s">
        <v>386</v>
      </c>
      <c r="GW340" t="s">
        <v>301</v>
      </c>
      <c r="GX340" t="s">
        <v>387</v>
      </c>
    </row>
    <row r="341" spans="9:208" x14ac:dyDescent="0.25">
      <c r="GH341" t="s">
        <v>388</v>
      </c>
      <c r="GI341" t="s">
        <v>389</v>
      </c>
      <c r="GJ341" t="s">
        <v>390</v>
      </c>
      <c r="GK341" t="s">
        <v>301</v>
      </c>
      <c r="GL341" t="s">
        <v>391</v>
      </c>
      <c r="GM341" t="s">
        <v>295</v>
      </c>
      <c r="GN341" t="s">
        <v>335</v>
      </c>
      <c r="GO341" t="s">
        <v>276</v>
      </c>
      <c r="GP341" t="s">
        <v>392</v>
      </c>
      <c r="GQ341" t="s">
        <v>301</v>
      </c>
      <c r="GR341" t="s">
        <v>393</v>
      </c>
      <c r="GS341" t="s">
        <v>356</v>
      </c>
      <c r="GT341" t="s">
        <v>394</v>
      </c>
      <c r="GU341" t="s">
        <v>395</v>
      </c>
    </row>
    <row r="342" spans="9:208" x14ac:dyDescent="0.25">
      <c r="K342" s="5"/>
      <c r="N342" s="5"/>
      <c r="W342" s="5"/>
      <c r="Z342" s="5"/>
      <c r="AI342" s="5"/>
      <c r="AL342" s="5"/>
      <c r="AU342" s="5"/>
      <c r="AX342" s="5"/>
      <c r="BG342" s="5"/>
      <c r="BJ342" s="5"/>
      <c r="BS342" s="5"/>
      <c r="BV342" s="5"/>
      <c r="CE342" s="5"/>
      <c r="CH342" s="5"/>
      <c r="CQ342" s="5"/>
      <c r="CT342" s="5"/>
      <c r="DC342" s="5"/>
      <c r="DF342" s="5"/>
      <c r="DO342" s="5"/>
      <c r="DR342" s="5"/>
      <c r="EA342" s="5"/>
      <c r="ED342" s="5"/>
      <c r="EM342" s="5"/>
      <c r="EP342" s="5"/>
      <c r="EY342" s="5"/>
      <c r="FB342" s="5"/>
      <c r="GH342">
        <v>-2</v>
      </c>
      <c r="GI342" t="s">
        <v>301</v>
      </c>
      <c r="GJ342" t="s">
        <v>396</v>
      </c>
      <c r="GK342" t="s">
        <v>297</v>
      </c>
      <c r="GL342" t="s">
        <v>397</v>
      </c>
      <c r="GM342" t="s">
        <v>398</v>
      </c>
      <c r="GN342" t="s">
        <v>390</v>
      </c>
      <c r="GO342" t="s">
        <v>301</v>
      </c>
      <c r="GP342" t="s">
        <v>391</v>
      </c>
      <c r="GQ342" t="s">
        <v>295</v>
      </c>
      <c r="GR342" t="s">
        <v>399</v>
      </c>
      <c r="GS342" t="s">
        <v>400</v>
      </c>
      <c r="GT342" t="s">
        <v>401</v>
      </c>
      <c r="GU342" t="s">
        <v>297</v>
      </c>
      <c r="GV342" t="s">
        <v>301</v>
      </c>
      <c r="GW342" t="s">
        <v>346</v>
      </c>
      <c r="GX342" t="s">
        <v>402</v>
      </c>
      <c r="GY342" t="s">
        <v>295</v>
      </c>
      <c r="GZ342" t="s">
        <v>301</v>
      </c>
    </row>
    <row r="343" spans="9:208" x14ac:dyDescent="0.25">
      <c r="GH343" t="s">
        <v>396</v>
      </c>
      <c r="GI343" t="s">
        <v>403</v>
      </c>
      <c r="GJ343" t="s">
        <v>301</v>
      </c>
      <c r="GK343" t="s">
        <v>404</v>
      </c>
      <c r="GL343" t="s">
        <v>276</v>
      </c>
      <c r="GM343" t="s">
        <v>321</v>
      </c>
      <c r="GN343" t="s">
        <v>301</v>
      </c>
      <c r="GO343" t="s">
        <v>405</v>
      </c>
      <c r="GP343" t="s">
        <v>276</v>
      </c>
      <c r="GQ343" t="s">
        <v>295</v>
      </c>
      <c r="GR343" t="s">
        <v>301</v>
      </c>
      <c r="GS343" t="s">
        <v>377</v>
      </c>
      <c r="GT343" t="s">
        <v>339</v>
      </c>
      <c r="GU343" t="s">
        <v>406</v>
      </c>
      <c r="GV343" t="s">
        <v>393</v>
      </c>
      <c r="GW343" t="s">
        <v>407</v>
      </c>
    </row>
    <row r="344" spans="9:208" x14ac:dyDescent="0.25">
      <c r="GH344" t="s">
        <v>408</v>
      </c>
      <c r="GI344" t="s">
        <v>409</v>
      </c>
      <c r="GJ344" t="s">
        <v>410</v>
      </c>
      <c r="GK344" t="s">
        <v>411</v>
      </c>
    </row>
    <row r="345" spans="9:208" x14ac:dyDescent="0.25">
      <c r="GH345">
        <v>-3</v>
      </c>
      <c r="GI345" t="s">
        <v>368</v>
      </c>
      <c r="GJ345" t="s">
        <v>301</v>
      </c>
      <c r="GK345" t="s">
        <v>396</v>
      </c>
      <c r="GL345" t="s">
        <v>297</v>
      </c>
      <c r="GM345" t="s">
        <v>385</v>
      </c>
      <c r="GN345" t="s">
        <v>386</v>
      </c>
      <c r="GO345" t="s">
        <v>301</v>
      </c>
      <c r="GP345" t="s">
        <v>412</v>
      </c>
      <c r="GQ345" t="s">
        <v>413</v>
      </c>
      <c r="GR345" t="s">
        <v>295</v>
      </c>
      <c r="GS345" t="s">
        <v>311</v>
      </c>
      <c r="GT345" t="s">
        <v>308</v>
      </c>
      <c r="GU345" t="s">
        <v>301</v>
      </c>
      <c r="GV345" t="s">
        <v>414</v>
      </c>
      <c r="GW345" t="s">
        <v>365</v>
      </c>
      <c r="GX345" t="s">
        <v>295</v>
      </c>
      <c r="GY345" t="s">
        <v>301</v>
      </c>
    </row>
    <row r="346" spans="9:208" x14ac:dyDescent="0.25">
      <c r="GH346" t="s">
        <v>404</v>
      </c>
      <c r="GI346" t="s">
        <v>415</v>
      </c>
      <c r="GJ346" t="s">
        <v>301</v>
      </c>
      <c r="GK346" t="s">
        <v>359</v>
      </c>
      <c r="GL346" t="s">
        <v>396</v>
      </c>
      <c r="GM346" t="s">
        <v>416</v>
      </c>
      <c r="GN346" t="s">
        <v>271</v>
      </c>
      <c r="GO346" t="s">
        <v>417</v>
      </c>
      <c r="GP346" t="s">
        <v>418</v>
      </c>
      <c r="GQ346" t="s">
        <v>419</v>
      </c>
      <c r="GR346" t="s">
        <v>323</v>
      </c>
      <c r="GS346" t="s">
        <v>420</v>
      </c>
      <c r="GT346" t="s">
        <v>285</v>
      </c>
    </row>
    <row r="347" spans="9:208" x14ac:dyDescent="0.25">
      <c r="GH347" t="s">
        <v>421</v>
      </c>
      <c r="GI347" t="s">
        <v>339</v>
      </c>
      <c r="GJ347" t="s">
        <v>422</v>
      </c>
      <c r="GK347" t="s">
        <v>423</v>
      </c>
      <c r="GL347" t="s">
        <v>308</v>
      </c>
      <c r="GM347" t="s">
        <v>412</v>
      </c>
      <c r="GN347" t="s">
        <v>413</v>
      </c>
      <c r="GO347" t="s">
        <v>295</v>
      </c>
      <c r="GP347" t="s">
        <v>311</v>
      </c>
      <c r="GQ347" t="s">
        <v>424</v>
      </c>
      <c r="GR347" t="s">
        <v>425</v>
      </c>
      <c r="GS347" t="s">
        <v>426</v>
      </c>
      <c r="GT347" t="s">
        <v>427</v>
      </c>
      <c r="GU347" t="s">
        <v>428</v>
      </c>
    </row>
    <row r="348" spans="9:208" x14ac:dyDescent="0.25">
      <c r="GH348" t="s">
        <v>301</v>
      </c>
      <c r="GI348" t="s">
        <v>429</v>
      </c>
      <c r="GJ348" t="s">
        <v>430</v>
      </c>
      <c r="GK348" t="s">
        <v>431</v>
      </c>
      <c r="GL348" t="s">
        <v>432</v>
      </c>
      <c r="GM348" t="s">
        <v>421</v>
      </c>
      <c r="GN348" t="s">
        <v>339</v>
      </c>
      <c r="GO348" t="s">
        <v>433</v>
      </c>
      <c r="GP348" t="s">
        <v>434</v>
      </c>
      <c r="GQ348" t="s">
        <v>435</v>
      </c>
      <c r="GR348" t="s">
        <v>421</v>
      </c>
      <c r="GS348" t="s">
        <v>339</v>
      </c>
      <c r="GT348" t="s">
        <v>309</v>
      </c>
    </row>
    <row r="349" spans="9:208" x14ac:dyDescent="0.25">
      <c r="I349" s="4"/>
      <c r="O349" s="4"/>
      <c r="R349" s="4"/>
      <c r="S349" s="3"/>
      <c r="U349" s="4"/>
      <c r="Y349" s="3"/>
      <c r="AA349" s="4"/>
      <c r="AB349" s="3"/>
      <c r="AD349" s="4"/>
      <c r="AE349" s="3"/>
      <c r="AG349" s="4"/>
      <c r="AK349" s="3"/>
      <c r="AM349" s="4"/>
      <c r="AN349" s="3"/>
      <c r="AP349" s="4"/>
      <c r="AQ349" s="3"/>
      <c r="AS349" s="4"/>
      <c r="AW349" s="3"/>
      <c r="AY349" s="4"/>
      <c r="AZ349" s="3"/>
      <c r="BB349" s="4"/>
      <c r="BC349" s="3"/>
      <c r="BE349" s="4"/>
      <c r="BI349" s="3"/>
      <c r="BK349" s="4"/>
      <c r="BL349" s="3"/>
      <c r="BN349" s="4"/>
      <c r="BO349" s="3"/>
      <c r="BQ349" s="4"/>
      <c r="BU349" s="3"/>
      <c r="BW349" s="4"/>
      <c r="BX349" s="3"/>
      <c r="BZ349" s="4"/>
      <c r="CA349" s="3"/>
      <c r="CC349" s="4"/>
      <c r="CG349" s="3"/>
      <c r="CI349" s="4"/>
      <c r="CJ349" s="3"/>
      <c r="CL349" s="4"/>
      <c r="CM349" s="3"/>
      <c r="CO349" s="4"/>
      <c r="CS349" s="3"/>
      <c r="CU349" s="4"/>
      <c r="CV349" s="3"/>
      <c r="CX349" s="4"/>
      <c r="CY349" s="3"/>
      <c r="DA349" s="4"/>
      <c r="DE349" s="3"/>
      <c r="DG349" s="4"/>
      <c r="DH349" s="3"/>
      <c r="DJ349" s="4"/>
      <c r="DK349" s="3"/>
      <c r="DM349" s="4"/>
      <c r="DQ349" s="3"/>
      <c r="DS349" s="4"/>
      <c r="DT349" s="3"/>
      <c r="DV349" s="4"/>
      <c r="DW349" s="3"/>
      <c r="DY349" s="4"/>
      <c r="EC349" s="3"/>
      <c r="EE349" s="4"/>
      <c r="EF349" s="3"/>
      <c r="EH349" s="4"/>
      <c r="EI349" s="3"/>
      <c r="EK349" s="4"/>
      <c r="EO349" s="3"/>
      <c r="EQ349" s="4"/>
      <c r="ER349" s="3"/>
      <c r="ET349" s="4"/>
      <c r="EU349" s="3"/>
      <c r="EW349" s="4"/>
      <c r="FA349" s="3"/>
      <c r="FC349" s="4"/>
      <c r="FD349" s="3"/>
      <c r="FF349" s="4"/>
      <c r="GH349" t="s">
        <v>436</v>
      </c>
      <c r="GI349" t="s">
        <v>421</v>
      </c>
      <c r="GJ349" t="s">
        <v>339</v>
      </c>
      <c r="GK349" t="s">
        <v>437</v>
      </c>
      <c r="GL349" t="s">
        <v>438</v>
      </c>
      <c r="GM349" t="s">
        <v>276</v>
      </c>
      <c r="GN349" t="s">
        <v>127</v>
      </c>
      <c r="GO349" t="s">
        <v>439</v>
      </c>
      <c r="GP349" t="s">
        <v>440</v>
      </c>
      <c r="GQ349" t="s">
        <v>441</v>
      </c>
      <c r="GR349" t="s">
        <v>442</v>
      </c>
      <c r="GS349" t="s">
        <v>443</v>
      </c>
      <c r="GT349" t="s">
        <v>444</v>
      </c>
    </row>
    <row r="350" spans="9:208" x14ac:dyDescent="0.25">
      <c r="GH350" t="s">
        <v>296</v>
      </c>
      <c r="GI350" t="s">
        <v>269</v>
      </c>
      <c r="GJ350" t="s">
        <v>372</v>
      </c>
      <c r="GK350" t="s">
        <v>271</v>
      </c>
      <c r="GL350" t="s">
        <v>445</v>
      </c>
      <c r="GM350" t="s">
        <v>308</v>
      </c>
      <c r="GN350" t="s">
        <v>301</v>
      </c>
      <c r="GO350" t="s">
        <v>439</v>
      </c>
      <c r="GP350" t="s">
        <v>440</v>
      </c>
      <c r="GQ350" t="s">
        <v>441</v>
      </c>
      <c r="GR350" t="s">
        <v>446</v>
      </c>
    </row>
    <row r="351" spans="9:208" x14ac:dyDescent="0.25">
      <c r="GH351">
        <v>-4</v>
      </c>
      <c r="GI351" t="s">
        <v>285</v>
      </c>
      <c r="GJ351" t="s">
        <v>447</v>
      </c>
      <c r="GK351" t="s">
        <v>448</v>
      </c>
      <c r="GL351" t="s">
        <v>301</v>
      </c>
      <c r="GM351" t="s">
        <v>449</v>
      </c>
      <c r="GN351" t="s">
        <v>402</v>
      </c>
      <c r="GO351" t="s">
        <v>295</v>
      </c>
      <c r="GP351" t="s">
        <v>357</v>
      </c>
      <c r="GQ351" t="s">
        <v>450</v>
      </c>
      <c r="GR351" t="s">
        <v>360</v>
      </c>
      <c r="GS351" t="s">
        <v>285</v>
      </c>
      <c r="GT351" t="s">
        <v>451</v>
      </c>
      <c r="GU351" t="s">
        <v>356</v>
      </c>
    </row>
    <row r="352" spans="9:208" x14ac:dyDescent="0.25">
      <c r="GH352" t="s">
        <v>297</v>
      </c>
      <c r="GI352" t="s">
        <v>385</v>
      </c>
      <c r="GJ352" t="s">
        <v>386</v>
      </c>
      <c r="GK352" t="s">
        <v>452</v>
      </c>
      <c r="GL352" t="s">
        <v>342</v>
      </c>
      <c r="GM352" t="s">
        <v>453</v>
      </c>
      <c r="GN352" t="s">
        <v>295</v>
      </c>
      <c r="GO352" t="s">
        <v>360</v>
      </c>
      <c r="GP352" t="s">
        <v>127</v>
      </c>
      <c r="GQ352" t="s">
        <v>416</v>
      </c>
      <c r="GR352" t="s">
        <v>270</v>
      </c>
      <c r="GS352" t="s">
        <v>454</v>
      </c>
      <c r="GT352" t="s">
        <v>301</v>
      </c>
      <c r="GU352" t="s">
        <v>323</v>
      </c>
      <c r="GV352" t="s">
        <v>357</v>
      </c>
    </row>
    <row r="353" spans="6:209" x14ac:dyDescent="0.25">
      <c r="GH353" t="s">
        <v>450</v>
      </c>
      <c r="GI353" t="s">
        <v>360</v>
      </c>
      <c r="GJ353" t="s">
        <v>334</v>
      </c>
      <c r="GK353" t="s">
        <v>386</v>
      </c>
      <c r="GL353" t="s">
        <v>451</v>
      </c>
      <c r="GM353" t="s">
        <v>455</v>
      </c>
      <c r="GN353" t="s">
        <v>360</v>
      </c>
      <c r="GO353" t="s">
        <v>456</v>
      </c>
      <c r="GP353" t="s">
        <v>457</v>
      </c>
      <c r="GQ353" t="s">
        <v>458</v>
      </c>
      <c r="GR353" t="s">
        <v>376</v>
      </c>
      <c r="GS353" t="s">
        <v>448</v>
      </c>
    </row>
    <row r="354" spans="6:209" x14ac:dyDescent="0.25">
      <c r="L354" s="5"/>
      <c r="O354" s="5"/>
      <c r="X354" s="5"/>
      <c r="AA354" s="5"/>
      <c r="AJ354" s="5"/>
      <c r="AM354" s="5"/>
      <c r="AV354" s="5"/>
      <c r="AY354" s="5"/>
      <c r="BH354" s="5"/>
      <c r="BK354" s="5"/>
      <c r="BT354" s="5"/>
      <c r="BW354" s="5"/>
      <c r="CF354" s="5"/>
      <c r="CI354" s="5"/>
      <c r="CR354" s="5"/>
      <c r="CU354" s="5"/>
      <c r="DD354" s="5"/>
      <c r="DG354" s="5"/>
      <c r="DP354" s="5"/>
      <c r="DS354" s="5"/>
      <c r="EB354" s="5"/>
      <c r="EE354" s="5"/>
      <c r="EN354" s="5"/>
      <c r="EQ354" s="5"/>
      <c r="EZ354" s="5"/>
      <c r="FC354" s="5"/>
      <c r="GH354" t="s">
        <v>459</v>
      </c>
      <c r="GI354" t="s">
        <v>301</v>
      </c>
      <c r="GJ354" t="s">
        <v>323</v>
      </c>
      <c r="GK354" t="s">
        <v>460</v>
      </c>
      <c r="GL354" t="s">
        <v>295</v>
      </c>
      <c r="GM354" t="s">
        <v>360</v>
      </c>
      <c r="GN354" t="s">
        <v>424</v>
      </c>
      <c r="GO354" t="s">
        <v>461</v>
      </c>
      <c r="GP354" t="s">
        <v>297</v>
      </c>
      <c r="GQ354" t="s">
        <v>462</v>
      </c>
      <c r="GR354" t="s">
        <v>321</v>
      </c>
      <c r="GS354" t="s">
        <v>271</v>
      </c>
      <c r="GT354" t="s">
        <v>463</v>
      </c>
      <c r="GU354" t="s">
        <v>419</v>
      </c>
      <c r="GV354" t="s">
        <v>301</v>
      </c>
      <c r="GW354" t="s">
        <v>396</v>
      </c>
    </row>
    <row r="355" spans="6:209" x14ac:dyDescent="0.25">
      <c r="F355" s="5"/>
      <c r="I355" s="5"/>
      <c r="R355" s="5"/>
      <c r="U355" s="5"/>
      <c r="AD355" s="5"/>
      <c r="AG355" s="5"/>
      <c r="AP355" s="5"/>
      <c r="AS355" s="5"/>
      <c r="BB355" s="5"/>
      <c r="BE355" s="5"/>
      <c r="BN355" s="5"/>
      <c r="BQ355" s="5"/>
      <c r="BZ355" s="5"/>
      <c r="CC355" s="5"/>
      <c r="CL355" s="5"/>
      <c r="CO355" s="5"/>
      <c r="CX355" s="5"/>
      <c r="DA355" s="5"/>
      <c r="DJ355" s="5"/>
      <c r="DM355" s="5"/>
      <c r="DV355" s="5"/>
      <c r="DY355" s="5"/>
      <c r="EH355" s="5"/>
      <c r="EK355" s="5"/>
      <c r="ET355" s="5"/>
      <c r="EW355" s="5"/>
      <c r="GH355" t="s">
        <v>379</v>
      </c>
      <c r="GI355" t="s">
        <v>464</v>
      </c>
    </row>
    <row r="356" spans="6:209" x14ac:dyDescent="0.25">
      <c r="GH356">
        <v>-5</v>
      </c>
      <c r="GI356" t="s">
        <v>301</v>
      </c>
      <c r="GJ356" t="s">
        <v>465</v>
      </c>
      <c r="GK356" t="s">
        <v>466</v>
      </c>
      <c r="GL356" t="s">
        <v>295</v>
      </c>
      <c r="GM356" t="s">
        <v>359</v>
      </c>
      <c r="GN356" t="s">
        <v>467</v>
      </c>
      <c r="GO356" t="s">
        <v>381</v>
      </c>
      <c r="GP356" t="s">
        <v>271</v>
      </c>
      <c r="GQ356" t="s">
        <v>468</v>
      </c>
      <c r="GR356" t="s">
        <v>300</v>
      </c>
      <c r="GS356" t="s">
        <v>369</v>
      </c>
      <c r="GT356" t="s">
        <v>269</v>
      </c>
      <c r="GU356" t="s">
        <v>308</v>
      </c>
      <c r="GV356" t="s">
        <v>383</v>
      </c>
      <c r="GW356" t="s">
        <v>469</v>
      </c>
      <c r="GX356" t="s">
        <v>386</v>
      </c>
      <c r="GY356" t="s">
        <v>301</v>
      </c>
      <c r="GZ356" t="s">
        <v>402</v>
      </c>
      <c r="HA356" t="s">
        <v>295</v>
      </c>
    </row>
    <row r="357" spans="6:209" x14ac:dyDescent="0.25">
      <c r="GH357" t="s">
        <v>301</v>
      </c>
      <c r="GI357" t="s">
        <v>359</v>
      </c>
      <c r="GJ357" t="s">
        <v>470</v>
      </c>
      <c r="GK357" t="s">
        <v>127</v>
      </c>
      <c r="GL357" t="s">
        <v>301</v>
      </c>
      <c r="GM357" t="s">
        <v>471</v>
      </c>
      <c r="GN357" t="s">
        <v>295</v>
      </c>
      <c r="GO357" t="s">
        <v>472</v>
      </c>
      <c r="GP357" t="s">
        <v>359</v>
      </c>
      <c r="GQ357" t="s">
        <v>389</v>
      </c>
      <c r="GR357" t="s">
        <v>386</v>
      </c>
      <c r="GS357" t="s">
        <v>301</v>
      </c>
      <c r="GT357" t="s">
        <v>473</v>
      </c>
      <c r="GU357" t="s">
        <v>474</v>
      </c>
      <c r="GV357" t="s">
        <v>475</v>
      </c>
    </row>
    <row r="358" spans="6:209" x14ac:dyDescent="0.25">
      <c r="GH358" t="s">
        <v>301</v>
      </c>
      <c r="GI358" t="s">
        <v>476</v>
      </c>
      <c r="GJ358" t="s">
        <v>285</v>
      </c>
      <c r="GK358" t="s">
        <v>477</v>
      </c>
      <c r="GL358" t="s">
        <v>478</v>
      </c>
      <c r="GM358" t="s">
        <v>301</v>
      </c>
      <c r="GN358" t="s">
        <v>323</v>
      </c>
      <c r="GO358" t="s">
        <v>420</v>
      </c>
      <c r="GP358" t="s">
        <v>295</v>
      </c>
      <c r="GQ358" t="s">
        <v>359</v>
      </c>
      <c r="GR358" t="s">
        <v>127</v>
      </c>
      <c r="GS358" t="s">
        <v>295</v>
      </c>
      <c r="GT358" t="s">
        <v>479</v>
      </c>
    </row>
    <row r="359" spans="6:209" x14ac:dyDescent="0.25">
      <c r="GH359" t="s">
        <v>480</v>
      </c>
      <c r="GI359" t="s">
        <v>285</v>
      </c>
      <c r="GJ359" t="s">
        <v>481</v>
      </c>
      <c r="GK359" t="s">
        <v>280</v>
      </c>
      <c r="GL359" t="s">
        <v>269</v>
      </c>
      <c r="GM359" t="s">
        <v>469</v>
      </c>
      <c r="GN359" t="s">
        <v>386</v>
      </c>
      <c r="GO359" t="s">
        <v>267</v>
      </c>
      <c r="GP359" t="s">
        <v>465</v>
      </c>
      <c r="GQ359" t="s">
        <v>466</v>
      </c>
      <c r="GR359" t="s">
        <v>374</v>
      </c>
      <c r="GS359" t="s">
        <v>482</v>
      </c>
      <c r="GT359" t="s">
        <v>374</v>
      </c>
      <c r="GU359" t="s">
        <v>301</v>
      </c>
      <c r="GV359" t="s">
        <v>359</v>
      </c>
      <c r="GW359" t="s">
        <v>361</v>
      </c>
      <c r="GX359" t="s">
        <v>321</v>
      </c>
      <c r="GY359" t="s">
        <v>362</v>
      </c>
    </row>
    <row r="360" spans="6:209" x14ac:dyDescent="0.25">
      <c r="GH360" t="s">
        <v>483</v>
      </c>
      <c r="GI360" t="s">
        <v>410</v>
      </c>
      <c r="GJ360" t="s">
        <v>301</v>
      </c>
      <c r="GK360" t="s">
        <v>359</v>
      </c>
      <c r="GL360" t="s">
        <v>465</v>
      </c>
      <c r="GM360" t="s">
        <v>466</v>
      </c>
      <c r="GN360" t="s">
        <v>297</v>
      </c>
      <c r="GO360" t="s">
        <v>484</v>
      </c>
      <c r="GP360" t="s">
        <v>419</v>
      </c>
      <c r="GQ360" t="s">
        <v>301</v>
      </c>
      <c r="GR360" t="s">
        <v>359</v>
      </c>
      <c r="GS360" t="s">
        <v>361</v>
      </c>
      <c r="GT360" t="s">
        <v>321</v>
      </c>
      <c r="GU360" t="s">
        <v>362</v>
      </c>
      <c r="GV360" t="s">
        <v>485</v>
      </c>
      <c r="GW360" t="s">
        <v>486</v>
      </c>
      <c r="GX360" t="s">
        <v>301</v>
      </c>
      <c r="GY360" t="s">
        <v>323</v>
      </c>
    </row>
    <row r="361" spans="6:209" x14ac:dyDescent="0.25">
      <c r="GH361" t="s">
        <v>359</v>
      </c>
      <c r="GI361" t="s">
        <v>420</v>
      </c>
      <c r="GJ361" t="s">
        <v>269</v>
      </c>
      <c r="GK361" t="s">
        <v>271</v>
      </c>
      <c r="GL361" t="s">
        <v>487</v>
      </c>
      <c r="GM361" t="s">
        <v>321</v>
      </c>
      <c r="GN361" t="s">
        <v>301</v>
      </c>
      <c r="GO361" t="s">
        <v>449</v>
      </c>
      <c r="GP361" t="s">
        <v>488</v>
      </c>
      <c r="GQ361" t="s">
        <v>489</v>
      </c>
      <c r="GR361" t="s">
        <v>127</v>
      </c>
      <c r="GS361" t="s">
        <v>301</v>
      </c>
      <c r="GT361" t="s">
        <v>481</v>
      </c>
      <c r="GU361" t="s">
        <v>479</v>
      </c>
    </row>
    <row r="362" spans="6:209" x14ac:dyDescent="0.25">
      <c r="GH362" t="s">
        <v>420</v>
      </c>
      <c r="GI362" t="s">
        <v>269</v>
      </c>
      <c r="GJ362" t="s">
        <v>271</v>
      </c>
      <c r="GK362" t="s">
        <v>490</v>
      </c>
      <c r="GL362" t="s">
        <v>491</v>
      </c>
      <c r="GM362" t="s">
        <v>301</v>
      </c>
      <c r="GN362" t="s">
        <v>323</v>
      </c>
      <c r="GO362" t="s">
        <v>359</v>
      </c>
      <c r="GP362" t="s">
        <v>355</v>
      </c>
      <c r="GQ362" t="s">
        <v>269</v>
      </c>
      <c r="GR362" t="s">
        <v>271</v>
      </c>
      <c r="GS362" t="s">
        <v>487</v>
      </c>
      <c r="GT362" t="s">
        <v>321</v>
      </c>
      <c r="GU362" t="s">
        <v>301</v>
      </c>
      <c r="GV362" t="s">
        <v>492</v>
      </c>
    </row>
    <row r="363" spans="6:209" x14ac:dyDescent="0.25">
      <c r="GH363" t="s">
        <v>493</v>
      </c>
      <c r="GI363" t="s">
        <v>359</v>
      </c>
      <c r="GJ363" t="s">
        <v>494</v>
      </c>
      <c r="GK363" t="s">
        <v>127</v>
      </c>
      <c r="GL363" t="s">
        <v>301</v>
      </c>
      <c r="GM363" t="s">
        <v>481</v>
      </c>
      <c r="GN363" t="s">
        <v>479</v>
      </c>
      <c r="GO363" t="s">
        <v>420</v>
      </c>
      <c r="GP363" t="s">
        <v>269</v>
      </c>
      <c r="GQ363" t="s">
        <v>271</v>
      </c>
      <c r="GR363" t="s">
        <v>495</v>
      </c>
      <c r="GS363" t="s">
        <v>496</v>
      </c>
      <c r="GT363" t="s">
        <v>321</v>
      </c>
      <c r="GU363" t="s">
        <v>301</v>
      </c>
      <c r="GV363" t="s">
        <v>497</v>
      </c>
    </row>
    <row r="364" spans="6:209" x14ac:dyDescent="0.25">
      <c r="K364" s="5"/>
      <c r="Q364" s="5"/>
      <c r="T364" s="5"/>
      <c r="W364" s="5"/>
      <c r="AC364" s="5"/>
      <c r="AF364" s="5"/>
      <c r="AI364" s="5"/>
      <c r="AO364" s="5"/>
      <c r="AR364" s="5"/>
      <c r="AU364" s="5"/>
      <c r="BA364" s="5"/>
      <c r="BD364" s="5"/>
      <c r="BG364" s="5"/>
      <c r="BM364" s="5"/>
      <c r="BP364" s="5"/>
      <c r="BS364" s="5"/>
      <c r="BY364" s="5"/>
      <c r="CB364" s="5"/>
      <c r="CE364" s="5"/>
      <c r="CK364" s="5"/>
      <c r="CN364" s="5"/>
      <c r="CQ364" s="5"/>
      <c r="CW364" s="5"/>
      <c r="CZ364" s="5"/>
      <c r="DC364" s="5"/>
      <c r="DI364" s="5"/>
      <c r="DL364" s="5"/>
      <c r="DO364" s="5"/>
      <c r="DU364" s="5"/>
      <c r="DX364" s="5"/>
      <c r="EA364" s="5"/>
      <c r="EG364" s="5"/>
      <c r="EJ364" s="5"/>
      <c r="EM364" s="5"/>
      <c r="ES364" s="5"/>
      <c r="EV364" s="5"/>
      <c r="EY364" s="5"/>
      <c r="FE364" s="5"/>
      <c r="FH364" s="5"/>
      <c r="GH364" t="s">
        <v>424</v>
      </c>
      <c r="GI364" t="s">
        <v>301</v>
      </c>
      <c r="GJ364" t="s">
        <v>449</v>
      </c>
      <c r="GK364" t="s">
        <v>488</v>
      </c>
      <c r="GL364" t="s">
        <v>127</v>
      </c>
      <c r="GM364" t="s">
        <v>301</v>
      </c>
      <c r="GN364" t="s">
        <v>359</v>
      </c>
      <c r="GO364" t="s">
        <v>465</v>
      </c>
      <c r="GP364" t="s">
        <v>498</v>
      </c>
      <c r="GQ364" t="s">
        <v>499</v>
      </c>
      <c r="GR364" t="s">
        <v>500</v>
      </c>
    </row>
    <row r="365" spans="6:209" x14ac:dyDescent="0.25">
      <c r="GH365" t="s">
        <v>396</v>
      </c>
      <c r="GI365" t="s">
        <v>295</v>
      </c>
      <c r="GJ365" t="s">
        <v>301</v>
      </c>
      <c r="GK365" t="s">
        <v>481</v>
      </c>
      <c r="GL365" t="s">
        <v>479</v>
      </c>
      <c r="GM365" t="s">
        <v>480</v>
      </c>
      <c r="GN365" t="s">
        <v>297</v>
      </c>
      <c r="GO365" t="s">
        <v>270</v>
      </c>
      <c r="GP365" t="s">
        <v>501</v>
      </c>
    </row>
    <row r="366" spans="6:209" x14ac:dyDescent="0.25">
      <c r="GH366">
        <v>-6</v>
      </c>
      <c r="GI366" t="s">
        <v>502</v>
      </c>
      <c r="GJ366" t="s">
        <v>503</v>
      </c>
      <c r="GK366" t="s">
        <v>381</v>
      </c>
      <c r="GL366" t="s">
        <v>504</v>
      </c>
      <c r="GM366" t="s">
        <v>335</v>
      </c>
      <c r="GN366" t="s">
        <v>352</v>
      </c>
      <c r="GO366" t="s">
        <v>471</v>
      </c>
      <c r="GP366" t="s">
        <v>295</v>
      </c>
      <c r="GQ366" t="s">
        <v>280</v>
      </c>
      <c r="GR366" t="s">
        <v>505</v>
      </c>
      <c r="GS366" t="s">
        <v>308</v>
      </c>
      <c r="GT366" t="s">
        <v>301</v>
      </c>
      <c r="GU366" t="s">
        <v>506</v>
      </c>
      <c r="GV366" t="s">
        <v>507</v>
      </c>
    </row>
    <row r="367" spans="6:209" x14ac:dyDescent="0.25">
      <c r="G367" s="5"/>
      <c r="J367" s="5"/>
      <c r="S367" s="5"/>
      <c r="V367" s="5"/>
      <c r="AE367" s="5"/>
      <c r="AH367" s="5"/>
      <c r="AQ367" s="5"/>
      <c r="AT367" s="5"/>
      <c r="BC367" s="5"/>
      <c r="BF367" s="5"/>
      <c r="BO367" s="5"/>
      <c r="BR367" s="5"/>
      <c r="CA367" s="5"/>
      <c r="CD367" s="5"/>
      <c r="CM367" s="5"/>
      <c r="CP367" s="5"/>
      <c r="CY367" s="5"/>
      <c r="DB367" s="5"/>
      <c r="DK367" s="5"/>
      <c r="DN367" s="5"/>
      <c r="DW367" s="5"/>
      <c r="DZ367" s="5"/>
      <c r="EI367" s="5"/>
      <c r="EL367" s="5"/>
      <c r="EU367" s="5"/>
      <c r="EX367" s="5"/>
      <c r="GG367">
        <v>1</v>
      </c>
    </row>
    <row r="369" spans="5:208" x14ac:dyDescent="0.25">
      <c r="E369" s="3"/>
      <c r="F369" s="3"/>
      <c r="G369" s="4"/>
      <c r="H369" s="4"/>
      <c r="L369" s="4"/>
      <c r="P369" s="4"/>
      <c r="Q369" s="4"/>
      <c r="S369" s="4"/>
      <c r="T369" s="4"/>
      <c r="V369" s="3"/>
      <c r="X369" s="4"/>
      <c r="Z369" s="3"/>
      <c r="AA369" s="3"/>
      <c r="AB369" s="4"/>
      <c r="AC369" s="4"/>
      <c r="AD369" s="3"/>
      <c r="AE369" s="4"/>
      <c r="AF369" s="4"/>
      <c r="AH369" s="3"/>
      <c r="AJ369" s="4"/>
      <c r="AL369" s="3"/>
      <c r="AM369" s="3"/>
      <c r="AN369" s="4"/>
      <c r="AO369" s="4"/>
      <c r="AP369" s="3"/>
      <c r="AQ369" s="4"/>
      <c r="AR369" s="4"/>
      <c r="AT369" s="3"/>
      <c r="AV369" s="4"/>
      <c r="AX369" s="3"/>
      <c r="AY369" s="3"/>
      <c r="AZ369" s="4"/>
      <c r="BA369" s="4"/>
      <c r="BB369" s="3"/>
      <c r="BC369" s="4"/>
      <c r="BD369" s="4"/>
      <c r="BF369" s="3"/>
      <c r="BH369" s="4"/>
      <c r="BJ369" s="3"/>
      <c r="BK369" s="3"/>
      <c r="BL369" s="4"/>
      <c r="BM369" s="4"/>
      <c r="BN369" s="3"/>
      <c r="BO369" s="4"/>
      <c r="BP369" s="4"/>
      <c r="BR369" s="3"/>
      <c r="BT369" s="4"/>
      <c r="BV369" s="3"/>
      <c r="BW369" s="3"/>
      <c r="BX369" s="4"/>
      <c r="BY369" s="4"/>
      <c r="BZ369" s="3"/>
      <c r="CA369" s="4"/>
      <c r="CB369" s="4"/>
      <c r="CD369" s="3"/>
      <c r="CF369" s="4"/>
      <c r="CH369" s="3"/>
      <c r="CI369" s="3"/>
      <c r="CJ369" s="4"/>
      <c r="CK369" s="4"/>
      <c r="CL369" s="3"/>
      <c r="CM369" s="4"/>
      <c r="CN369" s="4"/>
      <c r="CP369" s="3"/>
      <c r="CR369" s="4"/>
      <c r="CT369" s="3"/>
      <c r="CU369" s="3"/>
      <c r="CV369" s="4"/>
      <c r="CW369" s="4"/>
      <c r="CX369" s="3"/>
      <c r="CY369" s="4"/>
      <c r="CZ369" s="4"/>
      <c r="DB369" s="3"/>
      <c r="DD369" s="4"/>
      <c r="DF369" s="3"/>
      <c r="DG369" s="3"/>
      <c r="DH369" s="4"/>
      <c r="DI369" s="4"/>
      <c r="DJ369" s="3"/>
      <c r="DK369" s="4"/>
      <c r="DL369" s="4"/>
      <c r="DN369" s="3"/>
      <c r="DP369" s="4"/>
      <c r="DR369" s="3"/>
      <c r="DS369" s="3"/>
      <c r="DT369" s="4"/>
      <c r="DU369" s="4"/>
      <c r="DV369" s="3"/>
      <c r="DW369" s="4"/>
      <c r="DX369" s="4"/>
      <c r="DZ369" s="3"/>
      <c r="EB369" s="4"/>
      <c r="ED369" s="3"/>
      <c r="EE369" s="3"/>
      <c r="EF369" s="4"/>
      <c r="EG369" s="4"/>
      <c r="EH369" s="3"/>
      <c r="EI369" s="4"/>
      <c r="EJ369" s="4"/>
      <c r="EL369" s="3"/>
      <c r="EN369" s="4"/>
      <c r="EP369" s="3"/>
      <c r="EQ369" s="3"/>
      <c r="ER369" s="4"/>
      <c r="ES369" s="4"/>
      <c r="ET369" s="3"/>
      <c r="EU369" s="4"/>
      <c r="EV369" s="4"/>
      <c r="EX369" s="3"/>
      <c r="EZ369" s="4"/>
      <c r="FB369" s="3"/>
      <c r="FC369" s="3"/>
      <c r="FD369" s="4"/>
      <c r="FE369" s="4"/>
      <c r="FF369" s="3"/>
      <c r="FG369" s="4"/>
      <c r="FH369" s="4"/>
      <c r="GH369" t="s">
        <v>24</v>
      </c>
      <c r="GI369" t="s">
        <v>25</v>
      </c>
      <c r="GJ369" t="s">
        <v>26</v>
      </c>
      <c r="GK369" s="3">
        <v>43692</v>
      </c>
      <c r="GL369" t="s">
        <v>27</v>
      </c>
      <c r="GM369" s="4">
        <v>0.41612268518518519</v>
      </c>
    </row>
    <row r="370" spans="5:208" x14ac:dyDescent="0.25">
      <c r="GH370" t="s">
        <v>28</v>
      </c>
      <c r="GI370" t="s">
        <v>29</v>
      </c>
      <c r="GJ370" t="s">
        <v>30</v>
      </c>
      <c r="GK370" t="s">
        <v>31</v>
      </c>
      <c r="GL370" t="s">
        <v>32</v>
      </c>
      <c r="GM370" t="s">
        <v>33</v>
      </c>
      <c r="GN370" t="s">
        <v>34</v>
      </c>
      <c r="GO370" t="s">
        <v>35</v>
      </c>
      <c r="GP370" t="s">
        <v>36</v>
      </c>
      <c r="GQ370" t="s">
        <v>37</v>
      </c>
      <c r="GR370" t="s">
        <v>38</v>
      </c>
    </row>
    <row r="372" spans="5:208" x14ac:dyDescent="0.25">
      <c r="GH372" t="s">
        <v>138</v>
      </c>
      <c r="GI372" t="s">
        <v>139</v>
      </c>
      <c r="GJ372" t="s">
        <v>76</v>
      </c>
      <c r="GK372" t="s">
        <v>64</v>
      </c>
      <c r="GL372" t="s">
        <v>104</v>
      </c>
      <c r="GM372" t="s">
        <v>140</v>
      </c>
      <c r="GN372" t="s">
        <v>141</v>
      </c>
      <c r="GO372" t="s">
        <v>276</v>
      </c>
      <c r="GP372">
        <v>2</v>
      </c>
      <c r="GQ372" t="s">
        <v>333</v>
      </c>
      <c r="GR372">
        <v>1</v>
      </c>
    </row>
    <row r="373" spans="5:208" x14ac:dyDescent="0.25">
      <c r="GH373" t="s">
        <v>327</v>
      </c>
      <c r="GI373" t="s">
        <v>334</v>
      </c>
      <c r="GJ373" t="s">
        <v>308</v>
      </c>
      <c r="GK373" t="s">
        <v>267</v>
      </c>
      <c r="GL373" t="s">
        <v>276</v>
      </c>
      <c r="GM373">
        <v>0</v>
      </c>
    </row>
    <row r="376" spans="5:208" x14ac:dyDescent="0.25">
      <c r="GH376" t="s">
        <v>292</v>
      </c>
      <c r="GI376" t="s">
        <v>106</v>
      </c>
      <c r="GJ376" t="s">
        <v>109</v>
      </c>
      <c r="GK376" t="s">
        <v>287</v>
      </c>
      <c r="GL376">
        <v>2</v>
      </c>
      <c r="GM376" t="s">
        <v>292</v>
      </c>
      <c r="GN376" t="s">
        <v>106</v>
      </c>
      <c r="GO376" t="s">
        <v>335</v>
      </c>
      <c r="GP376" t="s">
        <v>106</v>
      </c>
      <c r="GQ376" t="s">
        <v>107</v>
      </c>
      <c r="GR376" t="s">
        <v>108</v>
      </c>
      <c r="GS376" t="s">
        <v>335</v>
      </c>
      <c r="GT376" t="s">
        <v>104</v>
      </c>
      <c r="GU376" t="s">
        <v>335</v>
      </c>
      <c r="GV376" t="s">
        <v>290</v>
      </c>
      <c r="GW376" t="s">
        <v>336</v>
      </c>
      <c r="GX376" t="s">
        <v>292</v>
      </c>
      <c r="GY376" t="s">
        <v>107</v>
      </c>
      <c r="GZ376" t="s">
        <v>292</v>
      </c>
    </row>
    <row r="379" spans="5:208" x14ac:dyDescent="0.25">
      <c r="E379" s="5"/>
      <c r="K379" s="5"/>
      <c r="N379" s="5"/>
      <c r="Q379" s="5"/>
      <c r="W379" s="5"/>
      <c r="Z379" s="5"/>
      <c r="AC379" s="5"/>
      <c r="AI379" s="5"/>
      <c r="AL379" s="5"/>
      <c r="AO379" s="5"/>
      <c r="AU379" s="5"/>
      <c r="AX379" s="5"/>
      <c r="BA379" s="5"/>
      <c r="BG379" s="5"/>
      <c r="BJ379" s="5"/>
      <c r="BM379" s="5"/>
      <c r="BS379" s="5"/>
      <c r="BV379" s="5"/>
      <c r="BY379" s="5"/>
      <c r="CE379" s="5"/>
      <c r="CH379" s="5"/>
      <c r="CK379" s="5"/>
      <c r="CQ379" s="5"/>
      <c r="CT379" s="5"/>
      <c r="CW379" s="5"/>
      <c r="DC379" s="5"/>
      <c r="DF379" s="5"/>
      <c r="DI379" s="5"/>
      <c r="DO379" s="5"/>
      <c r="DR379" s="5"/>
      <c r="DU379" s="5"/>
      <c r="EA379" s="5"/>
      <c r="ED379" s="5"/>
      <c r="EG379" s="5"/>
      <c r="EM379" s="5"/>
      <c r="EP379" s="5"/>
      <c r="ES379" s="5"/>
      <c r="EY379" s="5"/>
      <c r="FB379" s="5"/>
    </row>
    <row r="381" spans="5:208" x14ac:dyDescent="0.25">
      <c r="GH381" t="s">
        <v>337</v>
      </c>
      <c r="GI381" t="s">
        <v>508</v>
      </c>
      <c r="GJ381" t="s">
        <v>338</v>
      </c>
      <c r="GK381" t="s">
        <v>339</v>
      </c>
      <c r="GL381" t="s">
        <v>340</v>
      </c>
    </row>
    <row r="382" spans="5:208" x14ac:dyDescent="0.25">
      <c r="GH382" t="s">
        <v>335</v>
      </c>
      <c r="GI382" t="s">
        <v>341</v>
      </c>
      <c r="GJ382" t="s">
        <v>342</v>
      </c>
      <c r="GK382" t="s">
        <v>333</v>
      </c>
      <c r="GL382" t="s">
        <v>308</v>
      </c>
      <c r="GM382" t="s">
        <v>509</v>
      </c>
      <c r="GN382" t="s">
        <v>510</v>
      </c>
      <c r="GO382">
        <v>0.1</v>
      </c>
    </row>
    <row r="383" spans="5:208" x14ac:dyDescent="0.25">
      <c r="GH383" t="s">
        <v>127</v>
      </c>
      <c r="GI383" t="s">
        <v>335</v>
      </c>
      <c r="GJ383" t="s">
        <v>306</v>
      </c>
      <c r="GK383" t="s">
        <v>509</v>
      </c>
      <c r="GL383" t="s">
        <v>510</v>
      </c>
      <c r="GM383" t="s">
        <v>511</v>
      </c>
      <c r="GN383" t="s">
        <v>512</v>
      </c>
      <c r="GO383" t="s">
        <v>295</v>
      </c>
      <c r="GP383">
        <v>1</v>
      </c>
    </row>
    <row r="384" spans="5:208" x14ac:dyDescent="0.25">
      <c r="I384" s="5"/>
      <c r="J384" s="5"/>
      <c r="N384" s="5"/>
      <c r="R384" s="5"/>
      <c r="S384" s="5"/>
      <c r="U384" s="5"/>
      <c r="V384" s="5"/>
      <c r="Z384" s="5"/>
      <c r="AD384" s="5"/>
      <c r="AE384" s="5"/>
      <c r="AG384" s="5"/>
      <c r="AH384" s="5"/>
      <c r="AL384" s="5"/>
      <c r="AP384" s="5"/>
      <c r="AQ384" s="5"/>
      <c r="AS384" s="5"/>
      <c r="AT384" s="5"/>
      <c r="AX384" s="5"/>
      <c r="BB384" s="5"/>
      <c r="BC384" s="5"/>
      <c r="BE384" s="5"/>
      <c r="BF384" s="5"/>
      <c r="BJ384" s="5"/>
      <c r="BN384" s="5"/>
      <c r="BO384" s="5"/>
      <c r="BQ384" s="5"/>
      <c r="BR384" s="5"/>
      <c r="BV384" s="5"/>
      <c r="BZ384" s="5"/>
      <c r="CA384" s="5"/>
      <c r="CC384" s="5"/>
      <c r="CD384" s="5"/>
      <c r="CH384" s="5"/>
      <c r="CL384" s="5"/>
      <c r="CM384" s="5"/>
      <c r="CO384" s="5"/>
      <c r="CP384" s="5"/>
      <c r="CT384" s="5"/>
      <c r="CX384" s="5"/>
      <c r="CY384" s="5"/>
      <c r="DA384" s="5"/>
      <c r="DB384" s="5"/>
      <c r="DF384" s="5"/>
      <c r="DJ384" s="5"/>
      <c r="DK384" s="5"/>
      <c r="DM384" s="5"/>
      <c r="DN384" s="5"/>
      <c r="DR384" s="5"/>
      <c r="DV384" s="5"/>
      <c r="DW384" s="5"/>
      <c r="DY384" s="5"/>
      <c r="DZ384" s="5"/>
      <c r="ED384" s="5"/>
      <c r="EH384" s="5"/>
      <c r="EI384" s="5"/>
      <c r="EK384" s="5"/>
      <c r="EL384" s="5"/>
      <c r="EP384" s="5"/>
      <c r="ET384" s="5"/>
      <c r="EU384" s="5"/>
      <c r="EW384" s="5"/>
      <c r="EX384" s="5"/>
      <c r="FB384" s="5"/>
      <c r="FF384" s="5"/>
      <c r="FG384" s="5"/>
      <c r="FI384" s="5"/>
      <c r="FJ384" s="5"/>
      <c r="GH384" t="s">
        <v>301</v>
      </c>
      <c r="GI384" t="s">
        <v>344</v>
      </c>
      <c r="GJ384" t="s">
        <v>509</v>
      </c>
      <c r="GK384" t="s">
        <v>510</v>
      </c>
      <c r="GL384" t="s">
        <v>333</v>
      </c>
      <c r="GM384" t="s">
        <v>345</v>
      </c>
      <c r="GN384" t="s">
        <v>297</v>
      </c>
      <c r="GO384" s="5">
        <v>1.0000000000000001E-15</v>
      </c>
    </row>
    <row r="385" spans="3:203" x14ac:dyDescent="0.25">
      <c r="GH385" t="s">
        <v>301</v>
      </c>
      <c r="GI385" t="s">
        <v>346</v>
      </c>
      <c r="GJ385" t="s">
        <v>509</v>
      </c>
      <c r="GK385" t="s">
        <v>510</v>
      </c>
      <c r="GL385" t="s">
        <v>333</v>
      </c>
      <c r="GM385" t="s">
        <v>345</v>
      </c>
      <c r="GN385" t="s">
        <v>297</v>
      </c>
      <c r="GO385">
        <v>0.5</v>
      </c>
    </row>
    <row r="387" spans="3:203" x14ac:dyDescent="0.25">
      <c r="GH387" t="s">
        <v>347</v>
      </c>
      <c r="GI387" t="s">
        <v>348</v>
      </c>
      <c r="GJ387" t="s">
        <v>349</v>
      </c>
      <c r="GK387" t="s">
        <v>170</v>
      </c>
      <c r="GL387" t="s">
        <v>350</v>
      </c>
      <c r="GM387" t="s">
        <v>351</v>
      </c>
    </row>
    <row r="388" spans="3:203" x14ac:dyDescent="0.25">
      <c r="J388" s="4"/>
      <c r="M388" s="4"/>
      <c r="T388" s="3"/>
      <c r="V388" s="4"/>
      <c r="W388" s="3"/>
      <c r="Y388" s="4"/>
      <c r="AF388" s="3"/>
      <c r="AH388" s="4"/>
      <c r="AI388" s="3"/>
      <c r="AK388" s="4"/>
      <c r="AR388" s="3"/>
      <c r="AT388" s="4"/>
      <c r="AU388" s="3"/>
      <c r="AW388" s="4"/>
      <c r="BD388" s="3"/>
      <c r="BF388" s="4"/>
      <c r="BG388" s="3"/>
      <c r="BI388" s="4"/>
      <c r="BP388" s="3"/>
      <c r="BR388" s="4"/>
      <c r="BS388" s="3"/>
      <c r="BU388" s="4"/>
      <c r="CB388" s="3"/>
      <c r="CD388" s="4"/>
      <c r="CE388" s="3"/>
      <c r="CG388" s="4"/>
      <c r="CN388" s="3"/>
      <c r="CP388" s="4"/>
      <c r="CQ388" s="3"/>
      <c r="CS388" s="4"/>
      <c r="CZ388" s="3"/>
      <c r="DB388" s="4"/>
      <c r="DC388" s="3"/>
      <c r="DE388" s="4"/>
      <c r="DL388" s="3"/>
      <c r="DN388" s="4"/>
      <c r="DO388" s="3"/>
      <c r="DQ388" s="4"/>
      <c r="DX388" s="3"/>
      <c r="DZ388" s="4"/>
      <c r="EA388" s="3"/>
      <c r="EC388" s="4"/>
      <c r="EJ388" s="3"/>
      <c r="EL388" s="4"/>
      <c r="EM388" s="3"/>
      <c r="EO388" s="4"/>
      <c r="EV388" s="3"/>
      <c r="EX388" s="4"/>
      <c r="EY388" s="3"/>
      <c r="FA388" s="4"/>
    </row>
    <row r="389" spans="3:203" x14ac:dyDescent="0.25">
      <c r="GH389" t="s">
        <v>513</v>
      </c>
      <c r="GI389" t="s">
        <v>514</v>
      </c>
      <c r="GJ389" t="s">
        <v>515</v>
      </c>
      <c r="GK389" t="s">
        <v>297</v>
      </c>
      <c r="GL389" t="s">
        <v>355</v>
      </c>
      <c r="GM389" t="s">
        <v>340</v>
      </c>
      <c r="GN389" t="s">
        <v>516</v>
      </c>
      <c r="GO389" t="s">
        <v>517</v>
      </c>
      <c r="GP389" t="s">
        <v>456</v>
      </c>
      <c r="GQ389" t="s">
        <v>518</v>
      </c>
    </row>
    <row r="391" spans="3:203" x14ac:dyDescent="0.25">
      <c r="GH391" t="s">
        <v>352</v>
      </c>
      <c r="GI391" t="s">
        <v>353</v>
      </c>
      <c r="GJ391" t="s">
        <v>354</v>
      </c>
      <c r="GK391" t="s">
        <v>269</v>
      </c>
      <c r="GL391" t="s">
        <v>271</v>
      </c>
      <c r="GM391" t="s">
        <v>355</v>
      </c>
    </row>
    <row r="393" spans="3:203" x14ac:dyDescent="0.25">
      <c r="GH393" t="s">
        <v>291</v>
      </c>
      <c r="GI393" t="s">
        <v>109</v>
      </c>
      <c r="GJ393" t="s">
        <v>291</v>
      </c>
      <c r="GK393" t="s">
        <v>105</v>
      </c>
      <c r="GL393" t="s">
        <v>288</v>
      </c>
      <c r="GM393" t="s">
        <v>336</v>
      </c>
      <c r="GN393" t="s">
        <v>109</v>
      </c>
      <c r="GO393" t="s">
        <v>292</v>
      </c>
      <c r="GP393" t="s">
        <v>106</v>
      </c>
      <c r="GQ393" t="s">
        <v>107</v>
      </c>
      <c r="GR393" t="s">
        <v>291</v>
      </c>
      <c r="GS393" t="s">
        <v>335</v>
      </c>
      <c r="GT393" t="s">
        <v>106</v>
      </c>
      <c r="GU393" t="s">
        <v>109</v>
      </c>
    </row>
    <row r="395" spans="3:203" x14ac:dyDescent="0.25">
      <c r="GH395" t="s">
        <v>356</v>
      </c>
      <c r="GI395" t="s">
        <v>357</v>
      </c>
      <c r="GJ395" t="s">
        <v>358</v>
      </c>
      <c r="GK395" t="s">
        <v>344</v>
      </c>
      <c r="GL395" t="s">
        <v>359</v>
      </c>
      <c r="GM395" t="s">
        <v>359</v>
      </c>
      <c r="GN395" t="s">
        <v>321</v>
      </c>
    </row>
    <row r="396" spans="3:203" x14ac:dyDescent="0.25">
      <c r="GH396" t="s">
        <v>360</v>
      </c>
      <c r="GI396" t="s">
        <v>361</v>
      </c>
      <c r="GJ396" t="s">
        <v>362</v>
      </c>
      <c r="GK396" t="s">
        <v>363</v>
      </c>
    </row>
    <row r="397" spans="3:203" x14ac:dyDescent="0.25">
      <c r="GH397" t="s">
        <v>364</v>
      </c>
      <c r="GI397" t="s">
        <v>365</v>
      </c>
      <c r="GJ397" t="s">
        <v>366</v>
      </c>
      <c r="GK397" t="s">
        <v>366</v>
      </c>
    </row>
    <row r="399" spans="3:203" x14ac:dyDescent="0.25">
      <c r="C399" s="5"/>
      <c r="D399" s="5"/>
      <c r="H399" s="5"/>
      <c r="L399" s="5"/>
      <c r="M399" s="5"/>
      <c r="O399" s="5"/>
      <c r="P399" s="5"/>
      <c r="T399" s="5"/>
      <c r="X399" s="5"/>
      <c r="Y399" s="5"/>
      <c r="AA399" s="5"/>
      <c r="AB399" s="5"/>
      <c r="AF399" s="5"/>
      <c r="AJ399" s="5"/>
      <c r="AK399" s="5"/>
      <c r="AM399" s="5"/>
      <c r="AN399" s="5"/>
      <c r="AR399" s="5"/>
      <c r="AV399" s="5"/>
      <c r="AW399" s="5"/>
      <c r="AY399" s="5"/>
      <c r="AZ399" s="5"/>
      <c r="BD399" s="5"/>
      <c r="BH399" s="5"/>
      <c r="BI399" s="5"/>
      <c r="BK399" s="5"/>
      <c r="BL399" s="5"/>
      <c r="BP399" s="5"/>
      <c r="BT399" s="5"/>
      <c r="BU399" s="5"/>
      <c r="BW399" s="5"/>
      <c r="BX399" s="5"/>
      <c r="CB399" s="5"/>
      <c r="CF399" s="5"/>
      <c r="CG399" s="5"/>
      <c r="CI399" s="5"/>
      <c r="CJ399" s="5"/>
      <c r="CN399" s="5"/>
      <c r="CR399" s="5"/>
      <c r="CS399" s="5"/>
      <c r="CU399" s="5"/>
      <c r="CV399" s="5"/>
      <c r="CZ399" s="5"/>
      <c r="DD399" s="5"/>
      <c r="DE399" s="5"/>
      <c r="DG399" s="5"/>
      <c r="DH399" s="5"/>
      <c r="DL399" s="5"/>
      <c r="DP399" s="5"/>
      <c r="DQ399" s="5"/>
      <c r="DS399" s="5"/>
      <c r="DT399" s="5"/>
      <c r="DX399" s="5"/>
      <c r="EB399" s="5"/>
      <c r="EC399" s="5"/>
      <c r="EE399" s="5"/>
      <c r="EF399" s="5"/>
      <c r="EJ399" s="5"/>
      <c r="EN399" s="5"/>
      <c r="EO399" s="5"/>
      <c r="EQ399" s="5"/>
      <c r="ER399" s="5"/>
      <c r="EV399" s="5"/>
      <c r="EZ399" s="5"/>
      <c r="FA399" s="5"/>
      <c r="FC399" s="5"/>
      <c r="FD399" s="5"/>
      <c r="GH399">
        <v>1</v>
      </c>
      <c r="GI399" s="5">
        <v>26400000</v>
      </c>
      <c r="GJ399">
        <v>17</v>
      </c>
      <c r="GK399">
        <v>27</v>
      </c>
    </row>
    <row r="400" spans="3:203" x14ac:dyDescent="0.25">
      <c r="K400" s="4"/>
      <c r="N400" s="4"/>
      <c r="U400" s="3"/>
      <c r="W400" s="4"/>
      <c r="X400" s="3"/>
      <c r="Z400" s="4"/>
      <c r="AG400" s="3"/>
      <c r="AI400" s="4"/>
      <c r="AJ400" s="3"/>
      <c r="AL400" s="4"/>
      <c r="AS400" s="3"/>
      <c r="AU400" s="4"/>
      <c r="AV400" s="3"/>
      <c r="AX400" s="4"/>
      <c r="BE400" s="3"/>
      <c r="BG400" s="4"/>
      <c r="BH400" s="3"/>
      <c r="BJ400" s="4"/>
      <c r="BQ400" s="3"/>
      <c r="BS400" s="4"/>
      <c r="BT400" s="3"/>
      <c r="BV400" s="4"/>
      <c r="CC400" s="3"/>
      <c r="CE400" s="4"/>
      <c r="CF400" s="3"/>
      <c r="CH400" s="4"/>
      <c r="CO400" s="3"/>
      <c r="CQ400" s="4"/>
      <c r="CR400" s="3"/>
      <c r="CT400" s="4"/>
      <c r="DA400" s="3"/>
      <c r="DC400" s="4"/>
      <c r="DD400" s="3"/>
      <c r="DF400" s="4"/>
      <c r="DM400" s="3"/>
      <c r="DO400" s="4"/>
      <c r="DP400" s="3"/>
      <c r="DR400" s="4"/>
      <c r="DY400" s="3"/>
      <c r="EA400" s="4"/>
      <c r="EB400" s="3"/>
      <c r="ED400" s="4"/>
      <c r="EK400" s="3"/>
      <c r="EM400" s="4"/>
      <c r="EN400" s="3"/>
      <c r="EP400" s="4"/>
      <c r="EW400" s="3"/>
      <c r="EY400" s="4"/>
      <c r="EZ400" s="3"/>
      <c r="FB400" s="4"/>
    </row>
    <row r="401" spans="12:208" x14ac:dyDescent="0.25">
      <c r="GH401" t="s">
        <v>367</v>
      </c>
    </row>
    <row r="402" spans="12:208" x14ac:dyDescent="0.25">
      <c r="GH402">
        <v>-1</v>
      </c>
      <c r="GI402" t="s">
        <v>368</v>
      </c>
      <c r="GJ402" t="s">
        <v>369</v>
      </c>
      <c r="GK402" t="s">
        <v>370</v>
      </c>
      <c r="GL402" t="s">
        <v>270</v>
      </c>
      <c r="GM402" t="s">
        <v>371</v>
      </c>
      <c r="GN402" t="s">
        <v>359</v>
      </c>
      <c r="GO402" t="s">
        <v>127</v>
      </c>
      <c r="GP402" t="s">
        <v>372</v>
      </c>
      <c r="GQ402" t="s">
        <v>373</v>
      </c>
      <c r="GR402" t="s">
        <v>359</v>
      </c>
      <c r="GS402" t="s">
        <v>374</v>
      </c>
      <c r="GT402" t="s">
        <v>375</v>
      </c>
      <c r="GU402" t="s">
        <v>376</v>
      </c>
      <c r="GV402" t="s">
        <v>301</v>
      </c>
      <c r="GW402" t="s">
        <v>377</v>
      </c>
    </row>
    <row r="403" spans="12:208" x14ac:dyDescent="0.25">
      <c r="L403" s="5"/>
      <c r="O403" s="5"/>
      <c r="X403" s="5"/>
      <c r="AA403" s="5"/>
      <c r="AJ403" s="5"/>
      <c r="AM403" s="5"/>
      <c r="AV403" s="5"/>
      <c r="AY403" s="5"/>
      <c r="BH403" s="5"/>
      <c r="BK403" s="5"/>
      <c r="BT403" s="5"/>
      <c r="BW403" s="5"/>
      <c r="CF403" s="5"/>
      <c r="CI403" s="5"/>
      <c r="CR403" s="5"/>
      <c r="CU403" s="5"/>
      <c r="DD403" s="5"/>
      <c r="DG403" s="5"/>
      <c r="DP403" s="5"/>
      <c r="DS403" s="5"/>
      <c r="EB403" s="5"/>
      <c r="EE403" s="5"/>
      <c r="EN403" s="5"/>
      <c r="EQ403" s="5"/>
      <c r="EZ403" s="5"/>
      <c r="FC403" s="5"/>
      <c r="GH403" t="s">
        <v>301</v>
      </c>
      <c r="GI403" t="s">
        <v>359</v>
      </c>
      <c r="GJ403" t="s">
        <v>378</v>
      </c>
      <c r="GK403" t="s">
        <v>379</v>
      </c>
      <c r="GL403" t="s">
        <v>380</v>
      </c>
      <c r="GM403" t="s">
        <v>381</v>
      </c>
      <c r="GN403" t="s">
        <v>372</v>
      </c>
      <c r="GO403" t="s">
        <v>271</v>
      </c>
      <c r="GP403" t="s">
        <v>382</v>
      </c>
      <c r="GQ403" t="s">
        <v>374</v>
      </c>
      <c r="GR403" t="s">
        <v>335</v>
      </c>
      <c r="GS403" t="s">
        <v>383</v>
      </c>
      <c r="GT403" t="s">
        <v>384</v>
      </c>
      <c r="GU403" t="s">
        <v>385</v>
      </c>
      <c r="GV403" t="s">
        <v>386</v>
      </c>
      <c r="GW403" t="s">
        <v>301</v>
      </c>
      <c r="GX403" t="s">
        <v>387</v>
      </c>
    </row>
    <row r="404" spans="12:208" x14ac:dyDescent="0.25">
      <c r="GH404" t="s">
        <v>388</v>
      </c>
      <c r="GI404" t="s">
        <v>389</v>
      </c>
      <c r="GJ404" t="s">
        <v>390</v>
      </c>
      <c r="GK404" t="s">
        <v>301</v>
      </c>
      <c r="GL404" t="s">
        <v>391</v>
      </c>
      <c r="GM404" t="s">
        <v>295</v>
      </c>
      <c r="GN404" t="s">
        <v>335</v>
      </c>
      <c r="GO404" t="s">
        <v>276</v>
      </c>
      <c r="GP404" t="s">
        <v>392</v>
      </c>
      <c r="GQ404" t="s">
        <v>301</v>
      </c>
      <c r="GR404" t="s">
        <v>393</v>
      </c>
      <c r="GS404" t="s">
        <v>356</v>
      </c>
      <c r="GT404" t="s">
        <v>394</v>
      </c>
      <c r="GU404" t="s">
        <v>395</v>
      </c>
    </row>
    <row r="405" spans="12:208" x14ac:dyDescent="0.25">
      <c r="GH405">
        <v>-2</v>
      </c>
      <c r="GI405" t="s">
        <v>301</v>
      </c>
      <c r="GJ405" t="s">
        <v>396</v>
      </c>
      <c r="GK405" t="s">
        <v>297</v>
      </c>
      <c r="GL405" t="s">
        <v>397</v>
      </c>
      <c r="GM405" t="s">
        <v>398</v>
      </c>
      <c r="GN405" t="s">
        <v>390</v>
      </c>
      <c r="GO405" t="s">
        <v>301</v>
      </c>
      <c r="GP405" t="s">
        <v>391</v>
      </c>
      <c r="GQ405" t="s">
        <v>295</v>
      </c>
      <c r="GR405" t="s">
        <v>399</v>
      </c>
      <c r="GS405" t="s">
        <v>400</v>
      </c>
      <c r="GT405" t="s">
        <v>401</v>
      </c>
      <c r="GU405" t="s">
        <v>297</v>
      </c>
      <c r="GV405" t="s">
        <v>301</v>
      </c>
      <c r="GW405" t="s">
        <v>346</v>
      </c>
      <c r="GX405" t="s">
        <v>402</v>
      </c>
      <c r="GY405" t="s">
        <v>295</v>
      </c>
      <c r="GZ405" t="s">
        <v>301</v>
      </c>
    </row>
    <row r="406" spans="12:208" x14ac:dyDescent="0.25">
      <c r="GH406" t="s">
        <v>396</v>
      </c>
      <c r="GI406" t="s">
        <v>403</v>
      </c>
      <c r="GJ406" t="s">
        <v>301</v>
      </c>
      <c r="GK406" t="s">
        <v>404</v>
      </c>
      <c r="GL406" t="s">
        <v>276</v>
      </c>
      <c r="GM406" t="s">
        <v>321</v>
      </c>
      <c r="GN406" t="s">
        <v>301</v>
      </c>
      <c r="GO406" t="s">
        <v>405</v>
      </c>
      <c r="GP406" t="s">
        <v>276</v>
      </c>
      <c r="GQ406" t="s">
        <v>295</v>
      </c>
      <c r="GR406" t="s">
        <v>301</v>
      </c>
      <c r="GS406" t="s">
        <v>377</v>
      </c>
      <c r="GT406" t="s">
        <v>339</v>
      </c>
      <c r="GU406" t="s">
        <v>406</v>
      </c>
      <c r="GV406" t="s">
        <v>393</v>
      </c>
      <c r="GW406" t="s">
        <v>407</v>
      </c>
    </row>
    <row r="407" spans="12:208" x14ac:dyDescent="0.25">
      <c r="GH407" t="s">
        <v>408</v>
      </c>
      <c r="GI407" t="s">
        <v>409</v>
      </c>
      <c r="GJ407" t="s">
        <v>410</v>
      </c>
      <c r="GK407" t="s">
        <v>411</v>
      </c>
    </row>
    <row r="408" spans="12:208" x14ac:dyDescent="0.25">
      <c r="GH408">
        <v>-3</v>
      </c>
      <c r="GI408" t="s">
        <v>368</v>
      </c>
      <c r="GJ408" t="s">
        <v>301</v>
      </c>
      <c r="GK408" t="s">
        <v>396</v>
      </c>
      <c r="GL408" t="s">
        <v>297</v>
      </c>
      <c r="GM408" t="s">
        <v>385</v>
      </c>
      <c r="GN408" t="s">
        <v>386</v>
      </c>
      <c r="GO408" t="s">
        <v>301</v>
      </c>
      <c r="GP408" t="s">
        <v>412</v>
      </c>
      <c r="GQ408" t="s">
        <v>413</v>
      </c>
      <c r="GR408" t="s">
        <v>295</v>
      </c>
      <c r="GS408" t="s">
        <v>311</v>
      </c>
      <c r="GT408" t="s">
        <v>308</v>
      </c>
      <c r="GU408" t="s">
        <v>301</v>
      </c>
      <c r="GV408" t="s">
        <v>414</v>
      </c>
      <c r="GW408" t="s">
        <v>365</v>
      </c>
      <c r="GX408" t="s">
        <v>295</v>
      </c>
      <c r="GY408" t="s">
        <v>301</v>
      </c>
    </row>
    <row r="409" spans="12:208" x14ac:dyDescent="0.25">
      <c r="GH409" t="s">
        <v>404</v>
      </c>
      <c r="GI409" t="s">
        <v>415</v>
      </c>
      <c r="GJ409" t="s">
        <v>301</v>
      </c>
      <c r="GK409" t="s">
        <v>359</v>
      </c>
      <c r="GL409" t="s">
        <v>396</v>
      </c>
      <c r="GM409" t="s">
        <v>416</v>
      </c>
      <c r="GN409" t="s">
        <v>271</v>
      </c>
      <c r="GO409" t="s">
        <v>417</v>
      </c>
      <c r="GP409" t="s">
        <v>418</v>
      </c>
      <c r="GQ409" t="s">
        <v>419</v>
      </c>
      <c r="GR409" t="s">
        <v>323</v>
      </c>
      <c r="GS409" t="s">
        <v>420</v>
      </c>
      <c r="GT409" t="s">
        <v>285</v>
      </c>
    </row>
    <row r="410" spans="12:208" x14ac:dyDescent="0.25">
      <c r="GH410" t="s">
        <v>421</v>
      </c>
      <c r="GI410" t="s">
        <v>339</v>
      </c>
      <c r="GJ410" t="s">
        <v>422</v>
      </c>
      <c r="GK410" t="s">
        <v>423</v>
      </c>
      <c r="GL410" t="s">
        <v>308</v>
      </c>
      <c r="GM410" t="s">
        <v>412</v>
      </c>
      <c r="GN410" t="s">
        <v>413</v>
      </c>
      <c r="GO410" t="s">
        <v>295</v>
      </c>
      <c r="GP410" t="s">
        <v>311</v>
      </c>
      <c r="GQ410" t="s">
        <v>424</v>
      </c>
      <c r="GR410" t="s">
        <v>425</v>
      </c>
      <c r="GS410" t="s">
        <v>426</v>
      </c>
      <c r="GT410" t="s">
        <v>427</v>
      </c>
      <c r="GU410" t="s">
        <v>428</v>
      </c>
    </row>
    <row r="411" spans="12:208" x14ac:dyDescent="0.25">
      <c r="GH411" t="s">
        <v>301</v>
      </c>
      <c r="GI411" t="s">
        <v>429</v>
      </c>
      <c r="GJ411" t="s">
        <v>430</v>
      </c>
      <c r="GK411" t="s">
        <v>431</v>
      </c>
      <c r="GL411" t="s">
        <v>432</v>
      </c>
      <c r="GM411" t="s">
        <v>421</v>
      </c>
      <c r="GN411" t="s">
        <v>339</v>
      </c>
      <c r="GO411" t="s">
        <v>433</v>
      </c>
      <c r="GP411" t="s">
        <v>434</v>
      </c>
      <c r="GQ411" t="s">
        <v>435</v>
      </c>
      <c r="GR411" t="s">
        <v>421</v>
      </c>
      <c r="GS411" t="s">
        <v>339</v>
      </c>
      <c r="GT411" t="s">
        <v>309</v>
      </c>
    </row>
    <row r="412" spans="12:208" x14ac:dyDescent="0.25">
      <c r="GH412" t="s">
        <v>436</v>
      </c>
      <c r="GI412" t="s">
        <v>421</v>
      </c>
      <c r="GJ412" t="s">
        <v>339</v>
      </c>
      <c r="GK412" t="s">
        <v>437</v>
      </c>
      <c r="GL412" t="s">
        <v>438</v>
      </c>
      <c r="GM412" t="s">
        <v>276</v>
      </c>
      <c r="GN412" t="s">
        <v>127</v>
      </c>
      <c r="GO412" t="s">
        <v>439</v>
      </c>
      <c r="GP412" t="s">
        <v>440</v>
      </c>
      <c r="GQ412" t="s">
        <v>441</v>
      </c>
      <c r="GR412" t="s">
        <v>442</v>
      </c>
      <c r="GS412" t="s">
        <v>443</v>
      </c>
      <c r="GT412" t="s">
        <v>444</v>
      </c>
    </row>
    <row r="413" spans="12:208" x14ac:dyDescent="0.25">
      <c r="GH413" t="s">
        <v>296</v>
      </c>
      <c r="GI413" t="s">
        <v>269</v>
      </c>
      <c r="GJ413" t="s">
        <v>372</v>
      </c>
      <c r="GK413" t="s">
        <v>271</v>
      </c>
      <c r="GL413" t="s">
        <v>445</v>
      </c>
      <c r="GM413" t="s">
        <v>308</v>
      </c>
      <c r="GN413" t="s">
        <v>301</v>
      </c>
      <c r="GO413" t="s">
        <v>439</v>
      </c>
      <c r="GP413" t="s">
        <v>440</v>
      </c>
      <c r="GQ413" t="s">
        <v>441</v>
      </c>
      <c r="GR413" t="s">
        <v>446</v>
      </c>
    </row>
    <row r="414" spans="12:208" x14ac:dyDescent="0.25">
      <c r="GH414">
        <v>-4</v>
      </c>
      <c r="GI414" t="s">
        <v>285</v>
      </c>
      <c r="GJ414" t="s">
        <v>447</v>
      </c>
      <c r="GK414" t="s">
        <v>448</v>
      </c>
      <c r="GL414" t="s">
        <v>301</v>
      </c>
      <c r="GM414" t="s">
        <v>449</v>
      </c>
      <c r="GN414" t="s">
        <v>402</v>
      </c>
      <c r="GO414" t="s">
        <v>295</v>
      </c>
      <c r="GP414" t="s">
        <v>357</v>
      </c>
      <c r="GQ414" t="s">
        <v>450</v>
      </c>
      <c r="GR414" t="s">
        <v>360</v>
      </c>
      <c r="GS414" t="s">
        <v>285</v>
      </c>
      <c r="GT414" t="s">
        <v>451</v>
      </c>
      <c r="GU414" t="s">
        <v>356</v>
      </c>
    </row>
    <row r="415" spans="12:208" x14ac:dyDescent="0.25">
      <c r="M415" s="5"/>
      <c r="P415" s="5"/>
      <c r="Y415" s="5"/>
      <c r="AB415" s="5"/>
      <c r="AK415" s="5"/>
      <c r="AN415" s="5"/>
      <c r="AW415" s="5"/>
      <c r="AZ415" s="5"/>
      <c r="BI415" s="5"/>
      <c r="BL415" s="5"/>
      <c r="BU415" s="5"/>
      <c r="BX415" s="5"/>
      <c r="CG415" s="5"/>
      <c r="CJ415" s="5"/>
      <c r="CS415" s="5"/>
      <c r="CV415" s="5"/>
      <c r="DE415" s="5"/>
      <c r="DH415" s="5"/>
      <c r="DQ415" s="5"/>
      <c r="DT415" s="5"/>
      <c r="EC415" s="5"/>
      <c r="EF415" s="5"/>
      <c r="EO415" s="5"/>
      <c r="ER415" s="5"/>
      <c r="FA415" s="5"/>
      <c r="FD415" s="5"/>
      <c r="GH415" t="s">
        <v>297</v>
      </c>
      <c r="GI415" t="s">
        <v>385</v>
      </c>
      <c r="GJ415" t="s">
        <v>386</v>
      </c>
      <c r="GK415" t="s">
        <v>452</v>
      </c>
      <c r="GL415" t="s">
        <v>342</v>
      </c>
      <c r="GM415" t="s">
        <v>453</v>
      </c>
      <c r="GN415" t="s">
        <v>295</v>
      </c>
      <c r="GO415" t="s">
        <v>360</v>
      </c>
      <c r="GP415" t="s">
        <v>127</v>
      </c>
      <c r="GQ415" t="s">
        <v>416</v>
      </c>
      <c r="GR415" t="s">
        <v>270</v>
      </c>
      <c r="GS415" t="s">
        <v>454</v>
      </c>
      <c r="GT415" t="s">
        <v>301</v>
      </c>
      <c r="GU415" t="s">
        <v>323</v>
      </c>
      <c r="GV415" t="s">
        <v>357</v>
      </c>
    </row>
    <row r="416" spans="12:208" x14ac:dyDescent="0.25">
      <c r="GH416" t="s">
        <v>450</v>
      </c>
      <c r="GI416" t="s">
        <v>360</v>
      </c>
      <c r="GJ416" t="s">
        <v>334</v>
      </c>
      <c r="GK416" t="s">
        <v>386</v>
      </c>
      <c r="GL416" t="s">
        <v>451</v>
      </c>
      <c r="GM416" t="s">
        <v>455</v>
      </c>
      <c r="GN416" t="s">
        <v>360</v>
      </c>
      <c r="GO416" t="s">
        <v>456</v>
      </c>
      <c r="GP416" t="s">
        <v>457</v>
      </c>
      <c r="GQ416" t="s">
        <v>458</v>
      </c>
      <c r="GR416" t="s">
        <v>376</v>
      </c>
      <c r="GS416" t="s">
        <v>448</v>
      </c>
    </row>
    <row r="417" spans="6:209" x14ac:dyDescent="0.25">
      <c r="GH417" t="s">
        <v>459</v>
      </c>
      <c r="GI417" t="s">
        <v>301</v>
      </c>
      <c r="GJ417" t="s">
        <v>323</v>
      </c>
      <c r="GK417" t="s">
        <v>460</v>
      </c>
      <c r="GL417" t="s">
        <v>295</v>
      </c>
      <c r="GM417" t="s">
        <v>360</v>
      </c>
      <c r="GN417" t="s">
        <v>424</v>
      </c>
      <c r="GO417" t="s">
        <v>461</v>
      </c>
      <c r="GP417" t="s">
        <v>297</v>
      </c>
      <c r="GQ417" t="s">
        <v>462</v>
      </c>
      <c r="GR417" t="s">
        <v>321</v>
      </c>
      <c r="GS417" t="s">
        <v>271</v>
      </c>
      <c r="GT417" t="s">
        <v>463</v>
      </c>
      <c r="GU417" t="s">
        <v>419</v>
      </c>
      <c r="GV417" t="s">
        <v>301</v>
      </c>
      <c r="GW417" t="s">
        <v>396</v>
      </c>
    </row>
    <row r="418" spans="6:209" x14ac:dyDescent="0.25">
      <c r="F418" s="5"/>
      <c r="I418" s="5"/>
      <c r="R418" s="5"/>
      <c r="U418" s="5"/>
      <c r="AD418" s="5"/>
      <c r="AG418" s="5"/>
      <c r="AP418" s="5"/>
      <c r="AS418" s="5"/>
      <c r="BB418" s="5"/>
      <c r="BE418" s="5"/>
      <c r="BN418" s="5"/>
      <c r="BQ418" s="5"/>
      <c r="BZ418" s="5"/>
      <c r="CC418" s="5"/>
      <c r="CL418" s="5"/>
      <c r="CO418" s="5"/>
      <c r="CX418" s="5"/>
      <c r="DA418" s="5"/>
      <c r="DJ418" s="5"/>
      <c r="DM418" s="5"/>
      <c r="DV418" s="5"/>
      <c r="DY418" s="5"/>
      <c r="EH418" s="5"/>
      <c r="EK418" s="5"/>
      <c r="ET418" s="5"/>
      <c r="EW418" s="5"/>
      <c r="GH418" t="s">
        <v>379</v>
      </c>
      <c r="GI418" t="s">
        <v>464</v>
      </c>
    </row>
    <row r="419" spans="6:209" x14ac:dyDescent="0.25">
      <c r="GH419">
        <v>-5</v>
      </c>
      <c r="GI419" t="s">
        <v>301</v>
      </c>
      <c r="GJ419" t="s">
        <v>465</v>
      </c>
      <c r="GK419" t="s">
        <v>466</v>
      </c>
      <c r="GL419" t="s">
        <v>295</v>
      </c>
      <c r="GM419" t="s">
        <v>359</v>
      </c>
      <c r="GN419" t="s">
        <v>467</v>
      </c>
      <c r="GO419" t="s">
        <v>381</v>
      </c>
      <c r="GP419" t="s">
        <v>271</v>
      </c>
      <c r="GQ419" t="s">
        <v>468</v>
      </c>
      <c r="GR419" t="s">
        <v>300</v>
      </c>
      <c r="GS419" t="s">
        <v>369</v>
      </c>
      <c r="GT419" t="s">
        <v>269</v>
      </c>
      <c r="GU419" t="s">
        <v>308</v>
      </c>
      <c r="GV419" t="s">
        <v>383</v>
      </c>
      <c r="GW419" t="s">
        <v>469</v>
      </c>
      <c r="GX419" t="s">
        <v>386</v>
      </c>
      <c r="GY419" t="s">
        <v>301</v>
      </c>
      <c r="GZ419" t="s">
        <v>402</v>
      </c>
      <c r="HA419" t="s">
        <v>295</v>
      </c>
    </row>
    <row r="420" spans="6:209" x14ac:dyDescent="0.25">
      <c r="GH420" t="s">
        <v>301</v>
      </c>
      <c r="GI420" t="s">
        <v>359</v>
      </c>
      <c r="GJ420" t="s">
        <v>470</v>
      </c>
      <c r="GK420" t="s">
        <v>127</v>
      </c>
      <c r="GL420" t="s">
        <v>301</v>
      </c>
      <c r="GM420" t="s">
        <v>471</v>
      </c>
      <c r="GN420" t="s">
        <v>295</v>
      </c>
      <c r="GO420" t="s">
        <v>472</v>
      </c>
      <c r="GP420" t="s">
        <v>359</v>
      </c>
      <c r="GQ420" t="s">
        <v>389</v>
      </c>
      <c r="GR420" t="s">
        <v>386</v>
      </c>
      <c r="GS420" t="s">
        <v>301</v>
      </c>
      <c r="GT420" t="s">
        <v>473</v>
      </c>
      <c r="GU420" t="s">
        <v>474</v>
      </c>
      <c r="GV420" t="s">
        <v>475</v>
      </c>
    </row>
    <row r="421" spans="6:209" x14ac:dyDescent="0.25">
      <c r="GH421" t="s">
        <v>301</v>
      </c>
      <c r="GI421" t="s">
        <v>476</v>
      </c>
      <c r="GJ421" t="s">
        <v>285</v>
      </c>
      <c r="GK421" t="s">
        <v>477</v>
      </c>
      <c r="GL421" t="s">
        <v>478</v>
      </c>
      <c r="GM421" t="s">
        <v>301</v>
      </c>
      <c r="GN421" t="s">
        <v>323</v>
      </c>
      <c r="GO421" t="s">
        <v>420</v>
      </c>
      <c r="GP421" t="s">
        <v>295</v>
      </c>
      <c r="GQ421" t="s">
        <v>359</v>
      </c>
      <c r="GR421" t="s">
        <v>127</v>
      </c>
      <c r="GS421" t="s">
        <v>295</v>
      </c>
      <c r="GT421" t="s">
        <v>479</v>
      </c>
    </row>
    <row r="422" spans="6:209" x14ac:dyDescent="0.25">
      <c r="GH422" t="s">
        <v>480</v>
      </c>
      <c r="GI422" t="s">
        <v>285</v>
      </c>
      <c r="GJ422" t="s">
        <v>481</v>
      </c>
      <c r="GK422" t="s">
        <v>280</v>
      </c>
      <c r="GL422" t="s">
        <v>269</v>
      </c>
      <c r="GM422" t="s">
        <v>469</v>
      </c>
      <c r="GN422" t="s">
        <v>386</v>
      </c>
      <c r="GO422" t="s">
        <v>267</v>
      </c>
      <c r="GP422" t="s">
        <v>465</v>
      </c>
      <c r="GQ422" t="s">
        <v>466</v>
      </c>
      <c r="GR422" t="s">
        <v>374</v>
      </c>
      <c r="GS422" t="s">
        <v>482</v>
      </c>
      <c r="GT422" t="s">
        <v>374</v>
      </c>
      <c r="GU422" t="s">
        <v>301</v>
      </c>
      <c r="GV422" t="s">
        <v>359</v>
      </c>
      <c r="GW422" t="s">
        <v>361</v>
      </c>
      <c r="GX422" t="s">
        <v>321</v>
      </c>
      <c r="GY422" t="s">
        <v>362</v>
      </c>
    </row>
    <row r="423" spans="6:209" x14ac:dyDescent="0.25">
      <c r="GH423" t="s">
        <v>483</v>
      </c>
      <c r="GI423" t="s">
        <v>410</v>
      </c>
      <c r="GJ423" t="s">
        <v>301</v>
      </c>
      <c r="GK423" t="s">
        <v>359</v>
      </c>
      <c r="GL423" t="s">
        <v>465</v>
      </c>
      <c r="GM423" t="s">
        <v>466</v>
      </c>
      <c r="GN423" t="s">
        <v>297</v>
      </c>
      <c r="GO423" t="s">
        <v>484</v>
      </c>
      <c r="GP423" t="s">
        <v>419</v>
      </c>
      <c r="GQ423" t="s">
        <v>301</v>
      </c>
      <c r="GR423" t="s">
        <v>359</v>
      </c>
      <c r="GS423" t="s">
        <v>361</v>
      </c>
      <c r="GT423" t="s">
        <v>321</v>
      </c>
      <c r="GU423" t="s">
        <v>362</v>
      </c>
      <c r="GV423" t="s">
        <v>485</v>
      </c>
      <c r="GW423" t="s">
        <v>486</v>
      </c>
      <c r="GX423" t="s">
        <v>301</v>
      </c>
      <c r="GY423" t="s">
        <v>323</v>
      </c>
    </row>
    <row r="424" spans="6:209" x14ac:dyDescent="0.25">
      <c r="GH424" t="s">
        <v>359</v>
      </c>
      <c r="GI424" t="s">
        <v>420</v>
      </c>
      <c r="GJ424" t="s">
        <v>269</v>
      </c>
      <c r="GK424" t="s">
        <v>271</v>
      </c>
      <c r="GL424" t="s">
        <v>487</v>
      </c>
      <c r="GM424" t="s">
        <v>321</v>
      </c>
      <c r="GN424" t="s">
        <v>301</v>
      </c>
      <c r="GO424" t="s">
        <v>449</v>
      </c>
      <c r="GP424" t="s">
        <v>488</v>
      </c>
      <c r="GQ424" t="s">
        <v>489</v>
      </c>
      <c r="GR424" t="s">
        <v>127</v>
      </c>
      <c r="GS424" t="s">
        <v>301</v>
      </c>
      <c r="GT424" t="s">
        <v>481</v>
      </c>
      <c r="GU424" t="s">
        <v>479</v>
      </c>
    </row>
    <row r="425" spans="6:209" x14ac:dyDescent="0.25">
      <c r="GH425" t="s">
        <v>420</v>
      </c>
      <c r="GI425" t="s">
        <v>269</v>
      </c>
      <c r="GJ425" t="s">
        <v>271</v>
      </c>
      <c r="GK425" t="s">
        <v>490</v>
      </c>
      <c r="GL425" t="s">
        <v>491</v>
      </c>
      <c r="GM425" t="s">
        <v>301</v>
      </c>
      <c r="GN425" t="s">
        <v>323</v>
      </c>
      <c r="GO425" t="s">
        <v>359</v>
      </c>
      <c r="GP425" t="s">
        <v>355</v>
      </c>
      <c r="GQ425" t="s">
        <v>269</v>
      </c>
      <c r="GR425" t="s">
        <v>271</v>
      </c>
      <c r="GS425" t="s">
        <v>487</v>
      </c>
      <c r="GT425" t="s">
        <v>321</v>
      </c>
      <c r="GU425" t="s">
        <v>301</v>
      </c>
      <c r="GV425" t="s">
        <v>492</v>
      </c>
    </row>
    <row r="426" spans="6:209" x14ac:dyDescent="0.25">
      <c r="GH426" t="s">
        <v>493</v>
      </c>
      <c r="GI426" t="s">
        <v>359</v>
      </c>
      <c r="GJ426" t="s">
        <v>494</v>
      </c>
      <c r="GK426" t="s">
        <v>127</v>
      </c>
      <c r="GL426" t="s">
        <v>301</v>
      </c>
      <c r="GM426" t="s">
        <v>481</v>
      </c>
      <c r="GN426" t="s">
        <v>479</v>
      </c>
      <c r="GO426" t="s">
        <v>420</v>
      </c>
      <c r="GP426" t="s">
        <v>269</v>
      </c>
      <c r="GQ426" t="s">
        <v>271</v>
      </c>
      <c r="GR426" t="s">
        <v>495</v>
      </c>
      <c r="GS426" t="s">
        <v>496</v>
      </c>
      <c r="GT426" t="s">
        <v>321</v>
      </c>
      <c r="GU426" t="s">
        <v>301</v>
      </c>
      <c r="GV426" t="s">
        <v>497</v>
      </c>
    </row>
    <row r="427" spans="6:209" x14ac:dyDescent="0.25">
      <c r="GH427" t="s">
        <v>424</v>
      </c>
      <c r="GI427" t="s">
        <v>301</v>
      </c>
      <c r="GJ427" t="s">
        <v>449</v>
      </c>
      <c r="GK427" t="s">
        <v>488</v>
      </c>
      <c r="GL427" t="s">
        <v>127</v>
      </c>
      <c r="GM427" t="s">
        <v>301</v>
      </c>
      <c r="GN427" t="s">
        <v>359</v>
      </c>
      <c r="GO427" t="s">
        <v>465</v>
      </c>
      <c r="GP427" t="s">
        <v>498</v>
      </c>
      <c r="GQ427" t="s">
        <v>499</v>
      </c>
      <c r="GR427" t="s">
        <v>500</v>
      </c>
    </row>
    <row r="428" spans="6:209" x14ac:dyDescent="0.25">
      <c r="GH428" t="s">
        <v>396</v>
      </c>
      <c r="GI428" t="s">
        <v>295</v>
      </c>
      <c r="GJ428" t="s">
        <v>301</v>
      </c>
      <c r="GK428" t="s">
        <v>481</v>
      </c>
      <c r="GL428" t="s">
        <v>479</v>
      </c>
      <c r="GM428" t="s">
        <v>480</v>
      </c>
      <c r="GN428" t="s">
        <v>297</v>
      </c>
      <c r="GO428" t="s">
        <v>270</v>
      </c>
      <c r="GP428" t="s">
        <v>501</v>
      </c>
    </row>
    <row r="429" spans="6:209" x14ac:dyDescent="0.25">
      <c r="GH429">
        <v>-6</v>
      </c>
      <c r="GI429" t="s">
        <v>502</v>
      </c>
      <c r="GJ429" t="s">
        <v>503</v>
      </c>
      <c r="GK429" t="s">
        <v>381</v>
      </c>
      <c r="GL429" t="s">
        <v>504</v>
      </c>
      <c r="GM429" t="s">
        <v>335</v>
      </c>
      <c r="GN429" t="s">
        <v>352</v>
      </c>
      <c r="GO429" t="s">
        <v>471</v>
      </c>
      <c r="GP429" t="s">
        <v>295</v>
      </c>
      <c r="GQ429" t="s">
        <v>280</v>
      </c>
      <c r="GR429" t="s">
        <v>505</v>
      </c>
      <c r="GS429" t="s">
        <v>308</v>
      </c>
      <c r="GT429" t="s">
        <v>301</v>
      </c>
      <c r="GU429" t="s">
        <v>506</v>
      </c>
      <c r="GV429" t="s">
        <v>507</v>
      </c>
    </row>
    <row r="430" spans="6:209" x14ac:dyDescent="0.25">
      <c r="G430" s="5"/>
      <c r="J430" s="5"/>
      <c r="S430" s="5"/>
      <c r="V430" s="5"/>
      <c r="AE430" s="5"/>
      <c r="AH430" s="5"/>
      <c r="AQ430" s="5"/>
      <c r="AT430" s="5"/>
      <c r="BC430" s="5"/>
      <c r="BF430" s="5"/>
      <c r="BO430" s="5"/>
      <c r="BR430" s="5"/>
      <c r="CA430" s="5"/>
      <c r="CD430" s="5"/>
      <c r="CM430" s="5"/>
      <c r="CP430" s="5"/>
      <c r="CY430" s="5"/>
      <c r="DB430" s="5"/>
      <c r="DK430" s="5"/>
      <c r="DN430" s="5"/>
      <c r="DW430" s="5"/>
      <c r="DZ430" s="5"/>
      <c r="EI430" s="5"/>
      <c r="EL430" s="5"/>
      <c r="EU430" s="5"/>
      <c r="EX430" s="5"/>
    </row>
    <row r="432" spans="6:209" x14ac:dyDescent="0.25">
      <c r="GH432" t="s">
        <v>301</v>
      </c>
      <c r="GI432" t="s">
        <v>294</v>
      </c>
      <c r="GJ432" t="s">
        <v>295</v>
      </c>
      <c r="GK432" t="s">
        <v>519</v>
      </c>
      <c r="GL432" t="s">
        <v>386</v>
      </c>
      <c r="GM432" t="s">
        <v>301</v>
      </c>
      <c r="GN432" t="s">
        <v>520</v>
      </c>
      <c r="GO432" t="s">
        <v>521</v>
      </c>
      <c r="GP432" t="s">
        <v>394</v>
      </c>
      <c r="GQ432" t="s">
        <v>283</v>
      </c>
      <c r="GR432" t="s">
        <v>334</v>
      </c>
      <c r="GS432" t="s">
        <v>340</v>
      </c>
      <c r="GT432" t="s">
        <v>301</v>
      </c>
      <c r="GU432" t="s">
        <v>276</v>
      </c>
      <c r="GV432" t="s">
        <v>522</v>
      </c>
    </row>
    <row r="436" spans="190:197" x14ac:dyDescent="0.25">
      <c r="GH436" t="s">
        <v>523</v>
      </c>
      <c r="GI436" t="s">
        <v>524</v>
      </c>
    </row>
    <row r="437" spans="190:197" x14ac:dyDescent="0.25">
      <c r="GH437" t="s">
        <v>339</v>
      </c>
      <c r="GI437">
        <v>2</v>
      </c>
      <c r="GJ437" t="s">
        <v>525</v>
      </c>
      <c r="GK437" t="s">
        <v>526</v>
      </c>
      <c r="GL437" t="s">
        <v>386</v>
      </c>
      <c r="GM437" t="s">
        <v>301</v>
      </c>
      <c r="GN437" t="s">
        <v>527</v>
      </c>
      <c r="GO437" t="s">
        <v>528</v>
      </c>
    </row>
    <row r="438" spans="190:197" x14ac:dyDescent="0.25">
      <c r="GH438" t="s">
        <v>127</v>
      </c>
      <c r="GI438">
        <v>395</v>
      </c>
      <c r="GJ438" t="s">
        <v>525</v>
      </c>
      <c r="GK438" t="s">
        <v>526</v>
      </c>
      <c r="GL438" t="s">
        <v>386</v>
      </c>
      <c r="GM438" t="s">
        <v>301</v>
      </c>
      <c r="GN438" t="s">
        <v>529</v>
      </c>
      <c r="GO438" t="s">
        <v>528</v>
      </c>
    </row>
    <row r="439" spans="190:197" x14ac:dyDescent="0.25">
      <c r="GH439">
        <v>395</v>
      </c>
      <c r="GI439" t="s">
        <v>530</v>
      </c>
      <c r="GJ439" t="s">
        <v>456</v>
      </c>
      <c r="GK439" t="s">
        <v>285</v>
      </c>
      <c r="GL439" t="s">
        <v>531</v>
      </c>
      <c r="GM439" t="s">
        <v>532</v>
      </c>
    </row>
    <row r="443" spans="190:197" x14ac:dyDescent="0.25">
      <c r="GH443" t="s">
        <v>326</v>
      </c>
      <c r="GI443" t="s">
        <v>327</v>
      </c>
      <c r="GJ443" t="s">
        <v>328</v>
      </c>
    </row>
    <row r="444" spans="190:197" x14ac:dyDescent="0.25">
      <c r="GH444" t="s">
        <v>302</v>
      </c>
      <c r="GI444" t="s">
        <v>327</v>
      </c>
      <c r="GJ444" t="s">
        <v>329</v>
      </c>
      <c r="GK444" t="s">
        <v>171</v>
      </c>
      <c r="GL444">
        <v>34.700000000000003</v>
      </c>
    </row>
    <row r="445" spans="190:197" x14ac:dyDescent="0.25">
      <c r="GH445" t="s">
        <v>330</v>
      </c>
      <c r="GI445" t="s">
        <v>327</v>
      </c>
      <c r="GJ445" t="s">
        <v>329</v>
      </c>
      <c r="GK445" t="s">
        <v>171</v>
      </c>
      <c r="GL445">
        <v>6.8</v>
      </c>
    </row>
    <row r="446" spans="190:197" x14ac:dyDescent="0.25">
      <c r="GH446" t="s">
        <v>306</v>
      </c>
      <c r="GI446" t="s">
        <v>331</v>
      </c>
      <c r="GJ446" t="s">
        <v>327</v>
      </c>
      <c r="GK446" t="s">
        <v>329</v>
      </c>
      <c r="GL446" t="s">
        <v>171</v>
      </c>
      <c r="GM446">
        <v>41.5</v>
      </c>
    </row>
    <row r="447" spans="190:197" x14ac:dyDescent="0.25">
      <c r="GH447" t="s">
        <v>332</v>
      </c>
      <c r="GI447" t="s">
        <v>327</v>
      </c>
      <c r="GJ447" t="s">
        <v>329</v>
      </c>
      <c r="GK447" t="s">
        <v>171</v>
      </c>
      <c r="GL447">
        <v>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19"/>
  <sheetViews>
    <sheetView workbookViewId="0">
      <selection activeCell="I3" sqref="I3"/>
    </sheetView>
  </sheetViews>
  <sheetFormatPr defaultColWidth="9.140625" defaultRowHeight="15" x14ac:dyDescent="0.25"/>
  <sheetData>
    <row r="1" spans="1:11" x14ac:dyDescent="0.25">
      <c r="A1" s="12" t="s">
        <v>538</v>
      </c>
      <c r="B1" s="12"/>
      <c r="C1" s="12"/>
      <c r="D1" s="12"/>
      <c r="E1" s="12"/>
    </row>
    <row r="2" spans="1:11" ht="18" x14ac:dyDescent="0.35">
      <c r="H2" s="1"/>
      <c r="I2" s="8" t="s">
        <v>539</v>
      </c>
      <c r="J2" s="1" t="s">
        <v>540</v>
      </c>
      <c r="K2" s="1" t="s">
        <v>542</v>
      </c>
    </row>
    <row r="3" spans="1:11" ht="18" x14ac:dyDescent="0.35">
      <c r="A3" s="8" t="s">
        <v>539</v>
      </c>
      <c r="B3" s="1" t="s">
        <v>540</v>
      </c>
      <c r="C3" s="1" t="s">
        <v>541</v>
      </c>
      <c r="D3" s="1" t="s">
        <v>542</v>
      </c>
      <c r="E3" s="1" t="s">
        <v>543</v>
      </c>
      <c r="H3" s="1" t="s">
        <v>546</v>
      </c>
      <c r="I3" s="13">
        <v>700</v>
      </c>
      <c r="J3" s="1">
        <f>IF(J4=J5,J4,($I$3-$I$4)*(J5-J4)/($I$5-$I$4)+J4)</f>
        <v>0.23</v>
      </c>
      <c r="K3" s="1">
        <f>IF(K4=K5,K4,($I$3-$I$4)*(K5-K4)/($I$5-$I$4)+K4)</f>
        <v>0.13</v>
      </c>
    </row>
    <row r="4" spans="1:11" x14ac:dyDescent="0.25">
      <c r="A4" s="9">
        <v>20</v>
      </c>
      <c r="B4" s="10">
        <v>1</v>
      </c>
      <c r="C4" s="10">
        <v>1</v>
      </c>
      <c r="D4" s="10">
        <v>1</v>
      </c>
      <c r="E4" s="10">
        <v>1</v>
      </c>
      <c r="H4" s="1" t="s">
        <v>544</v>
      </c>
      <c r="I4" s="1">
        <f>IF(A4&gt;=I3,A4,IF(A5&gt;=I3,A5,IF(A6&gt;=I3,A6,IF(A7&gt;=I3,A7,IF(A8&gt;=I3,A8,IF(A9&gt;=I3,A9,IF(A10&gt;=I3,A10,IF(A11&gt;=I3,A11,IF(A12&gt;=I3,A12,IF(A13&gt;=I3,A13,IF(A14&gt;=I3,A14,IF(A15&gt;=I3,A15,A16))))))))))))</f>
        <v>700</v>
      </c>
      <c r="J4" s="1">
        <f>VLOOKUP(I4,A4:E16,2)</f>
        <v>0.23</v>
      </c>
      <c r="K4" s="1">
        <f>VLOOKUP(I4,A4:E16,4)</f>
        <v>0.13</v>
      </c>
    </row>
    <row r="5" spans="1:11" x14ac:dyDescent="0.25">
      <c r="A5" s="9">
        <v>100</v>
      </c>
      <c r="B5" s="10">
        <v>1</v>
      </c>
      <c r="C5" s="10">
        <v>1</v>
      </c>
      <c r="D5" s="10">
        <v>1</v>
      </c>
      <c r="E5" s="10">
        <v>1</v>
      </c>
      <c r="H5" s="1" t="s">
        <v>545</v>
      </c>
      <c r="I5" s="1">
        <f>IF(A16&lt;=I3,A16,IF(A15&lt;=I3,A15,IF(A14&lt;=I3,A14,IF(A13&lt;=I3,A13,IF(A12&lt;=I3,A12,IF(A11&lt;=I3,A11,IF(A10&lt;=I3,A10,IF(A9&lt;=I3,A9,IF(A8&lt;=I3,A8,IF(A7&lt;=I3,A7,IF(A6&lt;=I3,A6,IF(A5&lt;=I3,A5,A4))))))))))))</f>
        <v>700</v>
      </c>
      <c r="J5" s="1">
        <f>VLOOKUP(I5,A4:E16,2)</f>
        <v>0.23</v>
      </c>
      <c r="K5" s="1">
        <f>VLOOKUP(I5,A4:E16,4)</f>
        <v>0.13</v>
      </c>
    </row>
    <row r="6" spans="1:11" x14ac:dyDescent="0.25">
      <c r="A6" s="9">
        <v>200</v>
      </c>
      <c r="B6" s="10">
        <v>1</v>
      </c>
      <c r="C6" s="10">
        <v>0.80700000000000005</v>
      </c>
      <c r="D6" s="10">
        <v>0.9</v>
      </c>
      <c r="E6" s="10">
        <v>0.89</v>
      </c>
    </row>
    <row r="7" spans="1:11" x14ac:dyDescent="0.25">
      <c r="A7" s="9">
        <v>300</v>
      </c>
      <c r="B7" s="10">
        <v>1</v>
      </c>
      <c r="C7" s="10">
        <v>0.61299999999999999</v>
      </c>
      <c r="D7" s="10">
        <v>0.8</v>
      </c>
      <c r="E7" s="10">
        <v>0.78</v>
      </c>
    </row>
    <row r="8" spans="1:11" x14ac:dyDescent="0.25">
      <c r="A8" s="9">
        <v>400</v>
      </c>
      <c r="B8" s="10">
        <v>1</v>
      </c>
      <c r="C8" s="10">
        <v>0.42</v>
      </c>
      <c r="D8" s="10">
        <v>0.7</v>
      </c>
      <c r="E8" s="10">
        <v>0.65</v>
      </c>
    </row>
    <row r="9" spans="1:11" x14ac:dyDescent="0.25">
      <c r="A9" s="9">
        <v>500</v>
      </c>
      <c r="B9" s="10">
        <v>0.78</v>
      </c>
      <c r="C9" s="10">
        <v>0.36</v>
      </c>
      <c r="D9" s="10">
        <v>0.6</v>
      </c>
      <c r="E9" s="10">
        <v>0.53</v>
      </c>
    </row>
    <row r="10" spans="1:11" x14ac:dyDescent="0.25">
      <c r="A10" s="9">
        <v>600</v>
      </c>
      <c r="B10" s="10">
        <v>0.47</v>
      </c>
      <c r="C10" s="10">
        <v>0.18</v>
      </c>
      <c r="D10" s="10">
        <v>0.31</v>
      </c>
      <c r="E10" s="10">
        <v>0.3</v>
      </c>
    </row>
    <row r="11" spans="1:11" x14ac:dyDescent="0.25">
      <c r="A11" s="9">
        <v>700</v>
      </c>
      <c r="B11" s="10">
        <v>0.23</v>
      </c>
      <c r="C11" s="10">
        <v>7.4999999999999997E-2</v>
      </c>
      <c r="D11" s="10">
        <v>0.13</v>
      </c>
      <c r="E11" s="10">
        <v>0.13</v>
      </c>
    </row>
    <row r="12" spans="1:11" x14ac:dyDescent="0.25">
      <c r="A12" s="9">
        <v>800</v>
      </c>
      <c r="B12" s="10">
        <v>0.11</v>
      </c>
      <c r="C12" s="10">
        <v>0.05</v>
      </c>
      <c r="D12" s="10">
        <v>0.09</v>
      </c>
      <c r="E12" s="10">
        <v>7.0000000000000007E-2</v>
      </c>
    </row>
    <row r="13" spans="1:11" x14ac:dyDescent="0.25">
      <c r="A13" s="9">
        <v>900</v>
      </c>
      <c r="B13" s="10">
        <v>0.06</v>
      </c>
      <c r="C13" s="11">
        <v>3.7499999999999999E-2</v>
      </c>
      <c r="D13" s="11">
        <v>6.7500000000000004E-2</v>
      </c>
      <c r="E13" s="10">
        <v>0.05</v>
      </c>
    </row>
    <row r="14" spans="1:11" x14ac:dyDescent="0.25">
      <c r="A14" s="9">
        <v>1000</v>
      </c>
      <c r="B14" s="10">
        <v>0.04</v>
      </c>
      <c r="C14" s="11">
        <v>2.5000000000000001E-2</v>
      </c>
      <c r="D14" s="11">
        <v>4.4999999999999998E-2</v>
      </c>
      <c r="E14" s="10">
        <v>0.03</v>
      </c>
    </row>
    <row r="15" spans="1:11" x14ac:dyDescent="0.25">
      <c r="A15" s="9">
        <v>1100</v>
      </c>
      <c r="B15" s="10">
        <v>0.02</v>
      </c>
      <c r="C15" s="11">
        <v>1.2500000000000001E-2</v>
      </c>
      <c r="D15" s="11">
        <v>2.2499999999999999E-2</v>
      </c>
      <c r="E15" s="10">
        <v>0.02</v>
      </c>
    </row>
    <row r="16" spans="1:11" x14ac:dyDescent="0.25">
      <c r="A16" s="9">
        <v>1200</v>
      </c>
      <c r="B16" s="10">
        <v>0</v>
      </c>
      <c r="C16" s="11">
        <v>0</v>
      </c>
      <c r="D16" s="11">
        <v>0</v>
      </c>
      <c r="E16" s="10">
        <v>0</v>
      </c>
    </row>
    <row r="18" spans="1:2" x14ac:dyDescent="0.25">
      <c r="A18" s="7"/>
      <c r="B18" s="6"/>
    </row>
    <row r="19" spans="1:2" x14ac:dyDescent="0.25">
      <c r="A19" s="7"/>
      <c r="B19" s="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955365D-C788-477B-927D-2F8EC3D283F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F38C16D-88F0-43AE-9A17-F1EA46AA2D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7EE4303-F3BF-4E0C-BF8D-8C7433C3B8E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741</vt:i4>
      </vt:variant>
    </vt:vector>
  </HeadingPairs>
  <TitlesOfParts>
    <vt:vector size="747" baseType="lpstr">
      <vt:lpstr>Data_results</vt:lpstr>
      <vt:lpstr>Abaqus_data_sort</vt:lpstr>
      <vt:lpstr>Input</vt:lpstr>
      <vt:lpstr>Abaqus_LBA_data_sort</vt:lpstr>
      <vt:lpstr>Computation_time</vt:lpstr>
      <vt:lpstr>Data_Eurocode</vt:lpstr>
      <vt:lpstr>Abaqus_data_sort!Hot_rolled_690_HEA1000_20_GMNIA_My_Mz_30__13</vt:lpstr>
      <vt:lpstr>Abaqus_LBA_data_sort!Hot_rolled_690_HEA1000_20_LBA_My_Mz_30__13</vt:lpstr>
      <vt:lpstr>Abaqus_LBA_data_sort!Hot_rolled_690_HEA1000_20_LBA_My_Mz_30__14</vt:lpstr>
      <vt:lpstr>Abaqus_LBA_data_sort!Hot_rolled_690_HEA1000_20_LBA_N_0.4_My_Mz_30__13</vt:lpstr>
      <vt:lpstr>Abaqus_LBA_data_sort!Hot_rolled_690_HEA1000_20_LBA_N_0.4_My_Mz_30__13_1</vt:lpstr>
      <vt:lpstr>Abaqus_LBA_data_sort!Hot_rolled_690_HEA1000_20_LBA_N_0.4_My_Mz_30__13_2</vt:lpstr>
      <vt:lpstr>Abaqus_data_sort!Hot_rolled_690_HEA1000_350_GMNIA_My_Mz_30__26</vt:lpstr>
      <vt:lpstr>Abaqus_LBA_data_sort!Hot_rolled_690_HEA1000_350_LBA_My_Mz_30__26</vt:lpstr>
      <vt:lpstr>Abaqus_LBA_data_sort!Hot_rolled_690_HEA1000_350_LBA_My_Mz_30__27</vt:lpstr>
      <vt:lpstr>Abaqus_LBA_data_sort!Hot_rolled_690_HEA1000_350_LBA_N_0.4_My_Mz_30__26</vt:lpstr>
      <vt:lpstr>Abaqus_LBA_data_sort!Hot_rolled_690_HEA1000_350_LBA_N_0.4_My_Mz_30__26_1</vt:lpstr>
      <vt:lpstr>Abaqus_LBA_data_sort!Hot_rolled_690_HEA1000_350_LBA_N_0.4_My_Mz_30__26_2</vt:lpstr>
      <vt:lpstr>Abaqus_data_sort!Hot_rolled_690_HEA1000_450_GMNIA_My_Mz_30__39</vt:lpstr>
      <vt:lpstr>Abaqus_LBA_data_sort!Hot_rolled_690_HEA1000_450_LBA_My_Mz_30__39</vt:lpstr>
      <vt:lpstr>Abaqus_LBA_data_sort!Hot_rolled_690_HEA1000_450_LBA_My_Mz_30__40</vt:lpstr>
      <vt:lpstr>Abaqus_LBA_data_sort!Hot_rolled_690_HEA1000_450_LBA_N_0.4_My_Mz_30__39</vt:lpstr>
      <vt:lpstr>Abaqus_LBA_data_sort!Hot_rolled_690_HEA1000_450_LBA_N_0.4_My_Mz_30__39_1</vt:lpstr>
      <vt:lpstr>Abaqus_LBA_data_sort!Hot_rolled_690_HEA1000_450_LBA_N_0.4_My_Mz_30__39_2</vt:lpstr>
      <vt:lpstr>Abaqus_data_sort!Hot_rolled_690_HEA1000_550_GMNIA_My_Mz_30__52</vt:lpstr>
      <vt:lpstr>Abaqus_LBA_data_sort!Hot_rolled_690_HEA1000_550_LBA_My_Mz_30__52</vt:lpstr>
      <vt:lpstr>Abaqus_LBA_data_sort!Hot_rolled_690_HEA1000_550_LBA_My_Mz_30__53</vt:lpstr>
      <vt:lpstr>Abaqus_LBA_data_sort!Hot_rolled_690_HEA1000_550_LBA_N_0.4_My_Mz_30__52</vt:lpstr>
      <vt:lpstr>Abaqus_LBA_data_sort!Hot_rolled_690_HEA1000_550_LBA_N_0.4_My_Mz_30__52_1</vt:lpstr>
      <vt:lpstr>Abaqus_LBA_data_sort!Hot_rolled_690_HEA1000_550_LBA_N_0.4_My_Mz_30__52_2</vt:lpstr>
      <vt:lpstr>Abaqus_data_sort!Hot_rolled_690_HEA1000_700_GMNIA_My_Mz_30__65</vt:lpstr>
      <vt:lpstr>Abaqus_LBA_data_sort!Hot_rolled_690_HEA1000_700_LBA_My_Mz_30__65</vt:lpstr>
      <vt:lpstr>Abaqus_LBA_data_sort!Hot_rolled_690_HEA1000_700_LBA_My_Mz_30__66</vt:lpstr>
      <vt:lpstr>Abaqus_LBA_data_sort!Hot_rolled_690_HEA1000_700_LBA_N_0.4_My_Mz_30__65</vt:lpstr>
      <vt:lpstr>Abaqus_LBA_data_sort!Hot_rolled_690_HEA1000_700_LBA_N_0.4_My_Mz_30__65_1</vt:lpstr>
      <vt:lpstr>Abaqus_LBA_data_sort!Hot_rolled_690_HEA1000_700_LBA_N_0.4_My_Mz_30__65_2</vt:lpstr>
      <vt:lpstr>Abaqus_data_sort!Hot_rolled_690_HEA120_20_GMNIA_My_Mz_30__7</vt:lpstr>
      <vt:lpstr>Abaqus_LBA_data_sort!Hot_rolled_690_HEA120_20_LBA_My_Mz_30__7</vt:lpstr>
      <vt:lpstr>Abaqus_LBA_data_sort!Hot_rolled_690_HEA120_20_LBA_My_Mz_30__8</vt:lpstr>
      <vt:lpstr>Abaqus_LBA_data_sort!Hot_rolled_690_HEA120_20_LBA_N_0.4_My_Mz_30__7</vt:lpstr>
      <vt:lpstr>Abaqus_LBA_data_sort!Hot_rolled_690_HEA120_20_LBA_N_0.4_My_Mz_30__7_1</vt:lpstr>
      <vt:lpstr>Abaqus_LBA_data_sort!Hot_rolled_690_HEA120_20_LBA_N_0.4_My_Mz_30__7_2</vt:lpstr>
      <vt:lpstr>Abaqus_data_sort!Hot_rolled_690_HEA120_350_GMNIA_My_Mz_30__20</vt:lpstr>
      <vt:lpstr>Abaqus_LBA_data_sort!Hot_rolled_690_HEA120_350_LBA_My_Mz_30__20</vt:lpstr>
      <vt:lpstr>Abaqus_LBA_data_sort!Hot_rolled_690_HEA120_350_LBA_My_Mz_30__21</vt:lpstr>
      <vt:lpstr>Abaqus_LBA_data_sort!Hot_rolled_690_HEA120_350_LBA_N_0.4_My_Mz_30__20</vt:lpstr>
      <vt:lpstr>Abaqus_LBA_data_sort!Hot_rolled_690_HEA120_350_LBA_N_0.4_My_Mz_30__20_1</vt:lpstr>
      <vt:lpstr>Abaqus_LBA_data_sort!Hot_rolled_690_HEA120_350_LBA_N_0.4_My_Mz_30__20_2</vt:lpstr>
      <vt:lpstr>Abaqus_data_sort!Hot_rolled_690_HEA120_450_GMNIA_My_Mz_30__33</vt:lpstr>
      <vt:lpstr>Abaqus_LBA_data_sort!Hot_rolled_690_HEA120_450_LBA_My_Mz_30__33</vt:lpstr>
      <vt:lpstr>Abaqus_LBA_data_sort!Hot_rolled_690_HEA120_450_LBA_My_Mz_30__34</vt:lpstr>
      <vt:lpstr>Abaqus_LBA_data_sort!Hot_rolled_690_HEA120_450_LBA_N_0.4_My_Mz_30__33</vt:lpstr>
      <vt:lpstr>Abaqus_LBA_data_sort!Hot_rolled_690_HEA120_450_LBA_N_0.4_My_Mz_30__33_1</vt:lpstr>
      <vt:lpstr>Abaqus_LBA_data_sort!Hot_rolled_690_HEA120_450_LBA_N_0.4_My_Mz_30__33_2</vt:lpstr>
      <vt:lpstr>Abaqus_data_sort!Hot_rolled_690_HEA120_550_GMNIA_My_Mz_30__46</vt:lpstr>
      <vt:lpstr>Abaqus_LBA_data_sort!Hot_rolled_690_HEA120_550_LBA_My_Mz_30__46</vt:lpstr>
      <vt:lpstr>Abaqus_LBA_data_sort!Hot_rolled_690_HEA120_550_LBA_My_Mz_30__47</vt:lpstr>
      <vt:lpstr>Abaqus_LBA_data_sort!Hot_rolled_690_HEA120_550_LBA_N_0.4_My_Mz_30__46</vt:lpstr>
      <vt:lpstr>Abaqus_LBA_data_sort!Hot_rolled_690_HEA120_550_LBA_N_0.4_My_Mz_30__46_1</vt:lpstr>
      <vt:lpstr>Abaqus_LBA_data_sort!Hot_rolled_690_HEA120_550_LBA_N_0.4_My_Mz_30__46_2</vt:lpstr>
      <vt:lpstr>Abaqus_data_sort!Hot_rolled_690_HEA120_700_GMNIA_My_Mz_30__59</vt:lpstr>
      <vt:lpstr>Abaqus_LBA_data_sort!Hot_rolled_690_HEA120_700_LBA_My_Mz_30__59</vt:lpstr>
      <vt:lpstr>Abaqus_LBA_data_sort!Hot_rolled_690_HEA120_700_LBA_My_Mz_30__60</vt:lpstr>
      <vt:lpstr>Abaqus_LBA_data_sort!Hot_rolled_690_HEA120_700_LBA_N_0.4_My_Mz_30__59</vt:lpstr>
      <vt:lpstr>Abaqus_LBA_data_sort!Hot_rolled_690_HEA120_700_LBA_N_0.4_My_Mz_30__59_1</vt:lpstr>
      <vt:lpstr>Abaqus_LBA_data_sort!Hot_rolled_690_HEA120_700_LBA_N_0.4_My_Mz_30__59_2</vt:lpstr>
      <vt:lpstr>Abaqus_data_sort!Hot_rolled_690_HEA240_20_GMNIA_My_Mz_30__8</vt:lpstr>
      <vt:lpstr>Abaqus_LBA_data_sort!Hot_rolled_690_HEA240_20_LBA_My_Mz_30__8</vt:lpstr>
      <vt:lpstr>Abaqus_LBA_data_sort!Hot_rolled_690_HEA240_20_LBA_My_Mz_30__9</vt:lpstr>
      <vt:lpstr>Abaqus_LBA_data_sort!Hot_rolled_690_HEA240_20_LBA_N_0.4_My_Mz_30__8</vt:lpstr>
      <vt:lpstr>Abaqus_LBA_data_sort!Hot_rolled_690_HEA240_20_LBA_N_0.4_My_Mz_30__8_1</vt:lpstr>
      <vt:lpstr>Abaqus_LBA_data_sort!Hot_rolled_690_HEA240_20_LBA_N_0.4_My_Mz_30__8_2</vt:lpstr>
      <vt:lpstr>Abaqus_data_sort!Hot_rolled_690_HEA240_350_GMNIA_My_Mz_30__21</vt:lpstr>
      <vt:lpstr>Abaqus_LBA_data_sort!Hot_rolled_690_HEA240_350_LBA_My_Mz_30__21</vt:lpstr>
      <vt:lpstr>Abaqus_LBA_data_sort!Hot_rolled_690_HEA240_350_LBA_My_Mz_30__22</vt:lpstr>
      <vt:lpstr>Abaqus_LBA_data_sort!Hot_rolled_690_HEA240_350_LBA_N_0.4_My_Mz_30__21</vt:lpstr>
      <vt:lpstr>Abaqus_LBA_data_sort!Hot_rolled_690_HEA240_350_LBA_N_0.4_My_Mz_30__21_1</vt:lpstr>
      <vt:lpstr>Abaqus_LBA_data_sort!Hot_rolled_690_HEA240_350_LBA_N_0.4_My_Mz_30__21_2</vt:lpstr>
      <vt:lpstr>Abaqus_data_sort!Hot_rolled_690_HEA240_450_GMNIA_My_Mz_30__34</vt:lpstr>
      <vt:lpstr>Abaqus_LBA_data_sort!Hot_rolled_690_HEA240_450_LBA_My_Mz_30__34</vt:lpstr>
      <vt:lpstr>Abaqus_LBA_data_sort!Hot_rolled_690_HEA240_450_LBA_My_Mz_30__35</vt:lpstr>
      <vt:lpstr>Abaqus_LBA_data_sort!Hot_rolled_690_HEA240_450_LBA_N_0.4_My_Mz_30__34</vt:lpstr>
      <vt:lpstr>Abaqus_LBA_data_sort!Hot_rolled_690_HEA240_450_LBA_N_0.4_My_Mz_30__34_1</vt:lpstr>
      <vt:lpstr>Abaqus_LBA_data_sort!Hot_rolled_690_HEA240_450_LBA_N_0.4_My_Mz_30__34_2</vt:lpstr>
      <vt:lpstr>Abaqus_data_sort!Hot_rolled_690_HEA240_550_GMNIA_My_Mz_30__47</vt:lpstr>
      <vt:lpstr>Abaqus_LBA_data_sort!Hot_rolled_690_HEA240_550_LBA_My_Mz_30__47</vt:lpstr>
      <vt:lpstr>Abaqus_LBA_data_sort!Hot_rolled_690_HEA240_550_LBA_My_Mz_30__48</vt:lpstr>
      <vt:lpstr>Abaqus_LBA_data_sort!Hot_rolled_690_HEA240_550_LBA_N_0.4_My_Mz_30__47</vt:lpstr>
      <vt:lpstr>Abaqus_LBA_data_sort!Hot_rolled_690_HEA240_550_LBA_N_0.4_My_Mz_30__47_1</vt:lpstr>
      <vt:lpstr>Abaqus_LBA_data_sort!Hot_rolled_690_HEA240_550_LBA_N_0.4_My_Mz_30__47_2</vt:lpstr>
      <vt:lpstr>Abaqus_data_sort!Hot_rolled_690_HEA240_700_GMNIA_My_Mz_30__60</vt:lpstr>
      <vt:lpstr>Abaqus_LBA_data_sort!Hot_rolled_690_HEA240_700_LBA_My_Mz_30__60</vt:lpstr>
      <vt:lpstr>Abaqus_LBA_data_sort!Hot_rolled_690_HEA240_700_LBA_My_Mz_30__61</vt:lpstr>
      <vt:lpstr>Abaqus_LBA_data_sort!Hot_rolled_690_HEA240_700_LBA_N_0.4_My_Mz_30__60</vt:lpstr>
      <vt:lpstr>Abaqus_LBA_data_sort!Hot_rolled_690_HEA240_700_LBA_N_0.4_My_Mz_30__60_1</vt:lpstr>
      <vt:lpstr>Abaqus_LBA_data_sort!Hot_rolled_690_HEA240_700_LBA_N_0.4_My_Mz_30__60_2</vt:lpstr>
      <vt:lpstr>Abaqus_data_sort!Hot_rolled_690_HEA300_20_GMNIA_My_Mz_30__9</vt:lpstr>
      <vt:lpstr>Abaqus_LBA_data_sort!Hot_rolled_690_HEA300_20_LBA_My_Mz_30__10</vt:lpstr>
      <vt:lpstr>Abaqus_LBA_data_sort!Hot_rolled_690_HEA300_20_LBA_My_Mz_30__9</vt:lpstr>
      <vt:lpstr>Abaqus_LBA_data_sort!Hot_rolled_690_HEA300_20_LBA_N_0.4_My_Mz_30__9</vt:lpstr>
      <vt:lpstr>Abaqus_LBA_data_sort!Hot_rolled_690_HEA300_20_LBA_N_0.4_My_Mz_30__9_1</vt:lpstr>
      <vt:lpstr>Abaqus_LBA_data_sort!Hot_rolled_690_HEA300_20_LBA_N_0.4_My_Mz_30__9_2</vt:lpstr>
      <vt:lpstr>Abaqus_data_sort!Hot_rolled_690_HEA300_350_GMNIA_My_Mz_30__22</vt:lpstr>
      <vt:lpstr>Abaqus_LBA_data_sort!Hot_rolled_690_HEA300_350_LBA_My_Mz_30__22</vt:lpstr>
      <vt:lpstr>Abaqus_LBA_data_sort!Hot_rolled_690_HEA300_350_LBA_My_Mz_30__23</vt:lpstr>
      <vt:lpstr>Abaqus_LBA_data_sort!Hot_rolled_690_HEA300_350_LBA_N_0.4_My_Mz_30__22</vt:lpstr>
      <vt:lpstr>Abaqus_LBA_data_sort!Hot_rolled_690_HEA300_350_LBA_N_0.4_My_Mz_30__22_1</vt:lpstr>
      <vt:lpstr>Abaqus_LBA_data_sort!Hot_rolled_690_HEA300_350_LBA_N_0.4_My_Mz_30__22_2</vt:lpstr>
      <vt:lpstr>Abaqus_data_sort!Hot_rolled_690_HEA300_450_GMNIA_My_Mz_30__35</vt:lpstr>
      <vt:lpstr>Abaqus_LBA_data_sort!Hot_rolled_690_HEA300_450_LBA_My_Mz_30__35</vt:lpstr>
      <vt:lpstr>Abaqus_LBA_data_sort!Hot_rolled_690_HEA300_450_LBA_My_Mz_30__36</vt:lpstr>
      <vt:lpstr>Abaqus_LBA_data_sort!Hot_rolled_690_HEA300_450_LBA_N_0.4_My_Mz_30__35</vt:lpstr>
      <vt:lpstr>Abaqus_LBA_data_sort!Hot_rolled_690_HEA300_450_LBA_N_0.4_My_Mz_30__35_1</vt:lpstr>
      <vt:lpstr>Abaqus_LBA_data_sort!Hot_rolled_690_HEA300_450_LBA_N_0.4_My_Mz_30__35_2</vt:lpstr>
      <vt:lpstr>Abaqus_data_sort!Hot_rolled_690_HEA300_550_GMNIA_My_Mz_30__48</vt:lpstr>
      <vt:lpstr>Abaqus_LBA_data_sort!Hot_rolled_690_HEA300_550_LBA_My_Mz_30__48</vt:lpstr>
      <vt:lpstr>Abaqus_LBA_data_sort!Hot_rolled_690_HEA300_550_LBA_My_Mz_30__49</vt:lpstr>
      <vt:lpstr>Abaqus_LBA_data_sort!Hot_rolled_690_HEA300_550_LBA_N_0.4_My_Mz_30__48</vt:lpstr>
      <vt:lpstr>Abaqus_LBA_data_sort!Hot_rolled_690_HEA300_550_LBA_N_0.4_My_Mz_30__48_1</vt:lpstr>
      <vt:lpstr>Abaqus_LBA_data_sort!Hot_rolled_690_HEA300_550_LBA_N_0.4_My_Mz_30__48_2</vt:lpstr>
      <vt:lpstr>Abaqus_data_sort!Hot_rolled_690_HEA300_700_GMNIA_My_Mz_30__61</vt:lpstr>
      <vt:lpstr>Abaqus_LBA_data_sort!Hot_rolled_690_HEA300_700_LBA_My_Mz_30__61</vt:lpstr>
      <vt:lpstr>Abaqus_LBA_data_sort!Hot_rolled_690_HEA300_700_LBA_My_Mz_30__62</vt:lpstr>
      <vt:lpstr>Abaqus_LBA_data_sort!Hot_rolled_690_HEA300_700_LBA_N_0.4_My_Mz_30__61</vt:lpstr>
      <vt:lpstr>Abaqus_LBA_data_sort!Hot_rolled_690_HEA300_700_LBA_N_0.4_My_Mz_30__61_1</vt:lpstr>
      <vt:lpstr>Abaqus_LBA_data_sort!Hot_rolled_690_HEA300_700_LBA_N_0.4_My_Mz_30__61_2</vt:lpstr>
      <vt:lpstr>Abaqus_data_sort!Hot_rolled_690_HEA400_20_GMNIA_My_Mz_30__10</vt:lpstr>
      <vt:lpstr>Abaqus_LBA_data_sort!Hot_rolled_690_HEA400_20_LBA_My_Mz_30__10</vt:lpstr>
      <vt:lpstr>Abaqus_LBA_data_sort!Hot_rolled_690_HEA400_20_LBA_My_Mz_30__11</vt:lpstr>
      <vt:lpstr>Abaqus_LBA_data_sort!Hot_rolled_690_HEA400_20_LBA_N_0.4_My_Mz_30__10</vt:lpstr>
      <vt:lpstr>Abaqus_LBA_data_sort!Hot_rolled_690_HEA400_20_LBA_N_0.4_My_Mz_30__10_1</vt:lpstr>
      <vt:lpstr>Abaqus_LBA_data_sort!Hot_rolled_690_HEA400_20_LBA_N_0.4_My_Mz_30__10_2</vt:lpstr>
      <vt:lpstr>Abaqus_data_sort!Hot_rolled_690_HEA400_350_GMNIA_My_Mz_30__23</vt:lpstr>
      <vt:lpstr>Abaqus_LBA_data_sort!Hot_rolled_690_HEA400_350_LBA_My_Mz_30__23</vt:lpstr>
      <vt:lpstr>Abaqus_LBA_data_sort!Hot_rolled_690_HEA400_350_LBA_My_Mz_30__24</vt:lpstr>
      <vt:lpstr>Abaqus_LBA_data_sort!Hot_rolled_690_HEA400_350_LBA_N_0.4_My_Mz_30__23</vt:lpstr>
      <vt:lpstr>Abaqus_LBA_data_sort!Hot_rolled_690_HEA400_350_LBA_N_0.4_My_Mz_30__23_1</vt:lpstr>
      <vt:lpstr>Abaqus_LBA_data_sort!Hot_rolled_690_HEA400_350_LBA_N_0.4_My_Mz_30__23_2</vt:lpstr>
      <vt:lpstr>Abaqus_data_sort!Hot_rolled_690_HEA400_450_GMNIA_My_Mz_30__36</vt:lpstr>
      <vt:lpstr>Abaqus_LBA_data_sort!Hot_rolled_690_HEA400_450_LBA_My_Mz_30__36</vt:lpstr>
      <vt:lpstr>Abaqus_LBA_data_sort!Hot_rolled_690_HEA400_450_LBA_My_Mz_30__37</vt:lpstr>
      <vt:lpstr>Abaqus_LBA_data_sort!Hot_rolled_690_HEA400_450_LBA_N_0.4_My_Mz_30__36</vt:lpstr>
      <vt:lpstr>Abaqus_LBA_data_sort!Hot_rolled_690_HEA400_450_LBA_N_0.4_My_Mz_30__36_1</vt:lpstr>
      <vt:lpstr>Abaqus_LBA_data_sort!Hot_rolled_690_HEA400_450_LBA_N_0.4_My_Mz_30__36_2</vt:lpstr>
      <vt:lpstr>Abaqus_data_sort!Hot_rolled_690_HEA400_550_GMNIA_My_Mz_30__49</vt:lpstr>
      <vt:lpstr>Abaqus_LBA_data_sort!Hot_rolled_690_HEA400_550_LBA_My_Mz_30__49</vt:lpstr>
      <vt:lpstr>Abaqus_LBA_data_sort!Hot_rolled_690_HEA400_550_LBA_My_Mz_30__50</vt:lpstr>
      <vt:lpstr>Abaqus_LBA_data_sort!Hot_rolled_690_HEA400_550_LBA_N_0.4_My_Mz_30__49</vt:lpstr>
      <vt:lpstr>Abaqus_LBA_data_sort!Hot_rolled_690_HEA400_550_LBA_N_0.4_My_Mz_30__49_1</vt:lpstr>
      <vt:lpstr>Abaqus_LBA_data_sort!Hot_rolled_690_HEA400_550_LBA_N_0.4_My_Mz_30__49_2</vt:lpstr>
      <vt:lpstr>Abaqus_data_sort!Hot_rolled_690_HEA400_700_GMNIA_My_Mz_30__62</vt:lpstr>
      <vt:lpstr>Abaqus_LBA_data_sort!Hot_rolled_690_HEA400_700_LBA_My_Mz_30__62</vt:lpstr>
      <vt:lpstr>Abaqus_LBA_data_sort!Hot_rolled_690_HEA400_700_LBA_My_Mz_30__63</vt:lpstr>
      <vt:lpstr>Abaqus_LBA_data_sort!Hot_rolled_690_HEA400_700_LBA_N_0.4_My_Mz_30__62</vt:lpstr>
      <vt:lpstr>Abaqus_LBA_data_sort!Hot_rolled_690_HEA400_700_LBA_N_0.4_My_Mz_30__62_1</vt:lpstr>
      <vt:lpstr>Abaqus_LBA_data_sort!Hot_rolled_690_HEA400_700_LBA_N_0.4_My_Mz_30__62_2</vt:lpstr>
      <vt:lpstr>Abaqus_data_sort!Hot_rolled_690_HEA500_20_GMNIA_My_Mz_30__11</vt:lpstr>
      <vt:lpstr>Abaqus_LBA_data_sort!Hot_rolled_690_HEA500_20_LBA_My_Mz_30__11</vt:lpstr>
      <vt:lpstr>Abaqus_LBA_data_sort!Hot_rolled_690_HEA500_20_LBA_My_Mz_30__12</vt:lpstr>
      <vt:lpstr>Abaqus_LBA_data_sort!Hot_rolled_690_HEA500_20_LBA_N_0.4_My_Mz_30__11</vt:lpstr>
      <vt:lpstr>Abaqus_LBA_data_sort!Hot_rolled_690_HEA500_20_LBA_N_0.4_My_Mz_30__11_1</vt:lpstr>
      <vt:lpstr>Abaqus_LBA_data_sort!Hot_rolled_690_HEA500_20_LBA_N_0.4_My_Mz_30__11_2</vt:lpstr>
      <vt:lpstr>Abaqus_data_sort!Hot_rolled_690_HEA500_350_GMNIA_My_Mz_30__24</vt:lpstr>
      <vt:lpstr>Abaqus_LBA_data_sort!Hot_rolled_690_HEA500_350_LBA_My_Mz_30__24</vt:lpstr>
      <vt:lpstr>Abaqus_LBA_data_sort!Hot_rolled_690_HEA500_350_LBA_My_Mz_30__25</vt:lpstr>
      <vt:lpstr>Abaqus_LBA_data_sort!Hot_rolled_690_HEA500_350_LBA_N_0.4_My_Mz_30__24</vt:lpstr>
      <vt:lpstr>Abaqus_LBA_data_sort!Hot_rolled_690_HEA500_350_LBA_N_0.4_My_Mz_30__24_1</vt:lpstr>
      <vt:lpstr>Abaqus_LBA_data_sort!Hot_rolled_690_HEA500_350_LBA_N_0.4_My_Mz_30__24_2</vt:lpstr>
      <vt:lpstr>Abaqus_data_sort!Hot_rolled_690_HEA500_450_GMNIA_My_Mz_30__37</vt:lpstr>
      <vt:lpstr>Abaqus_LBA_data_sort!Hot_rolled_690_HEA500_450_LBA_My_Mz_30__37</vt:lpstr>
      <vt:lpstr>Abaqus_LBA_data_sort!Hot_rolled_690_HEA500_450_LBA_My_Mz_30__38</vt:lpstr>
      <vt:lpstr>Abaqus_LBA_data_sort!Hot_rolled_690_HEA500_450_LBA_N_0.4_My_Mz_30__37</vt:lpstr>
      <vt:lpstr>Abaqus_LBA_data_sort!Hot_rolled_690_HEA500_450_LBA_N_0.4_My_Mz_30__37_1</vt:lpstr>
      <vt:lpstr>Abaqus_LBA_data_sort!Hot_rolled_690_HEA500_450_LBA_N_0.4_My_Mz_30__37_2</vt:lpstr>
      <vt:lpstr>Abaqus_data_sort!Hot_rolled_690_HEA500_550_GMNIA_My_Mz_30__50</vt:lpstr>
      <vt:lpstr>Abaqus_LBA_data_sort!Hot_rolled_690_HEA500_550_LBA_My_Mz_30__50</vt:lpstr>
      <vt:lpstr>Abaqus_LBA_data_sort!Hot_rolled_690_HEA500_550_LBA_My_Mz_30__51</vt:lpstr>
      <vt:lpstr>Abaqus_LBA_data_sort!Hot_rolled_690_HEA500_550_LBA_N_0.4_My_Mz_30__50</vt:lpstr>
      <vt:lpstr>Abaqus_LBA_data_sort!Hot_rolled_690_HEA500_550_LBA_N_0.4_My_Mz_30__50_1</vt:lpstr>
      <vt:lpstr>Abaqus_LBA_data_sort!Hot_rolled_690_HEA500_550_LBA_N_0.4_My_Mz_30__50_2</vt:lpstr>
      <vt:lpstr>Abaqus_data_sort!Hot_rolled_690_HEA500_700_GMNIA_My_Mz_30__63</vt:lpstr>
      <vt:lpstr>Abaqus_LBA_data_sort!Hot_rolled_690_HEA500_700_LBA_My_Mz_30__63</vt:lpstr>
      <vt:lpstr>Abaqus_LBA_data_sort!Hot_rolled_690_HEA500_700_LBA_My_Mz_30__64</vt:lpstr>
      <vt:lpstr>Abaqus_LBA_data_sort!Hot_rolled_690_HEA500_700_LBA_N_0.4_My_Mz_30__63</vt:lpstr>
      <vt:lpstr>Abaqus_LBA_data_sort!Hot_rolled_690_HEA500_700_LBA_N_0.4_My_Mz_30__63_1</vt:lpstr>
      <vt:lpstr>Abaqus_LBA_data_sort!Hot_rolled_690_HEA500_700_LBA_N_0.4_My_Mz_30__63_2</vt:lpstr>
      <vt:lpstr>Abaqus_data_sort!Hot_rolled_690_HEA600_20_GMNIA_My_Mz_30__12</vt:lpstr>
      <vt:lpstr>Abaqus_LBA_data_sort!Hot_rolled_690_HEA600_20_LBA_My_Mz_30__12</vt:lpstr>
      <vt:lpstr>Abaqus_LBA_data_sort!Hot_rolled_690_HEA600_20_LBA_My_Mz_30__13</vt:lpstr>
      <vt:lpstr>Abaqus_LBA_data_sort!Hot_rolled_690_HEA600_20_LBA_N_0.4_My_Mz_30__12</vt:lpstr>
      <vt:lpstr>Abaqus_LBA_data_sort!Hot_rolled_690_HEA600_20_LBA_N_0.4_My_Mz_30__12_1</vt:lpstr>
      <vt:lpstr>Abaqus_LBA_data_sort!Hot_rolled_690_HEA600_20_LBA_N_0.4_My_Mz_30__12_2</vt:lpstr>
      <vt:lpstr>Abaqus_data_sort!Hot_rolled_690_HEA600_350_GMNIA_My_Mz_30__25</vt:lpstr>
      <vt:lpstr>Abaqus_LBA_data_sort!Hot_rolled_690_HEA600_350_LBA_My_Mz_30__25</vt:lpstr>
      <vt:lpstr>Abaqus_LBA_data_sort!Hot_rolled_690_HEA600_350_LBA_My_Mz_30__26</vt:lpstr>
      <vt:lpstr>Abaqus_LBA_data_sort!Hot_rolled_690_HEA600_350_LBA_N_0.4_My_Mz_30__25</vt:lpstr>
      <vt:lpstr>Abaqus_LBA_data_sort!Hot_rolled_690_HEA600_350_LBA_N_0.4_My_Mz_30__25_1</vt:lpstr>
      <vt:lpstr>Abaqus_LBA_data_sort!Hot_rolled_690_HEA600_350_LBA_N_0.4_My_Mz_30__25_2</vt:lpstr>
      <vt:lpstr>Abaqus_data_sort!Hot_rolled_690_HEA600_450_GMNIA_My_Mz_30__38</vt:lpstr>
      <vt:lpstr>Abaqus_LBA_data_sort!Hot_rolled_690_HEA600_450_LBA_My_Mz_30__38</vt:lpstr>
      <vt:lpstr>Abaqus_LBA_data_sort!Hot_rolled_690_HEA600_450_LBA_My_Mz_30__39</vt:lpstr>
      <vt:lpstr>Abaqus_LBA_data_sort!Hot_rolled_690_HEA600_450_LBA_N_0.4_My_Mz_30__38</vt:lpstr>
      <vt:lpstr>Abaqus_LBA_data_sort!Hot_rolled_690_HEA600_450_LBA_N_0.4_My_Mz_30__38_1</vt:lpstr>
      <vt:lpstr>Abaqus_LBA_data_sort!Hot_rolled_690_HEA600_450_LBA_N_0.4_My_Mz_30__38_2</vt:lpstr>
      <vt:lpstr>Abaqus_data_sort!Hot_rolled_690_HEA600_550_GMNIA_My_Mz_30__51</vt:lpstr>
      <vt:lpstr>Abaqus_LBA_data_sort!Hot_rolled_690_HEA600_550_LBA_My_Mz_30__51</vt:lpstr>
      <vt:lpstr>Abaqus_LBA_data_sort!Hot_rolled_690_HEA600_550_LBA_My_Mz_30__52</vt:lpstr>
      <vt:lpstr>Abaqus_LBA_data_sort!Hot_rolled_690_HEA600_550_LBA_N_0.4_My_Mz_30__51</vt:lpstr>
      <vt:lpstr>Abaqus_LBA_data_sort!Hot_rolled_690_HEA600_550_LBA_N_0.4_My_Mz_30__51_1</vt:lpstr>
      <vt:lpstr>Abaqus_LBA_data_sort!Hot_rolled_690_HEA600_550_LBA_N_0.4_My_Mz_30__51_2</vt:lpstr>
      <vt:lpstr>Abaqus_data_sort!Hot_rolled_690_HEA600_700_GMNIA_My_Mz_30__64</vt:lpstr>
      <vt:lpstr>Abaqus_LBA_data_sort!Hot_rolled_690_HEA600_700_LBA_My_Mz_30__64</vt:lpstr>
      <vt:lpstr>Abaqus_LBA_data_sort!Hot_rolled_690_HEA600_700_LBA_My_Mz_30__65</vt:lpstr>
      <vt:lpstr>Abaqus_LBA_data_sort!Hot_rolled_690_HEA600_700_LBA_N_0.4_My_Mz_30__64</vt:lpstr>
      <vt:lpstr>Abaqus_LBA_data_sort!Hot_rolled_690_HEA600_700_LBA_N_0.4_My_Mz_30__64_1</vt:lpstr>
      <vt:lpstr>Abaqus_LBA_data_sort!Hot_rolled_690_HEA600_700_LBA_N_0.4_My_Mz_30__64_2</vt:lpstr>
      <vt:lpstr>Abaqus_data_sort!Hot_rolled_690_IPE120_20_GMNIA_My_Mz_30__1</vt:lpstr>
      <vt:lpstr>Abaqus_LBA_data_sort!Hot_rolled_690_IPE120_20_LBA_My_Mz_30__1</vt:lpstr>
      <vt:lpstr>Abaqus_LBA_data_sort!Hot_rolled_690_IPE120_20_LBA_My_Mz_30__2</vt:lpstr>
      <vt:lpstr>Abaqus_LBA_data_sort!Hot_rolled_690_IPE120_20_LBA_N_0.4_My_Mz_30__1_2</vt:lpstr>
      <vt:lpstr>Abaqus_LBA_data_sort!Hot_rolled_690_IPE120_20_LBA_N_0.4_My_Mz_30__1_3</vt:lpstr>
      <vt:lpstr>Abaqus_LBA_data_sort!Hot_rolled_690_IPE120_20_LBA_N_0.4_My_Mz_30__1_4</vt:lpstr>
      <vt:lpstr>Abaqus_data_sort!Hot_rolled_690_IPE120_350_GMNIA_My_Mz_30__14</vt:lpstr>
      <vt:lpstr>Abaqus_LBA_data_sort!Hot_rolled_690_IPE120_350_LBA_My_Mz_30__14</vt:lpstr>
      <vt:lpstr>Abaqus_LBA_data_sort!Hot_rolled_690_IPE120_350_LBA_My_Mz_30__15</vt:lpstr>
      <vt:lpstr>Abaqus_LBA_data_sort!Hot_rolled_690_IPE120_350_LBA_N_0.4_My_Mz_30__14</vt:lpstr>
      <vt:lpstr>Abaqus_LBA_data_sort!Hot_rolled_690_IPE120_350_LBA_N_0.4_My_Mz_30__14_1</vt:lpstr>
      <vt:lpstr>Abaqus_LBA_data_sort!Hot_rolled_690_IPE120_350_LBA_N_0.4_My_Mz_30__14_2</vt:lpstr>
      <vt:lpstr>Abaqus_data_sort!Hot_rolled_690_IPE120_450_GMNIA_My_Mz_30__27</vt:lpstr>
      <vt:lpstr>Abaqus_LBA_data_sort!Hot_rolled_690_IPE120_450_LBA_My_Mz_30__27</vt:lpstr>
      <vt:lpstr>Abaqus_LBA_data_sort!Hot_rolled_690_IPE120_450_LBA_My_Mz_30__28</vt:lpstr>
      <vt:lpstr>Abaqus_LBA_data_sort!Hot_rolled_690_IPE120_450_LBA_N_0.4_My_Mz_30__27</vt:lpstr>
      <vt:lpstr>Abaqus_LBA_data_sort!Hot_rolled_690_IPE120_450_LBA_N_0.4_My_Mz_30__27_1</vt:lpstr>
      <vt:lpstr>Abaqus_LBA_data_sort!Hot_rolled_690_IPE120_450_LBA_N_0.4_My_Mz_30__27_2</vt:lpstr>
      <vt:lpstr>Abaqus_data_sort!Hot_rolled_690_IPE120_550_GMNIA_My_Mz_30__40</vt:lpstr>
      <vt:lpstr>Abaqus_LBA_data_sort!Hot_rolled_690_IPE120_550_LBA_My_Mz_30__40</vt:lpstr>
      <vt:lpstr>Abaqus_LBA_data_sort!Hot_rolled_690_IPE120_550_LBA_My_Mz_30__41</vt:lpstr>
      <vt:lpstr>Abaqus_LBA_data_sort!Hot_rolled_690_IPE120_550_LBA_N_0.4_My_Mz_30__40</vt:lpstr>
      <vt:lpstr>Abaqus_LBA_data_sort!Hot_rolled_690_IPE120_550_LBA_N_0.4_My_Mz_30__40_1</vt:lpstr>
      <vt:lpstr>Abaqus_LBA_data_sort!Hot_rolled_690_IPE120_550_LBA_N_0.4_My_Mz_30__40_2</vt:lpstr>
      <vt:lpstr>Abaqus_data_sort!Hot_rolled_690_IPE120_700_GMNIA_My_Mz_30__53</vt:lpstr>
      <vt:lpstr>Abaqus_LBA_data_sort!Hot_rolled_690_IPE120_700_LBA_My_Mz_30__53</vt:lpstr>
      <vt:lpstr>Abaqus_LBA_data_sort!Hot_rolled_690_IPE120_700_LBA_My_Mz_30__54</vt:lpstr>
      <vt:lpstr>Abaqus_LBA_data_sort!Hot_rolled_690_IPE120_700_LBA_N_0.4_My_Mz_30__53</vt:lpstr>
      <vt:lpstr>Abaqus_LBA_data_sort!Hot_rolled_690_IPE120_700_LBA_N_0.4_My_Mz_30__53_1</vt:lpstr>
      <vt:lpstr>Abaqus_LBA_data_sort!Hot_rolled_690_IPE120_700_LBA_N_0.4_My_Mz_30__53_2</vt:lpstr>
      <vt:lpstr>Abaqus_data_sort!Hot_rolled_690_IPE220_20_GMNIA_My_Mz_30__2</vt:lpstr>
      <vt:lpstr>Abaqus_LBA_data_sort!Hot_rolled_690_IPE220_20_LBA_My_Mz_30__2</vt:lpstr>
      <vt:lpstr>Abaqus_LBA_data_sort!Hot_rolled_690_IPE220_20_LBA_My_Mz_30__3</vt:lpstr>
      <vt:lpstr>Abaqus_LBA_data_sort!Hot_rolled_690_IPE220_20_LBA_N_0.4_My_Mz_30__2</vt:lpstr>
      <vt:lpstr>Abaqus_LBA_data_sort!Hot_rolled_690_IPE220_20_LBA_N_0.4_My_Mz_30__2_1</vt:lpstr>
      <vt:lpstr>Abaqus_LBA_data_sort!Hot_rolled_690_IPE220_20_LBA_N_0.4_My_Mz_30__2_2</vt:lpstr>
      <vt:lpstr>Abaqus_data_sort!Hot_rolled_690_IPE220_350_GMNIA_My_Mz_30__15</vt:lpstr>
      <vt:lpstr>Abaqus_LBA_data_sort!Hot_rolled_690_IPE220_350_LBA_My_Mz_30__15</vt:lpstr>
      <vt:lpstr>Abaqus_LBA_data_sort!Hot_rolled_690_IPE220_350_LBA_My_Mz_30__16</vt:lpstr>
      <vt:lpstr>Abaqus_LBA_data_sort!Hot_rolled_690_IPE220_350_LBA_N_0.4_My_Mz_30__15</vt:lpstr>
      <vt:lpstr>Abaqus_LBA_data_sort!Hot_rolled_690_IPE220_350_LBA_N_0.4_My_Mz_30__15_1</vt:lpstr>
      <vt:lpstr>Abaqus_LBA_data_sort!Hot_rolled_690_IPE220_350_LBA_N_0.4_My_Mz_30__15_2</vt:lpstr>
      <vt:lpstr>Abaqus_data_sort!Hot_rolled_690_IPE220_450_GMNIA_My_Mz_30__28</vt:lpstr>
      <vt:lpstr>Abaqus_LBA_data_sort!Hot_rolled_690_IPE220_450_LBA_My_Mz_30__28</vt:lpstr>
      <vt:lpstr>Abaqus_LBA_data_sort!Hot_rolled_690_IPE220_450_LBA_My_Mz_30__29</vt:lpstr>
      <vt:lpstr>Abaqus_LBA_data_sort!Hot_rolled_690_IPE220_450_LBA_N_0.4_My_Mz_30__28</vt:lpstr>
      <vt:lpstr>Abaqus_LBA_data_sort!Hot_rolled_690_IPE220_450_LBA_N_0.4_My_Mz_30__28_1</vt:lpstr>
      <vt:lpstr>Abaqus_LBA_data_sort!Hot_rolled_690_IPE220_450_LBA_N_0.4_My_Mz_30__28_2</vt:lpstr>
      <vt:lpstr>Abaqus_data_sort!Hot_rolled_690_IPE220_550_GMNIA_My_Mz_30__41</vt:lpstr>
      <vt:lpstr>Abaqus_LBA_data_sort!Hot_rolled_690_IPE220_550_LBA_My_Mz_30__41</vt:lpstr>
      <vt:lpstr>Abaqus_LBA_data_sort!Hot_rolled_690_IPE220_550_LBA_My_Mz_30__42</vt:lpstr>
      <vt:lpstr>Abaqus_LBA_data_sort!Hot_rolled_690_IPE220_550_LBA_N_0.4_My_Mz_30__41</vt:lpstr>
      <vt:lpstr>Abaqus_LBA_data_sort!Hot_rolled_690_IPE220_550_LBA_N_0.4_My_Mz_30__41_1</vt:lpstr>
      <vt:lpstr>Abaqus_LBA_data_sort!Hot_rolled_690_IPE220_550_LBA_N_0.4_My_Mz_30__41_2</vt:lpstr>
      <vt:lpstr>Abaqus_data_sort!Hot_rolled_690_IPE220_700_GMNIA_My_Mz_30__54</vt:lpstr>
      <vt:lpstr>Abaqus_LBA_data_sort!Hot_rolled_690_IPE220_700_LBA_My_Mz_30__54</vt:lpstr>
      <vt:lpstr>Abaqus_LBA_data_sort!Hot_rolled_690_IPE220_700_LBA_My_Mz_30__55</vt:lpstr>
      <vt:lpstr>Abaqus_LBA_data_sort!Hot_rolled_690_IPE220_700_LBA_N_0.4_My_Mz_30__54</vt:lpstr>
      <vt:lpstr>Abaqus_LBA_data_sort!Hot_rolled_690_IPE220_700_LBA_N_0.4_My_Mz_30__54_1</vt:lpstr>
      <vt:lpstr>Abaqus_LBA_data_sort!Hot_rolled_690_IPE220_700_LBA_N_0.4_My_Mz_30__54_2</vt:lpstr>
      <vt:lpstr>Abaqus_data_sort!Hot_rolled_690_IPE270_20_GMNIA_My_Mz_30__3</vt:lpstr>
      <vt:lpstr>Abaqus_LBA_data_sort!Hot_rolled_690_IPE270_20_LBA_My_Mz_30__3</vt:lpstr>
      <vt:lpstr>Abaqus_LBA_data_sort!Hot_rolled_690_IPE270_20_LBA_My_Mz_30__4</vt:lpstr>
      <vt:lpstr>Abaqus_LBA_data_sort!Hot_rolled_690_IPE270_20_LBA_N_0.4_My_Mz_30__3</vt:lpstr>
      <vt:lpstr>Abaqus_LBA_data_sort!Hot_rolled_690_IPE270_20_LBA_N_0.4_My_Mz_30__3_1</vt:lpstr>
      <vt:lpstr>Abaqus_LBA_data_sort!Hot_rolled_690_IPE270_20_LBA_N_0.4_My_Mz_30__3_2</vt:lpstr>
      <vt:lpstr>Abaqus_data_sort!Hot_rolled_690_IPE270_350_GMNIA_My_Mz_30__16</vt:lpstr>
      <vt:lpstr>Abaqus_LBA_data_sort!Hot_rolled_690_IPE270_350_LBA_My_Mz_30__16</vt:lpstr>
      <vt:lpstr>Abaqus_LBA_data_sort!Hot_rolled_690_IPE270_350_LBA_My_Mz_30__17</vt:lpstr>
      <vt:lpstr>Abaqus_LBA_data_sort!Hot_rolled_690_IPE270_350_LBA_N_0.4_My_Mz_30__16</vt:lpstr>
      <vt:lpstr>Abaqus_LBA_data_sort!Hot_rolled_690_IPE270_350_LBA_N_0.4_My_Mz_30__16_1</vt:lpstr>
      <vt:lpstr>Abaqus_LBA_data_sort!Hot_rolled_690_IPE270_350_LBA_N_0.4_My_Mz_30__16_2</vt:lpstr>
      <vt:lpstr>Abaqus_data_sort!Hot_rolled_690_IPE270_450_GMNIA_My_Mz_30__29</vt:lpstr>
      <vt:lpstr>Abaqus_LBA_data_sort!Hot_rolled_690_IPE270_450_LBA_My_Mz_30__29</vt:lpstr>
      <vt:lpstr>Abaqus_LBA_data_sort!Hot_rolled_690_IPE270_450_LBA_My_Mz_30__30</vt:lpstr>
      <vt:lpstr>Abaqus_LBA_data_sort!Hot_rolled_690_IPE270_450_LBA_N_0.4_My_Mz_30__29</vt:lpstr>
      <vt:lpstr>Abaqus_LBA_data_sort!Hot_rolled_690_IPE270_450_LBA_N_0.4_My_Mz_30__29_1</vt:lpstr>
      <vt:lpstr>Abaqus_LBA_data_sort!Hot_rolled_690_IPE270_450_LBA_N_0.4_My_Mz_30__29_2</vt:lpstr>
      <vt:lpstr>Abaqus_data_sort!Hot_rolled_690_IPE270_550_GMNIA_My_Mz_30__42</vt:lpstr>
      <vt:lpstr>Abaqus_LBA_data_sort!Hot_rolled_690_IPE270_550_LBA_My_Mz_30__42</vt:lpstr>
      <vt:lpstr>Abaqus_LBA_data_sort!Hot_rolled_690_IPE270_550_LBA_My_Mz_30__43</vt:lpstr>
      <vt:lpstr>Abaqus_LBA_data_sort!Hot_rolled_690_IPE270_550_LBA_N_0.4_My_Mz_30__42</vt:lpstr>
      <vt:lpstr>Abaqus_LBA_data_sort!Hot_rolled_690_IPE270_550_LBA_N_0.4_My_Mz_30__42_1</vt:lpstr>
      <vt:lpstr>Abaqus_LBA_data_sort!Hot_rolled_690_IPE270_550_LBA_N_0.4_My_Mz_30__42_2</vt:lpstr>
      <vt:lpstr>Abaqus_data_sort!Hot_rolled_690_IPE270_700_GMNIA_My_Mz_30__55</vt:lpstr>
      <vt:lpstr>Abaqus_LBA_data_sort!Hot_rolled_690_IPE270_700_LBA_My_Mz_30__55</vt:lpstr>
      <vt:lpstr>Abaqus_LBA_data_sort!Hot_rolled_690_IPE270_700_LBA_My_Mz_30__56</vt:lpstr>
      <vt:lpstr>Abaqus_LBA_data_sort!Hot_rolled_690_IPE270_700_LBA_N_0.4_My_Mz_30__55</vt:lpstr>
      <vt:lpstr>Abaqus_LBA_data_sort!Hot_rolled_690_IPE270_700_LBA_N_0.4_My_Mz_30__55_1</vt:lpstr>
      <vt:lpstr>Abaqus_LBA_data_sort!Hot_rolled_690_IPE270_700_LBA_N_0.4_My_Mz_30__55_2</vt:lpstr>
      <vt:lpstr>Abaqus_data_sort!Hot_rolled_690_IPE360_20_GMNIA_My_Mz_30__4</vt:lpstr>
      <vt:lpstr>Abaqus_LBA_data_sort!Hot_rolled_690_IPE360_20_LBA_My_Mz_30__4</vt:lpstr>
      <vt:lpstr>Abaqus_LBA_data_sort!Hot_rolled_690_IPE360_20_LBA_My_Mz_30__5</vt:lpstr>
      <vt:lpstr>Abaqus_LBA_data_sort!Hot_rolled_690_IPE360_20_LBA_N_0.4_My_Mz_30__4</vt:lpstr>
      <vt:lpstr>Abaqus_LBA_data_sort!Hot_rolled_690_IPE360_20_LBA_N_0.4_My_Mz_30__4_1</vt:lpstr>
      <vt:lpstr>Abaqus_LBA_data_sort!Hot_rolled_690_IPE360_20_LBA_N_0.4_My_Mz_30__4_2</vt:lpstr>
      <vt:lpstr>Abaqus_data_sort!Hot_rolled_690_IPE360_350_GMNIA_My_Mz_30__17</vt:lpstr>
      <vt:lpstr>Abaqus_LBA_data_sort!Hot_rolled_690_IPE360_350_LBA_My_Mz_30__17</vt:lpstr>
      <vt:lpstr>Abaqus_LBA_data_sort!Hot_rolled_690_IPE360_350_LBA_My_Mz_30__18</vt:lpstr>
      <vt:lpstr>Abaqus_LBA_data_sort!Hot_rolled_690_IPE360_350_LBA_N_0.4_My_Mz_30__17</vt:lpstr>
      <vt:lpstr>Abaqus_LBA_data_sort!Hot_rolled_690_IPE360_350_LBA_N_0.4_My_Mz_30__17_1</vt:lpstr>
      <vt:lpstr>Abaqus_LBA_data_sort!Hot_rolled_690_IPE360_350_LBA_N_0.4_My_Mz_30__17_2</vt:lpstr>
      <vt:lpstr>Abaqus_data_sort!Hot_rolled_690_IPE360_450_GMNIA_My_Mz_30__30</vt:lpstr>
      <vt:lpstr>Abaqus_LBA_data_sort!Hot_rolled_690_IPE360_450_LBA_My_Mz_30__30</vt:lpstr>
      <vt:lpstr>Abaqus_LBA_data_sort!Hot_rolled_690_IPE360_450_LBA_My_Mz_30__31</vt:lpstr>
      <vt:lpstr>Abaqus_LBA_data_sort!Hot_rolled_690_IPE360_450_LBA_N_0.4_My_Mz_30__30</vt:lpstr>
      <vt:lpstr>Abaqus_LBA_data_sort!Hot_rolled_690_IPE360_450_LBA_N_0.4_My_Mz_30__30_1</vt:lpstr>
      <vt:lpstr>Abaqus_LBA_data_sort!Hot_rolled_690_IPE360_450_LBA_N_0.4_My_Mz_30__30_2</vt:lpstr>
      <vt:lpstr>Abaqus_data_sort!Hot_rolled_690_IPE360_550_GMNIA_My_Mz_30__43</vt:lpstr>
      <vt:lpstr>Abaqus_LBA_data_sort!Hot_rolled_690_IPE360_550_LBA_My_Mz_30__43</vt:lpstr>
      <vt:lpstr>Abaqus_LBA_data_sort!Hot_rolled_690_IPE360_550_LBA_My_Mz_30__44</vt:lpstr>
      <vt:lpstr>Abaqus_LBA_data_sort!Hot_rolled_690_IPE360_550_LBA_N_0.4_My_Mz_30__43</vt:lpstr>
      <vt:lpstr>Abaqus_LBA_data_sort!Hot_rolled_690_IPE360_550_LBA_N_0.4_My_Mz_30__43_1</vt:lpstr>
      <vt:lpstr>Abaqus_LBA_data_sort!Hot_rolled_690_IPE360_550_LBA_N_0.4_My_Mz_30__43_2</vt:lpstr>
      <vt:lpstr>Abaqus_data_sort!Hot_rolled_690_IPE360_700_GMNIA_My_Mz_30__56</vt:lpstr>
      <vt:lpstr>Abaqus_LBA_data_sort!Hot_rolled_690_IPE360_700_LBA_My_Mz_30__56</vt:lpstr>
      <vt:lpstr>Abaqus_LBA_data_sort!Hot_rolled_690_IPE360_700_LBA_My_Mz_30__57</vt:lpstr>
      <vt:lpstr>Abaqus_LBA_data_sort!Hot_rolled_690_IPE360_700_LBA_N_0.4_My_Mz_30__56</vt:lpstr>
      <vt:lpstr>Abaqus_LBA_data_sort!Hot_rolled_690_IPE360_700_LBA_N_0.4_My_Mz_30__56_1</vt:lpstr>
      <vt:lpstr>Abaqus_LBA_data_sort!Hot_rolled_690_IPE360_700_LBA_N_0.4_My_Mz_30__56_2</vt:lpstr>
      <vt:lpstr>Abaqus_data_sort!Hot_rolled_690_IPE400_20_GMNIA_My_Mz_30__5</vt:lpstr>
      <vt:lpstr>Abaqus_LBA_data_sort!Hot_rolled_690_IPE400_20_LBA_My_Mz_30__5</vt:lpstr>
      <vt:lpstr>Abaqus_LBA_data_sort!Hot_rolled_690_IPE400_20_LBA_My_Mz_30__6</vt:lpstr>
      <vt:lpstr>Abaqus_LBA_data_sort!Hot_rolled_690_IPE400_20_LBA_N_0.4_My_Mz_30__5</vt:lpstr>
      <vt:lpstr>Abaqus_LBA_data_sort!Hot_rolled_690_IPE400_20_LBA_N_0.4_My_Mz_30__5_1</vt:lpstr>
      <vt:lpstr>Abaqus_LBA_data_sort!Hot_rolled_690_IPE400_20_LBA_N_0.4_My_Mz_30__5_2</vt:lpstr>
      <vt:lpstr>Abaqus_data_sort!Hot_rolled_690_IPE400_350_GMNIA_My_Mz_30__18</vt:lpstr>
      <vt:lpstr>Abaqus_LBA_data_sort!Hot_rolled_690_IPE400_350_LBA_My_Mz_30__18</vt:lpstr>
      <vt:lpstr>Abaqus_LBA_data_sort!Hot_rolled_690_IPE400_350_LBA_My_Mz_30__19</vt:lpstr>
      <vt:lpstr>Abaqus_LBA_data_sort!Hot_rolled_690_IPE400_350_LBA_N_0.4_My_Mz_30__18</vt:lpstr>
      <vt:lpstr>Abaqus_LBA_data_sort!Hot_rolled_690_IPE400_350_LBA_N_0.4_My_Mz_30__18_1</vt:lpstr>
      <vt:lpstr>Abaqus_LBA_data_sort!Hot_rolled_690_IPE400_350_LBA_N_0.4_My_Mz_30__18_2</vt:lpstr>
      <vt:lpstr>Abaqus_data_sort!Hot_rolled_690_IPE400_450_GMNIA_My_Mz_30__31</vt:lpstr>
      <vt:lpstr>Abaqus_LBA_data_sort!Hot_rolled_690_IPE400_450_LBA_My_Mz_30__31</vt:lpstr>
      <vt:lpstr>Abaqus_LBA_data_sort!Hot_rolled_690_IPE400_450_LBA_My_Mz_30__32</vt:lpstr>
      <vt:lpstr>Abaqus_LBA_data_sort!Hot_rolled_690_IPE400_450_LBA_N_0.4_My_Mz_30__31</vt:lpstr>
      <vt:lpstr>Abaqus_LBA_data_sort!Hot_rolled_690_IPE400_450_LBA_N_0.4_My_Mz_30__31_1</vt:lpstr>
      <vt:lpstr>Abaqus_LBA_data_sort!Hot_rolled_690_IPE400_450_LBA_N_0.4_My_Mz_30__31_2</vt:lpstr>
      <vt:lpstr>Abaqus_data_sort!Hot_rolled_690_IPE400_550_GMNIA_My_Mz_30__44</vt:lpstr>
      <vt:lpstr>Abaqus_LBA_data_sort!Hot_rolled_690_IPE400_550_LBA_My_Mz_30__44</vt:lpstr>
      <vt:lpstr>Abaqus_LBA_data_sort!Hot_rolled_690_IPE400_550_LBA_My_Mz_30__45</vt:lpstr>
      <vt:lpstr>Abaqus_LBA_data_sort!Hot_rolled_690_IPE400_550_LBA_N_0.4_My_Mz_30__44</vt:lpstr>
      <vt:lpstr>Abaqus_LBA_data_sort!Hot_rolled_690_IPE400_550_LBA_N_0.4_My_Mz_30__44_1</vt:lpstr>
      <vt:lpstr>Abaqus_LBA_data_sort!Hot_rolled_690_IPE400_550_LBA_N_0.4_My_Mz_30__44_2</vt:lpstr>
      <vt:lpstr>Abaqus_data_sort!Hot_rolled_690_IPE400_700_GMNIA_My_Mz_30__57</vt:lpstr>
      <vt:lpstr>Abaqus_LBA_data_sort!Hot_rolled_690_IPE400_700_LBA_My_Mz_30__57</vt:lpstr>
      <vt:lpstr>Abaqus_LBA_data_sort!Hot_rolled_690_IPE400_700_LBA_My_Mz_30__58</vt:lpstr>
      <vt:lpstr>Abaqus_LBA_data_sort!Hot_rolled_690_IPE400_700_LBA_N_0.4_My_Mz_30__57</vt:lpstr>
      <vt:lpstr>Abaqus_LBA_data_sort!Hot_rolled_690_IPE400_700_LBA_N_0.4_My_Mz_30__57_1</vt:lpstr>
      <vt:lpstr>Abaqus_LBA_data_sort!Hot_rolled_690_IPE400_700_LBA_N_0.4_My_Mz_30__57_2</vt:lpstr>
      <vt:lpstr>Abaqus_data_sort!Hot_rolled_690_IPE600_20_GMNIA_My_Mz_30__6</vt:lpstr>
      <vt:lpstr>Abaqus_LBA_data_sort!Hot_rolled_690_IPE600_20_LBA_My_Mz_30__6</vt:lpstr>
      <vt:lpstr>Abaqus_LBA_data_sort!Hot_rolled_690_IPE600_20_LBA_My_Mz_30__7</vt:lpstr>
      <vt:lpstr>Abaqus_LBA_data_sort!Hot_rolled_690_IPE600_20_LBA_N_0.4_My_Mz_30__6</vt:lpstr>
      <vt:lpstr>Abaqus_LBA_data_sort!Hot_rolled_690_IPE600_20_LBA_N_0.4_My_Mz_30__6_1</vt:lpstr>
      <vt:lpstr>Abaqus_LBA_data_sort!Hot_rolled_690_IPE600_20_LBA_N_0.4_My_Mz_30__6_2</vt:lpstr>
      <vt:lpstr>Abaqus_data_sort!Hot_rolled_690_IPE600_350_GMNIA_My_Mz_30__19</vt:lpstr>
      <vt:lpstr>Abaqus_LBA_data_sort!Hot_rolled_690_IPE600_350_LBA_My_Mz_30__19</vt:lpstr>
      <vt:lpstr>Abaqus_LBA_data_sort!Hot_rolled_690_IPE600_350_LBA_My_Mz_30__20</vt:lpstr>
      <vt:lpstr>Abaqus_LBA_data_sort!Hot_rolled_690_IPE600_350_LBA_N_0.4_My_Mz_30__19</vt:lpstr>
      <vt:lpstr>Abaqus_LBA_data_sort!Hot_rolled_690_IPE600_350_LBA_N_0.4_My_Mz_30__19_1</vt:lpstr>
      <vt:lpstr>Abaqus_LBA_data_sort!Hot_rolled_690_IPE600_350_LBA_N_0.4_My_Mz_30__19_2</vt:lpstr>
      <vt:lpstr>Abaqus_data_sort!Hot_rolled_690_IPE600_450_GMNIA_My_Mz_30__32</vt:lpstr>
      <vt:lpstr>Abaqus_LBA_data_sort!Hot_rolled_690_IPE600_450_LBA_My_Mz_30__32</vt:lpstr>
      <vt:lpstr>Abaqus_LBA_data_sort!Hot_rolled_690_IPE600_450_LBA_My_Mz_30__33</vt:lpstr>
      <vt:lpstr>Abaqus_LBA_data_sort!Hot_rolled_690_IPE600_450_LBA_N_0.4_My_Mz_30__32</vt:lpstr>
      <vt:lpstr>Abaqus_LBA_data_sort!Hot_rolled_690_IPE600_450_LBA_N_0.4_My_Mz_30__32_1</vt:lpstr>
      <vt:lpstr>Abaqus_LBA_data_sort!Hot_rolled_690_IPE600_450_LBA_N_0.4_My_Mz_30__32_2</vt:lpstr>
      <vt:lpstr>Abaqus_data_sort!Hot_rolled_690_IPE600_550_GMNIA_My_Mz_30__45</vt:lpstr>
      <vt:lpstr>Abaqus_LBA_data_sort!Hot_rolled_690_IPE600_550_LBA_My_Mz_30__45</vt:lpstr>
      <vt:lpstr>Abaqus_LBA_data_sort!Hot_rolled_690_IPE600_550_LBA_My_Mz_30__46</vt:lpstr>
      <vt:lpstr>Abaqus_LBA_data_sort!Hot_rolled_690_IPE600_550_LBA_N_0.4_My_Mz_30__45</vt:lpstr>
      <vt:lpstr>Abaqus_LBA_data_sort!Hot_rolled_690_IPE600_550_LBA_N_0.4_My_Mz_30__45_1</vt:lpstr>
      <vt:lpstr>Abaqus_LBA_data_sort!Hot_rolled_690_IPE600_550_LBA_N_0.4_My_Mz_30__45_2</vt:lpstr>
      <vt:lpstr>Abaqus_data_sort!Hot_rolled_690_IPE600_700_GMNIA_My_Mz_30__58</vt:lpstr>
      <vt:lpstr>Abaqus_LBA_data_sort!Hot_rolled_690_IPE600_700_LBA_My_Mz_30__58</vt:lpstr>
      <vt:lpstr>Abaqus_LBA_data_sort!Hot_rolled_690_IPE600_700_LBA_My_Mz_30__59</vt:lpstr>
      <vt:lpstr>Abaqus_LBA_data_sort!Hot_rolled_690_IPE600_700_LBA_N_0.4_My_Mz_30__58</vt:lpstr>
      <vt:lpstr>Abaqus_LBA_data_sort!Hot_rolled_690_IPE600_700_LBA_N_0.4_My_Mz_30__58_1</vt:lpstr>
      <vt:lpstr>Abaqus_LBA_data_sort!Hot_rolled_690_IPE600_700_LBA_N_0.4_My_Mz_30__58_2</vt:lpstr>
      <vt:lpstr>Abaqus_LBA_data_sort!RS_Fy_355_IPE220_300_LBA_M__37</vt:lpstr>
      <vt:lpstr>Abaqus_LBA_data_sort!RS_Fy_355_IPE220_300_LBA_N__1</vt:lpstr>
      <vt:lpstr>Abaqus_LBA_data_sort!RS_Fy_355_IPE220_450_LBA_M__49</vt:lpstr>
      <vt:lpstr>Abaqus_LBA_data_sort!RS_Fy_355_IPE220_450_LBA_N__13</vt:lpstr>
      <vt:lpstr>Abaqus_LBA_data_sort!RS_Fy_355_IPE220_700_LBA_M__61</vt:lpstr>
      <vt:lpstr>Abaqus_LBA_data_sort!RS_Fy_355_IPE220_700_LBA_N__25</vt:lpstr>
      <vt:lpstr>Abaqus_LBA_data_sort!RS_Fy_355_IPE360_300_LBA_M__38</vt:lpstr>
      <vt:lpstr>Abaqus_LBA_data_sort!RS_Fy_355_IPE360_300_LBA_N__2</vt:lpstr>
      <vt:lpstr>Abaqus_LBA_data_sort!RS_Fy_355_IPE360_450_LBA_M__50</vt:lpstr>
      <vt:lpstr>Abaqus_LBA_data_sort!RS_Fy_355_IPE360_450_LBA_N__14</vt:lpstr>
      <vt:lpstr>Abaqus_LBA_data_sort!RS_Fy_355_IPE360_700_LBA_M__62</vt:lpstr>
      <vt:lpstr>Abaqus_LBA_data_sort!RS_Fy_355_IPE360_700_LBA_N__26</vt:lpstr>
      <vt:lpstr>Abaqus_LBA_data_sort!RS_Fy_355_IPE600_300_LBA_M__39</vt:lpstr>
      <vt:lpstr>Abaqus_LBA_data_sort!RS_Fy_355_IPE600_300_LBA_N__3</vt:lpstr>
      <vt:lpstr>Abaqus_LBA_data_sort!RS_Fy_355_IPE600_450_LBA_M__51</vt:lpstr>
      <vt:lpstr>Abaqus_LBA_data_sort!RS_Fy_355_IPE600_450_LBA_N__15</vt:lpstr>
      <vt:lpstr>Abaqus_LBA_data_sort!RS_Fy_355_IPE600_700_LBA_M__63</vt:lpstr>
      <vt:lpstr>Abaqus_LBA_data_sort!RS_Fy_355_IPE600_700_LBA_N__27</vt:lpstr>
      <vt:lpstr>Abaqus_LBA_data_sort!RS_Fy_355_WWF1200x302___300_LBA_M__42</vt:lpstr>
      <vt:lpstr>Abaqus_LBA_data_sort!RS_Fy_355_WWF1200x302___300_LBA_N__6</vt:lpstr>
      <vt:lpstr>Abaqus_LBA_data_sort!RS_Fy_355_WWF1200x302___450_LBA_M__54</vt:lpstr>
      <vt:lpstr>Abaqus_LBA_data_sort!RS_Fy_355_WWF1200x302___450_LBA_N__18</vt:lpstr>
      <vt:lpstr>Abaqus_LBA_data_sort!RS_Fy_355_WWF1200x302___700_LBA_M__66</vt:lpstr>
      <vt:lpstr>Abaqus_LBA_data_sort!RS_Fy_355_WWF1200x302___700_LBA_N__30</vt:lpstr>
      <vt:lpstr>Abaqus_LBA_data_sort!RS_Fy_355_WWF450x177_300_LBA_M__47</vt:lpstr>
      <vt:lpstr>Abaqus_LBA_data_sort!RS_Fy_355_WWF450x177_300_LBA_N__11</vt:lpstr>
      <vt:lpstr>Abaqus_LBA_data_sort!RS_Fy_355_WWF450x177_450_LBA_M__59</vt:lpstr>
      <vt:lpstr>Abaqus_LBA_data_sort!RS_Fy_355_WWF450x177_450_LBA_N__23</vt:lpstr>
      <vt:lpstr>Abaqus_LBA_data_sort!RS_Fy_355_WWF450x177_700_LBA_M__71</vt:lpstr>
      <vt:lpstr>Abaqus_LBA_data_sort!RS_Fy_355_WWF450x177_700_LBA_N__35</vt:lpstr>
      <vt:lpstr>Abaqus_LBA_data_sort!RS_Fy_355_WWF500x197___300_LBA_M__48</vt:lpstr>
      <vt:lpstr>Abaqus_LBA_data_sort!RS_Fy_355_WWF500x197___300_LBA_N__12</vt:lpstr>
      <vt:lpstr>Abaqus_LBA_data_sort!RS_Fy_355_WWF500x197___450_LBA_M__60</vt:lpstr>
      <vt:lpstr>Abaqus_LBA_data_sort!RS_Fy_355_WWF500x197___450_LBA_N__24</vt:lpstr>
      <vt:lpstr>Abaqus_LBA_data_sort!RS_Fy_355_WWF500x197___700_LBA_M__72</vt:lpstr>
      <vt:lpstr>Abaqus_LBA_data_sort!RS_Fy_355_WWF500x197___700_LBA_N__36</vt:lpstr>
      <vt:lpstr>Abaqus_LBA_data_sort!RS_Fy_355_WWF500x651_300_LBA_M__43</vt:lpstr>
      <vt:lpstr>Abaqus_LBA_data_sort!RS_Fy_355_WWF500x651_300_LBA_N__7</vt:lpstr>
      <vt:lpstr>Abaqus_LBA_data_sort!RS_Fy_355_WWF500x651_450_LBA_M__55</vt:lpstr>
      <vt:lpstr>Abaqus_LBA_data_sort!RS_Fy_355_WWF500x651_450_LBA_N__19</vt:lpstr>
      <vt:lpstr>Abaqus_LBA_data_sort!RS_Fy_355_WWF500x651_700_LBA_M__67</vt:lpstr>
      <vt:lpstr>Abaqus_LBA_data_sort!RS_Fy_355_WWF500x651_700_LBA_N__31</vt:lpstr>
      <vt:lpstr>Abaqus_LBA_data_sort!RS_Fy_355_WWF550x503_300_LBA_M__44</vt:lpstr>
      <vt:lpstr>Abaqus_LBA_data_sort!RS_Fy_355_WWF550x503_300_LBA_N__8</vt:lpstr>
      <vt:lpstr>Abaqus_LBA_data_sort!RS_Fy_355_WWF550x503_450_LBA_M__56</vt:lpstr>
      <vt:lpstr>Abaqus_LBA_data_sort!RS_Fy_355_WWF550x503_450_LBA_N__20</vt:lpstr>
      <vt:lpstr>Abaqus_LBA_data_sort!RS_Fy_355_WWF550x503_700_LBA_M__68</vt:lpstr>
      <vt:lpstr>Abaqus_LBA_data_sort!RS_Fy_355_WWF550x503_700_LBA_N__32</vt:lpstr>
      <vt:lpstr>Abaqus_LBA_data_sort!RS_Fy_355_WWF600x369_300_LBA_M__46</vt:lpstr>
      <vt:lpstr>Abaqus_LBA_data_sort!RS_Fy_355_WWF600x369_300_LBA_N__10</vt:lpstr>
      <vt:lpstr>Abaqus_LBA_data_sort!RS_Fy_355_WWF600x369_450_LBA_M__58</vt:lpstr>
      <vt:lpstr>Abaqus_LBA_data_sort!RS_Fy_355_WWF600x369_450_LBA_N__22</vt:lpstr>
      <vt:lpstr>Abaqus_LBA_data_sort!RS_Fy_355_WWF600x369_700_LBA_M__70</vt:lpstr>
      <vt:lpstr>Abaqus_LBA_data_sort!RS_Fy_355_WWF600x369_700_LBA_N__34</vt:lpstr>
      <vt:lpstr>Abaqus_LBA_data_sort!RS_Fy_355_WWF650x499_300_LBA_M__45</vt:lpstr>
      <vt:lpstr>Abaqus_LBA_data_sort!RS_Fy_355_WWF650x499_300_LBA_N__9</vt:lpstr>
      <vt:lpstr>Abaqus_LBA_data_sort!RS_Fy_355_WWF650x499_450_LBA_M__57</vt:lpstr>
      <vt:lpstr>Abaqus_LBA_data_sort!RS_Fy_355_WWF650x499_450_LBA_N__21</vt:lpstr>
      <vt:lpstr>Abaqus_LBA_data_sort!RS_Fy_355_WWF650x499_700_LBA_M__69</vt:lpstr>
      <vt:lpstr>Abaqus_LBA_data_sort!RS_Fy_355_WWF650x499_700_LBA_N__33</vt:lpstr>
      <vt:lpstr>Abaqus_LBA_data_sort!RS_Fy_355_WWF700x245_300_LBA_M__40</vt:lpstr>
      <vt:lpstr>Abaqus_LBA_data_sort!RS_Fy_355_WWF700x245_300_LBA_N__4</vt:lpstr>
      <vt:lpstr>Abaqus_LBA_data_sort!RS_Fy_355_WWF700x245_450_LBA_M__52</vt:lpstr>
      <vt:lpstr>Abaqus_LBA_data_sort!RS_Fy_355_WWF700x245_450_LBA_N__16</vt:lpstr>
      <vt:lpstr>Abaqus_LBA_data_sort!RS_Fy_355_WWF700x245_700_LBA_M__64</vt:lpstr>
      <vt:lpstr>Abaqus_LBA_data_sort!RS_Fy_355_WWF700x245_700_LBA_N__28</vt:lpstr>
      <vt:lpstr>Abaqus_LBA_data_sort!RS_Fy_355_WWF900x347_300_LBA_M__41</vt:lpstr>
      <vt:lpstr>Abaqus_LBA_data_sort!RS_Fy_355_WWF900x347_300_LBA_N__5</vt:lpstr>
      <vt:lpstr>Abaqus_LBA_data_sort!RS_Fy_355_WWF900x347_450_LBA_M__53</vt:lpstr>
      <vt:lpstr>Abaqus_LBA_data_sort!RS_Fy_355_WWF900x347_450_LBA_N__17</vt:lpstr>
      <vt:lpstr>Abaqus_LBA_data_sort!RS_Fy_355_WWF900x347_700_LBA_M__65</vt:lpstr>
      <vt:lpstr>Abaqus_LBA_data_sort!RS_Fy_355_WWF900x347_700_LBA_N__29</vt:lpstr>
      <vt:lpstr>Abaqus_data_sort!Test_350_IPE120_20_GMNIA_N_0.5_My_Mz_50__1</vt:lpstr>
      <vt:lpstr>Computation_time!Test_350_IPE120_20_GMNIA_N_0.5_My_Mz_50__1</vt:lpstr>
      <vt:lpstr>Abaqus_data_sort!Test_350_IPE120_20_GMNIA_N_0.5_My_Mz_50__2</vt:lpstr>
      <vt:lpstr>Computation_time!Test_350_IPE120_20_GMNIA_N_0.5_My_Mz_50__2</vt:lpstr>
      <vt:lpstr>Abaqus_data_sort!Test_355_HEA120_20_GMNIA_Mz__2</vt:lpstr>
      <vt:lpstr>Abaqus_data_sort!Test_355_HEA120_20_GMNIA_Mz__3</vt:lpstr>
      <vt:lpstr>Abaqus_LBA_data_sort!Test_355_HEA120_20_LBA_Mz__2</vt:lpstr>
      <vt:lpstr>Abaqus_data_sort!Test_355_HEA280__450_GMNIA_M__10</vt:lpstr>
      <vt:lpstr>Computation_time!Test_355_HEA280__450_GMNIA_M__10</vt:lpstr>
      <vt:lpstr>Abaqus_LBA_data_sort!Test_355_HEA280__450_LBA_M__10</vt:lpstr>
      <vt:lpstr>Abaqus_data_sort!Test_355_HEA280_450_GMNIA_M__7</vt:lpstr>
      <vt:lpstr>Computation_time!Test_355_HEA280_450_GMNIA_M__7</vt:lpstr>
      <vt:lpstr>Abaqus_LBA_data_sort!Test_355_HEA280_450_LBA_M__7</vt:lpstr>
      <vt:lpstr>Abaqus_data_sort!Test_355_HEA400__450_GMNIA_M__11</vt:lpstr>
      <vt:lpstr>Computation_time!Test_355_HEA400__450_GMNIA_M__11</vt:lpstr>
      <vt:lpstr>Abaqus_LBA_data_sort!Test_355_HEA400__450_LBA_M__11</vt:lpstr>
      <vt:lpstr>Abaqus_data_sort!Test_355_HEA400_450_GMNIA_M__8</vt:lpstr>
      <vt:lpstr>Computation_time!Test_355_HEA400_450_GMNIA_M__8</vt:lpstr>
      <vt:lpstr>Abaqus_LBA_data_sort!Test_355_HEA400_450_LBA_M__8</vt:lpstr>
      <vt:lpstr>Abaqus_data_sort!Test_355_HEA800__450_GMNIA_M__12</vt:lpstr>
      <vt:lpstr>Computation_time!Test_355_HEA800__450_GMNIA_M__12</vt:lpstr>
      <vt:lpstr>Abaqus_LBA_data_sort!Test_355_HEA800__450_LBA_M__12</vt:lpstr>
      <vt:lpstr>Abaqus_data_sort!Test_355_HEA800_450_GMNIA_M__9</vt:lpstr>
      <vt:lpstr>Computation_time!Test_355_HEA800_450_GMNIA_M__9</vt:lpstr>
      <vt:lpstr>Abaqus_LBA_data_sort!Test_355_HEA800_450_LBA_M__9</vt:lpstr>
      <vt:lpstr>Abaqus_data_sort!Test_355_IPE200__450_GMNIA_M__4</vt:lpstr>
      <vt:lpstr>Computation_time!Test_355_IPE200__450_GMNIA_M__4</vt:lpstr>
      <vt:lpstr>Abaqus_LBA_data_sort!Test_355_IPE200__450_LBA_M__4</vt:lpstr>
      <vt:lpstr>Abaqus_data_sort!Test_355_IPE200_450_GMNIA_M__1</vt:lpstr>
      <vt:lpstr>Computation_time!Test_355_IPE200_450_GMNIA_M__1</vt:lpstr>
      <vt:lpstr>Abaqus_LBA_data_sort!Test_355_IPE200_450_LBA_M__1</vt:lpstr>
      <vt:lpstr>Abaqus_LBA_data_sort!Test_355_IPE220_450_LBA_N__1</vt:lpstr>
      <vt:lpstr>Abaqus_LBA_data_sort!Test_355_IPE220_450_LBA_N__10</vt:lpstr>
      <vt:lpstr>Abaqus_LBA_data_sort!Test_355_IPE220_450_LBA_N__11</vt:lpstr>
      <vt:lpstr>Abaqus_LBA_data_sort!Test_355_IPE220_450_LBA_N__12</vt:lpstr>
      <vt:lpstr>Abaqus_LBA_data_sort!Test_355_IPE220_450_LBA_N__13</vt:lpstr>
      <vt:lpstr>Abaqus_LBA_data_sort!Test_355_IPE220_450_LBA_N__14</vt:lpstr>
      <vt:lpstr>Abaqus_LBA_data_sort!Test_355_IPE220_450_LBA_N__15</vt:lpstr>
      <vt:lpstr>Abaqus_LBA_data_sort!Test_355_IPE220_450_LBA_N__16</vt:lpstr>
      <vt:lpstr>Abaqus_LBA_data_sort!Test_355_IPE220_450_LBA_N__17</vt:lpstr>
      <vt:lpstr>Abaqus_LBA_data_sort!Test_355_IPE220_450_LBA_N__18</vt:lpstr>
      <vt:lpstr>Abaqus_LBA_data_sort!Test_355_IPE220_450_LBA_N__19</vt:lpstr>
      <vt:lpstr>Abaqus_LBA_data_sort!Test_355_IPE220_450_LBA_N__2</vt:lpstr>
      <vt:lpstr>Abaqus_LBA_data_sort!Test_355_IPE220_450_LBA_N__20</vt:lpstr>
      <vt:lpstr>Abaqus_LBA_data_sort!Test_355_IPE220_450_LBA_N__21</vt:lpstr>
      <vt:lpstr>Abaqus_LBA_data_sort!Test_355_IPE220_450_LBA_N__22</vt:lpstr>
      <vt:lpstr>Abaqus_LBA_data_sort!Test_355_IPE220_450_LBA_N__23</vt:lpstr>
      <vt:lpstr>Abaqus_LBA_data_sort!Test_355_IPE220_450_LBA_N__24</vt:lpstr>
      <vt:lpstr>Abaqus_LBA_data_sort!Test_355_IPE220_450_LBA_N__25</vt:lpstr>
      <vt:lpstr>Abaqus_LBA_data_sort!Test_355_IPE220_450_LBA_N__26</vt:lpstr>
      <vt:lpstr>Abaqus_LBA_data_sort!Test_355_IPE220_450_LBA_N__27</vt:lpstr>
      <vt:lpstr>Abaqus_LBA_data_sort!Test_355_IPE220_450_LBA_N__28</vt:lpstr>
      <vt:lpstr>Abaqus_LBA_data_sort!Test_355_IPE220_450_LBA_N__29</vt:lpstr>
      <vt:lpstr>Abaqus_LBA_data_sort!Test_355_IPE220_450_LBA_N__3</vt:lpstr>
      <vt:lpstr>Abaqus_LBA_data_sort!Test_355_IPE220_450_LBA_N__30</vt:lpstr>
      <vt:lpstr>Abaqus_LBA_data_sort!Test_355_IPE220_450_LBA_N__4</vt:lpstr>
      <vt:lpstr>Abaqus_LBA_data_sort!Test_355_IPE220_450_LBA_N__5</vt:lpstr>
      <vt:lpstr>Abaqus_LBA_data_sort!Test_355_IPE220_450_LBA_N__6</vt:lpstr>
      <vt:lpstr>Abaqus_LBA_data_sort!Test_355_IPE220_450_LBA_N__7</vt:lpstr>
      <vt:lpstr>Abaqus_LBA_data_sort!Test_355_IPE220_450_LBA_N__8</vt:lpstr>
      <vt:lpstr>Abaqus_LBA_data_sort!Test_355_IPE220_450_LBA_N__9</vt:lpstr>
      <vt:lpstr>Abaqus_data_sort!Test_355_IPE330__450_GMNIA_M__5</vt:lpstr>
      <vt:lpstr>Computation_time!Test_355_IPE330__450_GMNIA_M__5</vt:lpstr>
      <vt:lpstr>Abaqus_LBA_data_sort!Test_355_IPE330__450_LBA_M__5</vt:lpstr>
      <vt:lpstr>Abaqus_data_sort!Test_355_IPE330_450_GMNIA_M__2</vt:lpstr>
      <vt:lpstr>Computation_time!Test_355_IPE330_450_GMNIA_M__2</vt:lpstr>
      <vt:lpstr>Abaqus_LBA_data_sort!Test_355_IPE330_450_LBA_M__2</vt:lpstr>
      <vt:lpstr>Abaqus_data_sort!Test_355_IPE600__450_GMNIA_M__6</vt:lpstr>
      <vt:lpstr>Computation_time!Test_355_IPE600__450_GMNIA_M__6</vt:lpstr>
      <vt:lpstr>Abaqus_LBA_data_sort!Test_355_IPE600__450_LBA_M__6</vt:lpstr>
      <vt:lpstr>Abaqus_data_sort!Test_355_IPE600_20_GMNIA_Mz__1</vt:lpstr>
      <vt:lpstr>Abaqus_data_sort!Test_355_IPE600_20_GMNIA_Mz__2</vt:lpstr>
      <vt:lpstr>Abaqus_data_sort!Test_355_IPE600_20_GMNIA_Mz__3</vt:lpstr>
      <vt:lpstr>Abaqus_LBA_data_sort!Test_355_IPE600_20_LBA_Mz__1</vt:lpstr>
      <vt:lpstr>Abaqus_data_sort!Test_355_IPE600_450_GMNIA_M__3</vt:lpstr>
      <vt:lpstr>Computation_time!Test_355_IPE600_450_GMNIA_M__3</vt:lpstr>
      <vt:lpstr>Abaqus_LBA_data_sort!Test_355_IPE600_450_LBA_M__3</vt:lpstr>
      <vt:lpstr>Abaqus_data_sort!Test_tools_355_W250X3_450_GMNIA_N__4</vt:lpstr>
      <vt:lpstr>Computation_time!Type_1_mesh_355_HEA280__450_GMNIA_M__10</vt:lpstr>
      <vt:lpstr>Computation_time!Type_1_mesh_355_HEA280__450_GMNIA_M__11</vt:lpstr>
      <vt:lpstr>Computation_time!Type_1_mesh_355_HEA280__450_GMNIA_N__10</vt:lpstr>
      <vt:lpstr>Computation_time!Type_1_mesh_355_HEA280__700_GMNIA_M__34</vt:lpstr>
      <vt:lpstr>Computation_time!Type_1_mesh_355_HEA280__700_GMNIA_M__35</vt:lpstr>
      <vt:lpstr>Abaqus_data_sort!Type_1_mesh_355_HEA280__700_GMNIA_N__34</vt:lpstr>
      <vt:lpstr>Computation_time!Type_1_mesh_355_HEA280__700_GMNIA_N__34</vt:lpstr>
      <vt:lpstr>Computation_time!Type_1_mesh_355_HEA280_450_GMNIA_M__7</vt:lpstr>
      <vt:lpstr>Computation_time!Type_1_mesh_355_HEA280_450_GMNIA_M__8</vt:lpstr>
      <vt:lpstr>Computation_time!Type_1_mesh_355_HEA280_450_GMNIA_N__7</vt:lpstr>
      <vt:lpstr>Computation_time!Type_1_mesh_355_HEA280_700_GMNIA_M__31</vt:lpstr>
      <vt:lpstr>Computation_time!Type_1_mesh_355_HEA280_700_GMNIA_M__32</vt:lpstr>
      <vt:lpstr>Abaqus_data_sort!Type_1_mesh_355_HEA280_700_GMNIA_N__31</vt:lpstr>
      <vt:lpstr>Computation_time!Type_1_mesh_355_HEA280_700_GMNIA_N__31</vt:lpstr>
      <vt:lpstr>Computation_time!Type_1_mesh_355_HEA400__450_GMNIA_M__11</vt:lpstr>
      <vt:lpstr>Computation_time!Type_1_mesh_355_HEA400__450_GMNIA_M__12</vt:lpstr>
      <vt:lpstr>Computation_time!Type_1_mesh_355_HEA400__450_GMNIA_N__11</vt:lpstr>
      <vt:lpstr>Computation_time!Type_1_mesh_355_HEA400__700_GMNIA_M__35</vt:lpstr>
      <vt:lpstr>Computation_time!Type_1_mesh_355_HEA400__700_GMNIA_M__36</vt:lpstr>
      <vt:lpstr>Abaqus_data_sort!Type_1_mesh_355_HEA400__700_GMNIA_N__35</vt:lpstr>
      <vt:lpstr>Computation_time!Type_1_mesh_355_HEA400__700_GMNIA_N__35</vt:lpstr>
      <vt:lpstr>Computation_time!Type_1_mesh_355_HEA400_450_GMNIA_M__8</vt:lpstr>
      <vt:lpstr>Computation_time!Type_1_mesh_355_HEA400_450_GMNIA_M__9</vt:lpstr>
      <vt:lpstr>Computation_time!Type_1_mesh_355_HEA400_450_GMNIA_N__8</vt:lpstr>
      <vt:lpstr>Computation_time!Type_1_mesh_355_HEA400_700_GMNIA_M__32</vt:lpstr>
      <vt:lpstr>Computation_time!Type_1_mesh_355_HEA400_700_GMNIA_M__33</vt:lpstr>
      <vt:lpstr>Abaqus_data_sort!Type_1_mesh_355_HEA400_700_GMNIA_N__32</vt:lpstr>
      <vt:lpstr>Computation_time!Type_1_mesh_355_HEA400_700_GMNIA_N__32</vt:lpstr>
      <vt:lpstr>Computation_time!Type_1_mesh_355_HEA800__450_GMNIA_M__12</vt:lpstr>
      <vt:lpstr>Computation_time!Type_1_mesh_355_HEA800__450_GMNIA_M__13</vt:lpstr>
      <vt:lpstr>Computation_time!Type_1_mesh_355_HEA800__450_GMNIA_N__12</vt:lpstr>
      <vt:lpstr>Computation_time!Type_1_mesh_355_HEA800__700_GMNIA_M__36</vt:lpstr>
      <vt:lpstr>Computation_time!Type_1_mesh_355_HEA800__700_GMNIA_M__37</vt:lpstr>
      <vt:lpstr>Abaqus_data_sort!Type_1_mesh_355_HEA800__700_GMNIA_N__36</vt:lpstr>
      <vt:lpstr>Computation_time!Type_1_mesh_355_HEA800__700_GMNIA_N__36</vt:lpstr>
      <vt:lpstr>Computation_time!Type_1_mesh_355_HEA800_450_GMNIA_M__10</vt:lpstr>
      <vt:lpstr>Computation_time!Type_1_mesh_355_HEA800_450_GMNIA_M__9</vt:lpstr>
      <vt:lpstr>Computation_time!Type_1_mesh_355_HEA800_450_GMNIA_N__9</vt:lpstr>
      <vt:lpstr>Computation_time!Type_1_mesh_355_HEA800_700_GMNIA_M__33</vt:lpstr>
      <vt:lpstr>Computation_time!Type_1_mesh_355_HEA800_700_GMNIA_M__34</vt:lpstr>
      <vt:lpstr>Abaqus_data_sort!Type_1_mesh_355_HEA800_700_GMNIA_N__33</vt:lpstr>
      <vt:lpstr>Computation_time!Type_1_mesh_355_HEA800_700_GMNIA_N__33</vt:lpstr>
      <vt:lpstr>Computation_time!Type_1_mesh_355_IPE200__450_GMNIA_M__4</vt:lpstr>
      <vt:lpstr>Computation_time!Type_1_mesh_355_IPE200__450_GMNIA_M__5</vt:lpstr>
      <vt:lpstr>Computation_time!Type_1_mesh_355_IPE200__450_GMNIA_N__4</vt:lpstr>
      <vt:lpstr>Computation_time!Type_1_mesh_355_IPE200__700_GMNIA_M__28</vt:lpstr>
      <vt:lpstr>Computation_time!Type_1_mesh_355_IPE200__700_GMNIA_M__29</vt:lpstr>
      <vt:lpstr>Computation_time!Type_1_mesh_355_IPE200__700_GMNIA_N__28</vt:lpstr>
      <vt:lpstr>Computation_time!Type_1_mesh_355_IPE200_450_GMNIA_M__1</vt:lpstr>
      <vt:lpstr>Computation_time!Type_1_mesh_355_IPE200_450_GMNIA_M__2</vt:lpstr>
      <vt:lpstr>Computation_time!Type_1_mesh_355_IPE200_450_GMNIA_M__3</vt:lpstr>
      <vt:lpstr>Computation_time!Type_1_mesh_355_IPE200_450_GMNIA_N__1</vt:lpstr>
      <vt:lpstr>Computation_time!Type_1_mesh_355_IPE200_700_GMNIA_M__25</vt:lpstr>
      <vt:lpstr>Computation_time!Type_1_mesh_355_IPE200_700_GMNIA_M__26</vt:lpstr>
      <vt:lpstr>Computation_time!Type_1_mesh_355_IPE200_700_GMNIA_N__25</vt:lpstr>
      <vt:lpstr>Computation_time!Type_1_mesh_355_IPE330__450_GMNIA_M__5</vt:lpstr>
      <vt:lpstr>Computation_time!Type_1_mesh_355_IPE330__450_GMNIA_M__6</vt:lpstr>
      <vt:lpstr>Computation_time!Type_1_mesh_355_IPE330__450_GMNIA_N__5</vt:lpstr>
      <vt:lpstr>Computation_time!Type_1_mesh_355_IPE330__700_GMNIA_M__29</vt:lpstr>
      <vt:lpstr>Computation_time!Type_1_mesh_355_IPE330__700_GMNIA_M__30</vt:lpstr>
      <vt:lpstr>Abaqus_data_sort!Type_1_mesh_355_IPE330__700_GMNIA_N__29</vt:lpstr>
      <vt:lpstr>Computation_time!Type_1_mesh_355_IPE330__700_GMNIA_N__29</vt:lpstr>
      <vt:lpstr>Computation_time!Type_1_mesh_355_IPE330_450_GMNIA_M__2</vt:lpstr>
      <vt:lpstr>Computation_time!Type_1_mesh_355_IPE330_450_GMNIA_M__3</vt:lpstr>
      <vt:lpstr>Computation_time!Type_1_mesh_355_IPE330_450_GMNIA_N__2</vt:lpstr>
      <vt:lpstr>Computation_time!Type_1_mesh_355_IPE330_700_GMNIA_M__26</vt:lpstr>
      <vt:lpstr>Computation_time!Type_1_mesh_355_IPE330_700_GMNIA_M__27</vt:lpstr>
      <vt:lpstr>Computation_time!Type_1_mesh_355_IPE330_700_GMNIA_N__26</vt:lpstr>
      <vt:lpstr>Computation_time!Type_1_mesh_355_IPE600__450_GMNIA_M__6</vt:lpstr>
      <vt:lpstr>Computation_time!Type_1_mesh_355_IPE600__450_GMNIA_M__7</vt:lpstr>
      <vt:lpstr>Computation_time!Type_1_mesh_355_IPE600__450_GMNIA_N__6</vt:lpstr>
      <vt:lpstr>Computation_time!Type_1_mesh_355_IPE600__700_GMNIA_M__30</vt:lpstr>
      <vt:lpstr>Computation_time!Type_1_mesh_355_IPE600__700_GMNIA_M__31</vt:lpstr>
      <vt:lpstr>Abaqus_data_sort!Type_1_mesh_355_IPE600__700_GMNIA_N__30</vt:lpstr>
      <vt:lpstr>Computation_time!Type_1_mesh_355_IPE600__700_GMNIA_N__30</vt:lpstr>
      <vt:lpstr>Computation_time!Type_1_mesh_355_IPE600_450_GMNIA_M__3</vt:lpstr>
      <vt:lpstr>Computation_time!Type_1_mesh_355_IPE600_450_GMNIA_M__4</vt:lpstr>
      <vt:lpstr>Computation_time!Type_1_mesh_355_IPE600_450_GMNIA_N__3</vt:lpstr>
      <vt:lpstr>Computation_time!Type_1_mesh_355_IPE600_700_GMNIA_M__27</vt:lpstr>
      <vt:lpstr>Computation_time!Type_1_mesh_355_IPE600_700_GMNIA_M__28</vt:lpstr>
      <vt:lpstr>Computation_time!Type_1_mesh_355_IPE600_700_GMNIA_N__27</vt:lpstr>
      <vt:lpstr>Computation_time!Type_1_mesh_690_HEA280__450_GMNIA_M__22</vt:lpstr>
      <vt:lpstr>Computation_time!Type_1_mesh_690_HEA280__450_GMNIA_M__23</vt:lpstr>
      <vt:lpstr>Computation_time!Type_1_mesh_690_HEA280__450_GMNIA_N__22</vt:lpstr>
      <vt:lpstr>Computation_time!Type_1_mesh_690_HEA280__700_GMNIA_M__46</vt:lpstr>
      <vt:lpstr>Computation_time!Type_1_mesh_690_HEA280__700_GMNIA_M__47</vt:lpstr>
      <vt:lpstr>Abaqus_data_sort!Type_1_mesh_690_HEA280__700_GMNIA_N__46</vt:lpstr>
      <vt:lpstr>Computation_time!Type_1_mesh_690_HEA280__700_GMNIA_N__46</vt:lpstr>
      <vt:lpstr>Computation_time!Type_1_mesh_690_HEA280_450_GMNIA_M__19</vt:lpstr>
      <vt:lpstr>Computation_time!Type_1_mesh_690_HEA280_450_GMNIA_M__20</vt:lpstr>
      <vt:lpstr>Computation_time!Type_1_mesh_690_HEA280_450_GMNIA_N__19</vt:lpstr>
      <vt:lpstr>Computation_time!Type_1_mesh_690_HEA280_700_GMNIA_M__43</vt:lpstr>
      <vt:lpstr>Computation_time!Type_1_mesh_690_HEA280_700_GMNIA_M__44</vt:lpstr>
      <vt:lpstr>Abaqus_data_sort!Type_1_mesh_690_HEA280_700_GMNIA_N__43</vt:lpstr>
      <vt:lpstr>Computation_time!Type_1_mesh_690_HEA280_700_GMNIA_N__43</vt:lpstr>
      <vt:lpstr>Computation_time!Type_1_mesh_690_HEA400__450_GMNIA_M__23</vt:lpstr>
      <vt:lpstr>Computation_time!Type_1_mesh_690_HEA400__450_GMNIA_M__24</vt:lpstr>
      <vt:lpstr>Computation_time!Type_1_mesh_690_HEA400__450_GMNIA_N__23</vt:lpstr>
      <vt:lpstr>Computation_time!Type_1_mesh_690_HEA400__700_GMNIA_M__47</vt:lpstr>
      <vt:lpstr>Computation_time!Type_1_mesh_690_HEA400__700_GMNIA_M__48</vt:lpstr>
      <vt:lpstr>Abaqus_data_sort!Type_1_mesh_690_HEA400__700_GMNIA_N__47</vt:lpstr>
      <vt:lpstr>Computation_time!Type_1_mesh_690_HEA400__700_GMNIA_N__47</vt:lpstr>
      <vt:lpstr>Computation_time!Type_1_mesh_690_HEA400_450_GMNIA_M__20</vt:lpstr>
      <vt:lpstr>Computation_time!Type_1_mesh_690_HEA400_450_GMNIA_M__21</vt:lpstr>
      <vt:lpstr>Computation_time!Type_1_mesh_690_HEA400_450_GMNIA_N__20</vt:lpstr>
      <vt:lpstr>Computation_time!Type_1_mesh_690_HEA400_700_GMNIA_M__44</vt:lpstr>
      <vt:lpstr>Computation_time!Type_1_mesh_690_HEA400_700_GMNIA_M__45</vt:lpstr>
      <vt:lpstr>Abaqus_data_sort!Type_1_mesh_690_HEA400_700_GMNIA_N__44</vt:lpstr>
      <vt:lpstr>Computation_time!Type_1_mesh_690_HEA400_700_GMNIA_N__44</vt:lpstr>
      <vt:lpstr>Computation_time!Type_1_mesh_690_HEA800__450_GMNIA_M__24</vt:lpstr>
      <vt:lpstr>Computation_time!Type_1_mesh_690_HEA800__450_GMNIA_M__25</vt:lpstr>
      <vt:lpstr>Computation_time!Type_1_mesh_690_HEA800__450_GMNIA_N__24</vt:lpstr>
      <vt:lpstr>Computation_time!Type_1_mesh_690_HEA800__700_GMNIA_M__48</vt:lpstr>
      <vt:lpstr>Computation_time!Type_1_mesh_690_HEA800__700_GMNIA_M__49</vt:lpstr>
      <vt:lpstr>Abaqus_data_sort!Type_1_mesh_690_HEA800__700_GMNIA_N__48</vt:lpstr>
      <vt:lpstr>Computation_time!Type_1_mesh_690_HEA800__700_GMNIA_N__48</vt:lpstr>
      <vt:lpstr>Computation_time!Type_1_mesh_690_HEA800_450_GMNIA_M__21</vt:lpstr>
      <vt:lpstr>Computation_time!Type_1_mesh_690_HEA800_450_GMNIA_M__22</vt:lpstr>
      <vt:lpstr>Computation_time!Type_1_mesh_690_HEA800_450_GMNIA_N__21</vt:lpstr>
      <vt:lpstr>Computation_time!Type_1_mesh_690_HEA800_700_GMNIA_M__45</vt:lpstr>
      <vt:lpstr>Computation_time!Type_1_mesh_690_HEA800_700_GMNIA_M__46</vt:lpstr>
      <vt:lpstr>Abaqus_data_sort!Type_1_mesh_690_HEA800_700_GMNIA_N__45</vt:lpstr>
      <vt:lpstr>Computation_time!Type_1_mesh_690_HEA800_700_GMNIA_N__45</vt:lpstr>
      <vt:lpstr>Computation_time!Type_1_mesh_690_IPE200__450_GMNIA_M__16</vt:lpstr>
      <vt:lpstr>Computation_time!Type_1_mesh_690_IPE200__450_GMNIA_M__17</vt:lpstr>
      <vt:lpstr>Computation_time!Type_1_mesh_690_IPE200__450_GMNIA_N__16</vt:lpstr>
      <vt:lpstr>Computation_time!Type_1_mesh_690_IPE200__700_GMNIA_M__40</vt:lpstr>
      <vt:lpstr>Computation_time!Type_1_mesh_690_IPE200__700_GMNIA_M__41</vt:lpstr>
      <vt:lpstr>Abaqus_data_sort!Type_1_mesh_690_IPE200__700_GMNIA_N__40</vt:lpstr>
      <vt:lpstr>Computation_time!Type_1_mesh_690_IPE200__700_GMNIA_N__40</vt:lpstr>
      <vt:lpstr>Computation_time!Type_1_mesh_690_IPE200_450_GMNIA_M__13</vt:lpstr>
      <vt:lpstr>Computation_time!Type_1_mesh_690_IPE200_450_GMNIA_M__14</vt:lpstr>
      <vt:lpstr>Computation_time!Type_1_mesh_690_IPE200_450_GMNIA_N__13</vt:lpstr>
      <vt:lpstr>Computation_time!Type_1_mesh_690_IPE200_700_GMNIA_M__37</vt:lpstr>
      <vt:lpstr>Computation_time!Type_1_mesh_690_IPE200_700_GMNIA_M__38</vt:lpstr>
      <vt:lpstr>Abaqus_data_sort!Type_1_mesh_690_IPE200_700_GMNIA_N__37</vt:lpstr>
      <vt:lpstr>Computation_time!Type_1_mesh_690_IPE200_700_GMNIA_N__37</vt:lpstr>
      <vt:lpstr>Computation_time!Type_1_mesh_690_IPE330__450_GMNIA_M__17</vt:lpstr>
      <vt:lpstr>Computation_time!Type_1_mesh_690_IPE330__450_GMNIA_M__18</vt:lpstr>
      <vt:lpstr>Computation_time!Type_1_mesh_690_IPE330__450_GMNIA_N__17</vt:lpstr>
      <vt:lpstr>Computation_time!Type_1_mesh_690_IPE330__700_GMNIA_M__41</vt:lpstr>
      <vt:lpstr>Computation_time!Type_1_mesh_690_IPE330__700_GMNIA_M__42</vt:lpstr>
      <vt:lpstr>Abaqus_data_sort!Type_1_mesh_690_IPE330__700_GMNIA_N__41</vt:lpstr>
      <vt:lpstr>Computation_time!Type_1_mesh_690_IPE330__700_GMNIA_N__41</vt:lpstr>
      <vt:lpstr>Computation_time!Type_1_mesh_690_IPE330_450_GMNIA_M__14</vt:lpstr>
      <vt:lpstr>Computation_time!Type_1_mesh_690_IPE330_450_GMNIA_M__15</vt:lpstr>
      <vt:lpstr>Computation_time!Type_1_mesh_690_IPE330_450_GMNIA_N__14</vt:lpstr>
      <vt:lpstr>Computation_time!Type_1_mesh_690_IPE330_700_GMNIA_M__38</vt:lpstr>
      <vt:lpstr>Computation_time!Type_1_mesh_690_IPE330_700_GMNIA_M__39</vt:lpstr>
      <vt:lpstr>Abaqus_data_sort!Type_1_mesh_690_IPE330_700_GMNIA_N__38</vt:lpstr>
      <vt:lpstr>Computation_time!Type_1_mesh_690_IPE330_700_GMNIA_N__38</vt:lpstr>
      <vt:lpstr>Computation_time!Type_1_mesh_690_IPE600__450_GMNIA_M__18</vt:lpstr>
      <vt:lpstr>Computation_time!Type_1_mesh_690_IPE600__450_GMNIA_M__19</vt:lpstr>
      <vt:lpstr>Computation_time!Type_1_mesh_690_IPE600__450_GMNIA_N__18</vt:lpstr>
      <vt:lpstr>Computation_time!Type_1_mesh_690_IPE600__700_GMNIA_M__42</vt:lpstr>
      <vt:lpstr>Computation_time!Type_1_mesh_690_IPE600__700_GMNIA_M__43</vt:lpstr>
      <vt:lpstr>Abaqus_data_sort!Type_1_mesh_690_IPE600__700_GMNIA_N__42</vt:lpstr>
      <vt:lpstr>Computation_time!Type_1_mesh_690_IPE600__700_GMNIA_N__42</vt:lpstr>
      <vt:lpstr>Computation_time!Type_1_mesh_690_IPE600_450_GMNIA_M__15</vt:lpstr>
      <vt:lpstr>Computation_time!Type_1_mesh_690_IPE600_450_GMNIA_M__16</vt:lpstr>
      <vt:lpstr>Computation_time!Type_1_mesh_690_IPE600_450_GMNIA_N__15</vt:lpstr>
      <vt:lpstr>Computation_time!Type_1_mesh_690_IPE600_700_GMNIA_M__39</vt:lpstr>
      <vt:lpstr>Computation_time!Type_1_mesh_690_IPE600_700_GMNIA_M__40</vt:lpstr>
      <vt:lpstr>Abaqus_data_sort!Type_1_mesh_690_IPE600_700_GMNIA_N__39</vt:lpstr>
      <vt:lpstr>Computation_time!Type_1_mesh_690_IPE600_700_GMNIA_N__39</vt:lpstr>
      <vt:lpstr>Abaqus_LBA_data_sort!Type_2_mesh_355_HEA280__450_LBA_N__10</vt:lpstr>
      <vt:lpstr>Abaqus_LBA_data_sort!Type_2_mesh_355_HEA280__450_LBA_N__12</vt:lpstr>
      <vt:lpstr>Abaqus_LBA_data_sort!Type_2_mesh_355_HEA280__450_LBA_N__13</vt:lpstr>
      <vt:lpstr>Abaqus_LBA_data_sort!Type_2_mesh_355_HEA280_450_LBA_N__31</vt:lpstr>
      <vt:lpstr>Abaqus_LBA_data_sort!Type_2_mesh_355_HEA280_450_LBA_N__32</vt:lpstr>
      <vt:lpstr>Abaqus_LBA_data_sort!Type_2_mesh_355_HEA280_450_LBA_N__7</vt:lpstr>
      <vt:lpstr>Abaqus_LBA_data_sort!Type_2_mesh_355_HEA400__450_LBA_N__11</vt:lpstr>
      <vt:lpstr>Abaqus_LBA_data_sort!Type_2_mesh_355_HEA400__450_LBA_N__13</vt:lpstr>
      <vt:lpstr>Abaqus_LBA_data_sort!Type_2_mesh_355_HEA400__450_LBA_N__14</vt:lpstr>
      <vt:lpstr>Abaqus_LBA_data_sort!Type_2_mesh_355_HEA400_450_LBA_N__10</vt:lpstr>
      <vt:lpstr>Abaqus_LBA_data_sort!Type_2_mesh_355_HEA400_450_LBA_N__11</vt:lpstr>
      <vt:lpstr>Abaqus_LBA_data_sort!Type_2_mesh_355_HEA400_450_LBA_N__8</vt:lpstr>
      <vt:lpstr>Abaqus_LBA_data_sort!Type_2_mesh_355_HEA800__450_LBA_N__12</vt:lpstr>
      <vt:lpstr>Abaqus_LBA_data_sort!Type_2_mesh_355_HEA800__450_LBA_N__14</vt:lpstr>
      <vt:lpstr>Abaqus_LBA_data_sort!Type_2_mesh_355_HEA800__450_LBA_N__15</vt:lpstr>
      <vt:lpstr>Abaqus_LBA_data_sort!Type_2_mesh_355_HEA800_450_LBA_N__11</vt:lpstr>
      <vt:lpstr>Abaqus_LBA_data_sort!Type_2_mesh_355_HEA800_450_LBA_N__12</vt:lpstr>
      <vt:lpstr>Abaqus_LBA_data_sort!Type_2_mesh_355_HEA800_450_LBA_N__9</vt:lpstr>
      <vt:lpstr>Abaqus_LBA_data_sort!Type_2_mesh_355_IPE200__450_LBA_N__12</vt:lpstr>
      <vt:lpstr>Abaqus_LBA_data_sort!Type_2_mesh_355_IPE200__450_LBA_N__13</vt:lpstr>
      <vt:lpstr>Abaqus_LBA_data_sort!Type_2_mesh_355_IPE200__450_LBA_N__4</vt:lpstr>
      <vt:lpstr>Abaqus_LBA_data_sort!Type_2_mesh_355_IPE200_450_LBA_N__1</vt:lpstr>
      <vt:lpstr>Abaqus_LBA_data_sort!Type_2_mesh_355_IPE200_450_LBA_N__10</vt:lpstr>
      <vt:lpstr>Abaqus_LBA_data_sort!Type_2_mesh_355_IPE200_450_LBA_N__11</vt:lpstr>
      <vt:lpstr>Abaqus_LBA_data_sort!Type_2_mesh_355_IPE330__450_LBA_N__13</vt:lpstr>
      <vt:lpstr>Abaqus_LBA_data_sort!Type_2_mesh_355_IPE330__450_LBA_N__14</vt:lpstr>
      <vt:lpstr>Abaqus_LBA_data_sort!Type_2_mesh_355_IPE330__450_LBA_N__5</vt:lpstr>
      <vt:lpstr>Abaqus_LBA_data_sort!Type_2_mesh_355_IPE330_450_LBA_N__10</vt:lpstr>
      <vt:lpstr>Abaqus_LBA_data_sort!Type_2_mesh_355_IPE330_450_LBA_N__11</vt:lpstr>
      <vt:lpstr>Abaqus_LBA_data_sort!Type_2_mesh_355_IPE330_450_LBA_N__2</vt:lpstr>
      <vt:lpstr>Abaqus_LBA_data_sort!Type_2_mesh_355_IPE600__450_LBA_N__14</vt:lpstr>
      <vt:lpstr>Abaqus_LBA_data_sort!Type_2_mesh_355_IPE600__450_LBA_N__15</vt:lpstr>
      <vt:lpstr>Abaqus_LBA_data_sort!Type_2_mesh_355_IPE600__450_LBA_N__6</vt:lpstr>
      <vt:lpstr>Abaqus_LBA_data_sort!Type_2_mesh_355_IPE600_450_LBA_N__11</vt:lpstr>
      <vt:lpstr>Abaqus_LBA_data_sort!Type_2_mesh_355_IPE600_450_LBA_N__12</vt:lpstr>
      <vt:lpstr>Abaqus_LBA_data_sort!Type_2_mesh_355_IPE600_450_LBA_N__3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2019-07-12T15:41:16Z</dcterms:created>
  <dcterms:modified xsi:type="dcterms:W3CDTF">2026-04-07T04:46:13Z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