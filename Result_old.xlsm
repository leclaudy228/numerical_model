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13465AE3-1B07-471E-9858-2CC2FD21A14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ection Properties_CHS" sheetId="18" r:id="rId1"/>
  </sheets>
  <calcPr calcId="191029" refMode="R1C1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0" i="18" l="1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7" i="18"/>
  <c r="L58" i="18"/>
  <c r="L59" i="18"/>
  <c r="L60" i="18"/>
  <c r="L61" i="18"/>
  <c r="L62" i="18"/>
  <c r="L63" i="18"/>
  <c r="L64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1" i="18"/>
  <c r="L92" i="18"/>
  <c r="L93" i="18"/>
  <c r="L94" i="18"/>
  <c r="L95" i="18"/>
  <c r="L96" i="18"/>
  <c r="L97" i="18"/>
  <c r="L98" i="18"/>
  <c r="L99" i="18"/>
  <c r="L100" i="18"/>
  <c r="L101" i="18"/>
  <c r="L102" i="18"/>
  <c r="L103" i="18"/>
  <c r="L104" i="18"/>
  <c r="L105" i="18"/>
  <c r="L106" i="18"/>
  <c r="L107" i="18"/>
  <c r="L108" i="18"/>
  <c r="L109" i="18"/>
  <c r="L110" i="18"/>
  <c r="L111" i="18"/>
  <c r="L112" i="18"/>
  <c r="L113" i="18"/>
  <c r="L114" i="18"/>
  <c r="L115" i="18"/>
  <c r="L116" i="18"/>
  <c r="L117" i="18"/>
  <c r="L118" i="18"/>
  <c r="L119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5" i="18"/>
  <c r="L136" i="18"/>
  <c r="L137" i="18"/>
  <c r="L138" i="18"/>
  <c r="L139" i="18"/>
  <c r="L140" i="18"/>
  <c r="L141" i="18"/>
  <c r="L142" i="18"/>
  <c r="L143" i="18"/>
  <c r="L144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3" i="18"/>
  <c r="L174" i="18"/>
  <c r="L175" i="18"/>
  <c r="L176" i="18"/>
  <c r="L177" i="18"/>
  <c r="L178" i="18"/>
  <c r="L179" i="18"/>
  <c r="L180" i="18"/>
  <c r="L181" i="18"/>
  <c r="L182" i="18"/>
  <c r="L183" i="18"/>
  <c r="L184" i="18"/>
  <c r="L185" i="18"/>
  <c r="L186" i="18"/>
  <c r="L187" i="18"/>
  <c r="L188" i="18"/>
  <c r="L189" i="18"/>
  <c r="L190" i="18"/>
  <c r="L191" i="18"/>
  <c r="L192" i="18"/>
  <c r="L193" i="18"/>
  <c r="L194" i="18"/>
  <c r="L195" i="18"/>
  <c r="L196" i="18"/>
  <c r="L197" i="18"/>
  <c r="L198" i="18"/>
  <c r="L199" i="18"/>
  <c r="L200" i="18"/>
  <c r="L201" i="18"/>
  <c r="L202" i="18"/>
  <c r="L203" i="18"/>
  <c r="L204" i="18"/>
  <c r="L205" i="18"/>
  <c r="L206" i="18"/>
  <c r="L207" i="18"/>
  <c r="L208" i="18"/>
  <c r="L209" i="18"/>
  <c r="L210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25" i="18"/>
  <c r="L226" i="18"/>
  <c r="L227" i="18"/>
  <c r="L228" i="18"/>
  <c r="L229" i="18"/>
  <c r="L230" i="18"/>
  <c r="L231" i="18"/>
  <c r="L232" i="18"/>
  <c r="L233" i="18"/>
  <c r="L234" i="18"/>
  <c r="L235" i="18"/>
  <c r="L236" i="18"/>
  <c r="L237" i="18"/>
  <c r="L238" i="18"/>
  <c r="L239" i="18"/>
  <c r="L240" i="18"/>
  <c r="L241" i="18"/>
  <c r="L242" i="18"/>
  <c r="L243" i="18"/>
  <c r="L244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2" i="18"/>
  <c r="L273" i="18"/>
  <c r="L274" i="18"/>
  <c r="L275" i="18"/>
  <c r="L276" i="18"/>
  <c r="L277" i="18"/>
  <c r="L278" i="18"/>
  <c r="L279" i="18"/>
  <c r="L280" i="18"/>
  <c r="L281" i="18"/>
  <c r="L282" i="18"/>
  <c r="L283" i="18"/>
  <c r="L284" i="18"/>
  <c r="L285" i="18"/>
  <c r="L286" i="18"/>
  <c r="L287" i="18"/>
  <c r="L288" i="18"/>
  <c r="L289" i="18"/>
  <c r="L290" i="18"/>
  <c r="L291" i="18"/>
  <c r="L292" i="18"/>
  <c r="L293" i="18"/>
  <c r="L294" i="18"/>
  <c r="L295" i="18"/>
  <c r="L296" i="18"/>
  <c r="L297" i="18"/>
  <c r="L298" i="18"/>
  <c r="L299" i="18"/>
  <c r="L300" i="18"/>
  <c r="L301" i="18"/>
  <c r="L302" i="18"/>
  <c r="L303" i="18"/>
  <c r="L304" i="18"/>
  <c r="L305" i="18"/>
  <c r="L306" i="18"/>
  <c r="L19" i="18"/>
  <c r="Y7" i="18"/>
  <c r="Y8" i="18"/>
  <c r="Y9" i="18"/>
  <c r="Y10" i="18"/>
  <c r="Y11" i="18"/>
  <c r="Y12" i="18"/>
  <c r="Y13" i="18"/>
  <c r="Y6" i="18"/>
  <c r="AC7" i="18"/>
  <c r="AB7" i="18"/>
  <c r="AB13" i="18"/>
  <c r="AC13" i="18"/>
  <c r="AB11" i="18"/>
  <c r="AC11" i="18"/>
  <c r="AB12" i="18"/>
  <c r="AC12" i="18"/>
  <c r="AB10" i="18"/>
  <c r="AC10" i="18"/>
  <c r="AB9" i="18"/>
  <c r="AC9" i="18"/>
  <c r="AB8" i="18"/>
  <c r="AC8" i="18"/>
  <c r="AB6" i="18"/>
  <c r="AC6" i="18"/>
  <c r="P7" i="18"/>
  <c r="P8" i="18"/>
  <c r="P9" i="18"/>
  <c r="P10" i="18"/>
  <c r="P11" i="18"/>
  <c r="P12" i="18"/>
  <c r="P13" i="18"/>
  <c r="P6" i="18"/>
  <c r="AD7" i="18"/>
  <c r="AD8" i="18"/>
  <c r="AD9" i="18"/>
  <c r="AD10" i="18"/>
  <c r="AD11" i="18"/>
  <c r="AD12" i="18"/>
  <c r="AD13" i="18"/>
  <c r="AD6" i="18"/>
</calcChain>
</file>

<file path=xl/sharedStrings.xml><?xml version="1.0" encoding="utf-8"?>
<sst xmlns="http://schemas.openxmlformats.org/spreadsheetml/2006/main" count="955" uniqueCount="647">
  <si>
    <t>Directory PropSection</t>
  </si>
  <si>
    <t>Directory Files</t>
  </si>
  <si>
    <t>Name file</t>
  </si>
  <si>
    <t>C:\PropSection\PropSection v1.0.4</t>
  </si>
  <si>
    <r>
      <t>W</t>
    </r>
    <r>
      <rPr>
        <vertAlign val="subscript"/>
        <sz val="10"/>
        <color theme="1"/>
        <rFont val="Times New Roman"/>
        <family val="1"/>
      </rPr>
      <t>pl.z</t>
    </r>
    <r>
      <rPr>
        <sz val="10"/>
        <color theme="1"/>
        <rFont val="Times New Roman"/>
        <family val="1"/>
      </rPr>
      <t xml:space="preserve">  (mm</t>
    </r>
    <r>
      <rPr>
        <vertAlign val="superscript"/>
        <sz val="10"/>
        <color theme="1"/>
        <rFont val="Times New Roman"/>
        <family val="1"/>
      </rPr>
      <t>3</t>
    </r>
    <r>
      <rPr>
        <sz val="10"/>
        <color theme="1"/>
        <rFont val="Times New Roman"/>
        <family val="1"/>
      </rPr>
      <t>)</t>
    </r>
  </si>
  <si>
    <r>
      <t>W</t>
    </r>
    <r>
      <rPr>
        <vertAlign val="subscript"/>
        <sz val="10"/>
        <color theme="1"/>
        <rFont val="Times New Roman"/>
        <family val="1"/>
      </rPr>
      <t>pl.y</t>
    </r>
    <r>
      <rPr>
        <sz val="10"/>
        <color theme="1"/>
        <rFont val="Times New Roman"/>
        <family val="1"/>
      </rPr>
      <t xml:space="preserve">  (mm</t>
    </r>
    <r>
      <rPr>
        <vertAlign val="superscript"/>
        <sz val="10"/>
        <color theme="1"/>
        <rFont val="Times New Roman"/>
        <family val="1"/>
      </rPr>
      <t>3</t>
    </r>
    <r>
      <rPr>
        <sz val="10"/>
        <color theme="1"/>
        <rFont val="Times New Roman"/>
        <family val="1"/>
      </rPr>
      <t>)</t>
    </r>
  </si>
  <si>
    <r>
      <t>W</t>
    </r>
    <r>
      <rPr>
        <vertAlign val="subscript"/>
        <sz val="10"/>
        <color theme="1"/>
        <rFont val="Times New Roman"/>
        <family val="1"/>
      </rPr>
      <t>el.z</t>
    </r>
    <r>
      <rPr>
        <sz val="10"/>
        <color theme="1"/>
        <rFont val="Times New Roman"/>
        <family val="1"/>
      </rPr>
      <t xml:space="preserve">  (mm</t>
    </r>
    <r>
      <rPr>
        <vertAlign val="superscript"/>
        <sz val="10"/>
        <color theme="1"/>
        <rFont val="Times New Roman"/>
        <family val="1"/>
      </rPr>
      <t>3</t>
    </r>
    <r>
      <rPr>
        <sz val="10"/>
        <color theme="1"/>
        <rFont val="Times New Roman"/>
        <family val="1"/>
      </rPr>
      <t>)</t>
    </r>
  </si>
  <si>
    <r>
      <t>A (mm</t>
    </r>
    <r>
      <rPr>
        <vertAlign val="super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>)</t>
    </r>
  </si>
  <si>
    <t>L (mm)</t>
  </si>
  <si>
    <t>Fy (Mpa)</t>
  </si>
  <si>
    <t>t(mm)</t>
  </si>
  <si>
    <r>
      <t>I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 xml:space="preserve"> (mm</t>
    </r>
    <r>
      <rPr>
        <vertAlign val="superscript"/>
        <sz val="10"/>
        <color theme="1"/>
        <rFont val="Times New Roman"/>
        <family val="1"/>
      </rPr>
      <t>4</t>
    </r>
    <r>
      <rPr>
        <sz val="10"/>
        <color theme="1"/>
        <rFont val="Times New Roman"/>
        <family val="1"/>
      </rPr>
      <t>)</t>
    </r>
  </si>
  <si>
    <r>
      <t>I</t>
    </r>
    <r>
      <rPr>
        <vertAlign val="subscript"/>
        <sz val="10"/>
        <color theme="1"/>
        <rFont val="Times New Roman"/>
        <family val="1"/>
      </rPr>
      <t>z</t>
    </r>
    <r>
      <rPr>
        <sz val="10"/>
        <color theme="1"/>
        <rFont val="Times New Roman"/>
        <family val="1"/>
      </rPr>
      <t xml:space="preserve">  (mm</t>
    </r>
    <r>
      <rPr>
        <vertAlign val="superscript"/>
        <sz val="10"/>
        <color theme="1"/>
        <rFont val="Times New Roman"/>
        <family val="1"/>
      </rPr>
      <t>4</t>
    </r>
    <r>
      <rPr>
        <sz val="10"/>
        <color theme="1"/>
        <rFont val="Times New Roman"/>
        <family val="1"/>
      </rPr>
      <t>)</t>
    </r>
  </si>
  <si>
    <t>analysis</t>
  </si>
  <si>
    <t>meshsize</t>
  </si>
  <si>
    <t>nL multiplier</t>
  </si>
  <si>
    <t>N_0</t>
  </si>
  <si>
    <t>My_0</t>
  </si>
  <si>
    <t>Mz_0</t>
  </si>
  <si>
    <t>Ampli</t>
  </si>
  <si>
    <t>Mode</t>
  </si>
  <si>
    <t>ex</t>
  </si>
  <si>
    <r>
      <t>W</t>
    </r>
    <r>
      <rPr>
        <vertAlign val="subscript"/>
        <sz val="10"/>
        <color theme="1"/>
        <rFont val="Times New Roman"/>
        <family val="1"/>
      </rPr>
      <t>el.y</t>
    </r>
    <r>
      <rPr>
        <sz val="10"/>
        <color theme="1"/>
        <rFont val="Times New Roman"/>
        <family val="1"/>
      </rPr>
      <t xml:space="preserve">  (mm</t>
    </r>
    <r>
      <rPr>
        <vertAlign val="superscript"/>
        <sz val="10"/>
        <color theme="1"/>
        <rFont val="Times New Roman"/>
        <family val="1"/>
      </rPr>
      <t>3</t>
    </r>
    <r>
      <rPr>
        <sz val="10"/>
        <color theme="1"/>
        <rFont val="Times New Roman"/>
        <family val="1"/>
      </rPr>
      <t>)</t>
    </r>
  </si>
  <si>
    <t>Dmax (mm)</t>
  </si>
  <si>
    <t>Dmin (mm)</t>
  </si>
  <si>
    <t>D/t</t>
  </si>
  <si>
    <r>
      <rPr>
        <i/>
        <sz val="10"/>
        <color theme="1"/>
        <rFont val="Times New Roman"/>
        <family val="1"/>
      </rPr>
      <t>R</t>
    </r>
    <r>
      <rPr>
        <vertAlign val="subscript"/>
        <sz val="10"/>
        <color theme="1"/>
        <rFont val="Times New Roman"/>
        <family val="1"/>
      </rPr>
      <t>cr,L</t>
    </r>
  </si>
  <si>
    <r>
      <rPr>
        <i/>
        <sz val="10"/>
        <color theme="1"/>
        <rFont val="Times New Roman"/>
        <family val="1"/>
      </rPr>
      <t>R</t>
    </r>
    <r>
      <rPr>
        <vertAlign val="subscript"/>
        <sz val="10"/>
        <color theme="1"/>
        <rFont val="Times New Roman"/>
        <family val="1"/>
      </rPr>
      <t>pl</t>
    </r>
  </si>
  <si>
    <r>
      <rPr>
        <i/>
        <sz val="10"/>
        <color theme="1"/>
        <rFont val="Times New Roman"/>
        <family val="1"/>
      </rPr>
      <t>R</t>
    </r>
    <r>
      <rPr>
        <vertAlign val="subscript"/>
        <sz val="10"/>
        <color theme="1"/>
        <rFont val="Times New Roman"/>
        <family val="1"/>
      </rPr>
      <t>b,L</t>
    </r>
  </si>
  <si>
    <r>
      <t>χ</t>
    </r>
    <r>
      <rPr>
        <vertAlign val="subscript"/>
        <sz val="10"/>
        <color theme="1"/>
        <rFont val="Times New Roman"/>
        <family val="1"/>
      </rPr>
      <t>L</t>
    </r>
  </si>
  <si>
    <r>
      <t>λ</t>
    </r>
    <r>
      <rPr>
        <vertAlign val="subscript"/>
        <sz val="10"/>
        <color theme="1"/>
        <rFont val="Times New Roman"/>
        <family val="1"/>
      </rPr>
      <t>L</t>
    </r>
  </si>
  <si>
    <t>E</t>
  </si>
  <si>
    <t>Name of file</t>
  </si>
  <si>
    <t>Accept result?</t>
  </si>
  <si>
    <t>Yes</t>
  </si>
  <si>
    <t>No (Passing peak load too roughly)</t>
  </si>
  <si>
    <t>C:\Kokou\Kokou_Case_study_1_Steel_Column\Validations_results\Parametric_study</t>
  </si>
  <si>
    <t>S_1_690_M-1-I-1-1_GMNIA_N__1</t>
  </si>
  <si>
    <t>S_1_690_M-1-I-1-2_GMNIA_N__2</t>
  </si>
  <si>
    <t>S_1_690_M-1-I-1-3_GMNIA_N__3</t>
  </si>
  <si>
    <t>S_1_690_M-1-I-1-4_GMNIA_N__4</t>
  </si>
  <si>
    <t>S_1_690_M-1-I-1-5_GMNIA_N__5</t>
  </si>
  <si>
    <t>S_1_690_M-1-I-1-6_GMNIA_N__6</t>
  </si>
  <si>
    <t>S_1_690_M-1-I-1-7_GMNIA_N__7</t>
  </si>
  <si>
    <t>S_1_690_M-1-I-1-8_GMNIA_N__8</t>
  </si>
  <si>
    <t>S_1_690_M-1-I-2-1_GMNIA_N__9</t>
  </si>
  <si>
    <t>S_1_690_M-1-I-2-2_GMNIA_N__10</t>
  </si>
  <si>
    <t>C:\Kokou\Kokou_Case_study_1_Steel_Column\Validations_results\Parametric_study\S_1_690_M-1-I-2-1_GMNIA_N__9.txt</t>
  </si>
  <si>
    <t xml:space="preserve">Upper flange width (b1) </t>
  </si>
  <si>
    <t xml:space="preserve">Lower flange width (b2) </t>
  </si>
  <si>
    <t>Height (h)</t>
  </si>
  <si>
    <t>Upper flange thickness (tf1)</t>
  </si>
  <si>
    <t>Lower flange thickness (tf2)</t>
  </si>
  <si>
    <t xml:space="preserve">Web thicknesss (tw)
</t>
  </si>
  <si>
    <t xml:space="preserve">Upper radius (r1)
</t>
  </si>
  <si>
    <t xml:space="preserve">Lower radius (r2)
</t>
  </si>
  <si>
    <t>Length (L)</t>
  </si>
  <si>
    <t>ID of element</t>
  </si>
  <si>
    <t>Geometry</t>
  </si>
  <si>
    <t>Loading</t>
  </si>
  <si>
    <r>
      <t>N</t>
    </r>
    <r>
      <rPr>
        <vertAlign val="subscript"/>
        <sz val="12"/>
        <color theme="1"/>
        <rFont val="Calibri"/>
        <family val="2"/>
        <scheme val="minor"/>
      </rPr>
      <t>ini</t>
    </r>
  </si>
  <si>
    <t>Fy</t>
  </si>
  <si>
    <t>Young's modulus</t>
  </si>
  <si>
    <t>Other parameters</t>
  </si>
  <si>
    <t>A (mm2)</t>
  </si>
  <si>
    <t>Iy (mm4)</t>
  </si>
  <si>
    <t>Wel.y  (mm3)</t>
  </si>
  <si>
    <t>Wpl.y  (mm3)</t>
  </si>
  <si>
    <t>Iz  (mm4)</t>
  </si>
  <si>
    <t>Wel.z  (mm3)</t>
  </si>
  <si>
    <t>Wpl.z  (mm3)</t>
  </si>
  <si>
    <t>Rpl</t>
  </si>
  <si>
    <r>
      <t>Rb</t>
    </r>
    <r>
      <rPr>
        <vertAlign val="subscript"/>
        <sz val="12"/>
        <color theme="1"/>
        <rFont val="Calibri"/>
        <family val="2"/>
        <scheme val="minor"/>
      </rPr>
      <t>L+G</t>
    </r>
  </si>
  <si>
    <r>
      <t>χ</t>
    </r>
    <r>
      <rPr>
        <vertAlign val="subscript"/>
        <sz val="12"/>
        <color theme="1"/>
        <rFont val="Calibri"/>
        <family val="2"/>
        <scheme val="minor"/>
      </rPr>
      <t>L</t>
    </r>
  </si>
  <si>
    <r>
      <t>χ</t>
    </r>
    <r>
      <rPr>
        <vertAlign val="subscript"/>
        <sz val="12"/>
        <color theme="1"/>
        <rFont val="Calibri"/>
        <family val="2"/>
        <scheme val="minor"/>
      </rPr>
      <t>G</t>
    </r>
  </si>
  <si>
    <r>
      <t>χ</t>
    </r>
    <r>
      <rPr>
        <vertAlign val="subscript"/>
        <sz val="12"/>
        <color theme="1"/>
        <rFont val="Calibri"/>
        <family val="2"/>
        <scheme val="minor"/>
      </rPr>
      <t>L</t>
    </r>
    <r>
      <rPr>
        <sz val="12"/>
        <color theme="1"/>
        <rFont val="Calibri"/>
        <family val="2"/>
      </rPr>
      <t>·χ</t>
    </r>
    <r>
      <rPr>
        <vertAlign val="subscript"/>
        <sz val="12"/>
        <color theme="1"/>
        <rFont val="Calibri"/>
        <family val="2"/>
      </rPr>
      <t>G</t>
    </r>
  </si>
  <si>
    <r>
      <t>χ</t>
    </r>
    <r>
      <rPr>
        <vertAlign val="subscript"/>
        <sz val="12"/>
        <color theme="1"/>
        <rFont val="Calibri"/>
        <family val="2"/>
        <scheme val="minor"/>
      </rPr>
      <t>L</t>
    </r>
    <r>
      <rPr>
        <sz val="12"/>
        <color theme="1"/>
        <rFont val="Calibri"/>
        <family val="2"/>
      </rPr>
      <t>·χ</t>
    </r>
    <r>
      <rPr>
        <vertAlign val="subscript"/>
        <sz val="12"/>
        <color theme="1"/>
        <rFont val="Calibri"/>
        <family val="2"/>
      </rPr>
      <t>G</t>
    </r>
    <r>
      <rPr>
        <sz val="12"/>
        <color theme="1"/>
        <rFont val="Calibri"/>
        <family val="2"/>
      </rPr>
      <t>·f</t>
    </r>
    <r>
      <rPr>
        <vertAlign val="subscript"/>
        <sz val="12"/>
        <color theme="1"/>
        <rFont val="Calibri"/>
        <family val="2"/>
      </rPr>
      <t>L/G</t>
    </r>
  </si>
  <si>
    <r>
      <t>λ</t>
    </r>
    <r>
      <rPr>
        <vertAlign val="subscript"/>
        <sz val="12"/>
        <color theme="1"/>
        <rFont val="Calibri"/>
        <family val="2"/>
        <scheme val="minor"/>
      </rPr>
      <t>L</t>
    </r>
  </si>
  <si>
    <r>
      <t>λ</t>
    </r>
    <r>
      <rPr>
        <vertAlign val="subscript"/>
        <sz val="12"/>
        <color theme="1"/>
        <rFont val="Calibri"/>
        <family val="2"/>
        <scheme val="minor"/>
      </rPr>
      <t>G</t>
    </r>
  </si>
  <si>
    <t>h/b</t>
  </si>
  <si>
    <t>M-1-I-1-1</t>
  </si>
  <si>
    <t>M-1-I-1-2</t>
  </si>
  <si>
    <t>M-1-I-1-3</t>
  </si>
  <si>
    <t>M-1-I-1-4</t>
  </si>
  <si>
    <t>M-1-I-1-5</t>
  </si>
  <si>
    <t>M-1-I-1-6</t>
  </si>
  <si>
    <t>M-1-I-1-7</t>
  </si>
  <si>
    <t>M-1-I-1-8</t>
  </si>
  <si>
    <t>M-1-I-2-1</t>
  </si>
  <si>
    <t>M-1-I-2-2</t>
  </si>
  <si>
    <t>M-1-I-2-3</t>
  </si>
  <si>
    <t>M-1-I-2-4</t>
  </si>
  <si>
    <t>M-1-I-2-5</t>
  </si>
  <si>
    <t>M-1-I-2-6</t>
  </si>
  <si>
    <t>M-1-I-2-7</t>
  </si>
  <si>
    <t>M-1-I-2-8</t>
  </si>
  <si>
    <t>M-1-I-3-1</t>
  </si>
  <si>
    <t>M-1-I-3-2</t>
  </si>
  <si>
    <t>M-1-I-3-3</t>
  </si>
  <si>
    <t>M-1-I-3-4</t>
  </si>
  <si>
    <t>M-1-I-3-5</t>
  </si>
  <si>
    <t>M-1-I-3-6</t>
  </si>
  <si>
    <t>M-1-I-3-7</t>
  </si>
  <si>
    <t>M-1-I-3-8</t>
  </si>
  <si>
    <t>M-1-I-4-1</t>
  </si>
  <si>
    <t>M-1-I-4-2</t>
  </si>
  <si>
    <t>M-1-I-4-3</t>
  </si>
  <si>
    <t>M-1-I-4-4</t>
  </si>
  <si>
    <t>M-1-I-4-5</t>
  </si>
  <si>
    <t>M-1-I-4-6</t>
  </si>
  <si>
    <t>M-1-I-4-7</t>
  </si>
  <si>
    <t>M-1-I-4-8</t>
  </si>
  <si>
    <t>M-1-I-5-1</t>
  </si>
  <si>
    <t>M-1-I-5-2</t>
  </si>
  <si>
    <t>M-1-I-5-3</t>
  </si>
  <si>
    <t>M-1-I-5-4</t>
  </si>
  <si>
    <t>M-1-I-5-5</t>
  </si>
  <si>
    <t>M-1-I-5-6</t>
  </si>
  <si>
    <t>M-1-I-5-7</t>
  </si>
  <si>
    <t>M-1-I-5-8</t>
  </si>
  <si>
    <t>M-1-I-6-1</t>
  </si>
  <si>
    <t>M-1-I-6-2</t>
  </si>
  <si>
    <t>M-1-I-6-3</t>
  </si>
  <si>
    <t>M-1-I-6-4</t>
  </si>
  <si>
    <t>M-1-I-6-5</t>
  </si>
  <si>
    <t>M-1-I-6-6</t>
  </si>
  <si>
    <t>M-1-I-6-7</t>
  </si>
  <si>
    <t>M-1-I-6-8</t>
  </si>
  <si>
    <t>M-1-H-1-1</t>
  </si>
  <si>
    <t>M-1-H-1-2</t>
  </si>
  <si>
    <t>M-1-H-1-3</t>
  </si>
  <si>
    <t>M-1-H-1-4</t>
  </si>
  <si>
    <t>M-1-H-1-5</t>
  </si>
  <si>
    <t>M-1-H-1-6</t>
  </si>
  <si>
    <t>M-1-H-1-7</t>
  </si>
  <si>
    <t>M-1-H-1-8</t>
  </si>
  <si>
    <t>M-1-H-2-1</t>
  </si>
  <si>
    <t>M-1-H-2-2</t>
  </si>
  <si>
    <t>M-1-H-2-3</t>
  </si>
  <si>
    <t>M-1-H-2-4</t>
  </si>
  <si>
    <t>M-1-H-2-5</t>
  </si>
  <si>
    <t>M-1-H-2-6</t>
  </si>
  <si>
    <t>M-1-H-2-7</t>
  </si>
  <si>
    <t>M-1-H-2-8</t>
  </si>
  <si>
    <t>M-1-H-3-1</t>
  </si>
  <si>
    <t>M-1-H-3-2</t>
  </si>
  <si>
    <t>M-1-H-3-3</t>
  </si>
  <si>
    <t>M-1-H-3-4</t>
  </si>
  <si>
    <t>M-1-H-3-5</t>
  </si>
  <si>
    <t>M-1-H-3-6</t>
  </si>
  <si>
    <t>M-1-H-3-7</t>
  </si>
  <si>
    <t>M-1-H-3-8</t>
  </si>
  <si>
    <t>M-1-H-4-1</t>
  </si>
  <si>
    <t>M-1-H-4-2</t>
  </si>
  <si>
    <t>M-1-H-4-3</t>
  </si>
  <si>
    <t>M-1-H-4-4</t>
  </si>
  <si>
    <t>M-1-H-4-5</t>
  </si>
  <si>
    <t>M-1-H-4-6</t>
  </si>
  <si>
    <t>M-1-H-4-7</t>
  </si>
  <si>
    <t>M-1-H-4-8</t>
  </si>
  <si>
    <t>M-1-H-5-1</t>
  </si>
  <si>
    <t>M-1-H-5-2</t>
  </si>
  <si>
    <t>M-1-H-5-3</t>
  </si>
  <si>
    <t>M-1-H-5-4</t>
  </si>
  <si>
    <t>M-1-H-5-5</t>
  </si>
  <si>
    <t>M-1-H-5-6</t>
  </si>
  <si>
    <t>M-1-H-5-7</t>
  </si>
  <si>
    <t>M-1-H-5-8</t>
  </si>
  <si>
    <t>M-1-H-6-1</t>
  </si>
  <si>
    <t>M-1-H-6-2</t>
  </si>
  <si>
    <t>M-1-H-6-3</t>
  </si>
  <si>
    <t>M-1-H-6-4</t>
  </si>
  <si>
    <t>M-1-H-6-5</t>
  </si>
  <si>
    <t>M-1-H-6-6</t>
  </si>
  <si>
    <t>M-1-H-6-7</t>
  </si>
  <si>
    <t>M-1-H-6-8</t>
  </si>
  <si>
    <t>M-2-I-1-1</t>
  </si>
  <si>
    <t>M-2-I-1-2</t>
  </si>
  <si>
    <t>M-2-I-1-3</t>
  </si>
  <si>
    <t>M-2-I-1-4</t>
  </si>
  <si>
    <t>M-2-I-1-5</t>
  </si>
  <si>
    <t>M-2-I-1-6</t>
  </si>
  <si>
    <t>M-2-I-1-7</t>
  </si>
  <si>
    <t>M-2-I-1-8</t>
  </si>
  <si>
    <t>M-2-I-2-1</t>
  </si>
  <si>
    <t>M-2-I-2-2</t>
  </si>
  <si>
    <t>M-2-I-2-3</t>
  </si>
  <si>
    <t>M-2-I-2-4</t>
  </si>
  <si>
    <t>M-2-I-2-5</t>
  </si>
  <si>
    <t>M-2-I-2-6</t>
  </si>
  <si>
    <t>M-2-I-2-7</t>
  </si>
  <si>
    <t>M-2-I-2-8</t>
  </si>
  <si>
    <t>M-2-I-3-1</t>
  </si>
  <si>
    <t>M-2-I-3-2</t>
  </si>
  <si>
    <t>M-2-I-3-3</t>
  </si>
  <si>
    <t>M-2-I-3-4</t>
  </si>
  <si>
    <t>M-2-I-3-5</t>
  </si>
  <si>
    <t>M-2-I-3-6</t>
  </si>
  <si>
    <t>M-2-I-3-7</t>
  </si>
  <si>
    <t>M-2-I-3-8</t>
  </si>
  <si>
    <t>M-2-I-4-1</t>
  </si>
  <si>
    <t>M-2-I-4-2</t>
  </si>
  <si>
    <t>M-2-I-4-3</t>
  </si>
  <si>
    <t>M-2-I-4-4</t>
  </si>
  <si>
    <t>M-2-I-4-5</t>
  </si>
  <si>
    <t>M-2-I-4-6</t>
  </si>
  <si>
    <t>M-2-I-4-7</t>
  </si>
  <si>
    <t>M-2-I-4-8</t>
  </si>
  <si>
    <t>M-2-I-5-1</t>
  </si>
  <si>
    <t>M-2-I-5-2</t>
  </si>
  <si>
    <t>M-2-I-5-3</t>
  </si>
  <si>
    <t>M-2-I-5-4</t>
  </si>
  <si>
    <t>M-2-I-5-5</t>
  </si>
  <si>
    <t>M-2-I-5-6</t>
  </si>
  <si>
    <t>M-2-I-5-7</t>
  </si>
  <si>
    <t>M-2-I-5-8</t>
  </si>
  <si>
    <t>M-2-I-6-1</t>
  </si>
  <si>
    <t>M-2-I-6-2</t>
  </si>
  <si>
    <t>M-2-I-6-3</t>
  </si>
  <si>
    <t>M-2-I-6-4</t>
  </si>
  <si>
    <t>M-2-I-6-5</t>
  </si>
  <si>
    <t>M-2-I-6-6</t>
  </si>
  <si>
    <t>M-2-I-6-7</t>
  </si>
  <si>
    <t>M-2-I-6-8</t>
  </si>
  <si>
    <t>M-2-H-1-1</t>
  </si>
  <si>
    <t>M-2-H-1-2</t>
  </si>
  <si>
    <t>M-2-H-1-3</t>
  </si>
  <si>
    <t>M-2-H-1-4</t>
  </si>
  <si>
    <t>M-2-H-1-5</t>
  </si>
  <si>
    <t>M-2-H-1-6</t>
  </si>
  <si>
    <t>M-2-H-1-7</t>
  </si>
  <si>
    <t>M-2-H-1-8</t>
  </si>
  <si>
    <t>M-2-H-2-1</t>
  </si>
  <si>
    <t>M-2-H-2-2</t>
  </si>
  <si>
    <t>M-2-H-2-3</t>
  </si>
  <si>
    <t>M-2-H-2-4</t>
  </si>
  <si>
    <t>M-2-H-2-5</t>
  </si>
  <si>
    <t>M-2-H-2-6</t>
  </si>
  <si>
    <t>M-2-H-2-7</t>
  </si>
  <si>
    <t>M-2-H-2-8</t>
  </si>
  <si>
    <t>M-2-H-3-1</t>
  </si>
  <si>
    <t>M-2-H-3-2</t>
  </si>
  <si>
    <t>M-2-H-3-3</t>
  </si>
  <si>
    <t>M-2-H-3-4</t>
  </si>
  <si>
    <t>M-2-H-3-5</t>
  </si>
  <si>
    <t>M-2-H-3-6</t>
  </si>
  <si>
    <t>M-2-H-3-7</t>
  </si>
  <si>
    <t>M-2-H-3-8</t>
  </si>
  <si>
    <t>M-2-H-4-1</t>
  </si>
  <si>
    <t>M-2-H-4-2</t>
  </si>
  <si>
    <t>M-2-H-4-3</t>
  </si>
  <si>
    <t>M-2-H-4-4</t>
  </si>
  <si>
    <t>M-2-H-4-5</t>
  </si>
  <si>
    <t>M-2-H-4-6</t>
  </si>
  <si>
    <t>M-2-H-4-7</t>
  </si>
  <si>
    <t>M-2-H-4-8</t>
  </si>
  <si>
    <t>M-2-H-5-1</t>
  </si>
  <si>
    <t>M-2-H-5-2</t>
  </si>
  <si>
    <t>M-2-H-5-3</t>
  </si>
  <si>
    <t>M-2-H-5-4</t>
  </si>
  <si>
    <t>M-2-H-5-5</t>
  </si>
  <si>
    <t>M-2-H-5-6</t>
  </si>
  <si>
    <t>M-2-H-5-7</t>
  </si>
  <si>
    <t>M-2-H-5-8</t>
  </si>
  <si>
    <t>M-2-H-6-1</t>
  </si>
  <si>
    <t>M-2-H-6-2</t>
  </si>
  <si>
    <t>M-2-H-6-3</t>
  </si>
  <si>
    <t>M-2-H-6-4</t>
  </si>
  <si>
    <t>M-2-H-6-5</t>
  </si>
  <si>
    <t>M-2-H-6-6</t>
  </si>
  <si>
    <t>M-2-H-6-7</t>
  </si>
  <si>
    <t>M-2-H-6-8</t>
  </si>
  <si>
    <t>M-3-I-1-1</t>
  </si>
  <si>
    <t>M-3-I-1-2</t>
  </si>
  <si>
    <t>M-3-I-1-3</t>
  </si>
  <si>
    <t>M-3-I-1-4</t>
  </si>
  <si>
    <t>M-3-I-1-5</t>
  </si>
  <si>
    <t>M-3-I-1-6</t>
  </si>
  <si>
    <t>M-3-I-1-7</t>
  </si>
  <si>
    <t>M-3-I-1-8</t>
  </si>
  <si>
    <t>M-3-I-2-1</t>
  </si>
  <si>
    <t>M-3-I-2-2</t>
  </si>
  <si>
    <t>M-3-I-2-3</t>
  </si>
  <si>
    <t>M-3-I-2-4</t>
  </si>
  <si>
    <t>M-3-I-2-5</t>
  </si>
  <si>
    <t>M-3-I-2-6</t>
  </si>
  <si>
    <t>M-3-I-2-7</t>
  </si>
  <si>
    <t>M-3-I-2-8</t>
  </si>
  <si>
    <t>M-3-I-3-1</t>
  </si>
  <si>
    <t>M-3-I-3-2</t>
  </si>
  <si>
    <t>M-3-I-3-3</t>
  </si>
  <si>
    <t>M-3-I-3-4</t>
  </si>
  <si>
    <t>M-3-I-3-5</t>
  </si>
  <si>
    <t>M-3-I-3-6</t>
  </si>
  <si>
    <t>M-3-I-3-7</t>
  </si>
  <si>
    <t>M-3-I-3-8</t>
  </si>
  <si>
    <t>M-3-I-4-1</t>
  </si>
  <si>
    <t>M-3-I-4-2</t>
  </si>
  <si>
    <t>M-3-I-4-3</t>
  </si>
  <si>
    <t>M-3-I-4-4</t>
  </si>
  <si>
    <t>M-3-I-4-5</t>
  </si>
  <si>
    <t>M-3-I-4-6</t>
  </si>
  <si>
    <t>M-3-I-4-7</t>
  </si>
  <si>
    <t>M-3-I-4-8</t>
  </si>
  <si>
    <t>M-3-I-5-1</t>
  </si>
  <si>
    <t>M-3-I-5-2</t>
  </si>
  <si>
    <t>M-3-I-5-3</t>
  </si>
  <si>
    <t>M-3-I-5-4</t>
  </si>
  <si>
    <t>M-3-I-5-5</t>
  </si>
  <si>
    <t>M-3-I-5-6</t>
  </si>
  <si>
    <t>M-3-I-5-7</t>
  </si>
  <si>
    <t>M-3-I-5-8</t>
  </si>
  <si>
    <t>M-3-I-6-1</t>
  </si>
  <si>
    <t>M-3-I-6-2</t>
  </si>
  <si>
    <t>M-3-I-6-3</t>
  </si>
  <si>
    <t>M-3-I-6-4</t>
  </si>
  <si>
    <t>M-3-I-6-5</t>
  </si>
  <si>
    <t>M-3-I-6-6</t>
  </si>
  <si>
    <t>M-3-I-6-7</t>
  </si>
  <si>
    <t>M-3-I-6-8</t>
  </si>
  <si>
    <t>M-3-H-1-1</t>
  </si>
  <si>
    <t>M-3-H-1-2</t>
  </si>
  <si>
    <t>M-3-H-1-3</t>
  </si>
  <si>
    <t>M-3-H-1-4</t>
  </si>
  <si>
    <t>M-3-H-1-5</t>
  </si>
  <si>
    <t>M-3-H-1-6</t>
  </si>
  <si>
    <t>M-3-H-1-7</t>
  </si>
  <si>
    <t>M-3-H-1-8</t>
  </si>
  <si>
    <t>M-3-H-2-1</t>
  </si>
  <si>
    <t>M-3-H-2-2</t>
  </si>
  <si>
    <t>M-3-H-2-3</t>
  </si>
  <si>
    <t>M-3-H-2-4</t>
  </si>
  <si>
    <t>M-3-H-2-5</t>
  </si>
  <si>
    <t>M-3-H-2-6</t>
  </si>
  <si>
    <t>M-3-H-2-7</t>
  </si>
  <si>
    <t>M-3-H-2-8</t>
  </si>
  <si>
    <t>M-3-H-3-1</t>
  </si>
  <si>
    <t>M-3-H-3-2</t>
  </si>
  <si>
    <t>M-3-H-3-3</t>
  </si>
  <si>
    <t>M-3-H-3-4</t>
  </si>
  <si>
    <t>M-3-H-3-5</t>
  </si>
  <si>
    <t>M-3-H-3-6</t>
  </si>
  <si>
    <t>M-3-H-3-7</t>
  </si>
  <si>
    <t>M-3-H-3-8</t>
  </si>
  <si>
    <t>M-3-H-4-1</t>
  </si>
  <si>
    <t>M-3-H-4-2</t>
  </si>
  <si>
    <t>M-3-H-4-3</t>
  </si>
  <si>
    <t>M-3-H-4-4</t>
  </si>
  <si>
    <t>M-3-H-4-5</t>
  </si>
  <si>
    <t>M-3-H-4-6</t>
  </si>
  <si>
    <t>M-3-H-4-7</t>
  </si>
  <si>
    <t>M-3-H-4-8</t>
  </si>
  <si>
    <t>M-3-H-5-1</t>
  </si>
  <si>
    <t>M-3-H-5-2</t>
  </si>
  <si>
    <t>M-3-H-5-3</t>
  </si>
  <si>
    <t>M-3-H-5-4</t>
  </si>
  <si>
    <t>M-3-H-5-5</t>
  </si>
  <si>
    <t>M-3-H-5-6</t>
  </si>
  <si>
    <t>M-3-H-5-7</t>
  </si>
  <si>
    <t>M-3-H-5-8</t>
  </si>
  <si>
    <t>M-3-H-6-1</t>
  </si>
  <si>
    <t>M-3-H-6-2</t>
  </si>
  <si>
    <t>M-3-H-6-3</t>
  </si>
  <si>
    <t>M-3-H-6-4</t>
  </si>
  <si>
    <t>M-3-H-6-5</t>
  </si>
  <si>
    <t>M-3-H-6-6</t>
  </si>
  <si>
    <t>M-3-H-6-7</t>
  </si>
  <si>
    <t>M-3-H-6-8</t>
  </si>
  <si>
    <t>S_1_690_M-1-I-2-3_GMNIA_N__11</t>
  </si>
  <si>
    <t>S_1_690_M-1-I-2-4_GMNIA_N__12</t>
  </si>
  <si>
    <t>S_1_690_M-1-I-2-5_GMNIA_N__13</t>
  </si>
  <si>
    <t>S_1_690_M-1-I-2-6_GMNIA_N__14</t>
  </si>
  <si>
    <t>S_1_690_M-1-I-2-7_GMNIA_N__15</t>
  </si>
  <si>
    <t>S_1_690_M-1-I-2-8_GMNIA_N__16</t>
  </si>
  <si>
    <t>S_1_690_M-1-I-3-1_GMNIA_N__17</t>
  </si>
  <si>
    <t>S_1_690_M-1-I-3-2_GMNIA_N__18</t>
  </si>
  <si>
    <t>S_1_690_M-1-I-3-3_GMNIA_N__19</t>
  </si>
  <si>
    <t>S_1_690_M-1-I-3-4_GMNIA_N__20</t>
  </si>
  <si>
    <t>S_1_690_M-1-I-3-5_GMNIA_N__21</t>
  </si>
  <si>
    <t>S_1_690_M-1-I-3-6_GMNIA_N__22</t>
  </si>
  <si>
    <t>S_1_690_M-1-I-3-7_GMNIA_N__23</t>
  </si>
  <si>
    <t>S_1_690_M-1-I-3-8_GMNIA_N__24</t>
  </si>
  <si>
    <t>S_1_690_M-1-I-4-1_GMNIA_N__25</t>
  </si>
  <si>
    <t>S_1_690_M-1-I-4-2_GMNIA_N__26</t>
  </si>
  <si>
    <t>S_1_690_M-1-I-4-3_GMNIA_N__27</t>
  </si>
  <si>
    <t>S_1_690_M-1-I-4-4_GMNIA_N__28</t>
  </si>
  <si>
    <t>S_1_690_M-1-I-4-5_GMNIA_N__29</t>
  </si>
  <si>
    <t>S_1_690_M-1-I-4-6_GMNIA_N__30</t>
  </si>
  <si>
    <t>S_1_690_M-1-I-4-7_GMNIA_N__31</t>
  </si>
  <si>
    <t>S_1_690_M-1-I-4-8_GMNIA_N__32</t>
  </si>
  <si>
    <t>S_1_690_M-1-I-5-1_GMNIA_N__33</t>
  </si>
  <si>
    <t>S_1_690_M-1-I-5-2_GMNIA_N__34</t>
  </si>
  <si>
    <t>S_1_690_M-1-I-5-3_GMNIA_N__35</t>
  </si>
  <si>
    <t>S_1_690_M-1-I-5-4_GMNIA_N__36</t>
  </si>
  <si>
    <t>S_1_690_M-1-I-5-5_GMNIA_N__37</t>
  </si>
  <si>
    <t>S_1_690_M-1-I-5-6_GMNIA_N__38</t>
  </si>
  <si>
    <t>S_1_690_M-1-I-5-7_GMNIA_N__39</t>
  </si>
  <si>
    <t>S_1_690_M-1-I-5-8_GMNIA_N__40</t>
  </si>
  <si>
    <t>S_1_690_M-1-I-6-1_GMNIA_N__41</t>
  </si>
  <si>
    <t>S_1_690_M-1-I-6-2_GMNIA_N__42</t>
  </si>
  <si>
    <t>S_1_690_M-1-I-6-3_GMNIA_N__43</t>
  </si>
  <si>
    <t>S_1_690_M-1-I-6-4_GMNIA_N__44</t>
  </si>
  <si>
    <t>S_1_690_M-1-I-6-5_GMNIA_N__45</t>
  </si>
  <si>
    <t>S_1_690_M-1-I-6-6_GMNIA_N__46</t>
  </si>
  <si>
    <t>S_1_690_M-1-I-6-7_GMNIA_N__47</t>
  </si>
  <si>
    <t>S_1_690_M-1-I-6-8_GMNIA_N__48</t>
  </si>
  <si>
    <t>S_1_690_M-1-H-1-1_GMNIA_N__49</t>
  </si>
  <si>
    <t>S_1_690_M-1-H-1-2_GMNIA_N__50</t>
  </si>
  <si>
    <t>S_1_690_M-1-H-1-3_GMNIA_N__51</t>
  </si>
  <si>
    <t>S_1_690_M-1-H-1-4_GMNIA_N__52</t>
  </si>
  <si>
    <t>S_1_690_M-1-H-1-5_GMNIA_N__53</t>
  </si>
  <si>
    <t>S_1_690_M-1-H-1-6_GMNIA_N__54</t>
  </si>
  <si>
    <t>S_1_690_M-1-H-1-7_GMNIA_N__55</t>
  </si>
  <si>
    <t>S_1_690_M-1-H-1-8_GMNIA_N__56</t>
  </si>
  <si>
    <t>S_1_690_M-1-H-2-1_GMNIA_N__57</t>
  </si>
  <si>
    <t>S_1_690_M-1-H-2-2_GMNIA_N__58</t>
  </si>
  <si>
    <t>S_1_690_M-1-H-2-3_GMNIA_N__59</t>
  </si>
  <si>
    <t>S_1_690_M-1-H-2-4_GMNIA_N__60</t>
  </si>
  <si>
    <t>S_1_690_M-1-H-2-5_GMNIA_N__61</t>
  </si>
  <si>
    <t>S_1_690_M-1-H-2-6_GMNIA_N__62</t>
  </si>
  <si>
    <t>S_1_690_M-1-H-2-7_GMNIA_N__63</t>
  </si>
  <si>
    <t>S_1_690_M-1-H-2-8_GMNIA_N__64</t>
  </si>
  <si>
    <t>S_1_690_M-1-H-3-1_GMNIA_N__65</t>
  </si>
  <si>
    <t>S_1_690_M-1-H-3-2_GMNIA_N__66</t>
  </si>
  <si>
    <t>S_1_690_M-1-H-3-3_GMNIA_N__67</t>
  </si>
  <si>
    <t>S_1_690_M-1-H-3-4_GMNIA_N__68</t>
  </si>
  <si>
    <t>S_1_690_M-1-H-3-5_GMNIA_N__69</t>
  </si>
  <si>
    <t>S_1_690_M-1-H-3-6_GMNIA_N__70</t>
  </si>
  <si>
    <t>S_1_690_M-1-H-3-7_GMNIA_N__71</t>
  </si>
  <si>
    <t>S_1_690_M-1-H-3-8_GMNIA_N__72</t>
  </si>
  <si>
    <t>S_1_690_M-1-H-4-1_GMNIA_N__73</t>
  </si>
  <si>
    <t>S_1_690_M-1-H-4-2_GMNIA_N__74</t>
  </si>
  <si>
    <t>S_1_690_M-1-H-4-3_GMNIA_N__75</t>
  </si>
  <si>
    <t>S_1_690_M-1-H-4-4_GMNIA_N__76</t>
  </si>
  <si>
    <t>S_1_690_M-1-H-4-5_GMNIA_N__77</t>
  </si>
  <si>
    <t>S_1_690_M-1-H-4-6_GMNIA_N__78</t>
  </si>
  <si>
    <t>S_1_690_M-1-H-4-7_GMNIA_N__79</t>
  </si>
  <si>
    <t>S_1_690_M-1-H-4-8_GMNIA_N__80</t>
  </si>
  <si>
    <t>S_1_690_M-1-H-5-1_GMNIA_N__81</t>
  </si>
  <si>
    <t>S_1_690_M-1-H-5-2_GMNIA_N__82</t>
  </si>
  <si>
    <t>S_1_690_M-1-H-5-3_GMNIA_N__83</t>
  </si>
  <si>
    <t>S_1_690_M-1-H-5-4_GMNIA_N__84</t>
  </si>
  <si>
    <t>S_1_690_M-1-H-5-5_GMNIA_N__85</t>
  </si>
  <si>
    <t>S_1_690_M-1-H-5-6_GMNIA_N__86</t>
  </si>
  <si>
    <t>S_1_690_M-1-H-5-7_GMNIA_N__87</t>
  </si>
  <si>
    <t>S_1_690_M-1-H-5-8_GMNIA_N__88</t>
  </si>
  <si>
    <t>S_1_690_M-1-H-6-1_GMNIA_N__89</t>
  </si>
  <si>
    <t>S_1_690_M-1-H-6-2_GMNIA_N__90</t>
  </si>
  <si>
    <t>S_1_690_M-1-H-6-3_GMNIA_N__91</t>
  </si>
  <si>
    <t>S_1_690_M-1-H-6-4_GMNIA_N__92</t>
  </si>
  <si>
    <t>S_1_690_M-1-H-6-5_GMNIA_N__93</t>
  </si>
  <si>
    <t>S_1_690_M-1-H-6-6_GMNIA_N__94</t>
  </si>
  <si>
    <t>S_1_690_M-1-H-6-7_GMNIA_N__95</t>
  </si>
  <si>
    <t>S_1_690_M-1-H-6-8_GMNIA_N__96</t>
  </si>
  <si>
    <t>S_1_690_M-2-I-1-1_GMNIA_N__97</t>
  </si>
  <si>
    <t>S_1_690_M-2-I-1-2_GMNIA_N__98</t>
  </si>
  <si>
    <t>S_1_690_M-2-I-1-3_GMNIA_N__99</t>
  </si>
  <si>
    <t>S_1_690_M-2-I-1-4_GMNIA_N__100</t>
  </si>
  <si>
    <t>S_1_690_M-2-I-1-5_GMNIA_N__101</t>
  </si>
  <si>
    <t>S_1_690_M-2-I-1-6_GMNIA_N__102</t>
  </si>
  <si>
    <t>S_1_690_M-2-I-1-7_GMNIA_N__103</t>
  </si>
  <si>
    <t>S_1_690_M-2-I-1-8_GMNIA_N__104</t>
  </si>
  <si>
    <t>S_1_690_M-2-I-2-1_GMNIA_N__105</t>
  </si>
  <si>
    <t>S_1_690_M-2-I-2-2_GMNIA_N__106</t>
  </si>
  <si>
    <t>S_1_690_M-2-I-2-3_GMNIA_N__107</t>
  </si>
  <si>
    <t>S_1_690_M-2-I-2-4_GMNIA_N__108</t>
  </si>
  <si>
    <t>S_1_690_M-2-I-2-5_GMNIA_N__109</t>
  </si>
  <si>
    <t>S_1_690_M-2-I-2-6_GMNIA_N__110</t>
  </si>
  <si>
    <t>S_1_690_M-2-I-2-7_GMNIA_N__111</t>
  </si>
  <si>
    <t>S_1_690_M-2-I-2-8_GMNIA_N__112</t>
  </si>
  <si>
    <t>S_1_690_M-2-I-3-1_GMNIA_N__113</t>
  </si>
  <si>
    <t>S_1_690_M-2-I-3-2_GMNIA_N__114</t>
  </si>
  <si>
    <t>S_1_690_M-2-I-3-3_GMNIA_N__115</t>
  </si>
  <si>
    <t>S_1_690_M-2-I-3-4_GMNIA_N__116</t>
  </si>
  <si>
    <t>S_1_690_M-2-I-3-5_GMNIA_N__117</t>
  </si>
  <si>
    <t>S_1_690_M-2-I-3-6_GMNIA_N__118</t>
  </si>
  <si>
    <t>S_1_690_M-2-I-3-7_GMNIA_N__119</t>
  </si>
  <si>
    <t>S_1_690_M-2-I-3-8_GMNIA_N__120</t>
  </si>
  <si>
    <t>S_1_690_M-2-I-4-1_GMNIA_N__121</t>
  </si>
  <si>
    <t>S_1_690_M-2-I-4-2_GMNIA_N__122</t>
  </si>
  <si>
    <t>S_1_690_M-2-I-4-3_GMNIA_N__123</t>
  </si>
  <si>
    <t>S_1_690_M-2-I-4-4_GMNIA_N__124</t>
  </si>
  <si>
    <t>S_1_690_M-2-I-4-5_GMNIA_N__125</t>
  </si>
  <si>
    <t>S_1_690_M-2-I-4-6_GMNIA_N__126</t>
  </si>
  <si>
    <t>S_1_690_M-2-I-4-7_GMNIA_N__127</t>
  </si>
  <si>
    <t>S_1_690_M-2-I-4-8_GMNIA_N__128</t>
  </si>
  <si>
    <t>S_1_690_M-2-I-5-1_GMNIA_N__129</t>
  </si>
  <si>
    <t>S_1_690_M-2-I-5-2_GMNIA_N__130</t>
  </si>
  <si>
    <t>S_1_690_M-2-I-5-3_GMNIA_N__131</t>
  </si>
  <si>
    <t>S_1_690_M-2-I-5-4_GMNIA_N__132</t>
  </si>
  <si>
    <t>S_1_690_M-2-I-5-5_GMNIA_N__133</t>
  </si>
  <si>
    <t>S_1_690_M-2-I-5-6_GMNIA_N__134</t>
  </si>
  <si>
    <t>S_1_690_M-2-I-5-7_GMNIA_N__135</t>
  </si>
  <si>
    <t>S_1_690_M-2-I-5-8_GMNIA_N__136</t>
  </si>
  <si>
    <t>S_1_690_M-2-I-6-1_GMNIA_N__137</t>
  </si>
  <si>
    <t>S_1_690_M-2-I-6-2_GMNIA_N__138</t>
  </si>
  <si>
    <t>S_1_690_M-2-I-6-3_GMNIA_N__139</t>
  </si>
  <si>
    <t>S_1_690_M-2-I-6-4_GMNIA_N__140</t>
  </si>
  <si>
    <t>S_1_690_M-2-I-6-5_GMNIA_N__141</t>
  </si>
  <si>
    <t>S_1_690_M-2-I-6-6_GMNIA_N__142</t>
  </si>
  <si>
    <t>S_1_690_M-2-I-6-7_GMNIA_N__143</t>
  </si>
  <si>
    <t>S_1_690_M-2-I-6-8_GMNIA_N__144</t>
  </si>
  <si>
    <t>S_1_690_M-2-H-1-1_GMNIA_N__145</t>
  </si>
  <si>
    <t>S_1_690_M-2-H-1-2_GMNIA_N__146</t>
  </si>
  <si>
    <t>S_1_690_M-2-H-1-3_GMNIA_N__147</t>
  </si>
  <si>
    <t>S_1_690_M-2-H-1-4_GMNIA_N__148</t>
  </si>
  <si>
    <t>S_1_690_M-2-H-1-5_GMNIA_N__149</t>
  </si>
  <si>
    <t>S_1_690_M-2-H-1-6_GMNIA_N__150</t>
  </si>
  <si>
    <t>S_1_690_M-2-H-1-7_GMNIA_N__151</t>
  </si>
  <si>
    <t>S_1_690_M-2-H-1-8_GMNIA_N__152</t>
  </si>
  <si>
    <t>S_1_690_M-2-H-2-1_GMNIA_N__153</t>
  </si>
  <si>
    <t>S_1_690_M-2-H-2-2_GMNIA_N__154</t>
  </si>
  <si>
    <t>S_1_690_M-2-H-2-3_GMNIA_N__155</t>
  </si>
  <si>
    <t>S_1_690_M-2-H-2-4_GMNIA_N__156</t>
  </si>
  <si>
    <t>S_1_690_M-2-H-2-5_GMNIA_N__157</t>
  </si>
  <si>
    <t>S_1_690_M-2-H-2-6_GMNIA_N__158</t>
  </si>
  <si>
    <t>S_1_690_M-2-H-2-7_GMNIA_N__159</t>
  </si>
  <si>
    <t>S_1_690_M-2-H-2-8_GMNIA_N__160</t>
  </si>
  <si>
    <t>S_1_690_M-2-H-3-1_GMNIA_N__161</t>
  </si>
  <si>
    <t>S_1_690_M-2-H-3-2_GMNIA_N__162</t>
  </si>
  <si>
    <t>S_1_690_M-2-H-3-3_GMNIA_N__163</t>
  </si>
  <si>
    <t>S_1_690_M-2-H-3-4_GMNIA_N__164</t>
  </si>
  <si>
    <t>S_1_690_M-2-H-3-5_GMNIA_N__165</t>
  </si>
  <si>
    <t>S_1_690_M-2-H-3-6_GMNIA_N__166</t>
  </si>
  <si>
    <t>S_1_690_M-2-H-3-7_GMNIA_N__167</t>
  </si>
  <si>
    <t>S_1_690_M-2-H-3-8_GMNIA_N__168</t>
  </si>
  <si>
    <t>S_1_690_M-2-H-4-1_GMNIA_N__169</t>
  </si>
  <si>
    <t>S_1_690_M-2-H-4-2_GMNIA_N__170</t>
  </si>
  <si>
    <t>S_1_690_M-2-H-4-3_GMNIA_N__171</t>
  </si>
  <si>
    <t>S_1_690_M-2-H-4-4_GMNIA_N__172</t>
  </si>
  <si>
    <t>S_1_690_M-2-H-4-5_GMNIA_N__173</t>
  </si>
  <si>
    <t>S_1_690_M-2-H-4-6_GMNIA_N__174</t>
  </si>
  <si>
    <t>S_1_690_M-2-H-4-7_GMNIA_N__175</t>
  </si>
  <si>
    <t>S_1_690_M-2-H-4-8_GMNIA_N__176</t>
  </si>
  <si>
    <t>S_1_690_M-2-H-5-1_GMNIA_N__177</t>
  </si>
  <si>
    <t>S_1_690_M-2-H-5-2_GMNIA_N__178</t>
  </si>
  <si>
    <t>S_1_690_M-2-H-5-3_GMNIA_N__179</t>
  </si>
  <si>
    <t>S_1_690_M-2-H-5-4_GMNIA_N__180</t>
  </si>
  <si>
    <t>S_1_690_M-2-H-5-5_GMNIA_N__181</t>
  </si>
  <si>
    <t>S_1_690_M-2-H-5-6_GMNIA_N__182</t>
  </si>
  <si>
    <t>S_1_690_M-2-H-5-7_GMNIA_N__183</t>
  </si>
  <si>
    <t>S_1_690_M-2-H-5-8_GMNIA_N__184</t>
  </si>
  <si>
    <t>S_1_690_M-2-H-6-1_GMNIA_N__185</t>
  </si>
  <si>
    <t>S_1_690_M-2-H-6-2_GMNIA_N__186</t>
  </si>
  <si>
    <t>S_1_690_M-2-H-6-3_GMNIA_N__187</t>
  </si>
  <si>
    <t>S_1_690_M-2-H-6-4_GMNIA_N__188</t>
  </si>
  <si>
    <t>S_1_690_M-2-H-6-5_GMNIA_N__189</t>
  </si>
  <si>
    <t>S_1_690_M-2-H-6-6_GMNIA_N__190</t>
  </si>
  <si>
    <t>S_1_690_M-2-H-6-7_GMNIA_N__191</t>
  </si>
  <si>
    <t>S_1_690_M-2-H-6-8_GMNIA_N__192</t>
  </si>
  <si>
    <t>S_1_690_M-3-I-1-1_GMNIA_N__193</t>
  </si>
  <si>
    <t>S_1_690_M-3-I-1-2_GMNIA_N__194</t>
  </si>
  <si>
    <t>S_1_690_M-3-I-1-3_GMNIA_N__195</t>
  </si>
  <si>
    <t>S_1_690_M-3-I-1-4_GMNIA_N__196</t>
  </si>
  <si>
    <t>S_1_690_M-3-I-1-5_GMNIA_N__197</t>
  </si>
  <si>
    <t>S_1_690_M-3-I-1-6_GMNIA_N__198</t>
  </si>
  <si>
    <t>S_1_690_M-3-I-1-7_GMNIA_N__199</t>
  </si>
  <si>
    <t>S_1_690_M-3-I-1-8_GMNIA_N__200</t>
  </si>
  <si>
    <t>S_1_690_M-3-I-2-1_GMNIA_N__201</t>
  </si>
  <si>
    <t>S_1_690_M-3-I-2-2_GMNIA_N__202</t>
  </si>
  <si>
    <t>S_1_690_M-3-I-2-3_GMNIA_N__203</t>
  </si>
  <si>
    <t>S_1_690_M-3-I-2-4_GMNIA_N__204</t>
  </si>
  <si>
    <t>S_1_690_M-3-I-2-5_GMNIA_N__205</t>
  </si>
  <si>
    <t>S_1_690_M-3-I-2-6_GMNIA_N__206</t>
  </si>
  <si>
    <t>S_1_690_M-3-I-2-7_GMNIA_N__207</t>
  </si>
  <si>
    <t>S_1_690_M-3-I-2-8_GMNIA_N__208</t>
  </si>
  <si>
    <t>S_1_690_M-3-I-3-1_GMNIA_N__209</t>
  </si>
  <si>
    <t>S_1_690_M-3-I-3-2_GMNIA_N__210</t>
  </si>
  <si>
    <t>S_1_690_M-3-I-3-3_GMNIA_N__211</t>
  </si>
  <si>
    <t>S_1_690_M-3-I-3-4_GMNIA_N__212</t>
  </si>
  <si>
    <t>S_1_690_M-3-I-3-5_GMNIA_N__213</t>
  </si>
  <si>
    <t>S_1_690_M-3-I-3-6_GMNIA_N__214</t>
  </si>
  <si>
    <t>S_1_690_M-3-I-3-7_GMNIA_N__215</t>
  </si>
  <si>
    <t>S_1_690_M-3-I-3-8_GMNIA_N__216</t>
  </si>
  <si>
    <t>S_1_690_M-3-I-4-1_GMNIA_N__217</t>
  </si>
  <si>
    <t>S_1_690_M-3-I-4-2_GMNIA_N__218</t>
  </si>
  <si>
    <t>S_1_690_M-3-I-4-3_GMNIA_N__219</t>
  </si>
  <si>
    <t>S_1_690_M-3-I-4-4_GMNIA_N__220</t>
  </si>
  <si>
    <t>S_1_690_M-3-I-4-5_GMNIA_N__221</t>
  </si>
  <si>
    <t>S_1_690_M-3-I-4-6_GMNIA_N__222</t>
  </si>
  <si>
    <t>S_1_690_M-3-I-4-7_GMNIA_N__223</t>
  </si>
  <si>
    <t>S_1_690_M-3-I-4-8_GMNIA_N__224</t>
  </si>
  <si>
    <t>S_1_690_M-3-I-5-1_GMNIA_N__225</t>
  </si>
  <si>
    <t>S_1_690_M-3-I-5-2_GMNIA_N__226</t>
  </si>
  <si>
    <t>S_1_690_M-3-I-5-3_GMNIA_N__227</t>
  </si>
  <si>
    <t>S_1_690_M-3-I-5-4_GMNIA_N__228</t>
  </si>
  <si>
    <t>S_1_690_M-3-I-5-5_GMNIA_N__229</t>
  </si>
  <si>
    <t>S_1_690_M-3-I-5-6_GMNIA_N__230</t>
  </si>
  <si>
    <t>S_1_690_M-3-I-5-7_GMNIA_N__231</t>
  </si>
  <si>
    <t>S_1_690_M-3-I-5-8_GMNIA_N__232</t>
  </si>
  <si>
    <t>S_1_690_M-3-I-6-1_GMNIA_N__233</t>
  </si>
  <si>
    <t>S_1_690_M-3-I-6-2_GMNIA_N__234</t>
  </si>
  <si>
    <t>S_1_690_M-3-I-6-3_GMNIA_N__235</t>
  </si>
  <si>
    <t>S_1_690_M-3-I-6-4_GMNIA_N__236</t>
  </si>
  <si>
    <t>S_1_690_M-3-I-6-5_GMNIA_N__237</t>
  </si>
  <si>
    <t>S_1_690_M-3-I-6-6_GMNIA_N__238</t>
  </si>
  <si>
    <t>S_1_690_M-3-I-6-7_GMNIA_N__239</t>
  </si>
  <si>
    <t>S_1_690_M-3-I-6-8_GMNIA_N__240</t>
  </si>
  <si>
    <t>S_1_690_M-3-H-1-1_GMNIA_N__241</t>
  </si>
  <si>
    <t>S_1_690_M-3-H-1-2_GMNIA_N__242</t>
  </si>
  <si>
    <t>S_1_690_M-3-H-1-3_GMNIA_N__243</t>
  </si>
  <si>
    <t>S_1_690_M-3-H-1-4_GMNIA_N__244</t>
  </si>
  <si>
    <t>S_1_690_M-3-H-1-5_GMNIA_N__245</t>
  </si>
  <si>
    <t>S_1_690_M-3-H-1-6_GMNIA_N__246</t>
  </si>
  <si>
    <t>S_1_690_M-3-H-1-7_GMNIA_N__247</t>
  </si>
  <si>
    <t>S_1_690_M-3-H-1-8_GMNIA_N__248</t>
  </si>
  <si>
    <t>S_1_690_M-3-H-2-1_GMNIA_N__249</t>
  </si>
  <si>
    <t>S_1_690_M-3-H-2-2_GMNIA_N__250</t>
  </si>
  <si>
    <t>S_1_690_M-3-H-2-3_GMNIA_N__251</t>
  </si>
  <si>
    <t>S_1_690_M-3-H-2-4_GMNIA_N__252</t>
  </si>
  <si>
    <t>S_1_690_M-3-H-2-5_GMNIA_N__253</t>
  </si>
  <si>
    <t>S_1_690_M-3-H-2-6_GMNIA_N__254</t>
  </si>
  <si>
    <t>S_1_690_M-3-H-2-7_GMNIA_N__255</t>
  </si>
  <si>
    <t>S_1_690_M-3-H-2-8_GMNIA_N__256</t>
  </si>
  <si>
    <t>S_1_690_M-3-H-3-1_GMNIA_N__257</t>
  </si>
  <si>
    <t>S_1_690_M-3-H-3-2_GMNIA_N__258</t>
  </si>
  <si>
    <t>S_1_690_M-3-H-3-3_GMNIA_N__259</t>
  </si>
  <si>
    <t>S_1_690_M-3-H-3-4_GMNIA_N__260</t>
  </si>
  <si>
    <t>S_1_690_M-3-H-3-5_GMNIA_N__261</t>
  </si>
  <si>
    <t>S_1_690_M-3-H-3-6_GMNIA_N__262</t>
  </si>
  <si>
    <t>S_1_690_M-3-H-3-7_GMNIA_N__263</t>
  </si>
  <si>
    <t>S_1_690_M-3-H-3-8_GMNIA_N__264</t>
  </si>
  <si>
    <t>S_1_690_M-3-H-4-1_GMNIA_N__265</t>
  </si>
  <si>
    <t>S_1_690_M-3-H-4-2_GMNIA_N__266</t>
  </si>
  <si>
    <t>S_1_690_M-3-H-4-3_GMNIA_N__267</t>
  </si>
  <si>
    <t>S_1_690_M-3-H-4-4_GMNIA_N__268</t>
  </si>
  <si>
    <t>S_1_690_M-3-H-4-5_GMNIA_N__269</t>
  </si>
  <si>
    <t>S_1_690_M-3-H-4-6_GMNIA_N__270</t>
  </si>
  <si>
    <t>S_1_690_M-3-H-4-7_GMNIA_N__271</t>
  </si>
  <si>
    <t>S_1_690_M-3-H-4-8_GMNIA_N__272</t>
  </si>
  <si>
    <t>S_1_690_M-3-H-5-1_GMNIA_N__273</t>
  </si>
  <si>
    <t>S_1_690_M-3-H-5-2_GMNIA_N__274</t>
  </si>
  <si>
    <t>S_1_690_M-3-H-5-3_GMNIA_N__275</t>
  </si>
  <si>
    <t>S_1_690_M-3-H-5-4_GMNIA_N__276</t>
  </si>
  <si>
    <t>S_1_690_M-3-H-5-5_GMNIA_N__277</t>
  </si>
  <si>
    <t>S_1_690_M-3-H-5-6_GMNIA_N__278</t>
  </si>
  <si>
    <t>S_1_690_M-3-H-5-7_GMNIA_N__279</t>
  </si>
  <si>
    <t>S_1_690_M-3-H-5-8_GMNIA_N__280</t>
  </si>
  <si>
    <t>S_1_690_M-3-H-6-1_GMNIA_N__281</t>
  </si>
  <si>
    <t>S_1_690_M-3-H-6-2_GMNIA_N__282</t>
  </si>
  <si>
    <t>S_1_690_M-3-H-6-3_GMNIA_N__283</t>
  </si>
  <si>
    <t>S_1_690_M-3-H-6-4_GMNIA_N__284</t>
  </si>
  <si>
    <t>S_1_690_M-3-H-6-5_GMNIA_N__285</t>
  </si>
  <si>
    <t>S_1_690_M-3-H-6-6_GMNIA_N__286</t>
  </si>
  <si>
    <t>S_1_690_M-3-H-6-7_GMNIA_N__287</t>
  </si>
  <si>
    <t>S_1_690_M-3-H-6-8_GMNIA_N__288</t>
  </si>
  <si>
    <t>No (Not reached peak)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</si>
</sst>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"/>
    <numFmt numFmtId="166" formatCode="0.00000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0"/>
      <color theme="1"/>
      <name val="Times New Roman"/>
      <family val="1"/>
    </font>
    <font>
      <vertAlign val="subscript"/>
      <sz val="10"/>
      <color theme="1"/>
      <name val="Times New Roman"/>
      <family val="1"/>
    </font>
    <font>
      <vertAlign val="superscript"/>
      <sz val="10"/>
      <color theme="1"/>
      <name val="Times New Roman"/>
      <family val="1"/>
    </font>
    <font>
      <sz val="10"/>
      <color rgb="FFFF0000"/>
      <name val="Times New Roman"/>
      <family val="1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i/>
      <sz val="10"/>
      <color theme="1"/>
      <name val="Times New Roman"/>
      <family val="1"/>
    </font>
    <font>
      <sz val="10"/>
      <name val="Arial"/>
      <family val="2"/>
    </font>
    <font>
      <sz val="10"/>
      <color rgb="FF00FF00"/>
      <name val="Times New Roman"/>
      <family val="1"/>
    </font>
    <font>
      <vertAlign val="subscript"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vertAlign val="subscript"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6" fillId="0" borderId="0"/>
    <xf numFmtId="0" fontId="7" fillId="0" borderId="0"/>
    <xf numFmtId="0" fontId="1" fillId="0" borderId="0">
      <alignment vertical="center"/>
    </xf>
    <xf numFmtId="0" fontId="11" fillId="0" borderId="0"/>
  </cellStyleXfs>
  <cellXfs count="34">
    <xf numFmtId="0" fontId="0" fillId="0" borderId="0" xfId="0"/>
    <xf numFmtId="0" fontId="2" fillId="2" borderId="0" xfId="1" applyFont="1" applyFill="1" applyAlignment="1">
      <alignment horizontal="center" vertical="center"/>
    </xf>
    <xf numFmtId="2" fontId="2" fillId="3" borderId="0" xfId="1" applyNumberFormat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left" vertical="center"/>
    </xf>
    <xf numFmtId="2" fontId="2" fillId="0" borderId="4" xfId="0" applyNumberFormat="1" applyFont="1" applyBorder="1" applyAlignment="1">
      <alignment horizontal="left" vertical="center"/>
    </xf>
    <xf numFmtId="2" fontId="2" fillId="2" borderId="0" xfId="1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164" fontId="2" fillId="2" borderId="0" xfId="1" applyNumberFormat="1" applyFont="1" applyFill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6" fontId="2" fillId="0" borderId="0" xfId="0" applyNumberFormat="1" applyFont="1" applyAlignment="1">
      <alignment horizontal="center" vertical="center"/>
    </xf>
    <xf numFmtId="166" fontId="2" fillId="0" borderId="0" xfId="0" applyNumberFormat="1" applyFont="1" applyAlignment="1">
      <alignment horizontal="center"/>
    </xf>
    <xf numFmtId="0" fontId="7" fillId="0" borderId="7" xfId="0" applyFont="1" applyBorder="1" applyAlignment="1">
      <alignment horizontal="center" vertical="center" textRotation="90" wrapText="1"/>
    </xf>
    <xf numFmtId="0" fontId="7" fillId="0" borderId="8" xfId="0" applyFont="1" applyBorder="1" applyAlignment="1">
      <alignment horizontal="center" vertical="center" textRotation="90" wrapText="1"/>
    </xf>
    <xf numFmtId="0" fontId="7" fillId="0" borderId="7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</cellXfs>
  <cellStyles count="7">
    <cellStyle name="Normal" xfId="0" builtinId="0"/>
    <cellStyle name="Normal 2" xfId="4" xr:uid="{CAA0AD8B-AC78-44F0-82C7-9536C0780267}"/>
    <cellStyle name="Normal 3" xfId="6" xr:uid="{D504C872-9196-4AF1-8156-81CFB42AE9EE}"/>
    <cellStyle name="Normal 8" xfId="3" xr:uid="{E485EDBE-0F4F-4730-8A6B-FEE0E2CB10C8}"/>
    <cellStyle name="常规 2" xfId="5" xr:uid="{BA5C2954-D001-4DD2-84C9-9CA10A9D2E84}"/>
    <cellStyle name="常规 5" xfId="1" xr:uid="{4B6826EB-1E75-424E-9A36-EDD29FA29C79}"/>
    <cellStyle name="常规 5 4" xfId="2" xr:uid="{403824AC-E140-45EF-A3FB-1F044271A02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19050</xdr:rowOff>
        </xdr:from>
        <xdr:to>
          <xdr:col>3</xdr:col>
          <xdr:colOff>514350</xdr:colOff>
          <xdr:row>3</xdr:row>
          <xdr:rowOff>9525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28575</xdr:rowOff>
        </xdr:from>
        <xdr:to>
          <xdr:col>6</xdr:col>
          <xdr:colOff>542925</xdr:colOff>
          <xdr:row>2</xdr:row>
          <xdr:rowOff>171450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219075</xdr:colOff>
          <xdr:row>0</xdr:row>
          <xdr:rowOff>152400</xdr:rowOff>
        </xdr:from>
        <xdr:to>
          <xdr:col>30</xdr:col>
          <xdr:colOff>1057275</xdr:colOff>
          <xdr:row>2</xdr:row>
          <xdr:rowOff>171450</xdr:rowOff>
        </xdr:to>
        <xdr:sp macro="" textlink="">
          <xdr:nvSpPr>
            <xdr:cNvPr id="15364" name="CommandButton1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95E3A-E6E5-4C9C-ADB2-9EF50351B82F}">
  <sheetPr codeName="Sheet3"/>
  <dimension ref="A1:AG306"/>
  <sheetViews>
    <sheetView tabSelected="1" zoomScale="115" zoomScaleNormal="115" workbookViewId="0">
      <pane xSplit="1" ySplit="5" topLeftCell="S18" activePane="bottomRight" state="frozen"/>
      <selection pane="topRight" activeCell="B1" sqref="B1"/>
      <selection pane="bottomLeft" activeCell="A6" sqref="A6"/>
      <selection pane="bottomRight" activeCell="Z257" sqref="Z257"/>
    </sheetView>
  </sheetViews>
  <sheetFormatPr defaultColWidth="9.140625" defaultRowHeight="12.75"/>
  <cols>
    <col min="1" max="1" width="9.140625" style="12"/>
    <col min="2" max="3" width="9.140625" style="3"/>
    <col min="4" max="11" width="9.140625" style="12"/>
    <col min="12" max="12" width="7.28515625" style="12" bestFit="1" customWidth="1"/>
    <col min="13" max="17" width="9.140625" style="12"/>
    <col min="18" max="18" width="9.140625" style="12" customWidth="1"/>
    <col min="19" max="19" width="11" style="12" bestFit="1" customWidth="1"/>
    <col min="20" max="26" width="9.140625" style="12" customWidth="1"/>
    <col min="27" max="27" width="11" style="26" bestFit="1" customWidth="1"/>
    <col min="28" max="28" width="9.140625" style="12" customWidth="1"/>
    <col min="29" max="29" width="9.140625" style="13" customWidth="1"/>
    <col min="30" max="30" width="9.140625" style="12"/>
    <col min="31" max="31" width="35" style="12" customWidth="1"/>
    <col min="32" max="32" width="28.42578125" style="12" bestFit="1" customWidth="1"/>
    <col min="33" max="16384" width="9.140625" style="12"/>
  </cols>
  <sheetData>
    <row r="1" spans="1:33" s="3" customFormat="1" ht="15" customHeight="1" thickBot="1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3">
        <v>9</v>
      </c>
      <c r="J1" s="3">
        <v>10</v>
      </c>
      <c r="K1" s="3">
        <v>11</v>
      </c>
      <c r="L1" s="3">
        <v>12</v>
      </c>
      <c r="M1" s="3">
        <v>13</v>
      </c>
      <c r="N1" s="3">
        <v>14</v>
      </c>
      <c r="O1" s="3">
        <v>15</v>
      </c>
      <c r="P1" s="3">
        <v>16</v>
      </c>
      <c r="Q1" s="3">
        <v>17</v>
      </c>
      <c r="R1" s="3">
        <v>18</v>
      </c>
      <c r="S1" s="3">
        <v>19</v>
      </c>
      <c r="T1" s="3">
        <v>20</v>
      </c>
      <c r="U1" s="3">
        <v>21</v>
      </c>
      <c r="V1" s="3">
        <v>22</v>
      </c>
      <c r="W1" s="3">
        <v>23</v>
      </c>
      <c r="X1" s="3">
        <v>24</v>
      </c>
      <c r="Y1" s="3">
        <v>25</v>
      </c>
      <c r="Z1" s="3">
        <v>26</v>
      </c>
      <c r="AA1" s="20">
        <v>27</v>
      </c>
      <c r="AB1" s="3">
        <v>28</v>
      </c>
      <c r="AC1" s="3">
        <v>29</v>
      </c>
      <c r="AD1" s="3">
        <v>30</v>
      </c>
      <c r="AE1" s="3">
        <v>31</v>
      </c>
      <c r="AF1" s="3">
        <v>32</v>
      </c>
    </row>
    <row r="2" spans="1:33" s="3" customFormat="1" ht="14.65" customHeight="1">
      <c r="I2" s="30" t="s">
        <v>0</v>
      </c>
      <c r="J2" s="31"/>
      <c r="K2" s="7" t="s">
        <v>3</v>
      </c>
      <c r="L2" s="4"/>
      <c r="M2" s="4"/>
      <c r="N2" s="4"/>
      <c r="O2" s="14"/>
      <c r="P2" s="17"/>
      <c r="Q2" s="5"/>
      <c r="R2" s="5"/>
      <c r="S2" s="5"/>
      <c r="T2" s="5"/>
      <c r="U2" s="5"/>
      <c r="V2" s="5"/>
      <c r="W2" s="5"/>
      <c r="X2" s="5"/>
      <c r="Y2" s="5"/>
      <c r="Z2" s="5"/>
      <c r="AA2" s="26"/>
      <c r="AB2" s="13"/>
      <c r="AC2" s="13"/>
      <c r="AG2" s="3" t="s">
        <v>47</v>
      </c>
    </row>
    <row r="3" spans="1:33" s="3" customFormat="1" ht="15.4" customHeight="1" thickBot="1">
      <c r="I3" s="32" t="s">
        <v>1</v>
      </c>
      <c r="J3" s="33"/>
      <c r="K3" s="8" t="s">
        <v>36</v>
      </c>
      <c r="L3" s="6"/>
      <c r="M3" s="6"/>
      <c r="N3" s="6"/>
      <c r="O3" s="15"/>
      <c r="P3" s="17"/>
      <c r="Q3" s="5"/>
      <c r="R3" s="5"/>
      <c r="S3" s="5"/>
      <c r="T3" s="5"/>
      <c r="U3" s="5"/>
      <c r="V3" s="5"/>
      <c r="W3" s="5"/>
      <c r="X3" s="5"/>
      <c r="Y3" s="5"/>
      <c r="Z3" s="5"/>
      <c r="AA3" s="26"/>
      <c r="AB3" s="13"/>
      <c r="AC3" s="13"/>
    </row>
    <row r="4" spans="1:33" s="3" customFormat="1" ht="15.75">
      <c r="A4" s="10" t="s">
        <v>2</v>
      </c>
      <c r="B4" s="9" t="s">
        <v>23</v>
      </c>
      <c r="C4" s="9" t="s">
        <v>24</v>
      </c>
      <c r="D4" s="1" t="s">
        <v>10</v>
      </c>
      <c r="E4" s="1" t="s">
        <v>13</v>
      </c>
      <c r="F4" s="9" t="s">
        <v>8</v>
      </c>
      <c r="G4" s="9" t="s">
        <v>31</v>
      </c>
      <c r="H4" s="1" t="s">
        <v>9</v>
      </c>
      <c r="I4" s="16" t="s">
        <v>14</v>
      </c>
      <c r="J4" s="9" t="s">
        <v>15</v>
      </c>
      <c r="K4" s="9" t="s">
        <v>16</v>
      </c>
      <c r="L4" s="10" t="s">
        <v>17</v>
      </c>
      <c r="M4" s="10" t="s">
        <v>18</v>
      </c>
      <c r="N4" s="10" t="s">
        <v>21</v>
      </c>
      <c r="O4" s="10" t="s">
        <v>21</v>
      </c>
      <c r="P4" s="18" t="s">
        <v>19</v>
      </c>
      <c r="Q4" s="1" t="s">
        <v>20</v>
      </c>
      <c r="R4" s="2" t="s">
        <v>7</v>
      </c>
      <c r="S4" s="11" t="s">
        <v>11</v>
      </c>
      <c r="T4" s="11" t="s">
        <v>22</v>
      </c>
      <c r="U4" s="11" t="s">
        <v>5</v>
      </c>
      <c r="V4" s="11" t="s">
        <v>12</v>
      </c>
      <c r="W4" s="11" t="s">
        <v>6</v>
      </c>
      <c r="X4" s="11" t="s">
        <v>4</v>
      </c>
      <c r="Y4" s="5" t="s">
        <v>27</v>
      </c>
      <c r="Z4" s="5" t="s">
        <v>26</v>
      </c>
      <c r="AA4" s="25" t="s">
        <v>28</v>
      </c>
      <c r="AB4" s="19" t="s">
        <v>30</v>
      </c>
      <c r="AC4" s="19" t="s">
        <v>29</v>
      </c>
      <c r="AD4" s="3" t="s">
        <v>25</v>
      </c>
      <c r="AE4" s="3" t="s">
        <v>32</v>
      </c>
      <c r="AF4" s="3" t="s">
        <v>33</v>
      </c>
    </row>
    <row r="5" spans="1:33" s="3" customFormat="1" ht="13.5" customHeight="1">
      <c r="A5" s="10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8"/>
      <c r="Q5" s="1"/>
      <c r="R5" s="2"/>
      <c r="S5" s="2"/>
      <c r="T5" s="2"/>
      <c r="U5" s="2"/>
      <c r="V5" s="2"/>
      <c r="W5" s="2"/>
      <c r="X5" s="11"/>
      <c r="Y5" s="5"/>
      <c r="Z5" s="5"/>
      <c r="AA5" s="26"/>
      <c r="AB5" s="13"/>
      <c r="AC5" s="13"/>
    </row>
    <row r="6" spans="1:33" s="3" customFormat="1">
      <c r="A6" s="3">
        <v>1</v>
      </c>
      <c r="B6" s="3">
        <v>21.34</v>
      </c>
      <c r="C6" s="3">
        <v>21.34</v>
      </c>
      <c r="D6" s="3">
        <v>2.11</v>
      </c>
      <c r="E6" s="3">
        <v>2</v>
      </c>
      <c r="F6" s="3">
        <v>64.02</v>
      </c>
      <c r="G6" s="3">
        <v>70000</v>
      </c>
      <c r="H6" s="3">
        <v>170</v>
      </c>
      <c r="I6" s="20">
        <v>25</v>
      </c>
      <c r="J6" s="3">
        <v>1</v>
      </c>
      <c r="K6" s="5">
        <v>21.65581655082746</v>
      </c>
      <c r="L6" s="3">
        <v>0</v>
      </c>
      <c r="M6" s="3">
        <v>0</v>
      </c>
      <c r="N6" s="3">
        <v>0</v>
      </c>
      <c r="O6" s="3">
        <v>0</v>
      </c>
      <c r="P6" s="3">
        <f>B6/200</f>
        <v>0.1067</v>
      </c>
      <c r="Q6" s="3">
        <v>3</v>
      </c>
      <c r="R6" s="5">
        <v>127.387156181338</v>
      </c>
      <c r="S6" s="5">
        <v>5955.3308187313605</v>
      </c>
      <c r="T6" s="5">
        <v>558.13785436132503</v>
      </c>
      <c r="U6" s="5">
        <v>782.60652642361811</v>
      </c>
      <c r="V6" s="5">
        <v>5955.3305076092101</v>
      </c>
      <c r="W6" s="5">
        <v>558.137825187006</v>
      </c>
      <c r="X6" s="5">
        <v>782.60788906744801</v>
      </c>
      <c r="Y6" s="5">
        <f>R6*H6/1000</f>
        <v>21.65581655082746</v>
      </c>
      <c r="Z6" s="5">
        <v>718.97310948747156</v>
      </c>
      <c r="AA6" s="25">
        <v>5.76938</v>
      </c>
      <c r="AB6" s="5">
        <f>SQRT(Y6/Z6)</f>
        <v>0.17355253362515582</v>
      </c>
      <c r="AC6" s="5">
        <f t="shared" ref="AC6:AC13" si="0">AA6/Y6</f>
        <v>0.266412489524878</v>
      </c>
      <c r="AD6" s="5">
        <f>C6/D6</f>
        <v>10.113744075829384</v>
      </c>
      <c r="AE6" s="3" t="s">
        <v>37</v>
      </c>
      <c r="AF6" s="22" t="s">
        <v>34</v>
      </c>
    </row>
    <row r="7" spans="1:33" s="3" customFormat="1">
      <c r="A7" s="3">
        <v>2</v>
      </c>
      <c r="B7" s="3">
        <v>19.05</v>
      </c>
      <c r="C7" s="3">
        <v>19.05</v>
      </c>
      <c r="D7" s="3">
        <v>1.651</v>
      </c>
      <c r="E7" s="3">
        <v>2</v>
      </c>
      <c r="F7" s="3">
        <v>57.150000000000006</v>
      </c>
      <c r="G7" s="3">
        <v>70000</v>
      </c>
      <c r="H7" s="3">
        <v>170</v>
      </c>
      <c r="I7" s="20">
        <v>25</v>
      </c>
      <c r="J7" s="3">
        <v>1</v>
      </c>
      <c r="K7" s="5">
        <v>15.331491201222594</v>
      </c>
      <c r="L7" s="3">
        <v>0</v>
      </c>
      <c r="M7" s="3">
        <v>0</v>
      </c>
      <c r="N7" s="3">
        <v>0</v>
      </c>
      <c r="O7" s="3">
        <v>0</v>
      </c>
      <c r="P7" s="3">
        <f t="shared" ref="P7:P13" si="1">B7/200</f>
        <v>9.5250000000000001E-2</v>
      </c>
      <c r="Q7" s="3">
        <v>3</v>
      </c>
      <c r="R7" s="5">
        <v>90.185242360132904</v>
      </c>
      <c r="S7" s="5">
        <v>3441.1316999852697</v>
      </c>
      <c r="T7" s="5">
        <v>361.273665485621</v>
      </c>
      <c r="U7" s="5">
        <v>500.79097451493703</v>
      </c>
      <c r="V7" s="5">
        <v>3441.13163463924</v>
      </c>
      <c r="W7" s="5">
        <v>361.27365965016799</v>
      </c>
      <c r="X7" s="5">
        <v>500.79374898033501</v>
      </c>
      <c r="Y7" s="5">
        <f t="shared" ref="Y7:Y13" si="2">R7*H7/1000</f>
        <v>15.331491201222594</v>
      </c>
      <c r="Z7" s="5">
        <v>433.8812009945994</v>
      </c>
      <c r="AA7" s="25">
        <v>6.3634500000000003</v>
      </c>
      <c r="AB7" s="5">
        <f t="shared" ref="AB7:AB13" si="3">SQRT(Y7/Z7)</f>
        <v>0.18797789509922808</v>
      </c>
      <c r="AC7" s="5">
        <f t="shared" si="0"/>
        <v>0.41505747330648135</v>
      </c>
      <c r="AD7" s="5">
        <f t="shared" ref="AD7:AD13" si="4">C7/D7</f>
        <v>11.538461538461538</v>
      </c>
      <c r="AE7" s="21" t="s">
        <v>38</v>
      </c>
      <c r="AF7" s="22" t="s">
        <v>34</v>
      </c>
    </row>
    <row r="8" spans="1:33" s="3" customFormat="1">
      <c r="A8" s="3">
        <v>3</v>
      </c>
      <c r="B8" s="3">
        <v>82.55</v>
      </c>
      <c r="C8" s="3">
        <v>82.55</v>
      </c>
      <c r="D8" s="3">
        <v>6.35</v>
      </c>
      <c r="E8" s="3">
        <v>2</v>
      </c>
      <c r="F8" s="3">
        <v>247.64999999999998</v>
      </c>
      <c r="G8" s="3">
        <v>70000</v>
      </c>
      <c r="H8" s="3">
        <v>170</v>
      </c>
      <c r="I8" s="20">
        <v>25</v>
      </c>
      <c r="J8" s="3">
        <v>1</v>
      </c>
      <c r="K8" s="5">
        <v>258.2508212833614</v>
      </c>
      <c r="L8" s="3">
        <v>0</v>
      </c>
      <c r="M8" s="3">
        <v>0</v>
      </c>
      <c r="N8" s="3">
        <v>0</v>
      </c>
      <c r="O8" s="3">
        <v>0</v>
      </c>
      <c r="P8" s="3">
        <f t="shared" si="1"/>
        <v>0.41275000000000001</v>
      </c>
      <c r="Q8" s="3">
        <v>3</v>
      </c>
      <c r="R8" s="5">
        <v>1519.1224781374199</v>
      </c>
      <c r="S8" s="5">
        <v>1109513.33622145</v>
      </c>
      <c r="T8" s="5">
        <v>26881.0001242541</v>
      </c>
      <c r="U8" s="5">
        <v>36918.927076765402</v>
      </c>
      <c r="V8" s="5">
        <v>1109513.2014308101</v>
      </c>
      <c r="W8" s="5">
        <v>26880.998381768699</v>
      </c>
      <c r="X8" s="5">
        <v>36919.201651941796</v>
      </c>
      <c r="Y8" s="5">
        <f t="shared" si="2"/>
        <v>258.2508212833614</v>
      </c>
      <c r="Z8" s="5">
        <v>6378.7952856990269</v>
      </c>
      <c r="AA8" s="25">
        <v>5.8750499999999999</v>
      </c>
      <c r="AB8" s="5">
        <f t="shared" si="3"/>
        <v>0.20121090914638343</v>
      </c>
      <c r="AC8" s="5">
        <f t="shared" si="0"/>
        <v>2.2749395222846937E-2</v>
      </c>
      <c r="AD8" s="5">
        <f t="shared" si="4"/>
        <v>13</v>
      </c>
      <c r="AE8" s="21" t="s">
        <v>39</v>
      </c>
      <c r="AF8" s="22" t="s">
        <v>34</v>
      </c>
    </row>
    <row r="9" spans="1:33" s="3" customFormat="1">
      <c r="A9" s="3">
        <v>4</v>
      </c>
      <c r="B9" s="3">
        <v>69.849999999999994</v>
      </c>
      <c r="C9" s="3">
        <v>69.849999999999994</v>
      </c>
      <c r="D9" s="3">
        <v>4.7751999999999999</v>
      </c>
      <c r="E9" s="3">
        <v>2</v>
      </c>
      <c r="F9" s="3">
        <v>209.54999999999998</v>
      </c>
      <c r="G9" s="3">
        <v>70000</v>
      </c>
      <c r="H9" s="3">
        <v>170</v>
      </c>
      <c r="I9" s="20">
        <v>25</v>
      </c>
      <c r="J9" s="3">
        <v>1</v>
      </c>
      <c r="K9" s="5">
        <v>165.8507442075061</v>
      </c>
      <c r="L9" s="3">
        <v>0</v>
      </c>
      <c r="M9" s="3">
        <v>0</v>
      </c>
      <c r="N9" s="3">
        <v>0</v>
      </c>
      <c r="O9" s="3">
        <v>0</v>
      </c>
      <c r="P9" s="3">
        <f t="shared" si="1"/>
        <v>0.34924999999999995</v>
      </c>
      <c r="Q9" s="3">
        <v>3</v>
      </c>
      <c r="R9" s="5">
        <v>975.59261298532999</v>
      </c>
      <c r="S9" s="5">
        <v>518860.62821302703</v>
      </c>
      <c r="T9" s="5">
        <v>14856.425013174099</v>
      </c>
      <c r="U9" s="5">
        <v>20237.534174665398</v>
      </c>
      <c r="V9" s="5">
        <v>518860.56240807398</v>
      </c>
      <c r="W9" s="5">
        <v>14856.422278391699</v>
      </c>
      <c r="X9" s="5">
        <v>20237.686515858401</v>
      </c>
      <c r="Y9" s="5">
        <f t="shared" si="2"/>
        <v>165.8507442075061</v>
      </c>
      <c r="Z9" s="5">
        <v>3598.9611493028819</v>
      </c>
      <c r="AA9" s="25">
        <v>5.5904100000000003</v>
      </c>
      <c r="AB9" s="5">
        <f t="shared" si="3"/>
        <v>0.21466939537054591</v>
      </c>
      <c r="AC9" s="5">
        <f t="shared" si="0"/>
        <v>3.3707476120851732E-2</v>
      </c>
      <c r="AD9" s="5">
        <f t="shared" si="4"/>
        <v>14.627659574468085</v>
      </c>
      <c r="AE9" s="21" t="s">
        <v>40</v>
      </c>
      <c r="AF9" s="22" t="s">
        <v>34</v>
      </c>
    </row>
    <row r="10" spans="1:33" s="3" customFormat="1">
      <c r="A10" s="3">
        <v>5</v>
      </c>
      <c r="B10" s="3">
        <v>89.25</v>
      </c>
      <c r="C10" s="3">
        <v>89.25</v>
      </c>
      <c r="D10" s="3">
        <v>5.508</v>
      </c>
      <c r="E10" s="3">
        <v>2</v>
      </c>
      <c r="F10" s="3">
        <v>267.75</v>
      </c>
      <c r="G10" s="3">
        <v>70000</v>
      </c>
      <c r="H10" s="3">
        <v>170</v>
      </c>
      <c r="I10" s="20">
        <v>25</v>
      </c>
      <c r="J10" s="3">
        <v>1</v>
      </c>
      <c r="K10" s="5">
        <v>246.17850715626528</v>
      </c>
      <c r="L10" s="3">
        <v>0</v>
      </c>
      <c r="M10" s="3">
        <v>0</v>
      </c>
      <c r="N10" s="3">
        <v>0</v>
      </c>
      <c r="O10" s="3">
        <v>0</v>
      </c>
      <c r="P10" s="3">
        <f t="shared" si="1"/>
        <v>0.44624999999999998</v>
      </c>
      <c r="Q10" s="3">
        <v>3</v>
      </c>
      <c r="R10" s="5">
        <v>1448.1088656250899</v>
      </c>
      <c r="S10" s="5">
        <v>1274051.36501467</v>
      </c>
      <c r="T10" s="5">
        <v>28550.1688937459</v>
      </c>
      <c r="U10" s="5">
        <v>38642.968423922102</v>
      </c>
      <c r="V10" s="5">
        <v>1274051.1815446501</v>
      </c>
      <c r="W10" s="5">
        <v>28550.165605594502</v>
      </c>
      <c r="X10" s="5">
        <v>38643.107873881701</v>
      </c>
      <c r="Y10" s="5">
        <f t="shared" si="2"/>
        <v>246.17850715626528</v>
      </c>
      <c r="Z10" s="5">
        <v>7040.7053046691872</v>
      </c>
      <c r="AA10" s="25">
        <v>5.3355100000000002</v>
      </c>
      <c r="AB10" s="5">
        <f t="shared" si="3"/>
        <v>0.18698939800169145</v>
      </c>
      <c r="AC10" s="5">
        <f t="shared" si="0"/>
        <v>2.1673338024644086E-2</v>
      </c>
      <c r="AD10" s="5">
        <f t="shared" si="4"/>
        <v>16.203703703703702</v>
      </c>
      <c r="AE10" s="21" t="s">
        <v>41</v>
      </c>
      <c r="AF10" s="22" t="s">
        <v>34</v>
      </c>
    </row>
    <row r="11" spans="1:33" s="3" customFormat="1">
      <c r="A11" s="3">
        <v>6</v>
      </c>
      <c r="B11" s="3">
        <v>101.6</v>
      </c>
      <c r="C11" s="3">
        <v>101.6</v>
      </c>
      <c r="D11" s="3">
        <v>5.4101999999999997</v>
      </c>
      <c r="E11" s="3">
        <v>2</v>
      </c>
      <c r="F11" s="3">
        <v>304.79999999999995</v>
      </c>
      <c r="G11" s="3">
        <v>70000</v>
      </c>
      <c r="H11" s="3">
        <v>170</v>
      </c>
      <c r="I11" s="20">
        <v>25</v>
      </c>
      <c r="J11" s="3">
        <v>1</v>
      </c>
      <c r="K11" s="5">
        <v>277.75085371807938</v>
      </c>
      <c r="L11" s="3">
        <v>0</v>
      </c>
      <c r="M11" s="3">
        <v>0</v>
      </c>
      <c r="N11" s="3">
        <v>0</v>
      </c>
      <c r="O11" s="3">
        <v>0</v>
      </c>
      <c r="P11" s="3">
        <f t="shared" si="1"/>
        <v>0.50800000000000001</v>
      </c>
      <c r="Q11" s="3">
        <v>1</v>
      </c>
      <c r="R11" s="5">
        <v>1633.8285512828199</v>
      </c>
      <c r="S11" s="5">
        <v>1894351.34407927</v>
      </c>
      <c r="T11" s="5">
        <v>37290.382660995696</v>
      </c>
      <c r="U11" s="5">
        <v>50060.368240666496</v>
      </c>
      <c r="V11" s="5">
        <v>1894351.2071688301</v>
      </c>
      <c r="W11" s="5">
        <v>37290.379963966901</v>
      </c>
      <c r="X11" s="5">
        <v>50060.968295019498</v>
      </c>
      <c r="Y11" s="5">
        <f t="shared" si="2"/>
        <v>277.75085371807938</v>
      </c>
      <c r="Z11" s="5">
        <v>6527.145062374866</v>
      </c>
      <c r="AA11" s="25">
        <v>5.1674300000000004</v>
      </c>
      <c r="AB11" s="5">
        <f t="shared" si="3"/>
        <v>0.20628424925175867</v>
      </c>
      <c r="AC11" s="5">
        <f t="shared" si="0"/>
        <v>1.86045512761772E-2</v>
      </c>
      <c r="AD11" s="5">
        <f t="shared" si="4"/>
        <v>18.779342723004696</v>
      </c>
      <c r="AE11" s="21" t="s">
        <v>42</v>
      </c>
      <c r="AF11" s="22" t="s">
        <v>34</v>
      </c>
    </row>
    <row r="12" spans="1:33" s="3" customFormat="1">
      <c r="A12" s="3">
        <v>7</v>
      </c>
      <c r="B12" s="3">
        <v>50.8</v>
      </c>
      <c r="C12" s="3">
        <v>50.8</v>
      </c>
      <c r="D12" s="3">
        <v>2.3875999999999999</v>
      </c>
      <c r="E12" s="3">
        <v>2</v>
      </c>
      <c r="F12" s="3">
        <v>152.39999999999998</v>
      </c>
      <c r="G12" s="3">
        <v>70000</v>
      </c>
      <c r="H12" s="3">
        <v>170</v>
      </c>
      <c r="I12" s="20">
        <v>25</v>
      </c>
      <c r="J12" s="3">
        <v>1</v>
      </c>
      <c r="K12" s="5">
        <v>61.692352832110878</v>
      </c>
      <c r="L12" s="3">
        <v>0</v>
      </c>
      <c r="M12" s="3">
        <v>0</v>
      </c>
      <c r="N12" s="3">
        <v>0</v>
      </c>
      <c r="O12" s="3">
        <v>0</v>
      </c>
      <c r="P12" s="3">
        <f t="shared" si="1"/>
        <v>0.254</v>
      </c>
      <c r="Q12" s="3">
        <v>3</v>
      </c>
      <c r="R12" s="5">
        <v>362.89619313006398</v>
      </c>
      <c r="S12" s="5">
        <v>106506.21690524901</v>
      </c>
      <c r="T12" s="5">
        <v>4193.1580930437904</v>
      </c>
      <c r="U12" s="5">
        <v>5594.9318520834704</v>
      </c>
      <c r="V12" s="5">
        <v>106506.205218257</v>
      </c>
      <c r="W12" s="5">
        <v>4193.1577871970994</v>
      </c>
      <c r="X12" s="5">
        <v>5594.9171159882299</v>
      </c>
      <c r="Y12" s="5">
        <f t="shared" si="2"/>
        <v>61.692352832110878</v>
      </c>
      <c r="Z12" s="5">
        <v>1246.1855272086398</v>
      </c>
      <c r="AA12" s="25">
        <v>5.0634399999999999</v>
      </c>
      <c r="AB12" s="5">
        <f t="shared" si="3"/>
        <v>0.22249707974499239</v>
      </c>
      <c r="AC12" s="5">
        <f t="shared" si="0"/>
        <v>8.207565066904822E-2</v>
      </c>
      <c r="AD12" s="5">
        <f t="shared" si="4"/>
        <v>21.276595744680851</v>
      </c>
      <c r="AE12" s="21" t="s">
        <v>43</v>
      </c>
      <c r="AF12" s="22" t="s">
        <v>34</v>
      </c>
    </row>
    <row r="13" spans="1:33" s="3" customFormat="1">
      <c r="A13" s="3">
        <v>8</v>
      </c>
      <c r="B13" s="3">
        <v>50.209500000000006</v>
      </c>
      <c r="C13" s="3">
        <v>50.209500000000006</v>
      </c>
      <c r="D13" s="3">
        <v>2.0145</v>
      </c>
      <c r="E13" s="3">
        <v>2</v>
      </c>
      <c r="F13" s="3">
        <v>150.62850000000003</v>
      </c>
      <c r="G13" s="3">
        <v>70000</v>
      </c>
      <c r="H13" s="3">
        <v>170</v>
      </c>
      <c r="I13" s="20">
        <v>25</v>
      </c>
      <c r="J13" s="3">
        <v>1</v>
      </c>
      <c r="K13" s="5">
        <v>51.8182041392092</v>
      </c>
      <c r="L13" s="3">
        <v>0</v>
      </c>
      <c r="M13" s="3">
        <v>0</v>
      </c>
      <c r="N13" s="3">
        <v>0</v>
      </c>
      <c r="O13" s="3">
        <v>0</v>
      </c>
      <c r="P13" s="3">
        <f t="shared" si="1"/>
        <v>0.25104750000000003</v>
      </c>
      <c r="Q13" s="3">
        <v>1</v>
      </c>
      <c r="R13" s="5">
        <v>304.81296552475999</v>
      </c>
      <c r="S13" s="5">
        <v>88597.163633290606</v>
      </c>
      <c r="T13" s="5">
        <v>3529.1000364460897</v>
      </c>
      <c r="U13" s="5">
        <v>4677.2977607676594</v>
      </c>
      <c r="V13" s="5">
        <v>88597.151092260392</v>
      </c>
      <c r="W13" s="5">
        <v>3529.09923804755</v>
      </c>
      <c r="X13" s="5">
        <v>4677.2941014488997</v>
      </c>
      <c r="Y13" s="5">
        <f t="shared" si="2"/>
        <v>51.8182041392092</v>
      </c>
      <c r="Z13" s="5">
        <v>870.54582953871454</v>
      </c>
      <c r="AA13" s="25">
        <v>4.9721399999999996</v>
      </c>
      <c r="AB13" s="5">
        <f t="shared" si="3"/>
        <v>0.2439750182371333</v>
      </c>
      <c r="AC13" s="5">
        <f t="shared" si="0"/>
        <v>9.5953537614742193E-2</v>
      </c>
      <c r="AD13" s="5">
        <f t="shared" si="4"/>
        <v>24.924050632911396</v>
      </c>
      <c r="AE13" s="21" t="s">
        <v>44</v>
      </c>
      <c r="AF13" s="22" t="s">
        <v>34</v>
      </c>
    </row>
    <row r="14" spans="1:33">
      <c r="AA14" s="26">
        <v>3.51878</v>
      </c>
      <c r="AE14" s="12" t="s">
        <v>45</v>
      </c>
      <c r="AF14" s="24" t="s">
        <v>34</v>
      </c>
    </row>
    <row r="15" spans="1:33">
      <c r="AA15" s="26">
        <v>5.4145300000000001</v>
      </c>
      <c r="AE15" s="12" t="s">
        <v>46</v>
      </c>
      <c r="AF15" s="23" t="s">
        <v>35</v>
      </c>
    </row>
    <row r="17" spans="1:32">
      <c r="B17" s="3" t="s">
        <v>58</v>
      </c>
      <c r="P17" s="25"/>
      <c r="S17" s="12" t="s">
        <v>59</v>
      </c>
      <c r="T17" s="12" t="s">
        <v>63</v>
      </c>
      <c r="X17" s="26"/>
      <c r="Z17" s="13"/>
      <c r="AA17" s="12"/>
      <c r="AC17" s="12"/>
    </row>
    <row r="18" spans="1:32" ht="100.5" customHeight="1">
      <c r="B18" s="27" t="s">
        <v>57</v>
      </c>
      <c r="C18" s="27" t="s">
        <v>48</v>
      </c>
      <c r="D18" s="27" t="s">
        <v>49</v>
      </c>
      <c r="E18" s="27" t="s">
        <v>50</v>
      </c>
      <c r="F18" s="27" t="s">
        <v>51</v>
      </c>
      <c r="G18" s="27" t="s">
        <v>52</v>
      </c>
      <c r="H18" s="27" t="s">
        <v>53</v>
      </c>
      <c r="I18" s="27" t="s">
        <v>54</v>
      </c>
      <c r="J18" s="27" t="s">
        <v>55</v>
      </c>
      <c r="K18" s="27" t="s">
        <v>56</v>
      </c>
      <c r="L18" s="28" t="s">
        <v>64</v>
      </c>
      <c r="M18" s="28" t="s">
        <v>65</v>
      </c>
      <c r="N18" s="28" t="s">
        <v>66</v>
      </c>
      <c r="O18" s="28" t="s">
        <v>67</v>
      </c>
      <c r="P18" s="28" t="s">
        <v>68</v>
      </c>
      <c r="Q18" s="28" t="s">
        <v>69</v>
      </c>
      <c r="R18" s="28" t="s">
        <v>70</v>
      </c>
      <c r="S18" s="27" t="s">
        <v>60</v>
      </c>
      <c r="T18" s="27" t="s">
        <v>61</v>
      </c>
      <c r="U18" s="28" t="s">
        <v>62</v>
      </c>
      <c r="V18" s="27" t="s">
        <v>71</v>
      </c>
      <c r="W18" s="27" t="s">
        <v>72</v>
      </c>
      <c r="X18" s="27" t="s">
        <v>73</v>
      </c>
      <c r="Y18" s="27" t="s">
        <v>74</v>
      </c>
      <c r="Z18" s="27" t="s">
        <v>75</v>
      </c>
      <c r="AA18" s="27" t="s">
        <v>76</v>
      </c>
      <c r="AB18" s="27" t="s">
        <v>77</v>
      </c>
      <c r="AC18" s="28" t="s">
        <v>78</v>
      </c>
      <c r="AD18" s="29" t="s">
        <v>79</v>
      </c>
      <c r="AE18" s="3" t="s">
        <v>32</v>
      </c>
      <c r="AF18" s="3" t="s">
        <v>33</v>
      </c>
    </row>
    <row r="19" spans="1:32">
      <c r="A19" s="12">
        <v>1</v>
      </c>
      <c r="B19" s="3" t="s">
        <v>80</v>
      </c>
      <c r="C19" s="3">
        <v>180</v>
      </c>
      <c r="D19" s="12">
        <v>180</v>
      </c>
      <c r="E19" s="12">
        <v>400</v>
      </c>
      <c r="F19" s="12">
        <v>13.5</v>
      </c>
      <c r="G19" s="12">
        <v>13.5</v>
      </c>
      <c r="H19" s="12">
        <v>50</v>
      </c>
      <c r="I19" s="12">
        <v>0</v>
      </c>
      <c r="J19" s="12">
        <v>0</v>
      </c>
      <c r="K19" s="12">
        <v>2085.6588464983192</v>
      </c>
      <c r="L19" s="12">
        <f>2*C19*F19+(E19-2*F19)*H19</f>
        <v>23510</v>
      </c>
      <c r="S19" s="25">
        <v>2708.9316833810267</v>
      </c>
      <c r="T19" s="12">
        <v>690</v>
      </c>
      <c r="U19" s="12">
        <v>21000</v>
      </c>
      <c r="V19" s="12">
        <f>L19*T19/(S19*1000)</f>
        <v>5.9883016244076677</v>
      </c>
      <c r="W19" s="12">
        <v>4.8171299999999997</v>
      </c>
      <c r="AB19" s="12">
        <v>0.3550200773318104</v>
      </c>
      <c r="AC19" s="13">
        <v>0.3</v>
      </c>
      <c r="AE19" s="12" t="s">
        <v>37</v>
      </c>
      <c r="AF19" s="24" t="s">
        <v>34</v>
      </c>
    </row>
    <row r="20" spans="1:32">
      <c r="A20" s="12">
        <v>2</v>
      </c>
      <c r="B20" s="3" t="s">
        <v>81</v>
      </c>
      <c r="C20" s="3">
        <v>180</v>
      </c>
      <c r="D20" s="12">
        <v>180</v>
      </c>
      <c r="E20" s="12">
        <v>400</v>
      </c>
      <c r="F20" s="12">
        <v>13.5</v>
      </c>
      <c r="G20" s="12">
        <v>13.5</v>
      </c>
      <c r="H20" s="12">
        <v>50</v>
      </c>
      <c r="I20" s="12">
        <v>0</v>
      </c>
      <c r="J20" s="12">
        <v>0</v>
      </c>
      <c r="K20" s="12">
        <v>3476.0980774971986</v>
      </c>
      <c r="L20" s="12">
        <f t="shared" ref="L20:L83" si="5">2*C20*F20+(E20-2*F20)*H20</f>
        <v>23510</v>
      </c>
      <c r="S20" s="25">
        <v>1396.664898474437</v>
      </c>
      <c r="T20" s="12">
        <v>690</v>
      </c>
      <c r="U20" s="12">
        <v>21000</v>
      </c>
      <c r="V20" s="12">
        <f t="shared" ref="V20:V83" si="6">L20*T20/(S20*1000)</f>
        <v>11.614740241355689</v>
      </c>
      <c r="W20" s="12">
        <v>4.8897000000000004</v>
      </c>
      <c r="AB20" s="12">
        <v>0.3550200773318104</v>
      </c>
      <c r="AC20" s="13">
        <v>0.5</v>
      </c>
      <c r="AE20" s="12" t="s">
        <v>38</v>
      </c>
      <c r="AF20" s="23" t="s">
        <v>35</v>
      </c>
    </row>
    <row r="21" spans="1:32">
      <c r="A21" s="12">
        <v>3</v>
      </c>
      <c r="B21" s="3" t="s">
        <v>82</v>
      </c>
      <c r="C21" s="3">
        <v>180</v>
      </c>
      <c r="D21" s="12">
        <v>180</v>
      </c>
      <c r="E21" s="12">
        <v>400</v>
      </c>
      <c r="F21" s="12">
        <v>13.5</v>
      </c>
      <c r="G21" s="12">
        <v>13.5</v>
      </c>
      <c r="H21" s="12">
        <v>50</v>
      </c>
      <c r="I21" s="12">
        <v>0</v>
      </c>
      <c r="J21" s="12">
        <v>0</v>
      </c>
      <c r="K21" s="12">
        <v>5214.1471162457974</v>
      </c>
      <c r="L21" s="12">
        <f t="shared" si="5"/>
        <v>23510</v>
      </c>
      <c r="S21" s="25">
        <v>705.42709649862877</v>
      </c>
      <c r="T21" s="12">
        <v>690</v>
      </c>
      <c r="U21" s="12">
        <v>21000</v>
      </c>
      <c r="V21" s="12">
        <f t="shared" si="6"/>
        <v>22.995856099825239</v>
      </c>
      <c r="W21" s="12">
        <v>4.4496799999999999</v>
      </c>
      <c r="AB21" s="12">
        <v>0.3550200773318104</v>
      </c>
      <c r="AC21" s="13">
        <v>0.75</v>
      </c>
      <c r="AE21" s="12" t="s">
        <v>39</v>
      </c>
      <c r="AF21" s="24" t="s">
        <v>34</v>
      </c>
    </row>
    <row r="22" spans="1:32">
      <c r="A22" s="12">
        <v>4</v>
      </c>
      <c r="B22" s="3" t="s">
        <v>83</v>
      </c>
      <c r="C22" s="3">
        <v>180</v>
      </c>
      <c r="D22" s="12">
        <v>180</v>
      </c>
      <c r="E22" s="12">
        <v>400</v>
      </c>
      <c r="F22" s="12">
        <v>13.5</v>
      </c>
      <c r="G22" s="12">
        <v>13.5</v>
      </c>
      <c r="H22" s="12">
        <v>50</v>
      </c>
      <c r="I22" s="12">
        <v>0</v>
      </c>
      <c r="J22" s="12">
        <v>0</v>
      </c>
      <c r="K22" s="12">
        <v>6952.1961549943971</v>
      </c>
      <c r="L22" s="12">
        <f t="shared" si="5"/>
        <v>23510</v>
      </c>
      <c r="S22" s="25">
        <v>418.9493184636566</v>
      </c>
      <c r="T22" s="12">
        <v>690</v>
      </c>
      <c r="U22" s="12">
        <v>21000</v>
      </c>
      <c r="V22" s="12">
        <f t="shared" si="6"/>
        <v>38.720435348809936</v>
      </c>
      <c r="W22" s="12">
        <v>4.2189500000000004</v>
      </c>
      <c r="AB22" s="12">
        <v>0.3550200773318104</v>
      </c>
      <c r="AC22" s="13">
        <v>1</v>
      </c>
      <c r="AE22" s="12" t="s">
        <v>40</v>
      </c>
      <c r="AF22" s="24" t="s">
        <v>34</v>
      </c>
    </row>
    <row r="23" spans="1:32">
      <c r="A23" s="12">
        <v>5</v>
      </c>
      <c r="B23" s="3" t="s">
        <v>84</v>
      </c>
      <c r="C23" s="3">
        <v>180</v>
      </c>
      <c r="D23" s="12">
        <v>180</v>
      </c>
      <c r="E23" s="12">
        <v>400</v>
      </c>
      <c r="F23" s="12">
        <v>13.5</v>
      </c>
      <c r="G23" s="12">
        <v>13.5</v>
      </c>
      <c r="H23" s="12">
        <v>50</v>
      </c>
      <c r="I23" s="12">
        <v>0</v>
      </c>
      <c r="J23" s="12">
        <v>0</v>
      </c>
      <c r="K23" s="12">
        <v>9246.4208861425486</v>
      </c>
      <c r="L23" s="12">
        <f t="shared" si="5"/>
        <v>23510</v>
      </c>
      <c r="S23" s="25">
        <v>246.00696440449227</v>
      </c>
      <c r="T23" s="12">
        <v>690</v>
      </c>
      <c r="U23" s="12">
        <v>21000</v>
      </c>
      <c r="V23" s="12">
        <f t="shared" si="6"/>
        <v>65.940816103593917</v>
      </c>
      <c r="W23" s="12">
        <v>4.01267</v>
      </c>
      <c r="AB23" s="12">
        <v>0.3550200773318104</v>
      </c>
      <c r="AC23" s="13">
        <v>1.33</v>
      </c>
      <c r="AE23" s="12" t="s">
        <v>41</v>
      </c>
      <c r="AF23" s="24" t="s">
        <v>34</v>
      </c>
    </row>
    <row r="24" spans="1:32">
      <c r="A24" s="12">
        <v>6</v>
      </c>
      <c r="B24" s="3" t="s">
        <v>85</v>
      </c>
      <c r="C24" s="3">
        <v>180</v>
      </c>
      <c r="D24" s="12">
        <v>180</v>
      </c>
      <c r="E24" s="12">
        <v>400</v>
      </c>
      <c r="F24" s="12">
        <v>13.5</v>
      </c>
      <c r="G24" s="12">
        <v>13.5</v>
      </c>
      <c r="H24" s="12">
        <v>50</v>
      </c>
      <c r="I24" s="12">
        <v>0</v>
      </c>
      <c r="J24" s="12">
        <v>0</v>
      </c>
      <c r="K24" s="12">
        <v>11610.167578840643</v>
      </c>
      <c r="L24" s="12">
        <f t="shared" si="5"/>
        <v>23510</v>
      </c>
      <c r="S24" s="25">
        <v>159.63965628342962</v>
      </c>
      <c r="T24" s="12">
        <v>690</v>
      </c>
      <c r="U24" s="12">
        <v>21000</v>
      </c>
      <c r="V24" s="12">
        <f t="shared" si="6"/>
        <v>101.61572868334854</v>
      </c>
      <c r="W24" s="12">
        <v>3.8855200000000001</v>
      </c>
      <c r="AB24" s="12">
        <v>0.3550200773318104</v>
      </c>
      <c r="AC24" s="13">
        <v>1.67</v>
      </c>
      <c r="AE24" s="12" t="s">
        <v>42</v>
      </c>
      <c r="AF24" s="24" t="s">
        <v>34</v>
      </c>
    </row>
    <row r="25" spans="1:32">
      <c r="A25" s="12">
        <v>7</v>
      </c>
      <c r="B25" s="3" t="s">
        <v>86</v>
      </c>
      <c r="C25" s="3">
        <v>180</v>
      </c>
      <c r="D25" s="12">
        <v>180</v>
      </c>
      <c r="E25" s="12">
        <v>400</v>
      </c>
      <c r="F25" s="12">
        <v>13.5</v>
      </c>
      <c r="G25" s="12">
        <v>13.5</v>
      </c>
      <c r="H25" s="12">
        <v>50</v>
      </c>
      <c r="I25" s="12">
        <v>0</v>
      </c>
      <c r="J25" s="12">
        <v>0</v>
      </c>
      <c r="K25" s="12">
        <v>13904.392309988794</v>
      </c>
      <c r="L25" s="12">
        <f t="shared" si="5"/>
        <v>23510</v>
      </c>
      <c r="S25" s="26">
        <v>112.94760372942508</v>
      </c>
      <c r="T25" s="12">
        <v>690</v>
      </c>
      <c r="U25" s="12">
        <v>21000</v>
      </c>
      <c r="V25" s="12">
        <f t="shared" si="6"/>
        <v>143.62323293605098</v>
      </c>
      <c r="W25" s="12">
        <v>3.8066300000000002</v>
      </c>
      <c r="AB25" s="12">
        <v>0.3550200773318104</v>
      </c>
      <c r="AC25" s="13">
        <v>2</v>
      </c>
      <c r="AE25" s="12" t="s">
        <v>43</v>
      </c>
      <c r="AF25" s="24" t="s">
        <v>34</v>
      </c>
    </row>
    <row r="26" spans="1:32">
      <c r="A26" s="12">
        <v>8</v>
      </c>
      <c r="B26" s="3" t="s">
        <v>87</v>
      </c>
      <c r="C26" s="3">
        <v>180</v>
      </c>
      <c r="D26" s="12">
        <v>180</v>
      </c>
      <c r="E26" s="12">
        <v>400</v>
      </c>
      <c r="F26" s="12">
        <v>13.5</v>
      </c>
      <c r="G26" s="12">
        <v>13.5</v>
      </c>
      <c r="H26" s="12">
        <v>50</v>
      </c>
      <c r="I26" s="12">
        <v>0</v>
      </c>
      <c r="J26" s="12">
        <v>0</v>
      </c>
      <c r="K26" s="12">
        <v>17380.490387485992</v>
      </c>
      <c r="L26" s="12">
        <f t="shared" si="5"/>
        <v>23510</v>
      </c>
      <c r="S26" s="26">
        <v>73.366887537102784</v>
      </c>
      <c r="T26" s="12">
        <v>690</v>
      </c>
      <c r="U26" s="12">
        <v>21000</v>
      </c>
      <c r="V26" s="12">
        <f t="shared" si="6"/>
        <v>221.10655834754243</v>
      </c>
      <c r="W26" s="12">
        <v>3.7334900000000002</v>
      </c>
      <c r="AB26" s="12">
        <v>0.3550200773318104</v>
      </c>
      <c r="AC26" s="13">
        <v>2.5</v>
      </c>
      <c r="AE26" s="12" t="s">
        <v>44</v>
      </c>
      <c r="AF26" s="24" t="s">
        <v>34</v>
      </c>
    </row>
    <row r="27" spans="1:32">
      <c r="A27" s="12">
        <v>9</v>
      </c>
      <c r="B27" s="3" t="s">
        <v>88</v>
      </c>
      <c r="C27" s="3">
        <v>180</v>
      </c>
      <c r="D27" s="12">
        <v>180</v>
      </c>
      <c r="E27" s="12">
        <v>400</v>
      </c>
      <c r="F27" s="12">
        <v>13.5</v>
      </c>
      <c r="G27" s="12">
        <v>13.5</v>
      </c>
      <c r="H27" s="12">
        <v>24.5</v>
      </c>
      <c r="I27" s="12">
        <v>0</v>
      </c>
      <c r="J27" s="12">
        <v>0</v>
      </c>
      <c r="K27" s="12">
        <v>2297.9112716622139</v>
      </c>
      <c r="L27" s="12">
        <f t="shared" si="5"/>
        <v>13998.5</v>
      </c>
      <c r="S27" s="12">
        <v>1612.9723594134121</v>
      </c>
      <c r="T27" s="12">
        <v>690</v>
      </c>
      <c r="U27" s="12">
        <v>21000</v>
      </c>
      <c r="V27" s="12">
        <f t="shared" si="6"/>
        <v>5.9883016244076659</v>
      </c>
      <c r="W27" s="12">
        <v>3.2498499999999999</v>
      </c>
      <c r="AB27" s="12">
        <v>0.50420742049940981</v>
      </c>
      <c r="AC27" s="13">
        <v>0.3</v>
      </c>
      <c r="AE27" s="12" t="s">
        <v>45</v>
      </c>
      <c r="AF27" s="23" t="s">
        <v>35</v>
      </c>
    </row>
    <row r="28" spans="1:32">
      <c r="A28" s="12">
        <v>10</v>
      </c>
      <c r="B28" s="3" t="s">
        <v>89</v>
      </c>
      <c r="C28" s="3">
        <v>180</v>
      </c>
      <c r="D28" s="12">
        <v>180</v>
      </c>
      <c r="E28" s="12">
        <v>400</v>
      </c>
      <c r="F28" s="12">
        <v>13.5</v>
      </c>
      <c r="G28" s="12">
        <v>13.5</v>
      </c>
      <c r="H28" s="12">
        <v>24.5</v>
      </c>
      <c r="I28" s="12">
        <v>0</v>
      </c>
      <c r="J28" s="12">
        <v>0</v>
      </c>
      <c r="K28" s="12">
        <v>3829.8521194370237</v>
      </c>
      <c r="L28" s="12">
        <f t="shared" si="5"/>
        <v>13998.5</v>
      </c>
      <c r="S28" s="12">
        <v>831.61265764757195</v>
      </c>
      <c r="T28" s="12">
        <v>690</v>
      </c>
      <c r="U28" s="12">
        <v>21000</v>
      </c>
      <c r="V28" s="12">
        <f t="shared" si="6"/>
        <v>11.614740241355682</v>
      </c>
      <c r="W28" s="12">
        <v>4.2494100000000001</v>
      </c>
      <c r="AB28" s="12">
        <v>0.50420742049940981</v>
      </c>
      <c r="AC28" s="13">
        <v>0.5</v>
      </c>
      <c r="AE28" s="12" t="s">
        <v>46</v>
      </c>
      <c r="AF28" s="24" t="s">
        <v>34</v>
      </c>
    </row>
    <row r="29" spans="1:32">
      <c r="A29" s="12">
        <v>11</v>
      </c>
      <c r="B29" s="3" t="s">
        <v>90</v>
      </c>
      <c r="C29" s="3">
        <v>180</v>
      </c>
      <c r="D29" s="12">
        <v>180</v>
      </c>
      <c r="E29" s="12">
        <v>400</v>
      </c>
      <c r="F29" s="12">
        <v>13.5</v>
      </c>
      <c r="G29" s="12">
        <v>13.5</v>
      </c>
      <c r="H29" s="12">
        <v>24.5</v>
      </c>
      <c r="I29" s="12">
        <v>0</v>
      </c>
      <c r="J29" s="12">
        <v>0</v>
      </c>
      <c r="K29" s="12">
        <v>5744.7781791555353</v>
      </c>
      <c r="L29" s="12">
        <f t="shared" si="5"/>
        <v>13998.5</v>
      </c>
      <c r="S29" s="12">
        <v>420.0306767475991</v>
      </c>
      <c r="T29" s="12">
        <v>690</v>
      </c>
      <c r="U29" s="12">
        <v>21000</v>
      </c>
      <c r="V29" s="12">
        <f t="shared" si="6"/>
        <v>22.995856099825239</v>
      </c>
      <c r="W29" s="12">
        <v>4.2884700000000002</v>
      </c>
      <c r="AB29" s="12">
        <v>0.50420742049940981</v>
      </c>
      <c r="AC29" s="13">
        <v>0.75</v>
      </c>
      <c r="AE29" s="12" t="s">
        <v>368</v>
      </c>
      <c r="AF29" s="24" t="s">
        <v>34</v>
      </c>
    </row>
    <row r="30" spans="1:32">
      <c r="A30" s="12">
        <v>12</v>
      </c>
      <c r="B30" s="3" t="s">
        <v>91</v>
      </c>
      <c r="C30" s="3">
        <v>180</v>
      </c>
      <c r="D30" s="12">
        <v>180</v>
      </c>
      <c r="E30" s="12">
        <v>400</v>
      </c>
      <c r="F30" s="12">
        <v>13.5</v>
      </c>
      <c r="G30" s="12">
        <v>13.5</v>
      </c>
      <c r="H30" s="12">
        <v>24.5</v>
      </c>
      <c r="I30" s="12">
        <v>0</v>
      </c>
      <c r="J30" s="12">
        <v>0</v>
      </c>
      <c r="K30" s="12">
        <v>7659.7042388740474</v>
      </c>
      <c r="L30" s="12">
        <f t="shared" si="5"/>
        <v>13998.5</v>
      </c>
      <c r="S30" s="12">
        <v>249.45393596399407</v>
      </c>
      <c r="T30" s="12">
        <v>690</v>
      </c>
      <c r="U30" s="12">
        <v>21000</v>
      </c>
      <c r="V30" s="12">
        <f t="shared" si="6"/>
        <v>38.720435348809914</v>
      </c>
      <c r="W30" s="12">
        <v>4.12399</v>
      </c>
      <c r="AB30" s="12">
        <v>0.50420742049940981</v>
      </c>
      <c r="AC30" s="13">
        <v>1</v>
      </c>
      <c r="AE30" s="12" t="s">
        <v>369</v>
      </c>
      <c r="AF30" s="24" t="s">
        <v>34</v>
      </c>
    </row>
    <row r="31" spans="1:32">
      <c r="A31" s="12">
        <v>13</v>
      </c>
      <c r="B31" s="3" t="s">
        <v>92</v>
      </c>
      <c r="C31" s="3">
        <v>180</v>
      </c>
      <c r="D31" s="12">
        <v>180</v>
      </c>
      <c r="E31" s="12">
        <v>400</v>
      </c>
      <c r="F31" s="12">
        <v>13.5</v>
      </c>
      <c r="G31" s="12">
        <v>13.5</v>
      </c>
      <c r="H31" s="12">
        <v>24.5</v>
      </c>
      <c r="I31" s="12">
        <v>0</v>
      </c>
      <c r="J31" s="12">
        <v>0</v>
      </c>
      <c r="K31" s="12">
        <v>10187.406637702483</v>
      </c>
      <c r="L31" s="12">
        <f t="shared" si="5"/>
        <v>13998.5</v>
      </c>
      <c r="S31" s="12">
        <v>146.4793063043933</v>
      </c>
      <c r="T31" s="12">
        <v>690</v>
      </c>
      <c r="U31" s="12">
        <v>21000</v>
      </c>
      <c r="V31" s="12">
        <f t="shared" si="6"/>
        <v>65.940816103593889</v>
      </c>
      <c r="W31" s="12">
        <v>3.9363899999999998</v>
      </c>
      <c r="AB31" s="12">
        <v>0.50420742049940981</v>
      </c>
      <c r="AC31" s="13">
        <v>1.33</v>
      </c>
      <c r="AE31" s="12" t="s">
        <v>370</v>
      </c>
      <c r="AF31" s="24" t="s">
        <v>34</v>
      </c>
    </row>
    <row r="32" spans="1:32">
      <c r="A32" s="12">
        <v>14</v>
      </c>
      <c r="B32" s="3" t="s">
        <v>93</v>
      </c>
      <c r="C32" s="3">
        <v>180</v>
      </c>
      <c r="D32" s="12">
        <v>180</v>
      </c>
      <c r="E32" s="12">
        <v>400</v>
      </c>
      <c r="F32" s="12">
        <v>13.5</v>
      </c>
      <c r="G32" s="12">
        <v>13.5</v>
      </c>
      <c r="H32" s="12">
        <v>24.5</v>
      </c>
      <c r="I32" s="12">
        <v>0</v>
      </c>
      <c r="J32" s="12">
        <v>0</v>
      </c>
      <c r="K32" s="12">
        <v>12791.706078919658</v>
      </c>
      <c r="L32" s="12">
        <f t="shared" si="5"/>
        <v>13998.5</v>
      </c>
      <c r="S32" s="12">
        <v>95.053837876800941</v>
      </c>
      <c r="T32" s="12">
        <v>690</v>
      </c>
      <c r="U32" s="12">
        <v>21000</v>
      </c>
      <c r="V32" s="12">
        <f t="shared" si="6"/>
        <v>101.61572868334851</v>
      </c>
      <c r="W32" s="12">
        <v>3.81494</v>
      </c>
      <c r="AB32" s="12">
        <v>0.50420742049940981</v>
      </c>
      <c r="AC32" s="13">
        <v>1.67</v>
      </c>
      <c r="AE32" s="12" t="s">
        <v>371</v>
      </c>
      <c r="AF32" s="24" t="s">
        <v>34</v>
      </c>
    </row>
    <row r="33" spans="1:32">
      <c r="A33" s="12">
        <v>15</v>
      </c>
      <c r="B33" s="3" t="s">
        <v>94</v>
      </c>
      <c r="C33" s="3">
        <v>180</v>
      </c>
      <c r="D33" s="12">
        <v>180</v>
      </c>
      <c r="E33" s="12">
        <v>400</v>
      </c>
      <c r="F33" s="12">
        <v>13.5</v>
      </c>
      <c r="G33" s="12">
        <v>13.5</v>
      </c>
      <c r="H33" s="12">
        <v>24.5</v>
      </c>
      <c r="I33" s="12">
        <v>0</v>
      </c>
      <c r="J33" s="12">
        <v>0</v>
      </c>
      <c r="K33" s="12">
        <v>15319.408477748095</v>
      </c>
      <c r="L33" s="12">
        <f t="shared" si="5"/>
        <v>13998.5</v>
      </c>
      <c r="S33" s="12">
        <v>67.252106797378048</v>
      </c>
      <c r="T33" s="12">
        <v>690</v>
      </c>
      <c r="U33" s="12">
        <v>21000</v>
      </c>
      <c r="V33" s="12">
        <f t="shared" si="6"/>
        <v>143.62323293605093</v>
      </c>
      <c r="W33" s="12">
        <v>3.7388599999999999</v>
      </c>
      <c r="AB33" s="12">
        <v>0.50420742049940981</v>
      </c>
      <c r="AC33" s="13">
        <v>2</v>
      </c>
      <c r="AE33" s="12" t="s">
        <v>372</v>
      </c>
      <c r="AF33" s="24" t="s">
        <v>34</v>
      </c>
    </row>
    <row r="34" spans="1:32">
      <c r="A34" s="12">
        <v>16</v>
      </c>
      <c r="B34" s="3" t="s">
        <v>95</v>
      </c>
      <c r="C34" s="3">
        <v>180</v>
      </c>
      <c r="D34" s="12">
        <v>180</v>
      </c>
      <c r="E34" s="12">
        <v>400</v>
      </c>
      <c r="F34" s="12">
        <v>13.5</v>
      </c>
      <c r="G34" s="12">
        <v>13.5</v>
      </c>
      <c r="H34" s="12">
        <v>24.5</v>
      </c>
      <c r="I34" s="12">
        <v>0</v>
      </c>
      <c r="J34" s="12">
        <v>0</v>
      </c>
      <c r="K34" s="12">
        <v>19149.260597185119</v>
      </c>
      <c r="L34" s="12">
        <f t="shared" si="5"/>
        <v>13998.5</v>
      </c>
      <c r="S34" s="12">
        <v>43.684660790647953</v>
      </c>
      <c r="T34" s="12">
        <v>690</v>
      </c>
      <c r="U34" s="12">
        <v>21000</v>
      </c>
      <c r="V34" s="12">
        <f t="shared" si="6"/>
        <v>221.1065583475424</v>
      </c>
      <c r="W34" s="12">
        <v>3.66859</v>
      </c>
      <c r="AB34" s="12">
        <v>0.50420742049940981</v>
      </c>
      <c r="AC34" s="13">
        <v>2.5</v>
      </c>
      <c r="AE34" s="12" t="s">
        <v>373</v>
      </c>
      <c r="AF34" s="24" t="s">
        <v>34</v>
      </c>
    </row>
    <row r="35" spans="1:32">
      <c r="A35" s="12">
        <v>17</v>
      </c>
      <c r="B35" s="3" t="s">
        <v>96</v>
      </c>
      <c r="C35" s="3">
        <v>181</v>
      </c>
      <c r="D35" s="12">
        <v>181</v>
      </c>
      <c r="E35" s="12">
        <v>400</v>
      </c>
      <c r="F35" s="12">
        <v>13.5</v>
      </c>
      <c r="G35" s="12">
        <v>13.5</v>
      </c>
      <c r="H35" s="12">
        <v>20</v>
      </c>
      <c r="I35" s="12">
        <v>0</v>
      </c>
      <c r="J35" s="12">
        <v>0</v>
      </c>
      <c r="K35" s="12">
        <v>2365.1048785040048</v>
      </c>
      <c r="L35" s="12">
        <f t="shared" si="5"/>
        <v>12347</v>
      </c>
      <c r="S35" s="12">
        <v>1423.75067221514</v>
      </c>
      <c r="T35" s="12">
        <v>690</v>
      </c>
      <c r="U35" s="12">
        <v>21000</v>
      </c>
      <c r="V35" s="12">
        <f t="shared" si="6"/>
        <v>5.9837934873421759</v>
      </c>
      <c r="W35" s="12">
        <v>2.8714</v>
      </c>
      <c r="AB35" s="12">
        <v>0.60172287236842936</v>
      </c>
      <c r="AC35" s="13">
        <v>0.3</v>
      </c>
      <c r="AE35" s="12" t="s">
        <v>374</v>
      </c>
      <c r="AF35" s="24" t="s">
        <v>34</v>
      </c>
    </row>
    <row r="36" spans="1:32">
      <c r="A36" s="12">
        <v>18</v>
      </c>
      <c r="B36" s="3" t="s">
        <v>97</v>
      </c>
      <c r="C36" s="3">
        <v>182</v>
      </c>
      <c r="D36" s="12">
        <v>182</v>
      </c>
      <c r="E36" s="12">
        <v>400</v>
      </c>
      <c r="F36" s="12">
        <v>13.5</v>
      </c>
      <c r="G36" s="12">
        <v>13.5</v>
      </c>
      <c r="H36" s="12">
        <v>20</v>
      </c>
      <c r="I36" s="12">
        <v>0</v>
      </c>
      <c r="J36" s="12">
        <v>0</v>
      </c>
      <c r="K36" s="12">
        <v>3941.8414641733416</v>
      </c>
      <c r="L36" s="12">
        <f t="shared" si="5"/>
        <v>12374</v>
      </c>
      <c r="S36" s="12">
        <v>736.90655898703619</v>
      </c>
      <c r="T36" s="12">
        <v>690</v>
      </c>
      <c r="U36" s="12">
        <v>21000</v>
      </c>
      <c r="V36" s="12">
        <f t="shared" si="6"/>
        <v>11.586353650775692</v>
      </c>
      <c r="W36" s="12">
        <v>3.6524000000000001</v>
      </c>
      <c r="AB36" s="12">
        <v>0.60172287236842936</v>
      </c>
      <c r="AC36" s="13">
        <v>0.5</v>
      </c>
      <c r="AE36" s="12" t="s">
        <v>375</v>
      </c>
      <c r="AF36" s="24" t="s">
        <v>34</v>
      </c>
    </row>
    <row r="37" spans="1:32">
      <c r="A37" s="12">
        <v>19</v>
      </c>
      <c r="B37" s="3" t="s">
        <v>98</v>
      </c>
      <c r="C37" s="3">
        <v>183</v>
      </c>
      <c r="D37" s="12">
        <v>183</v>
      </c>
      <c r="E37" s="12">
        <v>400</v>
      </c>
      <c r="F37" s="12">
        <v>13.5</v>
      </c>
      <c r="G37" s="12">
        <v>13.5</v>
      </c>
      <c r="H37" s="12">
        <v>20</v>
      </c>
      <c r="I37" s="12">
        <v>0</v>
      </c>
      <c r="J37" s="12">
        <v>0</v>
      </c>
      <c r="K37" s="12">
        <v>5912.7621962600124</v>
      </c>
      <c r="L37" s="12">
        <f t="shared" si="5"/>
        <v>12401</v>
      </c>
      <c r="S37" s="12">
        <v>373.64091549302623</v>
      </c>
      <c r="T37" s="12">
        <v>690</v>
      </c>
      <c r="U37" s="12">
        <v>21000</v>
      </c>
      <c r="V37" s="12">
        <f t="shared" si="6"/>
        <v>22.900837796924051</v>
      </c>
      <c r="W37" s="12">
        <v>4.1090799999999996</v>
      </c>
      <c r="AB37" s="12">
        <v>0.60172287236842936</v>
      </c>
      <c r="AC37" s="13">
        <v>0.75</v>
      </c>
      <c r="AE37" s="12" t="s">
        <v>376</v>
      </c>
      <c r="AF37" s="24" t="s">
        <v>34</v>
      </c>
    </row>
    <row r="38" spans="1:32">
      <c r="A38" s="12">
        <v>20</v>
      </c>
      <c r="B38" s="3" t="s">
        <v>99</v>
      </c>
      <c r="C38" s="3">
        <v>184</v>
      </c>
      <c r="D38" s="12">
        <v>184</v>
      </c>
      <c r="E38" s="12">
        <v>400</v>
      </c>
      <c r="F38" s="12">
        <v>13.5</v>
      </c>
      <c r="G38" s="12">
        <v>13.5</v>
      </c>
      <c r="H38" s="12">
        <v>20</v>
      </c>
      <c r="I38" s="12">
        <v>0</v>
      </c>
      <c r="J38" s="12">
        <v>0</v>
      </c>
      <c r="K38" s="12">
        <v>7883.6829283466832</v>
      </c>
      <c r="L38" s="12">
        <f t="shared" si="5"/>
        <v>12428</v>
      </c>
      <c r="S38" s="12">
        <v>222.73914852432671</v>
      </c>
      <c r="T38" s="12">
        <v>690</v>
      </c>
      <c r="U38" s="12">
        <v>21000</v>
      </c>
      <c r="V38" s="12">
        <f t="shared" si="6"/>
        <v>38.499383951193636</v>
      </c>
      <c r="W38" s="12">
        <v>4.04704</v>
      </c>
      <c r="AB38" s="12">
        <v>0.60172287236842936</v>
      </c>
      <c r="AC38" s="13">
        <v>1</v>
      </c>
      <c r="AE38" s="12" t="s">
        <v>377</v>
      </c>
      <c r="AF38" s="24" t="s">
        <v>34</v>
      </c>
    </row>
    <row r="39" spans="1:32">
      <c r="A39" s="12">
        <v>21</v>
      </c>
      <c r="B39" s="3" t="s">
        <v>100</v>
      </c>
      <c r="C39" s="3">
        <v>185</v>
      </c>
      <c r="D39" s="12">
        <v>185</v>
      </c>
      <c r="E39" s="12">
        <v>400</v>
      </c>
      <c r="F39" s="12">
        <v>13.5</v>
      </c>
      <c r="G39" s="12">
        <v>13.5</v>
      </c>
      <c r="H39" s="12">
        <v>20</v>
      </c>
      <c r="I39" s="12">
        <v>0</v>
      </c>
      <c r="J39" s="12">
        <v>0</v>
      </c>
      <c r="K39" s="12">
        <v>10485.29829470109</v>
      </c>
      <c r="L39" s="12">
        <f t="shared" si="5"/>
        <v>12455</v>
      </c>
      <c r="S39" s="12">
        <v>131.28361655337187</v>
      </c>
      <c r="T39" s="12">
        <v>690</v>
      </c>
      <c r="U39" s="12">
        <v>21000</v>
      </c>
      <c r="V39" s="12">
        <f t="shared" si="6"/>
        <v>65.460948027023818</v>
      </c>
      <c r="W39" s="12">
        <v>3.9108200000000002</v>
      </c>
      <c r="AB39" s="12">
        <v>0.60172287236842936</v>
      </c>
      <c r="AC39" s="13">
        <v>1.33</v>
      </c>
      <c r="AE39" s="12" t="s">
        <v>378</v>
      </c>
      <c r="AF39" s="24" t="s">
        <v>34</v>
      </c>
    </row>
    <row r="40" spans="1:32">
      <c r="A40" s="12">
        <v>22</v>
      </c>
      <c r="B40" s="3" t="s">
        <v>101</v>
      </c>
      <c r="C40" s="3">
        <v>186</v>
      </c>
      <c r="D40" s="12">
        <v>186</v>
      </c>
      <c r="E40" s="12">
        <v>400</v>
      </c>
      <c r="F40" s="12">
        <v>13.5</v>
      </c>
      <c r="G40" s="12">
        <v>13.5</v>
      </c>
      <c r="H40" s="12">
        <v>20</v>
      </c>
      <c r="I40" s="12">
        <v>0</v>
      </c>
      <c r="J40" s="12">
        <v>0</v>
      </c>
      <c r="K40" s="12">
        <v>13165.75049033896</v>
      </c>
      <c r="L40" s="12">
        <f t="shared" si="5"/>
        <v>12482</v>
      </c>
      <c r="S40" s="12">
        <v>85.509844533093272</v>
      </c>
      <c r="T40" s="12">
        <v>690</v>
      </c>
      <c r="U40" s="12">
        <v>21000</v>
      </c>
      <c r="V40" s="12">
        <f t="shared" si="6"/>
        <v>100.72033281111668</v>
      </c>
      <c r="W40" s="12">
        <v>3.79312</v>
      </c>
      <c r="AB40" s="12">
        <v>0.60172287236842936</v>
      </c>
      <c r="AC40" s="13">
        <v>1.67</v>
      </c>
      <c r="AE40" s="12" t="s">
        <v>379</v>
      </c>
      <c r="AF40" s="24" t="s">
        <v>34</v>
      </c>
    </row>
    <row r="41" spans="1:32">
      <c r="A41" s="12">
        <v>23</v>
      </c>
      <c r="B41" s="3" t="s">
        <v>102</v>
      </c>
      <c r="C41" s="3">
        <v>187</v>
      </c>
      <c r="D41" s="12">
        <v>187</v>
      </c>
      <c r="E41" s="12">
        <v>400</v>
      </c>
      <c r="F41" s="12">
        <v>13.5</v>
      </c>
      <c r="G41" s="12">
        <v>13.5</v>
      </c>
      <c r="H41" s="12">
        <v>20</v>
      </c>
      <c r="I41" s="12">
        <v>0</v>
      </c>
      <c r="J41" s="12">
        <v>0</v>
      </c>
      <c r="K41" s="12">
        <v>15767.365856693366</v>
      </c>
      <c r="L41" s="12">
        <f t="shared" si="5"/>
        <v>12509</v>
      </c>
      <c r="S41" s="12">
        <v>60.72297447910654</v>
      </c>
      <c r="T41" s="12">
        <v>690</v>
      </c>
      <c r="U41" s="12">
        <v>21000</v>
      </c>
      <c r="V41" s="12">
        <f t="shared" si="6"/>
        <v>142.14076425010788</v>
      </c>
      <c r="W41" s="12">
        <v>3.7184699999999999</v>
      </c>
      <c r="AB41" s="12">
        <v>0.60172287236842936</v>
      </c>
      <c r="AC41" s="13">
        <v>2</v>
      </c>
      <c r="AE41" s="12" t="s">
        <v>380</v>
      </c>
      <c r="AF41" s="24" t="s">
        <v>34</v>
      </c>
    </row>
    <row r="42" spans="1:32">
      <c r="A42" s="12">
        <v>24</v>
      </c>
      <c r="B42" s="3" t="s">
        <v>103</v>
      </c>
      <c r="C42" s="3">
        <v>188</v>
      </c>
      <c r="D42" s="12">
        <v>188</v>
      </c>
      <c r="E42" s="12">
        <v>400</v>
      </c>
      <c r="F42" s="12">
        <v>13.5</v>
      </c>
      <c r="G42" s="12">
        <v>13.5</v>
      </c>
      <c r="H42" s="12">
        <v>20</v>
      </c>
      <c r="I42" s="12">
        <v>0</v>
      </c>
      <c r="J42" s="12">
        <v>0</v>
      </c>
      <c r="K42" s="12">
        <v>19709.207320866706</v>
      </c>
      <c r="L42" s="12">
        <f t="shared" si="5"/>
        <v>12536</v>
      </c>
      <c r="S42" s="12">
        <v>39.58953311970631</v>
      </c>
      <c r="T42" s="12">
        <v>690</v>
      </c>
      <c r="U42" s="12">
        <v>21000</v>
      </c>
      <c r="V42" s="12">
        <f t="shared" si="6"/>
        <v>218.48805273468622</v>
      </c>
      <c r="W42" s="12">
        <v>3.64852</v>
      </c>
      <c r="AB42" s="12">
        <v>0.60172287236842936</v>
      </c>
      <c r="AC42" s="13">
        <v>2.5</v>
      </c>
      <c r="AE42" s="12" t="s">
        <v>381</v>
      </c>
      <c r="AF42" s="24" t="s">
        <v>34</v>
      </c>
    </row>
    <row r="43" spans="1:32">
      <c r="A43" s="12">
        <v>25</v>
      </c>
      <c r="B43" s="3" t="s">
        <v>104</v>
      </c>
      <c r="C43" s="3">
        <v>189</v>
      </c>
      <c r="D43" s="12">
        <v>189</v>
      </c>
      <c r="E43" s="12">
        <v>400</v>
      </c>
      <c r="F43" s="12">
        <v>13.5</v>
      </c>
      <c r="G43" s="12">
        <v>13.5</v>
      </c>
      <c r="H43" s="12">
        <v>13.5</v>
      </c>
      <c r="I43" s="12">
        <v>0</v>
      </c>
      <c r="J43" s="12">
        <v>0</v>
      </c>
      <c r="K43" s="12">
        <v>2496.7891738672952</v>
      </c>
      <c r="L43" s="12">
        <f t="shared" si="5"/>
        <v>10138.5</v>
      </c>
      <c r="S43" s="12">
        <v>1535.7609013363685</v>
      </c>
      <c r="T43" s="12">
        <v>690</v>
      </c>
      <c r="U43" s="12">
        <v>21000</v>
      </c>
      <c r="V43" s="12">
        <f t="shared" si="6"/>
        <v>4.5551133603627294</v>
      </c>
      <c r="W43" s="12">
        <v>1.85548</v>
      </c>
      <c r="AB43" s="12">
        <v>0.80762280341764636</v>
      </c>
      <c r="AC43" s="13">
        <v>0.3</v>
      </c>
      <c r="AE43" s="12" t="s">
        <v>382</v>
      </c>
      <c r="AF43" s="23" t="s">
        <v>35</v>
      </c>
    </row>
    <row r="44" spans="1:32">
      <c r="A44" s="12">
        <v>26</v>
      </c>
      <c r="B44" s="3" t="s">
        <v>105</v>
      </c>
      <c r="C44" s="3">
        <v>190</v>
      </c>
      <c r="D44" s="12">
        <v>190</v>
      </c>
      <c r="E44" s="12">
        <v>400</v>
      </c>
      <c r="F44" s="12">
        <v>13.5</v>
      </c>
      <c r="G44" s="12">
        <v>13.5</v>
      </c>
      <c r="H44" s="12">
        <v>13.5</v>
      </c>
      <c r="I44" s="12">
        <v>0</v>
      </c>
      <c r="J44" s="12">
        <v>0</v>
      </c>
      <c r="K44" s="12">
        <v>4161.315289778825</v>
      </c>
      <c r="L44" s="12">
        <f t="shared" si="5"/>
        <v>10165.5</v>
      </c>
      <c r="S44" s="12">
        <v>1031.5507252021018</v>
      </c>
      <c r="T44" s="12">
        <v>690</v>
      </c>
      <c r="U44" s="12">
        <v>21000</v>
      </c>
      <c r="V44" s="12">
        <f t="shared" si="6"/>
        <v>6.7996607715299469</v>
      </c>
      <c r="W44" s="12">
        <v>1.7102999999999999</v>
      </c>
      <c r="AB44" s="12">
        <v>0.80762280341764636</v>
      </c>
      <c r="AC44" s="13">
        <v>0.5</v>
      </c>
      <c r="AE44" s="12" t="s">
        <v>383</v>
      </c>
      <c r="AF44" s="24" t="s">
        <v>34</v>
      </c>
    </row>
    <row r="45" spans="1:32">
      <c r="A45" s="12">
        <v>27</v>
      </c>
      <c r="B45" s="3" t="s">
        <v>106</v>
      </c>
      <c r="C45" s="3">
        <v>191</v>
      </c>
      <c r="D45" s="12">
        <v>191</v>
      </c>
      <c r="E45" s="12">
        <v>400</v>
      </c>
      <c r="F45" s="12">
        <v>13.5</v>
      </c>
      <c r="G45" s="12">
        <v>13.5</v>
      </c>
      <c r="H45" s="12">
        <v>13.5</v>
      </c>
      <c r="I45" s="12">
        <v>0</v>
      </c>
      <c r="J45" s="12">
        <v>0</v>
      </c>
      <c r="K45" s="12">
        <v>6241.9729346682379</v>
      </c>
      <c r="L45" s="12">
        <f t="shared" si="5"/>
        <v>10192.5</v>
      </c>
      <c r="S45" s="12">
        <v>593.66710944396357</v>
      </c>
      <c r="T45" s="12">
        <v>690</v>
      </c>
      <c r="U45" s="12">
        <v>21000</v>
      </c>
      <c r="V45" s="12">
        <f t="shared" si="6"/>
        <v>11.846411714785809</v>
      </c>
      <c r="W45" s="12">
        <v>1.71811</v>
      </c>
      <c r="AB45" s="12">
        <v>0.80762280341764636</v>
      </c>
      <c r="AC45" s="13">
        <v>0.75</v>
      </c>
      <c r="AE45" s="12" t="s">
        <v>384</v>
      </c>
      <c r="AF45" s="24" t="s">
        <v>34</v>
      </c>
    </row>
    <row r="46" spans="1:32">
      <c r="A46" s="12">
        <v>28</v>
      </c>
      <c r="B46" s="3" t="s">
        <v>107</v>
      </c>
      <c r="C46" s="3">
        <v>192</v>
      </c>
      <c r="D46" s="12">
        <v>192</v>
      </c>
      <c r="E46" s="12">
        <v>400</v>
      </c>
      <c r="F46" s="12">
        <v>13.5</v>
      </c>
      <c r="G46" s="12">
        <v>13.5</v>
      </c>
      <c r="H46" s="12">
        <v>13.5</v>
      </c>
      <c r="I46" s="12">
        <v>0</v>
      </c>
      <c r="J46" s="12">
        <v>0</v>
      </c>
      <c r="K46" s="12">
        <v>8322.63057955765</v>
      </c>
      <c r="L46" s="12">
        <f t="shared" si="5"/>
        <v>10219.5</v>
      </c>
      <c r="S46" s="12">
        <v>370.81381104572426</v>
      </c>
      <c r="T46" s="12">
        <v>690</v>
      </c>
      <c r="U46" s="12">
        <v>21000</v>
      </c>
      <c r="V46" s="12">
        <f t="shared" si="6"/>
        <v>19.016160644379291</v>
      </c>
      <c r="W46" s="12">
        <v>1.8220400000000001</v>
      </c>
      <c r="AB46" s="12">
        <v>0.80762280341764636</v>
      </c>
      <c r="AC46" s="13">
        <v>1</v>
      </c>
      <c r="AE46" s="12" t="s">
        <v>385</v>
      </c>
      <c r="AF46" s="24" t="s">
        <v>34</v>
      </c>
    </row>
    <row r="47" spans="1:32">
      <c r="A47" s="12">
        <v>29</v>
      </c>
      <c r="B47" s="3" t="s">
        <v>108</v>
      </c>
      <c r="C47" s="3">
        <v>193</v>
      </c>
      <c r="D47" s="12">
        <v>193</v>
      </c>
      <c r="E47" s="12">
        <v>400</v>
      </c>
      <c r="F47" s="12">
        <v>13.5</v>
      </c>
      <c r="G47" s="12">
        <v>13.5</v>
      </c>
      <c r="H47" s="12">
        <v>13.5</v>
      </c>
      <c r="I47" s="12">
        <v>0</v>
      </c>
      <c r="J47" s="12">
        <v>0</v>
      </c>
      <c r="K47" s="12">
        <v>11069.098670811676</v>
      </c>
      <c r="L47" s="12">
        <f t="shared" si="5"/>
        <v>10246.5</v>
      </c>
      <c r="S47" s="12">
        <v>224.9873846337502</v>
      </c>
      <c r="T47" s="12">
        <v>690</v>
      </c>
      <c r="U47" s="12">
        <v>21000</v>
      </c>
      <c r="V47" s="12">
        <f t="shared" si="6"/>
        <v>31.424361910376295</v>
      </c>
      <c r="W47" s="12">
        <v>1.82263</v>
      </c>
      <c r="AB47" s="12">
        <v>0.80762280341764636</v>
      </c>
      <c r="AC47" s="13">
        <v>1.33</v>
      </c>
      <c r="AE47" s="12" t="s">
        <v>386</v>
      </c>
      <c r="AF47" s="24" t="s">
        <v>34</v>
      </c>
    </row>
    <row r="48" spans="1:32">
      <c r="A48" s="12">
        <v>30</v>
      </c>
      <c r="B48" s="3" t="s">
        <v>109</v>
      </c>
      <c r="C48" s="3">
        <v>194</v>
      </c>
      <c r="D48" s="12">
        <v>194</v>
      </c>
      <c r="E48" s="12">
        <v>400</v>
      </c>
      <c r="F48" s="12">
        <v>13.5</v>
      </c>
      <c r="G48" s="12">
        <v>13.5</v>
      </c>
      <c r="H48" s="12">
        <v>13.5</v>
      </c>
      <c r="I48" s="12">
        <v>0</v>
      </c>
      <c r="J48" s="12">
        <v>0</v>
      </c>
      <c r="K48" s="12">
        <v>13898.793067861276</v>
      </c>
      <c r="L48" s="12">
        <f t="shared" si="5"/>
        <v>10273.5</v>
      </c>
      <c r="S48" s="12">
        <v>149.14511380751941</v>
      </c>
      <c r="T48" s="12">
        <v>690</v>
      </c>
      <c r="U48" s="12">
        <v>21000</v>
      </c>
      <c r="V48" s="12">
        <f t="shared" si="6"/>
        <v>47.52897911994895</v>
      </c>
      <c r="W48" s="12">
        <v>1.7877099999999999</v>
      </c>
      <c r="AB48" s="12">
        <v>0.80762280341764636</v>
      </c>
      <c r="AC48" s="13">
        <v>1.67</v>
      </c>
      <c r="AE48" s="12" t="s">
        <v>387</v>
      </c>
      <c r="AF48" s="24" t="s">
        <v>34</v>
      </c>
    </row>
    <row r="49" spans="1:32">
      <c r="A49" s="12">
        <v>31</v>
      </c>
      <c r="B49" s="3" t="s">
        <v>110</v>
      </c>
      <c r="C49" s="3">
        <v>195</v>
      </c>
      <c r="D49" s="12">
        <v>195</v>
      </c>
      <c r="E49" s="12">
        <v>400</v>
      </c>
      <c r="F49" s="12">
        <v>13.5</v>
      </c>
      <c r="G49" s="12">
        <v>13.5</v>
      </c>
      <c r="H49" s="12">
        <v>13.5</v>
      </c>
      <c r="I49" s="12">
        <v>0</v>
      </c>
      <c r="J49" s="12">
        <v>0</v>
      </c>
      <c r="K49" s="12">
        <v>16645.2611591153</v>
      </c>
      <c r="L49" s="12">
        <f t="shared" si="5"/>
        <v>10300.5</v>
      </c>
      <c r="S49" s="12">
        <v>107.24493740799188</v>
      </c>
      <c r="T49" s="12">
        <v>690</v>
      </c>
      <c r="U49" s="12">
        <v>21000</v>
      </c>
      <c r="V49" s="12">
        <f t="shared" si="6"/>
        <v>66.27207933332582</v>
      </c>
      <c r="W49" s="12">
        <v>1.75691</v>
      </c>
      <c r="AB49" s="12">
        <v>0.80762280341764636</v>
      </c>
      <c r="AC49" s="13">
        <v>2</v>
      </c>
      <c r="AE49" s="12" t="s">
        <v>388</v>
      </c>
      <c r="AF49" s="24" t="s">
        <v>34</v>
      </c>
    </row>
    <row r="50" spans="1:32">
      <c r="A50" s="12">
        <v>32</v>
      </c>
      <c r="B50" s="3" t="s">
        <v>111</v>
      </c>
      <c r="C50" s="3">
        <v>196</v>
      </c>
      <c r="D50" s="12">
        <v>196</v>
      </c>
      <c r="E50" s="12">
        <v>400</v>
      </c>
      <c r="F50" s="12">
        <v>13.5</v>
      </c>
      <c r="G50" s="12">
        <v>13.5</v>
      </c>
      <c r="H50" s="12">
        <v>13.5</v>
      </c>
      <c r="I50" s="12">
        <v>0</v>
      </c>
      <c r="J50" s="12">
        <v>0</v>
      </c>
      <c r="K50" s="12">
        <v>20806.576448894128</v>
      </c>
      <c r="L50" s="12">
        <f t="shared" si="5"/>
        <v>10327.5</v>
      </c>
      <c r="S50" s="12">
        <v>70.787756968910983</v>
      </c>
      <c r="T50" s="12">
        <v>690</v>
      </c>
      <c r="U50" s="12">
        <v>21000</v>
      </c>
      <c r="V50" s="12">
        <f t="shared" si="6"/>
        <v>100.6667721245869</v>
      </c>
      <c r="W50" s="12">
        <v>1.7187699999999999</v>
      </c>
      <c r="AB50" s="12">
        <v>0.80762280341764636</v>
      </c>
      <c r="AC50" s="13">
        <v>2.5</v>
      </c>
      <c r="AE50" s="12" t="s">
        <v>389</v>
      </c>
      <c r="AF50" s="24" t="s">
        <v>34</v>
      </c>
    </row>
    <row r="51" spans="1:32">
      <c r="A51" s="12">
        <v>33</v>
      </c>
      <c r="B51" s="3" t="s">
        <v>112</v>
      </c>
      <c r="C51" s="3">
        <v>197</v>
      </c>
      <c r="D51" s="12">
        <v>197</v>
      </c>
      <c r="E51" s="12">
        <v>400</v>
      </c>
      <c r="F51" s="12">
        <v>13.5</v>
      </c>
      <c r="G51" s="12">
        <v>13.5</v>
      </c>
      <c r="H51" s="12">
        <v>8.6999999999999993</v>
      </c>
      <c r="I51" s="12">
        <v>0</v>
      </c>
      <c r="J51" s="12">
        <v>0</v>
      </c>
      <c r="K51" s="12">
        <v>2636.7802168476705</v>
      </c>
      <c r="L51" s="12">
        <f t="shared" si="5"/>
        <v>8564.1</v>
      </c>
      <c r="S51" s="12">
        <v>1318.7541211929608</v>
      </c>
      <c r="T51" s="12">
        <v>690</v>
      </c>
      <c r="U51" s="12">
        <v>21000</v>
      </c>
      <c r="V51" s="12">
        <f t="shared" si="6"/>
        <v>4.4809179399222963</v>
      </c>
      <c r="W51" s="12">
        <v>1.5432900000000001</v>
      </c>
      <c r="AB51" s="12">
        <v>1.1133153135475653</v>
      </c>
      <c r="AC51" s="13">
        <v>0.3</v>
      </c>
      <c r="AE51" s="12" t="s">
        <v>390</v>
      </c>
      <c r="AF51" s="23" t="s">
        <v>35</v>
      </c>
    </row>
    <row r="52" spans="1:32">
      <c r="A52" s="12">
        <v>34</v>
      </c>
      <c r="B52" s="3" t="s">
        <v>113</v>
      </c>
      <c r="C52" s="3">
        <v>198</v>
      </c>
      <c r="D52" s="12">
        <v>198</v>
      </c>
      <c r="E52" s="12">
        <v>400</v>
      </c>
      <c r="F52" s="12">
        <v>13.5</v>
      </c>
      <c r="G52" s="12">
        <v>13.5</v>
      </c>
      <c r="H52" s="12">
        <v>8.6999999999999993</v>
      </c>
      <c r="I52" s="12">
        <v>0</v>
      </c>
      <c r="J52" s="12">
        <v>0</v>
      </c>
      <c r="K52" s="12">
        <v>4394.6336947461177</v>
      </c>
      <c r="L52" s="12">
        <f t="shared" si="5"/>
        <v>8591.1</v>
      </c>
      <c r="S52" s="12">
        <v>905.52894826718682</v>
      </c>
      <c r="T52" s="12">
        <v>690</v>
      </c>
      <c r="U52" s="12">
        <v>21000</v>
      </c>
      <c r="V52" s="12">
        <f t="shared" si="6"/>
        <v>6.5462943082532092</v>
      </c>
      <c r="W52" s="12">
        <v>1.3850899999999999</v>
      </c>
      <c r="AB52" s="12">
        <v>1.1133153135475653</v>
      </c>
      <c r="AC52" s="13">
        <v>0.5</v>
      </c>
      <c r="AE52" s="12" t="s">
        <v>391</v>
      </c>
      <c r="AF52" s="24" t="s">
        <v>34</v>
      </c>
    </row>
    <row r="53" spans="1:32">
      <c r="A53" s="12">
        <v>35</v>
      </c>
      <c r="B53" s="3" t="s">
        <v>114</v>
      </c>
      <c r="C53" s="3">
        <v>199</v>
      </c>
      <c r="D53" s="12">
        <v>199</v>
      </c>
      <c r="E53" s="12">
        <v>400</v>
      </c>
      <c r="F53" s="12">
        <v>13.5</v>
      </c>
      <c r="G53" s="12">
        <v>13.5</v>
      </c>
      <c r="H53" s="12">
        <v>8.6999999999999993</v>
      </c>
      <c r="I53" s="12">
        <v>0</v>
      </c>
      <c r="J53" s="12">
        <v>0</v>
      </c>
      <c r="K53" s="12">
        <v>6591.9505421191761</v>
      </c>
      <c r="L53" s="12">
        <f t="shared" si="5"/>
        <v>8618.1</v>
      </c>
      <c r="S53" s="12">
        <v>529.26544134651681</v>
      </c>
      <c r="T53" s="12">
        <v>690</v>
      </c>
      <c r="U53" s="12">
        <v>21000</v>
      </c>
      <c r="V53" s="12">
        <f t="shared" si="6"/>
        <v>11.235362325700683</v>
      </c>
      <c r="W53" s="12">
        <v>1.3792800000000001</v>
      </c>
      <c r="AB53" s="12">
        <v>1.1133153135475653</v>
      </c>
      <c r="AC53" s="13">
        <v>0.75</v>
      </c>
      <c r="AE53" s="12" t="s">
        <v>392</v>
      </c>
      <c r="AF53" s="24" t="s">
        <v>34</v>
      </c>
    </row>
    <row r="54" spans="1:32">
      <c r="A54" s="12">
        <v>36</v>
      </c>
      <c r="B54" s="3" t="s">
        <v>115</v>
      </c>
      <c r="C54" s="3">
        <v>200</v>
      </c>
      <c r="D54" s="12">
        <v>200</v>
      </c>
      <c r="E54" s="12">
        <v>400</v>
      </c>
      <c r="F54" s="12">
        <v>13.5</v>
      </c>
      <c r="G54" s="12">
        <v>13.5</v>
      </c>
      <c r="H54" s="12">
        <v>8.6999999999999993</v>
      </c>
      <c r="I54" s="12">
        <v>0</v>
      </c>
      <c r="J54" s="12">
        <v>0</v>
      </c>
      <c r="K54" s="12">
        <v>8789.2673894922355</v>
      </c>
      <c r="L54" s="12">
        <f t="shared" si="5"/>
        <v>8645.1</v>
      </c>
      <c r="S54" s="12">
        <v>332.42463927875377</v>
      </c>
      <c r="T54" s="12">
        <v>690</v>
      </c>
      <c r="U54" s="12">
        <v>21000</v>
      </c>
      <c r="V54" s="12">
        <f t="shared" si="6"/>
        <v>17.944274566837887</v>
      </c>
      <c r="W54" s="12">
        <v>1.4751799999999999</v>
      </c>
      <c r="AB54" s="12">
        <v>1.1133153135475653</v>
      </c>
      <c r="AC54" s="13">
        <v>1</v>
      </c>
      <c r="AE54" s="12" t="s">
        <v>393</v>
      </c>
      <c r="AF54" s="24" t="s">
        <v>34</v>
      </c>
    </row>
    <row r="55" spans="1:32">
      <c r="A55" s="12">
        <v>37</v>
      </c>
      <c r="B55" s="3" t="s">
        <v>116</v>
      </c>
      <c r="C55" s="3">
        <v>201</v>
      </c>
      <c r="D55" s="12">
        <v>201</v>
      </c>
      <c r="E55" s="12">
        <v>400</v>
      </c>
      <c r="F55" s="12">
        <v>13.5</v>
      </c>
      <c r="G55" s="12">
        <v>13.5</v>
      </c>
      <c r="H55" s="12">
        <v>8.6999999999999993</v>
      </c>
      <c r="I55" s="12">
        <v>0</v>
      </c>
      <c r="J55" s="12">
        <v>0</v>
      </c>
      <c r="K55" s="12">
        <v>11689.725628024673</v>
      </c>
      <c r="L55" s="12">
        <f t="shared" si="5"/>
        <v>8672.1</v>
      </c>
      <c r="S55" s="12">
        <v>202.296715282587</v>
      </c>
      <c r="T55" s="12">
        <v>690</v>
      </c>
      <c r="U55" s="12">
        <v>21000</v>
      </c>
      <c r="V55" s="12">
        <f t="shared" si="6"/>
        <v>29.57907147252163</v>
      </c>
      <c r="W55" s="12">
        <v>1.5513999999999999</v>
      </c>
      <c r="AB55" s="12">
        <v>1.1133153135475653</v>
      </c>
      <c r="AC55" s="13">
        <v>1.33</v>
      </c>
      <c r="AE55" s="12" t="s">
        <v>394</v>
      </c>
      <c r="AF55" s="24" t="s">
        <v>34</v>
      </c>
    </row>
    <row r="56" spans="1:32">
      <c r="A56" s="12">
        <v>38</v>
      </c>
      <c r="B56" s="3" t="s">
        <v>117</v>
      </c>
      <c r="C56" s="3">
        <v>202</v>
      </c>
      <c r="D56" s="12">
        <v>202</v>
      </c>
      <c r="E56" s="12">
        <v>400</v>
      </c>
      <c r="F56" s="12">
        <v>13.5</v>
      </c>
      <c r="G56" s="12">
        <v>13.5</v>
      </c>
      <c r="H56" s="12">
        <v>8.6999999999999993</v>
      </c>
      <c r="I56" s="12">
        <v>0</v>
      </c>
      <c r="J56" s="12">
        <v>0</v>
      </c>
      <c r="K56" s="12">
        <v>14678.076540452032</v>
      </c>
      <c r="L56" s="12">
        <f t="shared" si="5"/>
        <v>8699.1</v>
      </c>
      <c r="S56" s="12">
        <v>134.29738310693136</v>
      </c>
      <c r="T56" s="12">
        <v>690</v>
      </c>
      <c r="U56" s="12">
        <v>21000</v>
      </c>
      <c r="V56" s="12">
        <f t="shared" si="6"/>
        <v>44.694683255449114</v>
      </c>
      <c r="W56" s="12">
        <v>1.5672299999999999</v>
      </c>
      <c r="AB56" s="12">
        <v>1.1133153135475653</v>
      </c>
      <c r="AC56" s="13">
        <v>1.67</v>
      </c>
      <c r="AE56" s="12" t="s">
        <v>395</v>
      </c>
      <c r="AF56" s="24" t="s">
        <v>34</v>
      </c>
    </row>
    <row r="57" spans="1:32">
      <c r="A57" s="12">
        <v>39</v>
      </c>
      <c r="B57" s="3" t="s">
        <v>118</v>
      </c>
      <c r="C57" s="3">
        <v>203</v>
      </c>
      <c r="D57" s="12">
        <v>203</v>
      </c>
      <c r="E57" s="12">
        <v>400</v>
      </c>
      <c r="F57" s="12">
        <v>13.5</v>
      </c>
      <c r="G57" s="12">
        <v>13.5</v>
      </c>
      <c r="H57" s="12">
        <v>8.6999999999999993</v>
      </c>
      <c r="I57" s="12">
        <v>0</v>
      </c>
      <c r="J57" s="12">
        <v>0</v>
      </c>
      <c r="K57" s="12">
        <v>17578.534778984471</v>
      </c>
      <c r="L57" s="12">
        <f t="shared" si="5"/>
        <v>8726.1</v>
      </c>
      <c r="S57" s="12">
        <v>96.646063791324607</v>
      </c>
      <c r="T57" s="12">
        <v>690</v>
      </c>
      <c r="U57" s="12">
        <v>21000</v>
      </c>
      <c r="V57" s="12">
        <f t="shared" si="6"/>
        <v>62.299578108016789</v>
      </c>
      <c r="W57" s="12">
        <v>1.5628599999999999</v>
      </c>
      <c r="AB57" s="12">
        <v>1.1133153135475653</v>
      </c>
      <c r="AC57" s="13">
        <v>2</v>
      </c>
      <c r="AE57" s="12" t="s">
        <v>396</v>
      </c>
      <c r="AF57" s="24" t="s">
        <v>34</v>
      </c>
    </row>
    <row r="58" spans="1:32">
      <c r="A58" s="12">
        <v>40</v>
      </c>
      <c r="B58" s="3" t="s">
        <v>119</v>
      </c>
      <c r="C58" s="3">
        <v>204</v>
      </c>
      <c r="D58" s="12">
        <v>204</v>
      </c>
      <c r="E58" s="12">
        <v>400</v>
      </c>
      <c r="F58" s="12">
        <v>13.5</v>
      </c>
      <c r="G58" s="12">
        <v>13.5</v>
      </c>
      <c r="H58" s="12">
        <v>8.6999999999999993</v>
      </c>
      <c r="I58" s="12">
        <v>0</v>
      </c>
      <c r="J58" s="12">
        <v>0</v>
      </c>
      <c r="K58" s="12">
        <v>21973.168473730588</v>
      </c>
      <c r="L58" s="12">
        <f t="shared" si="5"/>
        <v>8753.1</v>
      </c>
      <c r="S58" s="12">
        <v>63.839349833232347</v>
      </c>
      <c r="T58" s="12">
        <v>690</v>
      </c>
      <c r="U58" s="12">
        <v>21000</v>
      </c>
      <c r="V58" s="12">
        <f t="shared" si="6"/>
        <v>94.606837566130608</v>
      </c>
      <c r="W58" s="12">
        <v>1.5506200000000001</v>
      </c>
      <c r="AB58" s="12">
        <v>1.1133153135475653</v>
      </c>
      <c r="AC58" s="13">
        <v>2.5</v>
      </c>
      <c r="AE58" s="12" t="s">
        <v>397</v>
      </c>
      <c r="AF58" s="24" t="s">
        <v>34</v>
      </c>
    </row>
    <row r="59" spans="1:32">
      <c r="A59" s="12">
        <v>41</v>
      </c>
      <c r="B59" s="3" t="s">
        <v>120</v>
      </c>
      <c r="C59" s="3">
        <v>205</v>
      </c>
      <c r="D59" s="12">
        <v>205</v>
      </c>
      <c r="E59" s="12">
        <v>400</v>
      </c>
      <c r="F59" s="12">
        <v>13.5</v>
      </c>
      <c r="G59" s="12">
        <v>13.5</v>
      </c>
      <c r="H59" s="12">
        <v>6.2</v>
      </c>
      <c r="I59" s="12">
        <v>0</v>
      </c>
      <c r="J59" s="12">
        <v>0</v>
      </c>
      <c r="K59" s="12">
        <v>2732.9474950446765</v>
      </c>
      <c r="L59" s="12">
        <f t="shared" si="5"/>
        <v>7847.6</v>
      </c>
      <c r="S59" s="12">
        <v>1222.6866236377998</v>
      </c>
      <c r="T59" s="12">
        <v>690</v>
      </c>
      <c r="U59" s="12">
        <v>21000</v>
      </c>
      <c r="V59" s="12">
        <f t="shared" si="6"/>
        <v>4.4286441802147785</v>
      </c>
      <c r="W59" s="12">
        <v>1.2775700000000001</v>
      </c>
      <c r="AB59" s="12">
        <v>1.5137471488237149</v>
      </c>
      <c r="AC59" s="13">
        <v>0.3</v>
      </c>
      <c r="AE59" s="12" t="s">
        <v>398</v>
      </c>
      <c r="AF59" s="24" t="s">
        <v>34</v>
      </c>
    </row>
    <row r="60" spans="1:32">
      <c r="A60" s="12">
        <v>42</v>
      </c>
      <c r="B60" s="3" t="s">
        <v>121</v>
      </c>
      <c r="C60" s="3">
        <v>206</v>
      </c>
      <c r="D60" s="12">
        <v>206</v>
      </c>
      <c r="E60" s="12">
        <v>400</v>
      </c>
      <c r="F60" s="12">
        <v>13.5</v>
      </c>
      <c r="G60" s="12">
        <v>13.5</v>
      </c>
      <c r="H60" s="12">
        <v>6.2</v>
      </c>
      <c r="I60" s="12">
        <v>0</v>
      </c>
      <c r="J60" s="12">
        <v>0</v>
      </c>
      <c r="K60" s="12">
        <v>4554.9124917411273</v>
      </c>
      <c r="L60" s="12">
        <f t="shared" si="5"/>
        <v>7874.6</v>
      </c>
      <c r="S60" s="12">
        <v>853.16358892955691</v>
      </c>
      <c r="T60" s="12">
        <v>690</v>
      </c>
      <c r="U60" s="12">
        <v>21000</v>
      </c>
      <c r="V60" s="12">
        <f t="shared" si="6"/>
        <v>6.3686191845308873</v>
      </c>
      <c r="W60" s="12">
        <v>1.1725099999999999</v>
      </c>
      <c r="AB60" s="12">
        <v>1.5137471488237149</v>
      </c>
      <c r="AC60" s="13">
        <v>0.5</v>
      </c>
      <c r="AE60" s="12" t="s">
        <v>399</v>
      </c>
      <c r="AF60" s="24" t="s">
        <v>34</v>
      </c>
    </row>
    <row r="61" spans="1:32">
      <c r="A61" s="12">
        <v>43</v>
      </c>
      <c r="B61" s="3" t="s">
        <v>122</v>
      </c>
      <c r="C61" s="3">
        <v>207</v>
      </c>
      <c r="D61" s="12">
        <v>207</v>
      </c>
      <c r="E61" s="12">
        <v>400</v>
      </c>
      <c r="F61" s="12">
        <v>13.5</v>
      </c>
      <c r="G61" s="12">
        <v>13.5</v>
      </c>
      <c r="H61" s="12">
        <v>6.2</v>
      </c>
      <c r="I61" s="12">
        <v>0</v>
      </c>
      <c r="J61" s="12">
        <v>0</v>
      </c>
      <c r="K61" s="12">
        <v>6832.3687376116914</v>
      </c>
      <c r="L61" s="12">
        <f t="shared" si="5"/>
        <v>7901.6</v>
      </c>
      <c r="S61" s="12">
        <v>504.70876539475751</v>
      </c>
      <c r="T61" s="12">
        <v>690</v>
      </c>
      <c r="U61" s="12">
        <v>21000</v>
      </c>
      <c r="V61" s="12">
        <f t="shared" si="6"/>
        <v>10.802475355734394</v>
      </c>
      <c r="W61" s="12">
        <v>1.1992700000000001</v>
      </c>
      <c r="AB61" s="12">
        <v>1.5137471488237149</v>
      </c>
      <c r="AC61" s="13">
        <v>0.75</v>
      </c>
      <c r="AE61" s="12" t="s">
        <v>400</v>
      </c>
      <c r="AF61" s="24" t="s">
        <v>34</v>
      </c>
    </row>
    <row r="62" spans="1:32">
      <c r="A62" s="12">
        <v>44</v>
      </c>
      <c r="B62" s="3" t="s">
        <v>123</v>
      </c>
      <c r="C62" s="3">
        <v>208</v>
      </c>
      <c r="D62" s="12">
        <v>208</v>
      </c>
      <c r="E62" s="12">
        <v>400</v>
      </c>
      <c r="F62" s="12">
        <v>13.5</v>
      </c>
      <c r="G62" s="12">
        <v>13.5</v>
      </c>
      <c r="H62" s="12">
        <v>6.2</v>
      </c>
      <c r="I62" s="12">
        <v>0</v>
      </c>
      <c r="J62" s="12">
        <v>0</v>
      </c>
      <c r="K62" s="12">
        <v>9109.8249834822545</v>
      </c>
      <c r="L62" s="12">
        <f t="shared" si="5"/>
        <v>7928.6</v>
      </c>
      <c r="S62" s="12">
        <v>318.38334225983135</v>
      </c>
      <c r="T62" s="12">
        <v>690</v>
      </c>
      <c r="U62" s="12">
        <v>21000</v>
      </c>
      <c r="V62" s="12">
        <f t="shared" si="6"/>
        <v>17.182852473278441</v>
      </c>
      <c r="W62" s="12">
        <v>1.2953300000000001</v>
      </c>
      <c r="AB62" s="12">
        <v>1.5137471488237149</v>
      </c>
      <c r="AC62" s="13">
        <v>1</v>
      </c>
      <c r="AE62" s="12" t="s">
        <v>401</v>
      </c>
      <c r="AF62" s="24" t="s">
        <v>34</v>
      </c>
    </row>
    <row r="63" spans="1:32">
      <c r="A63" s="12">
        <v>45</v>
      </c>
      <c r="B63" s="3" t="s">
        <v>124</v>
      </c>
      <c r="C63" s="3">
        <v>209</v>
      </c>
      <c r="D63" s="12">
        <v>209</v>
      </c>
      <c r="E63" s="12">
        <v>400</v>
      </c>
      <c r="F63" s="12">
        <v>13.5</v>
      </c>
      <c r="G63" s="12">
        <v>13.5</v>
      </c>
      <c r="H63" s="12">
        <v>6.2</v>
      </c>
      <c r="I63" s="12">
        <v>0</v>
      </c>
      <c r="J63" s="12">
        <v>0</v>
      </c>
      <c r="K63" s="12">
        <v>12116.067228031401</v>
      </c>
      <c r="L63" s="12">
        <f t="shared" si="5"/>
        <v>7955.6</v>
      </c>
      <c r="S63" s="12">
        <v>194.19349948235757</v>
      </c>
      <c r="T63" s="12">
        <v>690</v>
      </c>
      <c r="U63" s="12">
        <v>21000</v>
      </c>
      <c r="V63" s="12">
        <f t="shared" si="6"/>
        <v>28.267496155290758</v>
      </c>
      <c r="W63" s="12">
        <v>1.4013199999999999</v>
      </c>
      <c r="AB63" s="12">
        <v>1.5137471488237149</v>
      </c>
      <c r="AC63" s="13">
        <v>1.33</v>
      </c>
      <c r="AE63" s="12" t="s">
        <v>402</v>
      </c>
      <c r="AF63" s="24" t="s">
        <v>34</v>
      </c>
    </row>
    <row r="64" spans="1:32">
      <c r="A64" s="12">
        <v>46</v>
      </c>
      <c r="B64" s="3" t="s">
        <v>125</v>
      </c>
      <c r="C64" s="3">
        <v>210</v>
      </c>
      <c r="D64" s="12">
        <v>210</v>
      </c>
      <c r="E64" s="12">
        <v>400</v>
      </c>
      <c r="F64" s="12">
        <v>13.5</v>
      </c>
      <c r="G64" s="12">
        <v>13.5</v>
      </c>
      <c r="H64" s="12">
        <v>6.2</v>
      </c>
      <c r="I64" s="12">
        <v>0</v>
      </c>
      <c r="J64" s="12">
        <v>0</v>
      </c>
      <c r="K64" s="12">
        <v>15213.407722415364</v>
      </c>
      <c r="L64" s="12">
        <f t="shared" si="5"/>
        <v>7982.6</v>
      </c>
      <c r="S64" s="12">
        <v>129.05226742446766</v>
      </c>
      <c r="T64" s="12">
        <v>690</v>
      </c>
      <c r="U64" s="12">
        <v>21000</v>
      </c>
      <c r="V64" s="12">
        <f t="shared" si="6"/>
        <v>42.680334952066964</v>
      </c>
      <c r="W64" s="12">
        <v>1.4357599999999999</v>
      </c>
      <c r="AB64" s="12">
        <v>1.5137471488237149</v>
      </c>
      <c r="AC64" s="13">
        <v>1.67</v>
      </c>
      <c r="AE64" s="12" t="s">
        <v>403</v>
      </c>
      <c r="AF64" s="24" t="s">
        <v>34</v>
      </c>
    </row>
    <row r="65" spans="1:32">
      <c r="A65" s="12">
        <v>47</v>
      </c>
      <c r="B65" s="3" t="s">
        <v>126</v>
      </c>
      <c r="C65" s="3">
        <v>211</v>
      </c>
      <c r="D65" s="12">
        <v>211</v>
      </c>
      <c r="E65" s="12">
        <v>400</v>
      </c>
      <c r="F65" s="12">
        <v>13.5</v>
      </c>
      <c r="G65" s="12">
        <v>13.5</v>
      </c>
      <c r="H65" s="12">
        <v>6.2</v>
      </c>
      <c r="I65" s="12">
        <v>0</v>
      </c>
      <c r="J65" s="12">
        <v>0</v>
      </c>
      <c r="K65" s="12">
        <v>18219.649966964509</v>
      </c>
      <c r="L65" s="12">
        <f t="shared" si="5"/>
        <v>8009.6</v>
      </c>
      <c r="S65" s="12">
        <v>92.920548225951705</v>
      </c>
      <c r="T65" s="12">
        <v>690</v>
      </c>
      <c r="U65" s="12">
        <v>21000</v>
      </c>
      <c r="V65" s="12">
        <f t="shared" si="6"/>
        <v>59.476876810510184</v>
      </c>
      <c r="W65" s="12">
        <v>1.4408399999999999</v>
      </c>
      <c r="AB65" s="12">
        <v>1.5137471488237149</v>
      </c>
      <c r="AC65" s="13">
        <v>2</v>
      </c>
      <c r="AE65" s="12" t="s">
        <v>404</v>
      </c>
      <c r="AF65" s="24" t="s">
        <v>34</v>
      </c>
    </row>
    <row r="66" spans="1:32">
      <c r="A66" s="12">
        <v>48</v>
      </c>
      <c r="B66" s="3" t="s">
        <v>127</v>
      </c>
      <c r="C66" s="3">
        <v>212</v>
      </c>
      <c r="D66" s="12">
        <v>212</v>
      </c>
      <c r="E66" s="12">
        <v>400</v>
      </c>
      <c r="F66" s="12">
        <v>13.5</v>
      </c>
      <c r="G66" s="12">
        <v>13.5</v>
      </c>
      <c r="H66" s="12">
        <v>6.2</v>
      </c>
      <c r="I66" s="12">
        <v>0</v>
      </c>
      <c r="J66" s="12">
        <v>0</v>
      </c>
      <c r="K66" s="12">
        <v>22774.562458705637</v>
      </c>
      <c r="L66" s="12">
        <f t="shared" si="5"/>
        <v>8036.6</v>
      </c>
      <c r="S66" s="12">
        <v>61.407827157187548</v>
      </c>
      <c r="T66" s="12">
        <v>690</v>
      </c>
      <c r="U66" s="12">
        <v>21000</v>
      </c>
      <c r="V66" s="12">
        <f t="shared" si="6"/>
        <v>90.302071522668257</v>
      </c>
      <c r="W66" s="12">
        <v>1.43726</v>
      </c>
      <c r="AB66" s="12">
        <v>1.5137471488237149</v>
      </c>
      <c r="AC66" s="13">
        <v>2.5</v>
      </c>
      <c r="AE66" s="12" t="s">
        <v>405</v>
      </c>
      <c r="AF66" s="24" t="s">
        <v>34</v>
      </c>
    </row>
    <row r="67" spans="1:32">
      <c r="A67" s="12">
        <v>49</v>
      </c>
      <c r="B67" s="3" t="s">
        <v>128</v>
      </c>
      <c r="C67" s="3">
        <v>300</v>
      </c>
      <c r="D67" s="12">
        <v>300</v>
      </c>
      <c r="E67" s="12">
        <v>300</v>
      </c>
      <c r="F67" s="12">
        <v>34.200000000000003</v>
      </c>
      <c r="G67" s="12">
        <v>34.200000000000003</v>
      </c>
      <c r="H67" s="12">
        <v>19.8</v>
      </c>
      <c r="I67" s="12">
        <v>0</v>
      </c>
      <c r="J67" s="12">
        <v>0</v>
      </c>
      <c r="K67" s="12">
        <v>1985.3660890218691</v>
      </c>
      <c r="L67" s="12">
        <f t="shared" si="5"/>
        <v>25105.68</v>
      </c>
      <c r="S67" s="12">
        <v>2892.7933638802801</v>
      </c>
      <c r="T67" s="12">
        <v>690</v>
      </c>
      <c r="U67" s="12">
        <v>21000</v>
      </c>
      <c r="V67" s="12">
        <f t="shared" si="6"/>
        <v>5.9883016244076668</v>
      </c>
      <c r="W67" s="12">
        <v>3.8917099999999998</v>
      </c>
      <c r="AB67" s="12">
        <v>0.35499999999999998</v>
      </c>
      <c r="AC67" s="13">
        <v>0.3</v>
      </c>
      <c r="AE67" s="12" t="s">
        <v>406</v>
      </c>
      <c r="AF67" s="23" t="s">
        <v>35</v>
      </c>
    </row>
    <row r="68" spans="1:32">
      <c r="A68" s="12">
        <v>50</v>
      </c>
      <c r="B68" s="3" t="s">
        <v>129</v>
      </c>
      <c r="C68" s="3">
        <v>300</v>
      </c>
      <c r="D68" s="12">
        <v>300</v>
      </c>
      <c r="E68" s="12">
        <v>300</v>
      </c>
      <c r="F68" s="12">
        <v>34.200000000000003</v>
      </c>
      <c r="G68" s="12">
        <v>34.200000000000003</v>
      </c>
      <c r="H68" s="12">
        <v>19.8</v>
      </c>
      <c r="I68" s="12">
        <v>0</v>
      </c>
      <c r="J68" s="12">
        <v>0</v>
      </c>
      <c r="K68" s="12">
        <v>3308.9434817031151</v>
      </c>
      <c r="L68" s="12">
        <f t="shared" si="5"/>
        <v>25105.68</v>
      </c>
      <c r="S68" s="12">
        <v>1491.4598897631529</v>
      </c>
      <c r="T68" s="12">
        <v>690</v>
      </c>
      <c r="U68" s="12">
        <v>21000</v>
      </c>
      <c r="V68" s="12">
        <f t="shared" si="6"/>
        <v>11.61474024135568</v>
      </c>
      <c r="W68" s="12">
        <v>4.2050400000000003</v>
      </c>
      <c r="AB68" s="12">
        <v>0.35499999999999998</v>
      </c>
      <c r="AC68" s="13">
        <v>0.5</v>
      </c>
      <c r="AE68" s="12" t="s">
        <v>407</v>
      </c>
      <c r="AF68" s="24" t="s">
        <v>34</v>
      </c>
    </row>
    <row r="69" spans="1:32">
      <c r="A69" s="12">
        <v>51</v>
      </c>
      <c r="B69" s="3" t="s">
        <v>130</v>
      </c>
      <c r="C69" s="3">
        <v>300</v>
      </c>
      <c r="D69" s="12">
        <v>300</v>
      </c>
      <c r="E69" s="12">
        <v>300</v>
      </c>
      <c r="F69" s="12">
        <v>34.200000000000003</v>
      </c>
      <c r="G69" s="12">
        <v>34.200000000000003</v>
      </c>
      <c r="H69" s="12">
        <v>19.8</v>
      </c>
      <c r="I69" s="12">
        <v>0</v>
      </c>
      <c r="J69" s="12">
        <v>0</v>
      </c>
      <c r="K69" s="12">
        <v>4963.4152225546732</v>
      </c>
      <c r="L69" s="12">
        <f t="shared" si="5"/>
        <v>25105.68</v>
      </c>
      <c r="S69" s="12">
        <v>753.30612284235156</v>
      </c>
      <c r="T69" s="12">
        <v>690</v>
      </c>
      <c r="U69" s="12">
        <v>21000</v>
      </c>
      <c r="V69" s="12">
        <f t="shared" si="6"/>
        <v>22.99585609982525</v>
      </c>
      <c r="W69" s="12">
        <v>4.0558800000000002</v>
      </c>
      <c r="AB69" s="12">
        <v>0.35499999999999998</v>
      </c>
      <c r="AC69" s="13">
        <v>0.75</v>
      </c>
      <c r="AE69" s="12" t="s">
        <v>408</v>
      </c>
      <c r="AF69" s="24" t="s">
        <v>34</v>
      </c>
    </row>
    <row r="70" spans="1:32">
      <c r="A70" s="12">
        <v>52</v>
      </c>
      <c r="B70" s="3" t="s">
        <v>131</v>
      </c>
      <c r="C70" s="3">
        <v>300</v>
      </c>
      <c r="D70" s="12">
        <v>300</v>
      </c>
      <c r="E70" s="12">
        <v>300</v>
      </c>
      <c r="F70" s="12">
        <v>34.200000000000003</v>
      </c>
      <c r="G70" s="12">
        <v>34.200000000000003</v>
      </c>
      <c r="H70" s="12">
        <v>19.8</v>
      </c>
      <c r="I70" s="12">
        <v>0</v>
      </c>
      <c r="J70" s="12">
        <v>0</v>
      </c>
      <c r="K70" s="12">
        <v>6617.8869634062303</v>
      </c>
      <c r="L70" s="12">
        <f t="shared" si="5"/>
        <v>25105.68</v>
      </c>
      <c r="S70" s="12">
        <v>447.38441197646364</v>
      </c>
      <c r="T70" s="12">
        <v>690</v>
      </c>
      <c r="U70" s="12">
        <v>21000</v>
      </c>
      <c r="V70" s="12">
        <f t="shared" si="6"/>
        <v>38.720435348809914</v>
      </c>
      <c r="W70" s="12">
        <v>3.9502600000000001</v>
      </c>
      <c r="AB70" s="12">
        <v>0.35499999999999998</v>
      </c>
      <c r="AC70" s="13">
        <v>1</v>
      </c>
      <c r="AE70" s="12" t="s">
        <v>409</v>
      </c>
      <c r="AF70" s="24" t="s">
        <v>34</v>
      </c>
    </row>
    <row r="71" spans="1:32">
      <c r="A71" s="12">
        <v>53</v>
      </c>
      <c r="B71" s="3" t="s">
        <v>132</v>
      </c>
      <c r="C71" s="3">
        <v>300</v>
      </c>
      <c r="D71" s="12">
        <v>300</v>
      </c>
      <c r="E71" s="12">
        <v>300</v>
      </c>
      <c r="F71" s="12">
        <v>34.200000000000003</v>
      </c>
      <c r="G71" s="12">
        <v>34.200000000000003</v>
      </c>
      <c r="H71" s="12">
        <v>19.8</v>
      </c>
      <c r="I71" s="12">
        <v>0</v>
      </c>
      <c r="J71" s="12">
        <v>0</v>
      </c>
      <c r="K71" s="12">
        <v>8801.7896613302873</v>
      </c>
      <c r="L71" s="12">
        <f t="shared" si="5"/>
        <v>25105.68</v>
      </c>
      <c r="S71" s="12">
        <v>262.70404619781254</v>
      </c>
      <c r="T71" s="12">
        <v>690</v>
      </c>
      <c r="U71" s="12">
        <v>21000</v>
      </c>
      <c r="V71" s="12">
        <f t="shared" si="6"/>
        <v>65.940816103593917</v>
      </c>
      <c r="W71" s="12">
        <v>3.8227000000000002</v>
      </c>
      <c r="AB71" s="12">
        <v>0.35499999999999998</v>
      </c>
      <c r="AC71" s="13">
        <v>1.33</v>
      </c>
      <c r="AE71" s="12" t="s">
        <v>410</v>
      </c>
      <c r="AF71" s="24" t="s">
        <v>34</v>
      </c>
    </row>
    <row r="72" spans="1:32">
      <c r="A72" s="12">
        <v>54</v>
      </c>
      <c r="B72" s="3" t="s">
        <v>133</v>
      </c>
      <c r="C72" s="3">
        <v>300</v>
      </c>
      <c r="D72" s="12">
        <v>300</v>
      </c>
      <c r="E72" s="12">
        <v>300</v>
      </c>
      <c r="F72" s="12">
        <v>34.200000000000003</v>
      </c>
      <c r="G72" s="12">
        <v>34.200000000000003</v>
      </c>
      <c r="H72" s="12">
        <v>19.8</v>
      </c>
      <c r="I72" s="12">
        <v>0</v>
      </c>
      <c r="J72" s="12">
        <v>0</v>
      </c>
      <c r="K72" s="12">
        <v>11051.871228888403</v>
      </c>
      <c r="L72" s="12">
        <f t="shared" si="5"/>
        <v>25105.68</v>
      </c>
      <c r="S72" s="12">
        <v>170.47478204856543</v>
      </c>
      <c r="T72" s="12">
        <v>690</v>
      </c>
      <c r="U72" s="12">
        <v>21000</v>
      </c>
      <c r="V72" s="12">
        <f t="shared" si="6"/>
        <v>101.61572868334854</v>
      </c>
      <c r="W72" s="12">
        <v>3.7314799999999999</v>
      </c>
      <c r="AB72" s="12">
        <v>0.35499999999999998</v>
      </c>
      <c r="AC72" s="13">
        <v>1.67</v>
      </c>
      <c r="AE72" s="12" t="s">
        <v>411</v>
      </c>
      <c r="AF72" s="24" t="s">
        <v>34</v>
      </c>
    </row>
    <row r="73" spans="1:32">
      <c r="A73" s="12">
        <v>55</v>
      </c>
      <c r="B73" s="3" t="s">
        <v>134</v>
      </c>
      <c r="C73" s="3">
        <v>300</v>
      </c>
      <c r="D73" s="12">
        <v>300</v>
      </c>
      <c r="E73" s="12">
        <v>300</v>
      </c>
      <c r="F73" s="12">
        <v>34.200000000000003</v>
      </c>
      <c r="G73" s="12">
        <v>34.200000000000003</v>
      </c>
      <c r="H73" s="12">
        <v>19.8</v>
      </c>
      <c r="I73" s="12">
        <v>0</v>
      </c>
      <c r="J73" s="12">
        <v>0</v>
      </c>
      <c r="K73" s="12">
        <v>13235.773926812461</v>
      </c>
      <c r="L73" s="12">
        <f t="shared" si="5"/>
        <v>25105.68</v>
      </c>
      <c r="S73" s="12">
        <v>120.61362807306482</v>
      </c>
      <c r="T73" s="12">
        <v>690</v>
      </c>
      <c r="U73" s="12">
        <v>21000</v>
      </c>
      <c r="V73" s="12">
        <f t="shared" si="6"/>
        <v>143.62323293605093</v>
      </c>
      <c r="W73" s="12">
        <v>3.6713900000000002</v>
      </c>
      <c r="AB73" s="12">
        <v>0.35499999999999998</v>
      </c>
      <c r="AC73" s="13">
        <v>2</v>
      </c>
      <c r="AE73" s="12" t="s">
        <v>412</v>
      </c>
      <c r="AF73" s="24" t="s">
        <v>34</v>
      </c>
    </row>
    <row r="74" spans="1:32">
      <c r="A74" s="12">
        <v>56</v>
      </c>
      <c r="B74" s="3" t="s">
        <v>135</v>
      </c>
      <c r="C74" s="3">
        <v>300</v>
      </c>
      <c r="D74" s="12">
        <v>300</v>
      </c>
      <c r="E74" s="12">
        <v>300</v>
      </c>
      <c r="F74" s="12">
        <v>34.200000000000003</v>
      </c>
      <c r="G74" s="12">
        <v>34.200000000000003</v>
      </c>
      <c r="H74" s="12">
        <v>19.8</v>
      </c>
      <c r="I74" s="12">
        <v>0</v>
      </c>
      <c r="J74" s="12">
        <v>0</v>
      </c>
      <c r="K74" s="12">
        <v>16544.717408515575</v>
      </c>
      <c r="L74" s="12">
        <f t="shared" si="5"/>
        <v>25105.68</v>
      </c>
      <c r="S74" s="12">
        <v>78.346473887813318</v>
      </c>
      <c r="T74" s="12">
        <v>690</v>
      </c>
      <c r="U74" s="12">
        <v>21000</v>
      </c>
      <c r="V74" s="12">
        <f t="shared" si="6"/>
        <v>221.10655834754235</v>
      </c>
      <c r="W74" s="12">
        <v>3.6134900000000001</v>
      </c>
      <c r="AB74" s="12">
        <v>0.35499999999999998</v>
      </c>
      <c r="AC74" s="13">
        <v>2.5</v>
      </c>
      <c r="AE74" s="12" t="s">
        <v>413</v>
      </c>
      <c r="AF74" s="24" t="s">
        <v>34</v>
      </c>
    </row>
    <row r="75" spans="1:32">
      <c r="A75" s="12">
        <v>57</v>
      </c>
      <c r="B75" s="3" t="s">
        <v>136</v>
      </c>
      <c r="C75" s="3">
        <v>300</v>
      </c>
      <c r="D75" s="12">
        <v>300</v>
      </c>
      <c r="E75" s="12">
        <v>300</v>
      </c>
      <c r="F75" s="12">
        <v>24.32</v>
      </c>
      <c r="G75" s="12">
        <v>24.32</v>
      </c>
      <c r="H75" s="12">
        <v>14.08</v>
      </c>
      <c r="I75" s="12">
        <v>0</v>
      </c>
      <c r="J75" s="12">
        <v>0</v>
      </c>
      <c r="K75" s="12">
        <v>2050.7281970154818</v>
      </c>
      <c r="L75" s="12">
        <f t="shared" si="5"/>
        <v>18131.148799999999</v>
      </c>
      <c r="S75" s="12">
        <v>2089.1553994221986</v>
      </c>
      <c r="T75" s="12">
        <v>690</v>
      </c>
      <c r="U75" s="12">
        <v>21000</v>
      </c>
      <c r="V75" s="12">
        <f t="shared" si="6"/>
        <v>5.9883016244076668</v>
      </c>
      <c r="W75" s="12">
        <v>2.7638099999999999</v>
      </c>
      <c r="AB75" s="12">
        <v>0.50316512905442312</v>
      </c>
      <c r="AC75" s="13">
        <v>0.3</v>
      </c>
      <c r="AE75" s="12" t="s">
        <v>414</v>
      </c>
      <c r="AF75" s="23" t="s">
        <v>35</v>
      </c>
    </row>
    <row r="76" spans="1:32">
      <c r="A76" s="12">
        <v>58</v>
      </c>
      <c r="B76" s="3" t="s">
        <v>137</v>
      </c>
      <c r="C76" s="3">
        <v>300</v>
      </c>
      <c r="D76" s="12">
        <v>300</v>
      </c>
      <c r="E76" s="12">
        <v>300</v>
      </c>
      <c r="F76" s="12">
        <v>24.32</v>
      </c>
      <c r="G76" s="12">
        <v>24.32</v>
      </c>
      <c r="H76" s="12">
        <v>14.08</v>
      </c>
      <c r="I76" s="12">
        <v>0</v>
      </c>
      <c r="J76" s="12">
        <v>0</v>
      </c>
      <c r="K76" s="12">
        <v>3417.8803283591365</v>
      </c>
      <c r="L76" s="12">
        <f t="shared" si="5"/>
        <v>18131.148799999999</v>
      </c>
      <c r="S76" s="12">
        <v>1077.1220373448286</v>
      </c>
      <c r="T76" s="12">
        <v>690</v>
      </c>
      <c r="U76" s="12">
        <v>21000</v>
      </c>
      <c r="V76" s="12">
        <f t="shared" si="6"/>
        <v>11.614740241355683</v>
      </c>
      <c r="W76" s="12">
        <v>3.2825099999999998</v>
      </c>
      <c r="AB76" s="12">
        <v>0.50316512905442312</v>
      </c>
      <c r="AC76" s="13">
        <v>0.5</v>
      </c>
      <c r="AE76" s="12" t="s">
        <v>415</v>
      </c>
      <c r="AF76" s="24" t="s">
        <v>34</v>
      </c>
    </row>
    <row r="77" spans="1:32">
      <c r="A77" s="12">
        <v>59</v>
      </c>
      <c r="B77" s="3" t="s">
        <v>138</v>
      </c>
      <c r="C77" s="3">
        <v>300</v>
      </c>
      <c r="D77" s="12">
        <v>300</v>
      </c>
      <c r="E77" s="12">
        <v>300</v>
      </c>
      <c r="F77" s="12">
        <v>24.32</v>
      </c>
      <c r="G77" s="12">
        <v>24.32</v>
      </c>
      <c r="H77" s="12">
        <v>14.08</v>
      </c>
      <c r="I77" s="12">
        <v>0</v>
      </c>
      <c r="J77" s="12">
        <v>0</v>
      </c>
      <c r="K77" s="12">
        <v>5126.8204925387045</v>
      </c>
      <c r="L77" s="12">
        <f t="shared" si="5"/>
        <v>18131.148799999999</v>
      </c>
      <c r="S77" s="12">
        <v>544.03248209989772</v>
      </c>
      <c r="T77" s="12">
        <v>690</v>
      </c>
      <c r="U77" s="12">
        <v>21000</v>
      </c>
      <c r="V77" s="12">
        <f t="shared" si="6"/>
        <v>22.995856099825243</v>
      </c>
      <c r="W77" s="12">
        <v>3.7800600000000002</v>
      </c>
      <c r="AB77" s="12">
        <v>0.50316512905442312</v>
      </c>
      <c r="AC77" s="13">
        <v>0.75</v>
      </c>
      <c r="AE77" s="12" t="s">
        <v>416</v>
      </c>
      <c r="AF77" s="24" t="s">
        <v>34</v>
      </c>
    </row>
    <row r="78" spans="1:32">
      <c r="A78" s="12">
        <v>60</v>
      </c>
      <c r="B78" s="3" t="s">
        <v>139</v>
      </c>
      <c r="C78" s="3">
        <v>300</v>
      </c>
      <c r="D78" s="12">
        <v>300</v>
      </c>
      <c r="E78" s="12">
        <v>300</v>
      </c>
      <c r="F78" s="12">
        <v>24.32</v>
      </c>
      <c r="G78" s="12">
        <v>24.32</v>
      </c>
      <c r="H78" s="12">
        <v>14.08</v>
      </c>
      <c r="I78" s="12">
        <v>0</v>
      </c>
      <c r="J78" s="12">
        <v>0</v>
      </c>
      <c r="K78" s="12">
        <v>6835.7606567182729</v>
      </c>
      <c r="L78" s="12">
        <f t="shared" si="5"/>
        <v>18131.148799999999</v>
      </c>
      <c r="S78" s="12">
        <v>323.09793418643761</v>
      </c>
      <c r="T78" s="12">
        <v>690</v>
      </c>
      <c r="U78" s="12">
        <v>21000</v>
      </c>
      <c r="V78" s="12">
        <f t="shared" si="6"/>
        <v>38.720435348809922</v>
      </c>
      <c r="W78" s="12">
        <v>3.8143500000000001</v>
      </c>
      <c r="AB78" s="12">
        <v>0.50316512905442312</v>
      </c>
      <c r="AC78" s="13">
        <v>1</v>
      </c>
      <c r="AE78" s="12" t="s">
        <v>417</v>
      </c>
      <c r="AF78" s="24" t="s">
        <v>34</v>
      </c>
    </row>
    <row r="79" spans="1:32">
      <c r="A79" s="12">
        <v>61</v>
      </c>
      <c r="B79" s="3" t="s">
        <v>140</v>
      </c>
      <c r="C79" s="3">
        <v>300</v>
      </c>
      <c r="D79" s="12">
        <v>300</v>
      </c>
      <c r="E79" s="12">
        <v>300</v>
      </c>
      <c r="F79" s="12">
        <v>24.32</v>
      </c>
      <c r="G79" s="12">
        <v>24.32</v>
      </c>
      <c r="H79" s="12">
        <v>14.08</v>
      </c>
      <c r="I79" s="12">
        <v>0</v>
      </c>
      <c r="J79" s="12">
        <v>0</v>
      </c>
      <c r="K79" s="12">
        <v>9091.5616734353043</v>
      </c>
      <c r="L79" s="12">
        <f t="shared" si="5"/>
        <v>18131.148799999999</v>
      </c>
      <c r="S79" s="12">
        <v>189.7230488070673</v>
      </c>
      <c r="T79" s="12">
        <v>690</v>
      </c>
      <c r="U79" s="12">
        <v>21000</v>
      </c>
      <c r="V79" s="12">
        <f t="shared" si="6"/>
        <v>65.940816103593932</v>
      </c>
      <c r="W79" s="12">
        <v>3.7705899999999999</v>
      </c>
      <c r="AB79" s="12">
        <v>0.50316512905442312</v>
      </c>
      <c r="AC79" s="13">
        <v>1.33</v>
      </c>
      <c r="AE79" s="12" t="s">
        <v>418</v>
      </c>
      <c r="AF79" s="24" t="s">
        <v>34</v>
      </c>
    </row>
    <row r="80" spans="1:32">
      <c r="A80" s="12">
        <v>62</v>
      </c>
      <c r="B80" s="3" t="s">
        <v>141</v>
      </c>
      <c r="C80" s="3">
        <v>300</v>
      </c>
      <c r="D80" s="12">
        <v>300</v>
      </c>
      <c r="E80" s="12">
        <v>300</v>
      </c>
      <c r="F80" s="12">
        <v>24.32</v>
      </c>
      <c r="G80" s="12">
        <v>24.32</v>
      </c>
      <c r="H80" s="12">
        <v>14.08</v>
      </c>
      <c r="I80" s="12">
        <v>0</v>
      </c>
      <c r="J80" s="12">
        <v>0</v>
      </c>
      <c r="K80" s="12">
        <v>11415.720296719515</v>
      </c>
      <c r="L80" s="12">
        <f t="shared" si="5"/>
        <v>18131.148799999999</v>
      </c>
      <c r="S80" s="12">
        <v>123.1157108658323</v>
      </c>
      <c r="T80" s="12">
        <v>690</v>
      </c>
      <c r="U80" s="12">
        <v>21000</v>
      </c>
      <c r="V80" s="12">
        <f t="shared" si="6"/>
        <v>101.61572868334854</v>
      </c>
      <c r="W80" s="12">
        <v>3.69143</v>
      </c>
      <c r="AB80" s="12">
        <v>0.50316512905442312</v>
      </c>
      <c r="AC80" s="13">
        <v>1.67</v>
      </c>
      <c r="AE80" s="12" t="s">
        <v>419</v>
      </c>
      <c r="AF80" s="24" t="s">
        <v>34</v>
      </c>
    </row>
    <row r="81" spans="1:32">
      <c r="A81" s="12">
        <v>63</v>
      </c>
      <c r="B81" s="3" t="s">
        <v>142</v>
      </c>
      <c r="C81" s="3">
        <v>300</v>
      </c>
      <c r="D81" s="12">
        <v>300</v>
      </c>
      <c r="E81" s="12">
        <v>300</v>
      </c>
      <c r="F81" s="12">
        <v>24.32</v>
      </c>
      <c r="G81" s="12">
        <v>24.32</v>
      </c>
      <c r="H81" s="12">
        <v>14.08</v>
      </c>
      <c r="I81" s="12">
        <v>0</v>
      </c>
      <c r="J81" s="12">
        <v>0</v>
      </c>
      <c r="K81" s="12">
        <v>13671.521313436546</v>
      </c>
      <c r="L81" s="12">
        <f t="shared" si="5"/>
        <v>18131.148799999999</v>
      </c>
      <c r="S81" s="12">
        <v>87.106329639372262</v>
      </c>
      <c r="T81" s="12">
        <v>690</v>
      </c>
      <c r="U81" s="12">
        <v>21000</v>
      </c>
      <c r="V81" s="12">
        <f t="shared" si="6"/>
        <v>143.62323293605095</v>
      </c>
      <c r="W81" s="12">
        <v>3.6347100000000001</v>
      </c>
      <c r="AB81" s="12">
        <v>0.50316512905442312</v>
      </c>
      <c r="AC81" s="13">
        <v>2</v>
      </c>
      <c r="AE81" s="12" t="s">
        <v>420</v>
      </c>
      <c r="AF81" s="24" t="s">
        <v>34</v>
      </c>
    </row>
    <row r="82" spans="1:32">
      <c r="A82" s="12">
        <v>64</v>
      </c>
      <c r="B82" s="3" t="s">
        <v>143</v>
      </c>
      <c r="C82" s="3">
        <v>300</v>
      </c>
      <c r="D82" s="12">
        <v>300</v>
      </c>
      <c r="E82" s="12">
        <v>300</v>
      </c>
      <c r="F82" s="12">
        <v>24.32</v>
      </c>
      <c r="G82" s="12">
        <v>24.32</v>
      </c>
      <c r="H82" s="12">
        <v>14.08</v>
      </c>
      <c r="I82" s="12">
        <v>0</v>
      </c>
      <c r="J82" s="12">
        <v>0</v>
      </c>
      <c r="K82" s="12">
        <v>17089.401641795681</v>
      </c>
      <c r="L82" s="12">
        <f t="shared" si="5"/>
        <v>18131.148799999999</v>
      </c>
      <c r="S82" s="12">
        <v>56.581282642623428</v>
      </c>
      <c r="T82" s="12">
        <v>690</v>
      </c>
      <c r="U82" s="12">
        <v>21000</v>
      </c>
      <c r="V82" s="12">
        <f t="shared" si="6"/>
        <v>221.10655834754229</v>
      </c>
      <c r="W82" s="12">
        <v>3.5789</v>
      </c>
      <c r="AB82" s="12">
        <v>0.50316512905442312</v>
      </c>
      <c r="AC82" s="13">
        <v>2.5</v>
      </c>
      <c r="AE82" s="12" t="s">
        <v>421</v>
      </c>
      <c r="AF82" s="24" t="s">
        <v>34</v>
      </c>
    </row>
    <row r="83" spans="1:32">
      <c r="A83" s="12">
        <v>65</v>
      </c>
      <c r="B83" s="3" t="s">
        <v>144</v>
      </c>
      <c r="C83" s="3">
        <v>300</v>
      </c>
      <c r="D83" s="12">
        <v>300</v>
      </c>
      <c r="E83" s="12">
        <v>300</v>
      </c>
      <c r="F83" s="12">
        <v>20.425000000000001</v>
      </c>
      <c r="G83" s="12">
        <v>20.425000000000001</v>
      </c>
      <c r="H83" s="12">
        <v>11.824999999999999</v>
      </c>
      <c r="I83" s="12">
        <v>0</v>
      </c>
      <c r="J83" s="12">
        <v>0</v>
      </c>
      <c r="K83" s="12">
        <v>2076.9177609921567</v>
      </c>
      <c r="L83" s="12">
        <f t="shared" si="5"/>
        <v>15319.44875</v>
      </c>
      <c r="S83" s="12">
        <v>1765.1782258956559</v>
      </c>
      <c r="T83" s="12">
        <v>690</v>
      </c>
      <c r="U83" s="12">
        <v>21000</v>
      </c>
      <c r="V83" s="12">
        <f t="shared" si="6"/>
        <v>5.9883016244076659</v>
      </c>
      <c r="W83" s="12">
        <v>2.3894799999999998</v>
      </c>
      <c r="AB83" s="12">
        <v>0.60092698120307431</v>
      </c>
      <c r="AC83" s="13">
        <v>0.3</v>
      </c>
      <c r="AE83" s="12" t="s">
        <v>422</v>
      </c>
      <c r="AF83" s="23" t="s">
        <v>35</v>
      </c>
    </row>
    <row r="84" spans="1:32">
      <c r="A84" s="12">
        <v>66</v>
      </c>
      <c r="B84" s="3" t="s">
        <v>145</v>
      </c>
      <c r="C84" s="3">
        <v>300</v>
      </c>
      <c r="D84" s="12">
        <v>300</v>
      </c>
      <c r="E84" s="12">
        <v>300</v>
      </c>
      <c r="F84" s="12">
        <v>20.425000000000001</v>
      </c>
      <c r="G84" s="12">
        <v>20.425000000000001</v>
      </c>
      <c r="H84" s="12">
        <v>11.824999999999999</v>
      </c>
      <c r="I84" s="12">
        <v>0</v>
      </c>
      <c r="J84" s="12">
        <v>0</v>
      </c>
      <c r="K84" s="12">
        <v>3461.5296016535945</v>
      </c>
      <c r="L84" s="12">
        <f t="shared" ref="L84:L147" si="7">2*C84*F84+(E84-2*F84)*H84</f>
        <v>15319.44875</v>
      </c>
      <c r="S84" s="12">
        <v>910.08661561476401</v>
      </c>
      <c r="T84" s="12">
        <v>690</v>
      </c>
      <c r="U84" s="12">
        <v>21000</v>
      </c>
      <c r="V84" s="12">
        <f t="shared" ref="V84:V147" si="8">L84*T84/(S84*1000)</f>
        <v>11.614740241355682</v>
      </c>
      <c r="W84" s="12">
        <v>2.7060900000000001</v>
      </c>
      <c r="AB84" s="12">
        <v>0.60092698120307431</v>
      </c>
      <c r="AC84" s="13">
        <v>0.5</v>
      </c>
      <c r="AE84" s="12" t="s">
        <v>423</v>
      </c>
      <c r="AF84" s="24" t="s">
        <v>34</v>
      </c>
    </row>
    <row r="85" spans="1:32">
      <c r="A85" s="12">
        <v>67</v>
      </c>
      <c r="B85" s="3" t="s">
        <v>146</v>
      </c>
      <c r="C85" s="3">
        <v>300</v>
      </c>
      <c r="D85" s="12">
        <v>300</v>
      </c>
      <c r="E85" s="12">
        <v>300</v>
      </c>
      <c r="F85" s="12">
        <v>20.425000000000001</v>
      </c>
      <c r="G85" s="12">
        <v>20.425000000000001</v>
      </c>
      <c r="H85" s="12">
        <v>11.824999999999999</v>
      </c>
      <c r="I85" s="12">
        <v>0</v>
      </c>
      <c r="J85" s="12">
        <v>0</v>
      </c>
      <c r="K85" s="12">
        <v>5192.2944024803919</v>
      </c>
      <c r="L85" s="12">
        <f t="shared" si="7"/>
        <v>15319.44875</v>
      </c>
      <c r="S85" s="12">
        <v>459.66628037737331</v>
      </c>
      <c r="T85" s="12">
        <v>690</v>
      </c>
      <c r="U85" s="12">
        <v>21000</v>
      </c>
      <c r="V85" s="12">
        <f t="shared" si="8"/>
        <v>22.995856099825239</v>
      </c>
      <c r="W85" s="12">
        <v>3.2744200000000001</v>
      </c>
      <c r="AB85" s="12">
        <v>0.60092698120307431</v>
      </c>
      <c r="AC85" s="13">
        <v>0.75</v>
      </c>
      <c r="AE85" s="12" t="s">
        <v>424</v>
      </c>
      <c r="AF85" s="24" t="s">
        <v>34</v>
      </c>
    </row>
    <row r="86" spans="1:32">
      <c r="A86" s="12">
        <v>68</v>
      </c>
      <c r="B86" s="3" t="s">
        <v>147</v>
      </c>
      <c r="C86" s="3">
        <v>300</v>
      </c>
      <c r="D86" s="12">
        <v>300</v>
      </c>
      <c r="E86" s="12">
        <v>300</v>
      </c>
      <c r="F86" s="12">
        <v>20.425000000000001</v>
      </c>
      <c r="G86" s="12">
        <v>20.425000000000001</v>
      </c>
      <c r="H86" s="12">
        <v>11.824999999999999</v>
      </c>
      <c r="I86" s="12">
        <v>0</v>
      </c>
      <c r="J86" s="12">
        <v>0</v>
      </c>
      <c r="K86" s="12">
        <v>6923.0592033071889</v>
      </c>
      <c r="L86" s="12">
        <f t="shared" si="7"/>
        <v>15319.44875</v>
      </c>
      <c r="S86" s="12">
        <v>272.99330553174906</v>
      </c>
      <c r="T86" s="12">
        <v>690</v>
      </c>
      <c r="U86" s="12">
        <v>21000</v>
      </c>
      <c r="V86" s="12">
        <f t="shared" si="8"/>
        <v>38.720435348809907</v>
      </c>
      <c r="W86" s="12">
        <v>3.5704600000000002</v>
      </c>
      <c r="AB86" s="12">
        <v>0.60092698120307431</v>
      </c>
      <c r="AC86" s="13">
        <v>1</v>
      </c>
      <c r="AE86" s="12" t="s">
        <v>425</v>
      </c>
      <c r="AF86" s="24" t="s">
        <v>34</v>
      </c>
    </row>
    <row r="87" spans="1:32">
      <c r="A87" s="12">
        <v>69</v>
      </c>
      <c r="B87" s="3" t="s">
        <v>148</v>
      </c>
      <c r="C87" s="3">
        <v>300</v>
      </c>
      <c r="D87" s="12">
        <v>300</v>
      </c>
      <c r="E87" s="12">
        <v>300</v>
      </c>
      <c r="F87" s="12">
        <v>20.425000000000001</v>
      </c>
      <c r="G87" s="12">
        <v>20.425000000000001</v>
      </c>
      <c r="H87" s="12">
        <v>11.824999999999999</v>
      </c>
      <c r="I87" s="12">
        <v>0</v>
      </c>
      <c r="J87" s="12">
        <v>0</v>
      </c>
      <c r="K87" s="12">
        <v>9207.6687403985616</v>
      </c>
      <c r="L87" s="12">
        <f t="shared" si="7"/>
        <v>15319.44875</v>
      </c>
      <c r="S87" s="12">
        <v>160.30161987825161</v>
      </c>
      <c r="T87" s="12">
        <v>690</v>
      </c>
      <c r="U87" s="12">
        <v>21000</v>
      </c>
      <c r="V87" s="12">
        <f t="shared" si="8"/>
        <v>65.940816103593889</v>
      </c>
      <c r="W87" s="12">
        <v>3.6490800000000001</v>
      </c>
      <c r="AB87" s="12">
        <v>0.60092698120307431</v>
      </c>
      <c r="AC87" s="13">
        <v>1.33</v>
      </c>
      <c r="AE87" s="12" t="s">
        <v>426</v>
      </c>
      <c r="AF87" s="24" t="s">
        <v>34</v>
      </c>
    </row>
    <row r="88" spans="1:32">
      <c r="A88" s="12">
        <v>70</v>
      </c>
      <c r="B88" s="3" t="s">
        <v>149</v>
      </c>
      <c r="C88" s="3">
        <v>300</v>
      </c>
      <c r="D88" s="12">
        <v>300</v>
      </c>
      <c r="E88" s="12">
        <v>300</v>
      </c>
      <c r="F88" s="12">
        <v>20.425000000000001</v>
      </c>
      <c r="G88" s="12">
        <v>20.425000000000001</v>
      </c>
      <c r="H88" s="12">
        <v>11.824999999999999</v>
      </c>
      <c r="I88" s="12">
        <v>0</v>
      </c>
      <c r="J88" s="12">
        <v>0</v>
      </c>
      <c r="K88" s="12">
        <v>11561.508869523004</v>
      </c>
      <c r="L88" s="12">
        <f t="shared" si="7"/>
        <v>15319.44875</v>
      </c>
      <c r="S88" s="12">
        <v>104.02345950240822</v>
      </c>
      <c r="T88" s="12">
        <v>690</v>
      </c>
      <c r="U88" s="12">
        <v>21000</v>
      </c>
      <c r="V88" s="12">
        <f t="shared" si="8"/>
        <v>101.61572868334846</v>
      </c>
      <c r="W88" s="12">
        <v>3.6391399999999998</v>
      </c>
      <c r="AB88" s="12">
        <v>0.60092698120307431</v>
      </c>
      <c r="AC88" s="13">
        <v>1.67</v>
      </c>
      <c r="AE88" s="12" t="s">
        <v>427</v>
      </c>
      <c r="AF88" s="24" t="s">
        <v>34</v>
      </c>
    </row>
    <row r="89" spans="1:32">
      <c r="A89" s="12">
        <v>71</v>
      </c>
      <c r="B89" s="3" t="s">
        <v>150</v>
      </c>
      <c r="C89" s="3">
        <v>300</v>
      </c>
      <c r="D89" s="12">
        <v>300</v>
      </c>
      <c r="E89" s="12">
        <v>300</v>
      </c>
      <c r="F89" s="12">
        <v>20.425000000000001</v>
      </c>
      <c r="G89" s="12">
        <v>20.425000000000001</v>
      </c>
      <c r="H89" s="12">
        <v>11.824999999999999</v>
      </c>
      <c r="I89" s="12">
        <v>0</v>
      </c>
      <c r="J89" s="12">
        <v>0</v>
      </c>
      <c r="K89" s="12">
        <v>13846.118406614378</v>
      </c>
      <c r="L89" s="12">
        <f t="shared" si="7"/>
        <v>15319.44875</v>
      </c>
      <c r="S89" s="12">
        <v>73.598257199839949</v>
      </c>
      <c r="T89" s="12">
        <v>690</v>
      </c>
      <c r="U89" s="12">
        <v>21000</v>
      </c>
      <c r="V89" s="12">
        <f t="shared" si="8"/>
        <v>143.6232329360509</v>
      </c>
      <c r="W89" s="12">
        <v>3.5975799999999998</v>
      </c>
      <c r="AB89" s="12">
        <v>0.60092698120307431</v>
      </c>
      <c r="AC89" s="13">
        <v>2</v>
      </c>
      <c r="AE89" s="12" t="s">
        <v>428</v>
      </c>
      <c r="AF89" s="24" t="s">
        <v>34</v>
      </c>
    </row>
    <row r="90" spans="1:32">
      <c r="A90" s="12">
        <v>72</v>
      </c>
      <c r="B90" s="3" t="s">
        <v>151</v>
      </c>
      <c r="C90" s="3">
        <v>300</v>
      </c>
      <c r="D90" s="12">
        <v>300</v>
      </c>
      <c r="E90" s="12">
        <v>300</v>
      </c>
      <c r="F90" s="12">
        <v>20.425000000000001</v>
      </c>
      <c r="G90" s="12">
        <v>20.425000000000001</v>
      </c>
      <c r="H90" s="12">
        <v>11.824999999999999</v>
      </c>
      <c r="I90" s="12">
        <v>0</v>
      </c>
      <c r="J90" s="12">
        <v>0</v>
      </c>
      <c r="K90" s="12">
        <v>17307.648008267974</v>
      </c>
      <c r="L90" s="12">
        <f t="shared" si="7"/>
        <v>15319.44875</v>
      </c>
      <c r="S90" s="12">
        <v>47.806902321210536</v>
      </c>
      <c r="T90" s="12">
        <v>690</v>
      </c>
      <c r="U90" s="12">
        <v>21000</v>
      </c>
      <c r="V90" s="12">
        <f t="shared" si="8"/>
        <v>221.10655834754243</v>
      </c>
      <c r="W90" s="12">
        <v>3.5488400000000002</v>
      </c>
      <c r="AB90" s="12">
        <v>0.60092698120307431</v>
      </c>
      <c r="AC90" s="13">
        <v>2.5</v>
      </c>
      <c r="AE90" s="12" t="s">
        <v>429</v>
      </c>
      <c r="AF90" s="24" t="s">
        <v>34</v>
      </c>
    </row>
    <row r="91" spans="1:32">
      <c r="A91" s="12">
        <v>73</v>
      </c>
      <c r="B91" s="3" t="s">
        <v>152</v>
      </c>
      <c r="C91" s="3">
        <v>300</v>
      </c>
      <c r="D91" s="12">
        <v>300</v>
      </c>
      <c r="E91" s="12">
        <v>300</v>
      </c>
      <c r="F91" s="12">
        <v>15.39</v>
      </c>
      <c r="G91" s="12">
        <v>15.39</v>
      </c>
      <c r="H91" s="12">
        <v>8.91</v>
      </c>
      <c r="I91" s="12">
        <v>0</v>
      </c>
      <c r="J91" s="12">
        <v>0</v>
      </c>
      <c r="K91" s="12">
        <v>2111.1077751166649</v>
      </c>
      <c r="L91" s="12">
        <f t="shared" si="7"/>
        <v>11632.7502</v>
      </c>
      <c r="S91" s="12">
        <v>1887.745048754648</v>
      </c>
      <c r="T91" s="12">
        <v>690</v>
      </c>
      <c r="U91" s="12">
        <v>21000</v>
      </c>
      <c r="V91" s="12">
        <f t="shared" si="8"/>
        <v>4.25195004129142</v>
      </c>
      <c r="W91" s="12">
        <v>1.4873799999999999</v>
      </c>
      <c r="AB91" s="12">
        <v>0.80062012685654171</v>
      </c>
      <c r="AC91" s="13">
        <v>0.3</v>
      </c>
      <c r="AE91" s="12" t="s">
        <v>430</v>
      </c>
      <c r="AF91" s="23" t="s">
        <v>35</v>
      </c>
    </row>
    <row r="92" spans="1:32">
      <c r="A92" s="12">
        <v>74</v>
      </c>
      <c r="B92" s="3" t="s">
        <v>153</v>
      </c>
      <c r="C92" s="3">
        <v>300</v>
      </c>
      <c r="D92" s="12">
        <v>300</v>
      </c>
      <c r="E92" s="12">
        <v>300</v>
      </c>
      <c r="F92" s="12">
        <v>15.39</v>
      </c>
      <c r="G92" s="12">
        <v>15.39</v>
      </c>
      <c r="H92" s="12">
        <v>8.91</v>
      </c>
      <c r="I92" s="12">
        <v>0</v>
      </c>
      <c r="J92" s="12">
        <v>0</v>
      </c>
      <c r="K92" s="12">
        <v>3518.512958527775</v>
      </c>
      <c r="L92" s="12">
        <f t="shared" si="7"/>
        <v>11632.7502</v>
      </c>
      <c r="S92" s="12">
        <v>1387.1057651846374</v>
      </c>
      <c r="T92" s="12">
        <v>690</v>
      </c>
      <c r="U92" s="12">
        <v>21000</v>
      </c>
      <c r="V92" s="12">
        <f t="shared" si="8"/>
        <v>5.7865793939163543</v>
      </c>
      <c r="W92" s="12">
        <v>1.1070599999999999</v>
      </c>
      <c r="AB92" s="12">
        <v>0.80062012685654171</v>
      </c>
      <c r="AC92" s="13">
        <v>0.5</v>
      </c>
      <c r="AE92" s="12" t="s">
        <v>431</v>
      </c>
      <c r="AF92" s="24" t="s">
        <v>34</v>
      </c>
    </row>
    <row r="93" spans="1:32">
      <c r="A93" s="12">
        <v>75</v>
      </c>
      <c r="B93" s="3" t="s">
        <v>154</v>
      </c>
      <c r="C93" s="3">
        <v>300</v>
      </c>
      <c r="D93" s="12">
        <v>300</v>
      </c>
      <c r="E93" s="12">
        <v>300</v>
      </c>
      <c r="F93" s="12">
        <v>15.39</v>
      </c>
      <c r="G93" s="12">
        <v>15.39</v>
      </c>
      <c r="H93" s="12">
        <v>8.91</v>
      </c>
      <c r="I93" s="12">
        <v>0</v>
      </c>
      <c r="J93" s="12">
        <v>0</v>
      </c>
      <c r="K93" s="12">
        <v>5277.7694377916623</v>
      </c>
      <c r="L93" s="12">
        <f t="shared" si="7"/>
        <v>11632.7502</v>
      </c>
      <c r="S93" s="12">
        <v>855.98082927547262</v>
      </c>
      <c r="T93" s="12">
        <v>690</v>
      </c>
      <c r="U93" s="12">
        <v>21000</v>
      </c>
      <c r="V93" s="12">
        <f t="shared" si="8"/>
        <v>9.3770764057811302</v>
      </c>
      <c r="W93" s="12">
        <v>1.0063299999999999</v>
      </c>
      <c r="AB93" s="12">
        <v>0.80062012685654171</v>
      </c>
      <c r="AC93" s="13">
        <v>0.75</v>
      </c>
      <c r="AE93" s="12" t="s">
        <v>432</v>
      </c>
      <c r="AF93" s="24" t="s">
        <v>34</v>
      </c>
    </row>
    <row r="94" spans="1:32">
      <c r="A94" s="12">
        <v>76</v>
      </c>
      <c r="B94" s="3" t="s">
        <v>155</v>
      </c>
      <c r="C94" s="3">
        <v>300</v>
      </c>
      <c r="D94" s="12">
        <v>300</v>
      </c>
      <c r="E94" s="12">
        <v>300</v>
      </c>
      <c r="F94" s="12">
        <v>15.39</v>
      </c>
      <c r="G94" s="12">
        <v>15.39</v>
      </c>
      <c r="H94" s="12">
        <v>8.91</v>
      </c>
      <c r="I94" s="12">
        <v>0</v>
      </c>
      <c r="J94" s="12">
        <v>0</v>
      </c>
      <c r="K94" s="12">
        <v>7037.0259170555501</v>
      </c>
      <c r="L94" s="12">
        <f t="shared" si="7"/>
        <v>11632.7502</v>
      </c>
      <c r="S94" s="12">
        <v>546.01524848268377</v>
      </c>
      <c r="T94" s="12">
        <v>690</v>
      </c>
      <c r="U94" s="12">
        <v>21000</v>
      </c>
      <c r="V94" s="12">
        <f t="shared" si="8"/>
        <v>14.700317729779581</v>
      </c>
      <c r="W94" s="12">
        <v>0.99113099999999998</v>
      </c>
      <c r="AB94" s="12">
        <v>0.80062012685654171</v>
      </c>
      <c r="AC94" s="13">
        <v>1</v>
      </c>
      <c r="AE94" s="12" t="s">
        <v>433</v>
      </c>
      <c r="AF94" s="24" t="s">
        <v>34</v>
      </c>
    </row>
    <row r="95" spans="1:32">
      <c r="A95" s="12">
        <v>77</v>
      </c>
      <c r="B95" s="3" t="s">
        <v>156</v>
      </c>
      <c r="C95" s="3">
        <v>300</v>
      </c>
      <c r="D95" s="12">
        <v>300</v>
      </c>
      <c r="E95" s="12">
        <v>300</v>
      </c>
      <c r="F95" s="12">
        <v>15.39</v>
      </c>
      <c r="G95" s="12">
        <v>15.39</v>
      </c>
      <c r="H95" s="12">
        <v>8.91</v>
      </c>
      <c r="I95" s="12">
        <v>0</v>
      </c>
      <c r="J95" s="12">
        <v>0</v>
      </c>
      <c r="K95" s="12">
        <v>9359.2444696838829</v>
      </c>
      <c r="L95" s="12">
        <f t="shared" si="7"/>
        <v>11632.7502</v>
      </c>
      <c r="S95" s="12">
        <v>333.64272965770772</v>
      </c>
      <c r="T95" s="12">
        <v>690</v>
      </c>
      <c r="U95" s="12">
        <v>21000</v>
      </c>
      <c r="V95" s="12">
        <f t="shared" si="8"/>
        <v>24.057463042083022</v>
      </c>
      <c r="W95" s="12">
        <v>1.04735</v>
      </c>
      <c r="AB95" s="12">
        <v>0.80062012685654171</v>
      </c>
      <c r="AC95" s="13">
        <v>1.33</v>
      </c>
      <c r="AE95" s="12" t="s">
        <v>434</v>
      </c>
      <c r="AF95" s="24" t="s">
        <v>34</v>
      </c>
    </row>
    <row r="96" spans="1:32">
      <c r="A96" s="12">
        <v>78</v>
      </c>
      <c r="B96" s="3" t="s">
        <v>157</v>
      </c>
      <c r="C96" s="3">
        <v>300</v>
      </c>
      <c r="D96" s="12">
        <v>300</v>
      </c>
      <c r="E96" s="12">
        <v>300</v>
      </c>
      <c r="F96" s="12">
        <v>15.39</v>
      </c>
      <c r="G96" s="12">
        <v>15.39</v>
      </c>
      <c r="H96" s="12">
        <v>8.91</v>
      </c>
      <c r="I96" s="12">
        <v>0</v>
      </c>
      <c r="J96" s="12">
        <v>0</v>
      </c>
      <c r="K96" s="12">
        <v>11751.833281482768</v>
      </c>
      <c r="L96" s="12">
        <f t="shared" si="7"/>
        <v>11632.7502</v>
      </c>
      <c r="S96" s="12">
        <v>220.93846250212579</v>
      </c>
      <c r="T96" s="12">
        <v>690</v>
      </c>
      <c r="U96" s="12">
        <v>21000</v>
      </c>
      <c r="V96" s="12">
        <f t="shared" si="8"/>
        <v>36.329562300284273</v>
      </c>
      <c r="W96" s="12">
        <v>1.09511</v>
      </c>
      <c r="AB96" s="12">
        <v>0.80062012685654171</v>
      </c>
      <c r="AC96" s="13">
        <v>1.67</v>
      </c>
      <c r="AE96" s="12" t="s">
        <v>435</v>
      </c>
      <c r="AF96" s="24" t="s">
        <v>34</v>
      </c>
    </row>
    <row r="97" spans="1:32">
      <c r="A97" s="12">
        <v>79</v>
      </c>
      <c r="B97" s="3" t="s">
        <v>158</v>
      </c>
      <c r="C97" s="3">
        <v>300</v>
      </c>
      <c r="D97" s="12">
        <v>300</v>
      </c>
      <c r="E97" s="12">
        <v>300</v>
      </c>
      <c r="F97" s="12">
        <v>15.39</v>
      </c>
      <c r="G97" s="12">
        <v>15.39</v>
      </c>
      <c r="H97" s="12">
        <v>8.91</v>
      </c>
      <c r="I97" s="12">
        <v>0</v>
      </c>
      <c r="J97" s="12">
        <v>0</v>
      </c>
      <c r="K97" s="12">
        <v>14074.0518341111</v>
      </c>
      <c r="L97" s="12">
        <f t="shared" si="7"/>
        <v>11632.7502</v>
      </c>
      <c r="S97" s="12">
        <v>158.17497143265777</v>
      </c>
      <c r="T97" s="12">
        <v>690</v>
      </c>
      <c r="U97" s="12">
        <v>21000</v>
      </c>
      <c r="V97" s="12">
        <f t="shared" si="8"/>
        <v>50.745055082354071</v>
      </c>
      <c r="W97" s="12">
        <v>1.11852</v>
      </c>
      <c r="AB97" s="12">
        <v>0.80062012685654171</v>
      </c>
      <c r="AC97" s="13">
        <v>2</v>
      </c>
      <c r="AE97" s="12" t="s">
        <v>436</v>
      </c>
      <c r="AF97" s="24" t="s">
        <v>34</v>
      </c>
    </row>
    <row r="98" spans="1:32">
      <c r="A98" s="12">
        <v>80</v>
      </c>
      <c r="B98" s="3" t="s">
        <v>159</v>
      </c>
      <c r="C98" s="3">
        <v>300</v>
      </c>
      <c r="D98" s="12">
        <v>300</v>
      </c>
      <c r="E98" s="12">
        <v>300</v>
      </c>
      <c r="F98" s="12">
        <v>15.39</v>
      </c>
      <c r="G98" s="12">
        <v>15.39</v>
      </c>
      <c r="H98" s="12">
        <v>8.91</v>
      </c>
      <c r="I98" s="12">
        <v>0</v>
      </c>
      <c r="J98" s="12">
        <v>0</v>
      </c>
      <c r="K98" s="12">
        <v>17592.564792638874</v>
      </c>
      <c r="L98" s="12">
        <f t="shared" si="7"/>
        <v>11632.7502</v>
      </c>
      <c r="S98" s="12">
        <v>103.90637142886713</v>
      </c>
      <c r="T98" s="12">
        <v>690</v>
      </c>
      <c r="U98" s="12">
        <v>21000</v>
      </c>
      <c r="V98" s="12">
        <f t="shared" si="8"/>
        <v>77.248368195543222</v>
      </c>
      <c r="W98" s="12">
        <v>1.1334</v>
      </c>
      <c r="AB98" s="12">
        <v>0.80062012685654171</v>
      </c>
      <c r="AC98" s="13">
        <v>2.5</v>
      </c>
      <c r="AE98" s="12" t="s">
        <v>437</v>
      </c>
      <c r="AF98" s="24" t="s">
        <v>34</v>
      </c>
    </row>
    <row r="99" spans="1:32">
      <c r="A99" s="12">
        <v>81</v>
      </c>
      <c r="B99" s="3" t="s">
        <v>160</v>
      </c>
      <c r="C99" s="3">
        <v>300</v>
      </c>
      <c r="D99" s="12">
        <v>300</v>
      </c>
      <c r="E99" s="12">
        <v>300</v>
      </c>
      <c r="F99" s="12">
        <v>11.209999999999999</v>
      </c>
      <c r="G99" s="12">
        <v>11.209999999999999</v>
      </c>
      <c r="H99" s="12">
        <v>6.4899999999999993</v>
      </c>
      <c r="I99" s="12">
        <v>0</v>
      </c>
      <c r="J99" s="12">
        <v>0</v>
      </c>
      <c r="K99" s="12">
        <v>2139.7687770237067</v>
      </c>
      <c r="L99" s="12">
        <f t="shared" si="7"/>
        <v>8527.4941999999992</v>
      </c>
      <c r="S99" s="12">
        <v>1454.0920289101139</v>
      </c>
      <c r="T99" s="12">
        <v>690</v>
      </c>
      <c r="U99" s="12">
        <v>21000</v>
      </c>
      <c r="V99" s="12">
        <f t="shared" si="8"/>
        <v>4.0464914744152845</v>
      </c>
      <c r="W99" s="12">
        <v>1.1792</v>
      </c>
      <c r="AB99" s="12">
        <v>1.1026699208821982</v>
      </c>
      <c r="AC99" s="13">
        <v>0.3</v>
      </c>
      <c r="AE99" s="12" t="s">
        <v>438</v>
      </c>
      <c r="AF99" s="23" t="s">
        <v>35</v>
      </c>
    </row>
    <row r="100" spans="1:32">
      <c r="A100" s="12">
        <v>82</v>
      </c>
      <c r="B100" s="3" t="s">
        <v>161</v>
      </c>
      <c r="C100" s="3">
        <v>300</v>
      </c>
      <c r="D100" s="12">
        <v>300</v>
      </c>
      <c r="E100" s="12">
        <v>300</v>
      </c>
      <c r="F100" s="12">
        <v>11.209999999999999</v>
      </c>
      <c r="G100" s="12">
        <v>11.209999999999999</v>
      </c>
      <c r="H100" s="12">
        <v>6.4899999999999993</v>
      </c>
      <c r="I100" s="12">
        <v>0</v>
      </c>
      <c r="J100" s="12">
        <v>0</v>
      </c>
      <c r="K100" s="12">
        <v>3566.281295039511</v>
      </c>
      <c r="L100" s="12">
        <f t="shared" si="7"/>
        <v>8527.4941999999992</v>
      </c>
      <c r="S100" s="12">
        <v>1147.8955438793773</v>
      </c>
      <c r="T100" s="12">
        <v>690</v>
      </c>
      <c r="U100" s="12">
        <v>21000</v>
      </c>
      <c r="V100" s="12">
        <f t="shared" si="8"/>
        <v>5.1258766787392425</v>
      </c>
      <c r="W100" s="12">
        <v>0.81051099999999998</v>
      </c>
      <c r="AB100" s="12">
        <v>1.1026699208821982</v>
      </c>
      <c r="AC100" s="13">
        <v>0.5</v>
      </c>
      <c r="AE100" s="12" t="s">
        <v>439</v>
      </c>
      <c r="AF100" s="24" t="s">
        <v>34</v>
      </c>
    </row>
    <row r="101" spans="1:32">
      <c r="A101" s="12">
        <v>83</v>
      </c>
      <c r="B101" s="3" t="s">
        <v>162</v>
      </c>
      <c r="C101" s="3">
        <v>300</v>
      </c>
      <c r="D101" s="12">
        <v>300</v>
      </c>
      <c r="E101" s="12">
        <v>300</v>
      </c>
      <c r="F101" s="12">
        <v>11.209999999999999</v>
      </c>
      <c r="G101" s="12">
        <v>11.209999999999999</v>
      </c>
      <c r="H101" s="12">
        <v>6.4899999999999993</v>
      </c>
      <c r="I101" s="12">
        <v>0</v>
      </c>
      <c r="J101" s="12">
        <v>0</v>
      </c>
      <c r="K101" s="12">
        <v>5349.4219425592664</v>
      </c>
      <c r="L101" s="12">
        <f t="shared" si="7"/>
        <v>8527.4941999999992</v>
      </c>
      <c r="S101" s="12">
        <v>769.93895519780858</v>
      </c>
      <c r="T101" s="12">
        <v>690</v>
      </c>
      <c r="U101" s="12">
        <v>21000</v>
      </c>
      <c r="V101" s="12">
        <f t="shared" si="8"/>
        <v>7.6421266365049965</v>
      </c>
      <c r="W101" s="12">
        <v>0.67975300000000005</v>
      </c>
      <c r="AB101" s="12">
        <v>1.1026699208821982</v>
      </c>
      <c r="AC101" s="13">
        <v>0.75</v>
      </c>
      <c r="AE101" s="12" t="s">
        <v>440</v>
      </c>
      <c r="AF101" s="23" t="s">
        <v>35</v>
      </c>
    </row>
    <row r="102" spans="1:32">
      <c r="A102" s="12">
        <v>84</v>
      </c>
      <c r="B102" s="3" t="s">
        <v>163</v>
      </c>
      <c r="C102" s="3">
        <v>300</v>
      </c>
      <c r="D102" s="12">
        <v>300</v>
      </c>
      <c r="E102" s="12">
        <v>300</v>
      </c>
      <c r="F102" s="12">
        <v>11.209999999999999</v>
      </c>
      <c r="G102" s="12">
        <v>11.209999999999999</v>
      </c>
      <c r="H102" s="12">
        <v>6.4899999999999993</v>
      </c>
      <c r="I102" s="12">
        <v>0</v>
      </c>
      <c r="J102" s="12">
        <v>0</v>
      </c>
      <c r="K102" s="12">
        <v>7132.5625900790219</v>
      </c>
      <c r="L102" s="12">
        <f t="shared" si="7"/>
        <v>8527.4941999999992</v>
      </c>
      <c r="S102" s="12">
        <v>510.55779614035737</v>
      </c>
      <c r="T102" s="12">
        <v>690</v>
      </c>
      <c r="U102" s="12">
        <v>21000</v>
      </c>
      <c r="V102" s="12">
        <f t="shared" si="8"/>
        <v>11.524593380966486</v>
      </c>
      <c r="W102" s="12">
        <v>0.64539299999999999</v>
      </c>
      <c r="AB102" s="12">
        <v>1.1026699208821982</v>
      </c>
      <c r="AC102" s="13">
        <v>1</v>
      </c>
      <c r="AE102" s="12" t="s">
        <v>441</v>
      </c>
      <c r="AF102" s="24" t="s">
        <v>34</v>
      </c>
    </row>
    <row r="103" spans="1:32">
      <c r="A103" s="12">
        <v>85</v>
      </c>
      <c r="B103" s="3" t="s">
        <v>164</v>
      </c>
      <c r="C103" s="3">
        <v>300</v>
      </c>
      <c r="D103" s="12">
        <v>300</v>
      </c>
      <c r="E103" s="12">
        <v>300</v>
      </c>
      <c r="F103" s="12">
        <v>11.209999999999999</v>
      </c>
      <c r="G103" s="12">
        <v>11.209999999999999</v>
      </c>
      <c r="H103" s="12">
        <v>6.4899999999999993</v>
      </c>
      <c r="I103" s="12">
        <v>0</v>
      </c>
      <c r="J103" s="12">
        <v>0</v>
      </c>
      <c r="K103" s="12">
        <v>9486.3082448051009</v>
      </c>
      <c r="L103" s="12">
        <f t="shared" si="7"/>
        <v>8527.4941999999992</v>
      </c>
      <c r="S103" s="12">
        <v>318.61247328947132</v>
      </c>
      <c r="T103" s="12">
        <v>690</v>
      </c>
      <c r="U103" s="12">
        <v>21000</v>
      </c>
      <c r="V103" s="12">
        <f t="shared" si="8"/>
        <v>18.467484769983226</v>
      </c>
      <c r="W103" s="12">
        <v>0.62905100000000003</v>
      </c>
      <c r="AB103" s="12">
        <v>1.1026699208821982</v>
      </c>
      <c r="AC103" s="13">
        <v>1.33</v>
      </c>
      <c r="AE103" s="12" t="s">
        <v>442</v>
      </c>
      <c r="AF103" s="24" t="s">
        <v>34</v>
      </c>
    </row>
    <row r="104" spans="1:32">
      <c r="A104" s="12">
        <v>86</v>
      </c>
      <c r="B104" s="3" t="s">
        <v>165</v>
      </c>
      <c r="C104" s="3">
        <v>300</v>
      </c>
      <c r="D104" s="12">
        <v>300</v>
      </c>
      <c r="E104" s="12">
        <v>300</v>
      </c>
      <c r="F104" s="12">
        <v>11.209999999999999</v>
      </c>
      <c r="G104" s="12">
        <v>11.209999999999999</v>
      </c>
      <c r="H104" s="12">
        <v>6.4899999999999993</v>
      </c>
      <c r="I104" s="12">
        <v>0</v>
      </c>
      <c r="J104" s="12">
        <v>0</v>
      </c>
      <c r="K104" s="12">
        <v>11911.379525431967</v>
      </c>
      <c r="L104" s="12">
        <f t="shared" si="7"/>
        <v>8527.4941999999992</v>
      </c>
      <c r="S104" s="12">
        <v>213.07076572917052</v>
      </c>
      <c r="T104" s="12">
        <v>690</v>
      </c>
      <c r="U104" s="12">
        <v>21000</v>
      </c>
      <c r="V104" s="12">
        <f t="shared" si="8"/>
        <v>27.615102324637924</v>
      </c>
      <c r="W104" s="12">
        <v>0.62139200000000006</v>
      </c>
      <c r="AB104" s="12">
        <v>1.1026699208821982</v>
      </c>
      <c r="AC104" s="13">
        <v>1.67</v>
      </c>
      <c r="AE104" s="12" t="s">
        <v>443</v>
      </c>
      <c r="AF104" s="24" t="s">
        <v>34</v>
      </c>
    </row>
    <row r="105" spans="1:32">
      <c r="A105" s="12">
        <v>87</v>
      </c>
      <c r="B105" s="3" t="s">
        <v>166</v>
      </c>
      <c r="C105" s="3">
        <v>300</v>
      </c>
      <c r="D105" s="12">
        <v>300</v>
      </c>
      <c r="E105" s="12">
        <v>300</v>
      </c>
      <c r="F105" s="12">
        <v>11.209999999999999</v>
      </c>
      <c r="G105" s="12">
        <v>11.209999999999999</v>
      </c>
      <c r="H105" s="12">
        <v>6.4899999999999993</v>
      </c>
      <c r="I105" s="12">
        <v>0</v>
      </c>
      <c r="J105" s="12">
        <v>0</v>
      </c>
      <c r="K105" s="12">
        <v>14265.125180158044</v>
      </c>
      <c r="L105" s="12">
        <f t="shared" si="7"/>
        <v>8527.4941999999992</v>
      </c>
      <c r="S105" s="12">
        <v>153.36113201377029</v>
      </c>
      <c r="T105" s="12">
        <v>690</v>
      </c>
      <c r="U105" s="12">
        <v>21000</v>
      </c>
      <c r="V105" s="12">
        <f t="shared" si="8"/>
        <v>38.366768168297547</v>
      </c>
      <c r="W105" s="12">
        <v>0.61646999999999996</v>
      </c>
      <c r="AB105" s="12">
        <v>1.1026699208821982</v>
      </c>
      <c r="AC105" s="13">
        <v>2</v>
      </c>
      <c r="AE105" s="12" t="s">
        <v>444</v>
      </c>
      <c r="AF105" s="24" t="s">
        <v>34</v>
      </c>
    </row>
    <row r="106" spans="1:32">
      <c r="A106" s="12">
        <v>88</v>
      </c>
      <c r="B106" s="3" t="s">
        <v>167</v>
      </c>
      <c r="C106" s="3">
        <v>300</v>
      </c>
      <c r="D106" s="12">
        <v>300</v>
      </c>
      <c r="E106" s="12">
        <v>300</v>
      </c>
      <c r="F106" s="12">
        <v>11.209999999999999</v>
      </c>
      <c r="G106" s="12">
        <v>11.209999999999999</v>
      </c>
      <c r="H106" s="12">
        <v>6.4899999999999993</v>
      </c>
      <c r="I106" s="12">
        <v>0</v>
      </c>
      <c r="J106" s="12">
        <v>0</v>
      </c>
      <c r="K106" s="12">
        <v>17831.406475197557</v>
      </c>
      <c r="L106" s="12">
        <f t="shared" si="7"/>
        <v>8527.4941999999992</v>
      </c>
      <c r="S106" s="12">
        <v>101.23059847747011</v>
      </c>
      <c r="T106" s="12">
        <v>690</v>
      </c>
      <c r="U106" s="12">
        <v>21000</v>
      </c>
      <c r="V106" s="12">
        <f t="shared" si="8"/>
        <v>58.124431609574422</v>
      </c>
      <c r="W106" s="12">
        <v>0.607236</v>
      </c>
      <c r="AB106" s="12">
        <v>1.1026699208821982</v>
      </c>
      <c r="AC106" s="13">
        <v>2.5</v>
      </c>
      <c r="AE106" s="12" t="s">
        <v>445</v>
      </c>
      <c r="AF106" s="24" t="s">
        <v>34</v>
      </c>
    </row>
    <row r="107" spans="1:32">
      <c r="A107" s="12">
        <v>89</v>
      </c>
      <c r="B107" s="3" t="s">
        <v>168</v>
      </c>
      <c r="C107" s="3">
        <v>300</v>
      </c>
      <c r="D107" s="12">
        <v>300</v>
      </c>
      <c r="E107" s="12">
        <v>300</v>
      </c>
      <c r="F107" s="12">
        <v>8.2080000000000002</v>
      </c>
      <c r="G107" s="12">
        <v>8.2080000000000002</v>
      </c>
      <c r="H107" s="12">
        <v>4.7519999999999998</v>
      </c>
      <c r="I107" s="12">
        <v>0</v>
      </c>
      <c r="J107" s="12">
        <v>0</v>
      </c>
      <c r="K107" s="12">
        <v>2160.5023585019617</v>
      </c>
      <c r="L107" s="12">
        <f t="shared" si="7"/>
        <v>6272.3911680000001</v>
      </c>
      <c r="S107" s="12">
        <v>1112.2361410840945</v>
      </c>
      <c r="T107" s="12">
        <v>690</v>
      </c>
      <c r="U107" s="12">
        <v>21000</v>
      </c>
      <c r="V107" s="12">
        <f t="shared" si="8"/>
        <v>3.8912149552176527</v>
      </c>
      <c r="W107" s="12">
        <v>0.76858599999999999</v>
      </c>
      <c r="AB107" s="12">
        <v>1.5093980321271014</v>
      </c>
      <c r="AC107" s="13">
        <v>0.3</v>
      </c>
      <c r="AE107" s="12" t="s">
        <v>446</v>
      </c>
      <c r="AF107" s="24" t="s">
        <v>34</v>
      </c>
    </row>
    <row r="108" spans="1:32">
      <c r="A108" s="12">
        <v>90</v>
      </c>
      <c r="B108" s="3" t="s">
        <v>169</v>
      </c>
      <c r="C108" s="3">
        <v>300</v>
      </c>
      <c r="D108" s="12">
        <v>300</v>
      </c>
      <c r="E108" s="12">
        <v>300</v>
      </c>
      <c r="F108" s="12">
        <v>8.2080000000000002</v>
      </c>
      <c r="G108" s="12">
        <v>8.2080000000000002</v>
      </c>
      <c r="H108" s="12">
        <v>4.7519999999999998</v>
      </c>
      <c r="I108" s="12">
        <v>0</v>
      </c>
      <c r="J108" s="12">
        <v>0</v>
      </c>
      <c r="K108" s="12">
        <v>3600.8372641699361</v>
      </c>
      <c r="L108" s="12">
        <f t="shared" si="7"/>
        <v>6272.3911680000001</v>
      </c>
      <c r="S108" s="12">
        <v>926.59517716357152</v>
      </c>
      <c r="T108" s="12">
        <v>690</v>
      </c>
      <c r="U108" s="12">
        <v>21000</v>
      </c>
      <c r="V108" s="12">
        <f t="shared" si="8"/>
        <v>4.6708098774789848</v>
      </c>
      <c r="W108" s="12">
        <v>0.60477700000000001</v>
      </c>
      <c r="AB108" s="12">
        <v>1.5093980321271014</v>
      </c>
      <c r="AC108" s="13">
        <v>0.5</v>
      </c>
      <c r="AE108" s="12" t="s">
        <v>447</v>
      </c>
      <c r="AF108" s="23" t="s">
        <v>35</v>
      </c>
    </row>
    <row r="109" spans="1:32">
      <c r="A109" s="12">
        <v>91</v>
      </c>
      <c r="B109" s="3" t="s">
        <v>170</v>
      </c>
      <c r="C109" s="3">
        <v>300</v>
      </c>
      <c r="D109" s="12">
        <v>300</v>
      </c>
      <c r="E109" s="12">
        <v>300</v>
      </c>
      <c r="F109" s="12">
        <v>8.2080000000000002</v>
      </c>
      <c r="G109" s="12">
        <v>8.2080000000000002</v>
      </c>
      <c r="H109" s="12">
        <v>4.7519999999999998</v>
      </c>
      <c r="I109" s="12">
        <v>0</v>
      </c>
      <c r="J109" s="12">
        <v>0</v>
      </c>
      <c r="K109" s="12">
        <v>5401.2558962549047</v>
      </c>
      <c r="L109" s="12">
        <f t="shared" si="7"/>
        <v>6272.3911680000001</v>
      </c>
      <c r="S109" s="12">
        <v>674.96285658269755</v>
      </c>
      <c r="T109" s="12">
        <v>690</v>
      </c>
      <c r="U109" s="12">
        <v>21000</v>
      </c>
      <c r="V109" s="12">
        <f t="shared" si="8"/>
        <v>6.4121304805307195</v>
      </c>
      <c r="W109" s="12">
        <v>0.44506699999999999</v>
      </c>
      <c r="AB109" s="12">
        <v>1.5093980321271014</v>
      </c>
      <c r="AC109" s="13">
        <v>0.75</v>
      </c>
      <c r="AE109" s="12" t="s">
        <v>448</v>
      </c>
      <c r="AF109" s="24" t="s">
        <v>34</v>
      </c>
    </row>
    <row r="110" spans="1:32">
      <c r="A110" s="12">
        <v>92</v>
      </c>
      <c r="B110" s="3" t="s">
        <v>171</v>
      </c>
      <c r="C110" s="3">
        <v>300</v>
      </c>
      <c r="D110" s="12">
        <v>300</v>
      </c>
      <c r="E110" s="12">
        <v>300</v>
      </c>
      <c r="F110" s="12">
        <v>8.2080000000000002</v>
      </c>
      <c r="G110" s="12">
        <v>8.2080000000000002</v>
      </c>
      <c r="H110" s="12">
        <v>4.7519999999999998</v>
      </c>
      <c r="I110" s="12">
        <v>0</v>
      </c>
      <c r="J110" s="12">
        <v>0</v>
      </c>
      <c r="K110" s="12">
        <v>7201.6745283398723</v>
      </c>
      <c r="L110" s="12">
        <f t="shared" si="7"/>
        <v>6272.3911680000001</v>
      </c>
      <c r="S110" s="12">
        <v>470.57715125327212</v>
      </c>
      <c r="T110" s="12">
        <v>690</v>
      </c>
      <c r="U110" s="12">
        <v>21000</v>
      </c>
      <c r="V110" s="12">
        <f t="shared" si="8"/>
        <v>9.197110175012785</v>
      </c>
      <c r="W110" s="12">
        <v>0.388768</v>
      </c>
      <c r="AB110" s="12">
        <v>1.5093980321271014</v>
      </c>
      <c r="AC110" s="13">
        <v>1</v>
      </c>
      <c r="AE110" s="12" t="s">
        <v>449</v>
      </c>
      <c r="AF110" s="24" t="s">
        <v>34</v>
      </c>
    </row>
    <row r="111" spans="1:32">
      <c r="A111" s="12">
        <v>93</v>
      </c>
      <c r="B111" s="3" t="s">
        <v>172</v>
      </c>
      <c r="C111" s="3">
        <v>300</v>
      </c>
      <c r="D111" s="12">
        <v>300</v>
      </c>
      <c r="E111" s="12">
        <v>300</v>
      </c>
      <c r="F111" s="12">
        <v>8.2080000000000002</v>
      </c>
      <c r="G111" s="12">
        <v>8.2080000000000002</v>
      </c>
      <c r="H111" s="12">
        <v>4.7519999999999998</v>
      </c>
      <c r="I111" s="12">
        <v>0</v>
      </c>
      <c r="J111" s="12">
        <v>0</v>
      </c>
      <c r="K111" s="12">
        <v>9578.2271226920311</v>
      </c>
      <c r="L111" s="12">
        <f t="shared" si="7"/>
        <v>6272.3911680000001</v>
      </c>
      <c r="S111" s="12">
        <v>302.33146747899639</v>
      </c>
      <c r="T111" s="12">
        <v>690</v>
      </c>
      <c r="U111" s="12">
        <v>21000</v>
      </c>
      <c r="V111" s="12">
        <f t="shared" si="8"/>
        <v>14.315247903265881</v>
      </c>
      <c r="W111" s="12">
        <v>0.40965000000000001</v>
      </c>
      <c r="AB111" s="12">
        <v>1.5093980321271014</v>
      </c>
      <c r="AC111" s="13">
        <v>1.33</v>
      </c>
      <c r="AE111" s="12" t="s">
        <v>450</v>
      </c>
      <c r="AF111" s="24" t="s">
        <v>34</v>
      </c>
    </row>
    <row r="112" spans="1:32">
      <c r="A112" s="12">
        <v>94</v>
      </c>
      <c r="B112" s="3" t="s">
        <v>173</v>
      </c>
      <c r="C112" s="3">
        <v>300</v>
      </c>
      <c r="D112" s="12">
        <v>300</v>
      </c>
      <c r="E112" s="12">
        <v>300</v>
      </c>
      <c r="F112" s="12">
        <v>8.2080000000000002</v>
      </c>
      <c r="G112" s="12">
        <v>8.2080000000000002</v>
      </c>
      <c r="H112" s="12">
        <v>4.7519999999999998</v>
      </c>
      <c r="I112" s="12">
        <v>0</v>
      </c>
      <c r="J112" s="12">
        <v>0</v>
      </c>
      <c r="K112" s="12">
        <v>12026.796462327586</v>
      </c>
      <c r="L112" s="12">
        <f t="shared" si="7"/>
        <v>6272.3911680000001</v>
      </c>
      <c r="S112" s="12">
        <v>204.89357995249722</v>
      </c>
      <c r="T112" s="12">
        <v>690</v>
      </c>
      <c r="U112" s="12">
        <v>21000</v>
      </c>
      <c r="V112" s="12">
        <f t="shared" si="8"/>
        <v>21.122916134919393</v>
      </c>
      <c r="W112" s="12">
        <v>0.401897</v>
      </c>
      <c r="AB112" s="12">
        <v>1.5093980321271014</v>
      </c>
      <c r="AC112" s="13">
        <v>1.67</v>
      </c>
      <c r="AE112" s="12" t="s">
        <v>451</v>
      </c>
      <c r="AF112" s="24" t="s">
        <v>34</v>
      </c>
    </row>
    <row r="113" spans="1:32">
      <c r="A113" s="12">
        <v>95</v>
      </c>
      <c r="B113" s="3" t="s">
        <v>174</v>
      </c>
      <c r="C113" s="3">
        <v>300</v>
      </c>
      <c r="D113" s="12">
        <v>300</v>
      </c>
      <c r="E113" s="12">
        <v>300</v>
      </c>
      <c r="F113" s="12">
        <v>8.2080000000000002</v>
      </c>
      <c r="G113" s="12">
        <v>8.2080000000000002</v>
      </c>
      <c r="H113" s="12">
        <v>4.7519999999999998</v>
      </c>
      <c r="I113" s="12">
        <v>0</v>
      </c>
      <c r="J113" s="12">
        <v>0</v>
      </c>
      <c r="K113" s="12">
        <v>14403.349056679745</v>
      </c>
      <c r="L113" s="12">
        <f t="shared" si="7"/>
        <v>6272.3911680000001</v>
      </c>
      <c r="S113" s="12">
        <v>148.5117530551021</v>
      </c>
      <c r="T113" s="12">
        <v>690</v>
      </c>
      <c r="U113" s="12">
        <v>21000</v>
      </c>
      <c r="V113" s="12">
        <f t="shared" si="8"/>
        <v>29.142137352012853</v>
      </c>
      <c r="W113" s="12">
        <v>0.39790900000000001</v>
      </c>
      <c r="AB113" s="12">
        <v>1.5093980321271014</v>
      </c>
      <c r="AC113" s="13">
        <v>2</v>
      </c>
      <c r="AE113" s="12" t="s">
        <v>452</v>
      </c>
      <c r="AF113" s="24" t="s">
        <v>34</v>
      </c>
    </row>
    <row r="114" spans="1:32">
      <c r="A114" s="12">
        <v>96</v>
      </c>
      <c r="B114" s="3" t="s">
        <v>175</v>
      </c>
      <c r="C114" s="3">
        <v>300</v>
      </c>
      <c r="D114" s="12">
        <v>300</v>
      </c>
      <c r="E114" s="12">
        <v>300</v>
      </c>
      <c r="F114" s="12">
        <v>8.2080000000000002</v>
      </c>
      <c r="G114" s="12">
        <v>8.2080000000000002</v>
      </c>
      <c r="H114" s="12">
        <v>4.7519999999999998</v>
      </c>
      <c r="I114" s="12">
        <v>0</v>
      </c>
      <c r="J114" s="12">
        <v>0</v>
      </c>
      <c r="K114" s="12">
        <v>18004.18632084968</v>
      </c>
      <c r="L114" s="12">
        <f t="shared" si="7"/>
        <v>6272.3911680000001</v>
      </c>
      <c r="S114" s="12">
        <v>98.628684564932087</v>
      </c>
      <c r="T114" s="12">
        <v>690</v>
      </c>
      <c r="U114" s="12">
        <v>21000</v>
      </c>
      <c r="V114" s="12">
        <f t="shared" si="8"/>
        <v>43.881249405396851</v>
      </c>
      <c r="W114" s="12">
        <v>0.39565099999999997</v>
      </c>
      <c r="AB114" s="12">
        <v>1.5093980321271014</v>
      </c>
      <c r="AC114" s="13">
        <v>2.5</v>
      </c>
      <c r="AE114" s="12" t="s">
        <v>453</v>
      </c>
      <c r="AF114" s="23" t="s">
        <v>646</v>
      </c>
    </row>
    <row r="115" spans="1:32">
      <c r="A115" s="12">
        <v>97</v>
      </c>
      <c r="B115" s="3" t="s">
        <v>176</v>
      </c>
      <c r="C115" s="3">
        <v>180</v>
      </c>
      <c r="D115" s="12">
        <v>180</v>
      </c>
      <c r="E115" s="12">
        <v>400</v>
      </c>
      <c r="F115" s="12">
        <v>13.5</v>
      </c>
      <c r="G115" s="12">
        <v>13.5</v>
      </c>
      <c r="H115" s="12">
        <v>50</v>
      </c>
      <c r="I115" s="12">
        <v>0</v>
      </c>
      <c r="J115" s="12">
        <v>0</v>
      </c>
      <c r="K115" s="12">
        <v>2085.6588464983192</v>
      </c>
      <c r="L115" s="12">
        <f t="shared" si="7"/>
        <v>23510</v>
      </c>
      <c r="S115" s="12">
        <v>2708.9316833810267</v>
      </c>
      <c r="T115" s="12">
        <v>690</v>
      </c>
      <c r="U115" s="12">
        <v>21000</v>
      </c>
      <c r="V115" s="12">
        <f t="shared" si="8"/>
        <v>5.9883016244076677</v>
      </c>
      <c r="W115" s="12">
        <v>4.8171299999999997</v>
      </c>
      <c r="AB115" s="12">
        <v>0.3550200773318104</v>
      </c>
      <c r="AC115" s="13">
        <v>0.3</v>
      </c>
      <c r="AE115" s="12" t="s">
        <v>454</v>
      </c>
      <c r="AF115" s="24" t="s">
        <v>34</v>
      </c>
    </row>
    <row r="116" spans="1:32">
      <c r="A116" s="12">
        <v>98</v>
      </c>
      <c r="B116" s="3" t="s">
        <v>177</v>
      </c>
      <c r="C116" s="3">
        <v>180</v>
      </c>
      <c r="D116" s="12">
        <v>180</v>
      </c>
      <c r="E116" s="12">
        <v>400</v>
      </c>
      <c r="F116" s="12">
        <v>13.5</v>
      </c>
      <c r="G116" s="12">
        <v>13.5</v>
      </c>
      <c r="H116" s="12">
        <v>50</v>
      </c>
      <c r="I116" s="12">
        <v>0</v>
      </c>
      <c r="J116" s="12">
        <v>0</v>
      </c>
      <c r="K116" s="12">
        <v>3476.0980774971986</v>
      </c>
      <c r="L116" s="12">
        <f t="shared" si="7"/>
        <v>23510</v>
      </c>
      <c r="S116" s="12">
        <v>1396.664898474437</v>
      </c>
      <c r="T116" s="12">
        <v>690</v>
      </c>
      <c r="U116" s="12">
        <v>21000</v>
      </c>
      <c r="V116" s="12">
        <f t="shared" si="8"/>
        <v>11.614740241355689</v>
      </c>
      <c r="W116" s="12">
        <v>4.8897000000000004</v>
      </c>
      <c r="AB116" s="12">
        <v>0.3550200773318104</v>
      </c>
      <c r="AC116" s="13">
        <v>0.5</v>
      </c>
      <c r="AE116" s="12" t="s">
        <v>455</v>
      </c>
      <c r="AF116" s="23" t="s">
        <v>35</v>
      </c>
    </row>
    <row r="117" spans="1:32">
      <c r="A117" s="12">
        <v>99</v>
      </c>
      <c r="B117" s="3" t="s">
        <v>178</v>
      </c>
      <c r="C117" s="3">
        <v>180</v>
      </c>
      <c r="D117" s="12">
        <v>180</v>
      </c>
      <c r="E117" s="12">
        <v>400</v>
      </c>
      <c r="F117" s="12">
        <v>13.5</v>
      </c>
      <c r="G117" s="12">
        <v>13.5</v>
      </c>
      <c r="H117" s="12">
        <v>50</v>
      </c>
      <c r="I117" s="12">
        <v>0</v>
      </c>
      <c r="J117" s="12">
        <v>0</v>
      </c>
      <c r="K117" s="12">
        <v>5214.1471162457974</v>
      </c>
      <c r="L117" s="12">
        <f t="shared" si="7"/>
        <v>23510</v>
      </c>
      <c r="S117" s="12">
        <v>705.42709649862877</v>
      </c>
      <c r="T117" s="12">
        <v>690</v>
      </c>
      <c r="U117" s="12">
        <v>21000</v>
      </c>
      <c r="V117" s="12">
        <f t="shared" si="8"/>
        <v>22.995856099825239</v>
      </c>
      <c r="W117" s="12">
        <v>4.4496799999999999</v>
      </c>
      <c r="AB117" s="12">
        <v>0.3550200773318104</v>
      </c>
      <c r="AC117" s="13">
        <v>0.75</v>
      </c>
      <c r="AE117" s="12" t="s">
        <v>456</v>
      </c>
      <c r="AF117" s="24" t="s">
        <v>34</v>
      </c>
    </row>
    <row r="118" spans="1:32">
      <c r="A118" s="12">
        <v>100</v>
      </c>
      <c r="B118" s="3" t="s">
        <v>179</v>
      </c>
      <c r="C118" s="3">
        <v>180</v>
      </c>
      <c r="D118" s="12">
        <v>180</v>
      </c>
      <c r="E118" s="12">
        <v>400</v>
      </c>
      <c r="F118" s="12">
        <v>13.5</v>
      </c>
      <c r="G118" s="12">
        <v>13.5</v>
      </c>
      <c r="H118" s="12">
        <v>50</v>
      </c>
      <c r="I118" s="12">
        <v>0</v>
      </c>
      <c r="J118" s="12">
        <v>0</v>
      </c>
      <c r="K118" s="12">
        <v>6952.1961549943971</v>
      </c>
      <c r="L118" s="12">
        <f t="shared" si="7"/>
        <v>23510</v>
      </c>
      <c r="S118" s="12">
        <v>418.9493184636566</v>
      </c>
      <c r="T118" s="12">
        <v>690</v>
      </c>
      <c r="U118" s="12">
        <v>21000</v>
      </c>
      <c r="V118" s="12">
        <f t="shared" si="8"/>
        <v>38.720435348809936</v>
      </c>
      <c r="W118" s="12">
        <v>4.2189500000000004</v>
      </c>
      <c r="AB118" s="12">
        <v>0.3550200773318104</v>
      </c>
      <c r="AC118" s="13">
        <v>1</v>
      </c>
      <c r="AE118" s="12" t="s">
        <v>457</v>
      </c>
      <c r="AF118" s="24" t="s">
        <v>34</v>
      </c>
    </row>
    <row r="119" spans="1:32">
      <c r="A119" s="12">
        <v>101</v>
      </c>
      <c r="B119" s="3" t="s">
        <v>180</v>
      </c>
      <c r="C119" s="3">
        <v>180</v>
      </c>
      <c r="D119" s="12">
        <v>180</v>
      </c>
      <c r="E119" s="12">
        <v>400</v>
      </c>
      <c r="F119" s="12">
        <v>13.5</v>
      </c>
      <c r="G119" s="12">
        <v>13.5</v>
      </c>
      <c r="H119" s="12">
        <v>50</v>
      </c>
      <c r="I119" s="12">
        <v>0</v>
      </c>
      <c r="J119" s="12">
        <v>0</v>
      </c>
      <c r="K119" s="12">
        <v>9246.4208861425486</v>
      </c>
      <c r="L119" s="12">
        <f t="shared" si="7"/>
        <v>23510</v>
      </c>
      <c r="S119" s="12">
        <v>246.00696440449227</v>
      </c>
      <c r="T119" s="12">
        <v>690</v>
      </c>
      <c r="U119" s="12">
        <v>21000</v>
      </c>
      <c r="V119" s="12">
        <f t="shared" si="8"/>
        <v>65.940816103593917</v>
      </c>
      <c r="W119" s="12">
        <v>4.01267</v>
      </c>
      <c r="AB119" s="12">
        <v>0.3550200773318104</v>
      </c>
      <c r="AC119" s="13">
        <v>1.33</v>
      </c>
      <c r="AE119" s="12" t="s">
        <v>458</v>
      </c>
      <c r="AF119" s="24" t="s">
        <v>34</v>
      </c>
    </row>
    <row r="120" spans="1:32">
      <c r="A120" s="12">
        <v>102</v>
      </c>
      <c r="B120" s="3" t="s">
        <v>181</v>
      </c>
      <c r="C120" s="3">
        <v>180</v>
      </c>
      <c r="D120" s="12">
        <v>180</v>
      </c>
      <c r="E120" s="12">
        <v>400</v>
      </c>
      <c r="F120" s="12">
        <v>13.5</v>
      </c>
      <c r="G120" s="12">
        <v>13.5</v>
      </c>
      <c r="H120" s="12">
        <v>50</v>
      </c>
      <c r="I120" s="12">
        <v>0</v>
      </c>
      <c r="J120" s="12">
        <v>0</v>
      </c>
      <c r="K120" s="12">
        <v>11610.167578840643</v>
      </c>
      <c r="L120" s="12">
        <f t="shared" si="7"/>
        <v>23510</v>
      </c>
      <c r="S120" s="12">
        <v>159.63965628342962</v>
      </c>
      <c r="T120" s="12">
        <v>690</v>
      </c>
      <c r="U120" s="12">
        <v>21000</v>
      </c>
      <c r="V120" s="12">
        <f t="shared" si="8"/>
        <v>101.61572868334854</v>
      </c>
      <c r="W120" s="12">
        <v>3.8855200000000001</v>
      </c>
      <c r="AB120" s="12">
        <v>0.3550200773318104</v>
      </c>
      <c r="AC120" s="13">
        <v>1.67</v>
      </c>
      <c r="AE120" s="12" t="s">
        <v>459</v>
      </c>
      <c r="AF120" s="24" t="s">
        <v>34</v>
      </c>
    </row>
    <row r="121" spans="1:32">
      <c r="A121" s="12">
        <v>103</v>
      </c>
      <c r="B121" s="3" t="s">
        <v>182</v>
      </c>
      <c r="C121" s="3">
        <v>180</v>
      </c>
      <c r="D121" s="12">
        <v>180</v>
      </c>
      <c r="E121" s="12">
        <v>400</v>
      </c>
      <c r="F121" s="12">
        <v>13.5</v>
      </c>
      <c r="G121" s="12">
        <v>13.5</v>
      </c>
      <c r="H121" s="12">
        <v>50</v>
      </c>
      <c r="I121" s="12">
        <v>0</v>
      </c>
      <c r="J121" s="12">
        <v>0</v>
      </c>
      <c r="K121" s="12">
        <v>13904.392309988794</v>
      </c>
      <c r="L121" s="12">
        <f t="shared" si="7"/>
        <v>23510</v>
      </c>
      <c r="S121" s="12">
        <v>112.94760372942508</v>
      </c>
      <c r="T121" s="12">
        <v>690</v>
      </c>
      <c r="U121" s="12">
        <v>21000</v>
      </c>
      <c r="V121" s="12">
        <f t="shared" si="8"/>
        <v>143.62323293605098</v>
      </c>
      <c r="W121" s="12">
        <v>3.8066300000000002</v>
      </c>
      <c r="AB121" s="12">
        <v>0.3550200773318104</v>
      </c>
      <c r="AC121" s="13">
        <v>2</v>
      </c>
      <c r="AE121" s="12" t="s">
        <v>460</v>
      </c>
      <c r="AF121" s="24" t="s">
        <v>34</v>
      </c>
    </row>
    <row r="122" spans="1:32">
      <c r="A122" s="12">
        <v>104</v>
      </c>
      <c r="B122" s="3" t="s">
        <v>183</v>
      </c>
      <c r="C122" s="3">
        <v>180</v>
      </c>
      <c r="D122" s="12">
        <v>180</v>
      </c>
      <c r="E122" s="12">
        <v>400</v>
      </c>
      <c r="F122" s="12">
        <v>13.5</v>
      </c>
      <c r="G122" s="12">
        <v>13.5</v>
      </c>
      <c r="H122" s="12">
        <v>50</v>
      </c>
      <c r="I122" s="12">
        <v>0</v>
      </c>
      <c r="J122" s="12">
        <v>0</v>
      </c>
      <c r="K122" s="12">
        <v>17380.490387485992</v>
      </c>
      <c r="L122" s="12">
        <f t="shared" si="7"/>
        <v>23510</v>
      </c>
      <c r="S122" s="12">
        <v>73.366887537102784</v>
      </c>
      <c r="T122" s="12">
        <v>690</v>
      </c>
      <c r="U122" s="12">
        <v>21000</v>
      </c>
      <c r="V122" s="12">
        <f t="shared" si="8"/>
        <v>221.10655834754243</v>
      </c>
      <c r="W122" s="12">
        <v>3.7334900000000002</v>
      </c>
      <c r="AB122" s="12">
        <v>0.3550200773318104</v>
      </c>
      <c r="AC122" s="13">
        <v>2.5</v>
      </c>
      <c r="AE122" s="12" t="s">
        <v>461</v>
      </c>
      <c r="AF122" s="24" t="s">
        <v>34</v>
      </c>
    </row>
    <row r="123" spans="1:32">
      <c r="A123" s="12">
        <v>105</v>
      </c>
      <c r="B123" s="3" t="s">
        <v>184</v>
      </c>
      <c r="C123" s="3">
        <v>180</v>
      </c>
      <c r="D123" s="12">
        <v>180</v>
      </c>
      <c r="E123" s="12">
        <v>400</v>
      </c>
      <c r="F123" s="12">
        <v>13.5</v>
      </c>
      <c r="G123" s="12">
        <v>13.5</v>
      </c>
      <c r="H123" s="12">
        <v>24.5</v>
      </c>
      <c r="I123" s="12">
        <v>0</v>
      </c>
      <c r="J123" s="12">
        <v>0</v>
      </c>
      <c r="K123" s="12">
        <v>2297.9112716622139</v>
      </c>
      <c r="L123" s="12">
        <f t="shared" si="7"/>
        <v>13998.5</v>
      </c>
      <c r="S123" s="12">
        <v>1612.9723594134121</v>
      </c>
      <c r="T123" s="12">
        <v>690</v>
      </c>
      <c r="U123" s="12">
        <v>21000</v>
      </c>
      <c r="V123" s="12">
        <f t="shared" si="8"/>
        <v>5.9883016244076659</v>
      </c>
      <c r="W123" s="12">
        <v>3.2498499999999999</v>
      </c>
      <c r="AB123" s="12">
        <v>0.50420742049940981</v>
      </c>
      <c r="AC123" s="13">
        <v>0.3</v>
      </c>
      <c r="AE123" s="12" t="s">
        <v>462</v>
      </c>
      <c r="AF123" s="23" t="s">
        <v>35</v>
      </c>
    </row>
    <row r="124" spans="1:32">
      <c r="A124" s="12">
        <v>106</v>
      </c>
      <c r="B124" s="3" t="s">
        <v>185</v>
      </c>
      <c r="C124" s="3">
        <v>180</v>
      </c>
      <c r="D124" s="12">
        <v>180</v>
      </c>
      <c r="E124" s="12">
        <v>400</v>
      </c>
      <c r="F124" s="12">
        <v>13.5</v>
      </c>
      <c r="G124" s="12">
        <v>13.5</v>
      </c>
      <c r="H124" s="12">
        <v>24.5</v>
      </c>
      <c r="I124" s="12">
        <v>0</v>
      </c>
      <c r="J124" s="12">
        <v>0</v>
      </c>
      <c r="K124" s="12">
        <v>3829.8521194370237</v>
      </c>
      <c r="L124" s="12">
        <f t="shared" si="7"/>
        <v>13998.5</v>
      </c>
      <c r="S124" s="12">
        <v>831.61265764757195</v>
      </c>
      <c r="T124" s="12">
        <v>690</v>
      </c>
      <c r="U124" s="12">
        <v>21000</v>
      </c>
      <c r="V124" s="12">
        <f t="shared" si="8"/>
        <v>11.614740241355682</v>
      </c>
      <c r="W124" s="12">
        <v>4.2494100000000001</v>
      </c>
      <c r="AB124" s="12">
        <v>0.50420742049940981</v>
      </c>
      <c r="AC124" s="13">
        <v>0.5</v>
      </c>
      <c r="AE124" s="12" t="s">
        <v>463</v>
      </c>
      <c r="AF124" s="24" t="s">
        <v>34</v>
      </c>
    </row>
    <row r="125" spans="1:32">
      <c r="A125" s="12">
        <v>107</v>
      </c>
      <c r="B125" s="3" t="s">
        <v>186</v>
      </c>
      <c r="C125" s="3">
        <v>180</v>
      </c>
      <c r="D125" s="12">
        <v>180</v>
      </c>
      <c r="E125" s="12">
        <v>400</v>
      </c>
      <c r="F125" s="12">
        <v>13.5</v>
      </c>
      <c r="G125" s="12">
        <v>13.5</v>
      </c>
      <c r="H125" s="12">
        <v>24.5</v>
      </c>
      <c r="I125" s="12">
        <v>0</v>
      </c>
      <c r="J125" s="12">
        <v>0</v>
      </c>
      <c r="K125" s="12">
        <v>5744.7781791555353</v>
      </c>
      <c r="L125" s="12">
        <f t="shared" si="7"/>
        <v>13998.5</v>
      </c>
      <c r="S125" s="12">
        <v>420.0306767475991</v>
      </c>
      <c r="T125" s="12">
        <v>690</v>
      </c>
      <c r="U125" s="12">
        <v>21000</v>
      </c>
      <c r="V125" s="12">
        <f t="shared" si="8"/>
        <v>22.995856099825239</v>
      </c>
      <c r="W125" s="12">
        <v>4.2884700000000002</v>
      </c>
      <c r="AB125" s="12">
        <v>0.50420742049940981</v>
      </c>
      <c r="AC125" s="13">
        <v>0.75</v>
      </c>
      <c r="AE125" s="12" t="s">
        <v>464</v>
      </c>
      <c r="AF125" s="24" t="s">
        <v>34</v>
      </c>
    </row>
    <row r="126" spans="1:32">
      <c r="A126" s="12">
        <v>108</v>
      </c>
      <c r="B126" s="3" t="s">
        <v>187</v>
      </c>
      <c r="C126" s="3">
        <v>180</v>
      </c>
      <c r="D126" s="12">
        <v>180</v>
      </c>
      <c r="E126" s="12">
        <v>400</v>
      </c>
      <c r="F126" s="12">
        <v>13.5</v>
      </c>
      <c r="G126" s="12">
        <v>13.5</v>
      </c>
      <c r="H126" s="12">
        <v>24.5</v>
      </c>
      <c r="I126" s="12">
        <v>0</v>
      </c>
      <c r="J126" s="12">
        <v>0</v>
      </c>
      <c r="K126" s="12">
        <v>7659.7042388740474</v>
      </c>
      <c r="L126" s="12">
        <f t="shared" si="7"/>
        <v>13998.5</v>
      </c>
      <c r="S126" s="12">
        <v>249.45393596399407</v>
      </c>
      <c r="T126" s="12">
        <v>690</v>
      </c>
      <c r="U126" s="12">
        <v>21000</v>
      </c>
      <c r="V126" s="12">
        <f t="shared" si="8"/>
        <v>38.720435348809914</v>
      </c>
      <c r="W126" s="12">
        <v>4.12399</v>
      </c>
      <c r="AB126" s="12">
        <v>0.50420742049940981</v>
      </c>
      <c r="AC126" s="13">
        <v>1</v>
      </c>
      <c r="AE126" s="12" t="s">
        <v>465</v>
      </c>
      <c r="AF126" s="24" t="s">
        <v>34</v>
      </c>
    </row>
    <row r="127" spans="1:32">
      <c r="A127" s="12">
        <v>109</v>
      </c>
      <c r="B127" s="3" t="s">
        <v>188</v>
      </c>
      <c r="C127" s="3">
        <v>180</v>
      </c>
      <c r="D127" s="12">
        <v>180</v>
      </c>
      <c r="E127" s="12">
        <v>400</v>
      </c>
      <c r="F127" s="12">
        <v>13.5</v>
      </c>
      <c r="G127" s="12">
        <v>13.5</v>
      </c>
      <c r="H127" s="12">
        <v>24.5</v>
      </c>
      <c r="I127" s="12">
        <v>0</v>
      </c>
      <c r="J127" s="12">
        <v>0</v>
      </c>
      <c r="K127" s="12">
        <v>10187.406637702483</v>
      </c>
      <c r="L127" s="12">
        <f t="shared" si="7"/>
        <v>13998.5</v>
      </c>
      <c r="S127" s="12">
        <v>146.4793063043933</v>
      </c>
      <c r="T127" s="12">
        <v>690</v>
      </c>
      <c r="U127" s="12">
        <v>21000</v>
      </c>
      <c r="V127" s="12">
        <f t="shared" si="8"/>
        <v>65.940816103593889</v>
      </c>
      <c r="W127" s="12">
        <v>3.9363899999999998</v>
      </c>
      <c r="AB127" s="12">
        <v>0.50420742049940981</v>
      </c>
      <c r="AC127" s="13">
        <v>1.33</v>
      </c>
      <c r="AE127" s="12" t="s">
        <v>466</v>
      </c>
      <c r="AF127" s="24" t="s">
        <v>34</v>
      </c>
    </row>
    <row r="128" spans="1:32">
      <c r="A128" s="12">
        <v>110</v>
      </c>
      <c r="B128" s="3" t="s">
        <v>189</v>
      </c>
      <c r="C128" s="3">
        <v>180</v>
      </c>
      <c r="D128" s="12">
        <v>180</v>
      </c>
      <c r="E128" s="12">
        <v>400</v>
      </c>
      <c r="F128" s="12">
        <v>13.5</v>
      </c>
      <c r="G128" s="12">
        <v>13.5</v>
      </c>
      <c r="H128" s="12">
        <v>24.5</v>
      </c>
      <c r="I128" s="12">
        <v>0</v>
      </c>
      <c r="J128" s="12">
        <v>0</v>
      </c>
      <c r="K128" s="12">
        <v>12791.706078919658</v>
      </c>
      <c r="L128" s="12">
        <f t="shared" si="7"/>
        <v>13998.5</v>
      </c>
      <c r="S128" s="12">
        <v>95.053837876800941</v>
      </c>
      <c r="T128" s="12">
        <v>690</v>
      </c>
      <c r="U128" s="12">
        <v>21000</v>
      </c>
      <c r="V128" s="12">
        <f t="shared" si="8"/>
        <v>101.61572868334851</v>
      </c>
      <c r="W128" s="12">
        <v>3.81494</v>
      </c>
      <c r="AB128" s="12">
        <v>0.50420742049940981</v>
      </c>
      <c r="AC128" s="13">
        <v>1.67</v>
      </c>
      <c r="AE128" s="12" t="s">
        <v>467</v>
      </c>
      <c r="AF128" s="24" t="s">
        <v>34</v>
      </c>
    </row>
    <row r="129" spans="1:32">
      <c r="A129" s="12">
        <v>111</v>
      </c>
      <c r="B129" s="3" t="s">
        <v>190</v>
      </c>
      <c r="C129" s="3">
        <v>180</v>
      </c>
      <c r="D129" s="12">
        <v>180</v>
      </c>
      <c r="E129" s="12">
        <v>400</v>
      </c>
      <c r="F129" s="12">
        <v>13.5</v>
      </c>
      <c r="G129" s="12">
        <v>13.5</v>
      </c>
      <c r="H129" s="12">
        <v>24.5</v>
      </c>
      <c r="I129" s="12">
        <v>0</v>
      </c>
      <c r="J129" s="12">
        <v>0</v>
      </c>
      <c r="K129" s="12">
        <v>15319.408477748095</v>
      </c>
      <c r="L129" s="12">
        <f t="shared" si="7"/>
        <v>13998.5</v>
      </c>
      <c r="S129" s="12">
        <v>67.252106797378048</v>
      </c>
      <c r="T129" s="12">
        <v>690</v>
      </c>
      <c r="U129" s="12">
        <v>21000</v>
      </c>
      <c r="V129" s="12">
        <f t="shared" si="8"/>
        <v>143.62323293605093</v>
      </c>
      <c r="W129" s="12">
        <v>3.7388599999999999</v>
      </c>
      <c r="AB129" s="12">
        <v>0.50420742049940981</v>
      </c>
      <c r="AC129" s="13">
        <v>2</v>
      </c>
      <c r="AE129" s="12" t="s">
        <v>468</v>
      </c>
      <c r="AF129" s="24" t="s">
        <v>34</v>
      </c>
    </row>
    <row r="130" spans="1:32">
      <c r="A130" s="12">
        <v>112</v>
      </c>
      <c r="B130" s="3" t="s">
        <v>191</v>
      </c>
      <c r="C130" s="3">
        <v>180</v>
      </c>
      <c r="D130" s="12">
        <v>180</v>
      </c>
      <c r="E130" s="12">
        <v>400</v>
      </c>
      <c r="F130" s="12">
        <v>13.5</v>
      </c>
      <c r="G130" s="12">
        <v>13.5</v>
      </c>
      <c r="H130" s="12">
        <v>24.5</v>
      </c>
      <c r="I130" s="12">
        <v>0</v>
      </c>
      <c r="J130" s="12">
        <v>0</v>
      </c>
      <c r="K130" s="12">
        <v>19149.260597185119</v>
      </c>
      <c r="L130" s="12">
        <f t="shared" si="7"/>
        <v>13998.5</v>
      </c>
      <c r="S130" s="12">
        <v>43.684660790647953</v>
      </c>
      <c r="T130" s="12">
        <v>690</v>
      </c>
      <c r="U130" s="12">
        <v>21000</v>
      </c>
      <c r="V130" s="12">
        <f t="shared" si="8"/>
        <v>221.1065583475424</v>
      </c>
      <c r="W130" s="12">
        <v>3.66859</v>
      </c>
      <c r="AB130" s="12">
        <v>0.50420742049940981</v>
      </c>
      <c r="AC130" s="13">
        <v>2.5</v>
      </c>
      <c r="AE130" s="12" t="s">
        <v>469</v>
      </c>
      <c r="AF130" s="24" t="s">
        <v>34</v>
      </c>
    </row>
    <row r="131" spans="1:32">
      <c r="A131" s="12">
        <v>113</v>
      </c>
      <c r="B131" s="3" t="s">
        <v>192</v>
      </c>
      <c r="C131" s="3">
        <v>181</v>
      </c>
      <c r="D131" s="12">
        <v>181</v>
      </c>
      <c r="E131" s="12">
        <v>400</v>
      </c>
      <c r="F131" s="12">
        <v>13.5</v>
      </c>
      <c r="G131" s="12">
        <v>13.5</v>
      </c>
      <c r="H131" s="12">
        <v>20</v>
      </c>
      <c r="I131" s="12">
        <v>0</v>
      </c>
      <c r="J131" s="12">
        <v>0</v>
      </c>
      <c r="K131" s="12">
        <v>2365.1048785040048</v>
      </c>
      <c r="L131" s="12">
        <f t="shared" si="7"/>
        <v>12347</v>
      </c>
      <c r="S131" s="12">
        <v>1423.75067221514</v>
      </c>
      <c r="T131" s="12">
        <v>690</v>
      </c>
      <c r="U131" s="12">
        <v>21000</v>
      </c>
      <c r="V131" s="12">
        <f t="shared" si="8"/>
        <v>5.9837934873421759</v>
      </c>
      <c r="W131" s="12">
        <v>2.8714</v>
      </c>
      <c r="AB131" s="12">
        <v>0.60172287236842936</v>
      </c>
      <c r="AC131" s="13">
        <v>0.3</v>
      </c>
      <c r="AE131" s="12" t="s">
        <v>470</v>
      </c>
      <c r="AF131" s="24" t="s">
        <v>34</v>
      </c>
    </row>
    <row r="132" spans="1:32">
      <c r="A132" s="12">
        <v>114</v>
      </c>
      <c r="B132" s="3" t="s">
        <v>193</v>
      </c>
      <c r="C132" s="3">
        <v>182</v>
      </c>
      <c r="D132" s="12">
        <v>182</v>
      </c>
      <c r="E132" s="12">
        <v>400</v>
      </c>
      <c r="F132" s="12">
        <v>13.5</v>
      </c>
      <c r="G132" s="12">
        <v>13.5</v>
      </c>
      <c r="H132" s="12">
        <v>20</v>
      </c>
      <c r="I132" s="12">
        <v>0</v>
      </c>
      <c r="J132" s="12">
        <v>0</v>
      </c>
      <c r="K132" s="12">
        <v>3941.8414641733416</v>
      </c>
      <c r="L132" s="12">
        <f t="shared" si="7"/>
        <v>12374</v>
      </c>
      <c r="S132" s="12">
        <v>736.90655898703619</v>
      </c>
      <c r="T132" s="12">
        <v>690</v>
      </c>
      <c r="U132" s="12">
        <v>21000</v>
      </c>
      <c r="V132" s="12">
        <f t="shared" si="8"/>
        <v>11.586353650775692</v>
      </c>
      <c r="W132" s="12">
        <v>3.6524000000000001</v>
      </c>
      <c r="AB132" s="12">
        <v>0.60172287236842936</v>
      </c>
      <c r="AC132" s="13">
        <v>0.5</v>
      </c>
      <c r="AE132" s="12" t="s">
        <v>471</v>
      </c>
      <c r="AF132" s="24" t="s">
        <v>34</v>
      </c>
    </row>
    <row r="133" spans="1:32">
      <c r="A133" s="12">
        <v>115</v>
      </c>
      <c r="B133" s="3" t="s">
        <v>194</v>
      </c>
      <c r="C133" s="3">
        <v>183</v>
      </c>
      <c r="D133" s="12">
        <v>183</v>
      </c>
      <c r="E133" s="12">
        <v>400</v>
      </c>
      <c r="F133" s="12">
        <v>13.5</v>
      </c>
      <c r="G133" s="12">
        <v>13.5</v>
      </c>
      <c r="H133" s="12">
        <v>20</v>
      </c>
      <c r="I133" s="12">
        <v>0</v>
      </c>
      <c r="J133" s="12">
        <v>0</v>
      </c>
      <c r="K133" s="12">
        <v>5912.7621962600124</v>
      </c>
      <c r="L133" s="12">
        <f t="shared" si="7"/>
        <v>12401</v>
      </c>
      <c r="S133" s="12">
        <v>373.64091549302623</v>
      </c>
      <c r="T133" s="12">
        <v>690</v>
      </c>
      <c r="U133" s="12">
        <v>21000</v>
      </c>
      <c r="V133" s="12">
        <f t="shared" si="8"/>
        <v>22.900837796924051</v>
      </c>
      <c r="W133" s="12">
        <v>4.1090799999999996</v>
      </c>
      <c r="AB133" s="12">
        <v>0.60172287236842936</v>
      </c>
      <c r="AC133" s="13">
        <v>0.75</v>
      </c>
      <c r="AE133" s="12" t="s">
        <v>472</v>
      </c>
      <c r="AF133" s="24" t="s">
        <v>34</v>
      </c>
    </row>
    <row r="134" spans="1:32">
      <c r="A134" s="12">
        <v>116</v>
      </c>
      <c r="B134" s="3" t="s">
        <v>195</v>
      </c>
      <c r="C134" s="3">
        <v>184</v>
      </c>
      <c r="D134" s="12">
        <v>184</v>
      </c>
      <c r="E134" s="12">
        <v>400</v>
      </c>
      <c r="F134" s="12">
        <v>13.5</v>
      </c>
      <c r="G134" s="12">
        <v>13.5</v>
      </c>
      <c r="H134" s="12">
        <v>20</v>
      </c>
      <c r="I134" s="12">
        <v>0</v>
      </c>
      <c r="J134" s="12">
        <v>0</v>
      </c>
      <c r="K134" s="12">
        <v>7883.6829283466832</v>
      </c>
      <c r="L134" s="12">
        <f t="shared" si="7"/>
        <v>12428</v>
      </c>
      <c r="S134" s="12">
        <v>222.73914852432671</v>
      </c>
      <c r="T134" s="12">
        <v>690</v>
      </c>
      <c r="U134" s="12">
        <v>21000</v>
      </c>
      <c r="V134" s="12">
        <f t="shared" si="8"/>
        <v>38.499383951193636</v>
      </c>
      <c r="W134" s="12">
        <v>4.04704</v>
      </c>
      <c r="AB134" s="12">
        <v>0.60172287236842936</v>
      </c>
      <c r="AC134" s="13">
        <v>1</v>
      </c>
      <c r="AE134" s="12" t="s">
        <v>473</v>
      </c>
      <c r="AF134" s="24" t="s">
        <v>34</v>
      </c>
    </row>
    <row r="135" spans="1:32">
      <c r="A135" s="12">
        <v>117</v>
      </c>
      <c r="B135" s="3" t="s">
        <v>196</v>
      </c>
      <c r="C135" s="3">
        <v>185</v>
      </c>
      <c r="D135" s="12">
        <v>185</v>
      </c>
      <c r="E135" s="12">
        <v>400</v>
      </c>
      <c r="F135" s="12">
        <v>13.5</v>
      </c>
      <c r="G135" s="12">
        <v>13.5</v>
      </c>
      <c r="H135" s="12">
        <v>20</v>
      </c>
      <c r="I135" s="12">
        <v>0</v>
      </c>
      <c r="J135" s="12">
        <v>0</v>
      </c>
      <c r="K135" s="12">
        <v>10485.29829470109</v>
      </c>
      <c r="L135" s="12">
        <f t="shared" si="7"/>
        <v>12455</v>
      </c>
      <c r="S135" s="12">
        <v>131.28361655337187</v>
      </c>
      <c r="T135" s="12">
        <v>690</v>
      </c>
      <c r="U135" s="12">
        <v>21000</v>
      </c>
      <c r="V135" s="12">
        <f t="shared" si="8"/>
        <v>65.460948027023818</v>
      </c>
      <c r="W135" s="12">
        <v>3.9108200000000002</v>
      </c>
      <c r="AB135" s="12">
        <v>0.60172287236842936</v>
      </c>
      <c r="AC135" s="13">
        <v>1.33</v>
      </c>
      <c r="AE135" s="12" t="s">
        <v>474</v>
      </c>
      <c r="AF135" s="24" t="s">
        <v>34</v>
      </c>
    </row>
    <row r="136" spans="1:32">
      <c r="A136" s="12">
        <v>118</v>
      </c>
      <c r="B136" s="3" t="s">
        <v>197</v>
      </c>
      <c r="C136" s="3">
        <v>186</v>
      </c>
      <c r="D136" s="12">
        <v>186</v>
      </c>
      <c r="E136" s="12">
        <v>400</v>
      </c>
      <c r="F136" s="12">
        <v>13.5</v>
      </c>
      <c r="G136" s="12">
        <v>13.5</v>
      </c>
      <c r="H136" s="12">
        <v>20</v>
      </c>
      <c r="I136" s="12">
        <v>0</v>
      </c>
      <c r="J136" s="12">
        <v>0</v>
      </c>
      <c r="K136" s="12">
        <v>13165.75049033896</v>
      </c>
      <c r="L136" s="12">
        <f t="shared" si="7"/>
        <v>12482</v>
      </c>
      <c r="S136" s="12">
        <v>85.509844533093272</v>
      </c>
      <c r="T136" s="12">
        <v>690</v>
      </c>
      <c r="U136" s="12">
        <v>21000</v>
      </c>
      <c r="V136" s="12">
        <f t="shared" si="8"/>
        <v>100.72033281111668</v>
      </c>
      <c r="W136" s="12">
        <v>3.79312</v>
      </c>
      <c r="AB136" s="12">
        <v>0.60172287236842936</v>
      </c>
      <c r="AC136" s="13">
        <v>1.67</v>
      </c>
      <c r="AE136" s="12" t="s">
        <v>475</v>
      </c>
      <c r="AF136" s="24" t="s">
        <v>34</v>
      </c>
    </row>
    <row r="137" spans="1:32">
      <c r="A137" s="12">
        <v>119</v>
      </c>
      <c r="B137" s="3" t="s">
        <v>198</v>
      </c>
      <c r="C137" s="3">
        <v>187</v>
      </c>
      <c r="D137" s="12">
        <v>187</v>
      </c>
      <c r="E137" s="12">
        <v>400</v>
      </c>
      <c r="F137" s="12">
        <v>13.5</v>
      </c>
      <c r="G137" s="12">
        <v>13.5</v>
      </c>
      <c r="H137" s="12">
        <v>20</v>
      </c>
      <c r="I137" s="12">
        <v>0</v>
      </c>
      <c r="J137" s="12">
        <v>0</v>
      </c>
      <c r="K137" s="12">
        <v>15767.365856693366</v>
      </c>
      <c r="L137" s="12">
        <f t="shared" si="7"/>
        <v>12509</v>
      </c>
      <c r="S137" s="12">
        <v>60.72297447910654</v>
      </c>
      <c r="T137" s="12">
        <v>690</v>
      </c>
      <c r="U137" s="12">
        <v>21000</v>
      </c>
      <c r="V137" s="12">
        <f t="shared" si="8"/>
        <v>142.14076425010788</v>
      </c>
      <c r="W137" s="12">
        <v>3.7184699999999999</v>
      </c>
      <c r="AB137" s="12">
        <v>0.60172287236842936</v>
      </c>
      <c r="AC137" s="13">
        <v>2</v>
      </c>
      <c r="AE137" s="12" t="s">
        <v>476</v>
      </c>
      <c r="AF137" s="24" t="s">
        <v>34</v>
      </c>
    </row>
    <row r="138" spans="1:32">
      <c r="A138" s="12">
        <v>120</v>
      </c>
      <c r="B138" s="3" t="s">
        <v>199</v>
      </c>
      <c r="C138" s="3">
        <v>188</v>
      </c>
      <c r="D138" s="12">
        <v>188</v>
      </c>
      <c r="E138" s="12">
        <v>400</v>
      </c>
      <c r="F138" s="12">
        <v>13.5</v>
      </c>
      <c r="G138" s="12">
        <v>13.5</v>
      </c>
      <c r="H138" s="12">
        <v>20</v>
      </c>
      <c r="I138" s="12">
        <v>0</v>
      </c>
      <c r="J138" s="12">
        <v>0</v>
      </c>
      <c r="K138" s="12">
        <v>19709.207320866706</v>
      </c>
      <c r="L138" s="12">
        <f t="shared" si="7"/>
        <v>12536</v>
      </c>
      <c r="S138" s="12">
        <v>39.58953311970631</v>
      </c>
      <c r="T138" s="12">
        <v>690</v>
      </c>
      <c r="U138" s="12">
        <v>21000</v>
      </c>
      <c r="V138" s="12">
        <f t="shared" si="8"/>
        <v>218.48805273468622</v>
      </c>
      <c r="W138" s="12">
        <v>3.64852</v>
      </c>
      <c r="AB138" s="12">
        <v>0.60172287236842936</v>
      </c>
      <c r="AC138" s="13">
        <v>2.5</v>
      </c>
      <c r="AE138" s="12" t="s">
        <v>477</v>
      </c>
      <c r="AF138" s="24" t="s">
        <v>34</v>
      </c>
    </row>
    <row r="139" spans="1:32">
      <c r="A139" s="12">
        <v>121</v>
      </c>
      <c r="B139" s="3" t="s">
        <v>200</v>
      </c>
      <c r="C139" s="3">
        <v>189</v>
      </c>
      <c r="D139" s="12">
        <v>189</v>
      </c>
      <c r="E139" s="12">
        <v>400</v>
      </c>
      <c r="F139" s="12">
        <v>13.5</v>
      </c>
      <c r="G139" s="12">
        <v>13.5</v>
      </c>
      <c r="H139" s="12">
        <v>13.5</v>
      </c>
      <c r="I139" s="12">
        <v>0</v>
      </c>
      <c r="J139" s="12">
        <v>0</v>
      </c>
      <c r="K139" s="12">
        <v>2496.7891738672952</v>
      </c>
      <c r="L139" s="12">
        <f t="shared" si="7"/>
        <v>10138.5</v>
      </c>
      <c r="S139" s="12">
        <v>1535.7609013363685</v>
      </c>
      <c r="T139" s="12">
        <v>690</v>
      </c>
      <c r="U139" s="12">
        <v>21000</v>
      </c>
      <c r="V139" s="12">
        <f t="shared" si="8"/>
        <v>4.5551133603627294</v>
      </c>
      <c r="W139" s="12">
        <v>1.85548</v>
      </c>
      <c r="AB139" s="12">
        <v>0.80762280341764636</v>
      </c>
      <c r="AC139" s="13">
        <v>0.3</v>
      </c>
      <c r="AE139" s="12" t="s">
        <v>478</v>
      </c>
      <c r="AF139" s="23" t="s">
        <v>35</v>
      </c>
    </row>
    <row r="140" spans="1:32">
      <c r="A140" s="12">
        <v>122</v>
      </c>
      <c r="B140" s="3" t="s">
        <v>201</v>
      </c>
      <c r="C140" s="3">
        <v>190</v>
      </c>
      <c r="D140" s="12">
        <v>190</v>
      </c>
      <c r="E140" s="12">
        <v>400</v>
      </c>
      <c r="F140" s="12">
        <v>13.5</v>
      </c>
      <c r="G140" s="12">
        <v>13.5</v>
      </c>
      <c r="H140" s="12">
        <v>13.5</v>
      </c>
      <c r="I140" s="12">
        <v>0</v>
      </c>
      <c r="J140" s="12">
        <v>0</v>
      </c>
      <c r="K140" s="12">
        <v>4161.315289778825</v>
      </c>
      <c r="L140" s="12">
        <f t="shared" si="7"/>
        <v>10165.5</v>
      </c>
      <c r="S140" s="12">
        <v>1031.5507252021018</v>
      </c>
      <c r="T140" s="12">
        <v>690</v>
      </c>
      <c r="U140" s="12">
        <v>21000</v>
      </c>
      <c r="V140" s="12">
        <f t="shared" si="8"/>
        <v>6.7996607715299469</v>
      </c>
      <c r="W140" s="12">
        <v>1.7102999999999999</v>
      </c>
      <c r="AB140" s="12">
        <v>0.80762280341764636</v>
      </c>
      <c r="AC140" s="13">
        <v>0.5</v>
      </c>
      <c r="AE140" s="12" t="s">
        <v>479</v>
      </c>
      <c r="AF140" s="24" t="s">
        <v>34</v>
      </c>
    </row>
    <row r="141" spans="1:32">
      <c r="A141" s="12">
        <v>123</v>
      </c>
      <c r="B141" s="3" t="s">
        <v>202</v>
      </c>
      <c r="C141" s="3">
        <v>191</v>
      </c>
      <c r="D141" s="12">
        <v>191</v>
      </c>
      <c r="E141" s="12">
        <v>400</v>
      </c>
      <c r="F141" s="12">
        <v>13.5</v>
      </c>
      <c r="G141" s="12">
        <v>13.5</v>
      </c>
      <c r="H141" s="12">
        <v>13.5</v>
      </c>
      <c r="I141" s="12">
        <v>0</v>
      </c>
      <c r="J141" s="12">
        <v>0</v>
      </c>
      <c r="K141" s="12">
        <v>6241.9729346682379</v>
      </c>
      <c r="L141" s="12">
        <f t="shared" si="7"/>
        <v>10192.5</v>
      </c>
      <c r="S141" s="12">
        <v>593.66710944396357</v>
      </c>
      <c r="T141" s="12">
        <v>690</v>
      </c>
      <c r="U141" s="12">
        <v>21000</v>
      </c>
      <c r="V141" s="12">
        <f t="shared" si="8"/>
        <v>11.846411714785809</v>
      </c>
      <c r="W141" s="12">
        <v>1.71811</v>
      </c>
      <c r="AB141" s="12">
        <v>0.80762280341764636</v>
      </c>
      <c r="AC141" s="13">
        <v>0.75</v>
      </c>
      <c r="AE141" s="12" t="s">
        <v>480</v>
      </c>
      <c r="AF141" s="24" t="s">
        <v>34</v>
      </c>
    </row>
    <row r="142" spans="1:32">
      <c r="A142" s="12">
        <v>124</v>
      </c>
      <c r="B142" s="3" t="s">
        <v>203</v>
      </c>
      <c r="C142" s="3">
        <v>192</v>
      </c>
      <c r="D142" s="12">
        <v>192</v>
      </c>
      <c r="E142" s="12">
        <v>400</v>
      </c>
      <c r="F142" s="12">
        <v>13.5</v>
      </c>
      <c r="G142" s="12">
        <v>13.5</v>
      </c>
      <c r="H142" s="12">
        <v>13.5</v>
      </c>
      <c r="I142" s="12">
        <v>0</v>
      </c>
      <c r="J142" s="12">
        <v>0</v>
      </c>
      <c r="K142" s="12">
        <v>8322.63057955765</v>
      </c>
      <c r="L142" s="12">
        <f t="shared" si="7"/>
        <v>10219.5</v>
      </c>
      <c r="S142" s="12">
        <v>370.81381104572426</v>
      </c>
      <c r="T142" s="12">
        <v>690</v>
      </c>
      <c r="U142" s="12">
        <v>21000</v>
      </c>
      <c r="V142" s="12">
        <f t="shared" si="8"/>
        <v>19.016160644379291</v>
      </c>
      <c r="W142" s="12">
        <v>1.8220400000000001</v>
      </c>
      <c r="AB142" s="12">
        <v>0.80762280341764636</v>
      </c>
      <c r="AC142" s="13">
        <v>1</v>
      </c>
      <c r="AE142" s="12" t="s">
        <v>481</v>
      </c>
      <c r="AF142" s="24" t="s">
        <v>34</v>
      </c>
    </row>
    <row r="143" spans="1:32">
      <c r="A143" s="12">
        <v>125</v>
      </c>
      <c r="B143" s="3" t="s">
        <v>204</v>
      </c>
      <c r="C143" s="3">
        <v>193</v>
      </c>
      <c r="D143" s="12">
        <v>193</v>
      </c>
      <c r="E143" s="12">
        <v>400</v>
      </c>
      <c r="F143" s="12">
        <v>13.5</v>
      </c>
      <c r="G143" s="12">
        <v>13.5</v>
      </c>
      <c r="H143" s="12">
        <v>13.5</v>
      </c>
      <c r="I143" s="12">
        <v>0</v>
      </c>
      <c r="J143" s="12">
        <v>0</v>
      </c>
      <c r="K143" s="12">
        <v>11069.098670811676</v>
      </c>
      <c r="L143" s="12">
        <f t="shared" si="7"/>
        <v>10246.5</v>
      </c>
      <c r="S143" s="12">
        <v>224.9873846337502</v>
      </c>
      <c r="T143" s="12">
        <v>690</v>
      </c>
      <c r="U143" s="12">
        <v>21000</v>
      </c>
      <c r="V143" s="12">
        <f t="shared" si="8"/>
        <v>31.424361910376295</v>
      </c>
      <c r="W143" s="12">
        <v>1.82263</v>
      </c>
      <c r="AB143" s="12">
        <v>0.80762280341764636</v>
      </c>
      <c r="AC143" s="13">
        <v>1.33</v>
      </c>
      <c r="AE143" s="12" t="s">
        <v>482</v>
      </c>
      <c r="AF143" s="24" t="s">
        <v>34</v>
      </c>
    </row>
    <row r="144" spans="1:32">
      <c r="A144" s="12">
        <v>126</v>
      </c>
      <c r="B144" s="3" t="s">
        <v>205</v>
      </c>
      <c r="C144" s="3">
        <v>194</v>
      </c>
      <c r="D144" s="12">
        <v>194</v>
      </c>
      <c r="E144" s="12">
        <v>400</v>
      </c>
      <c r="F144" s="12">
        <v>13.5</v>
      </c>
      <c r="G144" s="12">
        <v>13.5</v>
      </c>
      <c r="H144" s="12">
        <v>13.5</v>
      </c>
      <c r="I144" s="12">
        <v>0</v>
      </c>
      <c r="J144" s="12">
        <v>0</v>
      </c>
      <c r="K144" s="12">
        <v>13898.793067861276</v>
      </c>
      <c r="L144" s="12">
        <f t="shared" si="7"/>
        <v>10273.5</v>
      </c>
      <c r="S144" s="12">
        <v>149.14511380751941</v>
      </c>
      <c r="T144" s="12">
        <v>690</v>
      </c>
      <c r="U144" s="12">
        <v>21000</v>
      </c>
      <c r="V144" s="12">
        <f t="shared" si="8"/>
        <v>47.52897911994895</v>
      </c>
      <c r="W144" s="12">
        <v>1.7877099999999999</v>
      </c>
      <c r="AB144" s="12">
        <v>0.80762280341764636</v>
      </c>
      <c r="AC144" s="13">
        <v>1.67</v>
      </c>
      <c r="AE144" s="12" t="s">
        <v>483</v>
      </c>
      <c r="AF144" s="24" t="s">
        <v>34</v>
      </c>
    </row>
    <row r="145" spans="1:32">
      <c r="A145" s="12">
        <v>127</v>
      </c>
      <c r="B145" s="3" t="s">
        <v>206</v>
      </c>
      <c r="C145" s="3">
        <v>195</v>
      </c>
      <c r="D145" s="12">
        <v>195</v>
      </c>
      <c r="E145" s="12">
        <v>400</v>
      </c>
      <c r="F145" s="12">
        <v>13.5</v>
      </c>
      <c r="G145" s="12">
        <v>13.5</v>
      </c>
      <c r="H145" s="12">
        <v>13.5</v>
      </c>
      <c r="I145" s="12">
        <v>0</v>
      </c>
      <c r="J145" s="12">
        <v>0</v>
      </c>
      <c r="K145" s="12">
        <v>16645.2611591153</v>
      </c>
      <c r="L145" s="12">
        <f t="shared" si="7"/>
        <v>10300.5</v>
      </c>
      <c r="S145" s="12">
        <v>107.24493740799188</v>
      </c>
      <c r="T145" s="12">
        <v>690</v>
      </c>
      <c r="U145" s="12">
        <v>21000</v>
      </c>
      <c r="V145" s="12">
        <f t="shared" si="8"/>
        <v>66.27207933332582</v>
      </c>
      <c r="W145" s="12">
        <v>1.75691</v>
      </c>
      <c r="AB145" s="12">
        <v>0.80762280341764636</v>
      </c>
      <c r="AC145" s="13">
        <v>2</v>
      </c>
      <c r="AE145" s="12" t="s">
        <v>484</v>
      </c>
      <c r="AF145" s="24" t="s">
        <v>34</v>
      </c>
    </row>
    <row r="146" spans="1:32">
      <c r="A146" s="12">
        <v>128</v>
      </c>
      <c r="B146" s="3" t="s">
        <v>207</v>
      </c>
      <c r="C146" s="3">
        <v>196</v>
      </c>
      <c r="D146" s="12">
        <v>196</v>
      </c>
      <c r="E146" s="12">
        <v>400</v>
      </c>
      <c r="F146" s="12">
        <v>13.5</v>
      </c>
      <c r="G146" s="12">
        <v>13.5</v>
      </c>
      <c r="H146" s="12">
        <v>13.5</v>
      </c>
      <c r="I146" s="12">
        <v>0</v>
      </c>
      <c r="J146" s="12">
        <v>0</v>
      </c>
      <c r="K146" s="12">
        <v>20806.576448894128</v>
      </c>
      <c r="L146" s="12">
        <f t="shared" si="7"/>
        <v>10327.5</v>
      </c>
      <c r="S146" s="12">
        <v>70.787756968910983</v>
      </c>
      <c r="T146" s="12">
        <v>690</v>
      </c>
      <c r="U146" s="12">
        <v>21000</v>
      </c>
      <c r="V146" s="12">
        <f t="shared" si="8"/>
        <v>100.6667721245869</v>
      </c>
      <c r="W146" s="12">
        <v>1.7187699999999999</v>
      </c>
      <c r="AB146" s="12">
        <v>0.80762280341764636</v>
      </c>
      <c r="AC146" s="13">
        <v>2.5</v>
      </c>
      <c r="AE146" s="12" t="s">
        <v>485</v>
      </c>
      <c r="AF146" s="24" t="s">
        <v>34</v>
      </c>
    </row>
    <row r="147" spans="1:32">
      <c r="A147" s="12">
        <v>129</v>
      </c>
      <c r="B147" s="3" t="s">
        <v>208</v>
      </c>
      <c r="C147" s="3">
        <v>197</v>
      </c>
      <c r="D147" s="12">
        <v>197</v>
      </c>
      <c r="E147" s="12">
        <v>400</v>
      </c>
      <c r="F147" s="12">
        <v>13.5</v>
      </c>
      <c r="G147" s="12">
        <v>13.5</v>
      </c>
      <c r="H147" s="12">
        <v>8.6999999999999993</v>
      </c>
      <c r="I147" s="12">
        <v>0</v>
      </c>
      <c r="J147" s="12">
        <v>0</v>
      </c>
      <c r="K147" s="12">
        <v>2636.7802168476705</v>
      </c>
      <c r="L147" s="12">
        <f t="shared" si="7"/>
        <v>8564.1</v>
      </c>
      <c r="S147" s="12">
        <v>1318.7541211929608</v>
      </c>
      <c r="T147" s="12">
        <v>690</v>
      </c>
      <c r="U147" s="12">
        <v>21000</v>
      </c>
      <c r="V147" s="12">
        <f t="shared" si="8"/>
        <v>4.4809179399222963</v>
      </c>
      <c r="W147" s="12">
        <v>1.5432900000000001</v>
      </c>
      <c r="AB147" s="12">
        <v>1.1133153135475653</v>
      </c>
      <c r="AC147" s="13">
        <v>0.3</v>
      </c>
      <c r="AE147" s="12" t="s">
        <v>486</v>
      </c>
      <c r="AF147" s="23" t="s">
        <v>35</v>
      </c>
    </row>
    <row r="148" spans="1:32">
      <c r="A148" s="12">
        <v>130</v>
      </c>
      <c r="B148" s="3" t="s">
        <v>209</v>
      </c>
      <c r="C148" s="3">
        <v>198</v>
      </c>
      <c r="D148" s="12">
        <v>198</v>
      </c>
      <c r="E148" s="12">
        <v>400</v>
      </c>
      <c r="F148" s="12">
        <v>13.5</v>
      </c>
      <c r="G148" s="12">
        <v>13.5</v>
      </c>
      <c r="H148" s="12">
        <v>8.6999999999999993</v>
      </c>
      <c r="I148" s="12">
        <v>0</v>
      </c>
      <c r="J148" s="12">
        <v>0</v>
      </c>
      <c r="K148" s="12">
        <v>4394.6336947461177</v>
      </c>
      <c r="L148" s="12">
        <f t="shared" ref="L148:L211" si="9">2*C148*F148+(E148-2*F148)*H148</f>
        <v>8591.1</v>
      </c>
      <c r="S148" s="12">
        <v>905.52894826718682</v>
      </c>
      <c r="T148" s="12">
        <v>690</v>
      </c>
      <c r="U148" s="12">
        <v>21000</v>
      </c>
      <c r="V148" s="12">
        <f t="shared" ref="V148:V211" si="10">L148*T148/(S148*1000)</f>
        <v>6.5462943082532092</v>
      </c>
      <c r="W148" s="12">
        <v>1.3850899999999999</v>
      </c>
      <c r="AB148" s="12">
        <v>1.1133153135475653</v>
      </c>
      <c r="AC148" s="13">
        <v>0.5</v>
      </c>
      <c r="AE148" s="12" t="s">
        <v>487</v>
      </c>
      <c r="AF148" s="24" t="s">
        <v>34</v>
      </c>
    </row>
    <row r="149" spans="1:32">
      <c r="A149" s="12">
        <v>131</v>
      </c>
      <c r="B149" s="3" t="s">
        <v>210</v>
      </c>
      <c r="C149" s="3">
        <v>199</v>
      </c>
      <c r="D149" s="12">
        <v>199</v>
      </c>
      <c r="E149" s="12">
        <v>400</v>
      </c>
      <c r="F149" s="12">
        <v>13.5</v>
      </c>
      <c r="G149" s="12">
        <v>13.5</v>
      </c>
      <c r="H149" s="12">
        <v>8.6999999999999993</v>
      </c>
      <c r="I149" s="12">
        <v>0</v>
      </c>
      <c r="J149" s="12">
        <v>0</v>
      </c>
      <c r="K149" s="12">
        <v>6591.9505421191761</v>
      </c>
      <c r="L149" s="12">
        <f t="shared" si="9"/>
        <v>8618.1</v>
      </c>
      <c r="S149" s="12">
        <v>529.26544134651681</v>
      </c>
      <c r="T149" s="12">
        <v>690</v>
      </c>
      <c r="U149" s="12">
        <v>21000</v>
      </c>
      <c r="V149" s="12">
        <f t="shared" si="10"/>
        <v>11.235362325700683</v>
      </c>
      <c r="W149" s="12">
        <v>1.3792800000000001</v>
      </c>
      <c r="AB149" s="12">
        <v>1.1133153135475653</v>
      </c>
      <c r="AC149" s="13">
        <v>0.75</v>
      </c>
      <c r="AE149" s="12" t="s">
        <v>488</v>
      </c>
      <c r="AF149" s="24" t="s">
        <v>34</v>
      </c>
    </row>
    <row r="150" spans="1:32">
      <c r="A150" s="12">
        <v>132</v>
      </c>
      <c r="B150" s="3" t="s">
        <v>211</v>
      </c>
      <c r="C150" s="3">
        <v>200</v>
      </c>
      <c r="D150" s="12">
        <v>200</v>
      </c>
      <c r="E150" s="12">
        <v>400</v>
      </c>
      <c r="F150" s="12">
        <v>13.5</v>
      </c>
      <c r="G150" s="12">
        <v>13.5</v>
      </c>
      <c r="H150" s="12">
        <v>8.6999999999999993</v>
      </c>
      <c r="I150" s="12">
        <v>0</v>
      </c>
      <c r="J150" s="12">
        <v>0</v>
      </c>
      <c r="K150" s="12">
        <v>8789.2673894922355</v>
      </c>
      <c r="L150" s="12">
        <f t="shared" si="9"/>
        <v>8645.1</v>
      </c>
      <c r="S150" s="12">
        <v>332.42463927875377</v>
      </c>
      <c r="T150" s="12">
        <v>690</v>
      </c>
      <c r="U150" s="12">
        <v>21000</v>
      </c>
      <c r="V150" s="12">
        <f t="shared" si="10"/>
        <v>17.944274566837887</v>
      </c>
      <c r="W150" s="12">
        <v>1.4751799999999999</v>
      </c>
      <c r="AB150" s="12">
        <v>1.1133153135475653</v>
      </c>
      <c r="AC150" s="13">
        <v>1</v>
      </c>
      <c r="AE150" s="12" t="s">
        <v>489</v>
      </c>
      <c r="AF150" s="24" t="s">
        <v>34</v>
      </c>
    </row>
    <row r="151" spans="1:32">
      <c r="A151" s="12">
        <v>133</v>
      </c>
      <c r="B151" s="3" t="s">
        <v>212</v>
      </c>
      <c r="C151" s="3">
        <v>201</v>
      </c>
      <c r="D151" s="12">
        <v>201</v>
      </c>
      <c r="E151" s="12">
        <v>400</v>
      </c>
      <c r="F151" s="12">
        <v>13.5</v>
      </c>
      <c r="G151" s="12">
        <v>13.5</v>
      </c>
      <c r="H151" s="12">
        <v>8.6999999999999993</v>
      </c>
      <c r="I151" s="12">
        <v>0</v>
      </c>
      <c r="J151" s="12">
        <v>0</v>
      </c>
      <c r="K151" s="12">
        <v>11689.725628024673</v>
      </c>
      <c r="L151" s="12">
        <f t="shared" si="9"/>
        <v>8672.1</v>
      </c>
      <c r="S151" s="12">
        <v>202.296715282587</v>
      </c>
      <c r="T151" s="12">
        <v>690</v>
      </c>
      <c r="U151" s="12">
        <v>21000</v>
      </c>
      <c r="V151" s="12">
        <f t="shared" si="10"/>
        <v>29.57907147252163</v>
      </c>
      <c r="W151" s="12">
        <v>1.5513999999999999</v>
      </c>
      <c r="AB151" s="12">
        <v>1.1133153135475653</v>
      </c>
      <c r="AC151" s="13">
        <v>1.33</v>
      </c>
      <c r="AE151" s="12" t="s">
        <v>490</v>
      </c>
      <c r="AF151" s="24" t="s">
        <v>34</v>
      </c>
    </row>
    <row r="152" spans="1:32">
      <c r="A152" s="12">
        <v>134</v>
      </c>
      <c r="B152" s="3" t="s">
        <v>213</v>
      </c>
      <c r="C152" s="3">
        <v>202</v>
      </c>
      <c r="D152" s="12">
        <v>202</v>
      </c>
      <c r="E152" s="12">
        <v>400</v>
      </c>
      <c r="F152" s="12">
        <v>13.5</v>
      </c>
      <c r="G152" s="12">
        <v>13.5</v>
      </c>
      <c r="H152" s="12">
        <v>8.6999999999999993</v>
      </c>
      <c r="I152" s="12">
        <v>0</v>
      </c>
      <c r="J152" s="12">
        <v>0</v>
      </c>
      <c r="K152" s="12">
        <v>14678.076540452032</v>
      </c>
      <c r="L152" s="12">
        <f t="shared" si="9"/>
        <v>8699.1</v>
      </c>
      <c r="S152" s="12">
        <v>134.29738310693136</v>
      </c>
      <c r="T152" s="12">
        <v>690</v>
      </c>
      <c r="U152" s="12">
        <v>21000</v>
      </c>
      <c r="V152" s="12">
        <f t="shared" si="10"/>
        <v>44.694683255449114</v>
      </c>
      <c r="W152" s="12">
        <v>1.5672299999999999</v>
      </c>
      <c r="AB152" s="12">
        <v>1.1133153135475653</v>
      </c>
      <c r="AC152" s="13">
        <v>1.67</v>
      </c>
      <c r="AE152" s="12" t="s">
        <v>491</v>
      </c>
      <c r="AF152" s="24" t="s">
        <v>34</v>
      </c>
    </row>
    <row r="153" spans="1:32">
      <c r="A153" s="12">
        <v>135</v>
      </c>
      <c r="B153" s="3" t="s">
        <v>214</v>
      </c>
      <c r="C153" s="3">
        <v>203</v>
      </c>
      <c r="D153" s="12">
        <v>203</v>
      </c>
      <c r="E153" s="12">
        <v>400</v>
      </c>
      <c r="F153" s="12">
        <v>13.5</v>
      </c>
      <c r="G153" s="12">
        <v>13.5</v>
      </c>
      <c r="H153" s="12">
        <v>8.6999999999999993</v>
      </c>
      <c r="I153" s="12">
        <v>0</v>
      </c>
      <c r="J153" s="12">
        <v>0</v>
      </c>
      <c r="K153" s="12">
        <v>17578.534778984471</v>
      </c>
      <c r="L153" s="12">
        <f t="shared" si="9"/>
        <v>8726.1</v>
      </c>
      <c r="S153" s="12">
        <v>96.646063791324607</v>
      </c>
      <c r="T153" s="12">
        <v>690</v>
      </c>
      <c r="U153" s="12">
        <v>21000</v>
      </c>
      <c r="V153" s="12">
        <f t="shared" si="10"/>
        <v>62.299578108016789</v>
      </c>
      <c r="W153" s="12">
        <v>1.5628599999999999</v>
      </c>
      <c r="AB153" s="12">
        <v>1.1133153135475653</v>
      </c>
      <c r="AC153" s="13">
        <v>2</v>
      </c>
      <c r="AE153" s="12" t="s">
        <v>492</v>
      </c>
      <c r="AF153" s="24" t="s">
        <v>34</v>
      </c>
    </row>
    <row r="154" spans="1:32">
      <c r="A154" s="12">
        <v>136</v>
      </c>
      <c r="B154" s="3" t="s">
        <v>215</v>
      </c>
      <c r="C154" s="3">
        <v>204</v>
      </c>
      <c r="D154" s="12">
        <v>204</v>
      </c>
      <c r="E154" s="12">
        <v>400</v>
      </c>
      <c r="F154" s="12">
        <v>13.5</v>
      </c>
      <c r="G154" s="12">
        <v>13.5</v>
      </c>
      <c r="H154" s="12">
        <v>8.6999999999999993</v>
      </c>
      <c r="I154" s="12">
        <v>0</v>
      </c>
      <c r="J154" s="12">
        <v>0</v>
      </c>
      <c r="K154" s="12">
        <v>21973.168473730588</v>
      </c>
      <c r="L154" s="12">
        <f t="shared" si="9"/>
        <v>8753.1</v>
      </c>
      <c r="S154" s="12">
        <v>63.839349833232347</v>
      </c>
      <c r="T154" s="12">
        <v>690</v>
      </c>
      <c r="U154" s="12">
        <v>21000</v>
      </c>
      <c r="V154" s="12">
        <f t="shared" si="10"/>
        <v>94.606837566130608</v>
      </c>
      <c r="W154" s="12">
        <v>1.5506200000000001</v>
      </c>
      <c r="AB154" s="12">
        <v>1.1133153135475653</v>
      </c>
      <c r="AC154" s="13">
        <v>2.5</v>
      </c>
      <c r="AE154" s="12" t="s">
        <v>493</v>
      </c>
      <c r="AF154" s="24" t="s">
        <v>34</v>
      </c>
    </row>
    <row r="155" spans="1:32">
      <c r="A155" s="12">
        <v>137</v>
      </c>
      <c r="B155" s="3" t="s">
        <v>216</v>
      </c>
      <c r="C155" s="3">
        <v>205</v>
      </c>
      <c r="D155" s="12">
        <v>205</v>
      </c>
      <c r="E155" s="12">
        <v>400</v>
      </c>
      <c r="F155" s="12">
        <v>13.5</v>
      </c>
      <c r="G155" s="12">
        <v>13.5</v>
      </c>
      <c r="H155" s="12">
        <v>6.2</v>
      </c>
      <c r="I155" s="12">
        <v>0</v>
      </c>
      <c r="J155" s="12">
        <v>0</v>
      </c>
      <c r="K155" s="12">
        <v>2732.9474950446765</v>
      </c>
      <c r="L155" s="12">
        <f t="shared" si="9"/>
        <v>7847.6</v>
      </c>
      <c r="S155" s="12">
        <v>1222.6866236377998</v>
      </c>
      <c r="T155" s="12">
        <v>690</v>
      </c>
      <c r="U155" s="12">
        <v>21000</v>
      </c>
      <c r="V155" s="12">
        <f t="shared" si="10"/>
        <v>4.4286441802147785</v>
      </c>
      <c r="W155" s="12">
        <v>1.2775700000000001</v>
      </c>
      <c r="AB155" s="12">
        <v>1.5137471488237149</v>
      </c>
      <c r="AC155" s="13">
        <v>0.3</v>
      </c>
      <c r="AE155" s="12" t="s">
        <v>494</v>
      </c>
      <c r="AF155" s="24" t="s">
        <v>34</v>
      </c>
    </row>
    <row r="156" spans="1:32">
      <c r="A156" s="12">
        <v>138</v>
      </c>
      <c r="B156" s="3" t="s">
        <v>217</v>
      </c>
      <c r="C156" s="3">
        <v>206</v>
      </c>
      <c r="D156" s="12">
        <v>206</v>
      </c>
      <c r="E156" s="12">
        <v>400</v>
      </c>
      <c r="F156" s="12">
        <v>13.5</v>
      </c>
      <c r="G156" s="12">
        <v>13.5</v>
      </c>
      <c r="H156" s="12">
        <v>6.2</v>
      </c>
      <c r="I156" s="12">
        <v>0</v>
      </c>
      <c r="J156" s="12">
        <v>0</v>
      </c>
      <c r="K156" s="12">
        <v>4554.9124917411273</v>
      </c>
      <c r="L156" s="12">
        <f t="shared" si="9"/>
        <v>7874.6</v>
      </c>
      <c r="S156" s="12">
        <v>853.16358892955691</v>
      </c>
      <c r="T156" s="12">
        <v>690</v>
      </c>
      <c r="U156" s="12">
        <v>21000</v>
      </c>
      <c r="V156" s="12">
        <f t="shared" si="10"/>
        <v>6.3686191845308873</v>
      </c>
      <c r="W156" s="12">
        <v>1.1725099999999999</v>
      </c>
      <c r="AB156" s="12">
        <v>1.5137471488237149</v>
      </c>
      <c r="AC156" s="13">
        <v>0.5</v>
      </c>
      <c r="AE156" s="12" t="s">
        <v>495</v>
      </c>
      <c r="AF156" s="24" t="s">
        <v>34</v>
      </c>
    </row>
    <row r="157" spans="1:32">
      <c r="A157" s="12">
        <v>139</v>
      </c>
      <c r="B157" s="3" t="s">
        <v>218</v>
      </c>
      <c r="C157" s="3">
        <v>207</v>
      </c>
      <c r="D157" s="12">
        <v>207</v>
      </c>
      <c r="E157" s="12">
        <v>400</v>
      </c>
      <c r="F157" s="12">
        <v>13.5</v>
      </c>
      <c r="G157" s="12">
        <v>13.5</v>
      </c>
      <c r="H157" s="12">
        <v>6.2</v>
      </c>
      <c r="I157" s="12">
        <v>0</v>
      </c>
      <c r="J157" s="12">
        <v>0</v>
      </c>
      <c r="K157" s="12">
        <v>6832.3687376116914</v>
      </c>
      <c r="L157" s="12">
        <f t="shared" si="9"/>
        <v>7901.6</v>
      </c>
      <c r="S157" s="12">
        <v>504.70876539475751</v>
      </c>
      <c r="T157" s="12">
        <v>690</v>
      </c>
      <c r="U157" s="12">
        <v>21000</v>
      </c>
      <c r="V157" s="12">
        <f t="shared" si="10"/>
        <v>10.802475355734394</v>
      </c>
      <c r="W157" s="12">
        <v>1.1992700000000001</v>
      </c>
      <c r="AB157" s="12">
        <v>1.5137471488237149</v>
      </c>
      <c r="AC157" s="13">
        <v>0.75</v>
      </c>
      <c r="AE157" s="12" t="s">
        <v>496</v>
      </c>
      <c r="AF157" s="24" t="s">
        <v>34</v>
      </c>
    </row>
    <row r="158" spans="1:32">
      <c r="A158" s="12">
        <v>140</v>
      </c>
      <c r="B158" s="3" t="s">
        <v>219</v>
      </c>
      <c r="C158" s="3">
        <v>208</v>
      </c>
      <c r="D158" s="12">
        <v>208</v>
      </c>
      <c r="E158" s="12">
        <v>400</v>
      </c>
      <c r="F158" s="12">
        <v>13.5</v>
      </c>
      <c r="G158" s="12">
        <v>13.5</v>
      </c>
      <c r="H158" s="12">
        <v>6.2</v>
      </c>
      <c r="I158" s="12">
        <v>0</v>
      </c>
      <c r="J158" s="12">
        <v>0</v>
      </c>
      <c r="K158" s="12">
        <v>9109.8249834822545</v>
      </c>
      <c r="L158" s="12">
        <f t="shared" si="9"/>
        <v>7928.6</v>
      </c>
      <c r="S158" s="12">
        <v>318.38334225983135</v>
      </c>
      <c r="T158" s="12">
        <v>690</v>
      </c>
      <c r="U158" s="12">
        <v>21000</v>
      </c>
      <c r="V158" s="12">
        <f t="shared" si="10"/>
        <v>17.182852473278441</v>
      </c>
      <c r="W158" s="12">
        <v>1.2953300000000001</v>
      </c>
      <c r="AB158" s="12">
        <v>1.5137471488237149</v>
      </c>
      <c r="AC158" s="13">
        <v>1</v>
      </c>
      <c r="AE158" s="12" t="s">
        <v>497</v>
      </c>
      <c r="AF158" s="24" t="s">
        <v>34</v>
      </c>
    </row>
    <row r="159" spans="1:32">
      <c r="A159" s="12">
        <v>141</v>
      </c>
      <c r="B159" s="3" t="s">
        <v>220</v>
      </c>
      <c r="C159" s="3">
        <v>209</v>
      </c>
      <c r="D159" s="12">
        <v>209</v>
      </c>
      <c r="E159" s="12">
        <v>400</v>
      </c>
      <c r="F159" s="12">
        <v>13.5</v>
      </c>
      <c r="G159" s="12">
        <v>13.5</v>
      </c>
      <c r="H159" s="12">
        <v>6.2</v>
      </c>
      <c r="I159" s="12">
        <v>0</v>
      </c>
      <c r="J159" s="12">
        <v>0</v>
      </c>
      <c r="K159" s="12">
        <v>12116.067228031401</v>
      </c>
      <c r="L159" s="12">
        <f t="shared" si="9"/>
        <v>7955.6</v>
      </c>
      <c r="S159" s="12">
        <v>194.19349948235757</v>
      </c>
      <c r="T159" s="12">
        <v>690</v>
      </c>
      <c r="U159" s="12">
        <v>21000</v>
      </c>
      <c r="V159" s="12">
        <f t="shared" si="10"/>
        <v>28.267496155290758</v>
      </c>
      <c r="W159" s="12">
        <v>1.4013199999999999</v>
      </c>
      <c r="AB159" s="12">
        <v>1.5137471488237149</v>
      </c>
      <c r="AC159" s="13">
        <v>1.33</v>
      </c>
      <c r="AE159" s="12" t="s">
        <v>498</v>
      </c>
      <c r="AF159" s="24" t="s">
        <v>34</v>
      </c>
    </row>
    <row r="160" spans="1:32">
      <c r="A160" s="12">
        <v>142</v>
      </c>
      <c r="B160" s="3" t="s">
        <v>221</v>
      </c>
      <c r="C160" s="3">
        <v>210</v>
      </c>
      <c r="D160" s="12">
        <v>210</v>
      </c>
      <c r="E160" s="12">
        <v>400</v>
      </c>
      <c r="F160" s="12">
        <v>13.5</v>
      </c>
      <c r="G160" s="12">
        <v>13.5</v>
      </c>
      <c r="H160" s="12">
        <v>6.2</v>
      </c>
      <c r="I160" s="12">
        <v>0</v>
      </c>
      <c r="J160" s="12">
        <v>0</v>
      </c>
      <c r="K160" s="12">
        <v>15213.407722415364</v>
      </c>
      <c r="L160" s="12">
        <f t="shared" si="9"/>
        <v>7982.6</v>
      </c>
      <c r="S160" s="12">
        <v>129.05226742446766</v>
      </c>
      <c r="T160" s="12">
        <v>690</v>
      </c>
      <c r="U160" s="12">
        <v>21000</v>
      </c>
      <c r="V160" s="12">
        <f t="shared" si="10"/>
        <v>42.680334952066964</v>
      </c>
      <c r="W160" s="12">
        <v>1.4357599999999999</v>
      </c>
      <c r="AB160" s="12">
        <v>1.5137471488237149</v>
      </c>
      <c r="AC160" s="13">
        <v>1.67</v>
      </c>
      <c r="AE160" s="12" t="s">
        <v>499</v>
      </c>
      <c r="AF160" s="24" t="s">
        <v>34</v>
      </c>
    </row>
    <row r="161" spans="1:32">
      <c r="A161" s="12">
        <v>143</v>
      </c>
      <c r="B161" s="3" t="s">
        <v>222</v>
      </c>
      <c r="C161" s="3">
        <v>211</v>
      </c>
      <c r="D161" s="12">
        <v>211</v>
      </c>
      <c r="E161" s="12">
        <v>400</v>
      </c>
      <c r="F161" s="12">
        <v>13.5</v>
      </c>
      <c r="G161" s="12">
        <v>13.5</v>
      </c>
      <c r="H161" s="12">
        <v>6.2</v>
      </c>
      <c r="I161" s="12">
        <v>0</v>
      </c>
      <c r="J161" s="12">
        <v>0</v>
      </c>
      <c r="K161" s="12">
        <v>18219.649966964509</v>
      </c>
      <c r="L161" s="12">
        <f t="shared" si="9"/>
        <v>8009.6</v>
      </c>
      <c r="S161" s="12">
        <v>92.920548225951705</v>
      </c>
      <c r="T161" s="12">
        <v>690</v>
      </c>
      <c r="U161" s="12">
        <v>21000</v>
      </c>
      <c r="V161" s="12">
        <f t="shared" si="10"/>
        <v>59.476876810510184</v>
      </c>
      <c r="W161" s="12">
        <v>1.4408399999999999</v>
      </c>
      <c r="AB161" s="12">
        <v>1.5137471488237149</v>
      </c>
      <c r="AC161" s="13">
        <v>2</v>
      </c>
      <c r="AE161" s="12" t="s">
        <v>500</v>
      </c>
      <c r="AF161" s="24" t="s">
        <v>34</v>
      </c>
    </row>
    <row r="162" spans="1:32">
      <c r="A162" s="12">
        <v>144</v>
      </c>
      <c r="B162" s="3" t="s">
        <v>223</v>
      </c>
      <c r="C162" s="3">
        <v>212</v>
      </c>
      <c r="D162" s="12">
        <v>212</v>
      </c>
      <c r="E162" s="12">
        <v>400</v>
      </c>
      <c r="F162" s="12">
        <v>13.5</v>
      </c>
      <c r="G162" s="12">
        <v>13.5</v>
      </c>
      <c r="H162" s="12">
        <v>6.2</v>
      </c>
      <c r="I162" s="12">
        <v>0</v>
      </c>
      <c r="J162" s="12">
        <v>0</v>
      </c>
      <c r="K162" s="12">
        <v>22774.562458705637</v>
      </c>
      <c r="L162" s="12">
        <f t="shared" si="9"/>
        <v>8036.6</v>
      </c>
      <c r="S162" s="12">
        <v>61.407827157187548</v>
      </c>
      <c r="T162" s="12">
        <v>690</v>
      </c>
      <c r="U162" s="12">
        <v>21000</v>
      </c>
      <c r="V162" s="12">
        <f t="shared" si="10"/>
        <v>90.302071522668257</v>
      </c>
      <c r="W162" s="12">
        <v>1.43726</v>
      </c>
      <c r="AB162" s="12">
        <v>1.5137471488237149</v>
      </c>
      <c r="AC162" s="13">
        <v>2.5</v>
      </c>
      <c r="AE162" s="12" t="s">
        <v>501</v>
      </c>
      <c r="AF162" s="24" t="s">
        <v>34</v>
      </c>
    </row>
    <row r="163" spans="1:32">
      <c r="A163" s="12">
        <v>145</v>
      </c>
      <c r="B163" s="3" t="s">
        <v>224</v>
      </c>
      <c r="C163" s="3">
        <v>300</v>
      </c>
      <c r="D163" s="12">
        <v>300</v>
      </c>
      <c r="E163" s="12">
        <v>300</v>
      </c>
      <c r="F163" s="12">
        <v>34.200000000000003</v>
      </c>
      <c r="G163" s="12">
        <v>34.200000000000003</v>
      </c>
      <c r="H163" s="12">
        <v>19.8</v>
      </c>
      <c r="I163" s="12">
        <v>0</v>
      </c>
      <c r="J163" s="12">
        <v>0</v>
      </c>
      <c r="K163" s="12">
        <v>1985.3660890218691</v>
      </c>
      <c r="L163" s="12">
        <f t="shared" si="9"/>
        <v>25105.68</v>
      </c>
      <c r="S163" s="12">
        <v>2892.7933638802801</v>
      </c>
      <c r="T163" s="12">
        <v>690</v>
      </c>
      <c r="U163" s="12">
        <v>21000</v>
      </c>
      <c r="V163" s="12">
        <f t="shared" si="10"/>
        <v>5.9883016244076668</v>
      </c>
      <c r="W163" s="12">
        <v>3.8917099999999998</v>
      </c>
      <c r="AB163" s="12">
        <v>0.35499999999999998</v>
      </c>
      <c r="AC163" s="13">
        <v>0.3</v>
      </c>
      <c r="AE163" s="12" t="s">
        <v>502</v>
      </c>
      <c r="AF163" s="23" t="s">
        <v>35</v>
      </c>
    </row>
    <row r="164" spans="1:32">
      <c r="A164" s="12">
        <v>146</v>
      </c>
      <c r="B164" s="3" t="s">
        <v>225</v>
      </c>
      <c r="C164" s="3">
        <v>300</v>
      </c>
      <c r="D164" s="12">
        <v>300</v>
      </c>
      <c r="E164" s="12">
        <v>300</v>
      </c>
      <c r="F164" s="12">
        <v>34.200000000000003</v>
      </c>
      <c r="G164" s="12">
        <v>34.200000000000003</v>
      </c>
      <c r="H164" s="12">
        <v>19.8</v>
      </c>
      <c r="I164" s="12">
        <v>0</v>
      </c>
      <c r="J164" s="12">
        <v>0</v>
      </c>
      <c r="K164" s="12">
        <v>3308.9434817031151</v>
      </c>
      <c r="L164" s="12">
        <f t="shared" si="9"/>
        <v>25105.68</v>
      </c>
      <c r="S164" s="12">
        <v>1491.4598897631529</v>
      </c>
      <c r="T164" s="12">
        <v>690</v>
      </c>
      <c r="U164" s="12">
        <v>21000</v>
      </c>
      <c r="V164" s="12">
        <f t="shared" si="10"/>
        <v>11.61474024135568</v>
      </c>
      <c r="W164" s="12">
        <v>4.2050400000000003</v>
      </c>
      <c r="AB164" s="12">
        <v>0.35499999999999998</v>
      </c>
      <c r="AC164" s="13">
        <v>0.5</v>
      </c>
      <c r="AE164" s="12" t="s">
        <v>503</v>
      </c>
      <c r="AF164" s="24" t="s">
        <v>34</v>
      </c>
    </row>
    <row r="165" spans="1:32">
      <c r="A165" s="12">
        <v>147</v>
      </c>
      <c r="B165" s="3" t="s">
        <v>226</v>
      </c>
      <c r="C165" s="3">
        <v>300</v>
      </c>
      <c r="D165" s="12">
        <v>300</v>
      </c>
      <c r="E165" s="12">
        <v>300</v>
      </c>
      <c r="F165" s="12">
        <v>34.200000000000003</v>
      </c>
      <c r="G165" s="12">
        <v>34.200000000000003</v>
      </c>
      <c r="H165" s="12">
        <v>19.8</v>
      </c>
      <c r="I165" s="12">
        <v>0</v>
      </c>
      <c r="J165" s="12">
        <v>0</v>
      </c>
      <c r="K165" s="12">
        <v>4963.4152225546732</v>
      </c>
      <c r="L165" s="12">
        <f t="shared" si="9"/>
        <v>25105.68</v>
      </c>
      <c r="S165" s="12">
        <v>753.30612284235156</v>
      </c>
      <c r="T165" s="12">
        <v>690</v>
      </c>
      <c r="U165" s="12">
        <v>21000</v>
      </c>
      <c r="V165" s="12">
        <f t="shared" si="10"/>
        <v>22.99585609982525</v>
      </c>
      <c r="W165" s="12">
        <v>4.0558800000000002</v>
      </c>
      <c r="AB165" s="12">
        <v>0.35499999999999998</v>
      </c>
      <c r="AC165" s="13">
        <v>0.75</v>
      </c>
      <c r="AE165" s="12" t="s">
        <v>504</v>
      </c>
      <c r="AF165" s="24" t="s">
        <v>34</v>
      </c>
    </row>
    <row r="166" spans="1:32">
      <c r="A166" s="12">
        <v>148</v>
      </c>
      <c r="B166" s="3" t="s">
        <v>227</v>
      </c>
      <c r="C166" s="3">
        <v>300</v>
      </c>
      <c r="D166" s="12">
        <v>300</v>
      </c>
      <c r="E166" s="12">
        <v>300</v>
      </c>
      <c r="F166" s="12">
        <v>34.200000000000003</v>
      </c>
      <c r="G166" s="12">
        <v>34.200000000000003</v>
      </c>
      <c r="H166" s="12">
        <v>19.8</v>
      </c>
      <c r="I166" s="12">
        <v>0</v>
      </c>
      <c r="J166" s="12">
        <v>0</v>
      </c>
      <c r="K166" s="12">
        <v>6617.8869634062303</v>
      </c>
      <c r="L166" s="12">
        <f t="shared" si="9"/>
        <v>25105.68</v>
      </c>
      <c r="S166" s="12">
        <v>447.38441197646364</v>
      </c>
      <c r="T166" s="12">
        <v>690</v>
      </c>
      <c r="U166" s="12">
        <v>21000</v>
      </c>
      <c r="V166" s="12">
        <f t="shared" si="10"/>
        <v>38.720435348809914</v>
      </c>
      <c r="W166" s="12">
        <v>3.9502600000000001</v>
      </c>
      <c r="AB166" s="12">
        <v>0.35499999999999998</v>
      </c>
      <c r="AC166" s="13">
        <v>1</v>
      </c>
      <c r="AE166" s="12" t="s">
        <v>505</v>
      </c>
      <c r="AF166" s="24" t="s">
        <v>34</v>
      </c>
    </row>
    <row r="167" spans="1:32">
      <c r="A167" s="12">
        <v>149</v>
      </c>
      <c r="B167" s="3" t="s">
        <v>228</v>
      </c>
      <c r="C167" s="3">
        <v>300</v>
      </c>
      <c r="D167" s="12">
        <v>300</v>
      </c>
      <c r="E167" s="12">
        <v>300</v>
      </c>
      <c r="F167" s="12">
        <v>34.200000000000003</v>
      </c>
      <c r="G167" s="12">
        <v>34.200000000000003</v>
      </c>
      <c r="H167" s="12">
        <v>19.8</v>
      </c>
      <c r="I167" s="12">
        <v>0</v>
      </c>
      <c r="J167" s="12">
        <v>0</v>
      </c>
      <c r="K167" s="12">
        <v>8801.7896613302873</v>
      </c>
      <c r="L167" s="12">
        <f t="shared" si="9"/>
        <v>25105.68</v>
      </c>
      <c r="S167" s="12">
        <v>262.70404619781254</v>
      </c>
      <c r="T167" s="12">
        <v>690</v>
      </c>
      <c r="U167" s="12">
        <v>21000</v>
      </c>
      <c r="V167" s="12">
        <f t="shared" si="10"/>
        <v>65.940816103593917</v>
      </c>
      <c r="W167" s="12">
        <v>3.8227000000000002</v>
      </c>
      <c r="AB167" s="12">
        <v>0.35499999999999998</v>
      </c>
      <c r="AC167" s="13">
        <v>1.33</v>
      </c>
      <c r="AE167" s="12" t="s">
        <v>506</v>
      </c>
      <c r="AF167" s="24" t="s">
        <v>34</v>
      </c>
    </row>
    <row r="168" spans="1:32">
      <c r="A168" s="12">
        <v>150</v>
      </c>
      <c r="B168" s="3" t="s">
        <v>229</v>
      </c>
      <c r="C168" s="3">
        <v>300</v>
      </c>
      <c r="D168" s="12">
        <v>300</v>
      </c>
      <c r="E168" s="12">
        <v>300</v>
      </c>
      <c r="F168" s="12">
        <v>34.200000000000003</v>
      </c>
      <c r="G168" s="12">
        <v>34.200000000000003</v>
      </c>
      <c r="H168" s="12">
        <v>19.8</v>
      </c>
      <c r="I168" s="12">
        <v>0</v>
      </c>
      <c r="J168" s="12">
        <v>0</v>
      </c>
      <c r="K168" s="12">
        <v>11051.871228888403</v>
      </c>
      <c r="L168" s="12">
        <f t="shared" si="9"/>
        <v>25105.68</v>
      </c>
      <c r="S168" s="12">
        <v>170.47478204856543</v>
      </c>
      <c r="T168" s="12">
        <v>690</v>
      </c>
      <c r="U168" s="12">
        <v>21000</v>
      </c>
      <c r="V168" s="12">
        <f t="shared" si="10"/>
        <v>101.61572868334854</v>
      </c>
      <c r="W168" s="12">
        <v>3.7314799999999999</v>
      </c>
      <c r="AB168" s="12">
        <v>0.35499999999999998</v>
      </c>
      <c r="AC168" s="13">
        <v>1.67</v>
      </c>
      <c r="AE168" s="12" t="s">
        <v>507</v>
      </c>
      <c r="AF168" s="24" t="s">
        <v>34</v>
      </c>
    </row>
    <row r="169" spans="1:32">
      <c r="A169" s="12">
        <v>151</v>
      </c>
      <c r="B169" s="3" t="s">
        <v>230</v>
      </c>
      <c r="C169" s="3">
        <v>300</v>
      </c>
      <c r="D169" s="12">
        <v>300</v>
      </c>
      <c r="E169" s="12">
        <v>300</v>
      </c>
      <c r="F169" s="12">
        <v>34.200000000000003</v>
      </c>
      <c r="G169" s="12">
        <v>34.200000000000003</v>
      </c>
      <c r="H169" s="12">
        <v>19.8</v>
      </c>
      <c r="I169" s="12">
        <v>0</v>
      </c>
      <c r="J169" s="12">
        <v>0</v>
      </c>
      <c r="K169" s="12">
        <v>13235.773926812461</v>
      </c>
      <c r="L169" s="12">
        <f t="shared" si="9"/>
        <v>25105.68</v>
      </c>
      <c r="S169" s="12">
        <v>120.61362807306482</v>
      </c>
      <c r="T169" s="12">
        <v>690</v>
      </c>
      <c r="U169" s="12">
        <v>21000</v>
      </c>
      <c r="V169" s="12">
        <f t="shared" si="10"/>
        <v>143.62323293605093</v>
      </c>
      <c r="W169" s="12">
        <v>3.6713900000000002</v>
      </c>
      <c r="AB169" s="12">
        <v>0.35499999999999998</v>
      </c>
      <c r="AC169" s="13">
        <v>2</v>
      </c>
      <c r="AE169" s="12" t="s">
        <v>508</v>
      </c>
      <c r="AF169" s="24" t="s">
        <v>34</v>
      </c>
    </row>
    <row r="170" spans="1:32">
      <c r="A170" s="12">
        <v>152</v>
      </c>
      <c r="B170" s="3" t="s">
        <v>231</v>
      </c>
      <c r="C170" s="3">
        <v>300</v>
      </c>
      <c r="D170" s="12">
        <v>300</v>
      </c>
      <c r="E170" s="12">
        <v>300</v>
      </c>
      <c r="F170" s="12">
        <v>34.200000000000003</v>
      </c>
      <c r="G170" s="12">
        <v>34.200000000000003</v>
      </c>
      <c r="H170" s="12">
        <v>19.8</v>
      </c>
      <c r="I170" s="12">
        <v>0</v>
      </c>
      <c r="J170" s="12">
        <v>0</v>
      </c>
      <c r="K170" s="12">
        <v>16544.717408515575</v>
      </c>
      <c r="L170" s="12">
        <f t="shared" si="9"/>
        <v>25105.68</v>
      </c>
      <c r="S170" s="12">
        <v>78.346473887813318</v>
      </c>
      <c r="T170" s="12">
        <v>690</v>
      </c>
      <c r="U170" s="12">
        <v>21000</v>
      </c>
      <c r="V170" s="12">
        <f t="shared" si="10"/>
        <v>221.10655834754235</v>
      </c>
      <c r="W170" s="12">
        <v>3.6134900000000001</v>
      </c>
      <c r="AB170" s="12">
        <v>0.35499999999999998</v>
      </c>
      <c r="AC170" s="13">
        <v>2.5</v>
      </c>
      <c r="AE170" s="12" t="s">
        <v>509</v>
      </c>
      <c r="AF170" s="24" t="s">
        <v>34</v>
      </c>
    </row>
    <row r="171" spans="1:32">
      <c r="A171" s="12">
        <v>153</v>
      </c>
      <c r="B171" s="3" t="s">
        <v>232</v>
      </c>
      <c r="C171" s="3">
        <v>300</v>
      </c>
      <c r="D171" s="12">
        <v>300</v>
      </c>
      <c r="E171" s="12">
        <v>300</v>
      </c>
      <c r="F171" s="12">
        <v>24.32</v>
      </c>
      <c r="G171" s="12">
        <v>24.32</v>
      </c>
      <c r="H171" s="12">
        <v>14.08</v>
      </c>
      <c r="I171" s="12">
        <v>0</v>
      </c>
      <c r="J171" s="12">
        <v>0</v>
      </c>
      <c r="K171" s="12">
        <v>2050.7281970154818</v>
      </c>
      <c r="L171" s="12">
        <f t="shared" si="9"/>
        <v>18131.148799999999</v>
      </c>
      <c r="S171" s="12">
        <v>2089.1553994221986</v>
      </c>
      <c r="T171" s="12">
        <v>690</v>
      </c>
      <c r="U171" s="12">
        <v>21000</v>
      </c>
      <c r="V171" s="12">
        <f t="shared" si="10"/>
        <v>5.9883016244076668</v>
      </c>
      <c r="W171" s="12">
        <v>2.7638099999999999</v>
      </c>
      <c r="AB171" s="12">
        <v>0.50316512905442312</v>
      </c>
      <c r="AC171" s="13">
        <v>0.3</v>
      </c>
      <c r="AE171" s="12" t="s">
        <v>510</v>
      </c>
      <c r="AF171" s="23" t="s">
        <v>35</v>
      </c>
    </row>
    <row r="172" spans="1:32">
      <c r="A172" s="12">
        <v>154</v>
      </c>
      <c r="B172" s="3" t="s">
        <v>233</v>
      </c>
      <c r="C172" s="3">
        <v>300</v>
      </c>
      <c r="D172" s="12">
        <v>300</v>
      </c>
      <c r="E172" s="12">
        <v>300</v>
      </c>
      <c r="F172" s="12">
        <v>24.32</v>
      </c>
      <c r="G172" s="12">
        <v>24.32</v>
      </c>
      <c r="H172" s="12">
        <v>14.08</v>
      </c>
      <c r="I172" s="12">
        <v>0</v>
      </c>
      <c r="J172" s="12">
        <v>0</v>
      </c>
      <c r="K172" s="12">
        <v>3417.8803283591365</v>
      </c>
      <c r="L172" s="12">
        <f t="shared" si="9"/>
        <v>18131.148799999999</v>
      </c>
      <c r="S172" s="12">
        <v>1077.1220373448286</v>
      </c>
      <c r="T172" s="12">
        <v>690</v>
      </c>
      <c r="U172" s="12">
        <v>21000</v>
      </c>
      <c r="V172" s="12">
        <f t="shared" si="10"/>
        <v>11.614740241355683</v>
      </c>
      <c r="W172" s="12">
        <v>3.2825099999999998</v>
      </c>
      <c r="AB172" s="12">
        <v>0.50316512905442312</v>
      </c>
      <c r="AC172" s="13">
        <v>0.5</v>
      </c>
      <c r="AE172" s="12" t="s">
        <v>511</v>
      </c>
      <c r="AF172" s="24" t="s">
        <v>34</v>
      </c>
    </row>
    <row r="173" spans="1:32">
      <c r="A173" s="12">
        <v>155</v>
      </c>
      <c r="B173" s="3" t="s">
        <v>234</v>
      </c>
      <c r="C173" s="3">
        <v>300</v>
      </c>
      <c r="D173" s="12">
        <v>300</v>
      </c>
      <c r="E173" s="12">
        <v>300</v>
      </c>
      <c r="F173" s="12">
        <v>24.32</v>
      </c>
      <c r="G173" s="12">
        <v>24.32</v>
      </c>
      <c r="H173" s="12">
        <v>14.08</v>
      </c>
      <c r="I173" s="12">
        <v>0</v>
      </c>
      <c r="J173" s="12">
        <v>0</v>
      </c>
      <c r="K173" s="12">
        <v>5126.8204925387045</v>
      </c>
      <c r="L173" s="12">
        <f t="shared" si="9"/>
        <v>18131.148799999999</v>
      </c>
      <c r="S173" s="12">
        <v>544.03248209989772</v>
      </c>
      <c r="T173" s="12">
        <v>690</v>
      </c>
      <c r="U173" s="12">
        <v>21000</v>
      </c>
      <c r="V173" s="12">
        <f t="shared" si="10"/>
        <v>22.995856099825243</v>
      </c>
      <c r="W173" s="12">
        <v>3.7800600000000002</v>
      </c>
      <c r="AB173" s="12">
        <v>0.50316512905442312</v>
      </c>
      <c r="AC173" s="13">
        <v>0.75</v>
      </c>
      <c r="AE173" s="12" t="s">
        <v>512</v>
      </c>
      <c r="AF173" s="24" t="s">
        <v>34</v>
      </c>
    </row>
    <row r="174" spans="1:32">
      <c r="A174" s="12">
        <v>156</v>
      </c>
      <c r="B174" s="3" t="s">
        <v>235</v>
      </c>
      <c r="C174" s="3">
        <v>300</v>
      </c>
      <c r="D174" s="12">
        <v>300</v>
      </c>
      <c r="E174" s="12">
        <v>300</v>
      </c>
      <c r="F174" s="12">
        <v>24.32</v>
      </c>
      <c r="G174" s="12">
        <v>24.32</v>
      </c>
      <c r="H174" s="12">
        <v>14.08</v>
      </c>
      <c r="I174" s="12">
        <v>0</v>
      </c>
      <c r="J174" s="12">
        <v>0</v>
      </c>
      <c r="K174" s="12">
        <v>6835.7606567182729</v>
      </c>
      <c r="L174" s="12">
        <f t="shared" si="9"/>
        <v>18131.148799999999</v>
      </c>
      <c r="S174" s="12">
        <v>323.09793418643761</v>
      </c>
      <c r="T174" s="12">
        <v>690</v>
      </c>
      <c r="U174" s="12">
        <v>21000</v>
      </c>
      <c r="V174" s="12">
        <f t="shared" si="10"/>
        <v>38.720435348809922</v>
      </c>
      <c r="W174" s="12">
        <v>3.8143500000000001</v>
      </c>
      <c r="AB174" s="12">
        <v>0.50316512905442312</v>
      </c>
      <c r="AC174" s="13">
        <v>1</v>
      </c>
      <c r="AE174" s="12" t="s">
        <v>513</v>
      </c>
      <c r="AF174" s="24" t="s">
        <v>34</v>
      </c>
    </row>
    <row r="175" spans="1:32">
      <c r="A175" s="12">
        <v>157</v>
      </c>
      <c r="B175" s="3" t="s">
        <v>236</v>
      </c>
      <c r="C175" s="3">
        <v>300</v>
      </c>
      <c r="D175" s="12">
        <v>300</v>
      </c>
      <c r="E175" s="12">
        <v>300</v>
      </c>
      <c r="F175" s="12">
        <v>24.32</v>
      </c>
      <c r="G175" s="12">
        <v>24.32</v>
      </c>
      <c r="H175" s="12">
        <v>14.08</v>
      </c>
      <c r="I175" s="12">
        <v>0</v>
      </c>
      <c r="J175" s="12">
        <v>0</v>
      </c>
      <c r="K175" s="12">
        <v>9091.5616734353043</v>
      </c>
      <c r="L175" s="12">
        <f t="shared" si="9"/>
        <v>18131.148799999999</v>
      </c>
      <c r="S175" s="12">
        <v>189.7230488070673</v>
      </c>
      <c r="T175" s="12">
        <v>690</v>
      </c>
      <c r="U175" s="12">
        <v>21000</v>
      </c>
      <c r="V175" s="12">
        <f t="shared" si="10"/>
        <v>65.940816103593932</v>
      </c>
      <c r="W175" s="12">
        <v>3.7705899999999999</v>
      </c>
      <c r="AB175" s="12">
        <v>0.50316512905442312</v>
      </c>
      <c r="AC175" s="13">
        <v>1.33</v>
      </c>
      <c r="AE175" s="12" t="s">
        <v>514</v>
      </c>
      <c r="AF175" s="24" t="s">
        <v>34</v>
      </c>
    </row>
    <row r="176" spans="1:32">
      <c r="A176" s="12">
        <v>158</v>
      </c>
      <c r="B176" s="3" t="s">
        <v>237</v>
      </c>
      <c r="C176" s="3">
        <v>300</v>
      </c>
      <c r="D176" s="12">
        <v>300</v>
      </c>
      <c r="E176" s="12">
        <v>300</v>
      </c>
      <c r="F176" s="12">
        <v>24.32</v>
      </c>
      <c r="G176" s="12">
        <v>24.32</v>
      </c>
      <c r="H176" s="12">
        <v>14.08</v>
      </c>
      <c r="I176" s="12">
        <v>0</v>
      </c>
      <c r="J176" s="12">
        <v>0</v>
      </c>
      <c r="K176" s="12">
        <v>11415.720296719515</v>
      </c>
      <c r="L176" s="12">
        <f t="shared" si="9"/>
        <v>18131.148799999999</v>
      </c>
      <c r="S176" s="12">
        <v>123.1157108658323</v>
      </c>
      <c r="T176" s="12">
        <v>690</v>
      </c>
      <c r="U176" s="12">
        <v>21000</v>
      </c>
      <c r="V176" s="12">
        <f t="shared" si="10"/>
        <v>101.61572868334854</v>
      </c>
      <c r="W176" s="12">
        <v>3.69143</v>
      </c>
      <c r="AB176" s="12">
        <v>0.50316512905442312</v>
      </c>
      <c r="AC176" s="13">
        <v>1.67</v>
      </c>
      <c r="AE176" s="12" t="s">
        <v>515</v>
      </c>
      <c r="AF176" s="24" t="s">
        <v>34</v>
      </c>
    </row>
    <row r="177" spans="1:32">
      <c r="A177" s="12">
        <v>159</v>
      </c>
      <c r="B177" s="3" t="s">
        <v>238</v>
      </c>
      <c r="C177" s="3">
        <v>300</v>
      </c>
      <c r="D177" s="12">
        <v>300</v>
      </c>
      <c r="E177" s="12">
        <v>300</v>
      </c>
      <c r="F177" s="12">
        <v>24.32</v>
      </c>
      <c r="G177" s="12">
        <v>24.32</v>
      </c>
      <c r="H177" s="12">
        <v>14.08</v>
      </c>
      <c r="I177" s="12">
        <v>0</v>
      </c>
      <c r="J177" s="12">
        <v>0</v>
      </c>
      <c r="K177" s="12">
        <v>13671.521313436546</v>
      </c>
      <c r="L177" s="12">
        <f t="shared" si="9"/>
        <v>18131.148799999999</v>
      </c>
      <c r="S177" s="12">
        <v>87.106329639372262</v>
      </c>
      <c r="T177" s="12">
        <v>690</v>
      </c>
      <c r="U177" s="12">
        <v>21000</v>
      </c>
      <c r="V177" s="12">
        <f t="shared" si="10"/>
        <v>143.62323293605095</v>
      </c>
      <c r="W177" s="12">
        <v>3.6347100000000001</v>
      </c>
      <c r="AB177" s="12">
        <v>0.50316512905442312</v>
      </c>
      <c r="AC177" s="13">
        <v>2</v>
      </c>
      <c r="AE177" s="12" t="s">
        <v>516</v>
      </c>
      <c r="AF177" s="24" t="s">
        <v>34</v>
      </c>
    </row>
    <row r="178" spans="1:32">
      <c r="A178" s="12">
        <v>160</v>
      </c>
      <c r="B178" s="3" t="s">
        <v>239</v>
      </c>
      <c r="C178" s="3">
        <v>300</v>
      </c>
      <c r="D178" s="12">
        <v>300</v>
      </c>
      <c r="E178" s="12">
        <v>300</v>
      </c>
      <c r="F178" s="12">
        <v>24.32</v>
      </c>
      <c r="G178" s="12">
        <v>24.32</v>
      </c>
      <c r="H178" s="12">
        <v>14.08</v>
      </c>
      <c r="I178" s="12">
        <v>0</v>
      </c>
      <c r="J178" s="12">
        <v>0</v>
      </c>
      <c r="K178" s="12">
        <v>17089.401641795681</v>
      </c>
      <c r="L178" s="12">
        <f t="shared" si="9"/>
        <v>18131.148799999999</v>
      </c>
      <c r="S178" s="12">
        <v>56.581282642623428</v>
      </c>
      <c r="T178" s="12">
        <v>690</v>
      </c>
      <c r="U178" s="12">
        <v>21000</v>
      </c>
      <c r="V178" s="12">
        <f t="shared" si="10"/>
        <v>221.10655834754229</v>
      </c>
      <c r="W178" s="12">
        <v>3.5789</v>
      </c>
      <c r="AB178" s="12">
        <v>0.50316512905442312</v>
      </c>
      <c r="AC178" s="13">
        <v>2.5</v>
      </c>
      <c r="AE178" s="12" t="s">
        <v>517</v>
      </c>
      <c r="AF178" s="24" t="s">
        <v>34</v>
      </c>
    </row>
    <row r="179" spans="1:32">
      <c r="A179" s="12">
        <v>161</v>
      </c>
      <c r="B179" s="3" t="s">
        <v>240</v>
      </c>
      <c r="C179" s="3">
        <v>300</v>
      </c>
      <c r="D179" s="12">
        <v>300</v>
      </c>
      <c r="E179" s="12">
        <v>300</v>
      </c>
      <c r="F179" s="12">
        <v>20.425000000000001</v>
      </c>
      <c r="G179" s="12">
        <v>20.425000000000001</v>
      </c>
      <c r="H179" s="12">
        <v>11.824999999999999</v>
      </c>
      <c r="I179" s="12">
        <v>0</v>
      </c>
      <c r="J179" s="12">
        <v>0</v>
      </c>
      <c r="K179" s="12">
        <v>2076.9177609921567</v>
      </c>
      <c r="L179" s="12">
        <f t="shared" si="9"/>
        <v>15319.44875</v>
      </c>
      <c r="S179" s="12">
        <v>1765.1782258956559</v>
      </c>
      <c r="T179" s="12">
        <v>690</v>
      </c>
      <c r="U179" s="12">
        <v>21000</v>
      </c>
      <c r="V179" s="12">
        <f t="shared" si="10"/>
        <v>5.9883016244076659</v>
      </c>
      <c r="W179" s="12">
        <v>2.3894799999999998</v>
      </c>
      <c r="AB179" s="12">
        <v>0.60092698120307431</v>
      </c>
      <c r="AC179" s="13">
        <v>0.3</v>
      </c>
      <c r="AE179" s="12" t="s">
        <v>518</v>
      </c>
      <c r="AF179" s="23" t="s">
        <v>35</v>
      </c>
    </row>
    <row r="180" spans="1:32">
      <c r="A180" s="12">
        <v>162</v>
      </c>
      <c r="B180" s="3" t="s">
        <v>241</v>
      </c>
      <c r="C180" s="3">
        <v>300</v>
      </c>
      <c r="D180" s="12">
        <v>300</v>
      </c>
      <c r="E180" s="12">
        <v>300</v>
      </c>
      <c r="F180" s="12">
        <v>20.425000000000001</v>
      </c>
      <c r="G180" s="12">
        <v>20.425000000000001</v>
      </c>
      <c r="H180" s="12">
        <v>11.824999999999999</v>
      </c>
      <c r="I180" s="12">
        <v>0</v>
      </c>
      <c r="J180" s="12">
        <v>0</v>
      </c>
      <c r="K180" s="12">
        <v>3461.5296016535945</v>
      </c>
      <c r="L180" s="12">
        <f t="shared" si="9"/>
        <v>15319.44875</v>
      </c>
      <c r="S180" s="12">
        <v>910.08661561476401</v>
      </c>
      <c r="T180" s="12">
        <v>690</v>
      </c>
      <c r="U180" s="12">
        <v>21000</v>
      </c>
      <c r="V180" s="12">
        <f t="shared" si="10"/>
        <v>11.614740241355682</v>
      </c>
      <c r="W180" s="12">
        <v>2.7060900000000001</v>
      </c>
      <c r="AB180" s="12">
        <v>0.60092698120307431</v>
      </c>
      <c r="AC180" s="13">
        <v>0.5</v>
      </c>
      <c r="AE180" s="12" t="s">
        <v>519</v>
      </c>
      <c r="AF180" s="24" t="s">
        <v>34</v>
      </c>
    </row>
    <row r="181" spans="1:32">
      <c r="A181" s="12">
        <v>163</v>
      </c>
      <c r="B181" s="3" t="s">
        <v>242</v>
      </c>
      <c r="C181" s="3">
        <v>300</v>
      </c>
      <c r="D181" s="12">
        <v>300</v>
      </c>
      <c r="E181" s="12">
        <v>300</v>
      </c>
      <c r="F181" s="12">
        <v>20.425000000000001</v>
      </c>
      <c r="G181" s="12">
        <v>20.425000000000001</v>
      </c>
      <c r="H181" s="12">
        <v>11.824999999999999</v>
      </c>
      <c r="I181" s="12">
        <v>0</v>
      </c>
      <c r="J181" s="12">
        <v>0</v>
      </c>
      <c r="K181" s="12">
        <v>5192.2944024803919</v>
      </c>
      <c r="L181" s="12">
        <f t="shared" si="9"/>
        <v>15319.44875</v>
      </c>
      <c r="S181" s="12">
        <v>459.66628037737331</v>
      </c>
      <c r="T181" s="12">
        <v>690</v>
      </c>
      <c r="U181" s="12">
        <v>21000</v>
      </c>
      <c r="V181" s="12">
        <f t="shared" si="10"/>
        <v>22.995856099825239</v>
      </c>
      <c r="W181" s="12">
        <v>3.2744200000000001</v>
      </c>
      <c r="AB181" s="12">
        <v>0.60092698120307431</v>
      </c>
      <c r="AC181" s="13">
        <v>0.75</v>
      </c>
      <c r="AE181" s="12" t="s">
        <v>520</v>
      </c>
      <c r="AF181" s="24" t="s">
        <v>34</v>
      </c>
    </row>
    <row r="182" spans="1:32">
      <c r="A182" s="12">
        <v>164</v>
      </c>
      <c r="B182" s="3" t="s">
        <v>243</v>
      </c>
      <c r="C182" s="3">
        <v>300</v>
      </c>
      <c r="D182" s="12">
        <v>300</v>
      </c>
      <c r="E182" s="12">
        <v>300</v>
      </c>
      <c r="F182" s="12">
        <v>20.425000000000001</v>
      </c>
      <c r="G182" s="12">
        <v>20.425000000000001</v>
      </c>
      <c r="H182" s="12">
        <v>11.824999999999999</v>
      </c>
      <c r="I182" s="12">
        <v>0</v>
      </c>
      <c r="J182" s="12">
        <v>0</v>
      </c>
      <c r="K182" s="12">
        <v>6923.0592033071889</v>
      </c>
      <c r="L182" s="12">
        <f t="shared" si="9"/>
        <v>15319.44875</v>
      </c>
      <c r="S182" s="12">
        <v>272.99330553174906</v>
      </c>
      <c r="T182" s="12">
        <v>690</v>
      </c>
      <c r="U182" s="12">
        <v>21000</v>
      </c>
      <c r="V182" s="12">
        <f t="shared" si="10"/>
        <v>38.720435348809907</v>
      </c>
      <c r="W182" s="12">
        <v>3.5704600000000002</v>
      </c>
      <c r="AB182" s="12">
        <v>0.60092698120307431</v>
      </c>
      <c r="AC182" s="13">
        <v>1</v>
      </c>
      <c r="AE182" s="12" t="s">
        <v>521</v>
      </c>
      <c r="AF182" s="24" t="s">
        <v>34</v>
      </c>
    </row>
    <row r="183" spans="1:32">
      <c r="A183" s="12">
        <v>165</v>
      </c>
      <c r="B183" s="3" t="s">
        <v>244</v>
      </c>
      <c r="C183" s="3">
        <v>300</v>
      </c>
      <c r="D183" s="12">
        <v>300</v>
      </c>
      <c r="E183" s="12">
        <v>300</v>
      </c>
      <c r="F183" s="12">
        <v>20.425000000000001</v>
      </c>
      <c r="G183" s="12">
        <v>20.425000000000001</v>
      </c>
      <c r="H183" s="12">
        <v>11.824999999999999</v>
      </c>
      <c r="I183" s="12">
        <v>0</v>
      </c>
      <c r="J183" s="12">
        <v>0</v>
      </c>
      <c r="K183" s="12">
        <v>9207.6687403985616</v>
      </c>
      <c r="L183" s="12">
        <f t="shared" si="9"/>
        <v>15319.44875</v>
      </c>
      <c r="S183" s="12">
        <v>160.30161987825161</v>
      </c>
      <c r="T183" s="12">
        <v>690</v>
      </c>
      <c r="U183" s="12">
        <v>21000</v>
      </c>
      <c r="V183" s="12">
        <f t="shared" si="10"/>
        <v>65.940816103593889</v>
      </c>
      <c r="W183" s="12">
        <v>3.6490800000000001</v>
      </c>
      <c r="AB183" s="12">
        <v>0.60092698120307431</v>
      </c>
      <c r="AC183" s="13">
        <v>1.33</v>
      </c>
      <c r="AE183" s="12" t="s">
        <v>522</v>
      </c>
      <c r="AF183" s="24" t="s">
        <v>34</v>
      </c>
    </row>
    <row r="184" spans="1:32">
      <c r="A184" s="12">
        <v>166</v>
      </c>
      <c r="B184" s="3" t="s">
        <v>245</v>
      </c>
      <c r="C184" s="3">
        <v>300</v>
      </c>
      <c r="D184" s="12">
        <v>300</v>
      </c>
      <c r="E184" s="12">
        <v>300</v>
      </c>
      <c r="F184" s="12">
        <v>20.425000000000001</v>
      </c>
      <c r="G184" s="12">
        <v>20.425000000000001</v>
      </c>
      <c r="H184" s="12">
        <v>11.824999999999999</v>
      </c>
      <c r="I184" s="12">
        <v>0</v>
      </c>
      <c r="J184" s="12">
        <v>0</v>
      </c>
      <c r="K184" s="12">
        <v>11561.508869523004</v>
      </c>
      <c r="L184" s="12">
        <f t="shared" si="9"/>
        <v>15319.44875</v>
      </c>
      <c r="S184" s="12">
        <v>104.02345950240822</v>
      </c>
      <c r="T184" s="12">
        <v>690</v>
      </c>
      <c r="U184" s="12">
        <v>21000</v>
      </c>
      <c r="V184" s="12">
        <f t="shared" si="10"/>
        <v>101.61572868334846</v>
      </c>
      <c r="W184" s="12">
        <v>3.6391399999999998</v>
      </c>
      <c r="AB184" s="12">
        <v>0.60092698120307431</v>
      </c>
      <c r="AC184" s="13">
        <v>1.67</v>
      </c>
      <c r="AE184" s="12" t="s">
        <v>523</v>
      </c>
      <c r="AF184" s="24" t="s">
        <v>34</v>
      </c>
    </row>
    <row r="185" spans="1:32">
      <c r="A185" s="12">
        <v>167</v>
      </c>
      <c r="B185" s="3" t="s">
        <v>246</v>
      </c>
      <c r="C185" s="3">
        <v>300</v>
      </c>
      <c r="D185" s="12">
        <v>300</v>
      </c>
      <c r="E185" s="12">
        <v>300</v>
      </c>
      <c r="F185" s="12">
        <v>20.425000000000001</v>
      </c>
      <c r="G185" s="12">
        <v>20.425000000000001</v>
      </c>
      <c r="H185" s="12">
        <v>11.824999999999999</v>
      </c>
      <c r="I185" s="12">
        <v>0</v>
      </c>
      <c r="J185" s="12">
        <v>0</v>
      </c>
      <c r="K185" s="12">
        <v>13846.118406614378</v>
      </c>
      <c r="L185" s="12">
        <f t="shared" si="9"/>
        <v>15319.44875</v>
      </c>
      <c r="S185" s="12">
        <v>73.598257199839949</v>
      </c>
      <c r="T185" s="12">
        <v>690</v>
      </c>
      <c r="U185" s="12">
        <v>21000</v>
      </c>
      <c r="V185" s="12">
        <f t="shared" si="10"/>
        <v>143.6232329360509</v>
      </c>
      <c r="W185" s="12">
        <v>3.5975799999999998</v>
      </c>
      <c r="AB185" s="12">
        <v>0.60092698120307431</v>
      </c>
      <c r="AC185" s="13">
        <v>2</v>
      </c>
      <c r="AE185" s="12" t="s">
        <v>524</v>
      </c>
      <c r="AF185" s="24" t="s">
        <v>34</v>
      </c>
    </row>
    <row r="186" spans="1:32">
      <c r="A186" s="12">
        <v>168</v>
      </c>
      <c r="B186" s="3" t="s">
        <v>247</v>
      </c>
      <c r="C186" s="3">
        <v>300</v>
      </c>
      <c r="D186" s="12">
        <v>300</v>
      </c>
      <c r="E186" s="12">
        <v>300</v>
      </c>
      <c r="F186" s="12">
        <v>20.425000000000001</v>
      </c>
      <c r="G186" s="12">
        <v>20.425000000000001</v>
      </c>
      <c r="H186" s="12">
        <v>11.824999999999999</v>
      </c>
      <c r="I186" s="12">
        <v>0</v>
      </c>
      <c r="J186" s="12">
        <v>0</v>
      </c>
      <c r="K186" s="12">
        <v>17307.648008267974</v>
      </c>
      <c r="L186" s="12">
        <f t="shared" si="9"/>
        <v>15319.44875</v>
      </c>
      <c r="S186" s="12">
        <v>47.806902321210536</v>
      </c>
      <c r="T186" s="12">
        <v>690</v>
      </c>
      <c r="U186" s="12">
        <v>21000</v>
      </c>
      <c r="V186" s="12">
        <f t="shared" si="10"/>
        <v>221.10655834754243</v>
      </c>
      <c r="W186" s="12">
        <v>3.5488400000000002</v>
      </c>
      <c r="AB186" s="12">
        <v>0.60092698120307431</v>
      </c>
      <c r="AC186" s="13">
        <v>2.5</v>
      </c>
      <c r="AE186" s="12" t="s">
        <v>525</v>
      </c>
      <c r="AF186" s="24" t="s">
        <v>34</v>
      </c>
    </row>
    <row r="187" spans="1:32">
      <c r="A187" s="12">
        <v>169</v>
      </c>
      <c r="B187" s="3" t="s">
        <v>248</v>
      </c>
      <c r="C187" s="3">
        <v>300</v>
      </c>
      <c r="D187" s="12">
        <v>300</v>
      </c>
      <c r="E187" s="12">
        <v>300</v>
      </c>
      <c r="F187" s="12">
        <v>15.39</v>
      </c>
      <c r="G187" s="12">
        <v>15.39</v>
      </c>
      <c r="H187" s="12">
        <v>8.91</v>
      </c>
      <c r="I187" s="12">
        <v>0</v>
      </c>
      <c r="J187" s="12">
        <v>0</v>
      </c>
      <c r="K187" s="12">
        <v>2111.1077751166649</v>
      </c>
      <c r="L187" s="12">
        <f t="shared" si="9"/>
        <v>11632.7502</v>
      </c>
      <c r="S187" s="12">
        <v>1887.745048754648</v>
      </c>
      <c r="T187" s="12">
        <v>690</v>
      </c>
      <c r="U187" s="12">
        <v>21000</v>
      </c>
      <c r="V187" s="12">
        <f t="shared" si="10"/>
        <v>4.25195004129142</v>
      </c>
      <c r="W187" s="12">
        <v>1.4873799999999999</v>
      </c>
      <c r="AB187" s="12">
        <v>0.80062012685654171</v>
      </c>
      <c r="AC187" s="13">
        <v>0.3</v>
      </c>
      <c r="AE187" s="12" t="s">
        <v>526</v>
      </c>
      <c r="AF187" s="23" t="s">
        <v>35</v>
      </c>
    </row>
    <row r="188" spans="1:32">
      <c r="A188" s="12">
        <v>170</v>
      </c>
      <c r="B188" s="3" t="s">
        <v>249</v>
      </c>
      <c r="C188" s="3">
        <v>300</v>
      </c>
      <c r="D188" s="12">
        <v>300</v>
      </c>
      <c r="E188" s="12">
        <v>300</v>
      </c>
      <c r="F188" s="12">
        <v>15.39</v>
      </c>
      <c r="G188" s="12">
        <v>15.39</v>
      </c>
      <c r="H188" s="12">
        <v>8.91</v>
      </c>
      <c r="I188" s="12">
        <v>0</v>
      </c>
      <c r="J188" s="12">
        <v>0</v>
      </c>
      <c r="K188" s="12">
        <v>3518.512958527775</v>
      </c>
      <c r="L188" s="12">
        <f t="shared" si="9"/>
        <v>11632.7502</v>
      </c>
      <c r="S188" s="12">
        <v>1387.1057651846374</v>
      </c>
      <c r="T188" s="12">
        <v>690</v>
      </c>
      <c r="U188" s="12">
        <v>21000</v>
      </c>
      <c r="V188" s="12">
        <f t="shared" si="10"/>
        <v>5.7865793939163543</v>
      </c>
      <c r="W188" s="12">
        <v>1.1070599999999999</v>
      </c>
      <c r="AB188" s="12">
        <v>0.80062012685654171</v>
      </c>
      <c r="AC188" s="13">
        <v>0.5</v>
      </c>
      <c r="AE188" s="12" t="s">
        <v>527</v>
      </c>
      <c r="AF188" s="24" t="s">
        <v>34</v>
      </c>
    </row>
    <row r="189" spans="1:32">
      <c r="A189" s="12">
        <v>171</v>
      </c>
      <c r="B189" s="3" t="s">
        <v>250</v>
      </c>
      <c r="C189" s="3">
        <v>300</v>
      </c>
      <c r="D189" s="12">
        <v>300</v>
      </c>
      <c r="E189" s="12">
        <v>300</v>
      </c>
      <c r="F189" s="12">
        <v>15.39</v>
      </c>
      <c r="G189" s="12">
        <v>15.39</v>
      </c>
      <c r="H189" s="12">
        <v>8.91</v>
      </c>
      <c r="I189" s="12">
        <v>0</v>
      </c>
      <c r="J189" s="12">
        <v>0</v>
      </c>
      <c r="K189" s="12">
        <v>5277.7694377916623</v>
      </c>
      <c r="L189" s="12">
        <f t="shared" si="9"/>
        <v>11632.7502</v>
      </c>
      <c r="S189" s="12">
        <v>855.98082927547262</v>
      </c>
      <c r="T189" s="12">
        <v>690</v>
      </c>
      <c r="U189" s="12">
        <v>21000</v>
      </c>
      <c r="V189" s="12">
        <f t="shared" si="10"/>
        <v>9.3770764057811302</v>
      </c>
      <c r="W189" s="12">
        <v>1.0063299999999999</v>
      </c>
      <c r="AB189" s="12">
        <v>0.80062012685654171</v>
      </c>
      <c r="AC189" s="13">
        <v>0.75</v>
      </c>
      <c r="AE189" s="12" t="s">
        <v>528</v>
      </c>
      <c r="AF189" s="24" t="s">
        <v>34</v>
      </c>
    </row>
    <row r="190" spans="1:32">
      <c r="A190" s="12">
        <v>172</v>
      </c>
      <c r="B190" s="3" t="s">
        <v>251</v>
      </c>
      <c r="C190" s="3">
        <v>300</v>
      </c>
      <c r="D190" s="12">
        <v>300</v>
      </c>
      <c r="E190" s="12">
        <v>300</v>
      </c>
      <c r="F190" s="12">
        <v>15.39</v>
      </c>
      <c r="G190" s="12">
        <v>15.39</v>
      </c>
      <c r="H190" s="12">
        <v>8.91</v>
      </c>
      <c r="I190" s="12">
        <v>0</v>
      </c>
      <c r="J190" s="12">
        <v>0</v>
      </c>
      <c r="K190" s="12">
        <v>7037.0259170555501</v>
      </c>
      <c r="L190" s="12">
        <f t="shared" si="9"/>
        <v>11632.7502</v>
      </c>
      <c r="S190" s="12">
        <v>546.01524848268377</v>
      </c>
      <c r="T190" s="12">
        <v>690</v>
      </c>
      <c r="U190" s="12">
        <v>21000</v>
      </c>
      <c r="V190" s="12">
        <f t="shared" si="10"/>
        <v>14.700317729779581</v>
      </c>
      <c r="W190" s="12">
        <v>0.99113099999999998</v>
      </c>
      <c r="AB190" s="12">
        <v>0.80062012685654171</v>
      </c>
      <c r="AC190" s="13">
        <v>1</v>
      </c>
      <c r="AE190" s="12" t="s">
        <v>529</v>
      </c>
      <c r="AF190" s="24" t="s">
        <v>34</v>
      </c>
    </row>
    <row r="191" spans="1:32">
      <c r="A191" s="12">
        <v>173</v>
      </c>
      <c r="B191" s="3" t="s">
        <v>252</v>
      </c>
      <c r="C191" s="3">
        <v>300</v>
      </c>
      <c r="D191" s="12">
        <v>300</v>
      </c>
      <c r="E191" s="12">
        <v>300</v>
      </c>
      <c r="F191" s="12">
        <v>15.39</v>
      </c>
      <c r="G191" s="12">
        <v>15.39</v>
      </c>
      <c r="H191" s="12">
        <v>8.91</v>
      </c>
      <c r="I191" s="12">
        <v>0</v>
      </c>
      <c r="J191" s="12">
        <v>0</v>
      </c>
      <c r="K191" s="12">
        <v>9359.2444696838829</v>
      </c>
      <c r="L191" s="12">
        <f t="shared" si="9"/>
        <v>11632.7502</v>
      </c>
      <c r="S191" s="12">
        <v>333.64272965770772</v>
      </c>
      <c r="T191" s="12">
        <v>690</v>
      </c>
      <c r="U191" s="12">
        <v>21000</v>
      </c>
      <c r="V191" s="12">
        <f t="shared" si="10"/>
        <v>24.057463042083022</v>
      </c>
      <c r="W191" s="12">
        <v>1.04735</v>
      </c>
      <c r="AB191" s="12">
        <v>0.80062012685654171</v>
      </c>
      <c r="AC191" s="13">
        <v>1.33</v>
      </c>
      <c r="AE191" s="12" t="s">
        <v>530</v>
      </c>
      <c r="AF191" s="24" t="s">
        <v>34</v>
      </c>
    </row>
    <row r="192" spans="1:32">
      <c r="A192" s="12">
        <v>174</v>
      </c>
      <c r="B192" s="3" t="s">
        <v>253</v>
      </c>
      <c r="C192" s="3">
        <v>300</v>
      </c>
      <c r="D192" s="12">
        <v>300</v>
      </c>
      <c r="E192" s="12">
        <v>300</v>
      </c>
      <c r="F192" s="12">
        <v>15.39</v>
      </c>
      <c r="G192" s="12">
        <v>15.39</v>
      </c>
      <c r="H192" s="12">
        <v>8.91</v>
      </c>
      <c r="I192" s="12">
        <v>0</v>
      </c>
      <c r="J192" s="12">
        <v>0</v>
      </c>
      <c r="K192" s="12">
        <v>11751.833281482768</v>
      </c>
      <c r="L192" s="12">
        <f t="shared" si="9"/>
        <v>11632.7502</v>
      </c>
      <c r="S192" s="12">
        <v>220.93846250212579</v>
      </c>
      <c r="T192" s="12">
        <v>690</v>
      </c>
      <c r="U192" s="12">
        <v>21000</v>
      </c>
      <c r="V192" s="12">
        <f t="shared" si="10"/>
        <v>36.329562300284273</v>
      </c>
      <c r="W192" s="12">
        <v>1.09511</v>
      </c>
      <c r="AB192" s="12">
        <v>0.80062012685654171</v>
      </c>
      <c r="AC192" s="13">
        <v>1.67</v>
      </c>
      <c r="AE192" s="12" t="s">
        <v>531</v>
      </c>
      <c r="AF192" s="24" t="s">
        <v>34</v>
      </c>
    </row>
    <row r="193" spans="1:32">
      <c r="A193" s="12">
        <v>175</v>
      </c>
      <c r="B193" s="3" t="s">
        <v>254</v>
      </c>
      <c r="C193" s="3">
        <v>300</v>
      </c>
      <c r="D193" s="12">
        <v>300</v>
      </c>
      <c r="E193" s="12">
        <v>300</v>
      </c>
      <c r="F193" s="12">
        <v>15.39</v>
      </c>
      <c r="G193" s="12">
        <v>15.39</v>
      </c>
      <c r="H193" s="12">
        <v>8.91</v>
      </c>
      <c r="I193" s="12">
        <v>0</v>
      </c>
      <c r="J193" s="12">
        <v>0</v>
      </c>
      <c r="K193" s="12">
        <v>14074.0518341111</v>
      </c>
      <c r="L193" s="12">
        <f t="shared" si="9"/>
        <v>11632.7502</v>
      </c>
      <c r="S193" s="12">
        <v>158.17497143265777</v>
      </c>
      <c r="T193" s="12">
        <v>690</v>
      </c>
      <c r="U193" s="12">
        <v>21000</v>
      </c>
      <c r="V193" s="12">
        <f t="shared" si="10"/>
        <v>50.745055082354071</v>
      </c>
      <c r="W193" s="12">
        <v>1.11852</v>
      </c>
      <c r="AB193" s="12">
        <v>0.80062012685654171</v>
      </c>
      <c r="AC193" s="13">
        <v>2</v>
      </c>
      <c r="AE193" s="12" t="s">
        <v>532</v>
      </c>
      <c r="AF193" s="24" t="s">
        <v>34</v>
      </c>
    </row>
    <row r="194" spans="1:32">
      <c r="A194" s="12">
        <v>176</v>
      </c>
      <c r="B194" s="3" t="s">
        <v>255</v>
      </c>
      <c r="C194" s="3">
        <v>300</v>
      </c>
      <c r="D194" s="12">
        <v>300</v>
      </c>
      <c r="E194" s="12">
        <v>300</v>
      </c>
      <c r="F194" s="12">
        <v>15.39</v>
      </c>
      <c r="G194" s="12">
        <v>15.39</v>
      </c>
      <c r="H194" s="12">
        <v>8.91</v>
      </c>
      <c r="I194" s="12">
        <v>0</v>
      </c>
      <c r="J194" s="12">
        <v>0</v>
      </c>
      <c r="K194" s="12">
        <v>17592.564792638874</v>
      </c>
      <c r="L194" s="12">
        <f t="shared" si="9"/>
        <v>11632.7502</v>
      </c>
      <c r="S194" s="12">
        <v>103.90637142886713</v>
      </c>
      <c r="T194" s="12">
        <v>690</v>
      </c>
      <c r="U194" s="12">
        <v>21000</v>
      </c>
      <c r="V194" s="12">
        <f t="shared" si="10"/>
        <v>77.248368195543222</v>
      </c>
      <c r="W194" s="12">
        <v>1.1334</v>
      </c>
      <c r="AB194" s="12">
        <v>0.80062012685654171</v>
      </c>
      <c r="AC194" s="13">
        <v>2.5</v>
      </c>
      <c r="AE194" s="12" t="s">
        <v>533</v>
      </c>
      <c r="AF194" s="24" t="s">
        <v>34</v>
      </c>
    </row>
    <row r="195" spans="1:32">
      <c r="A195" s="12">
        <v>177</v>
      </c>
      <c r="B195" s="3" t="s">
        <v>256</v>
      </c>
      <c r="C195" s="3">
        <v>300</v>
      </c>
      <c r="D195" s="12">
        <v>300</v>
      </c>
      <c r="E195" s="12">
        <v>300</v>
      </c>
      <c r="F195" s="12">
        <v>11.209999999999999</v>
      </c>
      <c r="G195" s="12">
        <v>11.209999999999999</v>
      </c>
      <c r="H195" s="12">
        <v>6.4899999999999993</v>
      </c>
      <c r="I195" s="12">
        <v>0</v>
      </c>
      <c r="J195" s="12">
        <v>0</v>
      </c>
      <c r="K195" s="12">
        <v>2139.7687770237067</v>
      </c>
      <c r="L195" s="12">
        <f t="shared" si="9"/>
        <v>8527.4941999999992</v>
      </c>
      <c r="S195" s="12">
        <v>1454.0920289101139</v>
      </c>
      <c r="T195" s="12">
        <v>690</v>
      </c>
      <c r="U195" s="12">
        <v>21000</v>
      </c>
      <c r="V195" s="12">
        <f t="shared" si="10"/>
        <v>4.0464914744152845</v>
      </c>
      <c r="W195" s="12">
        <v>1.1792</v>
      </c>
      <c r="AB195" s="12">
        <v>1.1026699208821982</v>
      </c>
      <c r="AC195" s="13">
        <v>0.3</v>
      </c>
      <c r="AE195" s="12" t="s">
        <v>534</v>
      </c>
      <c r="AF195" s="23" t="s">
        <v>35</v>
      </c>
    </row>
    <row r="196" spans="1:32">
      <c r="A196" s="12">
        <v>178</v>
      </c>
      <c r="B196" s="3" t="s">
        <v>257</v>
      </c>
      <c r="C196" s="3">
        <v>300</v>
      </c>
      <c r="D196" s="12">
        <v>300</v>
      </c>
      <c r="E196" s="12">
        <v>300</v>
      </c>
      <c r="F196" s="12">
        <v>11.209999999999999</v>
      </c>
      <c r="G196" s="12">
        <v>11.209999999999999</v>
      </c>
      <c r="H196" s="12">
        <v>6.4899999999999993</v>
      </c>
      <c r="I196" s="12">
        <v>0</v>
      </c>
      <c r="J196" s="12">
        <v>0</v>
      </c>
      <c r="K196" s="12">
        <v>3566.281295039511</v>
      </c>
      <c r="L196" s="12">
        <f t="shared" si="9"/>
        <v>8527.4941999999992</v>
      </c>
      <c r="S196" s="12">
        <v>1147.8955438793773</v>
      </c>
      <c r="T196" s="12">
        <v>690</v>
      </c>
      <c r="U196" s="12">
        <v>21000</v>
      </c>
      <c r="V196" s="12">
        <f t="shared" si="10"/>
        <v>5.1258766787392425</v>
      </c>
      <c r="W196" s="12">
        <v>0.81051099999999998</v>
      </c>
      <c r="AB196" s="12">
        <v>1.1026699208821982</v>
      </c>
      <c r="AC196" s="13">
        <v>0.5</v>
      </c>
      <c r="AE196" s="12" t="s">
        <v>535</v>
      </c>
      <c r="AF196" s="24" t="s">
        <v>34</v>
      </c>
    </row>
    <row r="197" spans="1:32">
      <c r="A197" s="12">
        <v>179</v>
      </c>
      <c r="B197" s="3" t="s">
        <v>258</v>
      </c>
      <c r="C197" s="3">
        <v>300</v>
      </c>
      <c r="D197" s="12">
        <v>300</v>
      </c>
      <c r="E197" s="12">
        <v>300</v>
      </c>
      <c r="F197" s="12">
        <v>11.209999999999999</v>
      </c>
      <c r="G197" s="12">
        <v>11.209999999999999</v>
      </c>
      <c r="H197" s="12">
        <v>6.4899999999999993</v>
      </c>
      <c r="I197" s="12">
        <v>0</v>
      </c>
      <c r="J197" s="12">
        <v>0</v>
      </c>
      <c r="K197" s="12">
        <v>5349.4219425592664</v>
      </c>
      <c r="L197" s="12">
        <f t="shared" si="9"/>
        <v>8527.4941999999992</v>
      </c>
      <c r="S197" s="12">
        <v>769.93895519780858</v>
      </c>
      <c r="T197" s="12">
        <v>690</v>
      </c>
      <c r="U197" s="12">
        <v>21000</v>
      </c>
      <c r="V197" s="12">
        <f t="shared" si="10"/>
        <v>7.6421266365049965</v>
      </c>
      <c r="W197" s="12">
        <v>0.67975300000000005</v>
      </c>
      <c r="AB197" s="12">
        <v>1.1026699208821982</v>
      </c>
      <c r="AC197" s="13">
        <v>0.75</v>
      </c>
      <c r="AE197" s="12" t="s">
        <v>536</v>
      </c>
      <c r="AF197" s="23" t="s">
        <v>35</v>
      </c>
    </row>
    <row r="198" spans="1:32">
      <c r="A198" s="12">
        <v>180</v>
      </c>
      <c r="B198" s="3" t="s">
        <v>259</v>
      </c>
      <c r="C198" s="3">
        <v>300</v>
      </c>
      <c r="D198" s="12">
        <v>300</v>
      </c>
      <c r="E198" s="12">
        <v>300</v>
      </c>
      <c r="F198" s="12">
        <v>11.209999999999999</v>
      </c>
      <c r="G198" s="12">
        <v>11.209999999999999</v>
      </c>
      <c r="H198" s="12">
        <v>6.4899999999999993</v>
      </c>
      <c r="I198" s="12">
        <v>0</v>
      </c>
      <c r="J198" s="12">
        <v>0</v>
      </c>
      <c r="K198" s="12">
        <v>7132.5625900790219</v>
      </c>
      <c r="L198" s="12">
        <f t="shared" si="9"/>
        <v>8527.4941999999992</v>
      </c>
      <c r="S198" s="12">
        <v>510.55779614035737</v>
      </c>
      <c r="T198" s="12">
        <v>690</v>
      </c>
      <c r="U198" s="12">
        <v>21000</v>
      </c>
      <c r="V198" s="12">
        <f t="shared" si="10"/>
        <v>11.524593380966486</v>
      </c>
      <c r="W198" s="12">
        <v>0.64539299999999999</v>
      </c>
      <c r="AB198" s="12">
        <v>1.1026699208821982</v>
      </c>
      <c r="AC198" s="13">
        <v>1</v>
      </c>
      <c r="AE198" s="12" t="s">
        <v>537</v>
      </c>
      <c r="AF198" s="24" t="s">
        <v>34</v>
      </c>
    </row>
    <row r="199" spans="1:32">
      <c r="A199" s="12">
        <v>181</v>
      </c>
      <c r="B199" s="3" t="s">
        <v>260</v>
      </c>
      <c r="C199" s="3">
        <v>300</v>
      </c>
      <c r="D199" s="12">
        <v>300</v>
      </c>
      <c r="E199" s="12">
        <v>300</v>
      </c>
      <c r="F199" s="12">
        <v>11.209999999999999</v>
      </c>
      <c r="G199" s="12">
        <v>11.209999999999999</v>
      </c>
      <c r="H199" s="12">
        <v>6.4899999999999993</v>
      </c>
      <c r="I199" s="12">
        <v>0</v>
      </c>
      <c r="J199" s="12">
        <v>0</v>
      </c>
      <c r="K199" s="12">
        <v>9486.3082448051009</v>
      </c>
      <c r="L199" s="12">
        <f t="shared" si="9"/>
        <v>8527.4941999999992</v>
      </c>
      <c r="S199" s="12">
        <v>318.61247328947132</v>
      </c>
      <c r="T199" s="12">
        <v>690</v>
      </c>
      <c r="U199" s="12">
        <v>21000</v>
      </c>
      <c r="V199" s="12">
        <f t="shared" si="10"/>
        <v>18.467484769983226</v>
      </c>
      <c r="W199" s="12">
        <v>0.62905100000000003</v>
      </c>
      <c r="AB199" s="12">
        <v>1.1026699208821982</v>
      </c>
      <c r="AC199" s="13">
        <v>1.33</v>
      </c>
      <c r="AE199" s="12" t="s">
        <v>538</v>
      </c>
      <c r="AF199" s="24" t="s">
        <v>34</v>
      </c>
    </row>
    <row r="200" spans="1:32">
      <c r="A200" s="12">
        <v>182</v>
      </c>
      <c r="B200" s="3" t="s">
        <v>261</v>
      </c>
      <c r="C200" s="3">
        <v>300</v>
      </c>
      <c r="D200" s="12">
        <v>300</v>
      </c>
      <c r="E200" s="12">
        <v>300</v>
      </c>
      <c r="F200" s="12">
        <v>11.209999999999999</v>
      </c>
      <c r="G200" s="12">
        <v>11.209999999999999</v>
      </c>
      <c r="H200" s="12">
        <v>6.4899999999999993</v>
      </c>
      <c r="I200" s="12">
        <v>0</v>
      </c>
      <c r="J200" s="12">
        <v>0</v>
      </c>
      <c r="K200" s="12">
        <v>11911.379525431967</v>
      </c>
      <c r="L200" s="12">
        <f t="shared" si="9"/>
        <v>8527.4941999999992</v>
      </c>
      <c r="S200" s="12">
        <v>213.07076572917052</v>
      </c>
      <c r="T200" s="12">
        <v>690</v>
      </c>
      <c r="U200" s="12">
        <v>21000</v>
      </c>
      <c r="V200" s="12">
        <f t="shared" si="10"/>
        <v>27.615102324637924</v>
      </c>
      <c r="W200" s="12">
        <v>0.62139200000000006</v>
      </c>
      <c r="AB200" s="12">
        <v>1.1026699208821982</v>
      </c>
      <c r="AC200" s="13">
        <v>1.67</v>
      </c>
      <c r="AE200" s="12" t="s">
        <v>539</v>
      </c>
      <c r="AF200" s="24" t="s">
        <v>34</v>
      </c>
    </row>
    <row r="201" spans="1:32">
      <c r="A201" s="12">
        <v>183</v>
      </c>
      <c r="B201" s="3" t="s">
        <v>262</v>
      </c>
      <c r="C201" s="3">
        <v>300</v>
      </c>
      <c r="D201" s="12">
        <v>300</v>
      </c>
      <c r="E201" s="12">
        <v>300</v>
      </c>
      <c r="F201" s="12">
        <v>11.209999999999999</v>
      </c>
      <c r="G201" s="12">
        <v>11.209999999999999</v>
      </c>
      <c r="H201" s="12">
        <v>6.4899999999999993</v>
      </c>
      <c r="I201" s="12">
        <v>0</v>
      </c>
      <c r="J201" s="12">
        <v>0</v>
      </c>
      <c r="K201" s="12">
        <v>14265.125180158044</v>
      </c>
      <c r="L201" s="12">
        <f t="shared" si="9"/>
        <v>8527.4941999999992</v>
      </c>
      <c r="S201" s="12">
        <v>153.36113201377029</v>
      </c>
      <c r="T201" s="12">
        <v>690</v>
      </c>
      <c r="U201" s="12">
        <v>21000</v>
      </c>
      <c r="V201" s="12">
        <f t="shared" si="10"/>
        <v>38.366768168297547</v>
      </c>
      <c r="W201" s="12">
        <v>0.61646999999999996</v>
      </c>
      <c r="AB201" s="12">
        <v>1.1026699208821982</v>
      </c>
      <c r="AC201" s="13">
        <v>2</v>
      </c>
      <c r="AE201" s="12" t="s">
        <v>540</v>
      </c>
      <c r="AF201" s="24" t="s">
        <v>34</v>
      </c>
    </row>
    <row r="202" spans="1:32">
      <c r="A202" s="12">
        <v>184</v>
      </c>
      <c r="B202" s="3" t="s">
        <v>263</v>
      </c>
      <c r="C202" s="3">
        <v>300</v>
      </c>
      <c r="D202" s="12">
        <v>300</v>
      </c>
      <c r="E202" s="12">
        <v>300</v>
      </c>
      <c r="F202" s="12">
        <v>11.209999999999999</v>
      </c>
      <c r="G202" s="12">
        <v>11.209999999999999</v>
      </c>
      <c r="H202" s="12">
        <v>6.4899999999999993</v>
      </c>
      <c r="I202" s="12">
        <v>0</v>
      </c>
      <c r="J202" s="12">
        <v>0</v>
      </c>
      <c r="K202" s="12">
        <v>17831.406475197557</v>
      </c>
      <c r="L202" s="12">
        <f t="shared" si="9"/>
        <v>8527.4941999999992</v>
      </c>
      <c r="S202" s="12">
        <v>101.23059847747011</v>
      </c>
      <c r="T202" s="12">
        <v>690</v>
      </c>
      <c r="U202" s="12">
        <v>21000</v>
      </c>
      <c r="V202" s="12">
        <f t="shared" si="10"/>
        <v>58.124431609574422</v>
      </c>
      <c r="W202" s="12">
        <v>0.607236</v>
      </c>
      <c r="AB202" s="12">
        <v>1.1026699208821982</v>
      </c>
      <c r="AC202" s="13">
        <v>2.5</v>
      </c>
      <c r="AE202" s="12" t="s">
        <v>541</v>
      </c>
      <c r="AF202" s="24" t="s">
        <v>34</v>
      </c>
    </row>
    <row r="203" spans="1:32">
      <c r="A203" s="12">
        <v>185</v>
      </c>
      <c r="B203" s="3" t="s">
        <v>264</v>
      </c>
      <c r="C203" s="3">
        <v>300</v>
      </c>
      <c r="D203" s="12">
        <v>300</v>
      </c>
      <c r="E203" s="12">
        <v>300</v>
      </c>
      <c r="F203" s="12">
        <v>8.2080000000000002</v>
      </c>
      <c r="G203" s="12">
        <v>8.2080000000000002</v>
      </c>
      <c r="H203" s="12">
        <v>4.7519999999999998</v>
      </c>
      <c r="I203" s="12">
        <v>0</v>
      </c>
      <c r="J203" s="12">
        <v>0</v>
      </c>
      <c r="K203" s="12">
        <v>2160.5023585019617</v>
      </c>
      <c r="L203" s="12">
        <f t="shared" si="9"/>
        <v>6272.3911680000001</v>
      </c>
      <c r="S203" s="12">
        <v>1112.2361410840945</v>
      </c>
      <c r="T203" s="12">
        <v>690</v>
      </c>
      <c r="U203" s="12">
        <v>21000</v>
      </c>
      <c r="V203" s="12">
        <f t="shared" si="10"/>
        <v>3.8912149552176527</v>
      </c>
      <c r="W203" s="12">
        <v>0.76858599999999999</v>
      </c>
      <c r="AB203" s="12">
        <v>1.5093980321271014</v>
      </c>
      <c r="AC203" s="13">
        <v>0.3</v>
      </c>
      <c r="AE203" s="12" t="s">
        <v>542</v>
      </c>
      <c r="AF203" s="24" t="s">
        <v>34</v>
      </c>
    </row>
    <row r="204" spans="1:32">
      <c r="A204" s="12">
        <v>186</v>
      </c>
      <c r="B204" s="3" t="s">
        <v>265</v>
      </c>
      <c r="C204" s="3">
        <v>300</v>
      </c>
      <c r="D204" s="12">
        <v>300</v>
      </c>
      <c r="E204" s="12">
        <v>300</v>
      </c>
      <c r="F204" s="12">
        <v>8.2080000000000002</v>
      </c>
      <c r="G204" s="12">
        <v>8.2080000000000002</v>
      </c>
      <c r="H204" s="12">
        <v>4.7519999999999998</v>
      </c>
      <c r="I204" s="12">
        <v>0</v>
      </c>
      <c r="J204" s="12">
        <v>0</v>
      </c>
      <c r="K204" s="12">
        <v>3600.8372641699361</v>
      </c>
      <c r="L204" s="12">
        <f t="shared" si="9"/>
        <v>6272.3911680000001</v>
      </c>
      <c r="S204" s="12">
        <v>926.59517716357152</v>
      </c>
      <c r="T204" s="12">
        <v>690</v>
      </c>
      <c r="U204" s="12">
        <v>21000</v>
      </c>
      <c r="V204" s="12">
        <f t="shared" si="10"/>
        <v>4.6708098774789848</v>
      </c>
      <c r="W204" s="12">
        <v>0.60477700000000001</v>
      </c>
      <c r="AB204" s="12">
        <v>1.5093980321271014</v>
      </c>
      <c r="AC204" s="13">
        <v>0.5</v>
      </c>
      <c r="AE204" s="12" t="s">
        <v>543</v>
      </c>
      <c r="AF204" s="23" t="s">
        <v>35</v>
      </c>
    </row>
    <row r="205" spans="1:32">
      <c r="A205" s="12">
        <v>187</v>
      </c>
      <c r="B205" s="3" t="s">
        <v>266</v>
      </c>
      <c r="C205" s="3">
        <v>300</v>
      </c>
      <c r="D205" s="12">
        <v>300</v>
      </c>
      <c r="E205" s="12">
        <v>300</v>
      </c>
      <c r="F205" s="12">
        <v>8.2080000000000002</v>
      </c>
      <c r="G205" s="12">
        <v>8.2080000000000002</v>
      </c>
      <c r="H205" s="12">
        <v>4.7519999999999998</v>
      </c>
      <c r="I205" s="12">
        <v>0</v>
      </c>
      <c r="J205" s="12">
        <v>0</v>
      </c>
      <c r="K205" s="12">
        <v>5401.2558962549047</v>
      </c>
      <c r="L205" s="12">
        <f t="shared" si="9"/>
        <v>6272.3911680000001</v>
      </c>
      <c r="S205" s="12">
        <v>674.96285658269755</v>
      </c>
      <c r="T205" s="12">
        <v>690</v>
      </c>
      <c r="U205" s="12">
        <v>21000</v>
      </c>
      <c r="V205" s="12">
        <f t="shared" si="10"/>
        <v>6.4121304805307195</v>
      </c>
      <c r="W205" s="12">
        <v>0.44506699999999999</v>
      </c>
      <c r="AB205" s="12">
        <v>1.5093980321271014</v>
      </c>
      <c r="AC205" s="13">
        <v>0.75</v>
      </c>
      <c r="AE205" s="12" t="s">
        <v>544</v>
      </c>
      <c r="AF205" s="24" t="s">
        <v>34</v>
      </c>
    </row>
    <row r="206" spans="1:32">
      <c r="A206" s="12">
        <v>188</v>
      </c>
      <c r="B206" s="3" t="s">
        <v>267</v>
      </c>
      <c r="C206" s="3">
        <v>300</v>
      </c>
      <c r="D206" s="12">
        <v>300</v>
      </c>
      <c r="E206" s="12">
        <v>300</v>
      </c>
      <c r="F206" s="12">
        <v>8.2080000000000002</v>
      </c>
      <c r="G206" s="12">
        <v>8.2080000000000002</v>
      </c>
      <c r="H206" s="12">
        <v>4.7519999999999998</v>
      </c>
      <c r="I206" s="12">
        <v>0</v>
      </c>
      <c r="J206" s="12">
        <v>0</v>
      </c>
      <c r="K206" s="12">
        <v>7201.6745283398723</v>
      </c>
      <c r="L206" s="12">
        <f t="shared" si="9"/>
        <v>6272.3911680000001</v>
      </c>
      <c r="S206" s="12">
        <v>470.57715125327212</v>
      </c>
      <c r="T206" s="12">
        <v>690</v>
      </c>
      <c r="U206" s="12">
        <v>21000</v>
      </c>
      <c r="V206" s="12">
        <f t="shared" si="10"/>
        <v>9.197110175012785</v>
      </c>
      <c r="W206" s="12">
        <v>0.388768</v>
      </c>
      <c r="AB206" s="12">
        <v>1.5093980321271014</v>
      </c>
      <c r="AC206" s="13">
        <v>1</v>
      </c>
      <c r="AE206" s="12" t="s">
        <v>545</v>
      </c>
      <c r="AF206" s="24" t="s">
        <v>34</v>
      </c>
    </row>
    <row r="207" spans="1:32">
      <c r="A207" s="12">
        <v>189</v>
      </c>
      <c r="B207" s="3" t="s">
        <v>268</v>
      </c>
      <c r="C207" s="3">
        <v>300</v>
      </c>
      <c r="D207" s="12">
        <v>300</v>
      </c>
      <c r="E207" s="12">
        <v>300</v>
      </c>
      <c r="F207" s="12">
        <v>8.2080000000000002</v>
      </c>
      <c r="G207" s="12">
        <v>8.2080000000000002</v>
      </c>
      <c r="H207" s="12">
        <v>4.7519999999999998</v>
      </c>
      <c r="I207" s="12">
        <v>0</v>
      </c>
      <c r="J207" s="12">
        <v>0</v>
      </c>
      <c r="K207" s="12">
        <v>9578.2271226920311</v>
      </c>
      <c r="L207" s="12">
        <f t="shared" si="9"/>
        <v>6272.3911680000001</v>
      </c>
      <c r="S207" s="12">
        <v>302.33146747899639</v>
      </c>
      <c r="T207" s="12">
        <v>690</v>
      </c>
      <c r="U207" s="12">
        <v>21000</v>
      </c>
      <c r="V207" s="12">
        <f t="shared" si="10"/>
        <v>14.315247903265881</v>
      </c>
      <c r="W207" s="12">
        <v>0.40965000000000001</v>
      </c>
      <c r="AB207" s="12">
        <v>1.5093980321271014</v>
      </c>
      <c r="AC207" s="13">
        <v>1.33</v>
      </c>
      <c r="AE207" s="12" t="s">
        <v>546</v>
      </c>
      <c r="AF207" s="24" t="s">
        <v>34</v>
      </c>
    </row>
    <row r="208" spans="1:32">
      <c r="A208" s="12">
        <v>190</v>
      </c>
      <c r="B208" s="3" t="s">
        <v>269</v>
      </c>
      <c r="C208" s="3">
        <v>300</v>
      </c>
      <c r="D208" s="12">
        <v>300</v>
      </c>
      <c r="E208" s="12">
        <v>300</v>
      </c>
      <c r="F208" s="12">
        <v>8.2080000000000002</v>
      </c>
      <c r="G208" s="12">
        <v>8.2080000000000002</v>
      </c>
      <c r="H208" s="12">
        <v>4.7519999999999998</v>
      </c>
      <c r="I208" s="12">
        <v>0</v>
      </c>
      <c r="J208" s="12">
        <v>0</v>
      </c>
      <c r="K208" s="12">
        <v>12026.796462327586</v>
      </c>
      <c r="L208" s="12">
        <f t="shared" si="9"/>
        <v>6272.3911680000001</v>
      </c>
      <c r="S208" s="12">
        <v>204.89357995249722</v>
      </c>
      <c r="T208" s="12">
        <v>690</v>
      </c>
      <c r="U208" s="12">
        <v>21000</v>
      </c>
      <c r="V208" s="12">
        <f t="shared" si="10"/>
        <v>21.122916134919393</v>
      </c>
      <c r="W208" s="12">
        <v>0.401897</v>
      </c>
      <c r="AB208" s="12">
        <v>1.5093980321271014</v>
      </c>
      <c r="AC208" s="13">
        <v>1.67</v>
      </c>
      <c r="AE208" s="12" t="s">
        <v>547</v>
      </c>
      <c r="AF208" s="24" t="s">
        <v>34</v>
      </c>
    </row>
    <row r="209" spans="1:32">
      <c r="A209" s="12">
        <v>191</v>
      </c>
      <c r="B209" s="3" t="s">
        <v>270</v>
      </c>
      <c r="C209" s="3">
        <v>300</v>
      </c>
      <c r="D209" s="12">
        <v>300</v>
      </c>
      <c r="E209" s="12">
        <v>300</v>
      </c>
      <c r="F209" s="12">
        <v>8.2080000000000002</v>
      </c>
      <c r="G209" s="12">
        <v>8.2080000000000002</v>
      </c>
      <c r="H209" s="12">
        <v>4.7519999999999998</v>
      </c>
      <c r="I209" s="12">
        <v>0</v>
      </c>
      <c r="J209" s="12">
        <v>0</v>
      </c>
      <c r="K209" s="12">
        <v>14403.349056679745</v>
      </c>
      <c r="L209" s="12">
        <f t="shared" si="9"/>
        <v>6272.3911680000001</v>
      </c>
      <c r="S209" s="12">
        <v>148.5117530551021</v>
      </c>
      <c r="T209" s="12">
        <v>690</v>
      </c>
      <c r="U209" s="12">
        <v>21000</v>
      </c>
      <c r="V209" s="12">
        <f t="shared" si="10"/>
        <v>29.142137352012853</v>
      </c>
      <c r="W209" s="12">
        <v>0.39790900000000001</v>
      </c>
      <c r="AB209" s="12">
        <v>1.5093980321271014</v>
      </c>
      <c r="AC209" s="13">
        <v>2</v>
      </c>
      <c r="AE209" s="12" t="s">
        <v>548</v>
      </c>
      <c r="AF209" s="24" t="s">
        <v>34</v>
      </c>
    </row>
    <row r="210" spans="1:32">
      <c r="A210" s="12">
        <v>192</v>
      </c>
      <c r="B210" s="3" t="s">
        <v>271</v>
      </c>
      <c r="C210" s="3">
        <v>300</v>
      </c>
      <c r="D210" s="12">
        <v>300</v>
      </c>
      <c r="E210" s="12">
        <v>300</v>
      </c>
      <c r="F210" s="12">
        <v>8.2080000000000002</v>
      </c>
      <c r="G210" s="12">
        <v>8.2080000000000002</v>
      </c>
      <c r="H210" s="12">
        <v>4.7519999999999998</v>
      </c>
      <c r="I210" s="12">
        <v>0</v>
      </c>
      <c r="J210" s="12">
        <v>0</v>
      </c>
      <c r="K210" s="12">
        <v>18004.18632084968</v>
      </c>
      <c r="L210" s="12">
        <f t="shared" si="9"/>
        <v>6272.3911680000001</v>
      </c>
      <c r="S210" s="12">
        <v>98.628684564932087</v>
      </c>
      <c r="T210" s="12">
        <v>690</v>
      </c>
      <c r="U210" s="12">
        <v>21000</v>
      </c>
      <c r="V210" s="12">
        <f t="shared" si="10"/>
        <v>43.881249405396851</v>
      </c>
      <c r="W210" s="12">
        <v>0.39565099999999997</v>
      </c>
      <c r="AB210" s="12">
        <v>1.5093980321271014</v>
      </c>
      <c r="AC210" s="13">
        <v>2.5</v>
      </c>
      <c r="AE210" s="12" t="s">
        <v>549</v>
      </c>
      <c r="AF210" s="23" t="s">
        <v>646</v>
      </c>
    </row>
    <row r="211" spans="1:32">
      <c r="A211" s="12">
        <v>193</v>
      </c>
      <c r="B211" s="3" t="s">
        <v>272</v>
      </c>
      <c r="C211" s="3">
        <v>180</v>
      </c>
      <c r="D211" s="12">
        <v>180</v>
      </c>
      <c r="E211" s="12">
        <v>400</v>
      </c>
      <c r="F211" s="12">
        <v>13.5</v>
      </c>
      <c r="G211" s="12">
        <v>13.5</v>
      </c>
      <c r="H211" s="12">
        <v>50</v>
      </c>
      <c r="I211" s="12">
        <v>0</v>
      </c>
      <c r="J211" s="12">
        <v>0</v>
      </c>
      <c r="K211" s="12">
        <v>2085.6588464983192</v>
      </c>
      <c r="L211" s="12">
        <f t="shared" si="9"/>
        <v>23510</v>
      </c>
      <c r="S211" s="12">
        <v>2708.9316833810267</v>
      </c>
      <c r="T211" s="12">
        <v>690</v>
      </c>
      <c r="U211" s="12">
        <v>21000</v>
      </c>
      <c r="V211" s="12">
        <f t="shared" si="10"/>
        <v>5.9883016244076677</v>
      </c>
      <c r="W211" s="12">
        <v>4.8171299999999997</v>
      </c>
      <c r="AB211" s="12">
        <v>0.3550200773318104</v>
      </c>
      <c r="AC211" s="13">
        <v>0.3</v>
      </c>
      <c r="AE211" s="12" t="s">
        <v>550</v>
      </c>
      <c r="AF211" s="24" t="s">
        <v>34</v>
      </c>
    </row>
    <row r="212" spans="1:32">
      <c r="A212" s="12">
        <v>194</v>
      </c>
      <c r="B212" s="3" t="s">
        <v>273</v>
      </c>
      <c r="C212" s="3">
        <v>180</v>
      </c>
      <c r="D212" s="12">
        <v>180</v>
      </c>
      <c r="E212" s="12">
        <v>400</v>
      </c>
      <c r="F212" s="12">
        <v>13.5</v>
      </c>
      <c r="G212" s="12">
        <v>13.5</v>
      </c>
      <c r="H212" s="12">
        <v>50</v>
      </c>
      <c r="I212" s="12">
        <v>0</v>
      </c>
      <c r="J212" s="12">
        <v>0</v>
      </c>
      <c r="K212" s="12">
        <v>3476.0980774971986</v>
      </c>
      <c r="L212" s="12">
        <f t="shared" ref="L212:L275" si="11">2*C212*F212+(E212-2*F212)*H212</f>
        <v>23510</v>
      </c>
      <c r="S212" s="12">
        <v>1396.664898474437</v>
      </c>
      <c r="T212" s="12">
        <v>690</v>
      </c>
      <c r="U212" s="12">
        <v>21000</v>
      </c>
      <c r="V212" s="12">
        <f t="shared" ref="V212:V275" si="12">L212*T212/(S212*1000)</f>
        <v>11.614740241355689</v>
      </c>
      <c r="W212" s="12">
        <v>4.8897000000000004</v>
      </c>
      <c r="AB212" s="12">
        <v>0.3550200773318104</v>
      </c>
      <c r="AC212" s="13">
        <v>0.5</v>
      </c>
      <c r="AE212" s="12" t="s">
        <v>551</v>
      </c>
      <c r="AF212" s="23" t="s">
        <v>35</v>
      </c>
    </row>
    <row r="213" spans="1:32">
      <c r="A213" s="12">
        <v>195</v>
      </c>
      <c r="B213" s="3" t="s">
        <v>274</v>
      </c>
      <c r="C213" s="3">
        <v>180</v>
      </c>
      <c r="D213" s="12">
        <v>180</v>
      </c>
      <c r="E213" s="12">
        <v>400</v>
      </c>
      <c r="F213" s="12">
        <v>13.5</v>
      </c>
      <c r="G213" s="12">
        <v>13.5</v>
      </c>
      <c r="H213" s="12">
        <v>50</v>
      </c>
      <c r="I213" s="12">
        <v>0</v>
      </c>
      <c r="J213" s="12">
        <v>0</v>
      </c>
      <c r="K213" s="12">
        <v>5214.1471162457974</v>
      </c>
      <c r="L213" s="12">
        <f t="shared" si="11"/>
        <v>23510</v>
      </c>
      <c r="S213" s="12">
        <v>705.42709649862877</v>
      </c>
      <c r="T213" s="12">
        <v>690</v>
      </c>
      <c r="U213" s="12">
        <v>21000</v>
      </c>
      <c r="V213" s="12">
        <f t="shared" si="12"/>
        <v>22.995856099825239</v>
      </c>
      <c r="W213" s="12">
        <v>4.4496799999999999</v>
      </c>
      <c r="AB213" s="12">
        <v>0.3550200773318104</v>
      </c>
      <c r="AC213" s="13">
        <v>0.75</v>
      </c>
      <c r="AE213" s="12" t="s">
        <v>552</v>
      </c>
      <c r="AF213" s="24" t="s">
        <v>34</v>
      </c>
    </row>
    <row r="214" spans="1:32">
      <c r="A214" s="12">
        <v>196</v>
      </c>
      <c r="B214" s="3" t="s">
        <v>275</v>
      </c>
      <c r="C214" s="3">
        <v>180</v>
      </c>
      <c r="D214" s="12">
        <v>180</v>
      </c>
      <c r="E214" s="12">
        <v>400</v>
      </c>
      <c r="F214" s="12">
        <v>13.5</v>
      </c>
      <c r="G214" s="12">
        <v>13.5</v>
      </c>
      <c r="H214" s="12">
        <v>50</v>
      </c>
      <c r="I214" s="12">
        <v>0</v>
      </c>
      <c r="J214" s="12">
        <v>0</v>
      </c>
      <c r="K214" s="12">
        <v>6952.1961549943971</v>
      </c>
      <c r="L214" s="12">
        <f t="shared" si="11"/>
        <v>23510</v>
      </c>
      <c r="S214" s="12">
        <v>418.9493184636566</v>
      </c>
      <c r="T214" s="12">
        <v>690</v>
      </c>
      <c r="U214" s="12">
        <v>21000</v>
      </c>
      <c r="V214" s="12">
        <f t="shared" si="12"/>
        <v>38.720435348809936</v>
      </c>
      <c r="W214" s="12">
        <v>4.2189500000000004</v>
      </c>
      <c r="AB214" s="12">
        <v>0.3550200773318104</v>
      </c>
      <c r="AC214" s="13">
        <v>1</v>
      </c>
      <c r="AE214" s="12" t="s">
        <v>553</v>
      </c>
      <c r="AF214" s="24" t="s">
        <v>34</v>
      </c>
    </row>
    <row r="215" spans="1:32">
      <c r="A215" s="12">
        <v>197</v>
      </c>
      <c r="B215" s="3" t="s">
        <v>276</v>
      </c>
      <c r="C215" s="3">
        <v>180</v>
      </c>
      <c r="D215" s="12">
        <v>180</v>
      </c>
      <c r="E215" s="12">
        <v>400</v>
      </c>
      <c r="F215" s="12">
        <v>13.5</v>
      </c>
      <c r="G215" s="12">
        <v>13.5</v>
      </c>
      <c r="H215" s="12">
        <v>50</v>
      </c>
      <c r="I215" s="12">
        <v>0</v>
      </c>
      <c r="J215" s="12">
        <v>0</v>
      </c>
      <c r="K215" s="12">
        <v>9246.4208861425486</v>
      </c>
      <c r="L215" s="12">
        <f t="shared" si="11"/>
        <v>23510</v>
      </c>
      <c r="S215" s="12">
        <v>246.00696440449227</v>
      </c>
      <c r="T215" s="12">
        <v>690</v>
      </c>
      <c r="U215" s="12">
        <v>21000</v>
      </c>
      <c r="V215" s="12">
        <f t="shared" si="12"/>
        <v>65.940816103593917</v>
      </c>
      <c r="W215" s="12">
        <v>4.01267</v>
      </c>
      <c r="AB215" s="12">
        <v>0.3550200773318104</v>
      </c>
      <c r="AC215" s="13">
        <v>1.33</v>
      </c>
      <c r="AE215" s="12" t="s">
        <v>554</v>
      </c>
      <c r="AF215" s="24" t="s">
        <v>34</v>
      </c>
    </row>
    <row r="216" spans="1:32">
      <c r="A216" s="12">
        <v>198</v>
      </c>
      <c r="B216" s="3" t="s">
        <v>277</v>
      </c>
      <c r="C216" s="3">
        <v>180</v>
      </c>
      <c r="D216" s="12">
        <v>180</v>
      </c>
      <c r="E216" s="12">
        <v>400</v>
      </c>
      <c r="F216" s="12">
        <v>13.5</v>
      </c>
      <c r="G216" s="12">
        <v>13.5</v>
      </c>
      <c r="H216" s="12">
        <v>50</v>
      </c>
      <c r="I216" s="12">
        <v>0</v>
      </c>
      <c r="J216" s="12">
        <v>0</v>
      </c>
      <c r="K216" s="12">
        <v>11610.167578840643</v>
      </c>
      <c r="L216" s="12">
        <f t="shared" si="11"/>
        <v>23510</v>
      </c>
      <c r="S216" s="12">
        <v>159.63965628342962</v>
      </c>
      <c r="T216" s="12">
        <v>690</v>
      </c>
      <c r="U216" s="12">
        <v>21000</v>
      </c>
      <c r="V216" s="12">
        <f t="shared" si="12"/>
        <v>101.61572868334854</v>
      </c>
      <c r="W216" s="12">
        <v>3.8855200000000001</v>
      </c>
      <c r="AB216" s="12">
        <v>0.3550200773318104</v>
      </c>
      <c r="AC216" s="13">
        <v>1.67</v>
      </c>
      <c r="AE216" s="12" t="s">
        <v>555</v>
      </c>
      <c r="AF216" s="24" t="s">
        <v>34</v>
      </c>
    </row>
    <row r="217" spans="1:32">
      <c r="A217" s="12">
        <v>199</v>
      </c>
      <c r="B217" s="3" t="s">
        <v>278</v>
      </c>
      <c r="C217" s="3">
        <v>180</v>
      </c>
      <c r="D217" s="12">
        <v>180</v>
      </c>
      <c r="E217" s="12">
        <v>400</v>
      </c>
      <c r="F217" s="12">
        <v>13.5</v>
      </c>
      <c r="G217" s="12">
        <v>13.5</v>
      </c>
      <c r="H217" s="12">
        <v>50</v>
      </c>
      <c r="I217" s="12">
        <v>0</v>
      </c>
      <c r="J217" s="12">
        <v>0</v>
      </c>
      <c r="K217" s="12">
        <v>13904.392309988794</v>
      </c>
      <c r="L217" s="12">
        <f t="shared" si="11"/>
        <v>23510</v>
      </c>
      <c r="S217" s="12">
        <v>112.94760372942508</v>
      </c>
      <c r="T217" s="12">
        <v>690</v>
      </c>
      <c r="U217" s="12">
        <v>21000</v>
      </c>
      <c r="V217" s="12">
        <f t="shared" si="12"/>
        <v>143.62323293605098</v>
      </c>
      <c r="W217" s="12">
        <v>3.8066300000000002</v>
      </c>
      <c r="AB217" s="12">
        <v>0.3550200773318104</v>
      </c>
      <c r="AC217" s="13">
        <v>2</v>
      </c>
      <c r="AE217" s="12" t="s">
        <v>556</v>
      </c>
      <c r="AF217" s="24" t="s">
        <v>34</v>
      </c>
    </row>
    <row r="218" spans="1:32">
      <c r="A218" s="12">
        <v>200</v>
      </c>
      <c r="B218" s="3" t="s">
        <v>279</v>
      </c>
      <c r="C218" s="3">
        <v>180</v>
      </c>
      <c r="D218" s="12">
        <v>180</v>
      </c>
      <c r="E218" s="12">
        <v>400</v>
      </c>
      <c r="F218" s="12">
        <v>13.5</v>
      </c>
      <c r="G218" s="12">
        <v>13.5</v>
      </c>
      <c r="H218" s="12">
        <v>50</v>
      </c>
      <c r="I218" s="12">
        <v>0</v>
      </c>
      <c r="J218" s="12">
        <v>0</v>
      </c>
      <c r="K218" s="12">
        <v>17380.490387485992</v>
      </c>
      <c r="L218" s="12">
        <f t="shared" si="11"/>
        <v>23510</v>
      </c>
      <c r="S218" s="12">
        <v>73.366887537102784</v>
      </c>
      <c r="T218" s="12">
        <v>690</v>
      </c>
      <c r="U218" s="12">
        <v>21000</v>
      </c>
      <c r="V218" s="12">
        <f t="shared" si="12"/>
        <v>221.10655834754243</v>
      </c>
      <c r="W218" s="12">
        <v>3.7334900000000002</v>
      </c>
      <c r="AB218" s="12">
        <v>0.3550200773318104</v>
      </c>
      <c r="AC218" s="13">
        <v>2.5</v>
      </c>
      <c r="AE218" s="12" t="s">
        <v>557</v>
      </c>
      <c r="AF218" s="24" t="s">
        <v>34</v>
      </c>
    </row>
    <row r="219" spans="1:32">
      <c r="A219" s="12">
        <v>201</v>
      </c>
      <c r="B219" s="3" t="s">
        <v>280</v>
      </c>
      <c r="C219" s="3">
        <v>180</v>
      </c>
      <c r="D219" s="12">
        <v>180</v>
      </c>
      <c r="E219" s="12">
        <v>400</v>
      </c>
      <c r="F219" s="12">
        <v>13.5</v>
      </c>
      <c r="G219" s="12">
        <v>13.5</v>
      </c>
      <c r="H219" s="12">
        <v>24.5</v>
      </c>
      <c r="I219" s="12">
        <v>0</v>
      </c>
      <c r="J219" s="12">
        <v>0</v>
      </c>
      <c r="K219" s="12">
        <v>2297.9112716622139</v>
      </c>
      <c r="L219" s="12">
        <f t="shared" si="11"/>
        <v>13998.5</v>
      </c>
      <c r="S219" s="12">
        <v>1612.9723594134121</v>
      </c>
      <c r="T219" s="12">
        <v>690</v>
      </c>
      <c r="U219" s="12">
        <v>21000</v>
      </c>
      <c r="V219" s="12">
        <f t="shared" si="12"/>
        <v>5.9883016244076659</v>
      </c>
      <c r="W219" s="12">
        <v>3.2498499999999999</v>
      </c>
      <c r="AB219" s="12">
        <v>0.50420742049940981</v>
      </c>
      <c r="AC219" s="13">
        <v>0.3</v>
      </c>
      <c r="AE219" s="12" t="s">
        <v>558</v>
      </c>
      <c r="AF219" s="23" t="s">
        <v>35</v>
      </c>
    </row>
    <row r="220" spans="1:32">
      <c r="A220" s="12">
        <v>202</v>
      </c>
      <c r="B220" s="3" t="s">
        <v>281</v>
      </c>
      <c r="C220" s="3">
        <v>180</v>
      </c>
      <c r="D220" s="12">
        <v>180</v>
      </c>
      <c r="E220" s="12">
        <v>400</v>
      </c>
      <c r="F220" s="12">
        <v>13.5</v>
      </c>
      <c r="G220" s="12">
        <v>13.5</v>
      </c>
      <c r="H220" s="12">
        <v>24.5</v>
      </c>
      <c r="I220" s="12">
        <v>0</v>
      </c>
      <c r="J220" s="12">
        <v>0</v>
      </c>
      <c r="K220" s="12">
        <v>3829.8521194370237</v>
      </c>
      <c r="L220" s="12">
        <f t="shared" si="11"/>
        <v>13998.5</v>
      </c>
      <c r="S220" s="12">
        <v>831.61265764757195</v>
      </c>
      <c r="T220" s="12">
        <v>690</v>
      </c>
      <c r="U220" s="12">
        <v>21000</v>
      </c>
      <c r="V220" s="12">
        <f t="shared" si="12"/>
        <v>11.614740241355682</v>
      </c>
      <c r="W220" s="12">
        <v>4.2494100000000001</v>
      </c>
      <c r="AB220" s="12">
        <v>0.50420742049940981</v>
      </c>
      <c r="AC220" s="13">
        <v>0.5</v>
      </c>
      <c r="AE220" s="12" t="s">
        <v>559</v>
      </c>
      <c r="AF220" s="24" t="s">
        <v>34</v>
      </c>
    </row>
    <row r="221" spans="1:32">
      <c r="A221" s="12">
        <v>203</v>
      </c>
      <c r="B221" s="3" t="s">
        <v>282</v>
      </c>
      <c r="C221" s="3">
        <v>180</v>
      </c>
      <c r="D221" s="12">
        <v>180</v>
      </c>
      <c r="E221" s="12">
        <v>400</v>
      </c>
      <c r="F221" s="12">
        <v>13.5</v>
      </c>
      <c r="G221" s="12">
        <v>13.5</v>
      </c>
      <c r="H221" s="12">
        <v>24.5</v>
      </c>
      <c r="I221" s="12">
        <v>0</v>
      </c>
      <c r="J221" s="12">
        <v>0</v>
      </c>
      <c r="K221" s="12">
        <v>5744.7781791555353</v>
      </c>
      <c r="L221" s="12">
        <f t="shared" si="11"/>
        <v>13998.5</v>
      </c>
      <c r="S221" s="12">
        <v>420.0306767475991</v>
      </c>
      <c r="T221" s="12">
        <v>690</v>
      </c>
      <c r="U221" s="12">
        <v>21000</v>
      </c>
      <c r="V221" s="12">
        <f t="shared" si="12"/>
        <v>22.995856099825239</v>
      </c>
      <c r="W221" s="12">
        <v>4.2884700000000002</v>
      </c>
      <c r="AB221" s="12">
        <v>0.50420742049940981</v>
      </c>
      <c r="AC221" s="13">
        <v>0.75</v>
      </c>
      <c r="AE221" s="12" t="s">
        <v>560</v>
      </c>
      <c r="AF221" s="24" t="s">
        <v>34</v>
      </c>
    </row>
    <row r="222" spans="1:32">
      <c r="A222" s="12">
        <v>204</v>
      </c>
      <c r="B222" s="3" t="s">
        <v>283</v>
      </c>
      <c r="C222" s="3">
        <v>180</v>
      </c>
      <c r="D222" s="12">
        <v>180</v>
      </c>
      <c r="E222" s="12">
        <v>400</v>
      </c>
      <c r="F222" s="12">
        <v>13.5</v>
      </c>
      <c r="G222" s="12">
        <v>13.5</v>
      </c>
      <c r="H222" s="12">
        <v>24.5</v>
      </c>
      <c r="I222" s="12">
        <v>0</v>
      </c>
      <c r="J222" s="12">
        <v>0</v>
      </c>
      <c r="K222" s="12">
        <v>7659.7042388740474</v>
      </c>
      <c r="L222" s="12">
        <f t="shared" si="11"/>
        <v>13998.5</v>
      </c>
      <c r="S222" s="12">
        <v>249.45393596399407</v>
      </c>
      <c r="T222" s="12">
        <v>690</v>
      </c>
      <c r="U222" s="12">
        <v>21000</v>
      </c>
      <c r="V222" s="12">
        <f t="shared" si="12"/>
        <v>38.720435348809914</v>
      </c>
      <c r="W222" s="12">
        <v>4.12399</v>
      </c>
      <c r="AB222" s="12">
        <v>0.50420742049940981</v>
      </c>
      <c r="AC222" s="13">
        <v>1</v>
      </c>
      <c r="AE222" s="12" t="s">
        <v>561</v>
      </c>
      <c r="AF222" s="24" t="s">
        <v>34</v>
      </c>
    </row>
    <row r="223" spans="1:32">
      <c r="A223" s="12">
        <v>205</v>
      </c>
      <c r="B223" s="3" t="s">
        <v>284</v>
      </c>
      <c r="C223" s="3">
        <v>180</v>
      </c>
      <c r="D223" s="12">
        <v>180</v>
      </c>
      <c r="E223" s="12">
        <v>400</v>
      </c>
      <c r="F223" s="12">
        <v>13.5</v>
      </c>
      <c r="G223" s="12">
        <v>13.5</v>
      </c>
      <c r="H223" s="12">
        <v>24.5</v>
      </c>
      <c r="I223" s="12">
        <v>0</v>
      </c>
      <c r="J223" s="12">
        <v>0</v>
      </c>
      <c r="K223" s="12">
        <v>10187.406637702483</v>
      </c>
      <c r="L223" s="12">
        <f t="shared" si="11"/>
        <v>13998.5</v>
      </c>
      <c r="S223" s="12">
        <v>146.4793063043933</v>
      </c>
      <c r="T223" s="12">
        <v>690</v>
      </c>
      <c r="U223" s="12">
        <v>21000</v>
      </c>
      <c r="V223" s="12">
        <f t="shared" si="12"/>
        <v>65.940816103593889</v>
      </c>
      <c r="W223" s="12">
        <v>3.9363899999999998</v>
      </c>
      <c r="AB223" s="12">
        <v>0.50420742049940981</v>
      </c>
      <c r="AC223" s="13">
        <v>1.33</v>
      </c>
      <c r="AE223" s="12" t="s">
        <v>562</v>
      </c>
      <c r="AF223" s="24" t="s">
        <v>34</v>
      </c>
    </row>
    <row r="224" spans="1:32">
      <c r="A224" s="12">
        <v>206</v>
      </c>
      <c r="B224" s="3" t="s">
        <v>285</v>
      </c>
      <c r="C224" s="3">
        <v>180</v>
      </c>
      <c r="D224" s="12">
        <v>180</v>
      </c>
      <c r="E224" s="12">
        <v>400</v>
      </c>
      <c r="F224" s="12">
        <v>13.5</v>
      </c>
      <c r="G224" s="12">
        <v>13.5</v>
      </c>
      <c r="H224" s="12">
        <v>24.5</v>
      </c>
      <c r="I224" s="12">
        <v>0</v>
      </c>
      <c r="J224" s="12">
        <v>0</v>
      </c>
      <c r="K224" s="12">
        <v>12791.706078919658</v>
      </c>
      <c r="L224" s="12">
        <f t="shared" si="11"/>
        <v>13998.5</v>
      </c>
      <c r="S224" s="12">
        <v>95.053837876800941</v>
      </c>
      <c r="T224" s="12">
        <v>690</v>
      </c>
      <c r="U224" s="12">
        <v>21000</v>
      </c>
      <c r="V224" s="12">
        <f t="shared" si="12"/>
        <v>101.61572868334851</v>
      </c>
      <c r="W224" s="12">
        <v>3.81494</v>
      </c>
      <c r="AB224" s="12">
        <v>0.50420742049940981</v>
      </c>
      <c r="AC224" s="13">
        <v>1.67</v>
      </c>
      <c r="AE224" s="12" t="s">
        <v>563</v>
      </c>
      <c r="AF224" s="24" t="s">
        <v>34</v>
      </c>
    </row>
    <row r="225" spans="1:32">
      <c r="A225" s="12">
        <v>207</v>
      </c>
      <c r="B225" s="3" t="s">
        <v>286</v>
      </c>
      <c r="C225" s="3">
        <v>180</v>
      </c>
      <c r="D225" s="12">
        <v>180</v>
      </c>
      <c r="E225" s="12">
        <v>400</v>
      </c>
      <c r="F225" s="12">
        <v>13.5</v>
      </c>
      <c r="G225" s="12">
        <v>13.5</v>
      </c>
      <c r="H225" s="12">
        <v>24.5</v>
      </c>
      <c r="I225" s="12">
        <v>0</v>
      </c>
      <c r="J225" s="12">
        <v>0</v>
      </c>
      <c r="K225" s="12">
        <v>15319.408477748095</v>
      </c>
      <c r="L225" s="12">
        <f t="shared" si="11"/>
        <v>13998.5</v>
      </c>
      <c r="S225" s="12">
        <v>67.252106797378048</v>
      </c>
      <c r="T225" s="12">
        <v>690</v>
      </c>
      <c r="U225" s="12">
        <v>21000</v>
      </c>
      <c r="V225" s="12">
        <f t="shared" si="12"/>
        <v>143.62323293605093</v>
      </c>
      <c r="W225" s="12">
        <v>3.7388599999999999</v>
      </c>
      <c r="AB225" s="12">
        <v>0.50420742049940981</v>
      </c>
      <c r="AC225" s="13">
        <v>2</v>
      </c>
      <c r="AE225" s="12" t="s">
        <v>564</v>
      </c>
      <c r="AF225" s="24" t="s">
        <v>34</v>
      </c>
    </row>
    <row r="226" spans="1:32">
      <c r="A226" s="12">
        <v>208</v>
      </c>
      <c r="B226" s="3" t="s">
        <v>287</v>
      </c>
      <c r="C226" s="3">
        <v>180</v>
      </c>
      <c r="D226" s="12">
        <v>180</v>
      </c>
      <c r="E226" s="12">
        <v>400</v>
      </c>
      <c r="F226" s="12">
        <v>13.5</v>
      </c>
      <c r="G226" s="12">
        <v>13.5</v>
      </c>
      <c r="H226" s="12">
        <v>24.5</v>
      </c>
      <c r="I226" s="12">
        <v>0</v>
      </c>
      <c r="J226" s="12">
        <v>0</v>
      </c>
      <c r="K226" s="12">
        <v>19149.260597185119</v>
      </c>
      <c r="L226" s="12">
        <f t="shared" si="11"/>
        <v>13998.5</v>
      </c>
      <c r="S226" s="12">
        <v>43.684660790647953</v>
      </c>
      <c r="T226" s="12">
        <v>690</v>
      </c>
      <c r="U226" s="12">
        <v>21000</v>
      </c>
      <c r="V226" s="12">
        <f t="shared" si="12"/>
        <v>221.1065583475424</v>
      </c>
      <c r="W226" s="12">
        <v>3.66859</v>
      </c>
      <c r="AB226" s="12">
        <v>0.50420742049940981</v>
      </c>
      <c r="AC226" s="13">
        <v>2.5</v>
      </c>
      <c r="AE226" s="12" t="s">
        <v>565</v>
      </c>
      <c r="AF226" s="24" t="s">
        <v>34</v>
      </c>
    </row>
    <row r="227" spans="1:32">
      <c r="A227" s="12">
        <v>209</v>
      </c>
      <c r="B227" s="3" t="s">
        <v>288</v>
      </c>
      <c r="C227" s="3">
        <v>181</v>
      </c>
      <c r="D227" s="12">
        <v>181</v>
      </c>
      <c r="E227" s="12">
        <v>400</v>
      </c>
      <c r="F227" s="12">
        <v>13.5</v>
      </c>
      <c r="G227" s="12">
        <v>13.5</v>
      </c>
      <c r="H227" s="12">
        <v>20</v>
      </c>
      <c r="I227" s="12">
        <v>0</v>
      </c>
      <c r="J227" s="12">
        <v>0</v>
      </c>
      <c r="K227" s="12">
        <v>2365.1048785040048</v>
      </c>
      <c r="L227" s="12">
        <f t="shared" si="11"/>
        <v>12347</v>
      </c>
      <c r="S227" s="12">
        <v>1423.75067221514</v>
      </c>
      <c r="T227" s="12">
        <v>690</v>
      </c>
      <c r="U227" s="12">
        <v>21000</v>
      </c>
      <c r="V227" s="12">
        <f t="shared" si="12"/>
        <v>5.9837934873421759</v>
      </c>
      <c r="W227" s="12">
        <v>2.8714</v>
      </c>
      <c r="AB227" s="12">
        <v>0.60172287236842936</v>
      </c>
      <c r="AC227" s="13">
        <v>0.3</v>
      </c>
      <c r="AE227" s="12" t="s">
        <v>566</v>
      </c>
      <c r="AF227" s="24" t="s">
        <v>34</v>
      </c>
    </row>
    <row r="228" spans="1:32">
      <c r="A228" s="12">
        <v>210</v>
      </c>
      <c r="B228" s="3" t="s">
        <v>289</v>
      </c>
      <c r="C228" s="3">
        <v>182</v>
      </c>
      <c r="D228" s="12">
        <v>182</v>
      </c>
      <c r="E228" s="12">
        <v>400</v>
      </c>
      <c r="F228" s="12">
        <v>13.5</v>
      </c>
      <c r="G228" s="12">
        <v>13.5</v>
      </c>
      <c r="H228" s="12">
        <v>20</v>
      </c>
      <c r="I228" s="12">
        <v>0</v>
      </c>
      <c r="J228" s="12">
        <v>0</v>
      </c>
      <c r="K228" s="12">
        <v>3941.8414641733416</v>
      </c>
      <c r="L228" s="12">
        <f t="shared" si="11"/>
        <v>12374</v>
      </c>
      <c r="S228" s="12">
        <v>736.90655898703619</v>
      </c>
      <c r="T228" s="12">
        <v>690</v>
      </c>
      <c r="U228" s="12">
        <v>21000</v>
      </c>
      <c r="V228" s="12">
        <f t="shared" si="12"/>
        <v>11.586353650775692</v>
      </c>
      <c r="W228" s="12">
        <v>3.6524000000000001</v>
      </c>
      <c r="AB228" s="12">
        <v>0.60172287236842936</v>
      </c>
      <c r="AC228" s="13">
        <v>0.5</v>
      </c>
      <c r="AE228" s="12" t="s">
        <v>567</v>
      </c>
      <c r="AF228" s="24" t="s">
        <v>34</v>
      </c>
    </row>
    <row r="229" spans="1:32">
      <c r="A229" s="12">
        <v>211</v>
      </c>
      <c r="B229" s="3" t="s">
        <v>290</v>
      </c>
      <c r="C229" s="3">
        <v>183</v>
      </c>
      <c r="D229" s="12">
        <v>183</v>
      </c>
      <c r="E229" s="12">
        <v>400</v>
      </c>
      <c r="F229" s="12">
        <v>13.5</v>
      </c>
      <c r="G229" s="12">
        <v>13.5</v>
      </c>
      <c r="H229" s="12">
        <v>20</v>
      </c>
      <c r="I229" s="12">
        <v>0</v>
      </c>
      <c r="J229" s="12">
        <v>0</v>
      </c>
      <c r="K229" s="12">
        <v>5912.7621962600124</v>
      </c>
      <c r="L229" s="12">
        <f t="shared" si="11"/>
        <v>12401</v>
      </c>
      <c r="S229" s="12">
        <v>373.64091549302623</v>
      </c>
      <c r="T229" s="12">
        <v>690</v>
      </c>
      <c r="U229" s="12">
        <v>21000</v>
      </c>
      <c r="V229" s="12">
        <f t="shared" si="12"/>
        <v>22.900837796924051</v>
      </c>
      <c r="W229" s="12">
        <v>4.1090799999999996</v>
      </c>
      <c r="AB229" s="12">
        <v>0.60172287236842936</v>
      </c>
      <c r="AC229" s="13">
        <v>0.75</v>
      </c>
      <c r="AE229" s="12" t="s">
        <v>568</v>
      </c>
      <c r="AF229" s="24" t="s">
        <v>34</v>
      </c>
    </row>
    <row r="230" spans="1:32">
      <c r="A230" s="12">
        <v>212</v>
      </c>
      <c r="B230" s="3" t="s">
        <v>291</v>
      </c>
      <c r="C230" s="3">
        <v>184</v>
      </c>
      <c r="D230" s="12">
        <v>184</v>
      </c>
      <c r="E230" s="12">
        <v>400</v>
      </c>
      <c r="F230" s="12">
        <v>13.5</v>
      </c>
      <c r="G230" s="12">
        <v>13.5</v>
      </c>
      <c r="H230" s="12">
        <v>20</v>
      </c>
      <c r="I230" s="12">
        <v>0</v>
      </c>
      <c r="J230" s="12">
        <v>0</v>
      </c>
      <c r="K230" s="12">
        <v>7883.6829283466832</v>
      </c>
      <c r="L230" s="12">
        <f t="shared" si="11"/>
        <v>12428</v>
      </c>
      <c r="S230" s="12">
        <v>222.73914852432671</v>
      </c>
      <c r="T230" s="12">
        <v>690</v>
      </c>
      <c r="U230" s="12">
        <v>21000</v>
      </c>
      <c r="V230" s="12">
        <f t="shared" si="12"/>
        <v>38.499383951193636</v>
      </c>
      <c r="W230" s="12">
        <v>4.04704</v>
      </c>
      <c r="AB230" s="12">
        <v>0.60172287236842936</v>
      </c>
      <c r="AC230" s="13">
        <v>1</v>
      </c>
      <c r="AE230" s="12" t="s">
        <v>569</v>
      </c>
      <c r="AF230" s="24" t="s">
        <v>34</v>
      </c>
    </row>
    <row r="231" spans="1:32">
      <c r="A231" s="12">
        <v>213</v>
      </c>
      <c r="B231" s="3" t="s">
        <v>292</v>
      </c>
      <c r="C231" s="3">
        <v>185</v>
      </c>
      <c r="D231" s="12">
        <v>185</v>
      </c>
      <c r="E231" s="12">
        <v>400</v>
      </c>
      <c r="F231" s="12">
        <v>13.5</v>
      </c>
      <c r="G231" s="12">
        <v>13.5</v>
      </c>
      <c r="H231" s="12">
        <v>20</v>
      </c>
      <c r="I231" s="12">
        <v>0</v>
      </c>
      <c r="J231" s="12">
        <v>0</v>
      </c>
      <c r="K231" s="12">
        <v>10485.29829470109</v>
      </c>
      <c r="L231" s="12">
        <f t="shared" si="11"/>
        <v>12455</v>
      </c>
      <c r="S231" s="12">
        <v>131.28361655337187</v>
      </c>
      <c r="T231" s="12">
        <v>690</v>
      </c>
      <c r="U231" s="12">
        <v>21000</v>
      </c>
      <c r="V231" s="12">
        <f t="shared" si="12"/>
        <v>65.460948027023818</v>
      </c>
      <c r="W231" s="12">
        <v>3.9108200000000002</v>
      </c>
      <c r="AB231" s="12">
        <v>0.60172287236842936</v>
      </c>
      <c r="AC231" s="13">
        <v>1.33</v>
      </c>
      <c r="AE231" s="12" t="s">
        <v>570</v>
      </c>
      <c r="AF231" s="24" t="s">
        <v>34</v>
      </c>
    </row>
    <row r="232" spans="1:32">
      <c r="A232" s="12">
        <v>214</v>
      </c>
      <c r="B232" s="3" t="s">
        <v>293</v>
      </c>
      <c r="C232" s="3">
        <v>186</v>
      </c>
      <c r="D232" s="12">
        <v>186</v>
      </c>
      <c r="E232" s="12">
        <v>400</v>
      </c>
      <c r="F232" s="12">
        <v>13.5</v>
      </c>
      <c r="G232" s="12">
        <v>13.5</v>
      </c>
      <c r="H232" s="12">
        <v>20</v>
      </c>
      <c r="I232" s="12">
        <v>0</v>
      </c>
      <c r="J232" s="12">
        <v>0</v>
      </c>
      <c r="K232" s="12">
        <v>13165.75049033896</v>
      </c>
      <c r="L232" s="12">
        <f t="shared" si="11"/>
        <v>12482</v>
      </c>
      <c r="S232" s="12">
        <v>85.509844533093272</v>
      </c>
      <c r="T232" s="12">
        <v>690</v>
      </c>
      <c r="U232" s="12">
        <v>21000</v>
      </c>
      <c r="V232" s="12">
        <f t="shared" si="12"/>
        <v>100.72033281111668</v>
      </c>
      <c r="W232" s="12">
        <v>3.79312</v>
      </c>
      <c r="AB232" s="12">
        <v>0.60172287236842936</v>
      </c>
      <c r="AC232" s="13">
        <v>1.67</v>
      </c>
      <c r="AE232" s="12" t="s">
        <v>571</v>
      </c>
      <c r="AF232" s="24" t="s">
        <v>34</v>
      </c>
    </row>
    <row r="233" spans="1:32">
      <c r="A233" s="12">
        <v>215</v>
      </c>
      <c r="B233" s="3" t="s">
        <v>294</v>
      </c>
      <c r="C233" s="3">
        <v>187</v>
      </c>
      <c r="D233" s="12">
        <v>187</v>
      </c>
      <c r="E233" s="12">
        <v>400</v>
      </c>
      <c r="F233" s="12">
        <v>13.5</v>
      </c>
      <c r="G233" s="12">
        <v>13.5</v>
      </c>
      <c r="H233" s="12">
        <v>20</v>
      </c>
      <c r="I233" s="12">
        <v>0</v>
      </c>
      <c r="J233" s="12">
        <v>0</v>
      </c>
      <c r="K233" s="12">
        <v>15767.365856693366</v>
      </c>
      <c r="L233" s="12">
        <f t="shared" si="11"/>
        <v>12509</v>
      </c>
      <c r="S233" s="12">
        <v>60.72297447910654</v>
      </c>
      <c r="T233" s="12">
        <v>690</v>
      </c>
      <c r="U233" s="12">
        <v>21000</v>
      </c>
      <c r="V233" s="12">
        <f t="shared" si="12"/>
        <v>142.14076425010788</v>
      </c>
      <c r="W233" s="12">
        <v>3.7184699999999999</v>
      </c>
      <c r="AB233" s="12">
        <v>0.60172287236842936</v>
      </c>
      <c r="AC233" s="13">
        <v>2</v>
      </c>
      <c r="AE233" s="12" t="s">
        <v>572</v>
      </c>
      <c r="AF233" s="24" t="s">
        <v>34</v>
      </c>
    </row>
    <row r="234" spans="1:32">
      <c r="A234" s="12">
        <v>216</v>
      </c>
      <c r="B234" s="3" t="s">
        <v>295</v>
      </c>
      <c r="C234" s="3">
        <v>188</v>
      </c>
      <c r="D234" s="12">
        <v>188</v>
      </c>
      <c r="E234" s="12">
        <v>400</v>
      </c>
      <c r="F234" s="12">
        <v>13.5</v>
      </c>
      <c r="G234" s="12">
        <v>13.5</v>
      </c>
      <c r="H234" s="12">
        <v>20</v>
      </c>
      <c r="I234" s="12">
        <v>0</v>
      </c>
      <c r="J234" s="12">
        <v>0</v>
      </c>
      <c r="K234" s="12">
        <v>19709.207320866706</v>
      </c>
      <c r="L234" s="12">
        <f t="shared" si="11"/>
        <v>12536</v>
      </c>
      <c r="S234" s="12">
        <v>39.58953311970631</v>
      </c>
      <c r="T234" s="12">
        <v>690</v>
      </c>
      <c r="U234" s="12">
        <v>21000</v>
      </c>
      <c r="V234" s="12">
        <f t="shared" si="12"/>
        <v>218.48805273468622</v>
      </c>
      <c r="W234" s="12">
        <v>3.64852</v>
      </c>
      <c r="AB234" s="12">
        <v>0.60172287236842936</v>
      </c>
      <c r="AC234" s="13">
        <v>2.5</v>
      </c>
      <c r="AE234" s="12" t="s">
        <v>573</v>
      </c>
      <c r="AF234" s="24" t="s">
        <v>34</v>
      </c>
    </row>
    <row r="235" spans="1:32">
      <c r="A235" s="12">
        <v>217</v>
      </c>
      <c r="B235" s="3" t="s">
        <v>296</v>
      </c>
      <c r="C235" s="3">
        <v>189</v>
      </c>
      <c r="D235" s="12">
        <v>189</v>
      </c>
      <c r="E235" s="12">
        <v>400</v>
      </c>
      <c r="F235" s="12">
        <v>13.5</v>
      </c>
      <c r="G235" s="12">
        <v>13.5</v>
      </c>
      <c r="H235" s="12">
        <v>13.5</v>
      </c>
      <c r="I235" s="12">
        <v>0</v>
      </c>
      <c r="J235" s="12">
        <v>0</v>
      </c>
      <c r="K235" s="12">
        <v>2496.7891738672952</v>
      </c>
      <c r="L235" s="12">
        <f t="shared" si="11"/>
        <v>10138.5</v>
      </c>
      <c r="S235" s="12">
        <v>1535.7609013363685</v>
      </c>
      <c r="T235" s="12">
        <v>690</v>
      </c>
      <c r="U235" s="12">
        <v>21000</v>
      </c>
      <c r="V235" s="12">
        <f t="shared" si="12"/>
        <v>4.5551133603627294</v>
      </c>
      <c r="W235" s="12">
        <v>1.85548</v>
      </c>
      <c r="AB235" s="12">
        <v>0.80762280341764636</v>
      </c>
      <c r="AC235" s="13">
        <v>0.3</v>
      </c>
      <c r="AE235" s="12" t="s">
        <v>574</v>
      </c>
      <c r="AF235" s="23" t="s">
        <v>35</v>
      </c>
    </row>
    <row r="236" spans="1:32">
      <c r="A236" s="12">
        <v>218</v>
      </c>
      <c r="B236" s="3" t="s">
        <v>297</v>
      </c>
      <c r="C236" s="3">
        <v>190</v>
      </c>
      <c r="D236" s="12">
        <v>190</v>
      </c>
      <c r="E236" s="12">
        <v>400</v>
      </c>
      <c r="F236" s="12">
        <v>13.5</v>
      </c>
      <c r="G236" s="12">
        <v>13.5</v>
      </c>
      <c r="H236" s="12">
        <v>13.5</v>
      </c>
      <c r="I236" s="12">
        <v>0</v>
      </c>
      <c r="J236" s="12">
        <v>0</v>
      </c>
      <c r="K236" s="12">
        <v>4161.315289778825</v>
      </c>
      <c r="L236" s="12">
        <f t="shared" si="11"/>
        <v>10165.5</v>
      </c>
      <c r="S236" s="12">
        <v>1031.5507252021018</v>
      </c>
      <c r="T236" s="12">
        <v>690</v>
      </c>
      <c r="U236" s="12">
        <v>21000</v>
      </c>
      <c r="V236" s="12">
        <f t="shared" si="12"/>
        <v>6.7996607715299469</v>
      </c>
      <c r="W236" s="12">
        <v>1.7102999999999999</v>
      </c>
      <c r="AB236" s="12">
        <v>0.80762280341764636</v>
      </c>
      <c r="AC236" s="13">
        <v>0.5</v>
      </c>
      <c r="AE236" s="12" t="s">
        <v>575</v>
      </c>
      <c r="AF236" s="24" t="s">
        <v>34</v>
      </c>
    </row>
    <row r="237" spans="1:32">
      <c r="A237" s="12">
        <v>219</v>
      </c>
      <c r="B237" s="3" t="s">
        <v>298</v>
      </c>
      <c r="C237" s="3">
        <v>191</v>
      </c>
      <c r="D237" s="12">
        <v>191</v>
      </c>
      <c r="E237" s="12">
        <v>400</v>
      </c>
      <c r="F237" s="12">
        <v>13.5</v>
      </c>
      <c r="G237" s="12">
        <v>13.5</v>
      </c>
      <c r="H237" s="12">
        <v>13.5</v>
      </c>
      <c r="I237" s="12">
        <v>0</v>
      </c>
      <c r="J237" s="12">
        <v>0</v>
      </c>
      <c r="K237" s="12">
        <v>6241.9729346682379</v>
      </c>
      <c r="L237" s="12">
        <f t="shared" si="11"/>
        <v>10192.5</v>
      </c>
      <c r="S237" s="12">
        <v>593.66710944396357</v>
      </c>
      <c r="T237" s="12">
        <v>690</v>
      </c>
      <c r="U237" s="12">
        <v>21000</v>
      </c>
      <c r="V237" s="12">
        <f t="shared" si="12"/>
        <v>11.846411714785809</v>
      </c>
      <c r="W237" s="12">
        <v>1.71811</v>
      </c>
      <c r="AB237" s="12">
        <v>0.80762280341764636</v>
      </c>
      <c r="AC237" s="13">
        <v>0.75</v>
      </c>
      <c r="AE237" s="12" t="s">
        <v>576</v>
      </c>
      <c r="AF237" s="24" t="s">
        <v>34</v>
      </c>
    </row>
    <row r="238" spans="1:32">
      <c r="A238" s="12">
        <v>220</v>
      </c>
      <c r="B238" s="3" t="s">
        <v>299</v>
      </c>
      <c r="C238" s="3">
        <v>192</v>
      </c>
      <c r="D238" s="12">
        <v>192</v>
      </c>
      <c r="E238" s="12">
        <v>400</v>
      </c>
      <c r="F238" s="12">
        <v>13.5</v>
      </c>
      <c r="G238" s="12">
        <v>13.5</v>
      </c>
      <c r="H238" s="12">
        <v>13.5</v>
      </c>
      <c r="I238" s="12">
        <v>0</v>
      </c>
      <c r="J238" s="12">
        <v>0</v>
      </c>
      <c r="K238" s="12">
        <v>8322.63057955765</v>
      </c>
      <c r="L238" s="12">
        <f t="shared" si="11"/>
        <v>10219.5</v>
      </c>
      <c r="S238" s="12">
        <v>370.81381104572426</v>
      </c>
      <c r="T238" s="12">
        <v>690</v>
      </c>
      <c r="U238" s="12">
        <v>21000</v>
      </c>
      <c r="V238" s="12">
        <f t="shared" si="12"/>
        <v>19.016160644379291</v>
      </c>
      <c r="W238" s="12">
        <v>1.8220400000000001</v>
      </c>
      <c r="AB238" s="12">
        <v>0.80762280341764636</v>
      </c>
      <c r="AC238" s="13">
        <v>1</v>
      </c>
      <c r="AE238" s="12" t="s">
        <v>577</v>
      </c>
      <c r="AF238" s="24" t="s">
        <v>34</v>
      </c>
    </row>
    <row r="239" spans="1:32">
      <c r="A239" s="12">
        <v>221</v>
      </c>
      <c r="B239" s="3" t="s">
        <v>300</v>
      </c>
      <c r="C239" s="3">
        <v>193</v>
      </c>
      <c r="D239" s="12">
        <v>193</v>
      </c>
      <c r="E239" s="12">
        <v>400</v>
      </c>
      <c r="F239" s="12">
        <v>13.5</v>
      </c>
      <c r="G239" s="12">
        <v>13.5</v>
      </c>
      <c r="H239" s="12">
        <v>13.5</v>
      </c>
      <c r="I239" s="12">
        <v>0</v>
      </c>
      <c r="J239" s="12">
        <v>0</v>
      </c>
      <c r="K239" s="12">
        <v>11069.098670811676</v>
      </c>
      <c r="L239" s="12">
        <f t="shared" si="11"/>
        <v>10246.5</v>
      </c>
      <c r="S239" s="12">
        <v>224.9873846337502</v>
      </c>
      <c r="T239" s="12">
        <v>690</v>
      </c>
      <c r="U239" s="12">
        <v>21000</v>
      </c>
      <c r="V239" s="12">
        <f t="shared" si="12"/>
        <v>31.424361910376295</v>
      </c>
      <c r="W239" s="12">
        <v>1.82263</v>
      </c>
      <c r="AB239" s="12">
        <v>0.80762280341764636</v>
      </c>
      <c r="AC239" s="13">
        <v>1.33</v>
      </c>
      <c r="AE239" s="12" t="s">
        <v>578</v>
      </c>
      <c r="AF239" s="24" t="s">
        <v>34</v>
      </c>
    </row>
    <row r="240" spans="1:32">
      <c r="A240" s="12">
        <v>222</v>
      </c>
      <c r="B240" s="3" t="s">
        <v>301</v>
      </c>
      <c r="C240" s="3">
        <v>194</v>
      </c>
      <c r="D240" s="12">
        <v>194</v>
      </c>
      <c r="E240" s="12">
        <v>400</v>
      </c>
      <c r="F240" s="12">
        <v>13.5</v>
      </c>
      <c r="G240" s="12">
        <v>13.5</v>
      </c>
      <c r="H240" s="12">
        <v>13.5</v>
      </c>
      <c r="I240" s="12">
        <v>0</v>
      </c>
      <c r="J240" s="12">
        <v>0</v>
      </c>
      <c r="K240" s="12">
        <v>13898.793067861276</v>
      </c>
      <c r="L240" s="12">
        <f t="shared" si="11"/>
        <v>10273.5</v>
      </c>
      <c r="S240" s="12">
        <v>149.14511380751941</v>
      </c>
      <c r="T240" s="12">
        <v>690</v>
      </c>
      <c r="U240" s="12">
        <v>21000</v>
      </c>
      <c r="V240" s="12">
        <f t="shared" si="12"/>
        <v>47.52897911994895</v>
      </c>
      <c r="W240" s="12">
        <v>1.7877099999999999</v>
      </c>
      <c r="AB240" s="12">
        <v>0.80762280341764636</v>
      </c>
      <c r="AC240" s="13">
        <v>1.67</v>
      </c>
      <c r="AE240" s="12" t="s">
        <v>579</v>
      </c>
      <c r="AF240" s="24" t="s">
        <v>34</v>
      </c>
    </row>
    <row r="241" spans="1:32">
      <c r="A241" s="12">
        <v>223</v>
      </c>
      <c r="B241" s="3" t="s">
        <v>302</v>
      </c>
      <c r="C241" s="3">
        <v>195</v>
      </c>
      <c r="D241" s="12">
        <v>195</v>
      </c>
      <c r="E241" s="12">
        <v>400</v>
      </c>
      <c r="F241" s="12">
        <v>13.5</v>
      </c>
      <c r="G241" s="12">
        <v>13.5</v>
      </c>
      <c r="H241" s="12">
        <v>13.5</v>
      </c>
      <c r="I241" s="12">
        <v>0</v>
      </c>
      <c r="J241" s="12">
        <v>0</v>
      </c>
      <c r="K241" s="12">
        <v>16645.2611591153</v>
      </c>
      <c r="L241" s="12">
        <f t="shared" si="11"/>
        <v>10300.5</v>
      </c>
      <c r="S241" s="12">
        <v>107.24493740799188</v>
      </c>
      <c r="T241" s="12">
        <v>690</v>
      </c>
      <c r="U241" s="12">
        <v>21000</v>
      </c>
      <c r="V241" s="12">
        <f t="shared" si="12"/>
        <v>66.27207933332582</v>
      </c>
      <c r="W241" s="12">
        <v>1.75691</v>
      </c>
      <c r="AB241" s="12">
        <v>0.80762280341764636</v>
      </c>
      <c r="AC241" s="13">
        <v>2</v>
      </c>
      <c r="AE241" s="12" t="s">
        <v>580</v>
      </c>
      <c r="AF241" s="24" t="s">
        <v>34</v>
      </c>
    </row>
    <row r="242" spans="1:32">
      <c r="A242" s="12">
        <v>224</v>
      </c>
      <c r="B242" s="3" t="s">
        <v>303</v>
      </c>
      <c r="C242" s="3">
        <v>196</v>
      </c>
      <c r="D242" s="12">
        <v>196</v>
      </c>
      <c r="E242" s="12">
        <v>400</v>
      </c>
      <c r="F242" s="12">
        <v>13.5</v>
      </c>
      <c r="G242" s="12">
        <v>13.5</v>
      </c>
      <c r="H242" s="12">
        <v>13.5</v>
      </c>
      <c r="I242" s="12">
        <v>0</v>
      </c>
      <c r="J242" s="12">
        <v>0</v>
      </c>
      <c r="K242" s="12">
        <v>20806.576448894128</v>
      </c>
      <c r="L242" s="12">
        <f t="shared" si="11"/>
        <v>10327.5</v>
      </c>
      <c r="S242" s="12">
        <v>70.787756968910983</v>
      </c>
      <c r="T242" s="12">
        <v>690</v>
      </c>
      <c r="U242" s="12">
        <v>21000</v>
      </c>
      <c r="V242" s="12">
        <f t="shared" si="12"/>
        <v>100.6667721245869</v>
      </c>
      <c r="W242" s="12">
        <v>1.7187699999999999</v>
      </c>
      <c r="AB242" s="12">
        <v>0.80762280341764636</v>
      </c>
      <c r="AC242" s="13">
        <v>2.5</v>
      </c>
      <c r="AE242" s="12" t="s">
        <v>581</v>
      </c>
      <c r="AF242" s="24" t="s">
        <v>34</v>
      </c>
    </row>
    <row r="243" spans="1:32">
      <c r="A243" s="12">
        <v>225</v>
      </c>
      <c r="B243" s="3" t="s">
        <v>304</v>
      </c>
      <c r="C243" s="3">
        <v>197</v>
      </c>
      <c r="D243" s="12">
        <v>197</v>
      </c>
      <c r="E243" s="12">
        <v>400</v>
      </c>
      <c r="F243" s="12">
        <v>13.5</v>
      </c>
      <c r="G243" s="12">
        <v>13.5</v>
      </c>
      <c r="H243" s="12">
        <v>8.6999999999999993</v>
      </c>
      <c r="I243" s="12">
        <v>0</v>
      </c>
      <c r="J243" s="12">
        <v>0</v>
      </c>
      <c r="K243" s="12">
        <v>2636.7802168476705</v>
      </c>
      <c r="L243" s="12">
        <f t="shared" si="11"/>
        <v>8564.1</v>
      </c>
      <c r="S243" s="12">
        <v>1318.7541211929608</v>
      </c>
      <c r="T243" s="12">
        <v>690</v>
      </c>
      <c r="U243" s="12">
        <v>21000</v>
      </c>
      <c r="V243" s="12">
        <f t="shared" si="12"/>
        <v>4.4809179399222963</v>
      </c>
      <c r="W243" s="12">
        <v>1.5432900000000001</v>
      </c>
      <c r="AB243" s="12">
        <v>1.1133153135475653</v>
      </c>
      <c r="AC243" s="13">
        <v>0.3</v>
      </c>
      <c r="AE243" s="12" t="s">
        <v>582</v>
      </c>
      <c r="AF243" s="23" t="s">
        <v>35</v>
      </c>
    </row>
    <row r="244" spans="1:32">
      <c r="A244" s="12">
        <v>226</v>
      </c>
      <c r="B244" s="3" t="s">
        <v>305</v>
      </c>
      <c r="C244" s="3">
        <v>198</v>
      </c>
      <c r="D244" s="12">
        <v>198</v>
      </c>
      <c r="E244" s="12">
        <v>400</v>
      </c>
      <c r="F244" s="12">
        <v>13.5</v>
      </c>
      <c r="G244" s="12">
        <v>13.5</v>
      </c>
      <c r="H244" s="12">
        <v>8.6999999999999993</v>
      </c>
      <c r="I244" s="12">
        <v>0</v>
      </c>
      <c r="J244" s="12">
        <v>0</v>
      </c>
      <c r="K244" s="12">
        <v>4394.6336947461177</v>
      </c>
      <c r="L244" s="12">
        <f t="shared" si="11"/>
        <v>8591.1</v>
      </c>
      <c r="S244" s="12">
        <v>905.52894826718682</v>
      </c>
      <c r="T244" s="12">
        <v>690</v>
      </c>
      <c r="U244" s="12">
        <v>21000</v>
      </c>
      <c r="V244" s="12">
        <f t="shared" si="12"/>
        <v>6.5462943082532092</v>
      </c>
      <c r="W244" s="12">
        <v>1.3850899999999999</v>
      </c>
      <c r="AB244" s="12">
        <v>1.1133153135475653</v>
      </c>
      <c r="AC244" s="13">
        <v>0.5</v>
      </c>
      <c r="AE244" s="12" t="s">
        <v>583</v>
      </c>
      <c r="AF244" s="24" t="s">
        <v>34</v>
      </c>
    </row>
    <row r="245" spans="1:32">
      <c r="A245" s="12">
        <v>227</v>
      </c>
      <c r="B245" s="3" t="s">
        <v>306</v>
      </c>
      <c r="C245" s="3">
        <v>199</v>
      </c>
      <c r="D245" s="12">
        <v>199</v>
      </c>
      <c r="E245" s="12">
        <v>400</v>
      </c>
      <c r="F245" s="12">
        <v>13.5</v>
      </c>
      <c r="G245" s="12">
        <v>13.5</v>
      </c>
      <c r="H245" s="12">
        <v>8.6999999999999993</v>
      </c>
      <c r="I245" s="12">
        <v>0</v>
      </c>
      <c r="J245" s="12">
        <v>0</v>
      </c>
      <c r="K245" s="12">
        <v>6591.9505421191761</v>
      </c>
      <c r="L245" s="12">
        <f t="shared" si="11"/>
        <v>8618.1</v>
      </c>
      <c r="S245" s="12">
        <v>529.26544134651681</v>
      </c>
      <c r="T245" s="12">
        <v>690</v>
      </c>
      <c r="U245" s="12">
        <v>21000</v>
      </c>
      <c r="V245" s="12">
        <f t="shared" si="12"/>
        <v>11.235362325700683</v>
      </c>
      <c r="W245" s="12">
        <v>1.3792800000000001</v>
      </c>
      <c r="AB245" s="12">
        <v>1.1133153135475653</v>
      </c>
      <c r="AC245" s="13">
        <v>0.75</v>
      </c>
      <c r="AE245" s="12" t="s">
        <v>584</v>
      </c>
      <c r="AF245" s="24" t="s">
        <v>34</v>
      </c>
    </row>
    <row r="246" spans="1:32">
      <c r="A246" s="12">
        <v>228</v>
      </c>
      <c r="B246" s="3" t="s">
        <v>307</v>
      </c>
      <c r="C246" s="3">
        <v>200</v>
      </c>
      <c r="D246" s="12">
        <v>200</v>
      </c>
      <c r="E246" s="12">
        <v>400</v>
      </c>
      <c r="F246" s="12">
        <v>13.5</v>
      </c>
      <c r="G246" s="12">
        <v>13.5</v>
      </c>
      <c r="H246" s="12">
        <v>8.6999999999999993</v>
      </c>
      <c r="I246" s="12">
        <v>0</v>
      </c>
      <c r="J246" s="12">
        <v>0</v>
      </c>
      <c r="K246" s="12">
        <v>8789.2673894922355</v>
      </c>
      <c r="L246" s="12">
        <f t="shared" si="11"/>
        <v>8645.1</v>
      </c>
      <c r="S246" s="12">
        <v>332.42463927875377</v>
      </c>
      <c r="T246" s="12">
        <v>690</v>
      </c>
      <c r="U246" s="12">
        <v>21000</v>
      </c>
      <c r="V246" s="12">
        <f t="shared" si="12"/>
        <v>17.944274566837887</v>
      </c>
      <c r="W246" s="12">
        <v>1.4751799999999999</v>
      </c>
      <c r="AB246" s="12">
        <v>1.1133153135475653</v>
      </c>
      <c r="AC246" s="13">
        <v>1</v>
      </c>
      <c r="AE246" s="12" t="s">
        <v>585</v>
      </c>
      <c r="AF246" s="24" t="s">
        <v>34</v>
      </c>
    </row>
    <row r="247" spans="1:32">
      <c r="A247" s="12">
        <v>229</v>
      </c>
      <c r="B247" s="3" t="s">
        <v>308</v>
      </c>
      <c r="C247" s="3">
        <v>201</v>
      </c>
      <c r="D247" s="12">
        <v>201</v>
      </c>
      <c r="E247" s="12">
        <v>400</v>
      </c>
      <c r="F247" s="12">
        <v>13.5</v>
      </c>
      <c r="G247" s="12">
        <v>13.5</v>
      </c>
      <c r="H247" s="12">
        <v>8.6999999999999993</v>
      </c>
      <c r="I247" s="12">
        <v>0</v>
      </c>
      <c r="J247" s="12">
        <v>0</v>
      </c>
      <c r="K247" s="12">
        <v>11689.725628024673</v>
      </c>
      <c r="L247" s="12">
        <f t="shared" si="11"/>
        <v>8672.1</v>
      </c>
      <c r="S247" s="12">
        <v>202.296715282587</v>
      </c>
      <c r="T247" s="12">
        <v>690</v>
      </c>
      <c r="U247" s="12">
        <v>21000</v>
      </c>
      <c r="V247" s="12">
        <f t="shared" si="12"/>
        <v>29.57907147252163</v>
      </c>
      <c r="W247" s="12">
        <v>1.5513999999999999</v>
      </c>
      <c r="AB247" s="12">
        <v>1.1133153135475653</v>
      </c>
      <c r="AC247" s="13">
        <v>1.33</v>
      </c>
      <c r="AE247" s="12" t="s">
        <v>586</v>
      </c>
      <c r="AF247" s="24" t="s">
        <v>34</v>
      </c>
    </row>
    <row r="248" spans="1:32">
      <c r="A248" s="12">
        <v>230</v>
      </c>
      <c r="B248" s="3" t="s">
        <v>309</v>
      </c>
      <c r="C248" s="3">
        <v>202</v>
      </c>
      <c r="D248" s="12">
        <v>202</v>
      </c>
      <c r="E248" s="12">
        <v>400</v>
      </c>
      <c r="F248" s="12">
        <v>13.5</v>
      </c>
      <c r="G248" s="12">
        <v>13.5</v>
      </c>
      <c r="H248" s="12">
        <v>8.6999999999999993</v>
      </c>
      <c r="I248" s="12">
        <v>0</v>
      </c>
      <c r="J248" s="12">
        <v>0</v>
      </c>
      <c r="K248" s="12">
        <v>14678.076540452032</v>
      </c>
      <c r="L248" s="12">
        <f t="shared" si="11"/>
        <v>8699.1</v>
      </c>
      <c r="S248" s="12">
        <v>134.29738310693136</v>
      </c>
      <c r="T248" s="12">
        <v>690</v>
      </c>
      <c r="U248" s="12">
        <v>21000</v>
      </c>
      <c r="V248" s="12">
        <f t="shared" si="12"/>
        <v>44.694683255449114</v>
      </c>
      <c r="W248" s="12">
        <v>1.5672299999999999</v>
      </c>
      <c r="AB248" s="12">
        <v>1.1133153135475653</v>
      </c>
      <c r="AC248" s="13">
        <v>1.67</v>
      </c>
      <c r="AE248" s="12" t="s">
        <v>587</v>
      </c>
      <c r="AF248" s="24" t="s">
        <v>34</v>
      </c>
    </row>
    <row r="249" spans="1:32">
      <c r="A249" s="12">
        <v>231</v>
      </c>
      <c r="B249" s="3" t="s">
        <v>310</v>
      </c>
      <c r="C249" s="3">
        <v>203</v>
      </c>
      <c r="D249" s="12">
        <v>203</v>
      </c>
      <c r="E249" s="12">
        <v>400</v>
      </c>
      <c r="F249" s="12">
        <v>13.5</v>
      </c>
      <c r="G249" s="12">
        <v>13.5</v>
      </c>
      <c r="H249" s="12">
        <v>8.6999999999999993</v>
      </c>
      <c r="I249" s="12">
        <v>0</v>
      </c>
      <c r="J249" s="12">
        <v>0</v>
      </c>
      <c r="K249" s="12">
        <v>17578.534778984471</v>
      </c>
      <c r="L249" s="12">
        <f t="shared" si="11"/>
        <v>8726.1</v>
      </c>
      <c r="S249" s="12">
        <v>96.646063791324607</v>
      </c>
      <c r="T249" s="12">
        <v>690</v>
      </c>
      <c r="U249" s="12">
        <v>21000</v>
      </c>
      <c r="V249" s="12">
        <f t="shared" si="12"/>
        <v>62.299578108016789</v>
      </c>
      <c r="W249" s="12">
        <v>1.5628599999999999</v>
      </c>
      <c r="AB249" s="12">
        <v>1.1133153135475653</v>
      </c>
      <c r="AC249" s="13">
        <v>2</v>
      </c>
      <c r="AE249" s="12" t="s">
        <v>588</v>
      </c>
      <c r="AF249" s="24" t="s">
        <v>34</v>
      </c>
    </row>
    <row r="250" spans="1:32">
      <c r="A250" s="12">
        <v>232</v>
      </c>
      <c r="B250" s="3" t="s">
        <v>311</v>
      </c>
      <c r="C250" s="3">
        <v>204</v>
      </c>
      <c r="D250" s="12">
        <v>204</v>
      </c>
      <c r="E250" s="12">
        <v>400</v>
      </c>
      <c r="F250" s="12">
        <v>13.5</v>
      </c>
      <c r="G250" s="12">
        <v>13.5</v>
      </c>
      <c r="H250" s="12">
        <v>8.6999999999999993</v>
      </c>
      <c r="I250" s="12">
        <v>0</v>
      </c>
      <c r="J250" s="12">
        <v>0</v>
      </c>
      <c r="K250" s="12">
        <v>21973.168473730588</v>
      </c>
      <c r="L250" s="12">
        <f t="shared" si="11"/>
        <v>8753.1</v>
      </c>
      <c r="S250" s="12">
        <v>63.839349833232347</v>
      </c>
      <c r="T250" s="12">
        <v>690</v>
      </c>
      <c r="U250" s="12">
        <v>21000</v>
      </c>
      <c r="V250" s="12">
        <f t="shared" si="12"/>
        <v>94.606837566130608</v>
      </c>
      <c r="W250" s="12">
        <v>1.5506200000000001</v>
      </c>
      <c r="AB250" s="12">
        <v>1.1133153135475653</v>
      </c>
      <c r="AC250" s="13">
        <v>2.5</v>
      </c>
      <c r="AE250" s="12" t="s">
        <v>589</v>
      </c>
      <c r="AF250" s="24" t="s">
        <v>34</v>
      </c>
    </row>
    <row r="251" spans="1:32">
      <c r="A251" s="12">
        <v>233</v>
      </c>
      <c r="B251" s="3" t="s">
        <v>312</v>
      </c>
      <c r="C251" s="3">
        <v>205</v>
      </c>
      <c r="D251" s="12">
        <v>205</v>
      </c>
      <c r="E251" s="12">
        <v>400</v>
      </c>
      <c r="F251" s="12">
        <v>13.5</v>
      </c>
      <c r="G251" s="12">
        <v>13.5</v>
      </c>
      <c r="H251" s="12">
        <v>6.2</v>
      </c>
      <c r="I251" s="12">
        <v>0</v>
      </c>
      <c r="J251" s="12">
        <v>0</v>
      </c>
      <c r="K251" s="12">
        <v>2732.9474950446765</v>
      </c>
      <c r="L251" s="12">
        <f t="shared" si="11"/>
        <v>7847.6</v>
      </c>
      <c r="S251" s="12">
        <v>1222.6866236377998</v>
      </c>
      <c r="T251" s="12">
        <v>690</v>
      </c>
      <c r="U251" s="12">
        <v>21000</v>
      </c>
      <c r="V251" s="12">
        <f t="shared" si="12"/>
        <v>4.4286441802147785</v>
      </c>
      <c r="W251" s="12">
        <v>1.2775700000000001</v>
      </c>
      <c r="AB251" s="12">
        <v>1.5137471488237149</v>
      </c>
      <c r="AC251" s="13">
        <v>0.3</v>
      </c>
      <c r="AE251" s="12" t="s">
        <v>590</v>
      </c>
      <c r="AF251" s="24" t="s">
        <v>34</v>
      </c>
    </row>
    <row r="252" spans="1:32">
      <c r="A252" s="12">
        <v>234</v>
      </c>
      <c r="B252" s="3" t="s">
        <v>313</v>
      </c>
      <c r="C252" s="3">
        <v>206</v>
      </c>
      <c r="D252" s="12">
        <v>206</v>
      </c>
      <c r="E252" s="12">
        <v>400</v>
      </c>
      <c r="F252" s="12">
        <v>13.5</v>
      </c>
      <c r="G252" s="12">
        <v>13.5</v>
      </c>
      <c r="H252" s="12">
        <v>6.2</v>
      </c>
      <c r="I252" s="12">
        <v>0</v>
      </c>
      <c r="J252" s="12">
        <v>0</v>
      </c>
      <c r="K252" s="12">
        <v>4554.9124917411273</v>
      </c>
      <c r="L252" s="12">
        <f t="shared" si="11"/>
        <v>7874.6</v>
      </c>
      <c r="S252" s="12">
        <v>853.16358892955691</v>
      </c>
      <c r="T252" s="12">
        <v>690</v>
      </c>
      <c r="U252" s="12">
        <v>21000</v>
      </c>
      <c r="V252" s="12">
        <f t="shared" si="12"/>
        <v>6.3686191845308873</v>
      </c>
      <c r="W252" s="12">
        <v>1.1725099999999999</v>
      </c>
      <c r="AB252" s="12">
        <v>1.5137471488237149</v>
      </c>
      <c r="AC252" s="13">
        <v>0.5</v>
      </c>
      <c r="AE252" s="12" t="s">
        <v>591</v>
      </c>
      <c r="AF252" s="24" t="s">
        <v>34</v>
      </c>
    </row>
    <row r="253" spans="1:32">
      <c r="A253" s="12">
        <v>235</v>
      </c>
      <c r="B253" s="3" t="s">
        <v>314</v>
      </c>
      <c r="C253" s="3">
        <v>207</v>
      </c>
      <c r="D253" s="12">
        <v>207</v>
      </c>
      <c r="E253" s="12">
        <v>400</v>
      </c>
      <c r="F253" s="12">
        <v>13.5</v>
      </c>
      <c r="G253" s="12">
        <v>13.5</v>
      </c>
      <c r="H253" s="12">
        <v>6.2</v>
      </c>
      <c r="I253" s="12">
        <v>0</v>
      </c>
      <c r="J253" s="12">
        <v>0</v>
      </c>
      <c r="K253" s="12">
        <v>6832.3687376116914</v>
      </c>
      <c r="L253" s="12">
        <f t="shared" si="11"/>
        <v>7901.6</v>
      </c>
      <c r="S253" s="12">
        <v>504.70876539475751</v>
      </c>
      <c r="T253" s="12">
        <v>690</v>
      </c>
      <c r="U253" s="12">
        <v>21000</v>
      </c>
      <c r="V253" s="12">
        <f t="shared" si="12"/>
        <v>10.802475355734394</v>
      </c>
      <c r="W253" s="12">
        <v>1.1992700000000001</v>
      </c>
      <c r="AB253" s="12">
        <v>1.5137471488237149</v>
      </c>
      <c r="AC253" s="13">
        <v>0.75</v>
      </c>
      <c r="AE253" s="12" t="s">
        <v>592</v>
      </c>
      <c r="AF253" s="24" t="s">
        <v>34</v>
      </c>
    </row>
    <row r="254" spans="1:32">
      <c r="A254" s="12">
        <v>236</v>
      </c>
      <c r="B254" s="3" t="s">
        <v>315</v>
      </c>
      <c r="C254" s="3">
        <v>208</v>
      </c>
      <c r="D254" s="12">
        <v>208</v>
      </c>
      <c r="E254" s="12">
        <v>400</v>
      </c>
      <c r="F254" s="12">
        <v>13.5</v>
      </c>
      <c r="G254" s="12">
        <v>13.5</v>
      </c>
      <c r="H254" s="12">
        <v>6.2</v>
      </c>
      <c r="I254" s="12">
        <v>0</v>
      </c>
      <c r="J254" s="12">
        <v>0</v>
      </c>
      <c r="K254" s="12">
        <v>9109.8249834822545</v>
      </c>
      <c r="L254" s="12">
        <f t="shared" si="11"/>
        <v>7928.6</v>
      </c>
      <c r="S254" s="12">
        <v>318.38334225983135</v>
      </c>
      <c r="T254" s="12">
        <v>690</v>
      </c>
      <c r="U254" s="12">
        <v>21000</v>
      </c>
      <c r="V254" s="12">
        <f t="shared" si="12"/>
        <v>17.182852473278441</v>
      </c>
      <c r="W254" s="12">
        <v>1.2953300000000001</v>
      </c>
      <c r="AB254" s="12">
        <v>1.5137471488237149</v>
      </c>
      <c r="AC254" s="13">
        <v>1</v>
      </c>
      <c r="AE254" s="12" t="s">
        <v>593</v>
      </c>
      <c r="AF254" s="24" t="s">
        <v>34</v>
      </c>
    </row>
    <row r="255" spans="1:32">
      <c r="A255" s="12">
        <v>237</v>
      </c>
      <c r="B255" s="3" t="s">
        <v>316</v>
      </c>
      <c r="C255" s="3">
        <v>209</v>
      </c>
      <c r="D255" s="12">
        <v>209</v>
      </c>
      <c r="E255" s="12">
        <v>400</v>
      </c>
      <c r="F255" s="12">
        <v>13.5</v>
      </c>
      <c r="G255" s="12">
        <v>13.5</v>
      </c>
      <c r="H255" s="12">
        <v>6.2</v>
      </c>
      <c r="I255" s="12">
        <v>0</v>
      </c>
      <c r="J255" s="12">
        <v>0</v>
      </c>
      <c r="K255" s="12">
        <v>12116.067228031401</v>
      </c>
      <c r="L255" s="12">
        <f t="shared" si="11"/>
        <v>7955.6</v>
      </c>
      <c r="S255" s="12">
        <v>194.19349948235757</v>
      </c>
      <c r="T255" s="12">
        <v>690</v>
      </c>
      <c r="U255" s="12">
        <v>21000</v>
      </c>
      <c r="V255" s="12">
        <f t="shared" si="12"/>
        <v>28.267496155290758</v>
      </c>
      <c r="W255" s="12">
        <v>1.4013199999999999</v>
      </c>
      <c r="AB255" s="12">
        <v>1.5137471488237149</v>
      </c>
      <c r="AC255" s="13">
        <v>1.33</v>
      </c>
      <c r="AE255" s="12" t="s">
        <v>594</v>
      </c>
      <c r="AF255" s="24" t="s">
        <v>34</v>
      </c>
    </row>
    <row r="256" spans="1:32">
      <c r="A256" s="12">
        <v>238</v>
      </c>
      <c r="B256" s="3" t="s">
        <v>317</v>
      </c>
      <c r="C256" s="3">
        <v>210</v>
      </c>
      <c r="D256" s="12">
        <v>210</v>
      </c>
      <c r="E256" s="12">
        <v>400</v>
      </c>
      <c r="F256" s="12">
        <v>13.5</v>
      </c>
      <c r="G256" s="12">
        <v>13.5</v>
      </c>
      <c r="H256" s="12">
        <v>6.2</v>
      </c>
      <c r="I256" s="12">
        <v>0</v>
      </c>
      <c r="J256" s="12">
        <v>0</v>
      </c>
      <c r="K256" s="12">
        <v>15213.407722415364</v>
      </c>
      <c r="L256" s="12">
        <f t="shared" si="11"/>
        <v>7982.6</v>
      </c>
      <c r="S256" s="12">
        <v>129.05226742446766</v>
      </c>
      <c r="T256" s="12">
        <v>690</v>
      </c>
      <c r="U256" s="12">
        <v>21000</v>
      </c>
      <c r="V256" s="12">
        <f t="shared" si="12"/>
        <v>42.680334952066964</v>
      </c>
      <c r="W256" s="12">
        <v>1.4357599999999999</v>
      </c>
      <c r="AB256" s="12">
        <v>1.5137471488237149</v>
      </c>
      <c r="AC256" s="13">
        <v>1.67</v>
      </c>
      <c r="AE256" s="12" t="s">
        <v>595</v>
      </c>
      <c r="AF256" s="24" t="s">
        <v>34</v>
      </c>
    </row>
    <row r="257" spans="1:32">
      <c r="A257" s="12">
        <v>239</v>
      </c>
      <c r="B257" s="3" t="s">
        <v>318</v>
      </c>
      <c r="C257" s="3">
        <v>211</v>
      </c>
      <c r="D257" s="12">
        <v>211</v>
      </c>
      <c r="E257" s="12">
        <v>400</v>
      </c>
      <c r="F257" s="12">
        <v>13.5</v>
      </c>
      <c r="G257" s="12">
        <v>13.5</v>
      </c>
      <c r="H257" s="12">
        <v>6.2</v>
      </c>
      <c r="I257" s="12">
        <v>0</v>
      </c>
      <c r="J257" s="12">
        <v>0</v>
      </c>
      <c r="K257" s="12">
        <v>18219.649966964509</v>
      </c>
      <c r="L257" s="12">
        <f t="shared" si="11"/>
        <v>8009.6</v>
      </c>
      <c r="S257" s="12">
        <v>92.920548225951705</v>
      </c>
      <c r="T257" s="12">
        <v>690</v>
      </c>
      <c r="U257" s="12">
        <v>21000</v>
      </c>
      <c r="V257" s="12">
        <f t="shared" si="12"/>
        <v>59.476876810510184</v>
      </c>
      <c r="W257" s="12">
        <v>1.4408399999999999</v>
      </c>
      <c r="AB257" s="12">
        <v>1.5137471488237149</v>
      </c>
      <c r="AC257" s="13">
        <v>2</v>
      </c>
      <c r="AE257" s="12" t="s">
        <v>596</v>
      </c>
      <c r="AF257" s="24" t="s">
        <v>34</v>
      </c>
    </row>
    <row r="258" spans="1:32">
      <c r="A258" s="12">
        <v>240</v>
      </c>
      <c r="B258" s="3" t="s">
        <v>319</v>
      </c>
      <c r="C258" s="3">
        <v>212</v>
      </c>
      <c r="D258" s="12">
        <v>212</v>
      </c>
      <c r="E258" s="12">
        <v>400</v>
      </c>
      <c r="F258" s="12">
        <v>13.5</v>
      </c>
      <c r="G258" s="12">
        <v>13.5</v>
      </c>
      <c r="H258" s="12">
        <v>6.2</v>
      </c>
      <c r="I258" s="12">
        <v>0</v>
      </c>
      <c r="J258" s="12">
        <v>0</v>
      </c>
      <c r="K258" s="12">
        <v>22774.562458705637</v>
      </c>
      <c r="L258" s="12">
        <f t="shared" si="11"/>
        <v>8036.6</v>
      </c>
      <c r="S258" s="12">
        <v>61.407827157187548</v>
      </c>
      <c r="T258" s="12">
        <v>690</v>
      </c>
      <c r="U258" s="12">
        <v>21000</v>
      </c>
      <c r="V258" s="12">
        <f t="shared" si="12"/>
        <v>90.302071522668257</v>
      </c>
      <c r="W258" s="12">
        <v>1.43726</v>
      </c>
      <c r="AB258" s="12">
        <v>1.5137471488237149</v>
      </c>
      <c r="AC258" s="13">
        <v>2.5</v>
      </c>
      <c r="AE258" s="12" t="s">
        <v>597</v>
      </c>
      <c r="AF258" s="24" t="s">
        <v>34</v>
      </c>
    </row>
    <row r="259" spans="1:32">
      <c r="A259" s="12">
        <v>241</v>
      </c>
      <c r="B259" s="3" t="s">
        <v>320</v>
      </c>
      <c r="C259" s="3">
        <v>300</v>
      </c>
      <c r="D259" s="12">
        <v>300</v>
      </c>
      <c r="E259" s="12">
        <v>300</v>
      </c>
      <c r="F259" s="12">
        <v>34.200000000000003</v>
      </c>
      <c r="G259" s="12">
        <v>34.200000000000003</v>
      </c>
      <c r="H259" s="12">
        <v>19.8</v>
      </c>
      <c r="I259" s="12">
        <v>0</v>
      </c>
      <c r="J259" s="12">
        <v>0</v>
      </c>
      <c r="K259" s="12">
        <v>1985.3660890218691</v>
      </c>
      <c r="L259" s="12">
        <f t="shared" si="11"/>
        <v>25105.68</v>
      </c>
      <c r="S259" s="12">
        <v>2892.7933638802801</v>
      </c>
      <c r="T259" s="12">
        <v>690</v>
      </c>
      <c r="U259" s="12">
        <v>21000</v>
      </c>
      <c r="V259" s="12">
        <f t="shared" si="12"/>
        <v>5.9883016244076668</v>
      </c>
      <c r="W259" s="12">
        <v>3.8917099999999998</v>
      </c>
      <c r="AB259" s="12">
        <v>0.35499999999999998</v>
      </c>
      <c r="AC259" s="13">
        <v>0.3</v>
      </c>
      <c r="AE259" s="12" t="s">
        <v>598</v>
      </c>
      <c r="AF259" s="23" t="s">
        <v>35</v>
      </c>
    </row>
    <row r="260" spans="1:32">
      <c r="A260" s="12">
        <v>242</v>
      </c>
      <c r="B260" s="3" t="s">
        <v>321</v>
      </c>
      <c r="C260" s="3">
        <v>300</v>
      </c>
      <c r="D260" s="12">
        <v>300</v>
      </c>
      <c r="E260" s="12">
        <v>300</v>
      </c>
      <c r="F260" s="12">
        <v>34.200000000000003</v>
      </c>
      <c r="G260" s="12">
        <v>34.200000000000003</v>
      </c>
      <c r="H260" s="12">
        <v>19.8</v>
      </c>
      <c r="I260" s="12">
        <v>0</v>
      </c>
      <c r="J260" s="12">
        <v>0</v>
      </c>
      <c r="K260" s="12">
        <v>3308.9434817031151</v>
      </c>
      <c r="L260" s="12">
        <f t="shared" si="11"/>
        <v>25105.68</v>
      </c>
      <c r="S260" s="12">
        <v>1491.4598897631529</v>
      </c>
      <c r="T260" s="12">
        <v>690</v>
      </c>
      <c r="U260" s="12">
        <v>21000</v>
      </c>
      <c r="V260" s="12">
        <f t="shared" si="12"/>
        <v>11.61474024135568</v>
      </c>
      <c r="W260" s="12">
        <v>4.2050400000000003</v>
      </c>
      <c r="AB260" s="12">
        <v>0.35499999999999998</v>
      </c>
      <c r="AC260" s="13">
        <v>0.5</v>
      </c>
      <c r="AE260" s="12" t="s">
        <v>599</v>
      </c>
      <c r="AF260" s="24" t="s">
        <v>34</v>
      </c>
    </row>
    <row r="261" spans="1:32">
      <c r="A261" s="12">
        <v>243</v>
      </c>
      <c r="B261" s="3" t="s">
        <v>322</v>
      </c>
      <c r="C261" s="3">
        <v>300</v>
      </c>
      <c r="D261" s="12">
        <v>300</v>
      </c>
      <c r="E261" s="12">
        <v>300</v>
      </c>
      <c r="F261" s="12">
        <v>34.200000000000003</v>
      </c>
      <c r="G261" s="12">
        <v>34.200000000000003</v>
      </c>
      <c r="H261" s="12">
        <v>19.8</v>
      </c>
      <c r="I261" s="12">
        <v>0</v>
      </c>
      <c r="J261" s="12">
        <v>0</v>
      </c>
      <c r="K261" s="12">
        <v>4963.4152225546732</v>
      </c>
      <c r="L261" s="12">
        <f t="shared" si="11"/>
        <v>25105.68</v>
      </c>
      <c r="S261" s="12">
        <v>753.30612284235156</v>
      </c>
      <c r="T261" s="12">
        <v>690</v>
      </c>
      <c r="U261" s="12">
        <v>21000</v>
      </c>
      <c r="V261" s="12">
        <f t="shared" si="12"/>
        <v>22.99585609982525</v>
      </c>
      <c r="W261" s="12">
        <v>4.0558800000000002</v>
      </c>
      <c r="AB261" s="12">
        <v>0.35499999999999998</v>
      </c>
      <c r="AC261" s="13">
        <v>0.75</v>
      </c>
      <c r="AE261" s="12" t="s">
        <v>600</v>
      </c>
      <c r="AF261" s="24" t="s">
        <v>34</v>
      </c>
    </row>
    <row r="262" spans="1:32">
      <c r="A262" s="12">
        <v>244</v>
      </c>
      <c r="B262" s="3" t="s">
        <v>323</v>
      </c>
      <c r="C262" s="3">
        <v>300</v>
      </c>
      <c r="D262" s="12">
        <v>300</v>
      </c>
      <c r="E262" s="12">
        <v>300</v>
      </c>
      <c r="F262" s="12">
        <v>34.200000000000003</v>
      </c>
      <c r="G262" s="12">
        <v>34.200000000000003</v>
      </c>
      <c r="H262" s="12">
        <v>19.8</v>
      </c>
      <c r="I262" s="12">
        <v>0</v>
      </c>
      <c r="J262" s="12">
        <v>0</v>
      </c>
      <c r="K262" s="12">
        <v>6617.8869634062303</v>
      </c>
      <c r="L262" s="12">
        <f t="shared" si="11"/>
        <v>25105.68</v>
      </c>
      <c r="S262" s="12">
        <v>447.38441197646364</v>
      </c>
      <c r="T262" s="12">
        <v>690</v>
      </c>
      <c r="U262" s="12">
        <v>21000</v>
      </c>
      <c r="V262" s="12">
        <f t="shared" si="12"/>
        <v>38.720435348809914</v>
      </c>
      <c r="W262" s="12">
        <v>3.9502600000000001</v>
      </c>
      <c r="AB262" s="12">
        <v>0.35499999999999998</v>
      </c>
      <c r="AC262" s="13">
        <v>1</v>
      </c>
      <c r="AE262" s="12" t="s">
        <v>601</v>
      </c>
      <c r="AF262" s="24" t="s">
        <v>34</v>
      </c>
    </row>
    <row r="263" spans="1:32">
      <c r="A263" s="12">
        <v>245</v>
      </c>
      <c r="B263" s="3" t="s">
        <v>324</v>
      </c>
      <c r="C263" s="3">
        <v>300</v>
      </c>
      <c r="D263" s="12">
        <v>300</v>
      </c>
      <c r="E263" s="12">
        <v>300</v>
      </c>
      <c r="F263" s="12">
        <v>34.200000000000003</v>
      </c>
      <c r="G263" s="12">
        <v>34.200000000000003</v>
      </c>
      <c r="H263" s="12">
        <v>19.8</v>
      </c>
      <c r="I263" s="12">
        <v>0</v>
      </c>
      <c r="J263" s="12">
        <v>0</v>
      </c>
      <c r="K263" s="12">
        <v>8801.7896613302873</v>
      </c>
      <c r="L263" s="12">
        <f t="shared" si="11"/>
        <v>25105.68</v>
      </c>
      <c r="S263" s="12">
        <v>262.70404619781254</v>
      </c>
      <c r="T263" s="12">
        <v>690</v>
      </c>
      <c r="U263" s="12">
        <v>21000</v>
      </c>
      <c r="V263" s="12">
        <f t="shared" si="12"/>
        <v>65.940816103593917</v>
      </c>
      <c r="W263" s="12">
        <v>3.8227000000000002</v>
      </c>
      <c r="AB263" s="12">
        <v>0.35499999999999998</v>
      </c>
      <c r="AC263" s="13">
        <v>1.33</v>
      </c>
      <c r="AE263" s="12" t="s">
        <v>602</v>
      </c>
      <c r="AF263" s="24" t="s">
        <v>34</v>
      </c>
    </row>
    <row r="264" spans="1:32">
      <c r="A264" s="12">
        <v>246</v>
      </c>
      <c r="B264" s="3" t="s">
        <v>325</v>
      </c>
      <c r="C264" s="3">
        <v>300</v>
      </c>
      <c r="D264" s="12">
        <v>300</v>
      </c>
      <c r="E264" s="12">
        <v>300</v>
      </c>
      <c r="F264" s="12">
        <v>34.200000000000003</v>
      </c>
      <c r="G264" s="12">
        <v>34.200000000000003</v>
      </c>
      <c r="H264" s="12">
        <v>19.8</v>
      </c>
      <c r="I264" s="12">
        <v>0</v>
      </c>
      <c r="J264" s="12">
        <v>0</v>
      </c>
      <c r="K264" s="12">
        <v>11051.871228888403</v>
      </c>
      <c r="L264" s="12">
        <f t="shared" si="11"/>
        <v>25105.68</v>
      </c>
      <c r="S264" s="12">
        <v>170.47478204856543</v>
      </c>
      <c r="T264" s="12">
        <v>690</v>
      </c>
      <c r="U264" s="12">
        <v>21000</v>
      </c>
      <c r="V264" s="12">
        <f t="shared" si="12"/>
        <v>101.61572868334854</v>
      </c>
      <c r="W264" s="12">
        <v>3.7314799999999999</v>
      </c>
      <c r="AB264" s="12">
        <v>0.35499999999999998</v>
      </c>
      <c r="AC264" s="13">
        <v>1.67</v>
      </c>
      <c r="AE264" s="12" t="s">
        <v>603</v>
      </c>
      <c r="AF264" s="24" t="s">
        <v>34</v>
      </c>
    </row>
    <row r="265" spans="1:32">
      <c r="A265" s="12">
        <v>247</v>
      </c>
      <c r="B265" s="3" t="s">
        <v>326</v>
      </c>
      <c r="C265" s="3">
        <v>300</v>
      </c>
      <c r="D265" s="12">
        <v>300</v>
      </c>
      <c r="E265" s="12">
        <v>300</v>
      </c>
      <c r="F265" s="12">
        <v>34.200000000000003</v>
      </c>
      <c r="G265" s="12">
        <v>34.200000000000003</v>
      </c>
      <c r="H265" s="12">
        <v>19.8</v>
      </c>
      <c r="I265" s="12">
        <v>0</v>
      </c>
      <c r="J265" s="12">
        <v>0</v>
      </c>
      <c r="K265" s="12">
        <v>13235.773926812461</v>
      </c>
      <c r="L265" s="12">
        <f t="shared" si="11"/>
        <v>25105.68</v>
      </c>
      <c r="S265" s="12">
        <v>120.61362807306482</v>
      </c>
      <c r="T265" s="12">
        <v>690</v>
      </c>
      <c r="U265" s="12">
        <v>21000</v>
      </c>
      <c r="V265" s="12">
        <f t="shared" si="12"/>
        <v>143.62323293605093</v>
      </c>
      <c r="W265" s="12">
        <v>3.6713900000000002</v>
      </c>
      <c r="AB265" s="12">
        <v>0.35499999999999998</v>
      </c>
      <c r="AC265" s="13">
        <v>2</v>
      </c>
      <c r="AE265" s="12" t="s">
        <v>604</v>
      </c>
      <c r="AF265" s="24" t="s">
        <v>34</v>
      </c>
    </row>
    <row r="266" spans="1:32">
      <c r="A266" s="12">
        <v>248</v>
      </c>
      <c r="B266" s="3" t="s">
        <v>327</v>
      </c>
      <c r="C266" s="3">
        <v>300</v>
      </c>
      <c r="D266" s="12">
        <v>300</v>
      </c>
      <c r="E266" s="12">
        <v>300</v>
      </c>
      <c r="F266" s="12">
        <v>34.200000000000003</v>
      </c>
      <c r="G266" s="12">
        <v>34.200000000000003</v>
      </c>
      <c r="H266" s="12">
        <v>19.8</v>
      </c>
      <c r="I266" s="12">
        <v>0</v>
      </c>
      <c r="J266" s="12">
        <v>0</v>
      </c>
      <c r="K266" s="12">
        <v>16544.717408515575</v>
      </c>
      <c r="L266" s="12">
        <f t="shared" si="11"/>
        <v>25105.68</v>
      </c>
      <c r="S266" s="12">
        <v>78.346473887813318</v>
      </c>
      <c r="T266" s="12">
        <v>690</v>
      </c>
      <c r="U266" s="12">
        <v>21000</v>
      </c>
      <c r="V266" s="12">
        <f t="shared" si="12"/>
        <v>221.10655834754235</v>
      </c>
      <c r="W266" s="12">
        <v>3.6134900000000001</v>
      </c>
      <c r="AB266" s="12">
        <v>0.35499999999999998</v>
      </c>
      <c r="AC266" s="13">
        <v>2.5</v>
      </c>
      <c r="AE266" s="12" t="s">
        <v>605</v>
      </c>
      <c r="AF266" s="24" t="s">
        <v>34</v>
      </c>
    </row>
    <row r="267" spans="1:32">
      <c r="A267" s="12">
        <v>249</v>
      </c>
      <c r="B267" s="3" t="s">
        <v>328</v>
      </c>
      <c r="C267" s="3">
        <v>300</v>
      </c>
      <c r="D267" s="12">
        <v>300</v>
      </c>
      <c r="E267" s="12">
        <v>300</v>
      </c>
      <c r="F267" s="12">
        <v>24.32</v>
      </c>
      <c r="G267" s="12">
        <v>24.32</v>
      </c>
      <c r="H267" s="12">
        <v>14.08</v>
      </c>
      <c r="I267" s="12">
        <v>0</v>
      </c>
      <c r="J267" s="12">
        <v>0</v>
      </c>
      <c r="K267" s="12">
        <v>2050.7281970154818</v>
      </c>
      <c r="L267" s="12">
        <f t="shared" si="11"/>
        <v>18131.148799999999</v>
      </c>
      <c r="S267" s="12">
        <v>2089.1553994221986</v>
      </c>
      <c r="T267" s="12">
        <v>690</v>
      </c>
      <c r="U267" s="12">
        <v>21000</v>
      </c>
      <c r="V267" s="12">
        <f t="shared" si="12"/>
        <v>5.9883016244076668</v>
      </c>
      <c r="W267" s="12">
        <v>2.7638099999999999</v>
      </c>
      <c r="AB267" s="12">
        <v>0.50316512905442312</v>
      </c>
      <c r="AC267" s="13">
        <v>0.3</v>
      </c>
      <c r="AE267" s="12" t="s">
        <v>606</v>
      </c>
      <c r="AF267" s="23" t="s">
        <v>35</v>
      </c>
    </row>
    <row r="268" spans="1:32">
      <c r="A268" s="12">
        <v>250</v>
      </c>
      <c r="B268" s="3" t="s">
        <v>329</v>
      </c>
      <c r="C268" s="3">
        <v>300</v>
      </c>
      <c r="D268" s="12">
        <v>300</v>
      </c>
      <c r="E268" s="12">
        <v>300</v>
      </c>
      <c r="F268" s="12">
        <v>24.32</v>
      </c>
      <c r="G268" s="12">
        <v>24.32</v>
      </c>
      <c r="H268" s="12">
        <v>14.08</v>
      </c>
      <c r="I268" s="12">
        <v>0</v>
      </c>
      <c r="J268" s="12">
        <v>0</v>
      </c>
      <c r="K268" s="12">
        <v>3417.8803283591365</v>
      </c>
      <c r="L268" s="12">
        <f t="shared" si="11"/>
        <v>18131.148799999999</v>
      </c>
      <c r="S268" s="12">
        <v>1077.1220373448286</v>
      </c>
      <c r="T268" s="12">
        <v>690</v>
      </c>
      <c r="U268" s="12">
        <v>21000</v>
      </c>
      <c r="V268" s="12">
        <f t="shared" si="12"/>
        <v>11.614740241355683</v>
      </c>
      <c r="W268" s="12">
        <v>3.2825099999999998</v>
      </c>
      <c r="AB268" s="12">
        <v>0.50316512905442312</v>
      </c>
      <c r="AC268" s="13">
        <v>0.5</v>
      </c>
      <c r="AE268" s="12" t="s">
        <v>607</v>
      </c>
      <c r="AF268" s="24" t="s">
        <v>34</v>
      </c>
    </row>
    <row r="269" spans="1:32">
      <c r="A269" s="12">
        <v>251</v>
      </c>
      <c r="B269" s="3" t="s">
        <v>330</v>
      </c>
      <c r="C269" s="3">
        <v>300</v>
      </c>
      <c r="D269" s="12">
        <v>300</v>
      </c>
      <c r="E269" s="12">
        <v>300</v>
      </c>
      <c r="F269" s="12">
        <v>24.32</v>
      </c>
      <c r="G269" s="12">
        <v>24.32</v>
      </c>
      <c r="H269" s="12">
        <v>14.08</v>
      </c>
      <c r="I269" s="12">
        <v>0</v>
      </c>
      <c r="J269" s="12">
        <v>0</v>
      </c>
      <c r="K269" s="12">
        <v>5126.8204925387045</v>
      </c>
      <c r="L269" s="12">
        <f t="shared" si="11"/>
        <v>18131.148799999999</v>
      </c>
      <c r="S269" s="12">
        <v>544.03248209989772</v>
      </c>
      <c r="T269" s="12">
        <v>690</v>
      </c>
      <c r="U269" s="12">
        <v>21000</v>
      </c>
      <c r="V269" s="12">
        <f t="shared" si="12"/>
        <v>22.995856099825243</v>
      </c>
      <c r="W269" s="12">
        <v>3.7800600000000002</v>
      </c>
      <c r="AB269" s="12">
        <v>0.50316512905442312</v>
      </c>
      <c r="AC269" s="13">
        <v>0.75</v>
      </c>
      <c r="AE269" s="12" t="s">
        <v>608</v>
      </c>
      <c r="AF269" s="24" t="s">
        <v>34</v>
      </c>
    </row>
    <row r="270" spans="1:32">
      <c r="A270" s="12">
        <v>252</v>
      </c>
      <c r="B270" s="3" t="s">
        <v>331</v>
      </c>
      <c r="C270" s="3">
        <v>300</v>
      </c>
      <c r="D270" s="12">
        <v>300</v>
      </c>
      <c r="E270" s="12">
        <v>300</v>
      </c>
      <c r="F270" s="12">
        <v>24.32</v>
      </c>
      <c r="G270" s="12">
        <v>24.32</v>
      </c>
      <c r="H270" s="12">
        <v>14.08</v>
      </c>
      <c r="I270" s="12">
        <v>0</v>
      </c>
      <c r="J270" s="12">
        <v>0</v>
      </c>
      <c r="K270" s="12">
        <v>6835.7606567182729</v>
      </c>
      <c r="L270" s="12">
        <f t="shared" si="11"/>
        <v>18131.148799999999</v>
      </c>
      <c r="S270" s="12">
        <v>323.09793418643761</v>
      </c>
      <c r="T270" s="12">
        <v>690</v>
      </c>
      <c r="U270" s="12">
        <v>21000</v>
      </c>
      <c r="V270" s="12">
        <f t="shared" si="12"/>
        <v>38.720435348809922</v>
      </c>
      <c r="W270" s="12">
        <v>3.8143500000000001</v>
      </c>
      <c r="AB270" s="12">
        <v>0.50316512905442312</v>
      </c>
      <c r="AC270" s="13">
        <v>1</v>
      </c>
      <c r="AE270" s="12" t="s">
        <v>609</v>
      </c>
      <c r="AF270" s="24" t="s">
        <v>34</v>
      </c>
    </row>
    <row r="271" spans="1:32">
      <c r="A271" s="12">
        <v>253</v>
      </c>
      <c r="B271" s="3" t="s">
        <v>332</v>
      </c>
      <c r="C271" s="3">
        <v>300</v>
      </c>
      <c r="D271" s="12">
        <v>300</v>
      </c>
      <c r="E271" s="12">
        <v>300</v>
      </c>
      <c r="F271" s="12">
        <v>24.32</v>
      </c>
      <c r="G271" s="12">
        <v>24.32</v>
      </c>
      <c r="H271" s="12">
        <v>14.08</v>
      </c>
      <c r="I271" s="12">
        <v>0</v>
      </c>
      <c r="J271" s="12">
        <v>0</v>
      </c>
      <c r="K271" s="12">
        <v>9091.5616734353043</v>
      </c>
      <c r="L271" s="12">
        <f t="shared" si="11"/>
        <v>18131.148799999999</v>
      </c>
      <c r="S271" s="12">
        <v>189.7230488070673</v>
      </c>
      <c r="T271" s="12">
        <v>690</v>
      </c>
      <c r="U271" s="12">
        <v>21000</v>
      </c>
      <c r="V271" s="12">
        <f t="shared" si="12"/>
        <v>65.940816103593932</v>
      </c>
      <c r="W271" s="12">
        <v>3.7705899999999999</v>
      </c>
      <c r="AB271" s="12">
        <v>0.50316512905442312</v>
      </c>
      <c r="AC271" s="13">
        <v>1.33</v>
      </c>
      <c r="AE271" s="12" t="s">
        <v>610</v>
      </c>
      <c r="AF271" s="24" t="s">
        <v>34</v>
      </c>
    </row>
    <row r="272" spans="1:32">
      <c r="A272" s="12">
        <v>254</v>
      </c>
      <c r="B272" s="3" t="s">
        <v>333</v>
      </c>
      <c r="C272" s="3">
        <v>300</v>
      </c>
      <c r="D272" s="12">
        <v>300</v>
      </c>
      <c r="E272" s="12">
        <v>300</v>
      </c>
      <c r="F272" s="12">
        <v>24.32</v>
      </c>
      <c r="G272" s="12">
        <v>24.32</v>
      </c>
      <c r="H272" s="12">
        <v>14.08</v>
      </c>
      <c r="I272" s="12">
        <v>0</v>
      </c>
      <c r="J272" s="12">
        <v>0</v>
      </c>
      <c r="K272" s="12">
        <v>11415.720296719515</v>
      </c>
      <c r="L272" s="12">
        <f t="shared" si="11"/>
        <v>18131.148799999999</v>
      </c>
      <c r="S272" s="12">
        <v>123.1157108658323</v>
      </c>
      <c r="T272" s="12">
        <v>690</v>
      </c>
      <c r="U272" s="12">
        <v>21000</v>
      </c>
      <c r="V272" s="12">
        <f t="shared" si="12"/>
        <v>101.61572868334854</v>
      </c>
      <c r="W272" s="12">
        <v>3.69143</v>
      </c>
      <c r="AB272" s="12">
        <v>0.50316512905442312</v>
      </c>
      <c r="AC272" s="13">
        <v>1.67</v>
      </c>
      <c r="AE272" s="12" t="s">
        <v>611</v>
      </c>
      <c r="AF272" s="24" t="s">
        <v>34</v>
      </c>
    </row>
    <row r="273" spans="1:32">
      <c r="A273" s="12">
        <v>255</v>
      </c>
      <c r="B273" s="3" t="s">
        <v>334</v>
      </c>
      <c r="C273" s="3">
        <v>300</v>
      </c>
      <c r="D273" s="12">
        <v>300</v>
      </c>
      <c r="E273" s="12">
        <v>300</v>
      </c>
      <c r="F273" s="12">
        <v>24.32</v>
      </c>
      <c r="G273" s="12">
        <v>24.32</v>
      </c>
      <c r="H273" s="12">
        <v>14.08</v>
      </c>
      <c r="I273" s="12">
        <v>0</v>
      </c>
      <c r="J273" s="12">
        <v>0</v>
      </c>
      <c r="K273" s="12">
        <v>13671.521313436546</v>
      </c>
      <c r="L273" s="12">
        <f t="shared" si="11"/>
        <v>18131.148799999999</v>
      </c>
      <c r="S273" s="12">
        <v>87.106329639372262</v>
      </c>
      <c r="T273" s="12">
        <v>690</v>
      </c>
      <c r="U273" s="12">
        <v>21000</v>
      </c>
      <c r="V273" s="12">
        <f t="shared" si="12"/>
        <v>143.62323293605095</v>
      </c>
      <c r="W273" s="12">
        <v>3.6347100000000001</v>
      </c>
      <c r="AB273" s="12">
        <v>0.50316512905442312</v>
      </c>
      <c r="AC273" s="13">
        <v>2</v>
      </c>
      <c r="AE273" s="12" t="s">
        <v>612</v>
      </c>
      <c r="AF273" s="24" t="s">
        <v>34</v>
      </c>
    </row>
    <row r="274" spans="1:32">
      <c r="A274" s="12">
        <v>256</v>
      </c>
      <c r="B274" s="3" t="s">
        <v>335</v>
      </c>
      <c r="C274" s="3">
        <v>300</v>
      </c>
      <c r="D274" s="12">
        <v>300</v>
      </c>
      <c r="E274" s="12">
        <v>300</v>
      </c>
      <c r="F274" s="12">
        <v>24.32</v>
      </c>
      <c r="G274" s="12">
        <v>24.32</v>
      </c>
      <c r="H274" s="12">
        <v>14.08</v>
      </c>
      <c r="I274" s="12">
        <v>0</v>
      </c>
      <c r="J274" s="12">
        <v>0</v>
      </c>
      <c r="K274" s="12">
        <v>17089.401641795681</v>
      </c>
      <c r="L274" s="12">
        <f t="shared" si="11"/>
        <v>18131.148799999999</v>
      </c>
      <c r="S274" s="12">
        <v>56.581282642623428</v>
      </c>
      <c r="T274" s="12">
        <v>690</v>
      </c>
      <c r="U274" s="12">
        <v>21000</v>
      </c>
      <c r="V274" s="12">
        <f t="shared" si="12"/>
        <v>221.10655834754229</v>
      </c>
      <c r="W274" s="12">
        <v>3.5789</v>
      </c>
      <c r="AB274" s="12">
        <v>0.50316512905442312</v>
      </c>
      <c r="AC274" s="13">
        <v>2.5</v>
      </c>
      <c r="AE274" s="12" t="s">
        <v>613</v>
      </c>
      <c r="AF274" s="24" t="s">
        <v>34</v>
      </c>
    </row>
    <row r="275" spans="1:32">
      <c r="A275" s="12">
        <v>257</v>
      </c>
      <c r="B275" s="3" t="s">
        <v>336</v>
      </c>
      <c r="C275" s="3">
        <v>300</v>
      </c>
      <c r="D275" s="12">
        <v>300</v>
      </c>
      <c r="E275" s="12">
        <v>300</v>
      </c>
      <c r="F275" s="12">
        <v>20.425000000000001</v>
      </c>
      <c r="G275" s="12">
        <v>20.425000000000001</v>
      </c>
      <c r="H275" s="12">
        <v>11.824999999999999</v>
      </c>
      <c r="I275" s="12">
        <v>0</v>
      </c>
      <c r="J275" s="12">
        <v>0</v>
      </c>
      <c r="K275" s="12">
        <v>2076.9177609921567</v>
      </c>
      <c r="L275" s="12">
        <f t="shared" si="11"/>
        <v>15319.44875</v>
      </c>
      <c r="S275" s="12">
        <v>1765.1782258956559</v>
      </c>
      <c r="T275" s="12">
        <v>690</v>
      </c>
      <c r="U275" s="12">
        <v>21000</v>
      </c>
      <c r="V275" s="12">
        <f t="shared" si="12"/>
        <v>5.9883016244076659</v>
      </c>
      <c r="W275" s="12">
        <v>2.3894799999999998</v>
      </c>
      <c r="AB275" s="12">
        <v>0.60092698120307431</v>
      </c>
      <c r="AC275" s="13">
        <v>0.3</v>
      </c>
      <c r="AE275" s="12" t="s">
        <v>614</v>
      </c>
      <c r="AF275" s="23" t="s">
        <v>35</v>
      </c>
    </row>
    <row r="276" spans="1:32">
      <c r="A276" s="12">
        <v>258</v>
      </c>
      <c r="B276" s="3" t="s">
        <v>337</v>
      </c>
      <c r="C276" s="3">
        <v>300</v>
      </c>
      <c r="D276" s="12">
        <v>300</v>
      </c>
      <c r="E276" s="12">
        <v>300</v>
      </c>
      <c r="F276" s="12">
        <v>20.425000000000001</v>
      </c>
      <c r="G276" s="12">
        <v>20.425000000000001</v>
      </c>
      <c r="H276" s="12">
        <v>11.824999999999999</v>
      </c>
      <c r="I276" s="12">
        <v>0</v>
      </c>
      <c r="J276" s="12">
        <v>0</v>
      </c>
      <c r="K276" s="12">
        <v>3461.5296016535945</v>
      </c>
      <c r="L276" s="12">
        <f t="shared" ref="L276:L306" si="13">2*C276*F276+(E276-2*F276)*H276</f>
        <v>15319.44875</v>
      </c>
      <c r="S276" s="12">
        <v>910.08661561476401</v>
      </c>
      <c r="T276" s="12">
        <v>690</v>
      </c>
      <c r="U276" s="12">
        <v>21000</v>
      </c>
      <c r="V276" s="12">
        <f t="shared" ref="V276:V306" si="14">L276*T276/(S276*1000)</f>
        <v>11.614740241355682</v>
      </c>
      <c r="W276" s="12">
        <v>2.7060900000000001</v>
      </c>
      <c r="AB276" s="12">
        <v>0.60092698120307431</v>
      </c>
      <c r="AC276" s="13">
        <v>0.5</v>
      </c>
      <c r="AE276" s="12" t="s">
        <v>615</v>
      </c>
      <c r="AF276" s="24" t="s">
        <v>34</v>
      </c>
    </row>
    <row r="277" spans="1:32">
      <c r="A277" s="12">
        <v>259</v>
      </c>
      <c r="B277" s="3" t="s">
        <v>338</v>
      </c>
      <c r="C277" s="3">
        <v>300</v>
      </c>
      <c r="D277" s="12">
        <v>300</v>
      </c>
      <c r="E277" s="12">
        <v>300</v>
      </c>
      <c r="F277" s="12">
        <v>20.425000000000001</v>
      </c>
      <c r="G277" s="12">
        <v>20.425000000000001</v>
      </c>
      <c r="H277" s="12">
        <v>11.824999999999999</v>
      </c>
      <c r="I277" s="12">
        <v>0</v>
      </c>
      <c r="J277" s="12">
        <v>0</v>
      </c>
      <c r="K277" s="12">
        <v>5192.2944024803919</v>
      </c>
      <c r="L277" s="12">
        <f t="shared" si="13"/>
        <v>15319.44875</v>
      </c>
      <c r="S277" s="12">
        <v>459.66628037737331</v>
      </c>
      <c r="T277" s="12">
        <v>690</v>
      </c>
      <c r="U277" s="12">
        <v>21000</v>
      </c>
      <c r="V277" s="12">
        <f t="shared" si="14"/>
        <v>22.995856099825239</v>
      </c>
      <c r="W277" s="12">
        <v>3.2744200000000001</v>
      </c>
      <c r="AB277" s="12">
        <v>0.60092698120307431</v>
      </c>
      <c r="AC277" s="13">
        <v>0.75</v>
      </c>
      <c r="AE277" s="12" t="s">
        <v>616</v>
      </c>
      <c r="AF277" s="24" t="s">
        <v>34</v>
      </c>
    </row>
    <row r="278" spans="1:32">
      <c r="A278" s="12">
        <v>260</v>
      </c>
      <c r="B278" s="3" t="s">
        <v>339</v>
      </c>
      <c r="C278" s="3">
        <v>300</v>
      </c>
      <c r="D278" s="12">
        <v>300</v>
      </c>
      <c r="E278" s="12">
        <v>300</v>
      </c>
      <c r="F278" s="12">
        <v>20.425000000000001</v>
      </c>
      <c r="G278" s="12">
        <v>20.425000000000001</v>
      </c>
      <c r="H278" s="12">
        <v>11.824999999999999</v>
      </c>
      <c r="I278" s="12">
        <v>0</v>
      </c>
      <c r="J278" s="12">
        <v>0</v>
      </c>
      <c r="K278" s="12">
        <v>6923.0592033071889</v>
      </c>
      <c r="L278" s="12">
        <f t="shared" si="13"/>
        <v>15319.44875</v>
      </c>
      <c r="S278" s="12">
        <v>272.99330553174906</v>
      </c>
      <c r="T278" s="12">
        <v>690</v>
      </c>
      <c r="U278" s="12">
        <v>21000</v>
      </c>
      <c r="V278" s="12">
        <f t="shared" si="14"/>
        <v>38.720435348809907</v>
      </c>
      <c r="W278" s="12">
        <v>3.5704600000000002</v>
      </c>
      <c r="AB278" s="12">
        <v>0.60092698120307431</v>
      </c>
      <c r="AC278" s="13">
        <v>1</v>
      </c>
      <c r="AE278" s="12" t="s">
        <v>617</v>
      </c>
      <c r="AF278" s="24" t="s">
        <v>34</v>
      </c>
    </row>
    <row r="279" spans="1:32">
      <c r="A279" s="12">
        <v>261</v>
      </c>
      <c r="B279" s="3" t="s">
        <v>340</v>
      </c>
      <c r="C279" s="3">
        <v>300</v>
      </c>
      <c r="D279" s="12">
        <v>300</v>
      </c>
      <c r="E279" s="12">
        <v>300</v>
      </c>
      <c r="F279" s="12">
        <v>20.425000000000001</v>
      </c>
      <c r="G279" s="12">
        <v>20.425000000000001</v>
      </c>
      <c r="H279" s="12">
        <v>11.824999999999999</v>
      </c>
      <c r="I279" s="12">
        <v>0</v>
      </c>
      <c r="J279" s="12">
        <v>0</v>
      </c>
      <c r="K279" s="12">
        <v>9207.6687403985616</v>
      </c>
      <c r="L279" s="12">
        <f t="shared" si="13"/>
        <v>15319.44875</v>
      </c>
      <c r="S279" s="12">
        <v>160.30161987825161</v>
      </c>
      <c r="T279" s="12">
        <v>690</v>
      </c>
      <c r="U279" s="12">
        <v>21000</v>
      </c>
      <c r="V279" s="12">
        <f t="shared" si="14"/>
        <v>65.940816103593889</v>
      </c>
      <c r="W279" s="12">
        <v>3.6490800000000001</v>
      </c>
      <c r="AB279" s="12">
        <v>0.60092698120307431</v>
      </c>
      <c r="AC279" s="13">
        <v>1.33</v>
      </c>
      <c r="AE279" s="12" t="s">
        <v>618</v>
      </c>
      <c r="AF279" s="24" t="s">
        <v>34</v>
      </c>
    </row>
    <row r="280" spans="1:32">
      <c r="A280" s="12">
        <v>262</v>
      </c>
      <c r="B280" s="3" t="s">
        <v>341</v>
      </c>
      <c r="C280" s="3">
        <v>300</v>
      </c>
      <c r="D280" s="12">
        <v>300</v>
      </c>
      <c r="E280" s="12">
        <v>300</v>
      </c>
      <c r="F280" s="12">
        <v>20.425000000000001</v>
      </c>
      <c r="G280" s="12">
        <v>20.425000000000001</v>
      </c>
      <c r="H280" s="12">
        <v>11.824999999999999</v>
      </c>
      <c r="I280" s="12">
        <v>0</v>
      </c>
      <c r="J280" s="12">
        <v>0</v>
      </c>
      <c r="K280" s="12">
        <v>11561.508869523004</v>
      </c>
      <c r="L280" s="12">
        <f t="shared" si="13"/>
        <v>15319.44875</v>
      </c>
      <c r="S280" s="12">
        <v>104.02345950240822</v>
      </c>
      <c r="T280" s="12">
        <v>690</v>
      </c>
      <c r="U280" s="12">
        <v>21000</v>
      </c>
      <c r="V280" s="12">
        <f t="shared" si="14"/>
        <v>101.61572868334846</v>
      </c>
      <c r="W280" s="12">
        <v>3.6391399999999998</v>
      </c>
      <c r="AB280" s="12">
        <v>0.60092698120307431</v>
      </c>
      <c r="AC280" s="13">
        <v>1.67</v>
      </c>
      <c r="AE280" s="12" t="s">
        <v>619</v>
      </c>
      <c r="AF280" s="24" t="s">
        <v>34</v>
      </c>
    </row>
    <row r="281" spans="1:32">
      <c r="A281" s="12">
        <v>263</v>
      </c>
      <c r="B281" s="3" t="s">
        <v>342</v>
      </c>
      <c r="C281" s="3">
        <v>300</v>
      </c>
      <c r="D281" s="12">
        <v>300</v>
      </c>
      <c r="E281" s="12">
        <v>300</v>
      </c>
      <c r="F281" s="12">
        <v>20.425000000000001</v>
      </c>
      <c r="G281" s="12">
        <v>20.425000000000001</v>
      </c>
      <c r="H281" s="12">
        <v>11.824999999999999</v>
      </c>
      <c r="I281" s="12">
        <v>0</v>
      </c>
      <c r="J281" s="12">
        <v>0</v>
      </c>
      <c r="K281" s="12">
        <v>13846.118406614378</v>
      </c>
      <c r="L281" s="12">
        <f t="shared" si="13"/>
        <v>15319.44875</v>
      </c>
      <c r="S281" s="12">
        <v>73.598257199839949</v>
      </c>
      <c r="T281" s="12">
        <v>690</v>
      </c>
      <c r="U281" s="12">
        <v>21000</v>
      </c>
      <c r="V281" s="12">
        <f t="shared" si="14"/>
        <v>143.6232329360509</v>
      </c>
      <c r="W281" s="12">
        <v>3.5975799999999998</v>
      </c>
      <c r="AB281" s="12">
        <v>0.60092698120307431</v>
      </c>
      <c r="AC281" s="13">
        <v>2</v>
      </c>
      <c r="AE281" s="12" t="s">
        <v>620</v>
      </c>
      <c r="AF281" s="24" t="s">
        <v>34</v>
      </c>
    </row>
    <row r="282" spans="1:32">
      <c r="A282" s="12">
        <v>264</v>
      </c>
      <c r="B282" s="3" t="s">
        <v>343</v>
      </c>
      <c r="C282" s="3">
        <v>300</v>
      </c>
      <c r="D282" s="12">
        <v>300</v>
      </c>
      <c r="E282" s="12">
        <v>300</v>
      </c>
      <c r="F282" s="12">
        <v>20.425000000000001</v>
      </c>
      <c r="G282" s="12">
        <v>20.425000000000001</v>
      </c>
      <c r="H282" s="12">
        <v>11.824999999999999</v>
      </c>
      <c r="I282" s="12">
        <v>0</v>
      </c>
      <c r="J282" s="12">
        <v>0</v>
      </c>
      <c r="K282" s="12">
        <v>17307.648008267974</v>
      </c>
      <c r="L282" s="12">
        <f t="shared" si="13"/>
        <v>15319.44875</v>
      </c>
      <c r="S282" s="12">
        <v>47.806902321210536</v>
      </c>
      <c r="T282" s="12">
        <v>690</v>
      </c>
      <c r="U282" s="12">
        <v>21000</v>
      </c>
      <c r="V282" s="12">
        <f t="shared" si="14"/>
        <v>221.10655834754243</v>
      </c>
      <c r="W282" s="12">
        <v>3.5488400000000002</v>
      </c>
      <c r="AB282" s="12">
        <v>0.60092698120307431</v>
      </c>
      <c r="AC282" s="13">
        <v>2.5</v>
      </c>
      <c r="AE282" s="12" t="s">
        <v>621</v>
      </c>
      <c r="AF282" s="24" t="s">
        <v>34</v>
      </c>
    </row>
    <row r="283" spans="1:32">
      <c r="A283" s="12">
        <v>265</v>
      </c>
      <c r="B283" s="3" t="s">
        <v>344</v>
      </c>
      <c r="C283" s="3">
        <v>300</v>
      </c>
      <c r="D283" s="12">
        <v>300</v>
      </c>
      <c r="E283" s="12">
        <v>300</v>
      </c>
      <c r="F283" s="12">
        <v>15.39</v>
      </c>
      <c r="G283" s="12">
        <v>15.39</v>
      </c>
      <c r="H283" s="12">
        <v>8.91</v>
      </c>
      <c r="I283" s="12">
        <v>0</v>
      </c>
      <c r="J283" s="12">
        <v>0</v>
      </c>
      <c r="K283" s="12">
        <v>2111.1077751166649</v>
      </c>
      <c r="L283" s="12">
        <f t="shared" si="13"/>
        <v>11632.7502</v>
      </c>
      <c r="S283" s="12">
        <v>1887.745048754648</v>
      </c>
      <c r="T283" s="12">
        <v>690</v>
      </c>
      <c r="U283" s="12">
        <v>21000</v>
      </c>
      <c r="V283" s="12">
        <f t="shared" si="14"/>
        <v>4.25195004129142</v>
      </c>
      <c r="W283" s="12">
        <v>1.4873799999999999</v>
      </c>
      <c r="AB283" s="12">
        <v>0.80062012685654171</v>
      </c>
      <c r="AC283" s="13">
        <v>0.3</v>
      </c>
      <c r="AE283" s="12" t="s">
        <v>622</v>
      </c>
      <c r="AF283" s="23" t="s">
        <v>35</v>
      </c>
    </row>
    <row r="284" spans="1:32">
      <c r="A284" s="12">
        <v>266</v>
      </c>
      <c r="B284" s="3" t="s">
        <v>345</v>
      </c>
      <c r="C284" s="3">
        <v>300</v>
      </c>
      <c r="D284" s="12">
        <v>300</v>
      </c>
      <c r="E284" s="12">
        <v>300</v>
      </c>
      <c r="F284" s="12">
        <v>15.39</v>
      </c>
      <c r="G284" s="12">
        <v>15.39</v>
      </c>
      <c r="H284" s="12">
        <v>8.91</v>
      </c>
      <c r="I284" s="12">
        <v>0</v>
      </c>
      <c r="J284" s="12">
        <v>0</v>
      </c>
      <c r="K284" s="12">
        <v>3518.512958527775</v>
      </c>
      <c r="L284" s="12">
        <f t="shared" si="13"/>
        <v>11632.7502</v>
      </c>
      <c r="S284" s="12">
        <v>1387.1057651846374</v>
      </c>
      <c r="T284" s="12">
        <v>690</v>
      </c>
      <c r="U284" s="12">
        <v>21000</v>
      </c>
      <c r="V284" s="12">
        <f t="shared" si="14"/>
        <v>5.7865793939163543</v>
      </c>
      <c r="W284" s="12">
        <v>1.1070599999999999</v>
      </c>
      <c r="AB284" s="12">
        <v>0.80062012685654171</v>
      </c>
      <c r="AC284" s="13">
        <v>0.5</v>
      </c>
      <c r="AE284" s="12" t="s">
        <v>623</v>
      </c>
      <c r="AF284" s="24" t="s">
        <v>34</v>
      </c>
    </row>
    <row r="285" spans="1:32">
      <c r="A285" s="12">
        <v>267</v>
      </c>
      <c r="B285" s="3" t="s">
        <v>346</v>
      </c>
      <c r="C285" s="3">
        <v>300</v>
      </c>
      <c r="D285" s="12">
        <v>300</v>
      </c>
      <c r="E285" s="12">
        <v>300</v>
      </c>
      <c r="F285" s="12">
        <v>15.39</v>
      </c>
      <c r="G285" s="12">
        <v>15.39</v>
      </c>
      <c r="H285" s="12">
        <v>8.91</v>
      </c>
      <c r="I285" s="12">
        <v>0</v>
      </c>
      <c r="J285" s="12">
        <v>0</v>
      </c>
      <c r="K285" s="12">
        <v>5277.7694377916623</v>
      </c>
      <c r="L285" s="12">
        <f t="shared" si="13"/>
        <v>11632.7502</v>
      </c>
      <c r="S285" s="12">
        <v>855.98082927547262</v>
      </c>
      <c r="T285" s="12">
        <v>690</v>
      </c>
      <c r="U285" s="12">
        <v>21000</v>
      </c>
      <c r="V285" s="12">
        <f t="shared" si="14"/>
        <v>9.3770764057811302</v>
      </c>
      <c r="W285" s="12">
        <v>1.0063299999999999</v>
      </c>
      <c r="AB285" s="12">
        <v>0.80062012685654171</v>
      </c>
      <c r="AC285" s="13">
        <v>0.75</v>
      </c>
      <c r="AE285" s="12" t="s">
        <v>624</v>
      </c>
      <c r="AF285" s="24" t="s">
        <v>34</v>
      </c>
    </row>
    <row r="286" spans="1:32">
      <c r="A286" s="12">
        <v>268</v>
      </c>
      <c r="B286" s="3" t="s">
        <v>347</v>
      </c>
      <c r="C286" s="3">
        <v>300</v>
      </c>
      <c r="D286" s="12">
        <v>300</v>
      </c>
      <c r="E286" s="12">
        <v>300</v>
      </c>
      <c r="F286" s="12">
        <v>15.39</v>
      </c>
      <c r="G286" s="12">
        <v>15.39</v>
      </c>
      <c r="H286" s="12">
        <v>8.91</v>
      </c>
      <c r="I286" s="12">
        <v>0</v>
      </c>
      <c r="J286" s="12">
        <v>0</v>
      </c>
      <c r="K286" s="12">
        <v>7037.0259170555501</v>
      </c>
      <c r="L286" s="12">
        <f t="shared" si="13"/>
        <v>11632.7502</v>
      </c>
      <c r="S286" s="12">
        <v>546.01524848268377</v>
      </c>
      <c r="T286" s="12">
        <v>690</v>
      </c>
      <c r="U286" s="12">
        <v>21000</v>
      </c>
      <c r="V286" s="12">
        <f t="shared" si="14"/>
        <v>14.700317729779581</v>
      </c>
      <c r="W286" s="12">
        <v>0.99113099999999998</v>
      </c>
      <c r="AB286" s="12">
        <v>0.80062012685654171</v>
      </c>
      <c r="AC286" s="13">
        <v>1</v>
      </c>
      <c r="AE286" s="12" t="s">
        <v>625</v>
      </c>
      <c r="AF286" s="24" t="s">
        <v>34</v>
      </c>
    </row>
    <row r="287" spans="1:32">
      <c r="A287" s="12">
        <v>269</v>
      </c>
      <c r="B287" s="3" t="s">
        <v>348</v>
      </c>
      <c r="C287" s="3">
        <v>300</v>
      </c>
      <c r="D287" s="12">
        <v>300</v>
      </c>
      <c r="E287" s="12">
        <v>300</v>
      </c>
      <c r="F287" s="12">
        <v>15.39</v>
      </c>
      <c r="G287" s="12">
        <v>15.39</v>
      </c>
      <c r="H287" s="12">
        <v>8.91</v>
      </c>
      <c r="I287" s="12">
        <v>0</v>
      </c>
      <c r="J287" s="12">
        <v>0</v>
      </c>
      <c r="K287" s="12">
        <v>9359.2444696838829</v>
      </c>
      <c r="L287" s="12">
        <f t="shared" si="13"/>
        <v>11632.7502</v>
      </c>
      <c r="S287" s="12">
        <v>333.64272965770772</v>
      </c>
      <c r="T287" s="12">
        <v>690</v>
      </c>
      <c r="U287" s="12">
        <v>21000</v>
      </c>
      <c r="V287" s="12">
        <f t="shared" si="14"/>
        <v>24.057463042083022</v>
      </c>
      <c r="W287" s="12">
        <v>1.04735</v>
      </c>
      <c r="AB287" s="12">
        <v>0.80062012685654171</v>
      </c>
      <c r="AC287" s="13">
        <v>1.33</v>
      </c>
      <c r="AE287" s="12" t="s">
        <v>626</v>
      </c>
      <c r="AF287" s="24" t="s">
        <v>34</v>
      </c>
    </row>
    <row r="288" spans="1:32">
      <c r="A288" s="12">
        <v>270</v>
      </c>
      <c r="B288" s="3" t="s">
        <v>349</v>
      </c>
      <c r="C288" s="3">
        <v>300</v>
      </c>
      <c r="D288" s="12">
        <v>300</v>
      </c>
      <c r="E288" s="12">
        <v>300</v>
      </c>
      <c r="F288" s="12">
        <v>15.39</v>
      </c>
      <c r="G288" s="12">
        <v>15.39</v>
      </c>
      <c r="H288" s="12">
        <v>8.91</v>
      </c>
      <c r="I288" s="12">
        <v>0</v>
      </c>
      <c r="J288" s="12">
        <v>0</v>
      </c>
      <c r="K288" s="12">
        <v>11751.833281482768</v>
      </c>
      <c r="L288" s="12">
        <f t="shared" si="13"/>
        <v>11632.7502</v>
      </c>
      <c r="S288" s="12">
        <v>220.93846250212579</v>
      </c>
      <c r="T288" s="12">
        <v>690</v>
      </c>
      <c r="U288" s="12">
        <v>21000</v>
      </c>
      <c r="V288" s="12">
        <f t="shared" si="14"/>
        <v>36.329562300284273</v>
      </c>
      <c r="W288" s="12">
        <v>1.09511</v>
      </c>
      <c r="AB288" s="12">
        <v>0.80062012685654171</v>
      </c>
      <c r="AC288" s="13">
        <v>1.67</v>
      </c>
      <c r="AE288" s="12" t="s">
        <v>627</v>
      </c>
      <c r="AF288" s="24" t="s">
        <v>34</v>
      </c>
    </row>
    <row r="289" spans="1:32">
      <c r="A289" s="12">
        <v>271</v>
      </c>
      <c r="B289" s="3" t="s">
        <v>350</v>
      </c>
      <c r="C289" s="3">
        <v>300</v>
      </c>
      <c r="D289" s="12">
        <v>300</v>
      </c>
      <c r="E289" s="12">
        <v>300</v>
      </c>
      <c r="F289" s="12">
        <v>15.39</v>
      </c>
      <c r="G289" s="12">
        <v>15.39</v>
      </c>
      <c r="H289" s="12">
        <v>8.91</v>
      </c>
      <c r="I289" s="12">
        <v>0</v>
      </c>
      <c r="J289" s="12">
        <v>0</v>
      </c>
      <c r="K289" s="12">
        <v>14074.0518341111</v>
      </c>
      <c r="L289" s="12">
        <f t="shared" si="13"/>
        <v>11632.7502</v>
      </c>
      <c r="S289" s="12">
        <v>158.17497143265777</v>
      </c>
      <c r="T289" s="12">
        <v>690</v>
      </c>
      <c r="U289" s="12">
        <v>21000</v>
      </c>
      <c r="V289" s="12">
        <f t="shared" si="14"/>
        <v>50.745055082354071</v>
      </c>
      <c r="W289" s="12">
        <v>1.11852</v>
      </c>
      <c r="AB289" s="12">
        <v>0.80062012685654171</v>
      </c>
      <c r="AC289" s="13">
        <v>2</v>
      </c>
      <c r="AE289" s="12" t="s">
        <v>628</v>
      </c>
      <c r="AF289" s="24" t="s">
        <v>34</v>
      </c>
    </row>
    <row r="290" spans="1:32">
      <c r="A290" s="12">
        <v>272</v>
      </c>
      <c r="B290" s="3" t="s">
        <v>351</v>
      </c>
      <c r="C290" s="3">
        <v>300</v>
      </c>
      <c r="D290" s="12">
        <v>300</v>
      </c>
      <c r="E290" s="12">
        <v>300</v>
      </c>
      <c r="F290" s="12">
        <v>15.39</v>
      </c>
      <c r="G290" s="12">
        <v>15.39</v>
      </c>
      <c r="H290" s="12">
        <v>8.91</v>
      </c>
      <c r="I290" s="12">
        <v>0</v>
      </c>
      <c r="J290" s="12">
        <v>0</v>
      </c>
      <c r="K290" s="12">
        <v>17592.564792638874</v>
      </c>
      <c r="L290" s="12">
        <f t="shared" si="13"/>
        <v>11632.7502</v>
      </c>
      <c r="S290" s="12">
        <v>103.90637142886713</v>
      </c>
      <c r="T290" s="12">
        <v>690</v>
      </c>
      <c r="U290" s="12">
        <v>21000</v>
      </c>
      <c r="V290" s="12">
        <f t="shared" si="14"/>
        <v>77.248368195543222</v>
      </c>
      <c r="W290" s="12">
        <v>1.1334</v>
      </c>
      <c r="AB290" s="12">
        <v>0.80062012685654171</v>
      </c>
      <c r="AC290" s="13">
        <v>2.5</v>
      </c>
      <c r="AE290" s="12" t="s">
        <v>629</v>
      </c>
      <c r="AF290" s="24" t="s">
        <v>34</v>
      </c>
    </row>
    <row r="291" spans="1:32">
      <c r="A291" s="12">
        <v>273</v>
      </c>
      <c r="B291" s="3" t="s">
        <v>352</v>
      </c>
      <c r="C291" s="3">
        <v>300</v>
      </c>
      <c r="D291" s="12">
        <v>300</v>
      </c>
      <c r="E291" s="12">
        <v>300</v>
      </c>
      <c r="F291" s="12">
        <v>11.209999999999999</v>
      </c>
      <c r="G291" s="12">
        <v>11.209999999999999</v>
      </c>
      <c r="H291" s="12">
        <v>6.4899999999999993</v>
      </c>
      <c r="I291" s="12">
        <v>0</v>
      </c>
      <c r="J291" s="12">
        <v>0</v>
      </c>
      <c r="K291" s="12">
        <v>2139.7687770237067</v>
      </c>
      <c r="L291" s="12">
        <f t="shared" si="13"/>
        <v>8527.4941999999992</v>
      </c>
      <c r="S291" s="12">
        <v>1454.0920289101139</v>
      </c>
      <c r="T291" s="12">
        <v>690</v>
      </c>
      <c r="U291" s="12">
        <v>21000</v>
      </c>
      <c r="V291" s="12">
        <f t="shared" si="14"/>
        <v>4.0464914744152845</v>
      </c>
      <c r="W291" s="12">
        <v>1.1792</v>
      </c>
      <c r="AB291" s="12">
        <v>1.1026699208821982</v>
      </c>
      <c r="AC291" s="13">
        <v>0.3</v>
      </c>
      <c r="AE291" s="12" t="s">
        <v>630</v>
      </c>
      <c r="AF291" s="23" t="s">
        <v>35</v>
      </c>
    </row>
    <row r="292" spans="1:32">
      <c r="A292" s="12">
        <v>274</v>
      </c>
      <c r="B292" s="3" t="s">
        <v>353</v>
      </c>
      <c r="C292" s="3">
        <v>300</v>
      </c>
      <c r="D292" s="12">
        <v>300</v>
      </c>
      <c r="E292" s="12">
        <v>300</v>
      </c>
      <c r="F292" s="12">
        <v>11.209999999999999</v>
      </c>
      <c r="G292" s="12">
        <v>11.209999999999999</v>
      </c>
      <c r="H292" s="12">
        <v>6.4899999999999993</v>
      </c>
      <c r="I292" s="12">
        <v>0</v>
      </c>
      <c r="J292" s="12">
        <v>0</v>
      </c>
      <c r="K292" s="12">
        <v>3566.281295039511</v>
      </c>
      <c r="L292" s="12">
        <f t="shared" si="13"/>
        <v>8527.4941999999992</v>
      </c>
      <c r="S292" s="12">
        <v>1147.8955438793773</v>
      </c>
      <c r="T292" s="12">
        <v>690</v>
      </c>
      <c r="U292" s="12">
        <v>21000</v>
      </c>
      <c r="V292" s="12">
        <f t="shared" si="14"/>
        <v>5.1258766787392425</v>
      </c>
      <c r="W292" s="12">
        <v>0.81051099999999998</v>
      </c>
      <c r="AB292" s="12">
        <v>1.1026699208821982</v>
      </c>
      <c r="AC292" s="13">
        <v>0.5</v>
      </c>
      <c r="AE292" s="12" t="s">
        <v>631</v>
      </c>
      <c r="AF292" s="24" t="s">
        <v>34</v>
      </c>
    </row>
    <row r="293" spans="1:32">
      <c r="A293" s="12">
        <v>275</v>
      </c>
      <c r="B293" s="3" t="s">
        <v>354</v>
      </c>
      <c r="C293" s="3">
        <v>300</v>
      </c>
      <c r="D293" s="12">
        <v>300</v>
      </c>
      <c r="E293" s="12">
        <v>300</v>
      </c>
      <c r="F293" s="12">
        <v>11.209999999999999</v>
      </c>
      <c r="G293" s="12">
        <v>11.209999999999999</v>
      </c>
      <c r="H293" s="12">
        <v>6.4899999999999993</v>
      </c>
      <c r="I293" s="12">
        <v>0</v>
      </c>
      <c r="J293" s="12">
        <v>0</v>
      </c>
      <c r="K293" s="12">
        <v>5349.4219425592664</v>
      </c>
      <c r="L293" s="12">
        <f t="shared" si="13"/>
        <v>8527.4941999999992</v>
      </c>
      <c r="S293" s="12">
        <v>769.93895519780858</v>
      </c>
      <c r="T293" s="12">
        <v>690</v>
      </c>
      <c r="U293" s="12">
        <v>21000</v>
      </c>
      <c r="V293" s="12">
        <f t="shared" si="14"/>
        <v>7.6421266365049965</v>
      </c>
      <c r="W293" s="12">
        <v>0.67975300000000005</v>
      </c>
      <c r="AB293" s="12">
        <v>1.1026699208821982</v>
      </c>
      <c r="AC293" s="13">
        <v>0.75</v>
      </c>
      <c r="AE293" s="12" t="s">
        <v>632</v>
      </c>
      <c r="AF293" s="23" t="s">
        <v>35</v>
      </c>
    </row>
    <row r="294" spans="1:32">
      <c r="A294" s="12">
        <v>276</v>
      </c>
      <c r="B294" s="3" t="s">
        <v>355</v>
      </c>
      <c r="C294" s="3">
        <v>300</v>
      </c>
      <c r="D294" s="12">
        <v>300</v>
      </c>
      <c r="E294" s="12">
        <v>300</v>
      </c>
      <c r="F294" s="12">
        <v>11.209999999999999</v>
      </c>
      <c r="G294" s="12">
        <v>11.209999999999999</v>
      </c>
      <c r="H294" s="12">
        <v>6.4899999999999993</v>
      </c>
      <c r="I294" s="12">
        <v>0</v>
      </c>
      <c r="J294" s="12">
        <v>0</v>
      </c>
      <c r="K294" s="12">
        <v>7132.5625900790219</v>
      </c>
      <c r="L294" s="12">
        <f t="shared" si="13"/>
        <v>8527.4941999999992</v>
      </c>
      <c r="S294" s="12">
        <v>510.55779614035737</v>
      </c>
      <c r="T294" s="12">
        <v>690</v>
      </c>
      <c r="U294" s="12">
        <v>21000</v>
      </c>
      <c r="V294" s="12">
        <f t="shared" si="14"/>
        <v>11.524593380966486</v>
      </c>
      <c r="W294" s="12">
        <v>0.64539299999999999</v>
      </c>
      <c r="AB294" s="12">
        <v>1.1026699208821982</v>
      </c>
      <c r="AC294" s="13">
        <v>1</v>
      </c>
      <c r="AE294" s="12" t="s">
        <v>633</v>
      </c>
      <c r="AF294" s="24" t="s">
        <v>34</v>
      </c>
    </row>
    <row r="295" spans="1:32">
      <c r="A295" s="12">
        <v>277</v>
      </c>
      <c r="B295" s="3" t="s">
        <v>356</v>
      </c>
      <c r="C295" s="3">
        <v>300</v>
      </c>
      <c r="D295" s="12">
        <v>300</v>
      </c>
      <c r="E295" s="12">
        <v>300</v>
      </c>
      <c r="F295" s="12">
        <v>11.209999999999999</v>
      </c>
      <c r="G295" s="12">
        <v>11.209999999999999</v>
      </c>
      <c r="H295" s="12">
        <v>6.4899999999999993</v>
      </c>
      <c r="I295" s="12">
        <v>0</v>
      </c>
      <c r="J295" s="12">
        <v>0</v>
      </c>
      <c r="K295" s="12">
        <v>9486.3082448051009</v>
      </c>
      <c r="L295" s="12">
        <f t="shared" si="13"/>
        <v>8527.4941999999992</v>
      </c>
      <c r="S295" s="12">
        <v>318.61247328947132</v>
      </c>
      <c r="T295" s="12">
        <v>690</v>
      </c>
      <c r="U295" s="12">
        <v>21000</v>
      </c>
      <c r="V295" s="12">
        <f t="shared" si="14"/>
        <v>18.467484769983226</v>
      </c>
      <c r="W295" s="12">
        <v>0.62905100000000003</v>
      </c>
      <c r="AB295" s="12">
        <v>1.1026699208821982</v>
      </c>
      <c r="AC295" s="13">
        <v>1.33</v>
      </c>
      <c r="AE295" s="12" t="s">
        <v>634</v>
      </c>
      <c r="AF295" s="24" t="s">
        <v>34</v>
      </c>
    </row>
    <row r="296" spans="1:32">
      <c r="A296" s="12">
        <v>278</v>
      </c>
      <c r="B296" s="3" t="s">
        <v>357</v>
      </c>
      <c r="C296" s="3">
        <v>300</v>
      </c>
      <c r="D296" s="12">
        <v>300</v>
      </c>
      <c r="E296" s="12">
        <v>300</v>
      </c>
      <c r="F296" s="12">
        <v>11.209999999999999</v>
      </c>
      <c r="G296" s="12">
        <v>11.209999999999999</v>
      </c>
      <c r="H296" s="12">
        <v>6.4899999999999993</v>
      </c>
      <c r="I296" s="12">
        <v>0</v>
      </c>
      <c r="J296" s="12">
        <v>0</v>
      </c>
      <c r="K296" s="12">
        <v>11911.379525431967</v>
      </c>
      <c r="L296" s="12">
        <f t="shared" si="13"/>
        <v>8527.4941999999992</v>
      </c>
      <c r="S296" s="12">
        <v>213.07076572917052</v>
      </c>
      <c r="T296" s="12">
        <v>690</v>
      </c>
      <c r="U296" s="12">
        <v>21000</v>
      </c>
      <c r="V296" s="12">
        <f t="shared" si="14"/>
        <v>27.615102324637924</v>
      </c>
      <c r="W296" s="12">
        <v>0.62139200000000006</v>
      </c>
      <c r="AB296" s="12">
        <v>1.1026699208821982</v>
      </c>
      <c r="AC296" s="13">
        <v>1.67</v>
      </c>
      <c r="AE296" s="12" t="s">
        <v>635</v>
      </c>
      <c r="AF296" s="24" t="s">
        <v>34</v>
      </c>
    </row>
    <row r="297" spans="1:32">
      <c r="A297" s="12">
        <v>279</v>
      </c>
      <c r="B297" s="3" t="s">
        <v>358</v>
      </c>
      <c r="C297" s="3">
        <v>300</v>
      </c>
      <c r="D297" s="12">
        <v>300</v>
      </c>
      <c r="E297" s="12">
        <v>300</v>
      </c>
      <c r="F297" s="12">
        <v>11.209999999999999</v>
      </c>
      <c r="G297" s="12">
        <v>11.209999999999999</v>
      </c>
      <c r="H297" s="12">
        <v>6.4899999999999993</v>
      </c>
      <c r="I297" s="12">
        <v>0</v>
      </c>
      <c r="J297" s="12">
        <v>0</v>
      </c>
      <c r="K297" s="12">
        <v>14265.125180158044</v>
      </c>
      <c r="L297" s="12">
        <f t="shared" si="13"/>
        <v>8527.4941999999992</v>
      </c>
      <c r="S297" s="12">
        <v>153.36113201377029</v>
      </c>
      <c r="T297" s="12">
        <v>690</v>
      </c>
      <c r="U297" s="12">
        <v>21000</v>
      </c>
      <c r="V297" s="12">
        <f t="shared" si="14"/>
        <v>38.366768168297547</v>
      </c>
      <c r="W297" s="12">
        <v>0.61646999999999996</v>
      </c>
      <c r="AB297" s="12">
        <v>1.1026699208821982</v>
      </c>
      <c r="AC297" s="13">
        <v>2</v>
      </c>
      <c r="AE297" s="12" t="s">
        <v>636</v>
      </c>
      <c r="AF297" s="24" t="s">
        <v>34</v>
      </c>
    </row>
    <row r="298" spans="1:32">
      <c r="A298" s="12">
        <v>280</v>
      </c>
      <c r="B298" s="3" t="s">
        <v>359</v>
      </c>
      <c r="C298" s="3">
        <v>300</v>
      </c>
      <c r="D298" s="12">
        <v>300</v>
      </c>
      <c r="E298" s="12">
        <v>300</v>
      </c>
      <c r="F298" s="12">
        <v>11.209999999999999</v>
      </c>
      <c r="G298" s="12">
        <v>11.209999999999999</v>
      </c>
      <c r="H298" s="12">
        <v>6.4899999999999993</v>
      </c>
      <c r="I298" s="12">
        <v>0</v>
      </c>
      <c r="J298" s="12">
        <v>0</v>
      </c>
      <c r="K298" s="12">
        <v>17831.406475197557</v>
      </c>
      <c r="L298" s="12">
        <f t="shared" si="13"/>
        <v>8527.4941999999992</v>
      </c>
      <c r="S298" s="12">
        <v>101.23059847747011</v>
      </c>
      <c r="T298" s="12">
        <v>690</v>
      </c>
      <c r="U298" s="12">
        <v>21000</v>
      </c>
      <c r="V298" s="12">
        <f t="shared" si="14"/>
        <v>58.124431609574422</v>
      </c>
      <c r="W298" s="12">
        <v>0.607236</v>
      </c>
      <c r="AB298" s="12">
        <v>1.1026699208821982</v>
      </c>
      <c r="AC298" s="13">
        <v>2.5</v>
      </c>
      <c r="AE298" s="12" t="s">
        <v>637</v>
      </c>
      <c r="AF298" s="24" t="s">
        <v>34</v>
      </c>
    </row>
    <row r="299" spans="1:32">
      <c r="A299" s="12">
        <v>281</v>
      </c>
      <c r="B299" s="3" t="s">
        <v>360</v>
      </c>
      <c r="C299" s="3">
        <v>300</v>
      </c>
      <c r="D299" s="12">
        <v>300</v>
      </c>
      <c r="E299" s="12">
        <v>300</v>
      </c>
      <c r="F299" s="12">
        <v>8.2080000000000002</v>
      </c>
      <c r="G299" s="12">
        <v>8.2080000000000002</v>
      </c>
      <c r="H299" s="12">
        <v>4.7519999999999998</v>
      </c>
      <c r="I299" s="12">
        <v>0</v>
      </c>
      <c r="J299" s="12">
        <v>0</v>
      </c>
      <c r="K299" s="12">
        <v>2160.5023585019617</v>
      </c>
      <c r="L299" s="12">
        <f t="shared" si="13"/>
        <v>6272.3911680000001</v>
      </c>
      <c r="S299" s="12">
        <v>1112.2361410840945</v>
      </c>
      <c r="T299" s="12">
        <v>690</v>
      </c>
      <c r="U299" s="12">
        <v>21000</v>
      </c>
      <c r="V299" s="12">
        <f t="shared" si="14"/>
        <v>3.8912149552176527</v>
      </c>
      <c r="W299" s="12">
        <v>0.76858599999999999</v>
      </c>
      <c r="AB299" s="12">
        <v>1.5093980321271014</v>
      </c>
      <c r="AC299" s="13">
        <v>0.3</v>
      </c>
      <c r="AE299" s="12" t="s">
        <v>638</v>
      </c>
      <c r="AF299" s="24" t="s">
        <v>34</v>
      </c>
    </row>
    <row r="300" spans="1:32">
      <c r="A300" s="12">
        <v>282</v>
      </c>
      <c r="B300" s="3" t="s">
        <v>361</v>
      </c>
      <c r="C300" s="3">
        <v>300</v>
      </c>
      <c r="D300" s="12">
        <v>300</v>
      </c>
      <c r="E300" s="12">
        <v>300</v>
      </c>
      <c r="F300" s="12">
        <v>8.2080000000000002</v>
      </c>
      <c r="G300" s="12">
        <v>8.2080000000000002</v>
      </c>
      <c r="H300" s="12">
        <v>4.7519999999999998</v>
      </c>
      <c r="I300" s="12">
        <v>0</v>
      </c>
      <c r="J300" s="12">
        <v>0</v>
      </c>
      <c r="K300" s="12">
        <v>3600.8372641699361</v>
      </c>
      <c r="L300" s="12">
        <f t="shared" si="13"/>
        <v>6272.3911680000001</v>
      </c>
      <c r="S300" s="12">
        <v>926.59517716357152</v>
      </c>
      <c r="T300" s="12">
        <v>690</v>
      </c>
      <c r="U300" s="12">
        <v>21000</v>
      </c>
      <c r="V300" s="12">
        <f t="shared" si="14"/>
        <v>4.6708098774789848</v>
      </c>
      <c r="W300" s="12">
        <v>0.60477700000000001</v>
      </c>
      <c r="AB300" s="12">
        <v>1.5093980321271014</v>
      </c>
      <c r="AC300" s="13">
        <v>0.5</v>
      </c>
      <c r="AE300" s="12" t="s">
        <v>639</v>
      </c>
      <c r="AF300" s="23" t="s">
        <v>35</v>
      </c>
    </row>
    <row r="301" spans="1:32">
      <c r="A301" s="12">
        <v>283</v>
      </c>
      <c r="B301" s="3" t="s">
        <v>362</v>
      </c>
      <c r="C301" s="3">
        <v>300</v>
      </c>
      <c r="D301" s="12">
        <v>300</v>
      </c>
      <c r="E301" s="12">
        <v>300</v>
      </c>
      <c r="F301" s="12">
        <v>8.2080000000000002</v>
      </c>
      <c r="G301" s="12">
        <v>8.2080000000000002</v>
      </c>
      <c r="H301" s="12">
        <v>4.7519999999999998</v>
      </c>
      <c r="I301" s="12">
        <v>0</v>
      </c>
      <c r="J301" s="12">
        <v>0</v>
      </c>
      <c r="K301" s="12">
        <v>5401.2558962549047</v>
      </c>
      <c r="L301" s="12">
        <f t="shared" si="13"/>
        <v>6272.3911680000001</v>
      </c>
      <c r="S301" s="12">
        <v>674.96285658269755</v>
      </c>
      <c r="T301" s="12">
        <v>690</v>
      </c>
      <c r="U301" s="12">
        <v>21000</v>
      </c>
      <c r="V301" s="12">
        <f t="shared" si="14"/>
        <v>6.4121304805307195</v>
      </c>
      <c r="W301" s="12">
        <v>0.44506699999999999</v>
      </c>
      <c r="AB301" s="12">
        <v>1.5093980321271014</v>
      </c>
      <c r="AC301" s="13">
        <v>0.75</v>
      </c>
      <c r="AE301" s="12" t="s">
        <v>640</v>
      </c>
      <c r="AF301" s="24" t="s">
        <v>34</v>
      </c>
    </row>
    <row r="302" spans="1:32">
      <c r="A302" s="12">
        <v>284</v>
      </c>
      <c r="B302" s="3" t="s">
        <v>363</v>
      </c>
      <c r="C302" s="3">
        <v>300</v>
      </c>
      <c r="D302" s="12">
        <v>300</v>
      </c>
      <c r="E302" s="12">
        <v>300</v>
      </c>
      <c r="F302" s="12">
        <v>8.2080000000000002</v>
      </c>
      <c r="G302" s="12">
        <v>8.2080000000000002</v>
      </c>
      <c r="H302" s="12">
        <v>4.7519999999999998</v>
      </c>
      <c r="I302" s="12">
        <v>0</v>
      </c>
      <c r="J302" s="12">
        <v>0</v>
      </c>
      <c r="K302" s="12">
        <v>7201.6745283398723</v>
      </c>
      <c r="L302" s="12">
        <f t="shared" si="13"/>
        <v>6272.3911680000001</v>
      </c>
      <c r="S302" s="12">
        <v>470.57715125327212</v>
      </c>
      <c r="T302" s="12">
        <v>690</v>
      </c>
      <c r="U302" s="12">
        <v>21000</v>
      </c>
      <c r="V302" s="12">
        <f t="shared" si="14"/>
        <v>9.197110175012785</v>
      </c>
      <c r="W302" s="12">
        <v>0.388768</v>
      </c>
      <c r="AB302" s="12">
        <v>1.5093980321271014</v>
      </c>
      <c r="AC302" s="13">
        <v>1</v>
      </c>
      <c r="AE302" s="12" t="s">
        <v>641</v>
      </c>
      <c r="AF302" s="24" t="s">
        <v>34</v>
      </c>
    </row>
    <row r="303" spans="1:32">
      <c r="A303" s="12">
        <v>285</v>
      </c>
      <c r="B303" s="3" t="s">
        <v>364</v>
      </c>
      <c r="C303" s="3">
        <v>300</v>
      </c>
      <c r="D303" s="12">
        <v>300</v>
      </c>
      <c r="E303" s="12">
        <v>300</v>
      </c>
      <c r="F303" s="12">
        <v>8.2080000000000002</v>
      </c>
      <c r="G303" s="12">
        <v>8.2080000000000002</v>
      </c>
      <c r="H303" s="12">
        <v>4.7519999999999998</v>
      </c>
      <c r="I303" s="12">
        <v>0</v>
      </c>
      <c r="J303" s="12">
        <v>0</v>
      </c>
      <c r="K303" s="12">
        <v>9578.2271226920311</v>
      </c>
      <c r="L303" s="12">
        <f t="shared" si="13"/>
        <v>6272.3911680000001</v>
      </c>
      <c r="S303" s="12">
        <v>302.33146747899639</v>
      </c>
      <c r="T303" s="12">
        <v>690</v>
      </c>
      <c r="U303" s="12">
        <v>21000</v>
      </c>
      <c r="V303" s="12">
        <f t="shared" si="14"/>
        <v>14.315247903265881</v>
      </c>
      <c r="W303" s="12">
        <v>0.40965000000000001</v>
      </c>
      <c r="AB303" s="12">
        <v>1.5093980321271014</v>
      </c>
      <c r="AC303" s="13">
        <v>1.33</v>
      </c>
      <c r="AE303" s="12" t="s">
        <v>642</v>
      </c>
      <c r="AF303" s="24" t="s">
        <v>34</v>
      </c>
    </row>
    <row r="304" spans="1:32">
      <c r="A304" s="12">
        <v>286</v>
      </c>
      <c r="B304" s="3" t="s">
        <v>365</v>
      </c>
      <c r="C304" s="3">
        <v>300</v>
      </c>
      <c r="D304" s="12">
        <v>300</v>
      </c>
      <c r="E304" s="12">
        <v>300</v>
      </c>
      <c r="F304" s="12">
        <v>8.2080000000000002</v>
      </c>
      <c r="G304" s="12">
        <v>8.2080000000000002</v>
      </c>
      <c r="H304" s="12">
        <v>4.7519999999999998</v>
      </c>
      <c r="I304" s="12">
        <v>0</v>
      </c>
      <c r="J304" s="12">
        <v>0</v>
      </c>
      <c r="K304" s="12">
        <v>12026.796462327586</v>
      </c>
      <c r="L304" s="12">
        <f t="shared" si="13"/>
        <v>6272.3911680000001</v>
      </c>
      <c r="S304" s="12">
        <v>204.89357995249722</v>
      </c>
      <c r="T304" s="12">
        <v>690</v>
      </c>
      <c r="U304" s="12">
        <v>21000</v>
      </c>
      <c r="V304" s="12">
        <f t="shared" si="14"/>
        <v>21.122916134919393</v>
      </c>
      <c r="W304" s="12">
        <v>0.401897</v>
      </c>
      <c r="AB304" s="12">
        <v>1.5093980321271014</v>
      </c>
      <c r="AC304" s="13">
        <v>1.67</v>
      </c>
      <c r="AE304" s="12" t="s">
        <v>643</v>
      </c>
      <c r="AF304" s="24" t="s">
        <v>34</v>
      </c>
    </row>
    <row r="305" spans="1:32">
      <c r="A305" s="12">
        <v>287</v>
      </c>
      <c r="B305" s="3" t="s">
        <v>366</v>
      </c>
      <c r="C305" s="3">
        <v>300</v>
      </c>
      <c r="D305" s="12">
        <v>300</v>
      </c>
      <c r="E305" s="12">
        <v>300</v>
      </c>
      <c r="F305" s="12">
        <v>8.2080000000000002</v>
      </c>
      <c r="G305" s="12">
        <v>8.2080000000000002</v>
      </c>
      <c r="H305" s="12">
        <v>4.7519999999999998</v>
      </c>
      <c r="I305" s="12">
        <v>0</v>
      </c>
      <c r="J305" s="12">
        <v>0</v>
      </c>
      <c r="K305" s="12">
        <v>14403.349056679745</v>
      </c>
      <c r="L305" s="12">
        <f t="shared" si="13"/>
        <v>6272.3911680000001</v>
      </c>
      <c r="S305" s="12">
        <v>148.5117530551021</v>
      </c>
      <c r="T305" s="12">
        <v>690</v>
      </c>
      <c r="U305" s="12">
        <v>21000</v>
      </c>
      <c r="V305" s="12">
        <f t="shared" si="14"/>
        <v>29.142137352012853</v>
      </c>
      <c r="W305" s="12">
        <v>0.39790900000000001</v>
      </c>
      <c r="AB305" s="12">
        <v>1.5093980321271014</v>
      </c>
      <c r="AC305" s="13">
        <v>2</v>
      </c>
      <c r="AE305" s="12" t="s">
        <v>644</v>
      </c>
      <c r="AF305" s="24" t="s">
        <v>34</v>
      </c>
    </row>
    <row r="306" spans="1:32">
      <c r="A306" s="12">
        <v>288</v>
      </c>
      <c r="B306" s="3" t="s">
        <v>367</v>
      </c>
      <c r="C306" s="3">
        <v>300</v>
      </c>
      <c r="D306" s="12">
        <v>300</v>
      </c>
      <c r="E306" s="12">
        <v>300</v>
      </c>
      <c r="F306" s="12">
        <v>8.2080000000000002</v>
      </c>
      <c r="G306" s="12">
        <v>8.2080000000000002</v>
      </c>
      <c r="H306" s="12">
        <v>4.7519999999999998</v>
      </c>
      <c r="I306" s="12">
        <v>0</v>
      </c>
      <c r="J306" s="12">
        <v>0</v>
      </c>
      <c r="K306" s="12">
        <v>18004.18632084968</v>
      </c>
      <c r="L306" s="12">
        <f t="shared" si="13"/>
        <v>6272.3911680000001</v>
      </c>
      <c r="S306" s="12">
        <v>98.628684564932087</v>
      </c>
      <c r="T306" s="12">
        <v>690</v>
      </c>
      <c r="U306" s="12">
        <v>21000</v>
      </c>
      <c r="V306" s="12">
        <f t="shared" si="14"/>
        <v>43.881249405396851</v>
      </c>
      <c r="W306" s="12">
        <v>0.39565099999999997</v>
      </c>
      <c r="AB306" s="12">
        <v>1.5093980321271014</v>
      </c>
      <c r="AC306" s="13">
        <v>2.5</v>
      </c>
      <c r="AE306" s="12" t="s">
        <v>645</v>
      </c>
      <c r="AF306" s="23" t="s">
        <v>646</v>
      </c>
    </row>
  </sheetData>
  <mergeCells count="2">
    <mergeCell ref="I2:J2"/>
    <mergeCell ref="I3:J3"/>
  </mergeCells>
  <phoneticPr fontId="8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CommandButton1">
          <controlPr defaultSize="0" autoLine="0" autoPict="0" r:id="rId5">
            <anchor moveWithCells="1">
              <from>
                <xdr:col>29</xdr:col>
                <xdr:colOff>219075</xdr:colOff>
                <xdr:row>0</xdr:row>
                <xdr:rowOff>152400</xdr:rowOff>
              </from>
              <to>
                <xdr:col>30</xdr:col>
                <xdr:colOff>1057275</xdr:colOff>
                <xdr:row>2</xdr:row>
                <xdr:rowOff>171450</xdr:rowOff>
              </to>
            </anchor>
          </controlPr>
        </control>
      </mc:Choice>
      <mc:Fallback>
        <control shapeId="15364" r:id="rId4" name="CommandButton1"/>
      </mc:Fallback>
    </mc:AlternateContent>
    <mc:AlternateContent xmlns:mc="http://schemas.openxmlformats.org/markup-compatibility/2006">
      <mc:Choice Requires="x14">
        <control shapeId="15361" r:id="rId6" name="Button 1">
          <controlPr defaultSize="0" print="0" autoFill="0" autoPict="0" macro="[0]!CreatCount">
            <anchor moveWithCells="1" sizeWithCells="1">
              <from>
                <xdr:col>1</xdr:col>
                <xdr:colOff>152400</xdr:colOff>
                <xdr:row>1</xdr:row>
                <xdr:rowOff>19050</xdr:rowOff>
              </from>
              <to>
                <xdr:col>3</xdr:col>
                <xdr:colOff>514350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3" r:id="rId7" name="Button 3">
          <controlPr defaultSize="0" print="0" autoFill="0" autoPict="0" macro="[0]!Get_R_b_L">
            <anchor moveWithCells="1" sizeWithCells="1">
              <from>
                <xdr:col>4</xdr:col>
                <xdr:colOff>438150</xdr:colOff>
                <xdr:row>1</xdr:row>
                <xdr:rowOff>28575</xdr:rowOff>
              </from>
              <to>
                <xdr:col>6</xdr:col>
                <xdr:colOff>542925</xdr:colOff>
                <xdr:row>2</xdr:row>
                <xdr:rowOff>171450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Section Properties_CHS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Liya Li</dc:creator>
  <cp:lastModifiedBy>Kokou Evignon Attiogbe</cp:lastModifiedBy>
  <dcterms:created xsi:type="dcterms:W3CDTF">2015-06-05T18:19:34Z</dcterms:created>
  <dcterms:modified xsi:type="dcterms:W3CDTF">2026-04-03T04:01:11Z</dcterms:modified>
</cp:coreProperties>
</file>