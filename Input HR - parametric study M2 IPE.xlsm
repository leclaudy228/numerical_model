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0F5615AE-A564-4664-A82C-C3697DC3D96F}" xr6:coauthVersionLast="47" xr6:coauthVersionMax="47" xr10:uidLastSave="{00000000-0000-0000-0000-000000000000}"/>
  <bookViews>
    <workbookView xWindow="-120" yWindow="-120" windowWidth="29040" windowHeight="1572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1" l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L4" i="1"/>
  <c r="AL5" i="1"/>
  <c r="AL6" i="1"/>
  <c r="AL7" i="1"/>
  <c r="AL8" i="1"/>
  <c r="AL9" i="1"/>
  <c r="AL10" i="1"/>
  <c r="AL11" i="1"/>
  <c r="AL12" i="1"/>
  <c r="AL13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<sst xmlns="http://schemas.openxmlformats.org/spreadsheetml/2006/main" count="372" uniqueCount="191">
  <si>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</si>
  <si>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</si>
  <si>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</si>
  <si>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</si>
  <si>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</si>
  <si>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</si>
  <si>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</si>
  <si>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</si>
  <si>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</si>
  <si>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</si>
  <si>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</si>
  <si>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</si>
  <si>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</si>
  <si>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</si>
  <si>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</si>
  <si>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</si>
  <si>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</si>
  <si>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</si>
  <si>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</si>
  <si>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</si>
  <si>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</si>
  <si>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</si>
  <si>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</si>
  <si>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</si>
  <si>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</si>
  <si>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</si>
  <si>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</si>
  <si>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</si>
  <si>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</si>
  <si>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</si>
  <si>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</si>
  <si>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</si>
  <si>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</si>
  <si>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</si>
  <si>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</si>
  <si>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</si>
  <si>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</si>
  <si>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</si>
  <si>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</si>
  <si>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</si>
  <si>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</si>
  <si>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</si>
  <si>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</si>
  <si>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</si>
  <si>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</si>
  <si>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</si>
  <si>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</si>
  <si>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</si>
  <si>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</si>
  <si>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</si>
  <si>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</si>
  <si>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</si>
  <si>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</si>
  <si>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</si>
  <si>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</si>
  <si>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</si>
  <si>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</si>
  <si>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</si>
  <si>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</si>
  <si>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</si>
  <si>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</si>
  <si>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</si>
  <si>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</si>
  <si>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</si>
  <si>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</si>
  <si>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</si>
  <si>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</si>
  <si>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</si>
  <si>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</si>
  <si>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</si>
  <si>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</si>
  <si>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</si>
  <si>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</si>
  <si>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</si>
  <si>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</si>
  <si>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</si>
  <si>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</si>
  <si>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</si>
  <si>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</si>
  <si>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</si>
  <si>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</si>
  <si>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</si>
  <si>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</si>
  <si>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</si>
  <si>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</si>
  <si>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</si>
  <si>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</si>
  <si>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</si>
  <si>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</si>
  <si>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</si>
  <si>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Wg (Lcr/1000)</t>
  </si>
  <si>
    <t>w0(b/200)</t>
  </si>
  <si>
    <t>ecc</t>
  </si>
  <si>
    <t>S_2</t>
  </si>
  <si>
    <t>Parametric_study_HR_460_IPE_beam</t>
  </si>
  <si>
    <t>IPE-80-1</t>
  </si>
  <si>
    <t>IPE-80-2</t>
  </si>
  <si>
    <t>IPE-80-3</t>
  </si>
  <si>
    <t>IPE-80-4</t>
  </si>
  <si>
    <t>IPE-80-5</t>
  </si>
  <si>
    <t>IPE-80-6</t>
  </si>
  <si>
    <t>IPE-80-7</t>
  </si>
  <si>
    <t>IPE-80-8</t>
  </si>
  <si>
    <t>IPE-100-1</t>
  </si>
  <si>
    <t>IPE-100-2</t>
  </si>
  <si>
    <t>IPE-100-3</t>
  </si>
  <si>
    <t>IPE-100-4</t>
  </si>
  <si>
    <t>IPE-100-5</t>
  </si>
  <si>
    <t>IPE-100-6</t>
  </si>
  <si>
    <t>IPE-100-7</t>
  </si>
  <si>
    <t>IPE-100-8</t>
  </si>
  <si>
    <t>IPE-120-1</t>
  </si>
  <si>
    <t>IPE-120-2</t>
  </si>
  <si>
    <t>IPE-120-3</t>
  </si>
  <si>
    <t>IPE-120-4</t>
  </si>
  <si>
    <t>IPE-120-5</t>
  </si>
  <si>
    <t>IPE-120-6</t>
  </si>
  <si>
    <t>IPE-120-7</t>
  </si>
  <si>
    <t>IPE-120-8</t>
  </si>
  <si>
    <t>IPE-160-1</t>
  </si>
  <si>
    <t>IPE-160-2</t>
  </si>
  <si>
    <t>IPE-160-3</t>
  </si>
  <si>
    <t>IPE-160-4</t>
  </si>
  <si>
    <t>IPE-160-5</t>
  </si>
  <si>
    <t>IPE-160-6</t>
  </si>
  <si>
    <t>IPE-160-7</t>
  </si>
  <si>
    <t>IPE-160-8</t>
  </si>
  <si>
    <t>IPE-200-1</t>
  </si>
  <si>
    <t>IPE-200-2</t>
  </si>
  <si>
    <t>IPE-200-3</t>
  </si>
  <si>
    <t>IPE-200-4</t>
  </si>
  <si>
    <t>IPE-200-5</t>
  </si>
  <si>
    <t>IPE-200-6</t>
  </si>
  <si>
    <t>IPE-200-7</t>
  </si>
  <si>
    <t>IPE-200-8</t>
  </si>
  <si>
    <t>IPE-240-1</t>
  </si>
  <si>
    <t>IPE-240-2</t>
  </si>
  <si>
    <t>IPE-240-3</t>
  </si>
  <si>
    <t>IPE-240-4</t>
  </si>
  <si>
    <t>IPE-240-5</t>
  </si>
  <si>
    <t>IPE-240-6</t>
  </si>
  <si>
    <t>IPE-240-7</t>
  </si>
  <si>
    <t>IPE-240-8</t>
  </si>
  <si>
    <t>IPE-300-1</t>
  </si>
  <si>
    <t>IPE-300-2</t>
  </si>
  <si>
    <t>IPE-300-3</t>
  </si>
  <si>
    <t>IPE-300-4</t>
  </si>
  <si>
    <t>IPE-300-5</t>
  </si>
  <si>
    <t>IPE-300-6</t>
  </si>
  <si>
    <t>IPE-300-7</t>
  </si>
  <si>
    <t>IPE-300-8</t>
  </si>
  <si>
    <t>IPE-360-1</t>
  </si>
  <si>
    <t>IPE-360-2</t>
  </si>
  <si>
    <t>IPE-360-3</t>
  </si>
  <si>
    <t>IPE-360-4</t>
  </si>
  <si>
    <t>IPE-360-5</t>
  </si>
  <si>
    <t>IPE-360-6</t>
  </si>
  <si>
    <t>IPE-360-7</t>
  </si>
  <si>
    <t>IPE-360-8</t>
  </si>
  <si>
    <t>IPE-450-1</t>
  </si>
  <si>
    <t>IPE-450-2</t>
  </si>
  <si>
    <t>IPE-450-3</t>
  </si>
  <si>
    <t>IPE-450-4</t>
  </si>
  <si>
    <t>IPE-450-5</t>
  </si>
  <si>
    <t>IPE-450-6</t>
  </si>
  <si>
    <t>IPE-450-7</t>
  </si>
  <si>
    <t>IPE-450-8</t>
  </si>
  <si>
    <t>IPE-500-1</t>
  </si>
  <si>
    <t>IPE-500-2</t>
  </si>
  <si>
    <t>IPE-500-3</t>
  </si>
  <si>
    <t>IPE-500-4</t>
  </si>
  <si>
    <t>IPE-500-5</t>
  </si>
  <si>
    <t>IPE-500-6</t>
  </si>
  <si>
    <t>IPE-500-7</t>
  </si>
  <si>
    <t>IPE-500-8</t>
  </si>
  <si>
    <t>IPE-550-1</t>
  </si>
  <si>
    <t>IPE-550-2</t>
  </si>
  <si>
    <t>IPE-550-3</t>
  </si>
  <si>
    <t>IPE-550-4</t>
  </si>
  <si>
    <t>IPE-550-5</t>
  </si>
  <si>
    <t>IPE-550-6</t>
  </si>
  <si>
    <t>IPE-550-7</t>
  </si>
  <si>
    <t>IPE-550-8</t>
  </si>
  <si>
    <t>IPE-600-1</t>
  </si>
  <si>
    <t>IPE-600-2</t>
  </si>
  <si>
    <t>IPE-600-3</t>
  </si>
  <si>
    <t>IPE-600-4</t>
  </si>
  <si>
    <t>IPE-600-5</t>
  </si>
  <si>
    <t>IPE-600-6</t>
  </si>
  <si>
    <t>IPE-600-7</t>
  </si>
  <si>
    <t>IPE-600-8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</si>
</sst>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  <xf numFmtId="1" fontId="2" fillId="7" borderId="5" xfId="0" applyNumberFormat="1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/>
    </xf>
    <xf numFmtId="1" fontId="2" fillId="2" borderId="7" xfId="0" applyNumberFormat="1" applyFont="1" applyFill="1" applyBorder="1" applyAlignment="1">
      <alignment horizontal="center"/>
    </xf>
    <xf numFmtId="1" fontId="2" fillId="0" borderId="7" xfId="0" applyNumberFormat="1" applyFont="1" applyBorder="1" applyAlignment="1">
      <alignment horizontal="center"/>
    </xf>
    <xf numFmtId="1" fontId="2" fillId="2" borderId="20" xfId="0" applyNumberFormat="1" applyFont="1" applyFill="1" applyBorder="1" applyAlignment="1">
      <alignment horizontal="center"/>
    </xf>
    <xf numFmtId="1" fontId="2" fillId="0" borderId="20" xfId="0" applyNumberFormat="1" applyFont="1" applyBorder="1" applyAlignment="1">
      <alignment horizontal="center"/>
    </xf>
    <xf numFmtId="1" fontId="2" fillId="2" borderId="5" xfId="0" applyNumberFormat="1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G32" sqref="G32"/>
    </sheetView>
  </sheetViews>
  <sheetFormatPr defaultColWidth="9.140625" defaultRowHeight="15" x14ac:dyDescent="0.25"/>
  <cols>
    <col min="1" max="1" width="35.7109375" customWidth="1"/>
    <col min="2" max="2" width="34.42578125" bestFit="1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1" t="s">
        <v>36</v>
      </c>
      <c r="B1" s="112"/>
      <c r="C1" s="113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94</v>
      </c>
      <c r="C3" s="8"/>
      <c r="E3" s="5" t="s">
        <v>77</v>
      </c>
    </row>
    <row r="4" spans="1:16" x14ac:dyDescent="0.25">
      <c r="A4" s="9" t="s">
        <v>34</v>
      </c>
      <c r="B4" s="5" t="s">
        <v>93</v>
      </c>
      <c r="C4" s="8"/>
    </row>
    <row r="5" spans="1:16" x14ac:dyDescent="0.25">
      <c r="A5" s="9"/>
      <c r="B5" s="6"/>
      <c r="C5" s="8"/>
    </row>
    <row r="6" spans="1:16" ht="18.75" x14ac:dyDescent="0.3">
      <c r="A6" s="114" t="s">
        <v>37</v>
      </c>
      <c r="B6" s="115"/>
      <c r="C6" s="116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1E-4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100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4" t="s">
        <v>38</v>
      </c>
      <c r="B14" s="115"/>
      <c r="C14" s="116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5" x14ac:dyDescent="0.25">
      <c r="A17" s="9" t="s">
        <v>40</v>
      </c>
      <c r="B17" s="3">
        <v>13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zoomScale="80" zoomScaleNormal="80" workbookViewId="0">
      <pane ySplit="2" topLeftCell="A85" activePane="bottomLeft" state="frozen"/>
      <selection pane="bottomLeft" activeCell="O103" sqref="O103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2" t="s">
        <v>26</v>
      </c>
      <c r="D1" s="103"/>
      <c r="E1" s="103"/>
      <c r="F1" s="103"/>
      <c r="G1" s="103"/>
      <c r="H1" s="103"/>
      <c r="I1" s="103"/>
      <c r="J1" s="103"/>
      <c r="K1" s="104"/>
      <c r="L1" s="101" t="s">
        <v>25</v>
      </c>
      <c r="M1" s="101"/>
      <c r="N1" s="101"/>
      <c r="O1" s="101"/>
      <c r="P1" s="101"/>
      <c r="Q1" s="101"/>
      <c r="R1" s="101"/>
      <c r="S1" s="101"/>
      <c r="T1" s="36" t="s">
        <v>27</v>
      </c>
      <c r="U1" s="102" t="s">
        <v>17</v>
      </c>
      <c r="V1" s="103"/>
      <c r="W1" s="103"/>
      <c r="X1" s="103"/>
      <c r="Y1" s="103"/>
      <c r="Z1" s="103"/>
      <c r="AA1" s="103"/>
      <c r="AB1" s="103"/>
      <c r="AC1" s="103"/>
      <c r="AD1" s="104"/>
      <c r="AE1" s="105" t="s">
        <v>43</v>
      </c>
      <c r="AF1" s="106"/>
      <c r="AG1" s="107"/>
      <c r="AH1" s="108" t="s">
        <v>88</v>
      </c>
      <c r="AI1" s="109"/>
      <c r="AJ1" s="110"/>
      <c r="AK1" s="55"/>
      <c r="AL1" s="55"/>
      <c r="AM1" s="55"/>
      <c r="AN1" s="55"/>
      <c r="AO1" s="55"/>
      <c r="AP1" s="55"/>
    </row>
    <row r="2" spans="1:58" ht="117.75" x14ac:dyDescent="0.25">
      <c r="A2" s="20" t="s">
        <v>0</v>
      </c>
      <c r="B2" s="64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90</v>
      </c>
      <c r="AL2" s="56" t="s">
        <v>91</v>
      </c>
      <c r="AM2" s="56" t="s">
        <v>92</v>
      </c>
      <c r="AN2" s="56" t="s">
        <v>89</v>
      </c>
      <c r="AO2" s="56"/>
      <c r="AP2" s="56"/>
      <c r="AY2" t="s">
        <v>54</v>
      </c>
    </row>
    <row r="3" spans="1:58" s="4" customFormat="1" ht="36.75" customHeight="1" x14ac:dyDescent="0.25">
      <c r="A3" s="27" t="s">
        <v>19</v>
      </c>
      <c r="B3" s="65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2">
        <v>97</v>
      </c>
      <c r="B4" s="93" t="s">
        <v>95</v>
      </c>
      <c r="C4" s="117">
        <v>46</v>
      </c>
      <c r="D4" s="117">
        <v>46</v>
      </c>
      <c r="E4" s="117">
        <v>80</v>
      </c>
      <c r="F4" s="117">
        <v>5.2</v>
      </c>
      <c r="G4" s="117">
        <v>5.2</v>
      </c>
      <c r="H4" s="117">
        <v>3.8</v>
      </c>
      <c r="I4" s="117">
        <v>5</v>
      </c>
      <c r="J4" s="117">
        <v>5</v>
      </c>
      <c r="K4" s="117">
        <v>651.26216412080964</v>
      </c>
      <c r="L4" s="94">
        <v>0</v>
      </c>
      <c r="M4" s="94">
        <v>1</v>
      </c>
      <c r="N4" s="94">
        <v>2</v>
      </c>
      <c r="O4" s="94">
        <v>3</v>
      </c>
      <c r="P4" s="94">
        <v>200</v>
      </c>
      <c r="Q4" s="94">
        <v>0</v>
      </c>
      <c r="R4" s="94">
        <v>0</v>
      </c>
      <c r="S4" s="94">
        <v>0</v>
      </c>
      <c r="T4" s="94">
        <v>3</v>
      </c>
      <c r="U4" s="94" t="s">
        <v>48</v>
      </c>
      <c r="V4" s="94">
        <v>1</v>
      </c>
      <c r="W4" s="94">
        <v>1</v>
      </c>
      <c r="X4" s="94">
        <v>0</v>
      </c>
      <c r="Y4" s="94">
        <f>W4</f>
        <v>1</v>
      </c>
      <c r="Z4" s="94">
        <f>IF(X4=90,0,(1-Y4)/(TAN(X4/180*PI())+1))</f>
        <v>0</v>
      </c>
      <c r="AA4" s="94">
        <f>IF(X4=90,1-W4,Z4*TAN(X4/180*PI()))</f>
        <v>0</v>
      </c>
      <c r="AB4" s="95">
        <f>AH4/3.5</f>
        <v>92.670668670632011</v>
      </c>
      <c r="AC4" s="95">
        <f t="shared" ref="AC4:AC9" si="0">Z4*AI4/3.5</f>
        <v>0</v>
      </c>
      <c r="AD4" s="95">
        <f t="shared" ref="AD4:AD9" si="1">AA4*AJ4/3.5</f>
        <v>0</v>
      </c>
      <c r="AE4" s="94">
        <v>20</v>
      </c>
      <c r="AF4" s="94">
        <v>460</v>
      </c>
      <c r="AG4" s="94">
        <v>210000</v>
      </c>
      <c r="AH4" s="95">
        <v>324.34734034721203</v>
      </c>
      <c r="AI4" s="95">
        <v>0</v>
      </c>
      <c r="AJ4" s="96">
        <v>0</v>
      </c>
      <c r="AK4" s="97">
        <f t="shared" ref="AK4:AK36" si="2">K4/1000</f>
        <v>0.65126216412080962</v>
      </c>
      <c r="AL4" s="97">
        <f t="shared" ref="AL4:AL36" si="3">C4/200</f>
        <v>0.23</v>
      </c>
      <c r="AM4" s="98"/>
      <c r="AN4" s="97">
        <v>0.94914779479631584</v>
      </c>
      <c r="AO4" s="60"/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98</v>
      </c>
      <c r="B5" s="66" t="s">
        <v>96</v>
      </c>
      <c r="C5" s="118">
        <v>46</v>
      </c>
      <c r="D5" s="76">
        <v>46</v>
      </c>
      <c r="E5" s="118">
        <v>80</v>
      </c>
      <c r="F5" s="118">
        <v>5.2</v>
      </c>
      <c r="G5" s="76">
        <v>5.2</v>
      </c>
      <c r="H5" s="118">
        <v>3.8</v>
      </c>
      <c r="I5" s="76">
        <v>5</v>
      </c>
      <c r="J5" s="76">
        <v>5</v>
      </c>
      <c r="K5" s="76">
        <v>1085.4369402013494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4">W5</f>
        <v>1</v>
      </c>
      <c r="Z5" s="19">
        <f t="shared" ref="Z5:Z68" si="5">IF(X5=90,0,(1-Y5)/(TAN(X5/180*PI())+1))</f>
        <v>0</v>
      </c>
      <c r="AA5" s="19">
        <f t="shared" ref="AA5:AA68" si="6">IF(X5=90,1-W5,Z5*TAN(X5/180*PI()))</f>
        <v>0</v>
      </c>
      <c r="AB5" s="29">
        <f t="shared" ref="AB5:AB68" si="7">AH5/3.5</f>
        <v>82.305983205117769</v>
      </c>
      <c r="AC5" s="29">
        <f t="shared" si="0"/>
        <v>0</v>
      </c>
      <c r="AD5" s="29">
        <f t="shared" si="1"/>
        <v>0</v>
      </c>
      <c r="AE5" s="28">
        <v>20</v>
      </c>
      <c r="AF5" s="46">
        <v>460</v>
      </c>
      <c r="AG5" s="28">
        <v>210000</v>
      </c>
      <c r="AH5" s="29">
        <v>288.07094121791221</v>
      </c>
      <c r="AI5" s="29">
        <v>0</v>
      </c>
      <c r="AJ5" s="30">
        <v>0</v>
      </c>
      <c r="AK5" s="57">
        <f t="shared" si="2"/>
        <v>1.0854369402013495</v>
      </c>
      <c r="AL5" s="57">
        <f t="shared" si="3"/>
        <v>0.23</v>
      </c>
      <c r="AM5" s="60"/>
      <c r="AN5" s="57">
        <v>0.84299103026152089</v>
      </c>
      <c r="AO5" s="57"/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99</v>
      </c>
      <c r="B6" s="66" t="s">
        <v>97</v>
      </c>
      <c r="C6" s="118">
        <v>46</v>
      </c>
      <c r="D6" s="76">
        <v>46</v>
      </c>
      <c r="E6" s="118">
        <v>80</v>
      </c>
      <c r="F6" s="118">
        <v>5.2</v>
      </c>
      <c r="G6" s="76">
        <v>5.2</v>
      </c>
      <c r="H6" s="118">
        <v>3.8</v>
      </c>
      <c r="I6" s="76">
        <v>5</v>
      </c>
      <c r="J6" s="76">
        <v>5</v>
      </c>
      <c r="K6" s="76">
        <v>1628.1554103020239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4"/>
        <v>1</v>
      </c>
      <c r="Z6" s="19">
        <f t="shared" si="5"/>
        <v>0</v>
      </c>
      <c r="AA6" s="19">
        <f t="shared" si="6"/>
        <v>0</v>
      </c>
      <c r="AB6" s="29">
        <f t="shared" si="7"/>
        <v>67.713857139165412</v>
      </c>
      <c r="AC6" s="29">
        <f t="shared" si="0"/>
        <v>0</v>
      </c>
      <c r="AD6" s="29">
        <f t="shared" si="1"/>
        <v>0</v>
      </c>
      <c r="AE6" s="28">
        <v>20</v>
      </c>
      <c r="AF6" s="46">
        <v>460</v>
      </c>
      <c r="AG6" s="28">
        <v>210000</v>
      </c>
      <c r="AH6" s="29">
        <v>236.99849998707896</v>
      </c>
      <c r="AI6" s="29">
        <v>0</v>
      </c>
      <c r="AJ6" s="30">
        <v>0</v>
      </c>
      <c r="AK6" s="57">
        <f t="shared" si="2"/>
        <v>1.6281554103020239</v>
      </c>
      <c r="AL6" s="57">
        <f t="shared" si="3"/>
        <v>0.23</v>
      </c>
      <c r="AM6" s="60"/>
      <c r="AN6" s="57">
        <v>0.69353614366612826</v>
      </c>
      <c r="AO6" s="57"/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100</v>
      </c>
      <c r="B7" s="66" t="s">
        <v>98</v>
      </c>
      <c r="C7" s="118">
        <v>46</v>
      </c>
      <c r="D7" s="76">
        <v>46</v>
      </c>
      <c r="E7" s="118">
        <v>80</v>
      </c>
      <c r="F7" s="118">
        <v>5.2</v>
      </c>
      <c r="G7" s="76">
        <v>5.2</v>
      </c>
      <c r="H7" s="118">
        <v>3.8</v>
      </c>
      <c r="I7" s="76">
        <v>5</v>
      </c>
      <c r="J7" s="76">
        <v>5</v>
      </c>
      <c r="K7" s="76">
        <v>2170.8738804026989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4"/>
        <v>1</v>
      </c>
      <c r="Z7" s="19">
        <f t="shared" si="5"/>
        <v>0</v>
      </c>
      <c r="AA7" s="19">
        <f t="shared" si="6"/>
        <v>0</v>
      </c>
      <c r="AB7" s="29">
        <f t="shared" si="7"/>
        <v>52.717301740074696</v>
      </c>
      <c r="AC7" s="29">
        <f t="shared" si="0"/>
        <v>0</v>
      </c>
      <c r="AD7" s="29">
        <f t="shared" si="1"/>
        <v>0</v>
      </c>
      <c r="AE7" s="28">
        <v>20</v>
      </c>
      <c r="AF7" s="46">
        <v>460</v>
      </c>
      <c r="AG7" s="28">
        <v>210000</v>
      </c>
      <c r="AH7" s="29">
        <v>184.51055609026145</v>
      </c>
      <c r="AI7" s="29">
        <v>0</v>
      </c>
      <c r="AJ7" s="30">
        <v>0</v>
      </c>
      <c r="AK7" s="57">
        <f t="shared" si="2"/>
        <v>2.170873880402699</v>
      </c>
      <c r="AL7" s="57">
        <f t="shared" si="3"/>
        <v>0.23</v>
      </c>
      <c r="AM7" s="60"/>
      <c r="AN7" s="57">
        <v>0.53993902722384046</v>
      </c>
      <c r="AO7" s="57"/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101</v>
      </c>
      <c r="B8" s="66" t="s">
        <v>99</v>
      </c>
      <c r="C8" s="118">
        <v>46</v>
      </c>
      <c r="D8" s="76">
        <v>46</v>
      </c>
      <c r="E8" s="118">
        <v>80</v>
      </c>
      <c r="F8" s="118">
        <v>5.2</v>
      </c>
      <c r="G8" s="76">
        <v>5.2</v>
      </c>
      <c r="H8" s="118">
        <v>3.8</v>
      </c>
      <c r="I8" s="76">
        <v>5</v>
      </c>
      <c r="J8" s="76">
        <v>5</v>
      </c>
      <c r="K8" s="76">
        <v>2887.2622609355894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4"/>
        <v>1</v>
      </c>
      <c r="Z8" s="19">
        <f t="shared" si="5"/>
        <v>0</v>
      </c>
      <c r="AA8" s="19">
        <f t="shared" si="6"/>
        <v>0</v>
      </c>
      <c r="AB8" s="29">
        <f t="shared" si="7"/>
        <v>36.749361786624426</v>
      </c>
      <c r="AC8" s="29">
        <f t="shared" si="0"/>
        <v>0</v>
      </c>
      <c r="AD8" s="29">
        <f t="shared" si="1"/>
        <v>0</v>
      </c>
      <c r="AE8" s="28">
        <v>20</v>
      </c>
      <c r="AF8" s="46">
        <v>460</v>
      </c>
      <c r="AG8" s="28">
        <v>210000</v>
      </c>
      <c r="AH8" s="29">
        <v>128.62276625318549</v>
      </c>
      <c r="AI8" s="29">
        <v>0</v>
      </c>
      <c r="AJ8" s="30">
        <v>0</v>
      </c>
      <c r="AK8" s="57">
        <f t="shared" si="2"/>
        <v>2.8872622609355894</v>
      </c>
      <c r="AL8" s="57">
        <f t="shared" si="3"/>
        <v>0.23</v>
      </c>
      <c r="AM8" s="60"/>
      <c r="AN8" s="57">
        <v>0.37639283497476766</v>
      </c>
      <c r="AO8" s="57"/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102</v>
      </c>
      <c r="B9" s="66" t="s">
        <v>100</v>
      </c>
      <c r="C9" s="118">
        <v>46</v>
      </c>
      <c r="D9" s="76">
        <v>46</v>
      </c>
      <c r="E9" s="118">
        <v>80</v>
      </c>
      <c r="F9" s="118">
        <v>5.2</v>
      </c>
      <c r="G9" s="76">
        <v>5.2</v>
      </c>
      <c r="H9" s="118">
        <v>3.8</v>
      </c>
      <c r="I9" s="76">
        <v>5</v>
      </c>
      <c r="J9" s="76">
        <v>5</v>
      </c>
      <c r="K9" s="76">
        <v>3625.3593802725068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4"/>
        <v>1</v>
      </c>
      <c r="Z9" s="19">
        <f t="shared" si="5"/>
        <v>0</v>
      </c>
      <c r="AA9" s="19">
        <f t="shared" si="6"/>
        <v>0</v>
      </c>
      <c r="AB9" s="29">
        <f t="shared" si="7"/>
        <v>25.902850341417093</v>
      </c>
      <c r="AC9" s="29">
        <f t="shared" si="0"/>
        <v>0</v>
      </c>
      <c r="AD9" s="29">
        <f t="shared" si="1"/>
        <v>0</v>
      </c>
      <c r="AE9" s="28">
        <v>20</v>
      </c>
      <c r="AF9" s="46">
        <v>460</v>
      </c>
      <c r="AG9" s="28">
        <v>210000</v>
      </c>
      <c r="AH9" s="29">
        <v>90.659976194959825</v>
      </c>
      <c r="AI9" s="29">
        <v>0</v>
      </c>
      <c r="AJ9" s="30">
        <v>0</v>
      </c>
      <c r="AK9" s="57">
        <f t="shared" si="2"/>
        <v>3.6253593802725068</v>
      </c>
      <c r="AL9" s="57">
        <f t="shared" si="3"/>
        <v>0.23</v>
      </c>
      <c r="AM9" s="60"/>
      <c r="AN9" s="57">
        <v>0.265301131773169</v>
      </c>
      <c r="AO9" s="57"/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103</v>
      </c>
      <c r="B10" s="66" t="s">
        <v>101</v>
      </c>
      <c r="C10" s="118">
        <v>46</v>
      </c>
      <c r="D10" s="76">
        <v>46</v>
      </c>
      <c r="E10" s="118">
        <v>80</v>
      </c>
      <c r="F10" s="118">
        <v>5.2</v>
      </c>
      <c r="G10" s="76">
        <v>5.2</v>
      </c>
      <c r="H10" s="118">
        <v>3.8</v>
      </c>
      <c r="I10" s="76">
        <v>5</v>
      </c>
      <c r="J10" s="76">
        <v>5</v>
      </c>
      <c r="K10" s="76">
        <v>4341.7477608053978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4"/>
        <v>1</v>
      </c>
      <c r="Z10" s="19">
        <f t="shared" si="5"/>
        <v>0</v>
      </c>
      <c r="AA10" s="19">
        <f t="shared" si="6"/>
        <v>0</v>
      </c>
      <c r="AB10" s="29">
        <f t="shared" si="7"/>
        <v>19.154516618277878</v>
      </c>
      <c r="AC10" s="29">
        <v>0</v>
      </c>
      <c r="AD10" s="29">
        <v>0</v>
      </c>
      <c r="AE10" s="28">
        <v>20</v>
      </c>
      <c r="AF10" s="46">
        <v>460</v>
      </c>
      <c r="AG10" s="28">
        <v>210000</v>
      </c>
      <c r="AH10" s="29">
        <v>67.040808163972571</v>
      </c>
      <c r="AI10" s="29">
        <v>0</v>
      </c>
      <c r="AJ10" s="30">
        <v>0</v>
      </c>
      <c r="AK10" s="57">
        <f t="shared" si="2"/>
        <v>4.341747760805398</v>
      </c>
      <c r="AL10" s="57">
        <f t="shared" si="3"/>
        <v>0.23</v>
      </c>
      <c r="AM10" s="60"/>
      <c r="AN10" s="57">
        <v>0.19618361957918354</v>
      </c>
      <c r="AO10" s="57"/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104</v>
      </c>
      <c r="B11" s="66" t="s">
        <v>102</v>
      </c>
      <c r="C11" s="118">
        <v>46</v>
      </c>
      <c r="D11" s="76">
        <v>46</v>
      </c>
      <c r="E11" s="118">
        <v>80</v>
      </c>
      <c r="F11" s="118">
        <v>5.2</v>
      </c>
      <c r="G11" s="76">
        <v>5.2</v>
      </c>
      <c r="H11" s="118">
        <v>3.8</v>
      </c>
      <c r="I11" s="76">
        <v>5</v>
      </c>
      <c r="J11" s="76">
        <v>5</v>
      </c>
      <c r="K11" s="76">
        <v>5427.1847010067468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4"/>
        <v>1</v>
      </c>
      <c r="Z11" s="19">
        <f t="shared" si="5"/>
        <v>0</v>
      </c>
      <c r="AA11" s="19">
        <f t="shared" si="6"/>
        <v>0</v>
      </c>
      <c r="AB11" s="29">
        <f t="shared" si="7"/>
        <v>12.933442368299813</v>
      </c>
      <c r="AC11" s="29">
        <v>0</v>
      </c>
      <c r="AD11" s="29">
        <v>0</v>
      </c>
      <c r="AE11" s="28">
        <v>20</v>
      </c>
      <c r="AF11" s="46">
        <v>460</v>
      </c>
      <c r="AG11" s="28">
        <v>210000</v>
      </c>
      <c r="AH11" s="29">
        <v>45.267048289049349</v>
      </c>
      <c r="AI11" s="29">
        <v>0</v>
      </c>
      <c r="AJ11" s="30">
        <v>0</v>
      </c>
      <c r="AK11" s="57">
        <f t="shared" si="2"/>
        <v>5.4271847010067464</v>
      </c>
      <c r="AL11" s="57">
        <f t="shared" si="3"/>
        <v>0.23</v>
      </c>
      <c r="AM11" s="60"/>
      <c r="AN11" s="57">
        <v>0.13246638315114781</v>
      </c>
      <c r="AO11" s="57"/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105</v>
      </c>
      <c r="B12" s="66" t="s">
        <v>103</v>
      </c>
      <c r="C12" s="118">
        <v>55</v>
      </c>
      <c r="D12" s="76">
        <v>55</v>
      </c>
      <c r="E12" s="118">
        <v>100</v>
      </c>
      <c r="F12" s="118">
        <v>5.7</v>
      </c>
      <c r="G12" s="76">
        <v>5.7</v>
      </c>
      <c r="H12" s="118">
        <v>4.0999999999999996</v>
      </c>
      <c r="I12" s="76">
        <v>7</v>
      </c>
      <c r="J12" s="76">
        <v>7</v>
      </c>
      <c r="K12" s="76">
        <v>817.80636641444346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4"/>
        <v>1</v>
      </c>
      <c r="Z12" s="19">
        <f t="shared" si="5"/>
        <v>0</v>
      </c>
      <c r="AA12" s="19">
        <f t="shared" si="6"/>
        <v>0</v>
      </c>
      <c r="AB12" s="29">
        <f t="shared" si="7"/>
        <v>123.53012109328566</v>
      </c>
      <c r="AC12" s="29">
        <v>0</v>
      </c>
      <c r="AD12" s="29">
        <v>0</v>
      </c>
      <c r="AE12" s="28">
        <v>20</v>
      </c>
      <c r="AF12" s="46">
        <v>460</v>
      </c>
      <c r="AG12" s="28">
        <v>210000</v>
      </c>
      <c r="AH12" s="29">
        <v>432.35542382649982</v>
      </c>
      <c r="AI12" s="29">
        <v>0</v>
      </c>
      <c r="AJ12" s="30">
        <v>0</v>
      </c>
      <c r="AK12" s="57">
        <f t="shared" si="2"/>
        <v>0.81780636641444349</v>
      </c>
      <c r="AL12" s="57">
        <f t="shared" si="3"/>
        <v>0.27500000000000002</v>
      </c>
      <c r="AM12" s="60"/>
      <c r="AN12" s="57">
        <v>0.94914779479631584</v>
      </c>
      <c r="AO12" s="57"/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106</v>
      </c>
      <c r="B13" s="66" t="s">
        <v>104</v>
      </c>
      <c r="C13" s="118">
        <v>55</v>
      </c>
      <c r="D13" s="76">
        <v>55</v>
      </c>
      <c r="E13" s="118">
        <v>100</v>
      </c>
      <c r="F13" s="118">
        <v>5.7</v>
      </c>
      <c r="G13" s="76">
        <v>5.7</v>
      </c>
      <c r="H13" s="118">
        <v>4.0999999999999996</v>
      </c>
      <c r="I13" s="76">
        <v>7</v>
      </c>
      <c r="J13" s="76">
        <v>7</v>
      </c>
      <c r="K13" s="76">
        <v>1363.010610690739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4"/>
        <v>1</v>
      </c>
      <c r="Z13" s="19">
        <f t="shared" si="5"/>
        <v>0</v>
      </c>
      <c r="AA13" s="19">
        <f t="shared" si="6"/>
        <v>0</v>
      </c>
      <c r="AB13" s="29">
        <f t="shared" si="7"/>
        <v>109.71398197380454</v>
      </c>
      <c r="AC13" s="29">
        <v>0</v>
      </c>
      <c r="AD13" s="29">
        <v>0</v>
      </c>
      <c r="AE13" s="28">
        <v>20</v>
      </c>
      <c r="AF13" s="46">
        <v>460</v>
      </c>
      <c r="AG13" s="28">
        <v>210000</v>
      </c>
      <c r="AH13" s="29">
        <v>383.9989369083159</v>
      </c>
      <c r="AI13" s="29">
        <v>0</v>
      </c>
      <c r="AJ13" s="30">
        <v>0</v>
      </c>
      <c r="AK13" s="57">
        <f t="shared" si="2"/>
        <v>1.3630106106907389</v>
      </c>
      <c r="AL13" s="57">
        <f t="shared" si="3"/>
        <v>0.27500000000000002</v>
      </c>
      <c r="AM13" s="60"/>
      <c r="AN13" s="57">
        <v>0.842991030261521</v>
      </c>
      <c r="AO13" s="57"/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107</v>
      </c>
      <c r="B14" s="66" t="s">
        <v>105</v>
      </c>
      <c r="C14" s="118">
        <v>55</v>
      </c>
      <c r="D14" s="76">
        <v>55</v>
      </c>
      <c r="E14" s="118">
        <v>100</v>
      </c>
      <c r="F14" s="118">
        <v>5.7</v>
      </c>
      <c r="G14" s="76">
        <v>5.7</v>
      </c>
      <c r="H14" s="118">
        <v>4.0999999999999996</v>
      </c>
      <c r="I14" s="76">
        <v>7</v>
      </c>
      <c r="J14" s="76">
        <v>7</v>
      </c>
      <c r="K14" s="76">
        <v>2044.5159160361086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4"/>
        <v>1</v>
      </c>
      <c r="Z14" s="19">
        <f t="shared" si="5"/>
        <v>0</v>
      </c>
      <c r="AA14" s="19">
        <f t="shared" si="6"/>
        <v>0</v>
      </c>
      <c r="AB14" s="29">
        <f t="shared" si="7"/>
        <v>90.262659070953518</v>
      </c>
      <c r="AC14" s="29">
        <v>0</v>
      </c>
      <c r="AD14" s="29">
        <v>0</v>
      </c>
      <c r="AE14" s="28">
        <v>20</v>
      </c>
      <c r="AF14" s="46">
        <v>460</v>
      </c>
      <c r="AG14" s="28">
        <v>210000</v>
      </c>
      <c r="AH14" s="29">
        <v>315.91930674833731</v>
      </c>
      <c r="AI14" s="29">
        <v>0</v>
      </c>
      <c r="AJ14" s="30">
        <v>0</v>
      </c>
      <c r="AK14" s="57">
        <f t="shared" si="2"/>
        <v>2.0445159160361084</v>
      </c>
      <c r="AL14" s="57">
        <f t="shared" si="3"/>
        <v>0.27500000000000002</v>
      </c>
      <c r="AM14" s="60"/>
      <c r="AN14" s="57">
        <v>0.69353614366612826</v>
      </c>
      <c r="AO14" s="57"/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108</v>
      </c>
      <c r="B15" s="66" t="s">
        <v>106</v>
      </c>
      <c r="C15" s="118">
        <v>55</v>
      </c>
      <c r="D15" s="76">
        <v>55</v>
      </c>
      <c r="E15" s="118">
        <v>100</v>
      </c>
      <c r="F15" s="118">
        <v>5.7</v>
      </c>
      <c r="G15" s="76">
        <v>5.7</v>
      </c>
      <c r="H15" s="118">
        <v>4.0999999999999996</v>
      </c>
      <c r="I15" s="76">
        <v>7</v>
      </c>
      <c r="J15" s="76">
        <v>7</v>
      </c>
      <c r="K15" s="76">
        <v>2726.021221381478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4"/>
        <v>1</v>
      </c>
      <c r="Z15" s="19">
        <f t="shared" si="5"/>
        <v>0</v>
      </c>
      <c r="AA15" s="19">
        <f t="shared" si="6"/>
        <v>0</v>
      </c>
      <c r="AB15" s="29">
        <f t="shared" si="7"/>
        <v>70.27223134439798</v>
      </c>
      <c r="AC15" s="29">
        <v>0</v>
      </c>
      <c r="AD15" s="29">
        <v>0</v>
      </c>
      <c r="AE15" s="28">
        <v>20</v>
      </c>
      <c r="AF15" s="46">
        <v>460</v>
      </c>
      <c r="AG15" s="28">
        <v>210000</v>
      </c>
      <c r="AH15" s="29">
        <v>245.95280970539295</v>
      </c>
      <c r="AI15" s="29">
        <v>0</v>
      </c>
      <c r="AJ15" s="30">
        <v>0</v>
      </c>
      <c r="AK15" s="57">
        <f t="shared" si="2"/>
        <v>2.7260212213814778</v>
      </c>
      <c r="AL15" s="57">
        <f t="shared" si="3"/>
        <v>0.27500000000000002</v>
      </c>
      <c r="AM15" s="60"/>
      <c r="AN15" s="57">
        <v>0.53993902722384057</v>
      </c>
      <c r="AO15" s="57"/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109</v>
      </c>
      <c r="B16" s="66" t="s">
        <v>107</v>
      </c>
      <c r="C16" s="118">
        <v>55</v>
      </c>
      <c r="D16" s="76">
        <v>55</v>
      </c>
      <c r="E16" s="118">
        <v>100</v>
      </c>
      <c r="F16" s="118">
        <v>5.7</v>
      </c>
      <c r="G16" s="76">
        <v>5.7</v>
      </c>
      <c r="H16" s="118">
        <v>4.0999999999999996</v>
      </c>
      <c r="I16" s="76">
        <v>7</v>
      </c>
      <c r="J16" s="76">
        <v>7</v>
      </c>
      <c r="K16" s="76">
        <v>3625.6082244373661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4"/>
        <v>1</v>
      </c>
      <c r="Z16" s="19">
        <f t="shared" si="5"/>
        <v>0</v>
      </c>
      <c r="AA16" s="19">
        <f t="shared" si="6"/>
        <v>0</v>
      </c>
      <c r="AB16" s="29">
        <f t="shared" si="7"/>
        <v>48.986946751592043</v>
      </c>
      <c r="AC16" s="29">
        <v>0</v>
      </c>
      <c r="AD16" s="29">
        <v>0</v>
      </c>
      <c r="AE16" s="28">
        <v>20</v>
      </c>
      <c r="AF16" s="46">
        <v>460</v>
      </c>
      <c r="AG16" s="28">
        <v>210000</v>
      </c>
      <c r="AH16" s="29">
        <v>171.45431363057216</v>
      </c>
      <c r="AI16" s="29">
        <v>0</v>
      </c>
      <c r="AJ16" s="30">
        <v>0</v>
      </c>
      <c r="AK16" s="57">
        <f t="shared" si="2"/>
        <v>3.6256082244373662</v>
      </c>
      <c r="AL16" s="57">
        <f t="shared" si="3"/>
        <v>0.27500000000000002</v>
      </c>
      <c r="AM16" s="60"/>
      <c r="AN16" s="57">
        <v>0.37639283497476766</v>
      </c>
      <c r="AO16" s="57"/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110</v>
      </c>
      <c r="B17" s="66" t="s">
        <v>108</v>
      </c>
      <c r="C17" s="118">
        <v>55</v>
      </c>
      <c r="D17" s="76">
        <v>55</v>
      </c>
      <c r="E17" s="118">
        <v>100</v>
      </c>
      <c r="F17" s="118">
        <v>5.7</v>
      </c>
      <c r="G17" s="76">
        <v>5.7</v>
      </c>
      <c r="H17" s="118">
        <v>4.0999999999999996</v>
      </c>
      <c r="I17" s="76">
        <v>7</v>
      </c>
      <c r="J17" s="76">
        <v>7</v>
      </c>
      <c r="K17" s="76">
        <v>4552.4554397070679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4"/>
        <v>1</v>
      </c>
      <c r="Z17" s="19">
        <f t="shared" si="5"/>
        <v>0</v>
      </c>
      <c r="AA17" s="19">
        <f t="shared" si="6"/>
        <v>0</v>
      </c>
      <c r="AB17" s="29">
        <f t="shared" si="7"/>
        <v>34.528532978531793</v>
      </c>
      <c r="AC17" s="29">
        <v>0</v>
      </c>
      <c r="AD17" s="29">
        <v>0</v>
      </c>
      <c r="AE17" s="28">
        <v>20</v>
      </c>
      <c r="AF17" s="46">
        <v>460</v>
      </c>
      <c r="AG17" s="28">
        <v>210000</v>
      </c>
      <c r="AH17" s="29">
        <v>120.84986542486126</v>
      </c>
      <c r="AI17" s="29">
        <v>0</v>
      </c>
      <c r="AJ17" s="30">
        <v>0</v>
      </c>
      <c r="AK17" s="57">
        <f t="shared" si="2"/>
        <v>4.5524554397070682</v>
      </c>
      <c r="AL17" s="57">
        <f t="shared" si="3"/>
        <v>0.27500000000000002</v>
      </c>
      <c r="AM17" s="60"/>
      <c r="AN17" s="57">
        <v>0.26530113177316905</v>
      </c>
      <c r="AO17" s="57"/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111</v>
      </c>
      <c r="B18" s="66" t="s">
        <v>109</v>
      </c>
      <c r="C18" s="118">
        <v>55</v>
      </c>
      <c r="D18" s="76">
        <v>55</v>
      </c>
      <c r="E18" s="118">
        <v>100</v>
      </c>
      <c r="F18" s="118">
        <v>5.7</v>
      </c>
      <c r="G18" s="76">
        <v>5.7</v>
      </c>
      <c r="H18" s="118">
        <v>4.0999999999999996</v>
      </c>
      <c r="I18" s="76">
        <v>7</v>
      </c>
      <c r="J18" s="76">
        <v>7</v>
      </c>
      <c r="K18" s="76">
        <v>5452.0424427629559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4"/>
        <v>1</v>
      </c>
      <c r="Z18" s="19">
        <f t="shared" si="5"/>
        <v>0</v>
      </c>
      <c r="AA18" s="19">
        <f t="shared" si="6"/>
        <v>0</v>
      </c>
      <c r="AB18" s="29">
        <f t="shared" si="7"/>
        <v>25.53299540493197</v>
      </c>
      <c r="AC18" s="29">
        <v>0</v>
      </c>
      <c r="AD18" s="29">
        <v>0</v>
      </c>
      <c r="AE18" s="28">
        <v>20</v>
      </c>
      <c r="AF18" s="46">
        <v>460</v>
      </c>
      <c r="AG18" s="28">
        <v>210000</v>
      </c>
      <c r="AH18" s="29">
        <v>89.365483917261898</v>
      </c>
      <c r="AI18" s="29">
        <v>0</v>
      </c>
      <c r="AJ18" s="30">
        <v>0</v>
      </c>
      <c r="AK18" s="57">
        <f t="shared" si="2"/>
        <v>5.4520424427629557</v>
      </c>
      <c r="AL18" s="57">
        <f t="shared" si="3"/>
        <v>0.27500000000000002</v>
      </c>
      <c r="AM18" s="60"/>
      <c r="AN18" s="57">
        <v>0.19618361957918362</v>
      </c>
      <c r="AO18" s="57"/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112</v>
      </c>
      <c r="B19" s="66" t="s">
        <v>110</v>
      </c>
      <c r="C19" s="118">
        <v>55</v>
      </c>
      <c r="D19" s="76">
        <v>55</v>
      </c>
      <c r="E19" s="118">
        <v>100</v>
      </c>
      <c r="F19" s="118">
        <v>5.7</v>
      </c>
      <c r="G19" s="76">
        <v>5.7</v>
      </c>
      <c r="H19" s="118">
        <v>4.0999999999999996</v>
      </c>
      <c r="I19" s="76">
        <v>7</v>
      </c>
      <c r="J19" s="76">
        <v>7</v>
      </c>
      <c r="K19" s="76">
        <v>6815.0530534536956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4"/>
        <v>1</v>
      </c>
      <c r="Z19" s="19">
        <f t="shared" si="5"/>
        <v>0</v>
      </c>
      <c r="AA19" s="19">
        <f t="shared" si="6"/>
        <v>0</v>
      </c>
      <c r="AB19" s="29">
        <f t="shared" si="7"/>
        <v>17.240295390416456</v>
      </c>
      <c r="AC19" s="29">
        <v>0</v>
      </c>
      <c r="AD19" s="29">
        <v>0</v>
      </c>
      <c r="AE19" s="28">
        <v>20</v>
      </c>
      <c r="AF19" s="46">
        <v>460</v>
      </c>
      <c r="AG19" s="28">
        <v>210000</v>
      </c>
      <c r="AH19" s="29">
        <v>60.341033866457593</v>
      </c>
      <c r="AI19" s="29">
        <v>0</v>
      </c>
      <c r="AJ19" s="30">
        <v>0</v>
      </c>
      <c r="AK19" s="57">
        <f t="shared" si="2"/>
        <v>6.8150530534536955</v>
      </c>
      <c r="AL19" s="57">
        <f t="shared" si="3"/>
        <v>0.27500000000000002</v>
      </c>
      <c r="AM19" s="60"/>
      <c r="AN19" s="57">
        <v>0.13246638315114781</v>
      </c>
      <c r="AO19" s="57"/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113</v>
      </c>
      <c r="B20" s="66" t="s">
        <v>111</v>
      </c>
      <c r="C20" s="118">
        <v>64</v>
      </c>
      <c r="D20" s="76">
        <v>64</v>
      </c>
      <c r="E20" s="118">
        <v>120</v>
      </c>
      <c r="F20" s="118">
        <v>6.3</v>
      </c>
      <c r="G20" s="76">
        <v>6.3</v>
      </c>
      <c r="H20" s="118">
        <v>4.4000000000000004</v>
      </c>
      <c r="I20" s="76">
        <v>7</v>
      </c>
      <c r="J20" s="76">
        <v>7</v>
      </c>
      <c r="K20" s="76">
        <v>985.49851297434589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4"/>
        <v>1</v>
      </c>
      <c r="Z20" s="19">
        <f t="shared" si="5"/>
        <v>0</v>
      </c>
      <c r="AA20" s="19">
        <f t="shared" si="6"/>
        <v>0</v>
      </c>
      <c r="AB20" s="29">
        <f t="shared" si="7"/>
        <v>159.54404264886861</v>
      </c>
      <c r="AC20" s="29">
        <v>0</v>
      </c>
      <c r="AD20" s="29">
        <v>0</v>
      </c>
      <c r="AE20" s="28">
        <v>20</v>
      </c>
      <c r="AF20" s="46">
        <v>460</v>
      </c>
      <c r="AG20" s="28">
        <v>210000</v>
      </c>
      <c r="AH20" s="29">
        <v>558.40414927104018</v>
      </c>
      <c r="AI20" s="29">
        <v>0</v>
      </c>
      <c r="AJ20" s="30">
        <v>0</v>
      </c>
      <c r="AK20" s="57">
        <f t="shared" si="2"/>
        <v>0.98549851297434587</v>
      </c>
      <c r="AL20" s="57">
        <f t="shared" si="3"/>
        <v>0.32</v>
      </c>
      <c r="AM20" s="60"/>
      <c r="AN20" s="57">
        <v>0.94914779479631584</v>
      </c>
      <c r="AO20" s="57"/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114</v>
      </c>
      <c r="B21" s="66" t="s">
        <v>112</v>
      </c>
      <c r="C21" s="118">
        <v>64</v>
      </c>
      <c r="D21" s="76">
        <v>64</v>
      </c>
      <c r="E21" s="118">
        <v>120</v>
      </c>
      <c r="F21" s="118">
        <v>6.3</v>
      </c>
      <c r="G21" s="76">
        <v>6.3</v>
      </c>
      <c r="H21" s="118">
        <v>4.4000000000000004</v>
      </c>
      <c r="I21" s="76">
        <v>7</v>
      </c>
      <c r="J21" s="76">
        <v>7</v>
      </c>
      <c r="K21" s="76">
        <v>1642.4975216239097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4"/>
        <v>1</v>
      </c>
      <c r="Z21" s="19">
        <f t="shared" si="5"/>
        <v>0</v>
      </c>
      <c r="AA21" s="19">
        <f t="shared" si="6"/>
        <v>0</v>
      </c>
      <c r="AB21" s="29">
        <f t="shared" si="7"/>
        <v>141.69995191688753</v>
      </c>
      <c r="AC21" s="29">
        <v>0</v>
      </c>
      <c r="AD21" s="29">
        <v>0</v>
      </c>
      <c r="AE21" s="28">
        <v>20</v>
      </c>
      <c r="AF21" s="46">
        <v>460</v>
      </c>
      <c r="AG21" s="28">
        <v>210000</v>
      </c>
      <c r="AH21" s="29">
        <v>495.94983170910638</v>
      </c>
      <c r="AI21" s="29">
        <v>0</v>
      </c>
      <c r="AJ21" s="30">
        <v>0</v>
      </c>
      <c r="AK21" s="57">
        <f t="shared" si="2"/>
        <v>1.6424975216239097</v>
      </c>
      <c r="AL21" s="57">
        <f t="shared" si="3"/>
        <v>0.32</v>
      </c>
      <c r="AM21" s="60"/>
      <c r="AN21" s="57">
        <v>0.84299103026152089</v>
      </c>
      <c r="AO21" s="57"/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115</v>
      </c>
      <c r="B22" s="66" t="s">
        <v>113</v>
      </c>
      <c r="C22" s="118">
        <v>64</v>
      </c>
      <c r="D22" s="76">
        <v>64</v>
      </c>
      <c r="E22" s="118">
        <v>120</v>
      </c>
      <c r="F22" s="118">
        <v>6.3</v>
      </c>
      <c r="G22" s="76">
        <v>6.3</v>
      </c>
      <c r="H22" s="118">
        <v>4.4000000000000004</v>
      </c>
      <c r="I22" s="76">
        <v>7</v>
      </c>
      <c r="J22" s="76">
        <v>7</v>
      </c>
      <c r="K22" s="76">
        <v>2463.7462824358649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4"/>
        <v>1</v>
      </c>
      <c r="Z22" s="19">
        <f t="shared" si="5"/>
        <v>0</v>
      </c>
      <c r="AA22" s="19">
        <f t="shared" si="6"/>
        <v>0</v>
      </c>
      <c r="AB22" s="29">
        <f t="shared" si="7"/>
        <v>116.57779819985326</v>
      </c>
      <c r="AC22" s="29">
        <v>0</v>
      </c>
      <c r="AD22" s="29">
        <v>0</v>
      </c>
      <c r="AE22" s="28">
        <v>20</v>
      </c>
      <c r="AF22" s="46">
        <v>460</v>
      </c>
      <c r="AG22" s="28">
        <v>210000</v>
      </c>
      <c r="AH22" s="29">
        <v>408.0222936994864</v>
      </c>
      <c r="AI22" s="29">
        <v>0</v>
      </c>
      <c r="AJ22" s="30">
        <v>0</v>
      </c>
      <c r="AK22" s="57">
        <f t="shared" si="2"/>
        <v>2.4637462824358649</v>
      </c>
      <c r="AL22" s="57">
        <f t="shared" si="3"/>
        <v>0.32</v>
      </c>
      <c r="AM22" s="60"/>
      <c r="AN22" s="57">
        <v>0.69353614366612815</v>
      </c>
      <c r="AO22" s="57"/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116</v>
      </c>
      <c r="B23" s="66" t="s">
        <v>114</v>
      </c>
      <c r="C23" s="118">
        <v>64</v>
      </c>
      <c r="D23" s="76">
        <v>64</v>
      </c>
      <c r="E23" s="118">
        <v>120</v>
      </c>
      <c r="F23" s="118">
        <v>6.3</v>
      </c>
      <c r="G23" s="76">
        <v>6.3</v>
      </c>
      <c r="H23" s="118">
        <v>4.4000000000000004</v>
      </c>
      <c r="I23" s="76">
        <v>7</v>
      </c>
      <c r="J23" s="76">
        <v>7</v>
      </c>
      <c r="K23" s="76">
        <v>3284.9950432478195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4"/>
        <v>1</v>
      </c>
      <c r="Z23" s="19">
        <f t="shared" si="5"/>
        <v>0</v>
      </c>
      <c r="AA23" s="19">
        <f t="shared" si="6"/>
        <v>0</v>
      </c>
      <c r="AB23" s="29">
        <f t="shared" si="7"/>
        <v>90.759369256792397</v>
      </c>
      <c r="AC23" s="29">
        <v>0</v>
      </c>
      <c r="AD23" s="29">
        <v>0</v>
      </c>
      <c r="AE23" s="28">
        <v>20</v>
      </c>
      <c r="AF23" s="46">
        <v>460</v>
      </c>
      <c r="AG23" s="28">
        <v>210000</v>
      </c>
      <c r="AH23" s="29">
        <v>317.65779239877338</v>
      </c>
      <c r="AI23" s="29">
        <v>0</v>
      </c>
      <c r="AJ23" s="30">
        <v>0</v>
      </c>
      <c r="AK23" s="57">
        <f t="shared" si="2"/>
        <v>3.2849950432478194</v>
      </c>
      <c r="AL23" s="57">
        <f t="shared" si="3"/>
        <v>0.32</v>
      </c>
      <c r="AM23" s="60"/>
      <c r="AN23" s="57">
        <v>0.53993902722384046</v>
      </c>
      <c r="AO23" s="57"/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117</v>
      </c>
      <c r="B24" s="66" t="s">
        <v>115</v>
      </c>
      <c r="C24" s="118">
        <v>64</v>
      </c>
      <c r="D24" s="76">
        <v>64</v>
      </c>
      <c r="E24" s="118">
        <v>120</v>
      </c>
      <c r="F24" s="118">
        <v>6.3</v>
      </c>
      <c r="G24" s="76">
        <v>6.3</v>
      </c>
      <c r="H24" s="118">
        <v>4.4000000000000004</v>
      </c>
      <c r="I24" s="76">
        <v>7</v>
      </c>
      <c r="J24" s="76">
        <v>7</v>
      </c>
      <c r="K24" s="76">
        <v>4369.0434075196008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4"/>
        <v>1</v>
      </c>
      <c r="Z24" s="19">
        <f t="shared" si="5"/>
        <v>0</v>
      </c>
      <c r="AA24" s="19">
        <f t="shared" si="6"/>
        <v>0</v>
      </c>
      <c r="AB24" s="29">
        <f t="shared" si="7"/>
        <v>63.268581400254632</v>
      </c>
      <c r="AC24" s="29">
        <v>0</v>
      </c>
      <c r="AD24" s="29">
        <v>0</v>
      </c>
      <c r="AE24" s="28">
        <v>20</v>
      </c>
      <c r="AF24" s="46">
        <v>460</v>
      </c>
      <c r="AG24" s="28">
        <v>210000</v>
      </c>
      <c r="AH24" s="29">
        <v>221.44003490089122</v>
      </c>
      <c r="AI24" s="29">
        <v>0</v>
      </c>
      <c r="AJ24" s="30">
        <v>0</v>
      </c>
      <c r="AK24" s="57">
        <f t="shared" si="2"/>
        <v>4.3690434075196007</v>
      </c>
      <c r="AL24" s="57">
        <f t="shared" si="3"/>
        <v>0.32</v>
      </c>
      <c r="AM24" s="60"/>
      <c r="AN24" s="57">
        <v>0.37639283497476755</v>
      </c>
      <c r="AO24" s="57"/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118</v>
      </c>
      <c r="B25" s="66" t="s">
        <v>116</v>
      </c>
      <c r="C25" s="118">
        <v>64</v>
      </c>
      <c r="D25" s="76">
        <v>64</v>
      </c>
      <c r="E25" s="118">
        <v>120</v>
      </c>
      <c r="F25" s="118">
        <v>6.3</v>
      </c>
      <c r="G25" s="76">
        <v>6.3</v>
      </c>
      <c r="H25" s="118">
        <v>4.4000000000000004</v>
      </c>
      <c r="I25" s="76">
        <v>7</v>
      </c>
      <c r="J25" s="76">
        <v>7</v>
      </c>
      <c r="K25" s="76">
        <v>5485.9417222238581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4"/>
        <v>1</v>
      </c>
      <c r="Z25" s="19">
        <f t="shared" si="5"/>
        <v>0</v>
      </c>
      <c r="AA25" s="19">
        <f t="shared" si="6"/>
        <v>0</v>
      </c>
      <c r="AB25" s="29">
        <f t="shared" si="7"/>
        <v>44.594967521886176</v>
      </c>
      <c r="AC25" s="29">
        <v>0</v>
      </c>
      <c r="AD25" s="29">
        <v>0</v>
      </c>
      <c r="AE25" s="28">
        <v>20</v>
      </c>
      <c r="AF25" s="46">
        <v>460</v>
      </c>
      <c r="AG25" s="28">
        <v>210000</v>
      </c>
      <c r="AH25" s="29">
        <v>156.08238632660161</v>
      </c>
      <c r="AI25" s="29">
        <v>0</v>
      </c>
      <c r="AJ25" s="30">
        <v>0</v>
      </c>
      <c r="AK25" s="57">
        <f t="shared" si="2"/>
        <v>5.485941722223858</v>
      </c>
      <c r="AL25" s="57">
        <f t="shared" si="3"/>
        <v>0.32</v>
      </c>
      <c r="AM25" s="60"/>
      <c r="AN25" s="57">
        <v>0.265301131773169</v>
      </c>
      <c r="AO25" s="57"/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119</v>
      </c>
      <c r="B26" s="66" t="s">
        <v>117</v>
      </c>
      <c r="C26" s="118">
        <v>64</v>
      </c>
      <c r="D26" s="76">
        <v>64</v>
      </c>
      <c r="E26" s="118">
        <v>120</v>
      </c>
      <c r="F26" s="118">
        <v>6.3</v>
      </c>
      <c r="G26" s="76">
        <v>6.3</v>
      </c>
      <c r="H26" s="118">
        <v>4.4000000000000004</v>
      </c>
      <c r="I26" s="76">
        <v>7</v>
      </c>
      <c r="J26" s="76">
        <v>7</v>
      </c>
      <c r="K26" s="76">
        <v>6569.9900864956389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4"/>
        <v>1</v>
      </c>
      <c r="Z26" s="19">
        <f t="shared" si="5"/>
        <v>0</v>
      </c>
      <c r="AA26" s="19">
        <f t="shared" si="6"/>
        <v>0</v>
      </c>
      <c r="AB26" s="29">
        <f t="shared" si="7"/>
        <v>32.976874561319022</v>
      </c>
      <c r="AC26" s="29">
        <v>0</v>
      </c>
      <c r="AD26" s="29">
        <v>0</v>
      </c>
      <c r="AE26" s="28">
        <v>20</v>
      </c>
      <c r="AF26" s="46">
        <v>460</v>
      </c>
      <c r="AG26" s="28">
        <v>210000</v>
      </c>
      <c r="AH26" s="29">
        <v>115.41906096461658</v>
      </c>
      <c r="AI26" s="29">
        <v>0</v>
      </c>
      <c r="AJ26" s="30">
        <v>0</v>
      </c>
      <c r="AK26" s="57">
        <f t="shared" si="2"/>
        <v>6.5699900864956389</v>
      </c>
      <c r="AL26" s="57">
        <f t="shared" si="3"/>
        <v>0.32</v>
      </c>
      <c r="AM26" s="60"/>
      <c r="AN26" s="57">
        <v>0.19618361957918354</v>
      </c>
      <c r="AO26" s="57"/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120</v>
      </c>
      <c r="B27" s="66" t="s">
        <v>118</v>
      </c>
      <c r="C27" s="118">
        <v>64</v>
      </c>
      <c r="D27" s="76">
        <v>64</v>
      </c>
      <c r="E27" s="118">
        <v>120</v>
      </c>
      <c r="F27" s="118">
        <v>6.3</v>
      </c>
      <c r="G27" s="76">
        <v>6.3</v>
      </c>
      <c r="H27" s="118">
        <v>4.4000000000000004</v>
      </c>
      <c r="I27" s="76">
        <v>7</v>
      </c>
      <c r="J27" s="76">
        <v>7</v>
      </c>
      <c r="K27" s="76">
        <v>8212.4876081195489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4"/>
        <v>1</v>
      </c>
      <c r="Z27" s="19">
        <f t="shared" si="5"/>
        <v>0</v>
      </c>
      <c r="AA27" s="19">
        <f t="shared" si="6"/>
        <v>0</v>
      </c>
      <c r="AB27" s="29">
        <f t="shared" si="7"/>
        <v>22.266524137627517</v>
      </c>
      <c r="AC27" s="29">
        <v>0</v>
      </c>
      <c r="AD27" s="29">
        <v>0</v>
      </c>
      <c r="AE27" s="28">
        <v>20</v>
      </c>
      <c r="AF27" s="46">
        <v>460</v>
      </c>
      <c r="AG27" s="28">
        <v>210000</v>
      </c>
      <c r="AH27" s="29">
        <v>77.932834481696304</v>
      </c>
      <c r="AI27" s="29">
        <v>0</v>
      </c>
      <c r="AJ27" s="30">
        <v>0</v>
      </c>
      <c r="AK27" s="57">
        <f t="shared" si="2"/>
        <v>8.2124876081195488</v>
      </c>
      <c r="AL27" s="57">
        <f t="shared" si="3"/>
        <v>0.32</v>
      </c>
      <c r="AM27" s="60"/>
      <c r="AN27" s="57">
        <v>0.13246638315114778</v>
      </c>
      <c r="AO27" s="57"/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121</v>
      </c>
      <c r="B28" s="66" t="s">
        <v>119</v>
      </c>
      <c r="C28" s="118">
        <v>82</v>
      </c>
      <c r="D28" s="76">
        <v>82</v>
      </c>
      <c r="E28" s="118">
        <v>160</v>
      </c>
      <c r="F28" s="118">
        <v>7.4</v>
      </c>
      <c r="G28" s="76">
        <v>7.4</v>
      </c>
      <c r="H28" s="118">
        <v>5</v>
      </c>
      <c r="I28" s="76">
        <v>9</v>
      </c>
      <c r="J28" s="76">
        <v>9</v>
      </c>
      <c r="K28" s="76">
        <v>1320.9666558715369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4"/>
        <v>1</v>
      </c>
      <c r="Z28" s="19">
        <f t="shared" si="5"/>
        <v>0</v>
      </c>
      <c r="AA28" s="19">
        <f t="shared" si="6"/>
        <v>0</v>
      </c>
      <c r="AB28" s="29">
        <f t="shared" si="7"/>
        <v>241.95567110913993</v>
      </c>
      <c r="AC28" s="29">
        <v>0</v>
      </c>
      <c r="AD28" s="29">
        <v>0</v>
      </c>
      <c r="AE28" s="28">
        <v>20</v>
      </c>
      <c r="AF28" s="46">
        <v>460</v>
      </c>
      <c r="AG28" s="28">
        <v>210000</v>
      </c>
      <c r="AH28" s="29">
        <v>846.84484888198972</v>
      </c>
      <c r="AI28" s="29">
        <v>0</v>
      </c>
      <c r="AJ28" s="30">
        <v>0</v>
      </c>
      <c r="AK28" s="57">
        <f t="shared" si="2"/>
        <v>1.3209666558715369</v>
      </c>
      <c r="AL28" s="57">
        <f t="shared" si="3"/>
        <v>0.41</v>
      </c>
      <c r="AM28" s="60"/>
      <c r="AN28" s="57">
        <v>0.94914779479631584</v>
      </c>
      <c r="AO28" s="57"/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122</v>
      </c>
      <c r="B29" s="66" t="s">
        <v>120</v>
      </c>
      <c r="C29" s="118">
        <v>82</v>
      </c>
      <c r="D29" s="76">
        <v>82</v>
      </c>
      <c r="E29" s="118">
        <v>160</v>
      </c>
      <c r="F29" s="118">
        <v>7.4</v>
      </c>
      <c r="G29" s="76">
        <v>7.4</v>
      </c>
      <c r="H29" s="118">
        <v>5</v>
      </c>
      <c r="I29" s="76">
        <v>9</v>
      </c>
      <c r="J29" s="76">
        <v>9</v>
      </c>
      <c r="K29" s="76">
        <v>2201.6110931192284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4"/>
        <v>1</v>
      </c>
      <c r="Z29" s="19">
        <f t="shared" si="5"/>
        <v>0</v>
      </c>
      <c r="AA29" s="19">
        <f t="shared" si="6"/>
        <v>0</v>
      </c>
      <c r="AB29" s="29">
        <f t="shared" si="7"/>
        <v>214.89431001594662</v>
      </c>
      <c r="AC29" s="29">
        <v>0</v>
      </c>
      <c r="AD29" s="29">
        <v>0</v>
      </c>
      <c r="AE29" s="28">
        <v>20</v>
      </c>
      <c r="AF29" s="46">
        <v>460</v>
      </c>
      <c r="AG29" s="28">
        <v>210000</v>
      </c>
      <c r="AH29" s="29">
        <v>752.1300850558132</v>
      </c>
      <c r="AI29" s="29">
        <v>0</v>
      </c>
      <c r="AJ29" s="30">
        <v>0</v>
      </c>
      <c r="AK29" s="57">
        <f t="shared" si="2"/>
        <v>2.2016110931192285</v>
      </c>
      <c r="AL29" s="57">
        <f t="shared" si="3"/>
        <v>0.41</v>
      </c>
      <c r="AM29" s="60"/>
      <c r="AN29" s="57">
        <v>0.842991030261521</v>
      </c>
      <c r="AO29" s="57"/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123</v>
      </c>
      <c r="B30" s="66" t="s">
        <v>121</v>
      </c>
      <c r="C30" s="118">
        <v>82</v>
      </c>
      <c r="D30" s="76">
        <v>82</v>
      </c>
      <c r="E30" s="118">
        <v>160</v>
      </c>
      <c r="F30" s="118">
        <v>7.4</v>
      </c>
      <c r="G30" s="76">
        <v>7.4</v>
      </c>
      <c r="H30" s="118">
        <v>5</v>
      </c>
      <c r="I30" s="76">
        <v>9</v>
      </c>
      <c r="J30" s="76">
        <v>9</v>
      </c>
      <c r="K30" s="76">
        <v>3302.4166396788423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4"/>
        <v>1</v>
      </c>
      <c r="Z30" s="19">
        <f t="shared" si="5"/>
        <v>0</v>
      </c>
      <c r="AA30" s="19">
        <f t="shared" si="6"/>
        <v>0</v>
      </c>
      <c r="AB30" s="29">
        <f t="shared" si="7"/>
        <v>176.79544113063383</v>
      </c>
      <c r="AC30" s="29">
        <v>0</v>
      </c>
      <c r="AD30" s="29">
        <v>0</v>
      </c>
      <c r="AE30" s="28">
        <v>20</v>
      </c>
      <c r="AF30" s="46">
        <v>460</v>
      </c>
      <c r="AG30" s="28">
        <v>210000</v>
      </c>
      <c r="AH30" s="29">
        <v>618.78404395721839</v>
      </c>
      <c r="AI30" s="29">
        <v>0</v>
      </c>
      <c r="AJ30" s="30">
        <v>0</v>
      </c>
      <c r="AK30" s="57">
        <f t="shared" si="2"/>
        <v>3.3024166396788424</v>
      </c>
      <c r="AL30" s="57">
        <f t="shared" si="3"/>
        <v>0.41</v>
      </c>
      <c r="AM30" s="60"/>
      <c r="AN30" s="57">
        <v>0.69353614366612837</v>
      </c>
      <c r="AO30" s="57"/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124</v>
      </c>
      <c r="B31" s="66" t="s">
        <v>122</v>
      </c>
      <c r="C31" s="118">
        <v>82</v>
      </c>
      <c r="D31" s="76">
        <v>82</v>
      </c>
      <c r="E31" s="118">
        <v>160</v>
      </c>
      <c r="F31" s="118">
        <v>7.4</v>
      </c>
      <c r="G31" s="76">
        <v>7.4</v>
      </c>
      <c r="H31" s="118">
        <v>5</v>
      </c>
      <c r="I31" s="76">
        <v>9</v>
      </c>
      <c r="J31" s="76">
        <v>9</v>
      </c>
      <c r="K31" s="76">
        <v>4403.2221862384567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4"/>
        <v>1</v>
      </c>
      <c r="Z31" s="19">
        <f t="shared" si="5"/>
        <v>0</v>
      </c>
      <c r="AA31" s="19">
        <f t="shared" si="6"/>
        <v>0</v>
      </c>
      <c r="AB31" s="29">
        <f t="shared" si="7"/>
        <v>137.64063974672746</v>
      </c>
      <c r="AC31" s="29">
        <v>0</v>
      </c>
      <c r="AD31" s="29">
        <v>0</v>
      </c>
      <c r="AE31" s="28">
        <v>20</v>
      </c>
      <c r="AF31" s="46">
        <v>460</v>
      </c>
      <c r="AG31" s="28">
        <v>210000</v>
      </c>
      <c r="AH31" s="29">
        <v>481.74223911354608</v>
      </c>
      <c r="AI31" s="29">
        <v>0</v>
      </c>
      <c r="AJ31" s="30">
        <v>0</v>
      </c>
      <c r="AK31" s="57">
        <f t="shared" si="2"/>
        <v>4.4032221862384571</v>
      </c>
      <c r="AL31" s="57">
        <f t="shared" si="3"/>
        <v>0.41</v>
      </c>
      <c r="AM31" s="60"/>
      <c r="AN31" s="57">
        <v>0.53993902722384057</v>
      </c>
      <c r="AO31" s="57"/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125</v>
      </c>
      <c r="B32" s="66" t="s">
        <v>123</v>
      </c>
      <c r="C32" s="118">
        <v>82</v>
      </c>
      <c r="D32" s="76">
        <v>82</v>
      </c>
      <c r="E32" s="118">
        <v>160</v>
      </c>
      <c r="F32" s="118">
        <v>7.4</v>
      </c>
      <c r="G32" s="76">
        <v>7.4</v>
      </c>
      <c r="H32" s="118">
        <v>5</v>
      </c>
      <c r="I32" s="76">
        <v>9</v>
      </c>
      <c r="J32" s="76">
        <v>9</v>
      </c>
      <c r="K32" s="76">
        <v>5856.2855076971473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4"/>
        <v>1</v>
      </c>
      <c r="Z32" s="19">
        <f t="shared" si="5"/>
        <v>0</v>
      </c>
      <c r="AA32" s="19">
        <f t="shared" si="6"/>
        <v>0</v>
      </c>
      <c r="AB32" s="29">
        <f t="shared" si="7"/>
        <v>95.949631328527815</v>
      </c>
      <c r="AC32" s="29">
        <v>0</v>
      </c>
      <c r="AD32" s="29">
        <v>0</v>
      </c>
      <c r="AE32" s="28">
        <v>20</v>
      </c>
      <c r="AF32" s="46">
        <v>460</v>
      </c>
      <c r="AG32" s="28">
        <v>210000</v>
      </c>
      <c r="AH32" s="29">
        <v>335.82370964984733</v>
      </c>
      <c r="AI32" s="29">
        <v>0</v>
      </c>
      <c r="AJ32" s="30">
        <v>0</v>
      </c>
      <c r="AK32" s="57">
        <f t="shared" si="2"/>
        <v>5.8562855076971472</v>
      </c>
      <c r="AL32" s="57">
        <f t="shared" si="3"/>
        <v>0.41</v>
      </c>
      <c r="AM32" s="60"/>
      <c r="AN32" s="57">
        <v>0.37639283497476772</v>
      </c>
      <c r="AO32" s="57"/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126</v>
      </c>
      <c r="B33" s="66" t="s">
        <v>124</v>
      </c>
      <c r="C33" s="118">
        <v>82</v>
      </c>
      <c r="D33" s="76">
        <v>82</v>
      </c>
      <c r="E33" s="118">
        <v>160</v>
      </c>
      <c r="F33" s="118">
        <v>7.4</v>
      </c>
      <c r="G33" s="76">
        <v>7.4</v>
      </c>
      <c r="H33" s="118">
        <v>5</v>
      </c>
      <c r="I33" s="76">
        <v>9</v>
      </c>
      <c r="J33" s="76">
        <v>9</v>
      </c>
      <c r="K33" s="76">
        <v>7353.381051018222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4"/>
        <v>1</v>
      </c>
      <c r="Z33" s="19">
        <f t="shared" si="5"/>
        <v>0</v>
      </c>
      <c r="AA33" s="19">
        <f t="shared" si="6"/>
        <v>0</v>
      </c>
      <c r="AB33" s="29">
        <f t="shared" si="7"/>
        <v>67.630261310322808</v>
      </c>
      <c r="AC33" s="29">
        <v>0</v>
      </c>
      <c r="AD33" s="29">
        <v>0</v>
      </c>
      <c r="AE33" s="28">
        <v>20</v>
      </c>
      <c r="AF33" s="46">
        <v>460</v>
      </c>
      <c r="AG33" s="28">
        <v>210000</v>
      </c>
      <c r="AH33" s="29">
        <v>236.70591458612981</v>
      </c>
      <c r="AI33" s="29">
        <v>0</v>
      </c>
      <c r="AJ33" s="30">
        <v>0</v>
      </c>
      <c r="AK33" s="57">
        <f t="shared" si="2"/>
        <v>7.3533810510182223</v>
      </c>
      <c r="AL33" s="57">
        <f t="shared" si="3"/>
        <v>0.41</v>
      </c>
      <c r="AM33" s="60"/>
      <c r="AN33" s="57">
        <v>0.26530113177316905</v>
      </c>
      <c r="AO33" s="57"/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127</v>
      </c>
      <c r="B34" s="66" t="s">
        <v>125</v>
      </c>
      <c r="C34" s="118">
        <v>82</v>
      </c>
      <c r="D34" s="76">
        <v>82</v>
      </c>
      <c r="E34" s="118">
        <v>160</v>
      </c>
      <c r="F34" s="118">
        <v>7.4</v>
      </c>
      <c r="G34" s="76">
        <v>7.4</v>
      </c>
      <c r="H34" s="118">
        <v>5</v>
      </c>
      <c r="I34" s="76">
        <v>9</v>
      </c>
      <c r="J34" s="76">
        <v>9</v>
      </c>
      <c r="K34" s="76">
        <v>8806.4443724769135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4"/>
        <v>1</v>
      </c>
      <c r="Z34" s="19">
        <f t="shared" si="5"/>
        <v>0</v>
      </c>
      <c r="AA34" s="19">
        <f t="shared" si="6"/>
        <v>0</v>
      </c>
      <c r="AB34" s="29">
        <f t="shared" si="7"/>
        <v>50.010904093274533</v>
      </c>
      <c r="AC34" s="29">
        <v>0</v>
      </c>
      <c r="AD34" s="29">
        <v>0</v>
      </c>
      <c r="AE34" s="28">
        <v>20</v>
      </c>
      <c r="AF34" s="46">
        <v>460</v>
      </c>
      <c r="AG34" s="28">
        <v>210000</v>
      </c>
      <c r="AH34" s="29">
        <v>175.03816432646087</v>
      </c>
      <c r="AI34" s="29">
        <v>0</v>
      </c>
      <c r="AJ34" s="30">
        <v>0</v>
      </c>
      <c r="AK34" s="57">
        <f t="shared" si="2"/>
        <v>8.8064443724769141</v>
      </c>
      <c r="AL34" s="57">
        <f t="shared" si="3"/>
        <v>0.41</v>
      </c>
      <c r="AM34" s="60"/>
      <c r="AN34" s="57">
        <v>0.19618361957918362</v>
      </c>
      <c r="AO34" s="57"/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128</v>
      </c>
      <c r="B35" s="66" t="s">
        <v>126</v>
      </c>
      <c r="C35" s="118">
        <v>82</v>
      </c>
      <c r="D35" s="76">
        <v>82</v>
      </c>
      <c r="E35" s="118">
        <v>160</v>
      </c>
      <c r="F35" s="118">
        <v>7.4</v>
      </c>
      <c r="G35" s="76">
        <v>7.4</v>
      </c>
      <c r="H35" s="118">
        <v>5</v>
      </c>
      <c r="I35" s="76">
        <v>9</v>
      </c>
      <c r="J35" s="76">
        <v>9</v>
      </c>
      <c r="K35" s="76">
        <v>11008.05546559614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4"/>
        <v>1</v>
      </c>
      <c r="Z35" s="19">
        <f t="shared" si="5"/>
        <v>0</v>
      </c>
      <c r="AA35" s="19">
        <f t="shared" si="6"/>
        <v>0</v>
      </c>
      <c r="AB35" s="29">
        <f t="shared" si="7"/>
        <v>33.768179002738421</v>
      </c>
      <c r="AC35" s="29">
        <v>0</v>
      </c>
      <c r="AD35" s="29">
        <v>0</v>
      </c>
      <c r="AE35" s="28">
        <v>20</v>
      </c>
      <c r="AF35" s="46">
        <v>460</v>
      </c>
      <c r="AG35" s="28">
        <v>210000</v>
      </c>
      <c r="AH35" s="29">
        <v>118.18862650958448</v>
      </c>
      <c r="AI35" s="29">
        <v>0</v>
      </c>
      <c r="AJ35" s="30">
        <v>0</v>
      </c>
      <c r="AK35" s="57">
        <f t="shared" si="2"/>
        <v>11.00805546559614</v>
      </c>
      <c r="AL35" s="57">
        <f t="shared" si="3"/>
        <v>0.41</v>
      </c>
      <c r="AM35" s="60"/>
      <c r="AN35" s="57">
        <v>0.13246638315114781</v>
      </c>
      <c r="AO35" s="57"/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129</v>
      </c>
      <c r="B36" s="66" t="s">
        <v>127</v>
      </c>
      <c r="C36" s="118">
        <v>100</v>
      </c>
      <c r="D36" s="76">
        <v>100</v>
      </c>
      <c r="E36" s="118">
        <v>200</v>
      </c>
      <c r="F36" s="118">
        <v>8.5</v>
      </c>
      <c r="G36" s="76">
        <v>8.5</v>
      </c>
      <c r="H36" s="118">
        <v>5.6</v>
      </c>
      <c r="I36" s="76">
        <v>12</v>
      </c>
      <c r="J36" s="76">
        <v>12</v>
      </c>
      <c r="K36" s="76">
        <v>1657.3040226367091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4"/>
        <v>1</v>
      </c>
      <c r="Z36" s="19">
        <f t="shared" si="5"/>
        <v>0</v>
      </c>
      <c r="AA36" s="19">
        <f t="shared" si="6"/>
        <v>0</v>
      </c>
      <c r="AB36" s="29">
        <f t="shared" si="7"/>
        <v>339.9055540514459</v>
      </c>
      <c r="AC36" s="29">
        <f t="shared" ref="AC36:AC99" si="8">Z36*AI36/3.5</f>
        <v>0</v>
      </c>
      <c r="AD36" s="29">
        <f t="shared" ref="AD36:AD99" si="9">AA36*AJ36/3.5</f>
        <v>0</v>
      </c>
      <c r="AE36" s="28">
        <v>20</v>
      </c>
      <c r="AF36" s="46">
        <v>460</v>
      </c>
      <c r="AG36" s="28">
        <v>210000</v>
      </c>
      <c r="AH36" s="29">
        <v>1189.6694391800606</v>
      </c>
      <c r="AI36" s="29">
        <v>0</v>
      </c>
      <c r="AJ36" s="30">
        <v>0</v>
      </c>
      <c r="AK36" s="57">
        <f t="shared" si="2"/>
        <v>1.6573040226367091</v>
      </c>
      <c r="AL36" s="57">
        <f t="shared" si="3"/>
        <v>0.5</v>
      </c>
      <c r="AM36" s="60"/>
      <c r="AN36" s="57">
        <v>0.94914779479631584</v>
      </c>
      <c r="AO36" s="57"/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130</v>
      </c>
      <c r="B37" s="66" t="s">
        <v>128</v>
      </c>
      <c r="C37" s="118">
        <v>100</v>
      </c>
      <c r="D37" s="76">
        <v>100</v>
      </c>
      <c r="E37" s="118">
        <v>200</v>
      </c>
      <c r="F37" s="118">
        <v>8.5</v>
      </c>
      <c r="G37" s="76">
        <v>8.5</v>
      </c>
      <c r="H37" s="118">
        <v>5.6</v>
      </c>
      <c r="I37" s="76">
        <v>12</v>
      </c>
      <c r="J37" s="76">
        <v>12</v>
      </c>
      <c r="K37" s="76">
        <v>2762.173371061182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4"/>
        <v>1</v>
      </c>
      <c r="Z37" s="19">
        <f t="shared" si="5"/>
        <v>0</v>
      </c>
      <c r="AA37" s="19">
        <f t="shared" si="6"/>
        <v>0</v>
      </c>
      <c r="AB37" s="29">
        <f t="shared" si="7"/>
        <v>301.88905750229497</v>
      </c>
      <c r="AC37" s="29">
        <f t="shared" si="8"/>
        <v>0</v>
      </c>
      <c r="AD37" s="29">
        <f t="shared" si="9"/>
        <v>0</v>
      </c>
      <c r="AE37" s="28">
        <v>20</v>
      </c>
      <c r="AF37" s="46">
        <v>460</v>
      </c>
      <c r="AG37" s="28">
        <v>210000</v>
      </c>
      <c r="AH37" s="29">
        <v>1056.6117012580323</v>
      </c>
      <c r="AI37" s="29">
        <v>0</v>
      </c>
      <c r="AJ37" s="30">
        <v>0</v>
      </c>
      <c r="AK37" s="57">
        <f t="shared" ref="AK37:AK99" si="10">K37/1000</f>
        <v>2.762173371061182</v>
      </c>
      <c r="AL37" s="57">
        <f t="shared" ref="AL37:AL99" si="11">C37/200</f>
        <v>0.5</v>
      </c>
      <c r="AM37" s="60"/>
      <c r="AN37" s="57">
        <v>0.842991030261521</v>
      </c>
      <c r="AO37" s="57"/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131</v>
      </c>
      <c r="B38" s="66" t="s">
        <v>129</v>
      </c>
      <c r="C38" s="118">
        <v>100</v>
      </c>
      <c r="D38" s="76">
        <v>100</v>
      </c>
      <c r="E38" s="118">
        <v>200</v>
      </c>
      <c r="F38" s="118">
        <v>8.5</v>
      </c>
      <c r="G38" s="76">
        <v>8.5</v>
      </c>
      <c r="H38" s="118">
        <v>5.6</v>
      </c>
      <c r="I38" s="76">
        <v>12</v>
      </c>
      <c r="J38" s="76">
        <v>12</v>
      </c>
      <c r="K38" s="76">
        <v>4143.2600565917728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4"/>
        <v>1</v>
      </c>
      <c r="Z38" s="19">
        <f t="shared" si="5"/>
        <v>0</v>
      </c>
      <c r="AA38" s="19">
        <f t="shared" si="6"/>
        <v>0</v>
      </c>
      <c r="AB38" s="29">
        <f t="shared" si="7"/>
        <v>248.36678593150705</v>
      </c>
      <c r="AC38" s="29">
        <f t="shared" si="8"/>
        <v>0</v>
      </c>
      <c r="AD38" s="29">
        <f t="shared" si="9"/>
        <v>0</v>
      </c>
      <c r="AE38" s="28">
        <v>20</v>
      </c>
      <c r="AF38" s="46">
        <v>460</v>
      </c>
      <c r="AG38" s="28">
        <v>210000</v>
      </c>
      <c r="AH38" s="29">
        <v>869.28375076027464</v>
      </c>
      <c r="AI38" s="29">
        <v>0</v>
      </c>
      <c r="AJ38" s="30">
        <v>0</v>
      </c>
      <c r="AK38" s="57">
        <f t="shared" si="10"/>
        <v>4.1432600565917728</v>
      </c>
      <c r="AL38" s="57">
        <f t="shared" si="11"/>
        <v>0.5</v>
      </c>
      <c r="AM38" s="60"/>
      <c r="AN38" s="57">
        <v>0.69353614366612837</v>
      </c>
      <c r="AO38" s="57"/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132</v>
      </c>
      <c r="B39" s="66" t="s">
        <v>130</v>
      </c>
      <c r="C39" s="118">
        <v>100</v>
      </c>
      <c r="D39" s="76">
        <v>100</v>
      </c>
      <c r="E39" s="118">
        <v>200</v>
      </c>
      <c r="F39" s="118">
        <v>8.5</v>
      </c>
      <c r="G39" s="76">
        <v>8.5</v>
      </c>
      <c r="H39" s="118">
        <v>5.6</v>
      </c>
      <c r="I39" s="76">
        <v>12</v>
      </c>
      <c r="J39" s="76">
        <v>12</v>
      </c>
      <c r="K39" s="76">
        <v>5524.346742122364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4"/>
        <v>1</v>
      </c>
      <c r="Z39" s="19">
        <f t="shared" si="5"/>
        <v>0</v>
      </c>
      <c r="AA39" s="19">
        <f t="shared" si="6"/>
        <v>0</v>
      </c>
      <c r="AB39" s="29">
        <f t="shared" si="7"/>
        <v>193.36111320987987</v>
      </c>
      <c r="AC39" s="29">
        <f t="shared" si="8"/>
        <v>0</v>
      </c>
      <c r="AD39" s="29">
        <f t="shared" si="9"/>
        <v>0</v>
      </c>
      <c r="AE39" s="28">
        <v>20</v>
      </c>
      <c r="AF39" s="46">
        <v>460</v>
      </c>
      <c r="AG39" s="28">
        <v>210000</v>
      </c>
      <c r="AH39" s="29">
        <v>676.76389623457953</v>
      </c>
      <c r="AI39" s="29">
        <v>0</v>
      </c>
      <c r="AJ39" s="30">
        <v>0</v>
      </c>
      <c r="AK39" s="57">
        <f t="shared" si="10"/>
        <v>5.524346742122364</v>
      </c>
      <c r="AL39" s="57">
        <f t="shared" si="11"/>
        <v>0.5</v>
      </c>
      <c r="AM39" s="60"/>
      <c r="AN39" s="57">
        <v>0.53993902722384057</v>
      </c>
      <c r="AO39" s="57"/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133</v>
      </c>
      <c r="B40" s="66" t="s">
        <v>131</v>
      </c>
      <c r="C40" s="118">
        <v>100</v>
      </c>
      <c r="D40" s="76">
        <v>100</v>
      </c>
      <c r="E40" s="118">
        <v>200</v>
      </c>
      <c r="F40" s="118">
        <v>8.5</v>
      </c>
      <c r="G40" s="76">
        <v>8.5</v>
      </c>
      <c r="H40" s="118">
        <v>5.6</v>
      </c>
      <c r="I40" s="76">
        <v>12</v>
      </c>
      <c r="J40" s="76">
        <v>12</v>
      </c>
      <c r="K40" s="76">
        <v>7347.3811670227442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4"/>
        <v>1</v>
      </c>
      <c r="Z40" s="19">
        <f t="shared" si="5"/>
        <v>0</v>
      </c>
      <c r="AA40" s="19">
        <f t="shared" si="6"/>
        <v>0</v>
      </c>
      <c r="AB40" s="29">
        <f t="shared" si="7"/>
        <v>134.7925115714439</v>
      </c>
      <c r="AC40" s="29">
        <f t="shared" si="8"/>
        <v>0</v>
      </c>
      <c r="AD40" s="29">
        <f t="shared" si="9"/>
        <v>0</v>
      </c>
      <c r="AE40" s="28">
        <v>20</v>
      </c>
      <c r="AF40" s="46">
        <v>460</v>
      </c>
      <c r="AG40" s="28">
        <v>210000</v>
      </c>
      <c r="AH40" s="29">
        <v>471.77379050005362</v>
      </c>
      <c r="AI40" s="29">
        <v>0</v>
      </c>
      <c r="AJ40" s="30">
        <v>0</v>
      </c>
      <c r="AK40" s="57">
        <f t="shared" si="10"/>
        <v>7.3473811670227445</v>
      </c>
      <c r="AL40" s="57">
        <f t="shared" si="11"/>
        <v>0.5</v>
      </c>
      <c r="AM40" s="60"/>
      <c r="AN40" s="57">
        <v>0.37639283497476772</v>
      </c>
      <c r="AO40" s="57"/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1" customFormat="1" ht="21" x14ac:dyDescent="0.35">
      <c r="A41" s="28">
        <v>134</v>
      </c>
      <c r="B41" s="66" t="s">
        <v>132</v>
      </c>
      <c r="C41" s="118">
        <v>100</v>
      </c>
      <c r="D41" s="76">
        <v>100</v>
      </c>
      <c r="E41" s="118">
        <v>200</v>
      </c>
      <c r="F41" s="118">
        <v>8.5</v>
      </c>
      <c r="G41" s="76">
        <v>8.5</v>
      </c>
      <c r="H41" s="118">
        <v>5.6</v>
      </c>
      <c r="I41" s="76">
        <v>12</v>
      </c>
      <c r="J41" s="76">
        <v>12</v>
      </c>
      <c r="K41" s="76">
        <v>9225.659059344347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4"/>
        <v>1</v>
      </c>
      <c r="Z41" s="19">
        <f t="shared" si="5"/>
        <v>0</v>
      </c>
      <c r="AA41" s="19">
        <f t="shared" si="6"/>
        <v>0</v>
      </c>
      <c r="AB41" s="29">
        <f t="shared" si="7"/>
        <v>95.008731706726934</v>
      </c>
      <c r="AC41" s="29">
        <f t="shared" si="8"/>
        <v>0</v>
      </c>
      <c r="AD41" s="29">
        <f t="shared" si="9"/>
        <v>0</v>
      </c>
      <c r="AE41" s="28">
        <v>20</v>
      </c>
      <c r="AF41" s="46">
        <v>460</v>
      </c>
      <c r="AG41" s="28">
        <v>210000</v>
      </c>
      <c r="AH41" s="29">
        <v>332.53056097354425</v>
      </c>
      <c r="AI41" s="29">
        <v>0</v>
      </c>
      <c r="AJ41" s="30">
        <v>0</v>
      </c>
      <c r="AK41" s="57">
        <f t="shared" si="10"/>
        <v>9.2256590593443466</v>
      </c>
      <c r="AL41" s="57">
        <f t="shared" si="11"/>
        <v>0.5</v>
      </c>
      <c r="AM41" s="60"/>
      <c r="AN41" s="57">
        <v>0.26530113177316905</v>
      </c>
      <c r="AO41" s="57"/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135</v>
      </c>
      <c r="B42" s="66" t="s">
        <v>133</v>
      </c>
      <c r="C42" s="118">
        <v>100</v>
      </c>
      <c r="D42" s="76">
        <v>100</v>
      </c>
      <c r="E42" s="118">
        <v>200</v>
      </c>
      <c r="F42" s="118">
        <v>8.5</v>
      </c>
      <c r="G42" s="76">
        <v>8.5</v>
      </c>
      <c r="H42" s="118">
        <v>5.6</v>
      </c>
      <c r="I42" s="76">
        <v>12</v>
      </c>
      <c r="J42" s="76">
        <v>12</v>
      </c>
      <c r="K42" s="76">
        <v>11048.693484244728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4"/>
        <v>1</v>
      </c>
      <c r="Z42" s="19">
        <f t="shared" si="5"/>
        <v>0</v>
      </c>
      <c r="AA42" s="19">
        <f t="shared" si="6"/>
        <v>0</v>
      </c>
      <c r="AB42" s="29">
        <f t="shared" si="7"/>
        <v>70.256605214144386</v>
      </c>
      <c r="AC42" s="29">
        <f t="shared" si="8"/>
        <v>0</v>
      </c>
      <c r="AD42" s="29">
        <f t="shared" si="9"/>
        <v>0</v>
      </c>
      <c r="AE42" s="28">
        <v>20</v>
      </c>
      <c r="AF42" s="46">
        <v>460</v>
      </c>
      <c r="AG42" s="28">
        <v>210000</v>
      </c>
      <c r="AH42" s="29">
        <v>245.89811824950536</v>
      </c>
      <c r="AI42" s="29">
        <v>0</v>
      </c>
      <c r="AJ42" s="30">
        <v>0</v>
      </c>
      <c r="AK42" s="57">
        <f t="shared" si="10"/>
        <v>11.048693484244728</v>
      </c>
      <c r="AL42" s="57">
        <f t="shared" si="11"/>
        <v>0.5</v>
      </c>
      <c r="AM42" s="60"/>
      <c r="AN42" s="57">
        <v>0.19618361957918362</v>
      </c>
      <c r="AO42" s="57"/>
      <c r="AP42" s="57"/>
      <c r="AU42" s="15"/>
      <c r="AV42" s="15"/>
      <c r="AW42" s="16"/>
    </row>
    <row r="43" spans="1:58" ht="21" x14ac:dyDescent="0.35">
      <c r="A43" s="28">
        <v>136</v>
      </c>
      <c r="B43" s="66" t="s">
        <v>134</v>
      </c>
      <c r="C43" s="118">
        <v>100</v>
      </c>
      <c r="D43" s="76">
        <v>100</v>
      </c>
      <c r="E43" s="118">
        <v>200</v>
      </c>
      <c r="F43" s="118">
        <v>8.5</v>
      </c>
      <c r="G43" s="76">
        <v>8.5</v>
      </c>
      <c r="H43" s="118">
        <v>5.6</v>
      </c>
      <c r="I43" s="76">
        <v>12</v>
      </c>
      <c r="J43" s="76">
        <v>12</v>
      </c>
      <c r="K43" s="76">
        <v>13810.866855305909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4"/>
        <v>1</v>
      </c>
      <c r="Z43" s="19">
        <f t="shared" si="5"/>
        <v>0</v>
      </c>
      <c r="AA43" s="19">
        <f t="shared" si="6"/>
        <v>0</v>
      </c>
      <c r="AB43" s="29">
        <f t="shared" si="7"/>
        <v>47.438406963632531</v>
      </c>
      <c r="AC43" s="29">
        <f t="shared" si="8"/>
        <v>0</v>
      </c>
      <c r="AD43" s="29">
        <f t="shared" si="9"/>
        <v>0</v>
      </c>
      <c r="AE43" s="28">
        <v>20</v>
      </c>
      <c r="AF43" s="46">
        <v>460</v>
      </c>
      <c r="AG43" s="28">
        <v>210000</v>
      </c>
      <c r="AH43" s="29">
        <v>166.03442437271386</v>
      </c>
      <c r="AI43" s="29">
        <v>0</v>
      </c>
      <c r="AJ43" s="30">
        <v>0</v>
      </c>
      <c r="AK43" s="57">
        <f t="shared" si="10"/>
        <v>13.810866855305909</v>
      </c>
      <c r="AL43" s="57">
        <f t="shared" si="11"/>
        <v>0.5</v>
      </c>
      <c r="AM43" s="60"/>
      <c r="AN43" s="57">
        <v>0.13246638315114781</v>
      </c>
      <c r="AO43" s="57"/>
      <c r="AP43" s="57"/>
      <c r="AU43" s="15"/>
      <c r="AV43" s="15"/>
      <c r="AW43" s="16"/>
    </row>
    <row r="44" spans="1:58" ht="21" x14ac:dyDescent="0.35">
      <c r="A44" s="28">
        <v>137</v>
      </c>
      <c r="B44" s="66" t="s">
        <v>135</v>
      </c>
      <c r="C44" s="118">
        <v>120</v>
      </c>
      <c r="D44" s="76">
        <v>120</v>
      </c>
      <c r="E44" s="118">
        <v>240</v>
      </c>
      <c r="F44" s="118">
        <v>9.8000000000000007</v>
      </c>
      <c r="G44" s="76">
        <v>9.8000000000000007</v>
      </c>
      <c r="H44" s="118">
        <v>6.2</v>
      </c>
      <c r="I44" s="76">
        <v>15</v>
      </c>
      <c r="J44" s="76">
        <v>15</v>
      </c>
      <c r="K44" s="76">
        <v>2000.8263106334873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4"/>
        <v>1</v>
      </c>
      <c r="Z44" s="19">
        <f t="shared" si="5"/>
        <v>0</v>
      </c>
      <c r="AA44" s="19">
        <f t="shared" si="6"/>
        <v>0</v>
      </c>
      <c r="AB44" s="29">
        <f t="shared" si="7"/>
        <v>464.60882568531304</v>
      </c>
      <c r="AC44" s="29">
        <f t="shared" si="8"/>
        <v>0</v>
      </c>
      <c r="AD44" s="29">
        <f t="shared" si="9"/>
        <v>0</v>
      </c>
      <c r="AE44" s="28">
        <v>20</v>
      </c>
      <c r="AF44" s="46">
        <v>460</v>
      </c>
      <c r="AG44" s="28">
        <v>210000</v>
      </c>
      <c r="AH44" s="29">
        <v>1626.1308898985956</v>
      </c>
      <c r="AI44" s="29">
        <v>0</v>
      </c>
      <c r="AJ44" s="30">
        <v>0</v>
      </c>
      <c r="AK44" s="57">
        <f t="shared" si="10"/>
        <v>2.0008263106334874</v>
      </c>
      <c r="AL44" s="57">
        <f t="shared" si="11"/>
        <v>0.6</v>
      </c>
      <c r="AM44" s="60"/>
      <c r="AN44" s="57">
        <v>0.95067531678359674</v>
      </c>
      <c r="AO44" s="57"/>
      <c r="AP44" s="57"/>
      <c r="AU44" s="15"/>
      <c r="AV44" s="15"/>
      <c r="AW44" s="16"/>
    </row>
    <row r="45" spans="1:58" ht="21" x14ac:dyDescent="0.35">
      <c r="A45" s="28">
        <v>138</v>
      </c>
      <c r="B45" s="66" t="s">
        <v>136</v>
      </c>
      <c r="C45" s="118">
        <v>120</v>
      </c>
      <c r="D45" s="76">
        <v>120</v>
      </c>
      <c r="E45" s="118">
        <v>240</v>
      </c>
      <c r="F45" s="118">
        <v>9.8000000000000007</v>
      </c>
      <c r="G45" s="76">
        <v>9.8000000000000007</v>
      </c>
      <c r="H45" s="118">
        <v>6.2</v>
      </c>
      <c r="I45" s="76">
        <v>15</v>
      </c>
      <c r="J45" s="76">
        <v>15</v>
      </c>
      <c r="K45" s="76">
        <v>3334.7105177224789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4"/>
        <v>1</v>
      </c>
      <c r="Z45" s="19">
        <f t="shared" si="5"/>
        <v>0</v>
      </c>
      <c r="AA45" s="19">
        <f t="shared" si="6"/>
        <v>0</v>
      </c>
      <c r="AB45" s="29">
        <f t="shared" si="7"/>
        <v>413.34356664921762</v>
      </c>
      <c r="AC45" s="29">
        <f t="shared" si="8"/>
        <v>0</v>
      </c>
      <c r="AD45" s="29">
        <f t="shared" si="9"/>
        <v>0</v>
      </c>
      <c r="AE45" s="28">
        <v>20</v>
      </c>
      <c r="AF45" s="46">
        <v>460</v>
      </c>
      <c r="AG45" s="28">
        <v>210000</v>
      </c>
      <c r="AH45" s="29">
        <v>1446.7024832722616</v>
      </c>
      <c r="AI45" s="29">
        <v>0</v>
      </c>
      <c r="AJ45" s="30">
        <v>0</v>
      </c>
      <c r="AK45" s="57">
        <f t="shared" si="10"/>
        <v>3.334710517722479</v>
      </c>
      <c r="AL45" s="57">
        <f t="shared" si="11"/>
        <v>0.6</v>
      </c>
      <c r="AM45" s="60"/>
      <c r="AN45" s="57">
        <v>0.84577714507485857</v>
      </c>
      <c r="AO45" s="57"/>
      <c r="AP45" s="57"/>
      <c r="AU45" s="15"/>
      <c r="AV45" s="15"/>
      <c r="AW45" s="16"/>
    </row>
    <row r="46" spans="1:58" ht="21" x14ac:dyDescent="0.35">
      <c r="A46" s="28">
        <v>139</v>
      </c>
      <c r="B46" s="66" t="s">
        <v>137</v>
      </c>
      <c r="C46" s="118">
        <v>120</v>
      </c>
      <c r="D46" s="76">
        <v>120</v>
      </c>
      <c r="E46" s="118">
        <v>240</v>
      </c>
      <c r="F46" s="118">
        <v>9.8000000000000007</v>
      </c>
      <c r="G46" s="76">
        <v>9.8000000000000007</v>
      </c>
      <c r="H46" s="118">
        <v>6.2</v>
      </c>
      <c r="I46" s="76">
        <v>15</v>
      </c>
      <c r="J46" s="76">
        <v>15</v>
      </c>
      <c r="K46" s="76">
        <v>5002.0657765837186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4"/>
        <v>1</v>
      </c>
      <c r="Z46" s="19">
        <f t="shared" si="5"/>
        <v>0</v>
      </c>
      <c r="AA46" s="19">
        <f t="shared" si="6"/>
        <v>0</v>
      </c>
      <c r="AB46" s="29">
        <f t="shared" si="7"/>
        <v>341.23083191781382</v>
      </c>
      <c r="AC46" s="29">
        <f t="shared" si="8"/>
        <v>0</v>
      </c>
      <c r="AD46" s="29">
        <f t="shared" si="9"/>
        <v>0</v>
      </c>
      <c r="AE46" s="28">
        <v>20</v>
      </c>
      <c r="AF46" s="46">
        <v>460</v>
      </c>
      <c r="AG46" s="28">
        <v>210000</v>
      </c>
      <c r="AH46" s="29">
        <v>1194.3079117123484</v>
      </c>
      <c r="AI46" s="29">
        <v>0</v>
      </c>
      <c r="AJ46" s="30">
        <v>0</v>
      </c>
      <c r="AK46" s="57">
        <f t="shared" si="10"/>
        <v>5.0020657765837182</v>
      </c>
      <c r="AL46" s="57">
        <f t="shared" si="11"/>
        <v>0.6</v>
      </c>
      <c r="AM46" s="60"/>
      <c r="AN46" s="57">
        <v>0.6982211944667599</v>
      </c>
      <c r="AO46" s="57"/>
      <c r="AP46" s="57"/>
      <c r="AU46" s="15"/>
      <c r="AV46" s="15"/>
      <c r="AW46" s="16"/>
    </row>
    <row r="47" spans="1:58" ht="21" x14ac:dyDescent="0.35">
      <c r="A47" s="28">
        <v>140</v>
      </c>
      <c r="B47" s="66" t="s">
        <v>138</v>
      </c>
      <c r="C47" s="118">
        <v>120</v>
      </c>
      <c r="D47" s="76">
        <v>120</v>
      </c>
      <c r="E47" s="118">
        <v>240</v>
      </c>
      <c r="F47" s="118">
        <v>9.8000000000000007</v>
      </c>
      <c r="G47" s="76">
        <v>9.8000000000000007</v>
      </c>
      <c r="H47" s="118">
        <v>6.2</v>
      </c>
      <c r="I47" s="76">
        <v>15</v>
      </c>
      <c r="J47" s="76">
        <v>15</v>
      </c>
      <c r="K47" s="76">
        <v>6669.4210354449579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4"/>
        <v>1</v>
      </c>
      <c r="Z47" s="19">
        <f t="shared" si="5"/>
        <v>0</v>
      </c>
      <c r="AA47" s="19">
        <f t="shared" si="6"/>
        <v>0</v>
      </c>
      <c r="AB47" s="29">
        <f t="shared" si="7"/>
        <v>266.71677391664417</v>
      </c>
      <c r="AC47" s="29">
        <f t="shared" si="8"/>
        <v>0</v>
      </c>
      <c r="AD47" s="29">
        <f t="shared" si="9"/>
        <v>0</v>
      </c>
      <c r="AE47" s="28">
        <v>20</v>
      </c>
      <c r="AF47" s="46">
        <v>460</v>
      </c>
      <c r="AG47" s="28">
        <v>210000</v>
      </c>
      <c r="AH47" s="29">
        <v>933.50870870825452</v>
      </c>
      <c r="AI47" s="29">
        <v>0</v>
      </c>
      <c r="AJ47" s="30">
        <v>0</v>
      </c>
      <c r="AK47" s="57">
        <f t="shared" si="10"/>
        <v>6.6694210354449579</v>
      </c>
      <c r="AL47" s="57">
        <f t="shared" si="11"/>
        <v>0.6</v>
      </c>
      <c r="AM47" s="60"/>
      <c r="AN47" s="57">
        <v>0.54575169371932153</v>
      </c>
      <c r="AO47" s="57"/>
      <c r="AP47" s="57"/>
      <c r="AU47" s="15"/>
      <c r="AV47" s="15"/>
      <c r="AW47" s="16"/>
    </row>
    <row r="48" spans="1:58" ht="21" x14ac:dyDescent="0.35">
      <c r="A48" s="28">
        <v>141</v>
      </c>
      <c r="B48" s="66" t="s">
        <v>139</v>
      </c>
      <c r="C48" s="118">
        <v>120</v>
      </c>
      <c r="D48" s="76">
        <v>120</v>
      </c>
      <c r="E48" s="118">
        <v>240</v>
      </c>
      <c r="F48" s="118">
        <v>9.8000000000000007</v>
      </c>
      <c r="G48" s="76">
        <v>9.8000000000000007</v>
      </c>
      <c r="H48" s="118">
        <v>6.2</v>
      </c>
      <c r="I48" s="76">
        <v>15</v>
      </c>
      <c r="J48" s="76">
        <v>15</v>
      </c>
      <c r="K48" s="76">
        <v>8870.3299771417951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4"/>
        <v>1</v>
      </c>
      <c r="Z48" s="19">
        <f t="shared" si="5"/>
        <v>0</v>
      </c>
      <c r="AA48" s="19">
        <f t="shared" si="6"/>
        <v>0</v>
      </c>
      <c r="AB48" s="29">
        <f t="shared" si="7"/>
        <v>186.60676551347498</v>
      </c>
      <c r="AC48" s="29">
        <f t="shared" si="8"/>
        <v>0</v>
      </c>
      <c r="AD48" s="29">
        <f t="shared" si="9"/>
        <v>0</v>
      </c>
      <c r="AE48" s="28">
        <v>20</v>
      </c>
      <c r="AF48" s="46">
        <v>460</v>
      </c>
      <c r="AG48" s="28">
        <v>210000</v>
      </c>
      <c r="AH48" s="29">
        <v>653.12367929716243</v>
      </c>
      <c r="AI48" s="29">
        <v>0</v>
      </c>
      <c r="AJ48" s="30">
        <v>0</v>
      </c>
      <c r="AK48" s="57">
        <f t="shared" si="10"/>
        <v>8.8703299771417949</v>
      </c>
      <c r="AL48" s="57">
        <f t="shared" si="11"/>
        <v>0.6</v>
      </c>
      <c r="AM48" s="60"/>
      <c r="AN48" s="57">
        <v>0.38183184673001175</v>
      </c>
      <c r="AO48" s="57"/>
      <c r="AP48" s="57"/>
      <c r="AU48" s="15"/>
      <c r="AV48" s="15"/>
      <c r="AW48" s="16"/>
    </row>
    <row r="49" spans="1:56" ht="21" x14ac:dyDescent="0.35">
      <c r="A49" s="28">
        <v>142</v>
      </c>
      <c r="B49" s="66" t="s">
        <v>140</v>
      </c>
      <c r="C49" s="118">
        <v>120</v>
      </c>
      <c r="D49" s="76">
        <v>120</v>
      </c>
      <c r="E49" s="118">
        <v>240</v>
      </c>
      <c r="F49" s="118">
        <v>9.8000000000000007</v>
      </c>
      <c r="G49" s="76">
        <v>9.8000000000000007</v>
      </c>
      <c r="H49" s="118">
        <v>6.2</v>
      </c>
      <c r="I49" s="76">
        <v>15</v>
      </c>
      <c r="J49" s="76">
        <v>15</v>
      </c>
      <c r="K49" s="76">
        <v>11137.933129193079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4"/>
        <v>1</v>
      </c>
      <c r="Z49" s="19">
        <f t="shared" si="5"/>
        <v>0</v>
      </c>
      <c r="AA49" s="19">
        <f t="shared" si="6"/>
        <v>0</v>
      </c>
      <c r="AB49" s="29">
        <f t="shared" si="7"/>
        <v>131.78021189711291</v>
      </c>
      <c r="AC49" s="29">
        <f t="shared" si="8"/>
        <v>0</v>
      </c>
      <c r="AD49" s="29">
        <f t="shared" si="9"/>
        <v>0</v>
      </c>
      <c r="AE49" s="28">
        <v>20</v>
      </c>
      <c r="AF49" s="46">
        <v>460</v>
      </c>
      <c r="AG49" s="28">
        <v>210000</v>
      </c>
      <c r="AH49" s="29">
        <v>461.23074163989514</v>
      </c>
      <c r="AI49" s="29">
        <v>0</v>
      </c>
      <c r="AJ49" s="30">
        <v>0</v>
      </c>
      <c r="AK49" s="57">
        <f t="shared" si="10"/>
        <v>11.13793312919308</v>
      </c>
      <c r="AL49" s="57">
        <f t="shared" si="11"/>
        <v>0.6</v>
      </c>
      <c r="AM49" s="60"/>
      <c r="AN49" s="57">
        <v>0.26964660971798149</v>
      </c>
      <c r="AO49" s="57"/>
      <c r="AP49" s="57"/>
      <c r="AU49" s="15"/>
      <c r="AV49" s="15"/>
      <c r="AW49" s="16"/>
    </row>
    <row r="50" spans="1:56" ht="21" x14ac:dyDescent="0.35">
      <c r="A50" s="80">
        <v>143</v>
      </c>
      <c r="B50" s="66" t="s">
        <v>141</v>
      </c>
      <c r="C50" s="119">
        <v>120</v>
      </c>
      <c r="D50" s="120">
        <v>120</v>
      </c>
      <c r="E50" s="119">
        <v>240</v>
      </c>
      <c r="F50" s="119">
        <v>9.8000000000000007</v>
      </c>
      <c r="G50" s="120">
        <v>9.8000000000000007</v>
      </c>
      <c r="H50" s="119">
        <v>6.2</v>
      </c>
      <c r="I50" s="120">
        <v>15</v>
      </c>
      <c r="J50" s="120">
        <v>15</v>
      </c>
      <c r="K50" s="120">
        <v>13338.842070889916</v>
      </c>
      <c r="L50" s="81">
        <v>0</v>
      </c>
      <c r="M50" s="81">
        <v>1</v>
      </c>
      <c r="N50" s="81">
        <v>2</v>
      </c>
      <c r="O50" s="81">
        <v>3</v>
      </c>
      <c r="P50" s="80">
        <v>200</v>
      </c>
      <c r="Q50" s="81">
        <v>0</v>
      </c>
      <c r="R50" s="81">
        <v>0</v>
      </c>
      <c r="S50" s="81">
        <v>0</v>
      </c>
      <c r="T50" s="36">
        <v>3</v>
      </c>
      <c r="U50" s="82" t="s">
        <v>48</v>
      </c>
      <c r="V50" s="81">
        <v>1</v>
      </c>
      <c r="W50" s="80">
        <v>1</v>
      </c>
      <c r="X50" s="80">
        <v>0</v>
      </c>
      <c r="Y50" s="81">
        <f t="shared" si="4"/>
        <v>1</v>
      </c>
      <c r="Z50" s="81">
        <f t="shared" si="5"/>
        <v>0</v>
      </c>
      <c r="AA50" s="81">
        <f t="shared" si="6"/>
        <v>0</v>
      </c>
      <c r="AB50" s="83">
        <f t="shared" si="7"/>
        <v>97.54264088507297</v>
      </c>
      <c r="AC50" s="83">
        <f t="shared" si="8"/>
        <v>0</v>
      </c>
      <c r="AD50" s="83">
        <f t="shared" si="9"/>
        <v>0</v>
      </c>
      <c r="AE50" s="80">
        <v>20</v>
      </c>
      <c r="AF50" s="46">
        <v>460</v>
      </c>
      <c r="AG50" s="80">
        <v>210000</v>
      </c>
      <c r="AH50" s="83">
        <v>341.3992430977554</v>
      </c>
      <c r="AI50" s="83">
        <v>0</v>
      </c>
      <c r="AJ50" s="84">
        <v>0</v>
      </c>
      <c r="AK50" s="57">
        <f t="shared" si="10"/>
        <v>13.338842070889916</v>
      </c>
      <c r="AL50" s="57">
        <f t="shared" si="11"/>
        <v>0.6</v>
      </c>
      <c r="AM50" s="60"/>
      <c r="AN50" s="57">
        <v>0.19959022708305976</v>
      </c>
      <c r="AO50" s="57"/>
      <c r="AP50" s="57"/>
      <c r="AU50" s="15"/>
      <c r="AV50" s="15"/>
      <c r="AW50" s="16"/>
    </row>
    <row r="51" spans="1:56" s="88" customFormat="1" ht="21.75" thickBot="1" x14ac:dyDescent="0.4">
      <c r="A51" s="31">
        <v>144</v>
      </c>
      <c r="B51" s="66" t="s">
        <v>142</v>
      </c>
      <c r="C51" s="121">
        <v>120</v>
      </c>
      <c r="D51" s="122">
        <v>120</v>
      </c>
      <c r="E51" s="121">
        <v>240</v>
      </c>
      <c r="F51" s="121">
        <v>9.8000000000000007</v>
      </c>
      <c r="G51" s="122">
        <v>9.8000000000000007</v>
      </c>
      <c r="H51" s="121">
        <v>6.2</v>
      </c>
      <c r="I51" s="122">
        <v>15</v>
      </c>
      <c r="J51" s="122">
        <v>15</v>
      </c>
      <c r="K51" s="122">
        <v>16673.552588612394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4"/>
        <v>1</v>
      </c>
      <c r="Z51" s="32">
        <f t="shared" si="5"/>
        <v>0</v>
      </c>
      <c r="AA51" s="32">
        <f t="shared" si="6"/>
        <v>0</v>
      </c>
      <c r="AB51" s="33">
        <f t="shared" si="7"/>
        <v>65.914017019130839</v>
      </c>
      <c r="AC51" s="33">
        <f t="shared" si="8"/>
        <v>0</v>
      </c>
      <c r="AD51" s="33">
        <f t="shared" si="9"/>
        <v>0</v>
      </c>
      <c r="AE51" s="31">
        <v>20</v>
      </c>
      <c r="AF51" s="46">
        <v>460</v>
      </c>
      <c r="AG51" s="31">
        <v>210000</v>
      </c>
      <c r="AH51" s="33">
        <v>230.69905956695791</v>
      </c>
      <c r="AI51" s="33">
        <v>0</v>
      </c>
      <c r="AJ51" s="51">
        <v>0</v>
      </c>
      <c r="AK51" s="57">
        <f t="shared" si="10"/>
        <v>16.673552588612395</v>
      </c>
      <c r="AL51" s="57">
        <f t="shared" si="11"/>
        <v>0.6</v>
      </c>
      <c r="AM51" s="60"/>
      <c r="AN51" s="57">
        <v>0.1348722313178444</v>
      </c>
      <c r="AO51" s="87"/>
      <c r="AP51" s="87"/>
      <c r="AU51" s="89"/>
      <c r="AV51" s="89"/>
      <c r="AW51" s="90"/>
      <c r="BD51" s="91"/>
    </row>
    <row r="52" spans="1:56" ht="21" x14ac:dyDescent="0.35">
      <c r="A52" s="46">
        <v>145</v>
      </c>
      <c r="B52" s="66" t="s">
        <v>143</v>
      </c>
      <c r="C52" s="123">
        <v>150</v>
      </c>
      <c r="D52" s="78">
        <v>150</v>
      </c>
      <c r="E52" s="123">
        <v>300</v>
      </c>
      <c r="F52" s="123">
        <v>10.7</v>
      </c>
      <c r="G52" s="78">
        <v>10.7</v>
      </c>
      <c r="H52" s="123">
        <v>7.1</v>
      </c>
      <c r="I52" s="78">
        <v>15</v>
      </c>
      <c r="J52" s="78">
        <v>15</v>
      </c>
      <c r="K52" s="78">
        <v>2500.4424190671257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5" t="s">
        <v>48</v>
      </c>
      <c r="V52" s="47">
        <v>1</v>
      </c>
      <c r="W52" s="46">
        <v>1</v>
      </c>
      <c r="X52" s="46">
        <v>0</v>
      </c>
      <c r="Y52" s="47">
        <f t="shared" si="4"/>
        <v>1</v>
      </c>
      <c r="Z52" s="47">
        <f t="shared" si="5"/>
        <v>0</v>
      </c>
      <c r="AA52" s="47">
        <f t="shared" si="6"/>
        <v>0</v>
      </c>
      <c r="AB52" s="49">
        <f t="shared" si="7"/>
        <v>647.18526451561377</v>
      </c>
      <c r="AC52" s="49">
        <f t="shared" si="8"/>
        <v>0</v>
      </c>
      <c r="AD52" s="49">
        <f t="shared" si="9"/>
        <v>0</v>
      </c>
      <c r="AE52" s="46">
        <v>20</v>
      </c>
      <c r="AF52" s="46">
        <v>460</v>
      </c>
      <c r="AG52" s="46">
        <v>210000</v>
      </c>
      <c r="AH52" s="49">
        <v>2265.148425804648</v>
      </c>
      <c r="AI52" s="49">
        <v>0</v>
      </c>
      <c r="AJ52" s="86">
        <v>0</v>
      </c>
      <c r="AK52" s="57">
        <f t="shared" si="10"/>
        <v>2.5004424190671255</v>
      </c>
      <c r="AL52" s="57">
        <f t="shared" si="11"/>
        <v>0.75</v>
      </c>
      <c r="AM52" s="60"/>
      <c r="AN52" s="57">
        <v>0.94914779479631584</v>
      </c>
      <c r="AO52" s="57"/>
      <c r="AP52" s="57"/>
      <c r="AU52" s="15"/>
      <c r="AV52" s="15"/>
      <c r="AW52" s="16"/>
    </row>
    <row r="53" spans="1:56" ht="21" x14ac:dyDescent="0.35">
      <c r="A53" s="28">
        <v>146</v>
      </c>
      <c r="B53" s="66" t="s">
        <v>144</v>
      </c>
      <c r="C53" s="118">
        <v>150</v>
      </c>
      <c r="D53" s="76">
        <v>150</v>
      </c>
      <c r="E53" s="118">
        <v>300</v>
      </c>
      <c r="F53" s="118">
        <v>10.7</v>
      </c>
      <c r="G53" s="78">
        <v>10.7</v>
      </c>
      <c r="H53" s="118">
        <v>7.1</v>
      </c>
      <c r="I53" s="76">
        <v>15</v>
      </c>
      <c r="J53" s="76">
        <v>15</v>
      </c>
      <c r="K53" s="76">
        <v>4167.404031778543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4"/>
        <v>1</v>
      </c>
      <c r="Z53" s="19">
        <f t="shared" si="5"/>
        <v>0</v>
      </c>
      <c r="AA53" s="19">
        <f t="shared" si="6"/>
        <v>0</v>
      </c>
      <c r="AB53" s="29">
        <f t="shared" si="7"/>
        <v>574.80128584312843</v>
      </c>
      <c r="AC53" s="29">
        <f t="shared" si="8"/>
        <v>0</v>
      </c>
      <c r="AD53" s="29">
        <f t="shared" si="9"/>
        <v>0</v>
      </c>
      <c r="AE53" s="28">
        <v>20</v>
      </c>
      <c r="AF53" s="46">
        <v>460</v>
      </c>
      <c r="AG53" s="28">
        <v>210000</v>
      </c>
      <c r="AH53" s="29">
        <v>2011.8045004509495</v>
      </c>
      <c r="AI53" s="29">
        <v>0</v>
      </c>
      <c r="AJ53" s="30">
        <v>0</v>
      </c>
      <c r="AK53" s="57">
        <f t="shared" si="10"/>
        <v>4.1674040317785428</v>
      </c>
      <c r="AL53" s="57">
        <f t="shared" si="11"/>
        <v>0.75</v>
      </c>
      <c r="AM53" s="60"/>
      <c r="AN53" s="57">
        <v>0.84299103026152089</v>
      </c>
      <c r="AO53" s="57"/>
      <c r="AP53" s="57"/>
      <c r="AU53" s="15"/>
      <c r="AV53" s="15"/>
      <c r="AW53" s="16"/>
    </row>
    <row r="54" spans="1:56" ht="21" x14ac:dyDescent="0.35">
      <c r="A54" s="28">
        <v>147</v>
      </c>
      <c r="B54" s="66" t="s">
        <v>145</v>
      </c>
      <c r="C54" s="118">
        <v>150</v>
      </c>
      <c r="D54" s="76">
        <v>150</v>
      </c>
      <c r="E54" s="118">
        <v>300</v>
      </c>
      <c r="F54" s="118">
        <v>10.7</v>
      </c>
      <c r="G54" s="78">
        <v>10.7</v>
      </c>
      <c r="H54" s="118">
        <v>7.1</v>
      </c>
      <c r="I54" s="76">
        <v>15</v>
      </c>
      <c r="J54" s="76">
        <v>15</v>
      </c>
      <c r="K54" s="76">
        <v>6251.106047667814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4"/>
        <v>1</v>
      </c>
      <c r="Z54" s="19">
        <f t="shared" si="5"/>
        <v>0</v>
      </c>
      <c r="AA54" s="19">
        <f t="shared" si="6"/>
        <v>0</v>
      </c>
      <c r="AB54" s="29">
        <f t="shared" si="7"/>
        <v>472.89407935254485</v>
      </c>
      <c r="AC54" s="29">
        <f t="shared" si="8"/>
        <v>0</v>
      </c>
      <c r="AD54" s="29">
        <f t="shared" si="9"/>
        <v>0</v>
      </c>
      <c r="AE54" s="28">
        <v>20</v>
      </c>
      <c r="AF54" s="46">
        <v>460</v>
      </c>
      <c r="AG54" s="28">
        <v>210000</v>
      </c>
      <c r="AH54" s="29">
        <v>1655.129277733907</v>
      </c>
      <c r="AI54" s="29">
        <v>0</v>
      </c>
      <c r="AJ54" s="30">
        <v>0</v>
      </c>
      <c r="AK54" s="57">
        <f t="shared" si="10"/>
        <v>6.2511060476678137</v>
      </c>
      <c r="AL54" s="57">
        <f t="shared" si="11"/>
        <v>0.75</v>
      </c>
      <c r="AM54" s="60"/>
      <c r="AN54" s="57">
        <v>0.69353614366612826</v>
      </c>
      <c r="AO54" s="57"/>
      <c r="AP54" s="57"/>
      <c r="AU54" s="15"/>
      <c r="AV54" s="15"/>
      <c r="AW54" s="16"/>
    </row>
    <row r="55" spans="1:56" ht="21" x14ac:dyDescent="0.35">
      <c r="A55" s="28">
        <v>148</v>
      </c>
      <c r="B55" s="66" t="s">
        <v>146</v>
      </c>
      <c r="C55" s="118">
        <v>150</v>
      </c>
      <c r="D55" s="76">
        <v>150</v>
      </c>
      <c r="E55" s="118">
        <v>300</v>
      </c>
      <c r="F55" s="118">
        <v>10.7</v>
      </c>
      <c r="G55" s="78">
        <v>10.7</v>
      </c>
      <c r="H55" s="118">
        <v>7.1</v>
      </c>
      <c r="I55" s="76">
        <v>15</v>
      </c>
      <c r="J55" s="76">
        <v>15</v>
      </c>
      <c r="K55" s="76">
        <v>8334.8080635570859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4"/>
        <v>1</v>
      </c>
      <c r="Z55" s="19">
        <f t="shared" si="5"/>
        <v>0</v>
      </c>
      <c r="AA55" s="19">
        <f t="shared" si="6"/>
        <v>0</v>
      </c>
      <c r="AB55" s="29">
        <f t="shared" si="7"/>
        <v>368.16245485894342</v>
      </c>
      <c r="AC55" s="29">
        <f t="shared" si="8"/>
        <v>0</v>
      </c>
      <c r="AD55" s="29">
        <f t="shared" si="9"/>
        <v>0</v>
      </c>
      <c r="AE55" s="28">
        <v>20</v>
      </c>
      <c r="AF55" s="46">
        <v>460</v>
      </c>
      <c r="AG55" s="28">
        <v>210000</v>
      </c>
      <c r="AH55" s="29">
        <v>1288.568592006302</v>
      </c>
      <c r="AI55" s="29">
        <v>0</v>
      </c>
      <c r="AJ55" s="30">
        <v>0</v>
      </c>
      <c r="AK55" s="57">
        <f t="shared" si="10"/>
        <v>8.3348080635570856</v>
      </c>
      <c r="AL55" s="57">
        <f t="shared" si="11"/>
        <v>0.75</v>
      </c>
      <c r="AM55" s="60"/>
      <c r="AN55" s="57">
        <v>0.53993902722384046</v>
      </c>
      <c r="AO55" s="57"/>
      <c r="AP55" s="57"/>
      <c r="AU55" s="15"/>
      <c r="AV55" s="15"/>
      <c r="AW55" s="16"/>
    </row>
    <row r="56" spans="1:56" ht="21" x14ac:dyDescent="0.35">
      <c r="A56" s="28">
        <v>149</v>
      </c>
      <c r="B56" s="66" t="s">
        <v>147</v>
      </c>
      <c r="C56" s="118">
        <v>150</v>
      </c>
      <c r="D56" s="76">
        <v>150</v>
      </c>
      <c r="E56" s="118">
        <v>300</v>
      </c>
      <c r="F56" s="118">
        <v>10.7</v>
      </c>
      <c r="G56" s="78">
        <v>10.7</v>
      </c>
      <c r="H56" s="118">
        <v>7.1</v>
      </c>
      <c r="I56" s="76">
        <v>15</v>
      </c>
      <c r="J56" s="76">
        <v>15</v>
      </c>
      <c r="K56" s="76">
        <v>11085.294724530924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4"/>
        <v>1</v>
      </c>
      <c r="Z56" s="19">
        <f t="shared" si="5"/>
        <v>0</v>
      </c>
      <c r="AA56" s="19">
        <f t="shared" si="6"/>
        <v>0</v>
      </c>
      <c r="AB56" s="29">
        <f t="shared" si="7"/>
        <v>256.64696035795106</v>
      </c>
      <c r="AC56" s="29">
        <f t="shared" si="8"/>
        <v>0</v>
      </c>
      <c r="AD56" s="29">
        <f t="shared" si="9"/>
        <v>0</v>
      </c>
      <c r="AE56" s="28">
        <v>20</v>
      </c>
      <c r="AF56" s="46">
        <v>460</v>
      </c>
      <c r="AG56" s="28">
        <v>210000</v>
      </c>
      <c r="AH56" s="29">
        <v>898.26436125282873</v>
      </c>
      <c r="AI56" s="29">
        <v>0</v>
      </c>
      <c r="AJ56" s="30">
        <v>0</v>
      </c>
      <c r="AK56" s="57">
        <f t="shared" si="10"/>
        <v>11.085294724530923</v>
      </c>
      <c r="AL56" s="57">
        <f t="shared" si="11"/>
        <v>0.75</v>
      </c>
      <c r="AM56" s="60"/>
      <c r="AN56" s="57">
        <v>0.37639283497476766</v>
      </c>
      <c r="AO56" s="57"/>
      <c r="AP56" s="57"/>
      <c r="AU56" s="15"/>
      <c r="AV56" s="15"/>
      <c r="AW56" s="16"/>
    </row>
    <row r="57" spans="1:56" ht="21" x14ac:dyDescent="0.35">
      <c r="A57" s="28">
        <v>150</v>
      </c>
      <c r="B57" s="66" t="s">
        <v>148</v>
      </c>
      <c r="C57" s="118">
        <v>150</v>
      </c>
      <c r="D57" s="76">
        <v>150</v>
      </c>
      <c r="E57" s="118">
        <v>300</v>
      </c>
      <c r="F57" s="118">
        <v>10.7</v>
      </c>
      <c r="G57" s="78">
        <v>10.7</v>
      </c>
      <c r="H57" s="118">
        <v>7.1</v>
      </c>
      <c r="I57" s="76">
        <v>15</v>
      </c>
      <c r="J57" s="76">
        <v>15</v>
      </c>
      <c r="K57" s="76">
        <v>13919.129466140332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4"/>
        <v>1</v>
      </c>
      <c r="Z57" s="19">
        <f t="shared" si="5"/>
        <v>0</v>
      </c>
      <c r="AA57" s="19">
        <f t="shared" si="6"/>
        <v>0</v>
      </c>
      <c r="AB57" s="29">
        <f t="shared" si="7"/>
        <v>180.8980477900769</v>
      </c>
      <c r="AC57" s="29">
        <f t="shared" si="8"/>
        <v>0</v>
      </c>
      <c r="AD57" s="29">
        <f t="shared" si="9"/>
        <v>0</v>
      </c>
      <c r="AE57" s="28">
        <v>20</v>
      </c>
      <c r="AF57" s="46">
        <v>460</v>
      </c>
      <c r="AG57" s="28">
        <v>210000</v>
      </c>
      <c r="AH57" s="29">
        <v>633.1431672652692</v>
      </c>
      <c r="AI57" s="29">
        <v>0</v>
      </c>
      <c r="AJ57" s="30">
        <v>0</v>
      </c>
      <c r="AK57" s="57">
        <f t="shared" si="10"/>
        <v>13.919129466140332</v>
      </c>
      <c r="AL57" s="57">
        <f t="shared" si="11"/>
        <v>0.75</v>
      </c>
      <c r="AM57" s="60"/>
      <c r="AN57" s="57">
        <v>0.265301131773169</v>
      </c>
      <c r="AO57" s="57"/>
      <c r="AP57" s="57"/>
      <c r="AU57" s="15"/>
      <c r="AV57" s="15"/>
      <c r="AW57" s="16"/>
    </row>
    <row r="58" spans="1:56" ht="21" x14ac:dyDescent="0.35">
      <c r="A58" s="28">
        <v>151</v>
      </c>
      <c r="B58" s="66" t="s">
        <v>149</v>
      </c>
      <c r="C58" s="118">
        <v>150</v>
      </c>
      <c r="D58" s="76">
        <v>150</v>
      </c>
      <c r="E58" s="118">
        <v>300</v>
      </c>
      <c r="F58" s="118">
        <v>10.7</v>
      </c>
      <c r="G58" s="78">
        <v>10.7</v>
      </c>
      <c r="H58" s="118">
        <v>7.1</v>
      </c>
      <c r="I58" s="76">
        <v>15</v>
      </c>
      <c r="J58" s="76">
        <v>15</v>
      </c>
      <c r="K58" s="76">
        <v>16669.616127114172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4"/>
        <v>1</v>
      </c>
      <c r="Z58" s="19">
        <f t="shared" si="5"/>
        <v>0</v>
      </c>
      <c r="AA58" s="19">
        <f t="shared" si="6"/>
        <v>0</v>
      </c>
      <c r="AB58" s="29">
        <f t="shared" si="7"/>
        <v>133.7696283203515</v>
      </c>
      <c r="AC58" s="29">
        <f t="shared" si="8"/>
        <v>0</v>
      </c>
      <c r="AD58" s="29">
        <f t="shared" si="9"/>
        <v>0</v>
      </c>
      <c r="AE58" s="28">
        <v>20</v>
      </c>
      <c r="AF58" s="46">
        <v>460</v>
      </c>
      <c r="AG58" s="28">
        <v>210000</v>
      </c>
      <c r="AH58" s="29">
        <v>468.19369912123028</v>
      </c>
      <c r="AI58" s="29">
        <v>0</v>
      </c>
      <c r="AJ58" s="30">
        <v>0</v>
      </c>
      <c r="AK58" s="57">
        <f t="shared" si="10"/>
        <v>16.669616127114171</v>
      </c>
      <c r="AL58" s="57">
        <f t="shared" si="11"/>
        <v>0.75</v>
      </c>
      <c r="AM58" s="60"/>
      <c r="AN58" s="57">
        <v>0.19618361957918354</v>
      </c>
      <c r="AO58" s="57"/>
      <c r="AP58" s="57"/>
      <c r="AU58" s="15"/>
      <c r="AV58" s="15"/>
      <c r="AW58" s="16"/>
    </row>
    <row r="59" spans="1:56" ht="21" x14ac:dyDescent="0.35">
      <c r="A59" s="28">
        <v>152</v>
      </c>
      <c r="B59" s="66" t="s">
        <v>150</v>
      </c>
      <c r="C59" s="118">
        <v>150</v>
      </c>
      <c r="D59" s="76">
        <v>150</v>
      </c>
      <c r="E59" s="118">
        <v>300</v>
      </c>
      <c r="F59" s="118">
        <v>10.7</v>
      </c>
      <c r="G59" s="78">
        <v>10.7</v>
      </c>
      <c r="H59" s="118">
        <v>7.1</v>
      </c>
      <c r="I59" s="76">
        <v>15</v>
      </c>
      <c r="J59" s="76">
        <v>15</v>
      </c>
      <c r="K59" s="76">
        <v>20837.020158892712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4"/>
        <v>1</v>
      </c>
      <c r="Z59" s="19">
        <f t="shared" si="5"/>
        <v>0</v>
      </c>
      <c r="AA59" s="19">
        <f t="shared" si="6"/>
        <v>0</v>
      </c>
      <c r="AB59" s="29">
        <f t="shared" si="7"/>
        <v>90.323437181350329</v>
      </c>
      <c r="AC59" s="29">
        <f t="shared" si="8"/>
        <v>0</v>
      </c>
      <c r="AD59" s="29">
        <f t="shared" si="9"/>
        <v>0</v>
      </c>
      <c r="AE59" s="28">
        <v>20</v>
      </c>
      <c r="AF59" s="46">
        <v>460</v>
      </c>
      <c r="AG59" s="28">
        <v>210000</v>
      </c>
      <c r="AH59" s="29">
        <v>316.13203013472616</v>
      </c>
      <c r="AI59" s="29">
        <v>0</v>
      </c>
      <c r="AJ59" s="30">
        <v>0</v>
      </c>
      <c r="AK59" s="57">
        <f t="shared" si="10"/>
        <v>20.837020158892713</v>
      </c>
      <c r="AL59" s="57">
        <f t="shared" si="11"/>
        <v>0.75</v>
      </c>
      <c r="AM59" s="60"/>
      <c r="AN59" s="57">
        <v>0.13246638315114781</v>
      </c>
      <c r="AO59" s="57"/>
      <c r="AP59" s="57"/>
      <c r="AU59" s="15"/>
      <c r="AV59" s="15"/>
      <c r="AW59" s="16"/>
    </row>
    <row r="60" spans="1:56" ht="21" x14ac:dyDescent="0.35">
      <c r="A60" s="28">
        <v>153</v>
      </c>
      <c r="B60" s="66" t="s">
        <v>151</v>
      </c>
      <c r="C60" s="118">
        <v>170</v>
      </c>
      <c r="D60" s="76">
        <v>170</v>
      </c>
      <c r="E60" s="118">
        <v>360</v>
      </c>
      <c r="F60" s="118">
        <v>12.7</v>
      </c>
      <c r="G60" s="78">
        <v>12.7</v>
      </c>
      <c r="H60" s="118">
        <v>8</v>
      </c>
      <c r="I60" s="76">
        <v>18</v>
      </c>
      <c r="J60" s="76">
        <v>18</v>
      </c>
      <c r="K60" s="76">
        <v>2999.9475719723728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4"/>
        <v>1</v>
      </c>
      <c r="Z60" s="19">
        <f t="shared" si="5"/>
        <v>0</v>
      </c>
      <c r="AA60" s="19">
        <f t="shared" si="6"/>
        <v>0</v>
      </c>
      <c r="AB60" s="29">
        <f t="shared" si="7"/>
        <v>872.56729649113834</v>
      </c>
      <c r="AC60" s="29">
        <f t="shared" si="8"/>
        <v>0</v>
      </c>
      <c r="AD60" s="29">
        <f t="shared" si="9"/>
        <v>0</v>
      </c>
      <c r="AE60" s="28">
        <v>20</v>
      </c>
      <c r="AF60" s="46">
        <v>460</v>
      </c>
      <c r="AG60" s="28">
        <v>210000</v>
      </c>
      <c r="AH60" s="29">
        <v>3053.9855377189842</v>
      </c>
      <c r="AI60" s="29">
        <v>0</v>
      </c>
      <c r="AJ60" s="30">
        <v>0</v>
      </c>
      <c r="AK60" s="57">
        <f t="shared" si="10"/>
        <v>2.9999475719723727</v>
      </c>
      <c r="AL60" s="57">
        <f t="shared" si="11"/>
        <v>0.85</v>
      </c>
      <c r="AM60" s="60"/>
      <c r="AN60" s="57">
        <v>0.94914779479631584</v>
      </c>
      <c r="AO60" s="57"/>
      <c r="AP60" s="57"/>
      <c r="AU60" s="15"/>
      <c r="AV60" s="15"/>
      <c r="AW60" s="16"/>
    </row>
    <row r="61" spans="1:56" ht="21" x14ac:dyDescent="0.35">
      <c r="A61" s="28">
        <v>154</v>
      </c>
      <c r="B61" s="66" t="s">
        <v>152</v>
      </c>
      <c r="C61" s="118">
        <v>170</v>
      </c>
      <c r="D61" s="76">
        <v>170</v>
      </c>
      <c r="E61" s="118">
        <v>360</v>
      </c>
      <c r="F61" s="118">
        <v>12.7</v>
      </c>
      <c r="G61" s="78">
        <v>12.7</v>
      </c>
      <c r="H61" s="118">
        <v>8</v>
      </c>
      <c r="I61" s="76">
        <v>18</v>
      </c>
      <c r="J61" s="76">
        <v>18</v>
      </c>
      <c r="K61" s="76">
        <v>4999.9126199539551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4"/>
        <v>1</v>
      </c>
      <c r="Z61" s="19">
        <f t="shared" si="5"/>
        <v>0</v>
      </c>
      <c r="AA61" s="19">
        <f t="shared" si="6"/>
        <v>0</v>
      </c>
      <c r="AB61" s="29">
        <f t="shared" si="7"/>
        <v>774.97562368506055</v>
      </c>
      <c r="AC61" s="29">
        <f t="shared" si="8"/>
        <v>0</v>
      </c>
      <c r="AD61" s="29">
        <f t="shared" si="9"/>
        <v>0</v>
      </c>
      <c r="AE61" s="28">
        <v>20</v>
      </c>
      <c r="AF61" s="46">
        <v>460</v>
      </c>
      <c r="AG61" s="28">
        <v>210000</v>
      </c>
      <c r="AH61" s="29">
        <v>2712.4146828977118</v>
      </c>
      <c r="AI61" s="29">
        <v>0</v>
      </c>
      <c r="AJ61" s="30">
        <v>0</v>
      </c>
      <c r="AK61" s="57">
        <f t="shared" si="10"/>
        <v>4.999912619953955</v>
      </c>
      <c r="AL61" s="57">
        <f t="shared" si="11"/>
        <v>0.85</v>
      </c>
      <c r="AM61" s="60"/>
      <c r="AN61" s="57">
        <v>0.84299103026152089</v>
      </c>
      <c r="AO61" s="57"/>
      <c r="AP61" s="57"/>
      <c r="AU61" s="15"/>
      <c r="AV61" s="15"/>
      <c r="AW61" s="16"/>
    </row>
    <row r="62" spans="1:56" ht="21" x14ac:dyDescent="0.35">
      <c r="A62" s="28">
        <v>155</v>
      </c>
      <c r="B62" s="66" t="s">
        <v>153</v>
      </c>
      <c r="C62" s="118">
        <v>170</v>
      </c>
      <c r="D62" s="76">
        <v>170</v>
      </c>
      <c r="E62" s="118">
        <v>360</v>
      </c>
      <c r="F62" s="118">
        <v>12.7</v>
      </c>
      <c r="G62" s="78">
        <v>12.7</v>
      </c>
      <c r="H62" s="118">
        <v>8</v>
      </c>
      <c r="I62" s="76">
        <v>18</v>
      </c>
      <c r="J62" s="76">
        <v>18</v>
      </c>
      <c r="K62" s="76">
        <v>7499.8689299309326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4"/>
        <v>1</v>
      </c>
      <c r="Z62" s="19">
        <f t="shared" si="5"/>
        <v>0</v>
      </c>
      <c r="AA62" s="19">
        <f t="shared" si="6"/>
        <v>0</v>
      </c>
      <c r="AB62" s="29">
        <f t="shared" si="7"/>
        <v>637.57926975693806</v>
      </c>
      <c r="AC62" s="29">
        <f t="shared" si="8"/>
        <v>0</v>
      </c>
      <c r="AD62" s="29">
        <f t="shared" si="9"/>
        <v>0</v>
      </c>
      <c r="AE62" s="28">
        <v>20</v>
      </c>
      <c r="AF62" s="46">
        <v>460</v>
      </c>
      <c r="AG62" s="28">
        <v>210000</v>
      </c>
      <c r="AH62" s="29">
        <v>2231.5274441492834</v>
      </c>
      <c r="AI62" s="29">
        <v>0</v>
      </c>
      <c r="AJ62" s="30">
        <v>0</v>
      </c>
      <c r="AK62" s="57">
        <f t="shared" si="10"/>
        <v>7.4998689299309325</v>
      </c>
      <c r="AL62" s="57">
        <f t="shared" si="11"/>
        <v>0.85</v>
      </c>
      <c r="AM62" s="60"/>
      <c r="AN62" s="57">
        <v>0.69353614366612815</v>
      </c>
      <c r="AO62" s="57"/>
      <c r="AP62" s="57"/>
      <c r="AU62" s="15"/>
      <c r="AV62" s="15"/>
      <c r="AW62" s="16"/>
    </row>
    <row r="63" spans="1:56" ht="21" x14ac:dyDescent="0.35">
      <c r="A63" s="28">
        <v>156</v>
      </c>
      <c r="B63" s="66" t="s">
        <v>154</v>
      </c>
      <c r="C63" s="118">
        <v>170</v>
      </c>
      <c r="D63" s="76">
        <v>170</v>
      </c>
      <c r="E63" s="118">
        <v>360</v>
      </c>
      <c r="F63" s="118">
        <v>12.7</v>
      </c>
      <c r="G63" s="78">
        <v>12.7</v>
      </c>
      <c r="H63" s="118">
        <v>8</v>
      </c>
      <c r="I63" s="76">
        <v>18</v>
      </c>
      <c r="J63" s="76">
        <v>18</v>
      </c>
      <c r="K63" s="76">
        <v>9999.8252399079101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4"/>
        <v>1</v>
      </c>
      <c r="Z63" s="19">
        <f t="shared" si="5"/>
        <v>0</v>
      </c>
      <c r="AA63" s="19">
        <f t="shared" si="6"/>
        <v>0</v>
      </c>
      <c r="AB63" s="29">
        <f t="shared" si="7"/>
        <v>496.37489528789911</v>
      </c>
      <c r="AC63" s="29">
        <f t="shared" si="8"/>
        <v>0</v>
      </c>
      <c r="AD63" s="29">
        <f t="shared" si="9"/>
        <v>0</v>
      </c>
      <c r="AE63" s="28">
        <v>20</v>
      </c>
      <c r="AF63" s="46">
        <v>460</v>
      </c>
      <c r="AG63" s="28">
        <v>210000</v>
      </c>
      <c r="AH63" s="29">
        <v>1737.3121335076469</v>
      </c>
      <c r="AI63" s="29">
        <v>0</v>
      </c>
      <c r="AJ63" s="30">
        <v>0</v>
      </c>
      <c r="AK63" s="57">
        <f t="shared" si="10"/>
        <v>9.9998252399079099</v>
      </c>
      <c r="AL63" s="57">
        <f t="shared" si="11"/>
        <v>0.85</v>
      </c>
      <c r="AM63" s="60"/>
      <c r="AN63" s="57">
        <v>0.53993902722384046</v>
      </c>
      <c r="AO63" s="57"/>
      <c r="AP63" s="57"/>
      <c r="AU63" s="15"/>
      <c r="AV63" s="15"/>
      <c r="AW63" s="16"/>
    </row>
    <row r="64" spans="1:56" ht="21" x14ac:dyDescent="0.35">
      <c r="A64" s="28">
        <v>157</v>
      </c>
      <c r="B64" s="66" t="s">
        <v>155</v>
      </c>
      <c r="C64" s="118">
        <v>170</v>
      </c>
      <c r="D64" s="76">
        <v>170</v>
      </c>
      <c r="E64" s="118">
        <v>360</v>
      </c>
      <c r="F64" s="118">
        <v>12.7</v>
      </c>
      <c r="G64" s="78">
        <v>12.7</v>
      </c>
      <c r="H64" s="118">
        <v>8</v>
      </c>
      <c r="I64" s="76">
        <v>18</v>
      </c>
      <c r="J64" s="76">
        <v>18</v>
      </c>
      <c r="K64" s="76">
        <v>13299.767569077521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4"/>
        <v>1</v>
      </c>
      <c r="Z64" s="19">
        <f t="shared" si="5"/>
        <v>0</v>
      </c>
      <c r="AA64" s="19">
        <f t="shared" si="6"/>
        <v>0</v>
      </c>
      <c r="AB64" s="29">
        <f t="shared" si="7"/>
        <v>346.02417055928339</v>
      </c>
      <c r="AC64" s="29">
        <f t="shared" si="8"/>
        <v>0</v>
      </c>
      <c r="AD64" s="29">
        <f t="shared" si="9"/>
        <v>0</v>
      </c>
      <c r="AE64" s="28">
        <v>20</v>
      </c>
      <c r="AF64" s="46">
        <v>460</v>
      </c>
      <c r="AG64" s="28">
        <v>210000</v>
      </c>
      <c r="AH64" s="29">
        <v>1211.0845969574918</v>
      </c>
      <c r="AI64" s="29">
        <v>0</v>
      </c>
      <c r="AJ64" s="30">
        <v>0</v>
      </c>
      <c r="AK64" s="57">
        <f t="shared" si="10"/>
        <v>13.299767569077522</v>
      </c>
      <c r="AL64" s="57">
        <f t="shared" si="11"/>
        <v>0.85</v>
      </c>
      <c r="AM64" s="60"/>
      <c r="AN64" s="57">
        <v>0.37639283497476755</v>
      </c>
      <c r="AO64" s="57"/>
      <c r="AP64" s="57"/>
      <c r="AU64" s="15"/>
      <c r="AV64" s="15"/>
      <c r="AW64" s="16"/>
    </row>
    <row r="65" spans="1:49" ht="21" x14ac:dyDescent="0.35">
      <c r="A65" s="28">
        <v>158</v>
      </c>
      <c r="B65" s="66" t="s">
        <v>156</v>
      </c>
      <c r="C65" s="118">
        <v>170</v>
      </c>
      <c r="D65" s="76">
        <v>170</v>
      </c>
      <c r="E65" s="118">
        <v>360</v>
      </c>
      <c r="F65" s="118">
        <v>12.7</v>
      </c>
      <c r="G65" s="78">
        <v>12.7</v>
      </c>
      <c r="H65" s="118">
        <v>8</v>
      </c>
      <c r="I65" s="76">
        <v>18</v>
      </c>
      <c r="J65" s="76">
        <v>18</v>
      </c>
      <c r="K65" s="76">
        <v>16699.708150646209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4"/>
        <v>1</v>
      </c>
      <c r="Z65" s="19">
        <f t="shared" si="5"/>
        <v>0</v>
      </c>
      <c r="AA65" s="19">
        <f t="shared" si="6"/>
        <v>0</v>
      </c>
      <c r="AB65" s="29">
        <f t="shared" si="7"/>
        <v>243.89572685782926</v>
      </c>
      <c r="AC65" s="29">
        <f t="shared" si="8"/>
        <v>0</v>
      </c>
      <c r="AD65" s="29">
        <f t="shared" si="9"/>
        <v>0</v>
      </c>
      <c r="AE65" s="28">
        <v>20</v>
      </c>
      <c r="AF65" s="46">
        <v>460</v>
      </c>
      <c r="AG65" s="28">
        <v>210000</v>
      </c>
      <c r="AH65" s="29">
        <v>853.63504400240242</v>
      </c>
      <c r="AI65" s="29">
        <v>0</v>
      </c>
      <c r="AJ65" s="30">
        <v>0</v>
      </c>
      <c r="AK65" s="57">
        <f t="shared" si="10"/>
        <v>16.69970815064621</v>
      </c>
      <c r="AL65" s="57">
        <f t="shared" si="11"/>
        <v>0.85</v>
      </c>
      <c r="AM65" s="60"/>
      <c r="AN65" s="57">
        <v>0.26530113177316889</v>
      </c>
      <c r="AO65" s="57"/>
      <c r="AP65" s="57"/>
      <c r="AU65" s="15"/>
      <c r="AV65" s="15"/>
      <c r="AW65" s="16"/>
    </row>
    <row r="66" spans="1:49" ht="21" x14ac:dyDescent="0.35">
      <c r="A66" s="28">
        <v>159</v>
      </c>
      <c r="B66" s="66" t="s">
        <v>157</v>
      </c>
      <c r="C66" s="118">
        <v>170</v>
      </c>
      <c r="D66" s="76">
        <v>170</v>
      </c>
      <c r="E66" s="118">
        <v>360</v>
      </c>
      <c r="F66" s="118">
        <v>12.7</v>
      </c>
      <c r="G66" s="78">
        <v>12.7</v>
      </c>
      <c r="H66" s="118">
        <v>8</v>
      </c>
      <c r="I66" s="76">
        <v>18</v>
      </c>
      <c r="J66" s="76">
        <v>18</v>
      </c>
      <c r="K66" s="76">
        <v>19999.65047981582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4"/>
        <v>1</v>
      </c>
      <c r="Z66" s="19">
        <f t="shared" si="5"/>
        <v>0</v>
      </c>
      <c r="AA66" s="19">
        <f t="shared" si="6"/>
        <v>0</v>
      </c>
      <c r="AB66" s="29">
        <f t="shared" si="7"/>
        <v>180.35485252198217</v>
      </c>
      <c r="AC66" s="29">
        <f t="shared" si="8"/>
        <v>0</v>
      </c>
      <c r="AD66" s="29">
        <f t="shared" si="9"/>
        <v>0</v>
      </c>
      <c r="AE66" s="28">
        <v>20</v>
      </c>
      <c r="AF66" s="46">
        <v>460</v>
      </c>
      <c r="AG66" s="28">
        <v>210000</v>
      </c>
      <c r="AH66" s="29">
        <v>631.2419838269376</v>
      </c>
      <c r="AI66" s="29">
        <v>0</v>
      </c>
      <c r="AJ66" s="30">
        <v>0</v>
      </c>
      <c r="AK66" s="57">
        <f t="shared" si="10"/>
        <v>19.99965047981582</v>
      </c>
      <c r="AL66" s="57">
        <f t="shared" si="11"/>
        <v>0.85</v>
      </c>
      <c r="AM66" s="60"/>
      <c r="AN66" s="57">
        <v>0.19618361957918354</v>
      </c>
      <c r="AO66" s="57"/>
      <c r="AP66" s="57"/>
      <c r="AU66" s="15"/>
      <c r="AV66" s="15"/>
      <c r="AW66" s="16"/>
    </row>
    <row r="67" spans="1:49" ht="21" x14ac:dyDescent="0.35">
      <c r="A67" s="28">
        <v>160</v>
      </c>
      <c r="B67" s="66" t="s">
        <v>158</v>
      </c>
      <c r="C67" s="118">
        <v>170</v>
      </c>
      <c r="D67" s="76">
        <v>170</v>
      </c>
      <c r="E67" s="118">
        <v>360</v>
      </c>
      <c r="F67" s="118">
        <v>12.7</v>
      </c>
      <c r="G67" s="78">
        <v>12.7</v>
      </c>
      <c r="H67" s="118">
        <v>8</v>
      </c>
      <c r="I67" s="76">
        <v>18</v>
      </c>
      <c r="J67" s="76">
        <v>18</v>
      </c>
      <c r="K67" s="76">
        <v>24999.563099769774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4"/>
        <v>1</v>
      </c>
      <c r="Z67" s="19">
        <f t="shared" si="5"/>
        <v>0</v>
      </c>
      <c r="AA67" s="19">
        <f t="shared" si="6"/>
        <v>0</v>
      </c>
      <c r="AB67" s="29">
        <f t="shared" si="7"/>
        <v>121.77854118805666</v>
      </c>
      <c r="AC67" s="29">
        <f t="shared" si="8"/>
        <v>0</v>
      </c>
      <c r="AD67" s="29">
        <f t="shared" si="9"/>
        <v>0</v>
      </c>
      <c r="AE67" s="28">
        <v>20</v>
      </c>
      <c r="AF67" s="46">
        <v>460</v>
      </c>
      <c r="AG67" s="28">
        <v>210000</v>
      </c>
      <c r="AH67" s="29">
        <v>426.22489415819831</v>
      </c>
      <c r="AI67" s="29">
        <v>0</v>
      </c>
      <c r="AJ67" s="30">
        <v>0</v>
      </c>
      <c r="AK67" s="57">
        <f t="shared" si="10"/>
        <v>24.999563099769773</v>
      </c>
      <c r="AL67" s="57">
        <f t="shared" si="11"/>
        <v>0.85</v>
      </c>
      <c r="AM67" s="60"/>
      <c r="AN67" s="57">
        <v>0.13246638315114778</v>
      </c>
      <c r="AO67" s="57"/>
      <c r="AP67" s="57"/>
      <c r="AU67" s="15"/>
      <c r="AV67" s="15"/>
      <c r="AW67" s="16"/>
    </row>
    <row r="68" spans="1:49" ht="21" x14ac:dyDescent="0.35">
      <c r="A68" s="28">
        <v>161</v>
      </c>
      <c r="B68" s="66" t="s">
        <v>159</v>
      </c>
      <c r="C68" s="118">
        <v>190</v>
      </c>
      <c r="D68" s="76">
        <v>190</v>
      </c>
      <c r="E68" s="118">
        <v>450</v>
      </c>
      <c r="F68" s="118">
        <v>14.6</v>
      </c>
      <c r="G68" s="78">
        <v>14.6</v>
      </c>
      <c r="H68" s="118">
        <v>9.4</v>
      </c>
      <c r="I68" s="76">
        <v>21</v>
      </c>
      <c r="J68" s="76">
        <v>21</v>
      </c>
      <c r="K68" s="76">
        <v>3703.2711621465787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4"/>
        <v>1</v>
      </c>
      <c r="Z68" s="19">
        <f t="shared" si="5"/>
        <v>0</v>
      </c>
      <c r="AA68" s="19">
        <f t="shared" si="6"/>
        <v>0</v>
      </c>
      <c r="AB68" s="29">
        <f t="shared" si="7"/>
        <v>1185.5179209626385</v>
      </c>
      <c r="AC68" s="29">
        <f t="shared" si="8"/>
        <v>0</v>
      </c>
      <c r="AD68" s="29">
        <f t="shared" si="9"/>
        <v>0</v>
      </c>
      <c r="AE68" s="28">
        <v>20</v>
      </c>
      <c r="AF68" s="46">
        <v>460</v>
      </c>
      <c r="AG68" s="28">
        <v>210000</v>
      </c>
      <c r="AH68" s="29">
        <v>4149.3127233692348</v>
      </c>
      <c r="AI68" s="29">
        <v>0</v>
      </c>
      <c r="AJ68" s="30">
        <v>0</v>
      </c>
      <c r="AK68" s="57">
        <f t="shared" si="10"/>
        <v>3.7032711621465788</v>
      </c>
      <c r="AL68" s="57">
        <f t="shared" si="11"/>
        <v>0.95</v>
      </c>
      <c r="AM68" s="60"/>
      <c r="AN68" s="57">
        <v>0.94914779479631584</v>
      </c>
      <c r="AO68" s="57"/>
      <c r="AP68" s="57"/>
    </row>
    <row r="69" spans="1:49" ht="21" x14ac:dyDescent="0.35">
      <c r="A69" s="28">
        <v>162</v>
      </c>
      <c r="B69" s="66" t="s">
        <v>160</v>
      </c>
      <c r="C69" s="118">
        <v>190</v>
      </c>
      <c r="D69" s="76">
        <v>190</v>
      </c>
      <c r="E69" s="118">
        <v>450</v>
      </c>
      <c r="F69" s="118">
        <v>14.6</v>
      </c>
      <c r="G69" s="78">
        <v>14.6</v>
      </c>
      <c r="H69" s="118">
        <v>9.4</v>
      </c>
      <c r="I69" s="76">
        <v>21</v>
      </c>
      <c r="J69" s="76">
        <v>21</v>
      </c>
      <c r="K69" s="76">
        <v>6172.1186035776318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2">W69</f>
        <v>1</v>
      </c>
      <c r="Z69" s="19">
        <f t="shared" ref="Z69:Z99" si="13">IF(X69=90,0,(1-Y69)/(TAN(X69/180*PI())+1))</f>
        <v>0</v>
      </c>
      <c r="AA69" s="19">
        <f t="shared" ref="AA69:AA99" si="14">IF(X69=90,1-W69,Z69*TAN(X69/180*PI()))</f>
        <v>0</v>
      </c>
      <c r="AB69" s="29">
        <f t="shared" ref="AB69:AB99" si="15">AH69/3.5</f>
        <v>1052.9245066625847</v>
      </c>
      <c r="AC69" s="29">
        <f t="shared" si="8"/>
        <v>0</v>
      </c>
      <c r="AD69" s="29">
        <f t="shared" si="9"/>
        <v>0</v>
      </c>
      <c r="AE69" s="28">
        <v>20</v>
      </c>
      <c r="AF69" s="46">
        <v>460</v>
      </c>
      <c r="AG69" s="28">
        <v>210000</v>
      </c>
      <c r="AH69" s="29">
        <v>3685.2357733190465</v>
      </c>
      <c r="AI69" s="29">
        <v>0</v>
      </c>
      <c r="AJ69" s="30">
        <v>0</v>
      </c>
      <c r="AK69" s="57">
        <f t="shared" si="10"/>
        <v>6.1721186035776316</v>
      </c>
      <c r="AL69" s="57">
        <f t="shared" si="11"/>
        <v>0.95</v>
      </c>
      <c r="AM69" s="60"/>
      <c r="AN69" s="57">
        <v>0.842991030261521</v>
      </c>
      <c r="AO69" s="57"/>
      <c r="AP69" s="57"/>
    </row>
    <row r="70" spans="1:49" ht="21" x14ac:dyDescent="0.35">
      <c r="A70" s="28">
        <v>163</v>
      </c>
      <c r="B70" s="66" t="s">
        <v>161</v>
      </c>
      <c r="C70" s="118">
        <v>190</v>
      </c>
      <c r="D70" s="76">
        <v>190</v>
      </c>
      <c r="E70" s="118">
        <v>450</v>
      </c>
      <c r="F70" s="118">
        <v>14.6</v>
      </c>
      <c r="G70" s="78">
        <v>14.6</v>
      </c>
      <c r="H70" s="118">
        <v>9.4</v>
      </c>
      <c r="I70" s="76">
        <v>21</v>
      </c>
      <c r="J70" s="76">
        <v>21</v>
      </c>
      <c r="K70" s="76">
        <v>9258.1779053664468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2"/>
        <v>1</v>
      </c>
      <c r="Z70" s="19">
        <f t="shared" si="13"/>
        <v>0</v>
      </c>
      <c r="AA70" s="19">
        <f t="shared" si="14"/>
        <v>0</v>
      </c>
      <c r="AB70" s="29">
        <f t="shared" si="15"/>
        <v>866.25026329851585</v>
      </c>
      <c r="AC70" s="29">
        <f t="shared" si="8"/>
        <v>0</v>
      </c>
      <c r="AD70" s="29">
        <f t="shared" si="9"/>
        <v>0</v>
      </c>
      <c r="AE70" s="28">
        <v>20</v>
      </c>
      <c r="AF70" s="46">
        <v>460</v>
      </c>
      <c r="AG70" s="28">
        <v>210000</v>
      </c>
      <c r="AH70" s="29">
        <v>3031.8759215448054</v>
      </c>
      <c r="AI70" s="29">
        <v>0</v>
      </c>
      <c r="AJ70" s="30">
        <v>0</v>
      </c>
      <c r="AK70" s="57">
        <f t="shared" si="10"/>
        <v>9.2581779053664466</v>
      </c>
      <c r="AL70" s="57">
        <f t="shared" si="11"/>
        <v>0.95</v>
      </c>
      <c r="AM70" s="60"/>
      <c r="AN70" s="57">
        <v>0.69353614366612837</v>
      </c>
      <c r="AO70" s="57"/>
      <c r="AP70" s="57"/>
    </row>
    <row r="71" spans="1:49" ht="21" x14ac:dyDescent="0.35">
      <c r="A71" s="28">
        <v>164</v>
      </c>
      <c r="B71" s="66" t="s">
        <v>162</v>
      </c>
      <c r="C71" s="118">
        <v>190</v>
      </c>
      <c r="D71" s="76">
        <v>190</v>
      </c>
      <c r="E71" s="118">
        <v>450</v>
      </c>
      <c r="F71" s="118">
        <v>14.6</v>
      </c>
      <c r="G71" s="78">
        <v>14.6</v>
      </c>
      <c r="H71" s="118">
        <v>9.4</v>
      </c>
      <c r="I71" s="76">
        <v>21</v>
      </c>
      <c r="J71" s="76">
        <v>21</v>
      </c>
      <c r="K71" s="76">
        <v>12344.237207155264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2"/>
        <v>1</v>
      </c>
      <c r="Z71" s="19">
        <f t="shared" si="13"/>
        <v>0</v>
      </c>
      <c r="AA71" s="19">
        <f t="shared" si="14"/>
        <v>0</v>
      </c>
      <c r="AB71" s="29">
        <f t="shared" si="15"/>
        <v>674.40223378316125</v>
      </c>
      <c r="AC71" s="29">
        <f t="shared" si="8"/>
        <v>0</v>
      </c>
      <c r="AD71" s="29">
        <f t="shared" si="9"/>
        <v>0</v>
      </c>
      <c r="AE71" s="28">
        <v>20</v>
      </c>
      <c r="AF71" s="46">
        <v>460</v>
      </c>
      <c r="AG71" s="28">
        <v>210000</v>
      </c>
      <c r="AH71" s="29">
        <v>2360.4078182410644</v>
      </c>
      <c r="AI71" s="29">
        <v>0</v>
      </c>
      <c r="AJ71" s="30">
        <v>0</v>
      </c>
      <c r="AK71" s="57">
        <f t="shared" si="10"/>
        <v>12.344237207155263</v>
      </c>
      <c r="AL71" s="57">
        <f t="shared" si="11"/>
        <v>0.95</v>
      </c>
      <c r="AM71" s="60"/>
      <c r="AN71" s="57">
        <v>0.53993902722384057</v>
      </c>
      <c r="AO71" s="57"/>
      <c r="AP71" s="57"/>
    </row>
    <row r="72" spans="1:49" ht="21" x14ac:dyDescent="0.35">
      <c r="A72" s="28">
        <v>165</v>
      </c>
      <c r="B72" s="66" t="s">
        <v>163</v>
      </c>
      <c r="C72" s="118">
        <v>190</v>
      </c>
      <c r="D72" s="76">
        <v>190</v>
      </c>
      <c r="E72" s="118">
        <v>450</v>
      </c>
      <c r="F72" s="118">
        <v>14.6</v>
      </c>
      <c r="G72" s="78">
        <v>14.6</v>
      </c>
      <c r="H72" s="118">
        <v>9.4</v>
      </c>
      <c r="I72" s="76">
        <v>21</v>
      </c>
      <c r="J72" s="76">
        <v>21</v>
      </c>
      <c r="K72" s="76">
        <v>16417.835485516502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2"/>
        <v>1</v>
      </c>
      <c r="Z72" s="19">
        <f t="shared" si="13"/>
        <v>0</v>
      </c>
      <c r="AA72" s="19">
        <f t="shared" si="14"/>
        <v>0</v>
      </c>
      <c r="AB72" s="29">
        <f t="shared" si="15"/>
        <v>470.12746974803605</v>
      </c>
      <c r="AC72" s="29">
        <f t="shared" si="8"/>
        <v>0</v>
      </c>
      <c r="AD72" s="29">
        <f t="shared" si="9"/>
        <v>0</v>
      </c>
      <c r="AE72" s="28">
        <v>20</v>
      </c>
      <c r="AF72" s="46">
        <v>460</v>
      </c>
      <c r="AG72" s="28">
        <v>210000</v>
      </c>
      <c r="AH72" s="29">
        <v>1645.4461441181261</v>
      </c>
      <c r="AI72" s="29">
        <v>0</v>
      </c>
      <c r="AJ72" s="30">
        <v>0</v>
      </c>
      <c r="AK72" s="57">
        <f t="shared" si="10"/>
        <v>16.417835485516502</v>
      </c>
      <c r="AL72" s="57">
        <f t="shared" si="11"/>
        <v>0.95</v>
      </c>
      <c r="AM72" s="60"/>
      <c r="AN72" s="57">
        <v>0.37639283497476766</v>
      </c>
      <c r="AO72" s="57"/>
      <c r="AP72" s="57"/>
    </row>
    <row r="73" spans="1:49" ht="21" x14ac:dyDescent="0.35">
      <c r="A73" s="28">
        <v>166</v>
      </c>
      <c r="B73" s="66" t="s">
        <v>164</v>
      </c>
      <c r="C73" s="118">
        <v>190</v>
      </c>
      <c r="D73" s="76">
        <v>190</v>
      </c>
      <c r="E73" s="118">
        <v>450</v>
      </c>
      <c r="F73" s="118">
        <v>14.6</v>
      </c>
      <c r="G73" s="78">
        <v>14.6</v>
      </c>
      <c r="H73" s="118">
        <v>9.4</v>
      </c>
      <c r="I73" s="76">
        <v>21</v>
      </c>
      <c r="J73" s="76">
        <v>21</v>
      </c>
      <c r="K73" s="76">
        <v>20614.876135949286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2"/>
        <v>1</v>
      </c>
      <c r="Z73" s="19">
        <f t="shared" si="13"/>
        <v>0</v>
      </c>
      <c r="AA73" s="19">
        <f t="shared" si="14"/>
        <v>0</v>
      </c>
      <c r="AB73" s="29">
        <f t="shared" si="15"/>
        <v>331.37014898323315</v>
      </c>
      <c r="AC73" s="29">
        <f t="shared" si="8"/>
        <v>0</v>
      </c>
      <c r="AD73" s="29">
        <f t="shared" si="9"/>
        <v>0</v>
      </c>
      <c r="AE73" s="28">
        <v>20</v>
      </c>
      <c r="AF73" s="46">
        <v>460</v>
      </c>
      <c r="AG73" s="28">
        <v>210000</v>
      </c>
      <c r="AH73" s="29">
        <v>1159.7955214413159</v>
      </c>
      <c r="AI73" s="29">
        <v>0</v>
      </c>
      <c r="AJ73" s="30">
        <v>0</v>
      </c>
      <c r="AK73" s="57">
        <f t="shared" si="10"/>
        <v>20.614876135949284</v>
      </c>
      <c r="AL73" s="57">
        <f t="shared" si="11"/>
        <v>0.95</v>
      </c>
      <c r="AM73" s="60"/>
      <c r="AN73" s="57">
        <v>0.26530113177316905</v>
      </c>
      <c r="AO73" s="57"/>
      <c r="AP73" s="57"/>
    </row>
    <row r="74" spans="1:49" ht="21" x14ac:dyDescent="0.35">
      <c r="A74" s="28">
        <v>167</v>
      </c>
      <c r="B74" s="66" t="s">
        <v>165</v>
      </c>
      <c r="C74" s="118">
        <v>190</v>
      </c>
      <c r="D74" s="76">
        <v>190</v>
      </c>
      <c r="E74" s="118">
        <v>450</v>
      </c>
      <c r="F74" s="118">
        <v>14.6</v>
      </c>
      <c r="G74" s="78">
        <v>14.6</v>
      </c>
      <c r="H74" s="118">
        <v>9.4</v>
      </c>
      <c r="I74" s="76">
        <v>21</v>
      </c>
      <c r="J74" s="76">
        <v>21</v>
      </c>
      <c r="K74" s="76">
        <v>24688.474414310527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2"/>
        <v>1</v>
      </c>
      <c r="Z74" s="19">
        <f t="shared" si="13"/>
        <v>0</v>
      </c>
      <c r="AA74" s="19">
        <f t="shared" si="14"/>
        <v>0</v>
      </c>
      <c r="AB74" s="29">
        <f t="shared" si="15"/>
        <v>245.04002230795859</v>
      </c>
      <c r="AC74" s="29">
        <f t="shared" si="8"/>
        <v>0</v>
      </c>
      <c r="AD74" s="29">
        <f t="shared" si="9"/>
        <v>0</v>
      </c>
      <c r="AE74" s="28">
        <v>20</v>
      </c>
      <c r="AF74" s="46">
        <v>460</v>
      </c>
      <c r="AG74" s="28">
        <v>210000</v>
      </c>
      <c r="AH74" s="29">
        <v>857.64007807785504</v>
      </c>
      <c r="AI74" s="29">
        <v>0</v>
      </c>
      <c r="AJ74" s="30">
        <v>0</v>
      </c>
      <c r="AK74" s="57">
        <f t="shared" si="10"/>
        <v>24.688474414310527</v>
      </c>
      <c r="AL74" s="57">
        <f t="shared" si="11"/>
        <v>0.95</v>
      </c>
      <c r="AM74" s="60"/>
      <c r="AN74" s="57">
        <v>0.19618361957918362</v>
      </c>
      <c r="AO74" s="57"/>
      <c r="AP74" s="57"/>
    </row>
    <row r="75" spans="1:49" ht="21" x14ac:dyDescent="0.35">
      <c r="A75" s="28">
        <v>168</v>
      </c>
      <c r="B75" s="66" t="s">
        <v>166</v>
      </c>
      <c r="C75" s="118">
        <v>190</v>
      </c>
      <c r="D75" s="76">
        <v>190</v>
      </c>
      <c r="E75" s="118">
        <v>450</v>
      </c>
      <c r="F75" s="118">
        <v>14.6</v>
      </c>
      <c r="G75" s="78">
        <v>14.6</v>
      </c>
      <c r="H75" s="118">
        <v>9.4</v>
      </c>
      <c r="I75" s="76">
        <v>21</v>
      </c>
      <c r="J75" s="76">
        <v>21</v>
      </c>
      <c r="K75" s="76">
        <v>30860.593017888157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2"/>
        <v>1</v>
      </c>
      <c r="Z75" s="19">
        <f t="shared" si="13"/>
        <v>0</v>
      </c>
      <c r="AA75" s="19">
        <f t="shared" si="14"/>
        <v>0</v>
      </c>
      <c r="AB75" s="29">
        <f t="shared" si="15"/>
        <v>165.45502398231838</v>
      </c>
      <c r="AC75" s="29">
        <f t="shared" si="8"/>
        <v>0</v>
      </c>
      <c r="AD75" s="29">
        <f t="shared" si="9"/>
        <v>0</v>
      </c>
      <c r="AE75" s="28">
        <v>20</v>
      </c>
      <c r="AF75" s="46">
        <v>460</v>
      </c>
      <c r="AG75" s="28">
        <v>210000</v>
      </c>
      <c r="AH75" s="29">
        <v>579.09258393811433</v>
      </c>
      <c r="AI75" s="29">
        <v>0</v>
      </c>
      <c r="AJ75" s="30">
        <v>0</v>
      </c>
      <c r="AK75" s="57">
        <f t="shared" si="10"/>
        <v>30.860593017888156</v>
      </c>
      <c r="AL75" s="57">
        <f t="shared" si="11"/>
        <v>0.95</v>
      </c>
      <c r="AM75" s="60"/>
      <c r="AN75" s="57">
        <v>0.13246638315114781</v>
      </c>
      <c r="AO75" s="57"/>
      <c r="AP75" s="57"/>
    </row>
    <row r="76" spans="1:49" ht="21" x14ac:dyDescent="0.35">
      <c r="A76" s="28">
        <v>169</v>
      </c>
      <c r="B76" s="66" t="s">
        <v>167</v>
      </c>
      <c r="C76" s="118">
        <v>200</v>
      </c>
      <c r="D76" s="76">
        <v>200</v>
      </c>
      <c r="E76" s="118">
        <v>500</v>
      </c>
      <c r="F76" s="118">
        <v>16</v>
      </c>
      <c r="G76" s="78">
        <v>16</v>
      </c>
      <c r="H76" s="118">
        <v>10.199999999999999</v>
      </c>
      <c r="I76" s="76">
        <v>21</v>
      </c>
      <c r="J76" s="76">
        <v>21</v>
      </c>
      <c r="K76" s="76">
        <v>4095.0669733161699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2"/>
        <v>1</v>
      </c>
      <c r="Z76" s="19">
        <f t="shared" si="13"/>
        <v>0</v>
      </c>
      <c r="AA76" s="19">
        <f t="shared" si="14"/>
        <v>0</v>
      </c>
      <c r="AB76" s="29">
        <f t="shared" si="15"/>
        <v>1393.852282277318</v>
      </c>
      <c r="AC76" s="29">
        <f t="shared" si="8"/>
        <v>0</v>
      </c>
      <c r="AD76" s="29">
        <f t="shared" si="9"/>
        <v>0</v>
      </c>
      <c r="AE76" s="28">
        <v>20</v>
      </c>
      <c r="AF76" s="46">
        <v>460</v>
      </c>
      <c r="AG76" s="28">
        <v>210000</v>
      </c>
      <c r="AH76" s="29">
        <v>4878.4829879706131</v>
      </c>
      <c r="AI76" s="29">
        <v>0</v>
      </c>
      <c r="AJ76" s="30">
        <v>0</v>
      </c>
      <c r="AK76" s="57">
        <f t="shared" si="10"/>
        <v>4.09506697331617</v>
      </c>
      <c r="AL76" s="57">
        <f t="shared" si="11"/>
        <v>1</v>
      </c>
      <c r="AM76" s="60"/>
      <c r="AN76" s="57">
        <v>0.94914779479631584</v>
      </c>
      <c r="AO76" s="57"/>
      <c r="AP76" s="57"/>
    </row>
    <row r="77" spans="1:49" ht="21" x14ac:dyDescent="0.35">
      <c r="A77" s="28">
        <v>170</v>
      </c>
      <c r="B77" s="66" t="s">
        <v>168</v>
      </c>
      <c r="C77" s="118">
        <v>200</v>
      </c>
      <c r="D77" s="76">
        <v>200</v>
      </c>
      <c r="E77" s="118">
        <v>500</v>
      </c>
      <c r="F77" s="118">
        <v>16</v>
      </c>
      <c r="G77" s="78">
        <v>16</v>
      </c>
      <c r="H77" s="118">
        <v>10.199999999999999</v>
      </c>
      <c r="I77" s="76">
        <v>21</v>
      </c>
      <c r="J77" s="76">
        <v>21</v>
      </c>
      <c r="K77" s="76">
        <v>6825.1116221936163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2"/>
        <v>1</v>
      </c>
      <c r="Z77" s="19">
        <f t="shared" si="13"/>
        <v>0</v>
      </c>
      <c r="AA77" s="19">
        <f t="shared" si="14"/>
        <v>0</v>
      </c>
      <c r="AB77" s="29">
        <f t="shared" si="15"/>
        <v>1237.9578585245313</v>
      </c>
      <c r="AC77" s="29">
        <f t="shared" si="8"/>
        <v>0</v>
      </c>
      <c r="AD77" s="29">
        <f t="shared" si="9"/>
        <v>0</v>
      </c>
      <c r="AE77" s="28">
        <v>20</v>
      </c>
      <c r="AF77" s="46">
        <v>460</v>
      </c>
      <c r="AG77" s="28">
        <v>210000</v>
      </c>
      <c r="AH77" s="29">
        <v>4332.8525048358597</v>
      </c>
      <c r="AI77" s="29">
        <v>0</v>
      </c>
      <c r="AJ77" s="30">
        <v>0</v>
      </c>
      <c r="AK77" s="57">
        <f t="shared" si="10"/>
        <v>6.8251116221936163</v>
      </c>
      <c r="AL77" s="57">
        <f t="shared" si="11"/>
        <v>1</v>
      </c>
      <c r="AM77" s="60"/>
      <c r="AN77" s="57">
        <v>0.84299103026152089</v>
      </c>
      <c r="AO77" s="57"/>
      <c r="AP77" s="57"/>
    </row>
    <row r="78" spans="1:49" ht="21" x14ac:dyDescent="0.35">
      <c r="A78" s="28">
        <v>171</v>
      </c>
      <c r="B78" s="66" t="s">
        <v>169</v>
      </c>
      <c r="C78" s="118">
        <v>200</v>
      </c>
      <c r="D78" s="76">
        <v>200</v>
      </c>
      <c r="E78" s="118">
        <v>500</v>
      </c>
      <c r="F78" s="118">
        <v>16</v>
      </c>
      <c r="G78" s="78">
        <v>16</v>
      </c>
      <c r="H78" s="118">
        <v>10.199999999999999</v>
      </c>
      <c r="I78" s="76">
        <v>21</v>
      </c>
      <c r="J78" s="76">
        <v>21</v>
      </c>
      <c r="K78" s="76">
        <v>10237.667433290424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2"/>
        <v>1</v>
      </c>
      <c r="Z78" s="19">
        <f t="shared" si="13"/>
        <v>0</v>
      </c>
      <c r="AA78" s="19">
        <f t="shared" si="14"/>
        <v>0</v>
      </c>
      <c r="AB78" s="29">
        <f t="shared" si="15"/>
        <v>1018.4788312112033</v>
      </c>
      <c r="AC78" s="29">
        <f t="shared" si="8"/>
        <v>0</v>
      </c>
      <c r="AD78" s="29">
        <f t="shared" si="9"/>
        <v>0</v>
      </c>
      <c r="AE78" s="28">
        <v>20</v>
      </c>
      <c r="AF78" s="46">
        <v>460</v>
      </c>
      <c r="AG78" s="28">
        <v>210000</v>
      </c>
      <c r="AH78" s="29">
        <v>3564.6759092392117</v>
      </c>
      <c r="AI78" s="29">
        <v>0</v>
      </c>
      <c r="AJ78" s="30">
        <v>0</v>
      </c>
      <c r="AK78" s="57">
        <f t="shared" si="10"/>
        <v>10.237667433290424</v>
      </c>
      <c r="AL78" s="57">
        <f t="shared" si="11"/>
        <v>1</v>
      </c>
      <c r="AM78" s="60"/>
      <c r="AN78" s="57">
        <v>0.69353614366612826</v>
      </c>
      <c r="AO78" s="57"/>
      <c r="AP78" s="57"/>
    </row>
    <row r="79" spans="1:49" ht="21" x14ac:dyDescent="0.35">
      <c r="A79" s="28">
        <v>172</v>
      </c>
      <c r="B79" s="66" t="s">
        <v>170</v>
      </c>
      <c r="C79" s="118">
        <v>200</v>
      </c>
      <c r="D79" s="76">
        <v>200</v>
      </c>
      <c r="E79" s="118">
        <v>500</v>
      </c>
      <c r="F79" s="118">
        <v>16</v>
      </c>
      <c r="G79" s="78">
        <v>16</v>
      </c>
      <c r="H79" s="118">
        <v>10.199999999999999</v>
      </c>
      <c r="I79" s="76">
        <v>21</v>
      </c>
      <c r="J79" s="76">
        <v>21</v>
      </c>
      <c r="K79" s="76">
        <v>13650.223244387233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2"/>
        <v>1</v>
      </c>
      <c r="Z79" s="19">
        <f t="shared" si="13"/>
        <v>0</v>
      </c>
      <c r="AA79" s="19">
        <f t="shared" si="14"/>
        <v>0</v>
      </c>
      <c r="AB79" s="29">
        <f t="shared" si="15"/>
        <v>792.91681391731993</v>
      </c>
      <c r="AC79" s="29">
        <f t="shared" si="8"/>
        <v>0</v>
      </c>
      <c r="AD79" s="29">
        <f t="shared" si="9"/>
        <v>0</v>
      </c>
      <c r="AE79" s="28">
        <v>20</v>
      </c>
      <c r="AF79" s="46">
        <v>460</v>
      </c>
      <c r="AG79" s="28">
        <v>210000</v>
      </c>
      <c r="AH79" s="29">
        <v>2775.2088487106198</v>
      </c>
      <c r="AI79" s="29">
        <v>0</v>
      </c>
      <c r="AJ79" s="30">
        <v>0</v>
      </c>
      <c r="AK79" s="57">
        <f t="shared" si="10"/>
        <v>13.650223244387233</v>
      </c>
      <c r="AL79" s="57">
        <f t="shared" si="11"/>
        <v>1</v>
      </c>
      <c r="AM79" s="60"/>
      <c r="AN79" s="57">
        <v>0.53993902722384046</v>
      </c>
      <c r="AO79" s="57"/>
      <c r="AP79" s="57"/>
    </row>
    <row r="80" spans="1:49" ht="21" x14ac:dyDescent="0.35">
      <c r="A80" s="28">
        <v>173</v>
      </c>
      <c r="B80" s="66" t="s">
        <v>171</v>
      </c>
      <c r="C80" s="118">
        <v>200</v>
      </c>
      <c r="D80" s="76">
        <v>200</v>
      </c>
      <c r="E80" s="118">
        <v>500</v>
      </c>
      <c r="F80" s="118">
        <v>16</v>
      </c>
      <c r="G80" s="78">
        <v>16</v>
      </c>
      <c r="H80" s="118">
        <v>10.199999999999999</v>
      </c>
      <c r="I80" s="76">
        <v>21</v>
      </c>
      <c r="J80" s="76">
        <v>21</v>
      </c>
      <c r="K80" s="76">
        <v>18154.796915035022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2"/>
        <v>1</v>
      </c>
      <c r="Z80" s="19">
        <f t="shared" si="13"/>
        <v>0</v>
      </c>
      <c r="AA80" s="19">
        <f t="shared" si="14"/>
        <v>0</v>
      </c>
      <c r="AB80" s="29">
        <f t="shared" si="15"/>
        <v>552.74427748630546</v>
      </c>
      <c r="AC80" s="29">
        <f t="shared" si="8"/>
        <v>0</v>
      </c>
      <c r="AD80" s="29">
        <f t="shared" si="9"/>
        <v>0</v>
      </c>
      <c r="AE80" s="28">
        <v>20</v>
      </c>
      <c r="AF80" s="46">
        <v>460</v>
      </c>
      <c r="AG80" s="28">
        <v>210000</v>
      </c>
      <c r="AH80" s="29">
        <v>1934.604971202069</v>
      </c>
      <c r="AI80" s="29">
        <v>0</v>
      </c>
      <c r="AJ80" s="30">
        <v>0</v>
      </c>
      <c r="AK80" s="57">
        <f t="shared" si="10"/>
        <v>18.154796915035021</v>
      </c>
      <c r="AL80" s="57">
        <f t="shared" si="11"/>
        <v>1</v>
      </c>
      <c r="AM80" s="60"/>
      <c r="AN80" s="57">
        <v>0.37639283497476755</v>
      </c>
      <c r="AO80" s="57"/>
      <c r="AP80" s="57"/>
    </row>
    <row r="81" spans="1:42" ht="21" x14ac:dyDescent="0.35">
      <c r="A81" s="28">
        <v>174</v>
      </c>
      <c r="B81" s="66" t="s">
        <v>172</v>
      </c>
      <c r="C81" s="118">
        <v>200</v>
      </c>
      <c r="D81" s="76">
        <v>200</v>
      </c>
      <c r="E81" s="118">
        <v>500</v>
      </c>
      <c r="F81" s="118">
        <v>16</v>
      </c>
      <c r="G81" s="78">
        <v>16</v>
      </c>
      <c r="H81" s="118">
        <v>10.199999999999999</v>
      </c>
      <c r="I81" s="76">
        <v>21</v>
      </c>
      <c r="J81" s="76">
        <v>21</v>
      </c>
      <c r="K81" s="76">
        <v>22795.872818126678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2"/>
        <v>1</v>
      </c>
      <c r="Z81" s="19">
        <f t="shared" si="13"/>
        <v>0</v>
      </c>
      <c r="AA81" s="19">
        <f t="shared" si="14"/>
        <v>0</v>
      </c>
      <c r="AB81" s="29">
        <f t="shared" si="15"/>
        <v>389.60274684317511</v>
      </c>
      <c r="AC81" s="29">
        <f t="shared" si="8"/>
        <v>0</v>
      </c>
      <c r="AD81" s="29">
        <f t="shared" si="9"/>
        <v>0</v>
      </c>
      <c r="AE81" s="28">
        <v>20</v>
      </c>
      <c r="AF81" s="46">
        <v>460</v>
      </c>
      <c r="AG81" s="28">
        <v>210000</v>
      </c>
      <c r="AH81" s="29">
        <v>1363.6096139511128</v>
      </c>
      <c r="AI81" s="29">
        <v>0</v>
      </c>
      <c r="AJ81" s="30">
        <v>0</v>
      </c>
      <c r="AK81" s="57">
        <f t="shared" si="10"/>
        <v>22.795872818126679</v>
      </c>
      <c r="AL81" s="57">
        <f t="shared" si="11"/>
        <v>1</v>
      </c>
      <c r="AM81" s="60"/>
      <c r="AN81" s="57">
        <v>0.26530113177316889</v>
      </c>
      <c r="AO81" s="57"/>
      <c r="AP81" s="57"/>
    </row>
    <row r="82" spans="1:42" ht="21" x14ac:dyDescent="0.35">
      <c r="A82" s="28">
        <v>175</v>
      </c>
      <c r="B82" s="66" t="s">
        <v>173</v>
      </c>
      <c r="C82" s="118">
        <v>200</v>
      </c>
      <c r="D82" s="76">
        <v>200</v>
      </c>
      <c r="E82" s="118">
        <v>500</v>
      </c>
      <c r="F82" s="118">
        <v>16</v>
      </c>
      <c r="G82" s="78">
        <v>16</v>
      </c>
      <c r="H82" s="118">
        <v>10.199999999999999</v>
      </c>
      <c r="I82" s="76">
        <v>21</v>
      </c>
      <c r="J82" s="76">
        <v>21</v>
      </c>
      <c r="K82" s="76">
        <v>27300.446488774465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2"/>
        <v>1</v>
      </c>
      <c r="Z82" s="19">
        <f t="shared" si="13"/>
        <v>0</v>
      </c>
      <c r="AA82" s="19">
        <f t="shared" si="14"/>
        <v>0</v>
      </c>
      <c r="AB82" s="29">
        <f t="shared" si="15"/>
        <v>288.10158691308118</v>
      </c>
      <c r="AC82" s="29">
        <f t="shared" si="8"/>
        <v>0</v>
      </c>
      <c r="AD82" s="29">
        <f t="shared" si="9"/>
        <v>0</v>
      </c>
      <c r="AE82" s="28">
        <v>20</v>
      </c>
      <c r="AF82" s="46">
        <v>460</v>
      </c>
      <c r="AG82" s="28">
        <v>210000</v>
      </c>
      <c r="AH82" s="29">
        <v>1008.3555541957841</v>
      </c>
      <c r="AI82" s="29">
        <v>0</v>
      </c>
      <c r="AJ82" s="30">
        <v>0</v>
      </c>
      <c r="AK82" s="57">
        <f t="shared" si="10"/>
        <v>27.300446488774465</v>
      </c>
      <c r="AL82" s="57">
        <f t="shared" si="11"/>
        <v>1</v>
      </c>
      <c r="AM82" s="60"/>
      <c r="AN82" s="57">
        <v>0.19618361957918354</v>
      </c>
      <c r="AO82" s="57"/>
      <c r="AP82" s="57"/>
    </row>
    <row r="83" spans="1:42" ht="21" x14ac:dyDescent="0.35">
      <c r="A83" s="28">
        <v>176</v>
      </c>
      <c r="B83" s="66" t="s">
        <v>174</v>
      </c>
      <c r="C83" s="118">
        <v>200</v>
      </c>
      <c r="D83" s="76">
        <v>200</v>
      </c>
      <c r="E83" s="118">
        <v>500</v>
      </c>
      <c r="F83" s="118">
        <v>16</v>
      </c>
      <c r="G83" s="78">
        <v>16</v>
      </c>
      <c r="H83" s="118">
        <v>10.199999999999999</v>
      </c>
      <c r="I83" s="76">
        <v>21</v>
      </c>
      <c r="J83" s="76">
        <v>21</v>
      </c>
      <c r="K83" s="76">
        <v>34125.558110968079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2"/>
        <v>1</v>
      </c>
      <c r="Z83" s="19">
        <f t="shared" si="13"/>
        <v>0</v>
      </c>
      <c r="AA83" s="19">
        <f t="shared" si="14"/>
        <v>0</v>
      </c>
      <c r="AB83" s="29">
        <f t="shared" si="15"/>
        <v>194.53089549649312</v>
      </c>
      <c r="AC83" s="29">
        <f t="shared" si="8"/>
        <v>0</v>
      </c>
      <c r="AD83" s="29">
        <f t="shared" si="9"/>
        <v>0</v>
      </c>
      <c r="AE83" s="28">
        <v>20</v>
      </c>
      <c r="AF83" s="46">
        <v>460</v>
      </c>
      <c r="AG83" s="28">
        <v>210000</v>
      </c>
      <c r="AH83" s="29">
        <v>680.85813423772595</v>
      </c>
      <c r="AI83" s="29">
        <v>0</v>
      </c>
      <c r="AJ83" s="30">
        <v>0</v>
      </c>
      <c r="AK83" s="57">
        <f t="shared" si="10"/>
        <v>34.125558110968079</v>
      </c>
      <c r="AL83" s="57">
        <f t="shared" si="11"/>
        <v>1</v>
      </c>
      <c r="AM83" s="60"/>
      <c r="AN83" s="57">
        <v>0.13246638315114781</v>
      </c>
      <c r="AO83" s="57"/>
      <c r="AP83" s="57"/>
    </row>
    <row r="84" spans="1:42" ht="21" x14ac:dyDescent="0.35">
      <c r="A84" s="28">
        <v>177</v>
      </c>
      <c r="B84" s="66" t="s">
        <v>175</v>
      </c>
      <c r="C84" s="118">
        <v>210</v>
      </c>
      <c r="D84" s="76">
        <v>210</v>
      </c>
      <c r="E84" s="118">
        <v>550</v>
      </c>
      <c r="F84" s="118">
        <v>17.2</v>
      </c>
      <c r="G84" s="78">
        <v>17.2</v>
      </c>
      <c r="H84" s="118">
        <v>11.1</v>
      </c>
      <c r="I84" s="76">
        <v>24</v>
      </c>
      <c r="J84" s="76">
        <v>24</v>
      </c>
      <c r="K84" s="76">
        <v>4475.9438292966197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2"/>
        <v>1</v>
      </c>
      <c r="Z84" s="19">
        <f t="shared" si="13"/>
        <v>0</v>
      </c>
      <c r="AA84" s="19">
        <f t="shared" si="14"/>
        <v>0</v>
      </c>
      <c r="AB84" s="29">
        <f t="shared" si="15"/>
        <v>1615.0952705492946</v>
      </c>
      <c r="AC84" s="29">
        <f t="shared" si="8"/>
        <v>0</v>
      </c>
      <c r="AD84" s="29">
        <f t="shared" si="9"/>
        <v>0</v>
      </c>
      <c r="AE84" s="28">
        <v>20</v>
      </c>
      <c r="AF84" s="46">
        <v>460</v>
      </c>
      <c r="AG84" s="28">
        <v>210000</v>
      </c>
      <c r="AH84" s="29">
        <v>5652.833446922531</v>
      </c>
      <c r="AI84" s="29">
        <v>0</v>
      </c>
      <c r="AJ84" s="30">
        <v>0</v>
      </c>
      <c r="AK84" s="57">
        <f t="shared" si="10"/>
        <v>4.4759438292966198</v>
      </c>
      <c r="AL84" s="57">
        <f t="shared" si="11"/>
        <v>1.05</v>
      </c>
      <c r="AM84" s="60"/>
      <c r="AN84" s="57">
        <v>0.94914779479631584</v>
      </c>
      <c r="AO84" s="57"/>
      <c r="AP84" s="57"/>
    </row>
    <row r="85" spans="1:42" ht="21" x14ac:dyDescent="0.35">
      <c r="A85" s="28">
        <v>178</v>
      </c>
      <c r="B85" s="66" t="s">
        <v>176</v>
      </c>
      <c r="C85" s="118">
        <v>210</v>
      </c>
      <c r="D85" s="76">
        <v>210</v>
      </c>
      <c r="E85" s="118">
        <v>550</v>
      </c>
      <c r="F85" s="118">
        <v>17.2</v>
      </c>
      <c r="G85" s="78">
        <v>17.2</v>
      </c>
      <c r="H85" s="118">
        <v>11.1</v>
      </c>
      <c r="I85" s="76">
        <v>24</v>
      </c>
      <c r="J85" s="76">
        <v>24</v>
      </c>
      <c r="K85" s="76">
        <v>7459.9063821610325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2"/>
        <v>1</v>
      </c>
      <c r="Z85" s="19">
        <f t="shared" si="13"/>
        <v>0</v>
      </c>
      <c r="AA85" s="19">
        <f t="shared" si="14"/>
        <v>0</v>
      </c>
      <c r="AB85" s="29">
        <f t="shared" si="15"/>
        <v>1434.4560810816995</v>
      </c>
      <c r="AC85" s="29">
        <f t="shared" si="8"/>
        <v>0</v>
      </c>
      <c r="AD85" s="29">
        <f t="shared" si="9"/>
        <v>0</v>
      </c>
      <c r="AE85" s="28">
        <v>20</v>
      </c>
      <c r="AF85" s="46">
        <v>460</v>
      </c>
      <c r="AG85" s="28">
        <v>210000</v>
      </c>
      <c r="AH85" s="29">
        <v>5020.5962837859479</v>
      </c>
      <c r="AI85" s="29">
        <v>0</v>
      </c>
      <c r="AJ85" s="30">
        <v>0</v>
      </c>
      <c r="AK85" s="57">
        <f t="shared" si="10"/>
        <v>7.4599063821610327</v>
      </c>
      <c r="AL85" s="57">
        <f t="shared" si="11"/>
        <v>1.05</v>
      </c>
      <c r="AM85" s="60"/>
      <c r="AN85" s="57">
        <v>0.84299103026152111</v>
      </c>
      <c r="AO85" s="57"/>
      <c r="AP85" s="57"/>
    </row>
    <row r="86" spans="1:42" ht="21" x14ac:dyDescent="0.35">
      <c r="A86" s="28">
        <v>179</v>
      </c>
      <c r="B86" s="66" t="s">
        <v>177</v>
      </c>
      <c r="C86" s="118">
        <v>210</v>
      </c>
      <c r="D86" s="76">
        <v>210</v>
      </c>
      <c r="E86" s="118">
        <v>550</v>
      </c>
      <c r="F86" s="118">
        <v>17.2</v>
      </c>
      <c r="G86" s="78">
        <v>17.2</v>
      </c>
      <c r="H86" s="118">
        <v>11.1</v>
      </c>
      <c r="I86" s="76">
        <v>24</v>
      </c>
      <c r="J86" s="76">
        <v>24</v>
      </c>
      <c r="K86" s="76">
        <v>11189.859573241549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2"/>
        <v>1</v>
      </c>
      <c r="Z86" s="19">
        <f t="shared" si="13"/>
        <v>0</v>
      </c>
      <c r="AA86" s="19">
        <f t="shared" si="14"/>
        <v>0</v>
      </c>
      <c r="AB86" s="29">
        <f t="shared" si="15"/>
        <v>1180.1396492002973</v>
      </c>
      <c r="AC86" s="29">
        <f t="shared" si="8"/>
        <v>0</v>
      </c>
      <c r="AD86" s="29">
        <f t="shared" si="9"/>
        <v>0</v>
      </c>
      <c r="AE86" s="28">
        <v>20</v>
      </c>
      <c r="AF86" s="46">
        <v>460</v>
      </c>
      <c r="AG86" s="28">
        <v>210000</v>
      </c>
      <c r="AH86" s="29">
        <v>4130.4887722010408</v>
      </c>
      <c r="AI86" s="29">
        <v>0</v>
      </c>
      <c r="AJ86" s="30">
        <v>0</v>
      </c>
      <c r="AK86" s="57">
        <f t="shared" si="10"/>
        <v>11.189859573241549</v>
      </c>
      <c r="AL86" s="57">
        <f t="shared" si="11"/>
        <v>1.05</v>
      </c>
      <c r="AM86" s="60"/>
      <c r="AN86" s="57">
        <v>0.69353614366612837</v>
      </c>
      <c r="AO86" s="57"/>
      <c r="AP86" s="57"/>
    </row>
    <row r="87" spans="1:42" ht="21" x14ac:dyDescent="0.35">
      <c r="A87" s="28">
        <v>180</v>
      </c>
      <c r="B87" s="66" t="s">
        <v>178</v>
      </c>
      <c r="C87" s="118">
        <v>210</v>
      </c>
      <c r="D87" s="76">
        <v>210</v>
      </c>
      <c r="E87" s="118">
        <v>550</v>
      </c>
      <c r="F87" s="118">
        <v>17.2</v>
      </c>
      <c r="G87" s="78">
        <v>17.2</v>
      </c>
      <c r="H87" s="118">
        <v>11.1</v>
      </c>
      <c r="I87" s="76">
        <v>24</v>
      </c>
      <c r="J87" s="76">
        <v>24</v>
      </c>
      <c r="K87" s="76">
        <v>14919.812764322065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2"/>
        <v>1</v>
      </c>
      <c r="Z87" s="19">
        <f t="shared" si="13"/>
        <v>0</v>
      </c>
      <c r="AA87" s="19">
        <f t="shared" si="14"/>
        <v>0</v>
      </c>
      <c r="AB87" s="29">
        <f t="shared" si="15"/>
        <v>918.7746882363582</v>
      </c>
      <c r="AC87" s="29">
        <f t="shared" si="8"/>
        <v>0</v>
      </c>
      <c r="AD87" s="29">
        <f t="shared" si="9"/>
        <v>0</v>
      </c>
      <c r="AE87" s="28">
        <v>20</v>
      </c>
      <c r="AF87" s="46">
        <v>460</v>
      </c>
      <c r="AG87" s="28">
        <v>210000</v>
      </c>
      <c r="AH87" s="29">
        <v>3215.7114088272538</v>
      </c>
      <c r="AI87" s="29">
        <v>0</v>
      </c>
      <c r="AJ87" s="30">
        <v>0</v>
      </c>
      <c r="AK87" s="57">
        <f t="shared" si="10"/>
        <v>14.919812764322065</v>
      </c>
      <c r="AL87" s="57">
        <f t="shared" si="11"/>
        <v>1.05</v>
      </c>
      <c r="AM87" s="60"/>
      <c r="AN87" s="57">
        <v>0.53993902722384068</v>
      </c>
      <c r="AO87" s="57"/>
      <c r="AP87" s="57"/>
    </row>
    <row r="88" spans="1:42" ht="21" x14ac:dyDescent="0.35">
      <c r="A88" s="28">
        <v>181</v>
      </c>
      <c r="B88" s="66" t="s">
        <v>179</v>
      </c>
      <c r="C88" s="118">
        <v>210</v>
      </c>
      <c r="D88" s="76">
        <v>210</v>
      </c>
      <c r="E88" s="118">
        <v>550</v>
      </c>
      <c r="F88" s="118">
        <v>17.2</v>
      </c>
      <c r="G88" s="78">
        <v>17.2</v>
      </c>
      <c r="H88" s="118">
        <v>11.1</v>
      </c>
      <c r="I88" s="76">
        <v>24</v>
      </c>
      <c r="J88" s="76">
        <v>24</v>
      </c>
      <c r="K88" s="76">
        <v>19843.350976548347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2"/>
        <v>1</v>
      </c>
      <c r="Z88" s="19">
        <f t="shared" si="13"/>
        <v>0</v>
      </c>
      <c r="AA88" s="19">
        <f t="shared" si="14"/>
        <v>0</v>
      </c>
      <c r="AB88" s="29">
        <f t="shared" si="15"/>
        <v>640.4801138128804</v>
      </c>
      <c r="AC88" s="29">
        <f t="shared" si="8"/>
        <v>0</v>
      </c>
      <c r="AD88" s="29">
        <f t="shared" si="9"/>
        <v>0</v>
      </c>
      <c r="AE88" s="28">
        <v>20</v>
      </c>
      <c r="AF88" s="46">
        <v>460</v>
      </c>
      <c r="AG88" s="28">
        <v>210000</v>
      </c>
      <c r="AH88" s="29">
        <v>2241.6803983450814</v>
      </c>
      <c r="AI88" s="29">
        <v>0</v>
      </c>
      <c r="AJ88" s="30">
        <v>0</v>
      </c>
      <c r="AK88" s="57">
        <f t="shared" si="10"/>
        <v>19.843350976548347</v>
      </c>
      <c r="AL88" s="57">
        <f t="shared" si="11"/>
        <v>1.05</v>
      </c>
      <c r="AM88" s="60"/>
      <c r="AN88" s="57">
        <v>0.37639283497476783</v>
      </c>
      <c r="AO88" s="57"/>
      <c r="AP88" s="57"/>
    </row>
    <row r="89" spans="1:42" ht="21" x14ac:dyDescent="0.35">
      <c r="A89" s="28">
        <v>182</v>
      </c>
      <c r="B89" s="66" t="s">
        <v>180</v>
      </c>
      <c r="C89" s="118">
        <v>210</v>
      </c>
      <c r="D89" s="76">
        <v>210</v>
      </c>
      <c r="E89" s="118">
        <v>550</v>
      </c>
      <c r="F89" s="118">
        <v>17.2</v>
      </c>
      <c r="G89" s="78">
        <v>17.2</v>
      </c>
      <c r="H89" s="118">
        <v>11.1</v>
      </c>
      <c r="I89" s="76">
        <v>24</v>
      </c>
      <c r="J89" s="76">
        <v>24</v>
      </c>
      <c r="K89" s="76">
        <v>24916.087316417848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2"/>
        <v>1</v>
      </c>
      <c r="Z89" s="19">
        <f t="shared" si="13"/>
        <v>0</v>
      </c>
      <c r="AA89" s="19">
        <f t="shared" si="14"/>
        <v>0</v>
      </c>
      <c r="AB89" s="29">
        <f t="shared" si="15"/>
        <v>451.44350073549134</v>
      </c>
      <c r="AC89" s="29">
        <f t="shared" si="8"/>
        <v>0</v>
      </c>
      <c r="AD89" s="29">
        <f t="shared" si="9"/>
        <v>0</v>
      </c>
      <c r="AE89" s="28">
        <v>20</v>
      </c>
      <c r="AF89" s="46">
        <v>460</v>
      </c>
      <c r="AG89" s="28">
        <v>210000</v>
      </c>
      <c r="AH89" s="29">
        <v>1580.0522525742197</v>
      </c>
      <c r="AI89" s="29">
        <v>0</v>
      </c>
      <c r="AJ89" s="30">
        <v>0</v>
      </c>
      <c r="AK89" s="57">
        <f t="shared" si="10"/>
        <v>24.916087316417848</v>
      </c>
      <c r="AL89" s="57">
        <f t="shared" si="11"/>
        <v>1.05</v>
      </c>
      <c r="AM89" s="60"/>
      <c r="AN89" s="57">
        <v>0.26530113177316905</v>
      </c>
      <c r="AO89" s="57"/>
      <c r="AP89" s="57"/>
    </row>
    <row r="90" spans="1:42" ht="21" x14ac:dyDescent="0.35">
      <c r="A90" s="28">
        <v>183</v>
      </c>
      <c r="B90" s="66" t="s">
        <v>181</v>
      </c>
      <c r="C90" s="118">
        <v>210</v>
      </c>
      <c r="D90" s="76">
        <v>210</v>
      </c>
      <c r="E90" s="118">
        <v>550</v>
      </c>
      <c r="F90" s="118">
        <v>17.2</v>
      </c>
      <c r="G90" s="78">
        <v>17.2</v>
      </c>
      <c r="H90" s="118">
        <v>11.1</v>
      </c>
      <c r="I90" s="76">
        <v>24</v>
      </c>
      <c r="J90" s="76">
        <v>24</v>
      </c>
      <c r="K90" s="76">
        <v>29839.62552864413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2"/>
        <v>1</v>
      </c>
      <c r="Z90" s="19">
        <f t="shared" si="13"/>
        <v>0</v>
      </c>
      <c r="AA90" s="19">
        <f t="shared" si="14"/>
        <v>0</v>
      </c>
      <c r="AB90" s="29">
        <f t="shared" si="15"/>
        <v>333.83129358645112</v>
      </c>
      <c r="AC90" s="29">
        <f t="shared" si="8"/>
        <v>0</v>
      </c>
      <c r="AD90" s="29">
        <f t="shared" si="9"/>
        <v>0</v>
      </c>
      <c r="AE90" s="28">
        <v>20</v>
      </c>
      <c r="AF90" s="46">
        <v>460</v>
      </c>
      <c r="AG90" s="28">
        <v>210000</v>
      </c>
      <c r="AH90" s="29">
        <v>1168.409527552579</v>
      </c>
      <c r="AI90" s="29">
        <v>0</v>
      </c>
      <c r="AJ90" s="30">
        <v>0</v>
      </c>
      <c r="AK90" s="57">
        <f t="shared" si="10"/>
        <v>29.839625528644131</v>
      </c>
      <c r="AL90" s="57">
        <f t="shared" si="11"/>
        <v>1.05</v>
      </c>
      <c r="AM90" s="60"/>
      <c r="AN90" s="57">
        <v>0.1961836195791837</v>
      </c>
      <c r="AO90" s="57"/>
      <c r="AP90" s="57"/>
    </row>
    <row r="91" spans="1:42" ht="21" x14ac:dyDescent="0.35">
      <c r="A91" s="28">
        <v>184</v>
      </c>
      <c r="B91" s="66" t="s">
        <v>182</v>
      </c>
      <c r="C91" s="118">
        <v>210</v>
      </c>
      <c r="D91" s="76">
        <v>210</v>
      </c>
      <c r="E91" s="118">
        <v>550</v>
      </c>
      <c r="F91" s="118">
        <v>17.2</v>
      </c>
      <c r="G91" s="78">
        <v>17.2</v>
      </c>
      <c r="H91" s="118">
        <v>11.1</v>
      </c>
      <c r="I91" s="76">
        <v>24</v>
      </c>
      <c r="J91" s="76">
        <v>24</v>
      </c>
      <c r="K91" s="76">
        <v>37299.531910805163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2"/>
        <v>1</v>
      </c>
      <c r="Z91" s="19">
        <f t="shared" si="13"/>
        <v>0</v>
      </c>
      <c r="AA91" s="19">
        <f t="shared" si="14"/>
        <v>0</v>
      </c>
      <c r="AB91" s="29">
        <f t="shared" si="15"/>
        <v>225.40834009955395</v>
      </c>
      <c r="AC91" s="29">
        <f t="shared" si="8"/>
        <v>0</v>
      </c>
      <c r="AD91" s="29">
        <f t="shared" si="9"/>
        <v>0</v>
      </c>
      <c r="AE91" s="28">
        <v>20</v>
      </c>
      <c r="AF91" s="46">
        <v>460</v>
      </c>
      <c r="AG91" s="28">
        <v>210000</v>
      </c>
      <c r="AH91" s="29">
        <v>788.92919034843885</v>
      </c>
      <c r="AI91" s="29">
        <v>0</v>
      </c>
      <c r="AJ91" s="30">
        <v>0</v>
      </c>
      <c r="AK91" s="57">
        <f t="shared" si="10"/>
        <v>37.299531910805165</v>
      </c>
      <c r="AL91" s="57">
        <f t="shared" si="11"/>
        <v>1.05</v>
      </c>
      <c r="AM91" s="60"/>
      <c r="AN91" s="57">
        <v>0.13246638315114781</v>
      </c>
      <c r="AO91" s="57"/>
      <c r="AP91" s="57"/>
    </row>
    <row r="92" spans="1:42" ht="21" x14ac:dyDescent="0.35">
      <c r="A92" s="28">
        <v>185</v>
      </c>
      <c r="B92" s="66" t="s">
        <v>183</v>
      </c>
      <c r="C92" s="118">
        <v>220</v>
      </c>
      <c r="D92" s="76">
        <v>220</v>
      </c>
      <c r="E92" s="118">
        <v>600</v>
      </c>
      <c r="F92" s="118">
        <v>19</v>
      </c>
      <c r="G92" s="78">
        <v>19</v>
      </c>
      <c r="H92" s="118">
        <v>12</v>
      </c>
      <c r="I92" s="76">
        <v>24</v>
      </c>
      <c r="J92" s="76">
        <v>24</v>
      </c>
      <c r="K92" s="76">
        <v>4869.6723101918851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2"/>
        <v>1</v>
      </c>
      <c r="Z92" s="19">
        <f t="shared" si="13"/>
        <v>0</v>
      </c>
      <c r="AA92" s="19">
        <f t="shared" si="14"/>
        <v>0</v>
      </c>
      <c r="AB92" s="29">
        <f t="shared" si="15"/>
        <v>1890.0080323817044</v>
      </c>
      <c r="AC92" s="29">
        <f t="shared" si="8"/>
        <v>0</v>
      </c>
      <c r="AD92" s="29">
        <f t="shared" si="9"/>
        <v>0</v>
      </c>
      <c r="AE92" s="28">
        <v>20</v>
      </c>
      <c r="AF92" s="46">
        <v>460</v>
      </c>
      <c r="AG92" s="28">
        <v>210000</v>
      </c>
      <c r="AH92" s="29">
        <v>6615.0281133359658</v>
      </c>
      <c r="AI92" s="29">
        <v>0</v>
      </c>
      <c r="AJ92" s="30">
        <v>0</v>
      </c>
      <c r="AK92" s="57">
        <f t="shared" si="10"/>
        <v>4.8696723101918851</v>
      </c>
      <c r="AL92" s="57">
        <f t="shared" si="11"/>
        <v>1.1000000000000001</v>
      </c>
      <c r="AM92" s="60"/>
      <c r="AN92" s="57">
        <v>0.95209851023281566</v>
      </c>
      <c r="AO92" s="57"/>
      <c r="AP92" s="57"/>
    </row>
    <row r="93" spans="1:42" ht="21" x14ac:dyDescent="0.35">
      <c r="A93" s="28">
        <v>186</v>
      </c>
      <c r="B93" s="66" t="s">
        <v>184</v>
      </c>
      <c r="C93" s="118">
        <v>220</v>
      </c>
      <c r="D93" s="76">
        <v>220</v>
      </c>
      <c r="E93" s="118">
        <v>600</v>
      </c>
      <c r="F93" s="118">
        <v>19</v>
      </c>
      <c r="G93" s="78">
        <v>19</v>
      </c>
      <c r="H93" s="118">
        <v>12</v>
      </c>
      <c r="I93" s="76">
        <v>24</v>
      </c>
      <c r="J93" s="76">
        <v>24</v>
      </c>
      <c r="K93" s="76">
        <v>8116.1205169864752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2"/>
        <v>1</v>
      </c>
      <c r="Z93" s="19">
        <f t="shared" si="13"/>
        <v>0</v>
      </c>
      <c r="AA93" s="19">
        <f t="shared" si="14"/>
        <v>0</v>
      </c>
      <c r="AB93" s="29">
        <f t="shared" si="15"/>
        <v>1684.0907396156838</v>
      </c>
      <c r="AC93" s="29">
        <f t="shared" si="8"/>
        <v>0</v>
      </c>
      <c r="AD93" s="29">
        <f t="shared" si="9"/>
        <v>0</v>
      </c>
      <c r="AE93" s="28">
        <v>20</v>
      </c>
      <c r="AF93" s="46">
        <v>460</v>
      </c>
      <c r="AG93" s="28">
        <v>210000</v>
      </c>
      <c r="AH93" s="29">
        <v>5894.3175886548934</v>
      </c>
      <c r="AI93" s="29">
        <v>0</v>
      </c>
      <c r="AJ93" s="30">
        <v>0</v>
      </c>
      <c r="AK93" s="57">
        <f t="shared" si="10"/>
        <v>8.1161205169864754</v>
      </c>
      <c r="AL93" s="57">
        <f t="shared" si="11"/>
        <v>1.1000000000000001</v>
      </c>
      <c r="AM93" s="60"/>
      <c r="AN93" s="57">
        <v>0.84836691527940966</v>
      </c>
      <c r="AO93" s="57"/>
      <c r="AP93" s="57"/>
    </row>
    <row r="94" spans="1:42" ht="21" x14ac:dyDescent="0.35">
      <c r="A94" s="28">
        <v>187</v>
      </c>
      <c r="B94" s="66" t="s">
        <v>185</v>
      </c>
      <c r="C94" s="118">
        <v>220</v>
      </c>
      <c r="D94" s="76">
        <v>220</v>
      </c>
      <c r="E94" s="118">
        <v>600</v>
      </c>
      <c r="F94" s="118">
        <v>19</v>
      </c>
      <c r="G94" s="78">
        <v>19</v>
      </c>
      <c r="H94" s="118">
        <v>12</v>
      </c>
      <c r="I94" s="76">
        <v>24</v>
      </c>
      <c r="J94" s="76">
        <v>24</v>
      </c>
      <c r="K94" s="76">
        <v>12174.180775479714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2"/>
        <v>1</v>
      </c>
      <c r="Z94" s="19">
        <f t="shared" si="13"/>
        <v>0</v>
      </c>
      <c r="AA94" s="19">
        <f t="shared" si="14"/>
        <v>0</v>
      </c>
      <c r="AB94" s="29">
        <f t="shared" si="15"/>
        <v>1394.6959449025478</v>
      </c>
      <c r="AC94" s="29">
        <f t="shared" si="8"/>
        <v>0</v>
      </c>
      <c r="AD94" s="29">
        <f t="shared" si="9"/>
        <v>0</v>
      </c>
      <c r="AE94" s="28">
        <v>20</v>
      </c>
      <c r="AF94" s="46">
        <v>460</v>
      </c>
      <c r="AG94" s="28">
        <v>210000</v>
      </c>
      <c r="AH94" s="29">
        <v>4881.4358071589177</v>
      </c>
      <c r="AI94" s="29">
        <v>0</v>
      </c>
      <c r="AJ94" s="30">
        <v>0</v>
      </c>
      <c r="AK94" s="57">
        <f t="shared" si="10"/>
        <v>12.174180775479714</v>
      </c>
      <c r="AL94" s="57">
        <f t="shared" si="11"/>
        <v>1.1000000000000001</v>
      </c>
      <c r="AM94" s="60"/>
      <c r="AN94" s="57">
        <v>0.70258322113907601</v>
      </c>
      <c r="AO94" s="57"/>
      <c r="AP94" s="57"/>
    </row>
    <row r="95" spans="1:42" ht="21" x14ac:dyDescent="0.35">
      <c r="A95" s="28">
        <v>188</v>
      </c>
      <c r="B95" s="66" t="s">
        <v>186</v>
      </c>
      <c r="C95" s="118">
        <v>220</v>
      </c>
      <c r="D95" s="76">
        <v>220</v>
      </c>
      <c r="E95" s="118">
        <v>600</v>
      </c>
      <c r="F95" s="118">
        <v>19</v>
      </c>
      <c r="G95" s="78">
        <v>19</v>
      </c>
      <c r="H95" s="118">
        <v>12</v>
      </c>
      <c r="I95" s="76">
        <v>24</v>
      </c>
      <c r="J95" s="76">
        <v>24</v>
      </c>
      <c r="K95" s="76">
        <v>16232.24103397295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2"/>
        <v>1</v>
      </c>
      <c r="Z95" s="19">
        <f t="shared" si="13"/>
        <v>0</v>
      </c>
      <c r="AA95" s="19">
        <f t="shared" si="14"/>
        <v>0</v>
      </c>
      <c r="AB95" s="29">
        <f t="shared" si="15"/>
        <v>1094.2001546739918</v>
      </c>
      <c r="AC95" s="29">
        <f t="shared" si="8"/>
        <v>0</v>
      </c>
      <c r="AD95" s="29">
        <f t="shared" si="9"/>
        <v>0</v>
      </c>
      <c r="AE95" s="28">
        <v>20</v>
      </c>
      <c r="AF95" s="46">
        <v>460</v>
      </c>
      <c r="AG95" s="28">
        <v>210000</v>
      </c>
      <c r="AH95" s="29">
        <v>3829.7005413589713</v>
      </c>
      <c r="AI95" s="29">
        <v>0</v>
      </c>
      <c r="AJ95" s="30">
        <v>0</v>
      </c>
      <c r="AK95" s="57">
        <f t="shared" si="10"/>
        <v>16.232241033972951</v>
      </c>
      <c r="AL95" s="57">
        <f t="shared" si="11"/>
        <v>1.1000000000000001</v>
      </c>
      <c r="AM95" s="60"/>
      <c r="AN95" s="57">
        <v>0.55120735960513934</v>
      </c>
      <c r="AO95" s="57"/>
      <c r="AP95" s="57"/>
    </row>
    <row r="96" spans="1:42" ht="21" x14ac:dyDescent="0.35">
      <c r="A96" s="28">
        <v>189</v>
      </c>
      <c r="B96" s="66" t="s">
        <v>187</v>
      </c>
      <c r="C96" s="118">
        <v>220</v>
      </c>
      <c r="D96" s="76">
        <v>220</v>
      </c>
      <c r="E96" s="118">
        <v>600</v>
      </c>
      <c r="F96" s="118">
        <v>19</v>
      </c>
      <c r="G96" s="78">
        <v>19</v>
      </c>
      <c r="H96" s="118">
        <v>12</v>
      </c>
      <c r="I96" s="76">
        <v>24</v>
      </c>
      <c r="J96" s="76">
        <v>24</v>
      </c>
      <c r="K96" s="76">
        <v>21588.880575184026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2"/>
        <v>1</v>
      </c>
      <c r="Z96" s="19">
        <f t="shared" si="13"/>
        <v>0</v>
      </c>
      <c r="AA96" s="19">
        <f t="shared" si="14"/>
        <v>0</v>
      </c>
      <c r="AB96" s="29">
        <f t="shared" si="15"/>
        <v>768.20570252563721</v>
      </c>
      <c r="AC96" s="29">
        <f t="shared" si="8"/>
        <v>0</v>
      </c>
      <c r="AD96" s="29">
        <f t="shared" si="9"/>
        <v>0</v>
      </c>
      <c r="AE96" s="28">
        <v>20</v>
      </c>
      <c r="AF96" s="46">
        <v>460</v>
      </c>
      <c r="AG96" s="28">
        <v>210000</v>
      </c>
      <c r="AH96" s="29">
        <v>2688.7199588397302</v>
      </c>
      <c r="AI96" s="29">
        <v>0</v>
      </c>
      <c r="AJ96" s="30">
        <v>0</v>
      </c>
      <c r="AK96" s="57">
        <f t="shared" si="10"/>
        <v>21.588880575184028</v>
      </c>
      <c r="AL96" s="57">
        <f t="shared" si="11"/>
        <v>1.1000000000000001</v>
      </c>
      <c r="AM96" s="60"/>
      <c r="AN96" s="57">
        <v>0.38698645317677588</v>
      </c>
      <c r="AO96" s="57"/>
      <c r="AP96" s="57"/>
    </row>
    <row r="97" spans="1:42" ht="21" x14ac:dyDescent="0.35">
      <c r="A97" s="28">
        <v>190</v>
      </c>
      <c r="B97" s="66" t="s">
        <v>188</v>
      </c>
      <c r="C97" s="118">
        <v>220</v>
      </c>
      <c r="D97" s="76">
        <v>220</v>
      </c>
      <c r="E97" s="118">
        <v>600</v>
      </c>
      <c r="F97" s="118">
        <v>19</v>
      </c>
      <c r="G97" s="78">
        <v>19</v>
      </c>
      <c r="H97" s="118">
        <v>12</v>
      </c>
      <c r="I97" s="76">
        <v>24</v>
      </c>
      <c r="J97" s="76">
        <v>24</v>
      </c>
      <c r="K97" s="76">
        <v>27107.842526734825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2"/>
        <v>1</v>
      </c>
      <c r="Z97" s="19">
        <f t="shared" si="13"/>
        <v>0</v>
      </c>
      <c r="AA97" s="19">
        <f t="shared" si="14"/>
        <v>0</v>
      </c>
      <c r="AB97" s="29">
        <f t="shared" si="15"/>
        <v>543.49121544231377</v>
      </c>
      <c r="AC97" s="29">
        <f t="shared" si="8"/>
        <v>0</v>
      </c>
      <c r="AD97" s="29">
        <f t="shared" si="9"/>
        <v>0</v>
      </c>
      <c r="AE97" s="28">
        <v>20</v>
      </c>
      <c r="AF97" s="46">
        <v>460</v>
      </c>
      <c r="AG97" s="28">
        <v>210000</v>
      </c>
      <c r="AH97" s="29">
        <v>1902.2192540480983</v>
      </c>
      <c r="AI97" s="29">
        <v>0</v>
      </c>
      <c r="AJ97" s="30">
        <v>0</v>
      </c>
      <c r="AK97" s="57">
        <f t="shared" si="10"/>
        <v>27.107842526734824</v>
      </c>
      <c r="AL97" s="57">
        <f t="shared" si="11"/>
        <v>1.1000000000000001</v>
      </c>
      <c r="AM97" s="60"/>
      <c r="AN97" s="57">
        <v>0.27378570232591687</v>
      </c>
      <c r="AO97" s="57"/>
      <c r="AP97" s="57"/>
    </row>
    <row r="98" spans="1:42" ht="21" x14ac:dyDescent="0.35">
      <c r="A98" s="28">
        <v>191</v>
      </c>
      <c r="B98" s="66" t="s">
        <v>189</v>
      </c>
      <c r="C98" s="118">
        <v>220</v>
      </c>
      <c r="D98" s="76">
        <v>220</v>
      </c>
      <c r="E98" s="118">
        <v>600</v>
      </c>
      <c r="F98" s="118">
        <v>19</v>
      </c>
      <c r="G98" s="78">
        <v>19</v>
      </c>
      <c r="H98" s="118">
        <v>12</v>
      </c>
      <c r="I98" s="76">
        <v>24</v>
      </c>
      <c r="J98" s="76">
        <v>24</v>
      </c>
      <c r="K98" s="76">
        <v>32464.482067945901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2"/>
        <v>1</v>
      </c>
      <c r="Z98" s="19">
        <f t="shared" si="13"/>
        <v>0</v>
      </c>
      <c r="AA98" s="19">
        <f t="shared" si="14"/>
        <v>0</v>
      </c>
      <c r="AB98" s="29">
        <f t="shared" si="15"/>
        <v>402.66262854749783</v>
      </c>
      <c r="AC98" s="29">
        <f t="shared" si="8"/>
        <v>0</v>
      </c>
      <c r="AD98" s="29">
        <f t="shared" si="9"/>
        <v>0</v>
      </c>
      <c r="AE98" s="28">
        <v>20</v>
      </c>
      <c r="AF98" s="46">
        <v>460</v>
      </c>
      <c r="AG98" s="28">
        <v>210000</v>
      </c>
      <c r="AH98" s="29">
        <v>1409.3191999162425</v>
      </c>
      <c r="AI98" s="29">
        <v>0</v>
      </c>
      <c r="AJ98" s="30">
        <v>0</v>
      </c>
      <c r="AK98" s="57">
        <f t="shared" si="10"/>
        <v>32.464482067945902</v>
      </c>
      <c r="AL98" s="57">
        <f t="shared" si="11"/>
        <v>1.1000000000000001</v>
      </c>
      <c r="AM98" s="60"/>
      <c r="AN98" s="57">
        <v>0.20284278278087037</v>
      </c>
      <c r="AO98" s="57"/>
      <c r="AP98" s="57"/>
    </row>
    <row r="99" spans="1:42" ht="21" x14ac:dyDescent="0.35">
      <c r="A99" s="28">
        <v>192</v>
      </c>
      <c r="B99" s="66" t="s">
        <v>190</v>
      </c>
      <c r="C99" s="119">
        <v>220</v>
      </c>
      <c r="D99" s="120">
        <v>220</v>
      </c>
      <c r="E99" s="119">
        <v>600</v>
      </c>
      <c r="F99" s="119">
        <v>19</v>
      </c>
      <c r="G99" s="120">
        <v>19</v>
      </c>
      <c r="H99" s="119">
        <v>12</v>
      </c>
      <c r="I99" s="120">
        <v>24</v>
      </c>
      <c r="J99" s="120">
        <v>24</v>
      </c>
      <c r="K99" s="120">
        <v>40580.602584932378</v>
      </c>
      <c r="L99" s="81">
        <v>0</v>
      </c>
      <c r="M99" s="81">
        <v>1</v>
      </c>
      <c r="N99" s="81">
        <v>2</v>
      </c>
      <c r="O99" s="81">
        <v>3</v>
      </c>
      <c r="P99" s="80">
        <v>200</v>
      </c>
      <c r="Q99" s="81">
        <v>0</v>
      </c>
      <c r="R99" s="81">
        <v>0</v>
      </c>
      <c r="S99" s="81">
        <v>0</v>
      </c>
      <c r="T99" s="36">
        <v>3</v>
      </c>
      <c r="U99" s="82" t="s">
        <v>48</v>
      </c>
      <c r="V99" s="81">
        <v>1</v>
      </c>
      <c r="W99" s="80">
        <v>1</v>
      </c>
      <c r="X99" s="80">
        <v>0</v>
      </c>
      <c r="Y99" s="81">
        <f t="shared" si="12"/>
        <v>1</v>
      </c>
      <c r="Z99" s="81">
        <f t="shared" si="13"/>
        <v>0</v>
      </c>
      <c r="AA99" s="81">
        <f t="shared" si="14"/>
        <v>0</v>
      </c>
      <c r="AB99" s="83">
        <f t="shared" si="15"/>
        <v>272.30237237524938</v>
      </c>
      <c r="AC99" s="83">
        <f t="shared" si="8"/>
        <v>0</v>
      </c>
      <c r="AD99" s="83">
        <f t="shared" si="9"/>
        <v>0</v>
      </c>
      <c r="AE99" s="80">
        <v>20</v>
      </c>
      <c r="AF99" s="70">
        <v>460</v>
      </c>
      <c r="AG99" s="80">
        <v>210000</v>
      </c>
      <c r="AH99" s="83">
        <v>953.0583033133729</v>
      </c>
      <c r="AI99" s="83">
        <v>0</v>
      </c>
      <c r="AJ99" s="84">
        <v>0</v>
      </c>
      <c r="AK99" s="57">
        <f t="shared" si="10"/>
        <v>40.580602584932379</v>
      </c>
      <c r="AL99" s="57">
        <f t="shared" si="11"/>
        <v>1.1000000000000001</v>
      </c>
      <c r="AM99" s="60"/>
      <c r="AN99" s="57">
        <v>0.13717332340891167</v>
      </c>
      <c r="AO99" s="57"/>
      <c r="AP99" s="57"/>
    </row>
    <row r="100" spans="1:42" ht="21" x14ac:dyDescent="0.35">
      <c r="A100" s="92"/>
      <c r="B100" s="99"/>
      <c r="C100" s="28"/>
      <c r="D100" s="19"/>
      <c r="E100" s="100"/>
      <c r="F100" s="100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6"/>
      <c r="AC100" s="29"/>
      <c r="AD100" s="29"/>
      <c r="AE100" s="28"/>
      <c r="AF100" s="100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2" ht="21" x14ac:dyDescent="0.35">
      <c r="A101" s="28"/>
      <c r="B101" s="99"/>
      <c r="C101" s="28"/>
      <c r="D101" s="19"/>
      <c r="E101" s="100"/>
      <c r="F101" s="100"/>
      <c r="G101" s="19"/>
      <c r="H101" s="28"/>
      <c r="I101" s="19"/>
      <c r="J101" s="19"/>
      <c r="K101" s="76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0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2" ht="21" x14ac:dyDescent="0.35">
      <c r="A102" s="28"/>
      <c r="B102" s="99"/>
      <c r="C102" s="28"/>
      <c r="D102" s="19"/>
      <c r="E102" s="100"/>
      <c r="F102" s="100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0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2" ht="21" x14ac:dyDescent="0.35">
      <c r="A103" s="28"/>
      <c r="B103" s="99"/>
      <c r="C103" s="28"/>
      <c r="D103" s="19"/>
      <c r="E103" s="100"/>
      <c r="F103" s="100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0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2" ht="21" x14ac:dyDescent="0.35">
      <c r="A104" s="28"/>
      <c r="B104" s="99"/>
      <c r="C104" s="28"/>
      <c r="D104" s="19"/>
      <c r="E104" s="100"/>
      <c r="F104" s="100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0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2" ht="21" x14ac:dyDescent="0.35">
      <c r="A105" s="28"/>
      <c r="B105" s="99"/>
      <c r="C105" s="28"/>
      <c r="D105" s="19"/>
      <c r="E105" s="100"/>
      <c r="F105" s="100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0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2" ht="21" x14ac:dyDescent="0.35">
      <c r="A106" s="28"/>
      <c r="B106" s="99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5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6"/>
      <c r="AK106" s="57"/>
      <c r="AL106" s="57"/>
      <c r="AM106" s="57"/>
      <c r="AN106" s="57"/>
      <c r="AO106" s="57"/>
      <c r="AP106" s="57"/>
    </row>
    <row r="107" spans="1:42" ht="21" x14ac:dyDescent="0.35">
      <c r="A107" s="28"/>
      <c r="B107" s="66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2" ht="21" x14ac:dyDescent="0.35">
      <c r="A108" s="28"/>
      <c r="B108" s="66"/>
      <c r="C108" s="28"/>
      <c r="D108" s="19"/>
      <c r="E108" s="28"/>
      <c r="F108" s="28"/>
      <c r="G108" s="19"/>
      <c r="H108" s="28"/>
      <c r="I108" s="19"/>
      <c r="J108" s="19"/>
      <c r="K108" s="76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2" ht="21" x14ac:dyDescent="0.35">
      <c r="A109" s="28"/>
      <c r="B109" s="66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2" ht="21" x14ac:dyDescent="0.35">
      <c r="A110" s="28"/>
      <c r="B110" s="66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2" ht="21" x14ac:dyDescent="0.35">
      <c r="A111" s="28"/>
      <c r="B111" s="66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2" ht="21" x14ac:dyDescent="0.35">
      <c r="A112" s="28"/>
      <c r="B112" s="66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6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6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6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6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6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6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6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6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6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6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6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6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6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6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6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6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6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6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6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6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6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6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6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6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6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6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6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6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6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6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6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6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6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6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6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6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6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6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6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6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6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6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6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6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6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6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6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6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6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6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6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6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6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6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6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6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6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6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6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6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6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6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6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6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6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6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6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6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6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6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6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6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6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6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6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6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6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6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6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6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6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6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6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7"/>
      <c r="C196" s="70"/>
      <c r="D196" s="32"/>
      <c r="E196" s="70"/>
      <c r="F196" s="70"/>
      <c r="G196" s="32"/>
      <c r="H196" s="70"/>
      <c r="I196" s="32"/>
      <c r="J196" s="71"/>
      <c r="K196" s="71"/>
      <c r="L196" s="71"/>
      <c r="M196" s="71"/>
      <c r="N196" s="71"/>
      <c r="O196" s="71"/>
      <c r="P196" s="70"/>
      <c r="Q196" s="71"/>
      <c r="R196" s="71"/>
      <c r="S196" s="71"/>
      <c r="T196" s="72"/>
      <c r="U196" s="50"/>
      <c r="V196" s="71"/>
      <c r="W196" s="70"/>
      <c r="X196" s="70"/>
      <c r="Y196" s="71"/>
      <c r="Z196" s="71"/>
      <c r="AA196" s="71"/>
      <c r="AB196" s="73"/>
      <c r="AC196" s="33"/>
      <c r="AD196" s="74"/>
      <c r="AE196" s="70"/>
      <c r="AF196" s="70"/>
      <c r="AG196" s="70"/>
      <c r="AH196" s="79"/>
      <c r="AI196" s="75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69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6"/>
      <c r="AC197" s="33"/>
      <c r="AD197" s="29"/>
      <c r="AE197" s="28"/>
      <c r="AF197" s="28"/>
      <c r="AG197" s="28"/>
      <c r="AH197" s="79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1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8"/>
      <c r="AC198" s="33"/>
      <c r="AD198" s="49"/>
      <c r="AE198" s="46"/>
      <c r="AF198" s="46"/>
      <c r="AG198" s="28"/>
      <c r="AH198" s="79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7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8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8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8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8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8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8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8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8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8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8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8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8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8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8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8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8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8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8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8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8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8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8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8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8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8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8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8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8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8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8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8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8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8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8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8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8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8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8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8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8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8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8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8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8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8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8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8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8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8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8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8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8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8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8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8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2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3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2026-09-07T01:49:46Z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