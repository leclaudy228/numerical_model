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okou\Kokou_Case_study_1_Steel_Column\Numerical model_validation\Validation  files Q690\"/>
    </mc:Choice>
  </mc:AlternateContent>
  <xr:revisionPtr revIDLastSave="0" documentId="13_ncr:1_{6A3D49AA-E680-4AED-B20B-52E9559B2229}" xr6:coauthVersionLast="47" xr6:coauthVersionMax="47" xr10:uidLastSave="{00000000-0000-0000-0000-000000000000}"/>
  <bookViews>
    <workbookView xWindow="-120" yWindow="-120" windowWidth="38640" windowHeight="21120" xr2:uid="{EB31E9AF-BA92-4732-99BF-E2F6077ED92E}"/>
  </bookViews>
  <sheets>
    <sheet name="Abaqus_input" sheetId="3" r:id="rId1"/>
    <sheet name="Validation 4" sheetId="2" r:id="rId2"/>
    <sheet name="Sheet1" sheetId="1" r:id="rId3"/>
  </sheets>
  <externalReferences>
    <externalReference r:id="rId4"/>
  </externalReferences>
  <calcPr calcId="191029" iterate="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3" l="1"/>
  <c r="J1" i="3"/>
  <c r="D6" i="3"/>
  <c r="E6" i="3"/>
  <c r="D7" i="3"/>
  <c r="F7" i="3"/>
  <c r="D8" i="3"/>
  <c r="E8" i="3"/>
  <c r="F8" i="3"/>
  <c r="D9" i="3"/>
  <c r="E9" i="3"/>
  <c r="F9" i="3"/>
  <c r="D10" i="3"/>
  <c r="E10" i="3"/>
  <c r="F10" i="3"/>
  <c r="D11" i="3"/>
  <c r="E11" i="3"/>
  <c r="F11" i="3"/>
  <c r="D12" i="3"/>
  <c r="E12" i="3"/>
  <c r="F12" i="3"/>
  <c r="D13" i="3"/>
  <c r="E13" i="3"/>
  <c r="F13" i="3"/>
  <c r="D14" i="3"/>
  <c r="E14" i="3"/>
  <c r="F14" i="3"/>
  <c r="D15" i="3"/>
  <c r="E15" i="3"/>
  <c r="F15" i="3"/>
  <c r="D16" i="3"/>
  <c r="E16" i="3"/>
  <c r="F16" i="3"/>
  <c r="D17" i="3"/>
  <c r="E17" i="3"/>
  <c r="F17" i="3"/>
  <c r="D18" i="3"/>
  <c r="E18" i="3"/>
  <c r="F18" i="3"/>
  <c r="D19" i="3"/>
  <c r="E19" i="3"/>
  <c r="F19" i="3"/>
</calcChain>
</file>

<file path=xl/sharedStrings.xml><?xml version="1.0" encoding="utf-8"?>
<sst xmlns="http://schemas.openxmlformats.org/spreadsheetml/2006/main" count="17" uniqueCount="12">
  <si>
    <t>eps</t>
  </si>
  <si>
    <t>sig</t>
  </si>
  <si>
    <t>ε (-)</t>
  </si>
  <si>
    <t>σ (Mpa)</t>
  </si>
  <si>
    <t>Log plastic</t>
  </si>
  <si>
    <t>True</t>
  </si>
  <si>
    <t>True plastic</t>
  </si>
  <si>
    <t>Engineering</t>
  </si>
  <si>
    <t>#</t>
  </si>
  <si>
    <r>
      <t xml:space="preserve">True </t>
    </r>
    <r>
      <rPr>
        <sz val="11"/>
        <color theme="1"/>
        <rFont val="Aptos Narrow"/>
        <family val="2"/>
      </rPr>
      <t>ε</t>
    </r>
    <r>
      <rPr>
        <vertAlign val="subscript"/>
        <sz val="11"/>
        <color theme="1"/>
        <rFont val="Aptos Narrow"/>
        <family val="2"/>
        <scheme val="minor"/>
      </rPr>
      <t>y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</si>
  <si>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(Mpa)</t>
    </r>
  </si>
  <si>
    <t>Young's modulus (MPa)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</si>
</sst>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1" fontId="0" fillId="0" borderId="0" xfId="0" applyNumberFormat="1"/>
    <xf numFmtId="0" fontId="0" fillId="0" borderId="1" xfId="0" applyBorder="1"/>
    <xf numFmtId="0" fontId="0" fillId="2" borderId="1" xfId="0" applyFill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3" borderId="1" xfId="0" applyFill="1" applyBorder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Border="1"/>
    <xf numFmtId="166" fontId="0" fillId="0" borderId="0" xfId="0" applyNumberFormat="1" applyBorder="1"/>
    <xf numFmtId="165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Abaqus_input!$I$6:$I$105</c:f>
              <c:numCache>
                <c:formatCode>0.00000</c:formatCode>
                <c:ptCount val="100"/>
                <c:pt idx="1">
                  <c:v>0</c:v>
                </c:pt>
                <c:pt idx="2">
                  <c:v>6.73398099671266E-3</c:v>
                </c:pt>
                <c:pt idx="3">
                  <c:v>1.4267512314325385E-2</c:v>
                </c:pt>
                <c:pt idx="4">
                  <c:v>2.3907143365717372E-2</c:v>
                </c:pt>
                <c:pt idx="5">
                  <c:v>3.6775516073755184E-2</c:v>
                </c:pt>
                <c:pt idx="6">
                  <c:v>4.7843474548407025E-2</c:v>
                </c:pt>
                <c:pt idx="7">
                  <c:v>6.0411007504652586E-2</c:v>
                </c:pt>
                <c:pt idx="8">
                  <c:v>7.6016542581909458E-2</c:v>
                </c:pt>
                <c:pt idx="9">
                  <c:v>9.2951870252477795E-2</c:v>
                </c:pt>
                <c:pt idx="10">
                  <c:v>0.11004684049390691</c:v>
                </c:pt>
                <c:pt idx="11">
                  <c:v>0.12382095005648815</c:v>
                </c:pt>
                <c:pt idx="12">
                  <c:v>0.1367685556355332</c:v>
                </c:pt>
                <c:pt idx="13">
                  <c:v>0.14232855303532915</c:v>
                </c:pt>
              </c:numCache>
            </c:numRef>
          </c:xVal>
          <c:yVal>
            <c:numRef>
              <c:f>Abaqus_input!$H$6:$H$105</c:f>
              <c:numCache>
                <c:formatCode>0.000</c:formatCode>
                <c:ptCount val="100"/>
                <c:pt idx="1">
                  <c:v>697.97820361311813</c:v>
                </c:pt>
                <c:pt idx="2">
                  <c:v>704.87373028358877</c:v>
                </c:pt>
                <c:pt idx="3">
                  <c:v>724.54539207397625</c:v>
                </c:pt>
                <c:pt idx="4">
                  <c:v>743.17784669633011</c:v>
                </c:pt>
                <c:pt idx="5">
                  <c:v>766.78680500167536</c:v>
                </c:pt>
                <c:pt idx="6">
                  <c:v>784.27691631725418</c:v>
                </c:pt>
                <c:pt idx="7">
                  <c:v>802.53161865892093</c:v>
                </c:pt>
                <c:pt idx="8">
                  <c:v>821.37160153471609</c:v>
                </c:pt>
                <c:pt idx="9">
                  <c:v>837.87666407976462</c:v>
                </c:pt>
                <c:pt idx="10">
                  <c:v>849.34604447740639</c:v>
                </c:pt>
                <c:pt idx="11">
                  <c:v>852.49991546976378</c:v>
                </c:pt>
                <c:pt idx="12">
                  <c:v>847.249543673056</c:v>
                </c:pt>
                <c:pt idx="13">
                  <c:v>830.47141335555784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35-4BA2-A0B9-B47D18011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237903"/>
        <c:axId val="576210943"/>
      </c:scatterChart>
      <c:valAx>
        <c:axId val="566237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210943"/>
        <c:crosses val="autoZero"/>
        <c:crossBetween val="midCat"/>
      </c:valAx>
      <c:valAx>
        <c:axId val="57621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237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Eng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Abaqus_input!$C$6:$C$31</c:f>
              <c:numCache>
                <c:formatCode>General</c:formatCode>
                <c:ptCount val="26"/>
                <c:pt idx="0">
                  <c:v>0</c:v>
                </c:pt>
                <c:pt idx="1">
                  <c:v>4.8475231826263796E-3</c:v>
                </c:pt>
                <c:pt idx="2">
                  <c:v>1.16369816941335E-2</c:v>
                </c:pt>
                <c:pt idx="3">
                  <c:v>1.9286960073031299E-2</c:v>
                </c:pt>
                <c:pt idx="4">
                  <c:v>2.9160020179695399E-2</c:v>
                </c:pt>
                <c:pt idx="5">
                  <c:v>4.2489213472349102E-2</c:v>
                </c:pt>
                <c:pt idx="6">
                  <c:v>5.4091529332628799E-2</c:v>
                </c:pt>
                <c:pt idx="7">
                  <c:v>6.7422452313458003E-2</c:v>
                </c:pt>
                <c:pt idx="8">
                  <c:v>8.4210805746408504E-2</c:v>
                </c:pt>
                <c:pt idx="9">
                  <c:v>0.102728631143996</c:v>
                </c:pt>
                <c:pt idx="10">
                  <c:v>0.12174179599288899</c:v>
                </c:pt>
                <c:pt idx="11">
                  <c:v>0.13729969249988</c:v>
                </c:pt>
                <c:pt idx="12">
                  <c:v>0.15212074184403901</c:v>
                </c:pt>
                <c:pt idx="13">
                  <c:v>0.15854437130639501</c:v>
                </c:pt>
              </c:numCache>
            </c:numRef>
          </c:xVal>
          <c:yVal>
            <c:numRef>
              <c:f>Abaqus_input!$B$6:$B$31</c:f>
              <c:numCache>
                <c:formatCode>General</c:formatCode>
                <c:ptCount val="26"/>
                <c:pt idx="0">
                  <c:v>0</c:v>
                </c:pt>
                <c:pt idx="1">
                  <c:v>694.61106039494496</c:v>
                </c:pt>
                <c:pt idx="2">
                  <c:v>696.76548311151601</c:v>
                </c:pt>
                <c:pt idx="3">
                  <c:v>710.83553548263103</c:v>
                </c:pt>
                <c:pt idx="4">
                  <c:v>722.120789890933</c:v>
                </c:pt>
                <c:pt idx="5">
                  <c:v>735.534521693172</c:v>
                </c:pt>
                <c:pt idx="6">
                  <c:v>744.03113438716196</c:v>
                </c:pt>
                <c:pt idx="7">
                  <c:v>751.84067650026395</c:v>
                </c:pt>
                <c:pt idx="8">
                  <c:v>757.57555374045103</c:v>
                </c:pt>
                <c:pt idx="9">
                  <c:v>759.82126555518198</c:v>
                </c:pt>
                <c:pt idx="10">
                  <c:v>757.16715514342002</c:v>
                </c:pt>
                <c:pt idx="11">
                  <c:v>749.582472493154</c:v>
                </c:pt>
                <c:pt idx="12">
                  <c:v>735.38259741507795</c:v>
                </c:pt>
                <c:pt idx="13">
                  <c:v>716.823139384039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C4-4DBD-8EAD-590FEC044C0F}"/>
            </c:ext>
          </c:extLst>
        </c:ser>
        <c:ser>
          <c:idx val="1"/>
          <c:order val="1"/>
          <c:tx>
            <c:v>TRUE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Abaqus_input!$E$6:$E$31</c:f>
              <c:numCache>
                <c:formatCode>General</c:formatCode>
                <c:ptCount val="26"/>
                <c:pt idx="0">
                  <c:v>0</c:v>
                </c:pt>
                <c:pt idx="1">
                  <c:v>4.8358117744223402E-3</c:v>
                </c:pt>
                <c:pt idx="2">
                  <c:v>1.1569792771135E-2</c:v>
                </c:pt>
                <c:pt idx="3">
                  <c:v>1.9103324088747726E-2</c:v>
                </c:pt>
                <c:pt idx="4">
                  <c:v>2.8742955140139713E-2</c:v>
                </c:pt>
                <c:pt idx="5">
                  <c:v>4.1611327848177525E-2</c:v>
                </c:pt>
                <c:pt idx="6">
                  <c:v>5.2679286322829366E-2</c:v>
                </c:pt>
                <c:pt idx="7">
                  <c:v>6.5246819279074927E-2</c:v>
                </c:pt>
                <c:pt idx="8">
                  <c:v>8.0852354356331799E-2</c:v>
                </c:pt>
                <c:pt idx="9">
                  <c:v>9.7787682026900136E-2</c:v>
                </c:pt>
                <c:pt idx="10">
                  <c:v>0.11488265226832925</c:v>
                </c:pt>
                <c:pt idx="11">
                  <c:v>0.12865676183091049</c:v>
                </c:pt>
                <c:pt idx="12">
                  <c:v>0.14160436740995552</c:v>
                </c:pt>
                <c:pt idx="13">
                  <c:v>0.14716436480975148</c:v>
                </c:pt>
              </c:numCache>
            </c:numRef>
          </c:xVal>
          <c:yVal>
            <c:numRef>
              <c:f>Abaqus_input!$D$6:$D$31</c:f>
              <c:numCache>
                <c:formatCode>General</c:formatCode>
                <c:ptCount val="26"/>
                <c:pt idx="0">
                  <c:v>0</c:v>
                </c:pt>
                <c:pt idx="1">
                  <c:v>697.97820361311813</c:v>
                </c:pt>
                <c:pt idx="2">
                  <c:v>704.87373028358877</c:v>
                </c:pt>
                <c:pt idx="3">
                  <c:v>724.54539207397625</c:v>
                </c:pt>
                <c:pt idx="4">
                  <c:v>743.17784669633011</c:v>
                </c:pt>
                <c:pt idx="5">
                  <c:v>766.78680500167536</c:v>
                </c:pt>
                <c:pt idx="6">
                  <c:v>784.27691631725418</c:v>
                </c:pt>
                <c:pt idx="7">
                  <c:v>802.53161865892093</c:v>
                </c:pt>
                <c:pt idx="8">
                  <c:v>821.37160153471609</c:v>
                </c:pt>
                <c:pt idx="9">
                  <c:v>837.87666407976462</c:v>
                </c:pt>
                <c:pt idx="10">
                  <c:v>849.34604447740639</c:v>
                </c:pt>
                <c:pt idx="11">
                  <c:v>852.49991546976378</c:v>
                </c:pt>
                <c:pt idx="12">
                  <c:v>847.249543673056</c:v>
                </c:pt>
                <c:pt idx="13">
                  <c:v>830.47141335555784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C4-4DBD-8EAD-590FEC044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484048"/>
        <c:axId val="526484528"/>
      </c:scatterChart>
      <c:valAx>
        <c:axId val="526484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484528"/>
        <c:crosses val="autoZero"/>
        <c:crossBetween val="midCat"/>
      </c:valAx>
      <c:valAx>
        <c:axId val="52648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484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'Validation 4'!$B$1</c:f>
              <c:strCache>
                <c:ptCount val="1"/>
                <c:pt idx="0">
                  <c:v>sig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'Validation 4'!$A$2:$A$15</c:f>
              <c:numCache>
                <c:formatCode>General</c:formatCode>
                <c:ptCount val="14"/>
                <c:pt idx="0" formatCode="0.00E+00">
                  <c:v>7.2070340667584794E-8</c:v>
                </c:pt>
                <c:pt idx="1">
                  <c:v>4.8475231826263796E-3</c:v>
                </c:pt>
                <c:pt idx="2">
                  <c:v>1.16369816941335E-2</c:v>
                </c:pt>
                <c:pt idx="3">
                  <c:v>1.9286960073031299E-2</c:v>
                </c:pt>
                <c:pt idx="4">
                  <c:v>2.9160020179695399E-2</c:v>
                </c:pt>
                <c:pt idx="5">
                  <c:v>4.2489213472349102E-2</c:v>
                </c:pt>
                <c:pt idx="6">
                  <c:v>5.4091529332628799E-2</c:v>
                </c:pt>
                <c:pt idx="7">
                  <c:v>6.7422452313458003E-2</c:v>
                </c:pt>
                <c:pt idx="8">
                  <c:v>8.4210805746408504E-2</c:v>
                </c:pt>
                <c:pt idx="9">
                  <c:v>0.102728631143996</c:v>
                </c:pt>
                <c:pt idx="10">
                  <c:v>0.12174179599288899</c:v>
                </c:pt>
                <c:pt idx="11">
                  <c:v>0.13729969249988</c:v>
                </c:pt>
                <c:pt idx="12">
                  <c:v>0.15212074184403901</c:v>
                </c:pt>
                <c:pt idx="13">
                  <c:v>0.15854437130639501</c:v>
                </c:pt>
              </c:numCache>
            </c:numRef>
          </c:xVal>
          <c:yVal>
            <c:numRef>
              <c:f>'Validation 4'!$B$2:$B$15</c:f>
              <c:numCache>
                <c:formatCode>General</c:formatCode>
                <c:ptCount val="14"/>
                <c:pt idx="0">
                  <c:v>0.35266420025956702</c:v>
                </c:pt>
                <c:pt idx="1">
                  <c:v>694.61106039494496</c:v>
                </c:pt>
                <c:pt idx="2">
                  <c:v>696.76548311151601</c:v>
                </c:pt>
                <c:pt idx="3">
                  <c:v>710.83553548263103</c:v>
                </c:pt>
                <c:pt idx="4">
                  <c:v>722.120789890933</c:v>
                </c:pt>
                <c:pt idx="5">
                  <c:v>735.534521693172</c:v>
                </c:pt>
                <c:pt idx="6">
                  <c:v>744.03113438716196</c:v>
                </c:pt>
                <c:pt idx="7">
                  <c:v>751.84067650026395</c:v>
                </c:pt>
                <c:pt idx="8">
                  <c:v>757.57555374045103</c:v>
                </c:pt>
                <c:pt idx="9">
                  <c:v>759.82126555518198</c:v>
                </c:pt>
                <c:pt idx="10">
                  <c:v>757.16715514342002</c:v>
                </c:pt>
                <c:pt idx="11">
                  <c:v>749.582472493154</c:v>
                </c:pt>
                <c:pt idx="12">
                  <c:v>735.38259741507795</c:v>
                </c:pt>
                <c:pt idx="13">
                  <c:v>716.823139384039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92-4628-B40A-EF0282D9D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393743"/>
        <c:axId val="224401423"/>
      </c:scatterChart>
      <c:valAx>
        <c:axId val="224393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401423"/>
        <c:crosses val="autoZero"/>
        <c:crossBetween val="midCat"/>
      </c:valAx>
      <c:valAx>
        <c:axId val="22440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393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1</xdr:row>
      <xdr:rowOff>63500</xdr:rowOff>
    </xdr:from>
    <xdr:to>
      <xdr:col>11</xdr:col>
      <xdr:colOff>361950</xdr:colOff>
      <xdr:row>3</xdr:row>
      <xdr:rowOff>63500</xdr:rowOff>
    </xdr:to>
    <xdr:sp macro="[0]!Create_material_files" textlink="">
      <xdr:nvSpPr>
        <xdr:cNvPr id="2" name="Rectangle 1">
          <a:extLst>
            <a:ext uri="{FF2B5EF4-FFF2-40B4-BE49-F238E27FC236}">
              <a16:creationId xmlns:a16="http://schemas.microsoft.com/office/drawing/2014/main" id="{0796EB13-1602-4613-AA11-D2BF8CD7634C}"/>
            </a:ext>
          </a:extLst>
        </xdr:cNvPr>
        <xdr:cNvSpPr/>
      </xdr:nvSpPr>
      <xdr:spPr>
        <a:xfrm>
          <a:off x="7248525" y="254000"/>
          <a:ext cx="1495425" cy="381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CA" sz="1100"/>
            <a:t>Get .dat files</a:t>
          </a:r>
        </a:p>
      </xdr:txBody>
    </xdr:sp>
    <xdr:clientData/>
  </xdr:twoCellAnchor>
  <xdr:twoCellAnchor>
    <xdr:from>
      <xdr:col>12</xdr:col>
      <xdr:colOff>298450</xdr:colOff>
      <xdr:row>1</xdr:row>
      <xdr:rowOff>166687</xdr:rowOff>
    </xdr:from>
    <xdr:to>
      <xdr:col>18</xdr:col>
      <xdr:colOff>298450</xdr:colOff>
      <xdr:row>16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0C0208-1AED-4207-ABCB-1AC9281AF9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504824</xdr:colOff>
      <xdr:row>1</xdr:row>
      <xdr:rowOff>104776</xdr:rowOff>
    </xdr:from>
    <xdr:to>
      <xdr:col>24</xdr:col>
      <xdr:colOff>352425</xdr:colOff>
      <xdr:row>16</xdr:row>
      <xdr:rowOff>85726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CAA620-E9DB-4E82-8F60-A1507F32A4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8</xdr:row>
      <xdr:rowOff>69850</xdr:rowOff>
    </xdr:from>
    <xdr:to>
      <xdr:col>16</xdr:col>
      <xdr:colOff>434975</xdr:colOff>
      <xdr:row>22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6C89A5-B717-48AF-9F94-7F2EB5160D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Kokou\Kokou_Case_study_1_Steel_Column\Numerical%20model_validation\Material_law_ABAQUS%20(version%201).xlsm" TargetMode="External"/><Relationship Id="rId1" Type="http://schemas.openxmlformats.org/officeDocument/2006/relationships/externalLinkPath" Target="/Kokou/Kokou_Case_study_1_Steel_Column/Numerical%20model_validation/Material_law_ABAQUS%20(version%20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rmation"/>
      <sheetName val="parametric_law"/>
      <sheetName val="Abaqus_input V 5 345"/>
      <sheetName val="Abaqus_input V 5 235"/>
      <sheetName val="Abaqus_input V 2"/>
      <sheetName val="Abaqus_input V 1"/>
      <sheetName val="Validation 2"/>
      <sheetName val="Validation 1"/>
      <sheetName val="Validation 5"/>
      <sheetName val="Validation 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B1" t="str">
            <v>sig</v>
          </cell>
        </row>
        <row r="2">
          <cell r="A2">
            <v>7.2070340667584794E-8</v>
          </cell>
          <cell r="B2">
            <v>0.35266420025956702</v>
          </cell>
        </row>
        <row r="3">
          <cell r="A3">
            <v>4.8475231826263796E-3</v>
          </cell>
          <cell r="B3">
            <v>694.61106039494496</v>
          </cell>
        </row>
        <row r="4">
          <cell r="A4">
            <v>1.16369816941335E-2</v>
          </cell>
          <cell r="B4">
            <v>696.76548311151601</v>
          </cell>
        </row>
        <row r="5">
          <cell r="A5">
            <v>1.9286960073031299E-2</v>
          </cell>
          <cell r="B5">
            <v>710.83553548263103</v>
          </cell>
        </row>
        <row r="6">
          <cell r="A6">
            <v>2.9160020179695399E-2</v>
          </cell>
          <cell r="B6">
            <v>722.120789890933</v>
          </cell>
        </row>
        <row r="7">
          <cell r="A7">
            <v>4.2489213472349102E-2</v>
          </cell>
          <cell r="B7">
            <v>735.534521693172</v>
          </cell>
        </row>
        <row r="8">
          <cell r="A8">
            <v>5.4091529332628799E-2</v>
          </cell>
          <cell r="B8">
            <v>744.03113438716196</v>
          </cell>
        </row>
        <row r="9">
          <cell r="A9">
            <v>6.7422452313458003E-2</v>
          </cell>
          <cell r="B9">
            <v>751.84067650026395</v>
          </cell>
        </row>
        <row r="10">
          <cell r="A10">
            <v>8.4210805746408504E-2</v>
          </cell>
          <cell r="B10">
            <v>757.57555374045103</v>
          </cell>
        </row>
        <row r="11">
          <cell r="A11">
            <v>0.102728631143996</v>
          </cell>
          <cell r="B11">
            <v>759.82126555518198</v>
          </cell>
        </row>
        <row r="12">
          <cell r="A12">
            <v>0.12174179599288899</v>
          </cell>
          <cell r="B12">
            <v>757.16715514342002</v>
          </cell>
        </row>
        <row r="13">
          <cell r="A13">
            <v>0.13729969249988</v>
          </cell>
          <cell r="B13">
            <v>749.582472493154</v>
          </cell>
        </row>
        <row r="14">
          <cell r="A14">
            <v>0.15212074184403901</v>
          </cell>
          <cell r="B14">
            <v>735.38259741507795</v>
          </cell>
        </row>
        <row r="15">
          <cell r="A15">
            <v>0.15854437130639501</v>
          </cell>
          <cell r="B15">
            <v>716.823139384039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44F20-AB53-48B2-9126-B3D0EC669409}">
  <sheetPr codeName="Feuil6"/>
  <dimension ref="A1:Q120"/>
  <sheetViews>
    <sheetView tabSelected="1" workbookViewId="0">
      <selection activeCell="U25" sqref="U25"/>
    </sheetView>
  </sheetViews>
  <sheetFormatPr defaultColWidth="11.42578125" defaultRowHeight="15" x14ac:dyDescent="0.25"/>
  <cols>
    <col min="6" max="6" width="12.7109375" bestFit="1" customWidth="1"/>
    <col min="9" max="9" width="12.5703125" bestFit="1" customWidth="1"/>
  </cols>
  <sheetData>
    <row r="1" spans="1:10" ht="18" x14ac:dyDescent="0.35">
      <c r="B1" t="s">
        <v>11</v>
      </c>
      <c r="D1" s="3">
        <v>197100</v>
      </c>
      <c r="F1" t="s">
        <v>10</v>
      </c>
      <c r="G1" s="3">
        <v>1186.9000000000001</v>
      </c>
      <c r="I1" t="s">
        <v>9</v>
      </c>
      <c r="J1" s="3">
        <f>E7</f>
        <v>4.8358117744223402E-3</v>
      </c>
    </row>
    <row r="4" spans="1:10" x14ac:dyDescent="0.25">
      <c r="A4" s="9" t="s">
        <v>8</v>
      </c>
      <c r="B4" s="9" t="s">
        <v>7</v>
      </c>
      <c r="C4" s="9"/>
      <c r="D4" s="9" t="b">
        <v>1</v>
      </c>
      <c r="E4" s="9"/>
      <c r="F4" t="s">
        <v>6</v>
      </c>
      <c r="H4" t="s">
        <v>5</v>
      </c>
      <c r="I4" t="s">
        <v>4</v>
      </c>
    </row>
    <row r="5" spans="1:10" x14ac:dyDescent="0.25">
      <c r="A5" s="9"/>
      <c r="B5" s="8" t="s">
        <v>3</v>
      </c>
      <c r="C5" s="8" t="s">
        <v>2</v>
      </c>
      <c r="D5" s="8" t="s">
        <v>3</v>
      </c>
      <c r="E5" s="8" t="s">
        <v>2</v>
      </c>
      <c r="F5" s="8" t="s">
        <v>2</v>
      </c>
      <c r="H5" t="s">
        <v>3</v>
      </c>
      <c r="I5" s="8" t="s">
        <v>2</v>
      </c>
    </row>
    <row r="6" spans="1:10" x14ac:dyDescent="0.25">
      <c r="A6" s="3">
        <v>1</v>
      </c>
      <c r="B6" s="3">
        <v>0</v>
      </c>
      <c r="C6" s="3">
        <v>0</v>
      </c>
      <c r="D6" s="2">
        <f>B6*(1+C6)</f>
        <v>0</v>
      </c>
      <c r="E6" s="2">
        <f>LN(1+C6)</f>
        <v>0</v>
      </c>
      <c r="F6" s="2">
        <v>0</v>
      </c>
      <c r="G6" s="2"/>
      <c r="H6" s="7"/>
      <c r="I6" s="7"/>
    </row>
    <row r="7" spans="1:10" x14ac:dyDescent="0.25">
      <c r="A7" s="3">
        <v>2</v>
      </c>
      <c r="B7" s="3">
        <v>694.61106039494496</v>
      </c>
      <c r="C7" s="3">
        <v>4.8475231826263796E-3</v>
      </c>
      <c r="D7" s="2">
        <f>B7*(1+C7)</f>
        <v>697.97820361311813</v>
      </c>
      <c r="E7" s="2">
        <f>LN(1+C7)</f>
        <v>4.8358117744223402E-3</v>
      </c>
      <c r="F7" s="2">
        <f>E7-$J$1</f>
        <v>0</v>
      </c>
      <c r="G7" s="2"/>
      <c r="H7" s="6">
        <v>697.97820361311813</v>
      </c>
      <c r="I7" s="5">
        <v>0</v>
      </c>
    </row>
    <row r="8" spans="1:10" x14ac:dyDescent="0.25">
      <c r="A8" s="3">
        <v>3</v>
      </c>
      <c r="B8" s="3">
        <v>696.76548311151601</v>
      </c>
      <c r="C8" s="3">
        <v>1.16369816941335E-2</v>
      </c>
      <c r="D8" s="2">
        <f>B8*(1+C8)</f>
        <v>704.87373028358877</v>
      </c>
      <c r="E8" s="2">
        <f>LN(1+C8)</f>
        <v>1.1569792771135E-2</v>
      </c>
      <c r="F8" s="2">
        <f>E8-$J$1</f>
        <v>6.73398099671266E-3</v>
      </c>
      <c r="G8" s="2"/>
      <c r="H8" s="6">
        <v>704.87373028358877</v>
      </c>
      <c r="I8" s="5">
        <v>6.73398099671266E-3</v>
      </c>
    </row>
    <row r="9" spans="1:10" x14ac:dyDescent="0.25">
      <c r="A9" s="3">
        <v>4</v>
      </c>
      <c r="B9" s="3">
        <v>710.83553548263103</v>
      </c>
      <c r="C9" s="3">
        <v>1.9286960073031299E-2</v>
      </c>
      <c r="D9" s="2">
        <f>B9*(1+C9)</f>
        <v>724.54539207397625</v>
      </c>
      <c r="E9" s="2">
        <f>LN(1+C9)</f>
        <v>1.9103324088747726E-2</v>
      </c>
      <c r="F9" s="2">
        <f>E9-$J$1</f>
        <v>1.4267512314325385E-2</v>
      </c>
      <c r="G9" s="2"/>
      <c r="H9" s="6">
        <v>724.54539207397625</v>
      </c>
      <c r="I9" s="5">
        <v>1.4267512314325385E-2</v>
      </c>
    </row>
    <row r="10" spans="1:10" x14ac:dyDescent="0.25">
      <c r="A10" s="3">
        <v>5</v>
      </c>
      <c r="B10" s="3">
        <v>722.120789890933</v>
      </c>
      <c r="C10" s="3">
        <v>2.9160020179695399E-2</v>
      </c>
      <c r="D10" s="2">
        <f>B10*(1+C10)</f>
        <v>743.17784669633011</v>
      </c>
      <c r="E10" s="2">
        <f>LN(1+C10)</f>
        <v>2.8742955140139713E-2</v>
      </c>
      <c r="F10" s="2">
        <f>E10-$J$1</f>
        <v>2.3907143365717372E-2</v>
      </c>
      <c r="G10" s="2"/>
      <c r="H10" s="6">
        <v>743.17784669633011</v>
      </c>
      <c r="I10" s="5">
        <v>2.3907143365717372E-2</v>
      </c>
    </row>
    <row r="11" spans="1:10" x14ac:dyDescent="0.25">
      <c r="A11" s="3">
        <v>6</v>
      </c>
      <c r="B11" s="3">
        <v>735.534521693172</v>
      </c>
      <c r="C11" s="3">
        <v>4.2489213472349102E-2</v>
      </c>
      <c r="D11" s="2">
        <f>B11*(1+C11)</f>
        <v>766.78680500167536</v>
      </c>
      <c r="E11" s="2">
        <f>LN(1+C11)</f>
        <v>4.1611327848177525E-2</v>
      </c>
      <c r="F11" s="2">
        <f>E11-$J$1</f>
        <v>3.6775516073755184E-2</v>
      </c>
      <c r="G11" s="2"/>
      <c r="H11" s="6">
        <v>766.78680500167536</v>
      </c>
      <c r="I11" s="5">
        <v>3.6775516073755184E-2</v>
      </c>
    </row>
    <row r="12" spans="1:10" x14ac:dyDescent="0.25">
      <c r="A12" s="3">
        <v>7</v>
      </c>
      <c r="B12" s="3">
        <v>744.03113438716196</v>
      </c>
      <c r="C12" s="3">
        <v>5.4091529332628799E-2</v>
      </c>
      <c r="D12" s="2">
        <f>B12*(1+C12)</f>
        <v>784.27691631725418</v>
      </c>
      <c r="E12" s="2">
        <f>LN(1+C12)</f>
        <v>5.2679286322829366E-2</v>
      </c>
      <c r="F12" s="2">
        <f>E12-$J$1</f>
        <v>4.7843474548407025E-2</v>
      </c>
      <c r="G12" s="2"/>
      <c r="H12" s="6">
        <v>784.27691631725418</v>
      </c>
      <c r="I12" s="5">
        <v>4.7843474548407025E-2</v>
      </c>
    </row>
    <row r="13" spans="1:10" x14ac:dyDescent="0.25">
      <c r="A13" s="3">
        <v>8</v>
      </c>
      <c r="B13" s="3">
        <v>751.84067650026395</v>
      </c>
      <c r="C13" s="3">
        <v>6.7422452313458003E-2</v>
      </c>
      <c r="D13" s="2">
        <f>B13*(1+C13)</f>
        <v>802.53161865892093</v>
      </c>
      <c r="E13" s="2">
        <f>LN(1+C13)</f>
        <v>6.5246819279074927E-2</v>
      </c>
      <c r="F13" s="2">
        <f>E13-$J$1</f>
        <v>6.0411007504652586E-2</v>
      </c>
      <c r="G13" s="2"/>
      <c r="H13" s="6">
        <v>802.53161865892093</v>
      </c>
      <c r="I13" s="5">
        <v>6.0411007504652586E-2</v>
      </c>
    </row>
    <row r="14" spans="1:10" x14ac:dyDescent="0.25">
      <c r="A14" s="3">
        <v>9</v>
      </c>
      <c r="B14" s="3">
        <v>757.57555374045103</v>
      </c>
      <c r="C14" s="3">
        <v>8.4210805746408504E-2</v>
      </c>
      <c r="D14" s="2">
        <f>B14*(1+C14)</f>
        <v>821.37160153471609</v>
      </c>
      <c r="E14" s="2">
        <f>LN(1+C14)</f>
        <v>8.0852354356331799E-2</v>
      </c>
      <c r="F14" s="2">
        <f>E14-$J$1</f>
        <v>7.6016542581909458E-2</v>
      </c>
      <c r="G14" s="2"/>
      <c r="H14" s="6">
        <v>821.37160153471609</v>
      </c>
      <c r="I14" s="5">
        <v>7.6016542581909458E-2</v>
      </c>
    </row>
    <row r="15" spans="1:10" x14ac:dyDescent="0.25">
      <c r="A15" s="3">
        <v>10</v>
      </c>
      <c r="B15" s="3">
        <v>759.82126555518198</v>
      </c>
      <c r="C15" s="3">
        <v>0.102728631143996</v>
      </c>
      <c r="D15" s="2">
        <f>B15*(1+C15)</f>
        <v>837.87666407976462</v>
      </c>
      <c r="E15" s="2">
        <f>LN(1+C15)</f>
        <v>9.7787682026900136E-2</v>
      </c>
      <c r="F15" s="2">
        <f>E15-$J$1</f>
        <v>9.2951870252477795E-2</v>
      </c>
      <c r="G15" s="2"/>
      <c r="H15" s="6">
        <v>837.87666407976462</v>
      </c>
      <c r="I15" s="5">
        <v>9.2951870252477795E-2</v>
      </c>
    </row>
    <row r="16" spans="1:10" x14ac:dyDescent="0.25">
      <c r="A16" s="3">
        <v>11</v>
      </c>
      <c r="B16" s="3">
        <v>757.16715514342002</v>
      </c>
      <c r="C16" s="3">
        <v>0.12174179599288899</v>
      </c>
      <c r="D16" s="2">
        <f>B16*(1+C16)</f>
        <v>849.34604447740639</v>
      </c>
      <c r="E16" s="2">
        <f>LN(1+C16)</f>
        <v>0.11488265226832925</v>
      </c>
      <c r="F16" s="2">
        <f>E16-$J$1</f>
        <v>0.11004684049390691</v>
      </c>
      <c r="G16" s="2"/>
      <c r="H16" s="6">
        <v>849.34604447740639</v>
      </c>
      <c r="I16" s="5">
        <v>0.11004684049390691</v>
      </c>
    </row>
    <row r="17" spans="1:17" x14ac:dyDescent="0.25">
      <c r="A17" s="3">
        <v>12</v>
      </c>
      <c r="B17" s="3">
        <v>749.582472493154</v>
      </c>
      <c r="C17" s="3">
        <v>0.13729969249988</v>
      </c>
      <c r="D17" s="2">
        <f>B17*(1+C17)</f>
        <v>852.49991546976378</v>
      </c>
      <c r="E17" s="2">
        <f>LN(1+C17)</f>
        <v>0.12865676183091049</v>
      </c>
      <c r="F17" s="2">
        <f>E17-$J$1</f>
        <v>0.12382095005648815</v>
      </c>
      <c r="G17" s="2"/>
      <c r="H17" s="6">
        <v>852.49991546976378</v>
      </c>
      <c r="I17" s="5">
        <v>0.12382095005648815</v>
      </c>
    </row>
    <row r="18" spans="1:17" x14ac:dyDescent="0.25">
      <c r="A18" s="3">
        <v>13</v>
      </c>
      <c r="B18" s="3">
        <v>735.38259741507795</v>
      </c>
      <c r="C18" s="3">
        <v>0.15212074184403901</v>
      </c>
      <c r="D18" s="2">
        <f>B18*(1+C18)</f>
        <v>847.249543673056</v>
      </c>
      <c r="E18" s="2">
        <f>LN(1+C18)</f>
        <v>0.14160436740995552</v>
      </c>
      <c r="F18" s="2">
        <f>E18-$J$1</f>
        <v>0.1367685556355332</v>
      </c>
      <c r="G18" s="2"/>
      <c r="H18" s="6">
        <v>847.249543673056</v>
      </c>
      <c r="I18" s="5">
        <v>0.1367685556355332</v>
      </c>
    </row>
    <row r="19" spans="1:17" x14ac:dyDescent="0.25">
      <c r="A19" s="3">
        <v>14</v>
      </c>
      <c r="B19" s="3">
        <v>716.823139384039</v>
      </c>
      <c r="C19" s="3">
        <v>0.15854437130639501</v>
      </c>
      <c r="D19" s="2">
        <f>B19*(1+C19)</f>
        <v>830.47141335555784</v>
      </c>
      <c r="E19" s="2">
        <f>LN(1+C19)</f>
        <v>0.14716436480975148</v>
      </c>
      <c r="F19" s="2">
        <f>E19-$J$1</f>
        <v>0.14232855303532915</v>
      </c>
      <c r="G19" s="2"/>
      <c r="H19" s="6">
        <v>830.47141335555784</v>
      </c>
      <c r="I19" s="5">
        <v>0.14232855303532915</v>
      </c>
    </row>
    <row r="20" spans="1:17" x14ac:dyDescent="0.25">
      <c r="A20" s="3"/>
      <c r="B20" s="3"/>
      <c r="C20" s="3"/>
      <c r="D20" s="2"/>
      <c r="E20" s="2"/>
      <c r="F20" s="2"/>
      <c r="G20" s="2"/>
      <c r="H20" s="6"/>
      <c r="I20" s="5"/>
      <c r="K20" s="10"/>
      <c r="L20" s="10"/>
      <c r="M20" s="10"/>
      <c r="N20" s="10"/>
      <c r="O20" s="10"/>
      <c r="P20" s="10"/>
      <c r="Q20" s="10"/>
    </row>
    <row r="21" spans="1:17" x14ac:dyDescent="0.25">
      <c r="A21" s="3"/>
      <c r="B21" s="3"/>
      <c r="C21" s="3"/>
      <c r="D21" s="2"/>
      <c r="E21" s="2"/>
      <c r="F21" s="2"/>
      <c r="G21" s="2"/>
      <c r="H21" s="6"/>
      <c r="I21" s="5"/>
      <c r="K21" s="10"/>
      <c r="L21" s="10"/>
      <c r="M21" s="10"/>
      <c r="N21" s="10"/>
      <c r="O21" s="11"/>
      <c r="P21" s="12"/>
      <c r="Q21" s="10"/>
    </row>
    <row r="22" spans="1:17" x14ac:dyDescent="0.25">
      <c r="A22" s="3"/>
      <c r="B22" s="3"/>
      <c r="C22" s="3"/>
      <c r="D22" s="2"/>
      <c r="E22" s="2"/>
      <c r="F22" s="2"/>
      <c r="G22" s="2"/>
      <c r="H22" s="6"/>
      <c r="I22" s="5"/>
      <c r="K22" s="10"/>
      <c r="L22" s="11"/>
      <c r="M22" s="12"/>
      <c r="N22" s="10"/>
      <c r="O22" s="11"/>
      <c r="P22" s="12"/>
      <c r="Q22" s="10"/>
    </row>
    <row r="23" spans="1:17" x14ac:dyDescent="0.25">
      <c r="A23" s="3"/>
      <c r="B23" s="3"/>
      <c r="C23" s="3"/>
      <c r="D23" s="2"/>
      <c r="E23" s="2"/>
      <c r="F23" s="2"/>
      <c r="G23" s="2"/>
      <c r="H23" s="6"/>
      <c r="I23" s="5"/>
      <c r="K23" s="10"/>
      <c r="L23" s="11"/>
      <c r="M23" s="12"/>
      <c r="N23" s="10"/>
      <c r="O23" s="11"/>
      <c r="P23" s="12"/>
      <c r="Q23" s="10"/>
    </row>
    <row r="24" spans="1:17" x14ac:dyDescent="0.25">
      <c r="A24" s="3"/>
      <c r="B24" s="3"/>
      <c r="C24" s="3"/>
      <c r="D24" s="2"/>
      <c r="E24" s="2"/>
      <c r="F24" s="2"/>
      <c r="G24" s="2"/>
      <c r="H24" s="6"/>
      <c r="I24" s="5"/>
      <c r="K24" s="10"/>
      <c r="L24" s="11"/>
      <c r="M24" s="12"/>
      <c r="N24" s="10"/>
      <c r="O24" s="11"/>
      <c r="P24" s="12"/>
      <c r="Q24" s="10"/>
    </row>
    <row r="25" spans="1:17" x14ac:dyDescent="0.25">
      <c r="A25" s="3"/>
      <c r="B25" s="3"/>
      <c r="C25" s="3"/>
      <c r="D25" s="2"/>
      <c r="E25" s="2"/>
      <c r="F25" s="2"/>
      <c r="G25" s="2"/>
      <c r="H25" s="6"/>
      <c r="I25" s="5"/>
      <c r="K25" s="10"/>
      <c r="L25" s="11"/>
      <c r="M25" s="12"/>
      <c r="N25" s="10"/>
      <c r="O25" s="10"/>
      <c r="P25" s="10"/>
      <c r="Q25" s="10"/>
    </row>
    <row r="26" spans="1:17" x14ac:dyDescent="0.25">
      <c r="A26" s="3"/>
      <c r="B26" s="3"/>
      <c r="C26" s="3"/>
      <c r="D26" s="2"/>
      <c r="E26" s="2"/>
      <c r="F26" s="2"/>
      <c r="G26" s="2"/>
      <c r="H26" s="6"/>
      <c r="I26" s="5"/>
      <c r="K26" s="10"/>
      <c r="L26" s="11"/>
      <c r="M26" s="12"/>
      <c r="N26" s="10"/>
      <c r="O26" s="10"/>
      <c r="P26" s="10"/>
      <c r="Q26" s="10"/>
    </row>
    <row r="27" spans="1:17" x14ac:dyDescent="0.25">
      <c r="A27" s="3"/>
      <c r="B27" s="3"/>
      <c r="C27" s="3"/>
      <c r="D27" s="2"/>
      <c r="E27" s="2"/>
      <c r="F27" s="2"/>
      <c r="G27" s="2"/>
      <c r="H27" s="6"/>
      <c r="I27" s="5"/>
      <c r="K27" s="10"/>
      <c r="L27" s="11"/>
      <c r="M27" s="12"/>
      <c r="N27" s="10"/>
      <c r="O27" s="10"/>
      <c r="P27" s="10"/>
      <c r="Q27" s="10"/>
    </row>
    <row r="28" spans="1:17" x14ac:dyDescent="0.25">
      <c r="A28" s="3"/>
      <c r="B28" s="3"/>
      <c r="C28" s="3"/>
      <c r="D28" s="2"/>
      <c r="E28" s="2"/>
      <c r="F28" s="2"/>
      <c r="G28" s="2"/>
      <c r="H28" s="6"/>
      <c r="I28" s="5"/>
      <c r="K28" s="10"/>
      <c r="L28" s="11"/>
      <c r="M28" s="12"/>
      <c r="N28" s="10"/>
      <c r="O28" s="10"/>
      <c r="P28" s="10"/>
      <c r="Q28" s="10"/>
    </row>
    <row r="29" spans="1:17" x14ac:dyDescent="0.25">
      <c r="A29" s="3"/>
      <c r="B29" s="3"/>
      <c r="C29" s="3"/>
      <c r="D29" s="2"/>
      <c r="E29" s="2"/>
      <c r="F29" s="2"/>
      <c r="G29" s="2"/>
      <c r="H29" s="6"/>
      <c r="I29" s="5"/>
      <c r="K29" s="10"/>
      <c r="L29" s="11"/>
      <c r="M29" s="12"/>
      <c r="N29" s="10"/>
      <c r="O29" s="10"/>
      <c r="P29" s="10"/>
      <c r="Q29" s="10"/>
    </row>
    <row r="30" spans="1:17" x14ac:dyDescent="0.25">
      <c r="A30" s="3"/>
      <c r="B30" s="3"/>
      <c r="C30" s="3"/>
      <c r="D30" s="2"/>
      <c r="E30" s="2"/>
      <c r="F30" s="2"/>
      <c r="G30" s="2"/>
      <c r="H30" s="6"/>
      <c r="I30" s="5"/>
      <c r="K30" s="10"/>
      <c r="L30" s="11"/>
      <c r="M30" s="12"/>
      <c r="N30" s="10"/>
      <c r="O30" s="10"/>
      <c r="P30" s="10"/>
      <c r="Q30" s="10"/>
    </row>
    <row r="31" spans="1:17" x14ac:dyDescent="0.25">
      <c r="A31" s="3"/>
      <c r="B31" s="3"/>
      <c r="C31" s="3"/>
      <c r="D31" s="2"/>
      <c r="E31" s="2"/>
      <c r="F31" s="2"/>
      <c r="G31" s="2"/>
      <c r="H31" s="6"/>
      <c r="I31" s="5"/>
      <c r="K31" s="10"/>
      <c r="L31" s="11"/>
      <c r="M31" s="12"/>
      <c r="N31" s="10"/>
      <c r="O31" s="10"/>
      <c r="P31" s="10"/>
      <c r="Q31" s="10"/>
    </row>
    <row r="32" spans="1:17" x14ac:dyDescent="0.25">
      <c r="A32" s="3"/>
      <c r="B32" s="3"/>
      <c r="C32" s="3"/>
      <c r="D32" s="2"/>
      <c r="E32" s="2"/>
      <c r="F32" s="2"/>
      <c r="G32" s="2"/>
      <c r="H32" s="4"/>
      <c r="I32" s="4"/>
      <c r="K32" s="10"/>
      <c r="L32" s="11"/>
      <c r="M32" s="12"/>
      <c r="N32" s="10"/>
      <c r="O32" s="10"/>
      <c r="P32" s="10"/>
      <c r="Q32" s="10"/>
    </row>
    <row r="33" spans="1:17" x14ac:dyDescent="0.25">
      <c r="A33" s="3"/>
      <c r="B33" s="3"/>
      <c r="C33" s="3"/>
      <c r="D33" s="2"/>
      <c r="E33" s="2"/>
      <c r="F33" s="2"/>
      <c r="G33" s="2"/>
      <c r="H33" s="4"/>
      <c r="I33" s="4"/>
      <c r="K33" s="10"/>
      <c r="L33" s="11"/>
      <c r="M33" s="12"/>
      <c r="N33" s="10"/>
      <c r="O33" s="10"/>
      <c r="P33" s="10"/>
      <c r="Q33" s="10"/>
    </row>
    <row r="34" spans="1:17" x14ac:dyDescent="0.25">
      <c r="A34" s="3"/>
      <c r="B34" s="3"/>
      <c r="C34" s="3"/>
      <c r="D34" s="2"/>
      <c r="E34" s="2"/>
      <c r="F34" s="2"/>
      <c r="G34" s="2"/>
      <c r="H34" s="4"/>
      <c r="I34" s="4"/>
      <c r="K34" s="10"/>
      <c r="L34" s="11"/>
      <c r="M34" s="12"/>
      <c r="N34" s="10"/>
      <c r="O34" s="10"/>
      <c r="P34" s="10"/>
      <c r="Q34" s="10"/>
    </row>
    <row r="35" spans="1:17" x14ac:dyDescent="0.25">
      <c r="A35" s="3"/>
      <c r="B35" s="3"/>
      <c r="C35" s="3"/>
      <c r="D35" s="2"/>
      <c r="E35" s="2"/>
      <c r="F35" s="2"/>
      <c r="G35" s="2"/>
      <c r="H35" s="4"/>
      <c r="I35" s="4"/>
      <c r="K35" s="10"/>
      <c r="L35" s="11"/>
      <c r="M35" s="12"/>
      <c r="N35" s="10"/>
      <c r="O35" s="10"/>
      <c r="P35" s="10"/>
      <c r="Q35" s="10"/>
    </row>
    <row r="36" spans="1:17" x14ac:dyDescent="0.25">
      <c r="A36" s="3"/>
      <c r="B36" s="3"/>
      <c r="C36" s="3"/>
      <c r="D36" s="2"/>
      <c r="E36" s="2"/>
      <c r="F36" s="2"/>
      <c r="G36" s="2"/>
      <c r="H36" s="4"/>
      <c r="I36" s="4"/>
      <c r="K36" s="10"/>
      <c r="L36" s="10"/>
      <c r="M36" s="10"/>
      <c r="N36" s="10"/>
      <c r="O36" s="10"/>
      <c r="P36" s="10"/>
      <c r="Q36" s="10"/>
    </row>
    <row r="37" spans="1:17" x14ac:dyDescent="0.25">
      <c r="A37" s="3"/>
      <c r="B37" s="3"/>
      <c r="C37" s="3"/>
      <c r="D37" s="2"/>
      <c r="E37" s="2"/>
      <c r="F37" s="2"/>
      <c r="G37" s="2"/>
      <c r="H37" s="4"/>
      <c r="I37" s="4"/>
      <c r="K37" s="10"/>
      <c r="L37" s="10"/>
      <c r="M37" s="10"/>
      <c r="N37" s="10"/>
      <c r="O37" s="10"/>
      <c r="P37" s="10"/>
      <c r="Q37" s="10"/>
    </row>
    <row r="38" spans="1:17" x14ac:dyDescent="0.25">
      <c r="A38" s="3"/>
      <c r="B38" s="3"/>
      <c r="C38" s="3"/>
      <c r="D38" s="2"/>
      <c r="E38" s="2"/>
      <c r="F38" s="2"/>
      <c r="G38" s="2"/>
      <c r="H38" s="2"/>
      <c r="I38" s="2"/>
    </row>
    <row r="39" spans="1:17" x14ac:dyDescent="0.25">
      <c r="A39" s="3"/>
      <c r="B39" s="3"/>
      <c r="C39" s="3"/>
      <c r="D39" s="2"/>
      <c r="E39" s="2"/>
      <c r="F39" s="2"/>
      <c r="G39" s="2"/>
      <c r="H39" s="4"/>
      <c r="I39" s="4"/>
    </row>
    <row r="40" spans="1:17" x14ac:dyDescent="0.25">
      <c r="A40" s="3"/>
      <c r="B40" s="3"/>
      <c r="C40" s="3"/>
      <c r="D40" s="2"/>
      <c r="E40" s="2"/>
      <c r="F40" s="2"/>
      <c r="G40" s="2"/>
      <c r="H40" s="4"/>
      <c r="I40" s="4"/>
    </row>
    <row r="41" spans="1:17" x14ac:dyDescent="0.25">
      <c r="A41" s="3"/>
      <c r="B41" s="3"/>
      <c r="C41" s="3"/>
      <c r="D41" s="2"/>
      <c r="E41" s="2"/>
      <c r="F41" s="2"/>
      <c r="G41" s="2"/>
      <c r="H41" s="4"/>
      <c r="I41" s="4"/>
    </row>
    <row r="42" spans="1:17" x14ac:dyDescent="0.25">
      <c r="A42" s="3"/>
      <c r="B42" s="3"/>
      <c r="C42" s="3"/>
      <c r="D42" s="2"/>
      <c r="E42" s="2"/>
      <c r="F42" s="2"/>
      <c r="G42" s="2"/>
      <c r="H42" s="4"/>
      <c r="I42" s="4"/>
    </row>
    <row r="43" spans="1:17" x14ac:dyDescent="0.25">
      <c r="A43" s="3"/>
      <c r="B43" s="3"/>
      <c r="C43" s="3"/>
      <c r="D43" s="2"/>
      <c r="E43" s="2"/>
      <c r="F43" s="2"/>
      <c r="G43" s="2"/>
      <c r="H43" s="4"/>
      <c r="I43" s="4"/>
    </row>
    <row r="44" spans="1:17" x14ac:dyDescent="0.25">
      <c r="A44" s="3"/>
      <c r="B44" s="3"/>
      <c r="C44" s="3"/>
      <c r="D44" s="2"/>
      <c r="E44" s="2"/>
      <c r="F44" s="2"/>
      <c r="G44" s="2"/>
      <c r="H44" s="4"/>
      <c r="I44" s="4"/>
    </row>
    <row r="45" spans="1:17" x14ac:dyDescent="0.25">
      <c r="A45" s="3"/>
      <c r="B45" s="3"/>
      <c r="C45" s="3"/>
      <c r="D45" s="2"/>
      <c r="E45" s="2"/>
      <c r="F45" s="2"/>
      <c r="G45" s="2"/>
      <c r="H45" s="4"/>
      <c r="I45" s="4"/>
    </row>
    <row r="46" spans="1:17" x14ac:dyDescent="0.25">
      <c r="A46" s="3"/>
      <c r="B46" s="3"/>
      <c r="C46" s="3"/>
      <c r="D46" s="2"/>
      <c r="E46" s="2"/>
      <c r="F46" s="2"/>
      <c r="G46" s="2"/>
      <c r="H46" s="4"/>
      <c r="I46" s="4"/>
    </row>
    <row r="47" spans="1:17" x14ac:dyDescent="0.25">
      <c r="A47" s="3"/>
      <c r="B47" s="3"/>
      <c r="C47" s="3"/>
      <c r="D47" s="2"/>
      <c r="E47" s="2"/>
      <c r="F47" s="2"/>
      <c r="G47" s="2"/>
      <c r="H47" s="4"/>
      <c r="I47" s="4"/>
    </row>
    <row r="48" spans="1:17" x14ac:dyDescent="0.25">
      <c r="A48" s="3"/>
      <c r="B48" s="3"/>
      <c r="C48" s="3"/>
      <c r="D48" s="2"/>
      <c r="E48" s="2"/>
      <c r="F48" s="2"/>
      <c r="G48" s="2"/>
      <c r="H48" s="4"/>
      <c r="I48" s="4"/>
    </row>
    <row r="49" spans="1:9" x14ac:dyDescent="0.25">
      <c r="A49" s="3"/>
      <c r="B49" s="3"/>
      <c r="C49" s="3"/>
      <c r="D49" s="2"/>
      <c r="E49" s="2"/>
      <c r="F49" s="2"/>
      <c r="G49" s="2"/>
      <c r="H49" s="4"/>
      <c r="I49" s="4"/>
    </row>
    <row r="50" spans="1:9" x14ac:dyDescent="0.25">
      <c r="A50" s="3"/>
      <c r="B50" s="3"/>
      <c r="C50" s="3"/>
      <c r="D50" s="2"/>
      <c r="E50" s="2"/>
      <c r="F50" s="2"/>
      <c r="G50" s="2"/>
      <c r="H50" s="4"/>
      <c r="I50" s="4"/>
    </row>
    <row r="51" spans="1:9" x14ac:dyDescent="0.25">
      <c r="A51" s="3"/>
      <c r="B51" s="3"/>
      <c r="C51" s="3"/>
      <c r="D51" s="2"/>
      <c r="E51" s="2"/>
      <c r="F51" s="2"/>
      <c r="G51" s="2"/>
      <c r="H51" s="4"/>
      <c r="I51" s="4"/>
    </row>
    <row r="52" spans="1:9" x14ac:dyDescent="0.25">
      <c r="A52" s="3"/>
      <c r="B52" s="3"/>
      <c r="C52" s="3"/>
      <c r="D52" s="2"/>
      <c r="E52" s="2"/>
      <c r="F52" s="2"/>
      <c r="G52" s="2"/>
      <c r="H52" s="4"/>
      <c r="I52" s="4"/>
    </row>
    <row r="53" spans="1:9" x14ac:dyDescent="0.25">
      <c r="A53" s="3"/>
      <c r="B53" s="3"/>
      <c r="C53" s="3"/>
      <c r="D53" s="2"/>
      <c r="E53" s="2"/>
      <c r="F53" s="2"/>
      <c r="G53" s="2"/>
      <c r="H53" s="4"/>
      <c r="I53" s="4"/>
    </row>
    <row r="54" spans="1:9" x14ac:dyDescent="0.25">
      <c r="A54" s="3"/>
      <c r="B54" s="3"/>
      <c r="C54" s="3"/>
      <c r="D54" s="2"/>
      <c r="E54" s="2"/>
      <c r="F54" s="2"/>
      <c r="G54" s="2"/>
      <c r="H54" s="4"/>
      <c r="I54" s="4"/>
    </row>
    <row r="55" spans="1:9" x14ac:dyDescent="0.25">
      <c r="A55" s="3"/>
      <c r="B55" s="3"/>
      <c r="C55" s="3"/>
      <c r="D55" s="2"/>
      <c r="E55" s="2"/>
      <c r="F55" s="2"/>
      <c r="G55" s="2"/>
      <c r="H55" s="4"/>
      <c r="I55" s="4"/>
    </row>
    <row r="56" spans="1:9" x14ac:dyDescent="0.25">
      <c r="A56" s="3"/>
      <c r="B56" s="3"/>
      <c r="C56" s="3"/>
      <c r="D56" s="2"/>
      <c r="E56" s="2"/>
      <c r="F56" s="2"/>
      <c r="G56" s="2"/>
      <c r="H56" s="4"/>
      <c r="I56" s="4"/>
    </row>
    <row r="57" spans="1:9" x14ac:dyDescent="0.25">
      <c r="A57" s="3"/>
      <c r="B57" s="3"/>
      <c r="C57" s="3"/>
      <c r="D57" s="2"/>
      <c r="E57" s="2"/>
      <c r="F57" s="2"/>
      <c r="G57" s="2"/>
      <c r="H57" s="4"/>
      <c r="I57" s="4"/>
    </row>
    <row r="58" spans="1:9" x14ac:dyDescent="0.25">
      <c r="A58" s="3"/>
      <c r="B58" s="3"/>
      <c r="C58" s="3"/>
      <c r="D58" s="2"/>
      <c r="E58" s="2"/>
      <c r="F58" s="2"/>
      <c r="G58" s="2"/>
      <c r="H58" s="4"/>
      <c r="I58" s="4"/>
    </row>
    <row r="59" spans="1:9" x14ac:dyDescent="0.25">
      <c r="A59" s="3"/>
      <c r="B59" s="3"/>
      <c r="C59" s="3"/>
      <c r="D59" s="2"/>
      <c r="E59" s="2"/>
      <c r="F59" s="2"/>
      <c r="G59" s="2"/>
      <c r="H59" s="4"/>
      <c r="I59" s="4"/>
    </row>
    <row r="60" spans="1:9" x14ac:dyDescent="0.25">
      <c r="A60" s="3"/>
      <c r="B60" s="3"/>
      <c r="C60" s="3"/>
      <c r="D60" s="2"/>
      <c r="E60" s="2"/>
      <c r="F60" s="2"/>
      <c r="G60" s="2"/>
      <c r="H60" s="4"/>
      <c r="I60" s="4"/>
    </row>
    <row r="61" spans="1:9" x14ac:dyDescent="0.25">
      <c r="A61" s="3"/>
      <c r="B61" s="3"/>
      <c r="C61" s="3"/>
      <c r="D61" s="2"/>
      <c r="E61" s="2"/>
      <c r="F61" s="2"/>
      <c r="G61" s="2"/>
      <c r="H61" s="4"/>
      <c r="I61" s="4"/>
    </row>
    <row r="62" spans="1:9" x14ac:dyDescent="0.25">
      <c r="A62" s="3"/>
      <c r="B62" s="3"/>
      <c r="C62" s="3"/>
      <c r="D62" s="2"/>
      <c r="E62" s="2"/>
      <c r="F62" s="2"/>
      <c r="G62" s="2"/>
      <c r="H62" s="4"/>
      <c r="I62" s="4"/>
    </row>
    <row r="63" spans="1:9" x14ac:dyDescent="0.25">
      <c r="A63" s="3"/>
      <c r="B63" s="3"/>
      <c r="C63" s="3"/>
      <c r="D63" s="2"/>
      <c r="E63" s="2"/>
      <c r="F63" s="2"/>
      <c r="G63" s="2"/>
      <c r="H63" s="4"/>
      <c r="I63" s="4"/>
    </row>
    <row r="64" spans="1:9" x14ac:dyDescent="0.25">
      <c r="A64" s="3"/>
      <c r="B64" s="3"/>
      <c r="C64" s="3"/>
      <c r="D64" s="2"/>
      <c r="E64" s="2"/>
      <c r="F64" s="2"/>
      <c r="G64" s="2"/>
      <c r="H64" s="4"/>
      <c r="I64" s="4"/>
    </row>
    <row r="65" spans="1:9" x14ac:dyDescent="0.25">
      <c r="A65" s="3"/>
      <c r="B65" s="3"/>
      <c r="C65" s="3"/>
      <c r="D65" s="2"/>
      <c r="E65" s="2"/>
      <c r="F65" s="2"/>
      <c r="G65" s="2"/>
      <c r="H65" s="4"/>
      <c r="I65" s="4"/>
    </row>
    <row r="66" spans="1:9" x14ac:dyDescent="0.25">
      <c r="A66" s="3"/>
      <c r="B66" s="3"/>
      <c r="C66" s="3"/>
      <c r="D66" s="2"/>
      <c r="E66" s="2"/>
      <c r="F66" s="2"/>
      <c r="G66" s="2"/>
      <c r="H66" s="4"/>
      <c r="I66" s="4"/>
    </row>
    <row r="67" spans="1:9" x14ac:dyDescent="0.25">
      <c r="A67" s="3"/>
      <c r="B67" s="3"/>
      <c r="C67" s="3"/>
      <c r="D67" s="2"/>
      <c r="E67" s="2"/>
      <c r="F67" s="2"/>
      <c r="G67" s="2"/>
      <c r="H67" s="4"/>
      <c r="I67" s="4"/>
    </row>
    <row r="68" spans="1:9" x14ac:dyDescent="0.25">
      <c r="A68" s="3"/>
      <c r="B68" s="3"/>
      <c r="C68" s="3"/>
      <c r="D68" s="2"/>
      <c r="E68" s="2"/>
      <c r="F68" s="2"/>
      <c r="G68" s="2"/>
      <c r="H68" s="4"/>
      <c r="I68" s="4"/>
    </row>
    <row r="69" spans="1:9" x14ac:dyDescent="0.25">
      <c r="A69" s="3"/>
      <c r="B69" s="3"/>
      <c r="C69" s="3"/>
      <c r="D69" s="2"/>
      <c r="E69" s="2"/>
      <c r="F69" s="2"/>
      <c r="G69" s="2"/>
      <c r="H69" s="4"/>
      <c r="I69" s="4"/>
    </row>
    <row r="70" spans="1:9" x14ac:dyDescent="0.25">
      <c r="A70" s="3"/>
      <c r="B70" s="3"/>
      <c r="C70" s="3"/>
      <c r="D70" s="2"/>
      <c r="E70" s="2"/>
      <c r="F70" s="2"/>
      <c r="G70" s="2"/>
      <c r="H70" s="4"/>
      <c r="I70" s="4"/>
    </row>
    <row r="71" spans="1:9" x14ac:dyDescent="0.25">
      <c r="A71" s="3"/>
      <c r="B71" s="3"/>
      <c r="C71" s="3"/>
      <c r="D71" s="2"/>
      <c r="E71" s="2"/>
      <c r="F71" s="2"/>
      <c r="G71" s="2"/>
      <c r="H71" s="4"/>
      <c r="I71" s="4"/>
    </row>
    <row r="72" spans="1:9" x14ac:dyDescent="0.25">
      <c r="A72" s="3"/>
      <c r="B72" s="3"/>
      <c r="C72" s="3"/>
      <c r="D72" s="2"/>
      <c r="E72" s="2"/>
      <c r="F72" s="2"/>
      <c r="G72" s="2"/>
      <c r="H72" s="4"/>
      <c r="I72" s="4"/>
    </row>
    <row r="73" spans="1:9" x14ac:dyDescent="0.25">
      <c r="A73" s="3"/>
      <c r="B73" s="3"/>
      <c r="C73" s="3"/>
      <c r="D73" s="2"/>
      <c r="E73" s="2"/>
      <c r="F73" s="2"/>
      <c r="G73" s="2"/>
      <c r="H73" s="4"/>
      <c r="I73" s="4"/>
    </row>
    <row r="74" spans="1:9" x14ac:dyDescent="0.25">
      <c r="A74" s="3"/>
      <c r="B74" s="3"/>
      <c r="C74" s="3"/>
      <c r="D74" s="2"/>
      <c r="E74" s="2"/>
      <c r="F74" s="2"/>
      <c r="G74" s="2"/>
      <c r="H74" s="4"/>
      <c r="I74" s="4"/>
    </row>
    <row r="75" spans="1:9" x14ac:dyDescent="0.25">
      <c r="A75" s="3"/>
      <c r="B75" s="3"/>
      <c r="C75" s="3"/>
      <c r="D75" s="2"/>
      <c r="E75" s="2"/>
      <c r="F75" s="2"/>
      <c r="G75" s="2"/>
      <c r="H75" s="4"/>
      <c r="I75" s="4"/>
    </row>
    <row r="76" spans="1:9" x14ac:dyDescent="0.25">
      <c r="A76" s="3"/>
      <c r="B76" s="3"/>
      <c r="C76" s="3"/>
      <c r="D76" s="2"/>
      <c r="E76" s="2"/>
      <c r="F76" s="2"/>
      <c r="G76" s="2"/>
      <c r="H76" s="4"/>
      <c r="I76" s="4"/>
    </row>
    <row r="77" spans="1:9" x14ac:dyDescent="0.25">
      <c r="A77" s="3"/>
      <c r="B77" s="3"/>
      <c r="C77" s="3"/>
      <c r="D77" s="2"/>
      <c r="E77" s="2"/>
      <c r="F77" s="2"/>
      <c r="G77" s="2"/>
      <c r="H77" s="4"/>
      <c r="I77" s="4"/>
    </row>
    <row r="78" spans="1:9" x14ac:dyDescent="0.25">
      <c r="A78" s="3"/>
      <c r="B78" s="3"/>
      <c r="C78" s="3"/>
      <c r="D78" s="2"/>
      <c r="E78" s="2"/>
      <c r="F78" s="2"/>
      <c r="G78" s="2"/>
      <c r="H78" s="4"/>
      <c r="I78" s="4"/>
    </row>
    <row r="79" spans="1:9" x14ac:dyDescent="0.25">
      <c r="A79" s="3"/>
      <c r="B79" s="3"/>
      <c r="C79" s="3"/>
      <c r="D79" s="2"/>
      <c r="E79" s="2"/>
      <c r="F79" s="2"/>
      <c r="G79" s="2"/>
      <c r="H79" s="4"/>
      <c r="I79" s="4"/>
    </row>
    <row r="80" spans="1:9" x14ac:dyDescent="0.25">
      <c r="A80" s="3"/>
      <c r="B80" s="3"/>
      <c r="C80" s="3"/>
      <c r="D80" s="2"/>
      <c r="E80" s="2"/>
      <c r="F80" s="2"/>
      <c r="G80" s="2"/>
      <c r="H80" s="4"/>
      <c r="I80" s="4"/>
    </row>
    <row r="81" spans="1:9" x14ac:dyDescent="0.25">
      <c r="A81" s="3"/>
      <c r="B81" s="3"/>
      <c r="C81" s="3"/>
      <c r="D81" s="2"/>
      <c r="E81" s="2"/>
      <c r="F81" s="2"/>
      <c r="G81" s="2"/>
      <c r="H81" s="4"/>
      <c r="I81" s="4"/>
    </row>
    <row r="82" spans="1:9" x14ac:dyDescent="0.25">
      <c r="A82" s="3"/>
      <c r="B82" s="3"/>
      <c r="C82" s="3"/>
      <c r="D82" s="2"/>
      <c r="E82" s="2"/>
      <c r="F82" s="2"/>
      <c r="G82" s="2"/>
      <c r="H82" s="4"/>
      <c r="I82" s="4"/>
    </row>
    <row r="83" spans="1:9" x14ac:dyDescent="0.25">
      <c r="A83" s="3"/>
      <c r="B83" s="3"/>
      <c r="C83" s="3"/>
      <c r="D83" s="2"/>
      <c r="E83" s="2"/>
      <c r="F83" s="2"/>
      <c r="G83" s="2"/>
      <c r="H83" s="4"/>
      <c r="I83" s="4"/>
    </row>
    <row r="84" spans="1:9" x14ac:dyDescent="0.25">
      <c r="A84" s="3"/>
      <c r="B84" s="3"/>
      <c r="C84" s="3"/>
      <c r="D84" s="2"/>
      <c r="E84" s="2"/>
      <c r="F84" s="2"/>
      <c r="G84" s="2"/>
      <c r="H84" s="4"/>
      <c r="I84" s="4"/>
    </row>
    <row r="85" spans="1:9" x14ac:dyDescent="0.25">
      <c r="A85" s="3"/>
      <c r="B85" s="3"/>
      <c r="C85" s="3"/>
      <c r="D85" s="2"/>
      <c r="E85" s="2"/>
      <c r="F85" s="2"/>
      <c r="G85" s="2"/>
      <c r="H85" s="4"/>
      <c r="I85" s="4"/>
    </row>
    <row r="86" spans="1:9" x14ac:dyDescent="0.25">
      <c r="A86" s="3"/>
      <c r="B86" s="3"/>
      <c r="C86" s="3"/>
      <c r="D86" s="2"/>
      <c r="E86" s="2"/>
      <c r="F86" s="2"/>
      <c r="G86" s="2"/>
      <c r="H86" s="4"/>
      <c r="I86" s="4"/>
    </row>
    <row r="87" spans="1:9" x14ac:dyDescent="0.25">
      <c r="A87" s="3"/>
      <c r="B87" s="3"/>
      <c r="C87" s="3"/>
      <c r="D87" s="2"/>
      <c r="E87" s="2"/>
      <c r="F87" s="2"/>
      <c r="G87" s="2"/>
      <c r="H87" s="4"/>
      <c r="I87" s="4"/>
    </row>
    <row r="88" spans="1:9" x14ac:dyDescent="0.25">
      <c r="A88" s="3"/>
      <c r="B88" s="3"/>
      <c r="C88" s="3"/>
      <c r="D88" s="2"/>
      <c r="E88" s="2"/>
      <c r="F88" s="2"/>
      <c r="G88" s="2"/>
      <c r="H88" s="4"/>
      <c r="I88" s="4"/>
    </row>
    <row r="89" spans="1:9" x14ac:dyDescent="0.25">
      <c r="A89" s="3"/>
      <c r="B89" s="3"/>
      <c r="C89" s="3"/>
      <c r="D89" s="2"/>
      <c r="E89" s="2"/>
      <c r="F89" s="2"/>
      <c r="G89" s="2"/>
      <c r="H89" s="4"/>
      <c r="I89" s="4"/>
    </row>
    <row r="90" spans="1:9" x14ac:dyDescent="0.25">
      <c r="A90" s="3"/>
      <c r="B90" s="3"/>
      <c r="C90" s="3"/>
      <c r="D90" s="2"/>
      <c r="E90" s="2"/>
      <c r="F90" s="2"/>
      <c r="G90" s="2"/>
      <c r="H90" s="4"/>
      <c r="I90" s="4"/>
    </row>
    <row r="91" spans="1:9" x14ac:dyDescent="0.25">
      <c r="A91" s="3"/>
      <c r="B91" s="3"/>
      <c r="C91" s="3"/>
      <c r="D91" s="2"/>
      <c r="E91" s="2"/>
      <c r="F91" s="2"/>
      <c r="G91" s="2"/>
      <c r="H91" s="4"/>
      <c r="I91" s="4"/>
    </row>
    <row r="92" spans="1:9" x14ac:dyDescent="0.25">
      <c r="A92" s="3"/>
      <c r="B92" s="3"/>
      <c r="C92" s="3"/>
      <c r="D92" s="2"/>
      <c r="E92" s="2"/>
      <c r="F92" s="2"/>
      <c r="G92" s="2"/>
      <c r="H92" s="4"/>
      <c r="I92" s="4"/>
    </row>
    <row r="93" spans="1:9" x14ac:dyDescent="0.25">
      <c r="A93" s="3"/>
      <c r="B93" s="3"/>
      <c r="C93" s="3"/>
      <c r="D93" s="2"/>
      <c r="E93" s="2"/>
      <c r="F93" s="2"/>
      <c r="G93" s="2"/>
      <c r="H93" s="4"/>
      <c r="I93" s="4"/>
    </row>
    <row r="94" spans="1:9" x14ac:dyDescent="0.25">
      <c r="A94" s="3"/>
      <c r="B94" s="3"/>
      <c r="C94" s="3"/>
      <c r="D94" s="2"/>
      <c r="E94" s="2"/>
      <c r="F94" s="2"/>
      <c r="G94" s="2"/>
      <c r="H94" s="4"/>
      <c r="I94" s="4"/>
    </row>
    <row r="95" spans="1:9" x14ac:dyDescent="0.25">
      <c r="A95" s="3"/>
      <c r="B95" s="3"/>
      <c r="C95" s="3"/>
      <c r="D95" s="2"/>
      <c r="E95" s="2"/>
      <c r="F95" s="2"/>
      <c r="G95" s="2"/>
      <c r="H95" s="4"/>
      <c r="I95" s="4"/>
    </row>
    <row r="96" spans="1:9" x14ac:dyDescent="0.25">
      <c r="A96" s="3"/>
      <c r="B96" s="3"/>
      <c r="C96" s="3"/>
      <c r="D96" s="2"/>
      <c r="E96" s="2"/>
      <c r="F96" s="2"/>
      <c r="G96" s="2"/>
      <c r="H96" s="4"/>
      <c r="I96" s="4"/>
    </row>
    <row r="97" spans="1:9" x14ac:dyDescent="0.25">
      <c r="A97" s="3"/>
      <c r="B97" s="3"/>
      <c r="C97" s="3"/>
      <c r="D97" s="2"/>
      <c r="E97" s="2"/>
      <c r="F97" s="2"/>
      <c r="G97" s="2"/>
      <c r="H97" s="4"/>
      <c r="I97" s="4"/>
    </row>
    <row r="98" spans="1:9" x14ac:dyDescent="0.25">
      <c r="A98" s="3"/>
      <c r="B98" s="3"/>
      <c r="C98" s="3"/>
      <c r="D98" s="2"/>
      <c r="E98" s="2"/>
      <c r="F98" s="2"/>
      <c r="G98" s="2"/>
      <c r="H98" s="4"/>
      <c r="I98" s="4"/>
    </row>
    <row r="99" spans="1:9" x14ac:dyDescent="0.25">
      <c r="A99" s="3"/>
      <c r="B99" s="3"/>
      <c r="C99" s="3"/>
      <c r="D99" s="2"/>
      <c r="E99" s="2"/>
      <c r="F99" s="2"/>
      <c r="G99" s="2"/>
      <c r="H99" s="4"/>
      <c r="I99" s="4"/>
    </row>
    <row r="100" spans="1:9" x14ac:dyDescent="0.25">
      <c r="A100" s="3"/>
      <c r="B100" s="3"/>
      <c r="C100" s="3"/>
      <c r="D100" s="2"/>
      <c r="E100" s="2"/>
      <c r="F100" s="2"/>
      <c r="G100" s="2"/>
      <c r="H100" s="4"/>
      <c r="I100" s="4"/>
    </row>
    <row r="101" spans="1:9" x14ac:dyDescent="0.25">
      <c r="A101" s="3"/>
      <c r="B101" s="3"/>
      <c r="C101" s="3"/>
      <c r="D101" s="2"/>
      <c r="E101" s="2"/>
      <c r="F101" s="2"/>
      <c r="G101" s="2"/>
      <c r="H101" s="4"/>
      <c r="I101" s="4"/>
    </row>
    <row r="102" spans="1:9" x14ac:dyDescent="0.25">
      <c r="A102" s="3"/>
      <c r="B102" s="3"/>
      <c r="C102" s="3"/>
      <c r="D102" s="2"/>
      <c r="E102" s="2"/>
      <c r="F102" s="2"/>
      <c r="G102" s="2"/>
      <c r="H102" s="4"/>
      <c r="I102" s="4"/>
    </row>
    <row r="103" spans="1:9" x14ac:dyDescent="0.25">
      <c r="A103" s="3"/>
      <c r="B103" s="3"/>
      <c r="C103" s="3"/>
      <c r="D103" s="2"/>
      <c r="E103" s="2"/>
      <c r="F103" s="2"/>
      <c r="G103" s="2"/>
      <c r="H103" s="4"/>
      <c r="I103" s="4"/>
    </row>
    <row r="104" spans="1:9" x14ac:dyDescent="0.25">
      <c r="A104" s="3"/>
      <c r="B104" s="3"/>
      <c r="C104" s="3"/>
      <c r="D104" s="2"/>
      <c r="E104" s="2"/>
      <c r="F104" s="2"/>
      <c r="G104" s="2"/>
      <c r="H104" s="4"/>
      <c r="I104" s="4"/>
    </row>
    <row r="105" spans="1:9" x14ac:dyDescent="0.25">
      <c r="A105" s="3"/>
      <c r="B105" s="3"/>
      <c r="C105" s="3"/>
      <c r="D105" s="2"/>
      <c r="E105" s="2"/>
      <c r="F105" s="2"/>
      <c r="G105" s="2"/>
      <c r="H105" s="4"/>
      <c r="I105" s="4"/>
    </row>
    <row r="106" spans="1:9" x14ac:dyDescent="0.25">
      <c r="A106" s="3"/>
      <c r="B106" s="3"/>
      <c r="C106" s="3"/>
      <c r="D106" s="2"/>
      <c r="E106" s="2"/>
      <c r="F106" s="2"/>
      <c r="G106" s="2"/>
      <c r="H106" s="2"/>
      <c r="I106" s="2"/>
    </row>
    <row r="107" spans="1:9" x14ac:dyDescent="0.25">
      <c r="A107" s="3"/>
      <c r="B107" s="3"/>
      <c r="C107" s="3"/>
      <c r="D107" s="2"/>
      <c r="E107" s="2"/>
      <c r="F107" s="2"/>
      <c r="G107" s="2"/>
      <c r="H107" s="2"/>
      <c r="I107" s="2"/>
    </row>
    <row r="108" spans="1:9" x14ac:dyDescent="0.25">
      <c r="A108" s="3"/>
      <c r="B108" s="3"/>
      <c r="C108" s="3"/>
      <c r="D108" s="2"/>
      <c r="E108" s="2"/>
      <c r="F108" s="2"/>
      <c r="G108" s="2"/>
      <c r="H108" s="2"/>
      <c r="I108" s="2"/>
    </row>
    <row r="109" spans="1:9" x14ac:dyDescent="0.25">
      <c r="A109" s="3"/>
      <c r="B109" s="3"/>
      <c r="C109" s="3"/>
      <c r="D109" s="2"/>
      <c r="E109" s="2"/>
      <c r="F109" s="2"/>
      <c r="G109" s="2"/>
      <c r="H109" s="2"/>
      <c r="I109" s="2"/>
    </row>
    <row r="110" spans="1:9" x14ac:dyDescent="0.25">
      <c r="A110" s="3"/>
      <c r="B110" s="3"/>
      <c r="C110" s="3"/>
      <c r="D110" s="2"/>
      <c r="E110" s="2"/>
      <c r="F110" s="2"/>
      <c r="G110" s="2"/>
      <c r="H110" s="2"/>
      <c r="I110" s="2"/>
    </row>
    <row r="111" spans="1:9" x14ac:dyDescent="0.25">
      <c r="A111" s="3"/>
      <c r="B111" s="3"/>
      <c r="C111" s="3"/>
      <c r="D111" s="2"/>
      <c r="E111" s="2"/>
      <c r="F111" s="2"/>
      <c r="G111" s="2"/>
      <c r="H111" s="2"/>
      <c r="I111" s="2"/>
    </row>
    <row r="112" spans="1:9" x14ac:dyDescent="0.25">
      <c r="A112" s="3"/>
      <c r="B112" s="3"/>
      <c r="C112" s="3"/>
      <c r="D112" s="2"/>
      <c r="E112" s="2"/>
      <c r="F112" s="2"/>
      <c r="G112" s="2"/>
      <c r="H112" s="2"/>
      <c r="I112" s="2"/>
    </row>
    <row r="113" spans="1:9" x14ac:dyDescent="0.25">
      <c r="A113" s="3"/>
      <c r="B113" s="3"/>
      <c r="C113" s="3"/>
      <c r="D113" s="2"/>
      <c r="E113" s="2"/>
      <c r="F113" s="2"/>
      <c r="G113" s="2"/>
      <c r="H113" s="2"/>
      <c r="I113" s="2"/>
    </row>
    <row r="114" spans="1:9" x14ac:dyDescent="0.25">
      <c r="A114" s="3"/>
      <c r="B114" s="3"/>
      <c r="C114" s="3"/>
      <c r="D114" s="2"/>
      <c r="E114" s="2"/>
      <c r="F114" s="2"/>
      <c r="G114" s="2"/>
      <c r="H114" s="2"/>
      <c r="I114" s="2"/>
    </row>
    <row r="115" spans="1:9" x14ac:dyDescent="0.25">
      <c r="A115" s="3"/>
      <c r="B115" s="3"/>
      <c r="C115" s="3"/>
      <c r="D115" s="2"/>
      <c r="E115" s="2"/>
      <c r="F115" s="2"/>
      <c r="G115" s="2"/>
      <c r="H115" s="2"/>
      <c r="I115" s="2"/>
    </row>
    <row r="116" spans="1:9" x14ac:dyDescent="0.25">
      <c r="A116" s="3"/>
      <c r="B116" s="3"/>
      <c r="C116" s="3"/>
      <c r="D116" s="2"/>
      <c r="E116" s="2"/>
      <c r="F116" s="2"/>
      <c r="G116" s="2"/>
      <c r="H116" s="2"/>
      <c r="I116" s="2"/>
    </row>
    <row r="117" spans="1:9" x14ac:dyDescent="0.25">
      <c r="A117" s="3"/>
      <c r="B117" s="3"/>
      <c r="C117" s="3"/>
      <c r="D117" s="2"/>
      <c r="E117" s="2"/>
      <c r="F117" s="2"/>
      <c r="G117" s="2"/>
      <c r="H117" s="2"/>
      <c r="I117" s="2"/>
    </row>
    <row r="118" spans="1:9" x14ac:dyDescent="0.25">
      <c r="A118" s="3"/>
      <c r="B118" s="3"/>
      <c r="C118" s="3"/>
      <c r="D118" s="2"/>
      <c r="E118" s="2"/>
      <c r="F118" s="2"/>
      <c r="G118" s="2"/>
      <c r="H118" s="2"/>
      <c r="I118" s="2"/>
    </row>
    <row r="119" spans="1:9" x14ac:dyDescent="0.25">
      <c r="A119" s="3"/>
      <c r="B119" s="3"/>
      <c r="C119" s="3"/>
      <c r="D119" s="2"/>
      <c r="E119" s="2"/>
      <c r="F119" s="2"/>
      <c r="G119" s="2"/>
      <c r="H119" s="2"/>
      <c r="I119" s="2"/>
    </row>
    <row r="120" spans="1:9" x14ac:dyDescent="0.25">
      <c r="A120" s="3"/>
      <c r="B120" s="3"/>
      <c r="C120" s="3"/>
      <c r="D120" s="2"/>
      <c r="E120" s="2"/>
      <c r="F120" s="2"/>
      <c r="G120" s="2"/>
      <c r="H120" s="2"/>
      <c r="I120" s="2"/>
    </row>
  </sheetData>
  <mergeCells count="3">
    <mergeCell ref="A4:A5"/>
    <mergeCell ref="B4:C4"/>
    <mergeCell ref="D4:E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800F5-CE6B-4AAE-A9D5-65A66B496B8E}">
  <sheetPr codeName="Sheet4"/>
  <dimension ref="A1:B15"/>
  <sheetViews>
    <sheetView workbookViewId="0">
      <selection activeCell="V39" sqref="V39"/>
    </sheetView>
  </sheetViews>
  <sheetFormatPr defaultRowHeight="15" x14ac:dyDescent="0.25"/>
  <cols>
    <col min="1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7.2070340667584794E-8</v>
      </c>
      <c r="B2">
        <v>0.35266420025956702</v>
      </c>
    </row>
    <row r="3" spans="1:2" x14ac:dyDescent="0.25">
      <c r="A3">
        <v>4.8475231826263796E-3</v>
      </c>
      <c r="B3">
        <v>694.61106039494496</v>
      </c>
    </row>
    <row r="4" spans="1:2" x14ac:dyDescent="0.25">
      <c r="A4">
        <v>1.16369816941335E-2</v>
      </c>
      <c r="B4">
        <v>696.76548311151601</v>
      </c>
    </row>
    <row r="5" spans="1:2" x14ac:dyDescent="0.25">
      <c r="A5">
        <v>1.9286960073031299E-2</v>
      </c>
      <c r="B5">
        <v>710.83553548263103</v>
      </c>
    </row>
    <row r="6" spans="1:2" x14ac:dyDescent="0.25">
      <c r="A6">
        <v>2.9160020179695399E-2</v>
      </c>
      <c r="B6">
        <v>722.120789890933</v>
      </c>
    </row>
    <row r="7" spans="1:2" x14ac:dyDescent="0.25">
      <c r="A7">
        <v>4.2489213472349102E-2</v>
      </c>
      <c r="B7">
        <v>735.534521693172</v>
      </c>
    </row>
    <row r="8" spans="1:2" x14ac:dyDescent="0.25">
      <c r="A8">
        <v>5.4091529332628799E-2</v>
      </c>
      <c r="B8">
        <v>744.03113438716196</v>
      </c>
    </row>
    <row r="9" spans="1:2" x14ac:dyDescent="0.25">
      <c r="A9">
        <v>6.7422452313458003E-2</v>
      </c>
      <c r="B9">
        <v>751.84067650026395</v>
      </c>
    </row>
    <row r="10" spans="1:2" x14ac:dyDescent="0.25">
      <c r="A10">
        <v>8.4210805746408504E-2</v>
      </c>
      <c r="B10">
        <v>757.57555374045103</v>
      </c>
    </row>
    <row r="11" spans="1:2" x14ac:dyDescent="0.25">
      <c r="A11">
        <v>0.102728631143996</v>
      </c>
      <c r="B11">
        <v>759.82126555518198</v>
      </c>
    </row>
    <row r="12" spans="1:2" x14ac:dyDescent="0.25">
      <c r="A12">
        <v>0.12174179599288899</v>
      </c>
      <c r="B12">
        <v>757.16715514342002</v>
      </c>
    </row>
    <row r="13" spans="1:2" x14ac:dyDescent="0.25">
      <c r="A13">
        <v>0.13729969249988</v>
      </c>
      <c r="B13">
        <v>749.582472493154</v>
      </c>
    </row>
    <row r="14" spans="1:2" x14ac:dyDescent="0.25">
      <c r="A14">
        <v>0.15212074184403901</v>
      </c>
      <c r="B14">
        <v>735.38259741507795</v>
      </c>
    </row>
    <row r="15" spans="1:2" x14ac:dyDescent="0.25">
      <c r="A15">
        <v>0.15854437130639501</v>
      </c>
      <c r="B15">
        <v>716.823139384039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BB3A3-018E-4F1D-AB21-CC4BFECBA11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Abaqus_input</vt:lpstr>
      <vt:lpstr>Validation 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Kokou Evignon Attiogbe</dc:creator>
  <cp:lastModifiedBy>Kokou Evignon Attiogbe</cp:lastModifiedBy>
  <dcterms:created xsi:type="dcterms:W3CDTF">2026-02-25T01:41:23Z</dcterms:created>
  <dcterms:modified xsi:type="dcterms:W3CDTF">2026-02-25T01:47:14Z</dcterms:modified>
</cp:coreProperties>
</file>