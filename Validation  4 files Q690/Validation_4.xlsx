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Validation  4 files Q690\"/>
    </mc:Choice>
  </mc:AlternateContent>
  <xr:revisionPtr revIDLastSave="0" documentId="13_ncr:1_{5F0D687E-6627-4D76-9E02-249D85960299}" xr6:coauthVersionLast="47" xr6:coauthVersionMax="47" xr10:uidLastSave="{00000000-0000-0000-0000-000000000000}"/>
  <bookViews>
    <workbookView xWindow="-120" yWindow="-120" windowWidth="29040" windowHeight="15720" activeTab="3" xr2:uid="{81EBFE2B-7EEB-49D5-B242-E3CE05C7E1C8}"/>
  </bookViews>
  <sheets>
    <sheet name="HSS-I1-C" sheetId="2" r:id="rId1"/>
    <sheet name="HSS-I1-C-R" sheetId="1" r:id="rId2"/>
    <sheet name="HSS-I2-C" sheetId="3" r:id="rId3"/>
    <sheet name="all" sheetId="4" r:id="rId4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2" l="1"/>
  <c r="F3" i="4"/>
  <c r="E5" i="4"/>
  <c r="E4" i="4"/>
  <c r="E3" i="4"/>
  <c r="D5" i="4"/>
  <c r="D4" i="4"/>
  <c r="D3" i="4"/>
  <c r="L55" i="3"/>
  <c r="L55" i="1"/>
  <c r="L55" i="2"/>
  <c r="Q55" i="3"/>
  <c r="Q30" i="1"/>
  <c r="Q55" i="2"/>
  <c r="G55" i="3"/>
  <c r="F5" i="4"/>
  <c r="G55" i="1"/>
  <c r="F4" i="4"/>
  <c r="G55" i="2"/>
  <c r="G3" i="4"/>
  <c r="J3" i="4"/>
  <c r="J4" i="4"/>
  <c r="J5" i="4"/>
  <c r="J6" i="4"/>
  <c r="J7" i="4"/>
  <c r="H5" i="4"/>
  <c r="H4" i="4"/>
  <c r="H3" i="4"/>
  <c r="H6" i="4"/>
  <c r="H7" i="4"/>
  <c r="I5" i="4"/>
  <c r="I4" i="4"/>
  <c r="I3" i="4"/>
  <c r="I6" i="4"/>
  <c r="I7" i="4"/>
  <c r="G4" i="4"/>
  <c r="G5" i="4"/>
  <c r="G6" i="4"/>
  <c r="G7" i="4"/>
  <c r="M105" i="2"/>
</calcChain>
</file>

<file path=xl/sharedStrings.xml><?xml version="1.0" encoding="utf-8"?>
<sst xmlns="http://schemas.openxmlformats.org/spreadsheetml/2006/main" count="65" uniqueCount="24">
  <si>
    <t>x</t>
  </si>
  <si>
    <t>X</t>
  </si>
  <si>
    <t>LPF</t>
  </si>
  <si>
    <t>U_40__40</t>
  </si>
  <si>
    <t>RF_40__40</t>
  </si>
  <si>
    <t>U_39__39</t>
  </si>
  <si>
    <t>RF_39__39</t>
  </si>
  <si>
    <t>U_41__41</t>
  </si>
  <si>
    <t>RF_41__41</t>
  </si>
  <si>
    <t>HSS-I1-C</t>
  </si>
  <si>
    <t>HSS-I1-C-R</t>
  </si>
  <si>
    <t>HSS-I2-C</t>
  </si>
  <si>
    <t>Mean</t>
  </si>
  <si>
    <t>COV</t>
  </si>
  <si>
    <r>
      <t>Pu_</t>
    </r>
    <r>
      <rPr>
        <vertAlign val="subscript"/>
        <sz val="12"/>
        <color theme="1"/>
        <rFont val="Aptos Narrow"/>
        <family val="2"/>
        <scheme val="minor"/>
      </rPr>
      <t>exp</t>
    </r>
  </si>
  <si>
    <r>
      <t>Pu</t>
    </r>
    <r>
      <rPr>
        <vertAlign val="subscript"/>
        <sz val="11"/>
        <color theme="1"/>
        <rFont val="Aptos Narrow"/>
        <family val="2"/>
        <scheme val="minor"/>
      </rPr>
      <t>_EF</t>
    </r>
  </si>
  <si>
    <r>
      <t>Pu</t>
    </r>
    <r>
      <rPr>
        <vertAlign val="subscript"/>
        <sz val="11"/>
        <color theme="1"/>
        <rFont val="Aptos Narrow"/>
        <family val="2"/>
        <scheme val="minor"/>
      </rPr>
      <t>_EF</t>
    </r>
    <r>
      <rPr>
        <sz val="11"/>
        <color theme="1"/>
        <rFont val="Aptos Narrow"/>
        <family val="2"/>
        <scheme val="minor"/>
      </rPr>
      <t>/Pu</t>
    </r>
    <r>
      <rPr>
        <vertAlign val="subscript"/>
        <sz val="11"/>
        <color theme="1"/>
        <rFont val="Aptos Narrow"/>
        <family val="2"/>
        <scheme val="minor"/>
      </rPr>
      <t>_exp</t>
    </r>
  </si>
  <si>
    <t>w0=b/100</t>
  </si>
  <si>
    <t>w0=b/200</t>
  </si>
  <si>
    <t>w0=b/300</t>
  </si>
  <si>
    <t>y</t>
  </si>
  <si>
    <t>b/300</t>
  </si>
  <si>
    <t>b/100</t>
  </si>
  <si>
    <t>b/200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</si>
</sst>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0" xfId="1" applyNumberFormat="1" applyFont="1"/>
    <xf numFmtId="11" fontId="0" fillId="0" borderId="0" xfId="0" applyNumberFormat="1"/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17CC-A66B-4B36-B931-38EAD67E2CE1}">
  <sheetPr codeName="Sheet2"/>
  <dimension ref="A1:Q105"/>
  <sheetViews>
    <sheetView topLeftCell="A25" workbookViewId="0">
      <selection activeCell="B50" sqref="B50"/>
    </sheetView>
  </sheetViews>
  <sheetFormatPr defaultRowHeight="15" x14ac:dyDescent="0.25"/>
  <cols>
    <col min="7" max="7" width="11.7109375" bestFit="1" customWidth="1"/>
    <col min="12" max="12" width="13.140625" bestFit="1" customWidth="1"/>
    <col min="26" max="26" width="12.7109375" bestFit="1" customWidth="1"/>
    <col min="36" max="36" width="11.7109375" bestFit="1" customWidth="1"/>
  </cols>
  <sheetData>
    <row r="1" spans="1:17" x14ac:dyDescent="0.25">
      <c r="A1">
        <v>-1E-3</v>
      </c>
      <c r="B1">
        <v>-1</v>
      </c>
      <c r="D1" t="s">
        <v>21</v>
      </c>
      <c r="I1" t="s">
        <v>23</v>
      </c>
      <c r="N1" t="s">
        <v>22</v>
      </c>
    </row>
    <row r="3" spans="1:17" x14ac:dyDescent="0.25">
      <c r="A3" t="s">
        <v>0</v>
      </c>
      <c r="B3" t="s">
        <v>20</v>
      </c>
      <c r="D3" t="s">
        <v>1</v>
      </c>
      <c r="E3" t="s">
        <v>2</v>
      </c>
      <c r="F3" t="s">
        <v>5</v>
      </c>
      <c r="G3" t="s">
        <v>6</v>
      </c>
      <c r="I3" t="s">
        <v>1</v>
      </c>
      <c r="J3" t="s">
        <v>2</v>
      </c>
      <c r="K3" t="s">
        <v>5</v>
      </c>
      <c r="L3" t="s">
        <v>6</v>
      </c>
      <c r="N3" t="s">
        <v>1</v>
      </c>
      <c r="O3" t="s">
        <v>2</v>
      </c>
      <c r="P3" t="s">
        <v>5</v>
      </c>
      <c r="Q3" t="s">
        <v>6</v>
      </c>
    </row>
    <row r="4" spans="1:17" x14ac:dyDescent="0.25">
      <c r="A4">
        <v>4.97542551388514E-2</v>
      </c>
      <c r="B4">
        <v>8.54368932038801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 s="7">
        <v>1.26498</v>
      </c>
      <c r="L4">
        <v>1.65872E-6</v>
      </c>
      <c r="N4">
        <v>0</v>
      </c>
      <c r="O4">
        <v>0</v>
      </c>
      <c r="P4" s="7">
        <v>2.8384800000000001</v>
      </c>
      <c r="Q4">
        <v>1.53109E-6</v>
      </c>
    </row>
    <row r="5" spans="1:17" x14ac:dyDescent="0.25">
      <c r="A5">
        <v>8.5877539161804906E-2</v>
      </c>
      <c r="B5">
        <v>70.291262135922096</v>
      </c>
      <c r="D5">
        <v>0.5</v>
      </c>
      <c r="E5">
        <v>0.49978099999999998</v>
      </c>
      <c r="F5">
        <v>5.8965099999999999E-2</v>
      </c>
      <c r="G5">
        <v>144.71199999999999</v>
      </c>
      <c r="I5">
        <v>0.5</v>
      </c>
      <c r="J5">
        <v>0.499776</v>
      </c>
      <c r="K5">
        <v>-5.8991799999999997E-2</v>
      </c>
      <c r="L5">
        <v>144.71</v>
      </c>
      <c r="N5">
        <v>0.5</v>
      </c>
      <c r="O5">
        <v>0.49974800000000003</v>
      </c>
      <c r="P5">
        <v>-5.9039899999999999E-2</v>
      </c>
      <c r="Q5">
        <v>144.702</v>
      </c>
    </row>
    <row r="6" spans="1:17" x14ac:dyDescent="0.25">
      <c r="A6">
        <v>0.15938309565891101</v>
      </c>
      <c r="B6">
        <v>133.20388349514499</v>
      </c>
      <c r="D6">
        <v>1</v>
      </c>
      <c r="E6">
        <v>0.99882800000000005</v>
      </c>
      <c r="F6">
        <v>0.12685399999999999</v>
      </c>
      <c r="G6">
        <v>289.21100000000001</v>
      </c>
      <c r="I6">
        <v>1</v>
      </c>
      <c r="J6">
        <v>0.99880599999999997</v>
      </c>
      <c r="K6">
        <v>-0.12690100000000001</v>
      </c>
      <c r="L6">
        <v>289.20400000000001</v>
      </c>
      <c r="N6">
        <v>1</v>
      </c>
      <c r="O6">
        <v>0.998691</v>
      </c>
      <c r="P6">
        <v>-0.12703100000000001</v>
      </c>
      <c r="Q6">
        <v>289.17099999999999</v>
      </c>
    </row>
    <row r="7" spans="1:17" x14ac:dyDescent="0.25">
      <c r="A7">
        <v>0.29358642229378301</v>
      </c>
      <c r="B7">
        <v>275.33980582524202</v>
      </c>
      <c r="D7">
        <v>1.5</v>
      </c>
      <c r="E7">
        <v>1.4965999999999999</v>
      </c>
      <c r="F7">
        <v>0.20574200000000001</v>
      </c>
      <c r="G7">
        <v>433.34199999999998</v>
      </c>
      <c r="I7">
        <v>1.5</v>
      </c>
      <c r="J7">
        <v>1.49655</v>
      </c>
      <c r="K7">
        <v>-0.205816</v>
      </c>
      <c r="L7">
        <v>433.327</v>
      </c>
      <c r="N7">
        <v>1.5</v>
      </c>
      <c r="O7">
        <v>1.4962899999999999</v>
      </c>
      <c r="P7">
        <v>-0.20605000000000001</v>
      </c>
      <c r="Q7">
        <v>433.25100000000003</v>
      </c>
    </row>
    <row r="8" spans="1:17" x14ac:dyDescent="0.25">
      <c r="A8">
        <v>0.39227174781492902</v>
      </c>
      <c r="B8">
        <v>326.60194174757203</v>
      </c>
      <c r="D8">
        <v>2</v>
      </c>
      <c r="E8">
        <v>1.9922800000000001</v>
      </c>
      <c r="F8">
        <v>0.29838300000000001</v>
      </c>
      <c r="G8">
        <v>576.86400000000003</v>
      </c>
      <c r="I8">
        <v>2</v>
      </c>
      <c r="J8">
        <v>1.9921899999999999</v>
      </c>
      <c r="K8">
        <v>-0.29849199999999998</v>
      </c>
      <c r="L8">
        <v>576.83799999999997</v>
      </c>
      <c r="N8">
        <v>2</v>
      </c>
      <c r="O8">
        <v>1.9917100000000001</v>
      </c>
      <c r="P8">
        <v>-0.29886499999999999</v>
      </c>
      <c r="Q8">
        <v>576.70000000000005</v>
      </c>
    </row>
    <row r="9" spans="1:17" x14ac:dyDescent="0.25">
      <c r="A9">
        <v>0.52739510447182902</v>
      </c>
      <c r="B9">
        <v>424.46601941747502</v>
      </c>
      <c r="D9">
        <v>2.5</v>
      </c>
      <c r="E9">
        <v>2.48454</v>
      </c>
      <c r="F9">
        <v>0.40841100000000002</v>
      </c>
      <c r="G9">
        <v>719.399</v>
      </c>
      <c r="I9">
        <v>2.5</v>
      </c>
      <c r="J9">
        <v>2.4843999999999999</v>
      </c>
      <c r="K9">
        <v>-0.40856700000000001</v>
      </c>
      <c r="L9">
        <v>719.35699999999997</v>
      </c>
      <c r="N9">
        <v>2.5</v>
      </c>
      <c r="O9">
        <v>2.4836499999999999</v>
      </c>
      <c r="P9">
        <v>-0.40912399999999999</v>
      </c>
      <c r="Q9">
        <v>719.14</v>
      </c>
    </row>
    <row r="10" spans="1:17" x14ac:dyDescent="0.25">
      <c r="A10">
        <v>0.62566883761470204</v>
      </c>
      <c r="B10">
        <v>495.53398058252401</v>
      </c>
      <c r="D10">
        <v>3</v>
      </c>
      <c r="E10">
        <v>2.9712900000000002</v>
      </c>
      <c r="F10">
        <v>0.54060900000000001</v>
      </c>
      <c r="G10">
        <v>860.33699999999999</v>
      </c>
      <c r="I10">
        <v>3</v>
      </c>
      <c r="J10">
        <v>2.9710800000000002</v>
      </c>
      <c r="K10">
        <v>-0.54082699999999995</v>
      </c>
      <c r="L10">
        <v>860.27499999999998</v>
      </c>
      <c r="N10">
        <v>3</v>
      </c>
      <c r="O10">
        <v>2.9699900000000001</v>
      </c>
      <c r="P10">
        <v>-0.54163600000000001</v>
      </c>
      <c r="Q10">
        <v>859.96</v>
      </c>
    </row>
    <row r="11" spans="1:17" x14ac:dyDescent="0.25">
      <c r="A11">
        <v>0.76149432244630999</v>
      </c>
      <c r="B11">
        <v>559.61165048543603</v>
      </c>
      <c r="D11">
        <v>3.5</v>
      </c>
      <c r="E11">
        <v>3.4455100000000001</v>
      </c>
      <c r="F11">
        <v>0.70984100000000006</v>
      </c>
      <c r="G11">
        <v>997.649</v>
      </c>
      <c r="I11">
        <v>3.5</v>
      </c>
      <c r="J11">
        <v>3.4473400000000001</v>
      </c>
      <c r="K11">
        <v>-0.70487699999999998</v>
      </c>
      <c r="L11">
        <v>998.178</v>
      </c>
      <c r="N11">
        <v>3.5</v>
      </c>
      <c r="O11">
        <v>3.44482</v>
      </c>
      <c r="P11">
        <v>-0.70818499999999995</v>
      </c>
      <c r="Q11">
        <v>997.45</v>
      </c>
    </row>
    <row r="12" spans="1:17" x14ac:dyDescent="0.25">
      <c r="A12">
        <v>0.92194271602546896</v>
      </c>
      <c r="B12">
        <v>638.83495145631002</v>
      </c>
      <c r="D12">
        <v>4</v>
      </c>
      <c r="E12">
        <v>3.8327900000000001</v>
      </c>
      <c r="F12">
        <v>1.0129699999999999</v>
      </c>
      <c r="G12">
        <v>1109.79</v>
      </c>
      <c r="I12">
        <v>4</v>
      </c>
      <c r="J12">
        <v>3.8395899999999998</v>
      </c>
      <c r="K12">
        <v>-0.99878400000000001</v>
      </c>
      <c r="L12">
        <v>1111.75</v>
      </c>
      <c r="N12">
        <v>4</v>
      </c>
      <c r="O12">
        <v>3.8026800000000001</v>
      </c>
      <c r="P12">
        <v>-1.05131</v>
      </c>
      <c r="Q12">
        <v>1101.07</v>
      </c>
    </row>
    <row r="13" spans="1:17" x14ac:dyDescent="0.25">
      <c r="A13">
        <v>1.1444447134590601</v>
      </c>
      <c r="B13">
        <v>732.03883495145601</v>
      </c>
      <c r="D13">
        <v>4.5</v>
      </c>
      <c r="E13">
        <v>3.8746700000000001</v>
      </c>
      <c r="F13">
        <v>1.50284</v>
      </c>
      <c r="G13">
        <v>1121.9100000000001</v>
      </c>
      <c r="I13">
        <v>4.5</v>
      </c>
      <c r="J13">
        <v>3.8828</v>
      </c>
      <c r="K13">
        <v>-1.49122</v>
      </c>
      <c r="L13">
        <v>1124.27</v>
      </c>
      <c r="N13">
        <v>4.5</v>
      </c>
      <c r="O13">
        <v>3.8591299999999999</v>
      </c>
      <c r="P13">
        <v>-1.5386299999999999</v>
      </c>
      <c r="Q13">
        <v>1117.4100000000001</v>
      </c>
    </row>
    <row r="14" spans="1:17" x14ac:dyDescent="0.25">
      <c r="A14">
        <v>1.41689465656247</v>
      </c>
      <c r="B14">
        <v>821.747572815534</v>
      </c>
      <c r="D14">
        <v>5</v>
      </c>
      <c r="E14">
        <v>3.8866200000000002</v>
      </c>
      <c r="F14">
        <v>1.99014</v>
      </c>
      <c r="G14">
        <v>1125.3700000000001</v>
      </c>
      <c r="I14">
        <v>5</v>
      </c>
      <c r="J14">
        <v>3.8931800000000001</v>
      </c>
      <c r="K14">
        <v>-1.97885</v>
      </c>
      <c r="L14">
        <v>1127.27</v>
      </c>
      <c r="N14">
        <v>5</v>
      </c>
      <c r="O14">
        <v>3.8738999999999999</v>
      </c>
      <c r="P14">
        <v>-2.0279199999999999</v>
      </c>
      <c r="Q14">
        <v>1121.69</v>
      </c>
    </row>
    <row r="15" spans="1:17" x14ac:dyDescent="0.25">
      <c r="A15">
        <v>1.66498801539839</v>
      </c>
      <c r="B15">
        <v>883.495145631068</v>
      </c>
      <c r="D15">
        <v>5.5</v>
      </c>
      <c r="E15">
        <v>3.8909400000000001</v>
      </c>
      <c r="F15">
        <v>2.47723</v>
      </c>
      <c r="G15">
        <v>1126.6200000000001</v>
      </c>
      <c r="I15">
        <v>5.5</v>
      </c>
      <c r="J15">
        <v>3.8967999999999998</v>
      </c>
      <c r="K15">
        <v>-2.4657200000000001</v>
      </c>
      <c r="L15">
        <v>1128.32</v>
      </c>
      <c r="N15">
        <v>5.5</v>
      </c>
      <c r="O15">
        <v>3.8787099999999999</v>
      </c>
      <c r="P15">
        <v>-2.5169899999999998</v>
      </c>
      <c r="Q15">
        <v>1123.08</v>
      </c>
    </row>
    <row r="16" spans="1:17" x14ac:dyDescent="0.25">
      <c r="A16">
        <v>1.83855894244969</v>
      </c>
      <c r="B16">
        <v>931.26213592233</v>
      </c>
      <c r="D16">
        <v>6</v>
      </c>
      <c r="E16">
        <v>3.8905400000000001</v>
      </c>
      <c r="F16">
        <v>2.9650699999999999</v>
      </c>
      <c r="G16">
        <v>1126.51</v>
      </c>
      <c r="I16">
        <v>6</v>
      </c>
      <c r="J16">
        <v>3.8963800000000002</v>
      </c>
      <c r="K16">
        <v>-2.9531299999999998</v>
      </c>
      <c r="L16">
        <v>1128.2</v>
      </c>
      <c r="N16">
        <v>6</v>
      </c>
      <c r="O16">
        <v>3.8786100000000001</v>
      </c>
      <c r="P16">
        <v>-3.0064199999999999</v>
      </c>
      <c r="Q16">
        <v>1123.05</v>
      </c>
    </row>
    <row r="17" spans="1:17" x14ac:dyDescent="0.25">
      <c r="A17">
        <v>2.0621020264871701</v>
      </c>
      <c r="B17">
        <v>974.36893203883506</v>
      </c>
      <c r="D17">
        <v>6.5</v>
      </c>
      <c r="E17">
        <v>3.8867600000000002</v>
      </c>
      <c r="F17">
        <v>3.4537900000000001</v>
      </c>
      <c r="G17">
        <v>1125.4100000000001</v>
      </c>
      <c r="I17">
        <v>6.5</v>
      </c>
      <c r="J17">
        <v>3.8924599999999998</v>
      </c>
      <c r="K17">
        <v>-3.4418099999999998</v>
      </c>
      <c r="L17">
        <v>1127.06</v>
      </c>
      <c r="N17">
        <v>6.5</v>
      </c>
      <c r="O17">
        <v>3.8757600000000001</v>
      </c>
      <c r="P17">
        <v>-3.496</v>
      </c>
      <c r="Q17">
        <v>1122.22</v>
      </c>
    </row>
    <row r="18" spans="1:17" x14ac:dyDescent="0.25">
      <c r="A18">
        <v>2.2981865724039299</v>
      </c>
      <c r="B18">
        <v>1013.9805825242699</v>
      </c>
      <c r="D18">
        <v>7</v>
      </c>
      <c r="E18">
        <v>3.8811900000000001</v>
      </c>
      <c r="F18">
        <v>3.9424399999999999</v>
      </c>
      <c r="G18">
        <v>1123.8</v>
      </c>
      <c r="I18">
        <v>7</v>
      </c>
      <c r="J18">
        <v>3.88625</v>
      </c>
      <c r="K18">
        <v>-3.9311099999999999</v>
      </c>
      <c r="L18">
        <v>1125.26</v>
      </c>
      <c r="N18">
        <v>7</v>
      </c>
      <c r="O18">
        <v>3.8707500000000001</v>
      </c>
      <c r="P18">
        <v>-3.98611</v>
      </c>
      <c r="Q18">
        <v>1120.78</v>
      </c>
    </row>
    <row r="19" spans="1:17" x14ac:dyDescent="0.25">
      <c r="A19">
        <v>2.55935404207926</v>
      </c>
      <c r="B19">
        <v>1046.60194174757</v>
      </c>
      <c r="D19">
        <v>7.5</v>
      </c>
      <c r="E19">
        <v>3.8743300000000001</v>
      </c>
      <c r="F19">
        <v>4.4311299999999996</v>
      </c>
      <c r="G19">
        <v>1121.81</v>
      </c>
      <c r="I19">
        <v>7.5</v>
      </c>
      <c r="J19">
        <v>3.8787799999999999</v>
      </c>
      <c r="K19">
        <v>-4.4204600000000003</v>
      </c>
      <c r="L19">
        <v>1123.1000000000001</v>
      </c>
      <c r="N19">
        <v>7.5</v>
      </c>
      <c r="O19">
        <v>3.8642300000000001</v>
      </c>
      <c r="P19">
        <v>-4.4765300000000003</v>
      </c>
      <c r="Q19">
        <v>1118.8900000000001</v>
      </c>
    </row>
    <row r="20" spans="1:17" x14ac:dyDescent="0.25">
      <c r="A20">
        <v>2.95772704161925</v>
      </c>
      <c r="B20">
        <v>1076.8932038834901</v>
      </c>
      <c r="D20">
        <v>8</v>
      </c>
      <c r="E20">
        <v>3.8666800000000001</v>
      </c>
      <c r="F20">
        <v>4.9197300000000004</v>
      </c>
      <c r="G20">
        <v>1119.6000000000001</v>
      </c>
      <c r="I20">
        <v>8</v>
      </c>
      <c r="J20">
        <v>3.87052</v>
      </c>
      <c r="K20">
        <v>-4.9096599999999997</v>
      </c>
      <c r="L20">
        <v>1120.71</v>
      </c>
      <c r="N20">
        <v>8</v>
      </c>
      <c r="O20">
        <v>3.8565700000000001</v>
      </c>
      <c r="P20">
        <v>-4.9671900000000004</v>
      </c>
      <c r="Q20">
        <v>1116.67</v>
      </c>
    </row>
    <row r="21" spans="1:17" x14ac:dyDescent="0.25">
      <c r="A21">
        <v>3.4808367430937199</v>
      </c>
      <c r="B21">
        <v>1104.85436893203</v>
      </c>
      <c r="D21">
        <v>8.5</v>
      </c>
      <c r="E21">
        <v>3.85839</v>
      </c>
      <c r="F21">
        <v>5.4084700000000003</v>
      </c>
      <c r="G21">
        <v>1117.2</v>
      </c>
      <c r="I21">
        <v>8.5</v>
      </c>
      <c r="J21">
        <v>3.8617300000000001</v>
      </c>
      <c r="K21">
        <v>-5.3989200000000004</v>
      </c>
      <c r="L21">
        <v>1118.1600000000001</v>
      </c>
      <c r="N21">
        <v>8.5</v>
      </c>
      <c r="O21">
        <v>3.84822</v>
      </c>
      <c r="P21">
        <v>-5.4580099999999998</v>
      </c>
      <c r="Q21">
        <v>1114.25</v>
      </c>
    </row>
    <row r="22" spans="1:17" x14ac:dyDescent="0.25">
      <c r="A22">
        <v>3.9542648233784399</v>
      </c>
      <c r="B22">
        <v>1123.49514563106</v>
      </c>
      <c r="D22">
        <v>9</v>
      </c>
      <c r="E22">
        <v>3.8494000000000002</v>
      </c>
      <c r="F22">
        <v>5.8977199999999996</v>
      </c>
      <c r="G22">
        <v>1114.5899999999999</v>
      </c>
      <c r="I22">
        <v>9</v>
      </c>
      <c r="J22">
        <v>3.8525</v>
      </c>
      <c r="K22">
        <v>-5.8882700000000003</v>
      </c>
      <c r="L22">
        <v>1115.49</v>
      </c>
      <c r="N22">
        <v>9</v>
      </c>
      <c r="O22">
        <v>3.8392400000000002</v>
      </c>
      <c r="P22">
        <v>-5.9490400000000001</v>
      </c>
      <c r="Q22">
        <v>1111.6500000000001</v>
      </c>
    </row>
    <row r="23" spans="1:17" x14ac:dyDescent="0.25">
      <c r="A23">
        <v>4.5774156840907398</v>
      </c>
      <c r="B23">
        <v>1137.47572815533</v>
      </c>
      <c r="D23">
        <v>9.5</v>
      </c>
      <c r="E23">
        <v>3.8396699999999999</v>
      </c>
      <c r="F23">
        <v>6.3877499999999996</v>
      </c>
      <c r="G23">
        <v>1111.78</v>
      </c>
      <c r="I23">
        <v>9.5</v>
      </c>
      <c r="J23">
        <v>3.8425799999999999</v>
      </c>
      <c r="K23">
        <v>-6.3784000000000001</v>
      </c>
      <c r="L23">
        <v>1112.6200000000001</v>
      </c>
      <c r="N23">
        <v>9.5</v>
      </c>
      <c r="O23">
        <v>3.8294199999999998</v>
      </c>
      <c r="P23">
        <v>-6.4408700000000003</v>
      </c>
      <c r="Q23">
        <v>1108.81</v>
      </c>
    </row>
    <row r="24" spans="1:17" x14ac:dyDescent="0.25">
      <c r="A24">
        <v>5.25051449047284</v>
      </c>
      <c r="B24">
        <v>1147.9611650485399</v>
      </c>
      <c r="D24">
        <v>10</v>
      </c>
      <c r="E24">
        <v>3.8291900000000001</v>
      </c>
      <c r="F24">
        <v>6.8783099999999999</v>
      </c>
      <c r="G24">
        <v>1108.74</v>
      </c>
      <c r="I24">
        <v>10</v>
      </c>
      <c r="J24">
        <v>3.8319100000000001</v>
      </c>
      <c r="K24">
        <v>-6.8694199999999999</v>
      </c>
      <c r="L24">
        <v>1109.53</v>
      </c>
      <c r="N24">
        <v>10</v>
      </c>
      <c r="O24">
        <v>3.8189799999999998</v>
      </c>
      <c r="P24">
        <v>-6.9331399999999999</v>
      </c>
      <c r="Q24">
        <v>1105.79</v>
      </c>
    </row>
    <row r="25" spans="1:17" x14ac:dyDescent="0.25">
      <c r="A25">
        <v>5.7740842069583298</v>
      </c>
      <c r="B25">
        <v>1153.7864077669899</v>
      </c>
      <c r="D25">
        <v>10.5</v>
      </c>
      <c r="E25">
        <v>3.81839</v>
      </c>
      <c r="F25">
        <v>7.3689099999999996</v>
      </c>
      <c r="G25">
        <v>1105.6200000000001</v>
      </c>
      <c r="I25">
        <v>10.5</v>
      </c>
      <c r="J25">
        <v>3.8207499999999999</v>
      </c>
      <c r="K25">
        <v>-7.36083</v>
      </c>
      <c r="L25">
        <v>1106.3</v>
      </c>
      <c r="N25">
        <v>10.5</v>
      </c>
      <c r="O25">
        <v>3.8081499999999999</v>
      </c>
      <c r="P25">
        <v>-7.42563</v>
      </c>
      <c r="Q25">
        <v>1102.6500000000001</v>
      </c>
    </row>
    <row r="26" spans="1:17" x14ac:dyDescent="0.25">
      <c r="A26">
        <v>6.3725879476067098</v>
      </c>
      <c r="B26">
        <v>1153.7864077669899</v>
      </c>
      <c r="D26">
        <v>11</v>
      </c>
      <c r="E26">
        <v>3.8073399999999999</v>
      </c>
      <c r="F26">
        <v>7.8596000000000004</v>
      </c>
      <c r="G26">
        <v>1102.4100000000001</v>
      </c>
      <c r="I26">
        <v>11</v>
      </c>
      <c r="J26">
        <v>3.80931</v>
      </c>
      <c r="K26">
        <v>-7.8522299999999996</v>
      </c>
      <c r="L26">
        <v>1102.99</v>
      </c>
      <c r="N26">
        <v>11</v>
      </c>
      <c r="O26">
        <v>3.7970100000000002</v>
      </c>
      <c r="P26">
        <v>-7.91838</v>
      </c>
      <c r="Q26">
        <v>1099.42</v>
      </c>
    </row>
    <row r="27" spans="1:17" x14ac:dyDescent="0.25">
      <c r="A27">
        <v>7.2952570031232504</v>
      </c>
      <c r="B27">
        <v>1154.95145631067</v>
      </c>
      <c r="D27">
        <v>11.5</v>
      </c>
      <c r="E27">
        <v>3.79603</v>
      </c>
      <c r="F27">
        <v>8.3505299999999991</v>
      </c>
      <c r="G27">
        <v>1099.1400000000001</v>
      </c>
      <c r="I27">
        <v>11.5</v>
      </c>
      <c r="J27">
        <v>3.7976399999999999</v>
      </c>
      <c r="K27">
        <v>-8.3438499999999998</v>
      </c>
      <c r="L27">
        <v>1099.6100000000001</v>
      </c>
      <c r="N27">
        <v>11.5</v>
      </c>
      <c r="O27">
        <v>3.7855300000000001</v>
      </c>
      <c r="P27">
        <v>-8.4113500000000005</v>
      </c>
      <c r="Q27">
        <v>1096.1000000000001</v>
      </c>
    </row>
    <row r="28" spans="1:17" x14ac:dyDescent="0.25">
      <c r="A28">
        <v>8.0435077355155702</v>
      </c>
      <c r="B28">
        <v>1149.12621359223</v>
      </c>
      <c r="D28">
        <v>12</v>
      </c>
      <c r="E28">
        <v>3.7845399999999998</v>
      </c>
      <c r="F28">
        <v>8.8415400000000002</v>
      </c>
      <c r="G28">
        <v>1095.81</v>
      </c>
      <c r="I28">
        <v>12</v>
      </c>
      <c r="J28">
        <v>3.7857799999999999</v>
      </c>
      <c r="K28">
        <v>-8.8356499999999993</v>
      </c>
      <c r="L28">
        <v>1096.17</v>
      </c>
      <c r="N28">
        <v>12</v>
      </c>
      <c r="O28">
        <v>3.7738900000000002</v>
      </c>
      <c r="P28">
        <v>-8.9044500000000006</v>
      </c>
      <c r="Q28">
        <v>1092.73</v>
      </c>
    </row>
    <row r="29" spans="1:17" x14ac:dyDescent="0.25">
      <c r="A29">
        <v>8.5921845870759892</v>
      </c>
      <c r="B29">
        <v>1146.79611650485</v>
      </c>
      <c r="D29">
        <v>12.5</v>
      </c>
      <c r="E29">
        <v>3.7729699999999999</v>
      </c>
      <c r="F29">
        <v>9.3325700000000005</v>
      </c>
      <c r="G29">
        <v>1092.46</v>
      </c>
      <c r="I29">
        <v>12.5</v>
      </c>
      <c r="J29">
        <v>3.7737799999999999</v>
      </c>
      <c r="K29">
        <v>-9.3274899999999992</v>
      </c>
      <c r="L29">
        <v>1092.7</v>
      </c>
      <c r="N29">
        <v>12.5</v>
      </c>
      <c r="O29">
        <v>3.7621500000000001</v>
      </c>
      <c r="P29">
        <v>-9.3975299999999997</v>
      </c>
      <c r="Q29">
        <v>1089.33</v>
      </c>
    </row>
    <row r="30" spans="1:17" x14ac:dyDescent="0.25">
      <c r="A30">
        <v>9.3653245526959203</v>
      </c>
      <c r="B30">
        <v>1143.30097087378</v>
      </c>
      <c r="D30">
        <v>13</v>
      </c>
      <c r="E30">
        <v>3.7613699999999999</v>
      </c>
      <c r="F30">
        <v>9.8236399999999993</v>
      </c>
      <c r="G30">
        <v>1089.1100000000001</v>
      </c>
      <c r="I30">
        <v>13</v>
      </c>
      <c r="J30">
        <v>3.7618</v>
      </c>
      <c r="K30">
        <v>-9.8192599999999999</v>
      </c>
      <c r="L30">
        <v>1089.23</v>
      </c>
      <c r="N30">
        <v>13</v>
      </c>
      <c r="O30">
        <v>3.7503799999999998</v>
      </c>
      <c r="P30">
        <v>-9.8905700000000003</v>
      </c>
      <c r="Q30">
        <v>1085.93</v>
      </c>
    </row>
    <row r="31" spans="1:17" x14ac:dyDescent="0.25">
      <c r="A31">
        <v>9.9639009272934107</v>
      </c>
      <c r="B31">
        <v>1139.8058252427099</v>
      </c>
      <c r="D31">
        <v>13.5</v>
      </c>
      <c r="E31">
        <v>3.7498</v>
      </c>
      <c r="F31">
        <v>10.3147</v>
      </c>
      <c r="G31">
        <v>1085.76</v>
      </c>
      <c r="I31">
        <v>13.5</v>
      </c>
      <c r="J31">
        <v>3.74986</v>
      </c>
      <c r="K31">
        <v>-10.3109</v>
      </c>
      <c r="L31">
        <v>1085.77</v>
      </c>
      <c r="N31">
        <v>13.5</v>
      </c>
      <c r="O31">
        <v>3.7385799999999998</v>
      </c>
      <c r="P31">
        <v>-10.383699999999999</v>
      </c>
      <c r="Q31">
        <v>1082.51</v>
      </c>
    </row>
    <row r="32" spans="1:17" x14ac:dyDescent="0.25">
      <c r="A32">
        <v>10.687189792509001</v>
      </c>
      <c r="B32">
        <v>1135.14563106796</v>
      </c>
      <c r="D32">
        <v>14</v>
      </c>
      <c r="E32">
        <v>3.7382300000000002</v>
      </c>
      <c r="F32">
        <v>10.8058</v>
      </c>
      <c r="G32">
        <v>1082.4100000000001</v>
      </c>
      <c r="I32">
        <v>14</v>
      </c>
      <c r="J32">
        <v>3.738</v>
      </c>
      <c r="K32">
        <v>-10.8025</v>
      </c>
      <c r="L32">
        <v>1082.3399999999999</v>
      </c>
      <c r="N32">
        <v>14</v>
      </c>
      <c r="O32">
        <v>3.7267700000000001</v>
      </c>
      <c r="P32">
        <v>-10.876899999999999</v>
      </c>
      <c r="Q32">
        <v>1079.0899999999999</v>
      </c>
    </row>
    <row r="33" spans="1:17" x14ac:dyDescent="0.25">
      <c r="A33">
        <v>11.3605791346875</v>
      </c>
      <c r="B33">
        <v>1131.65048543689</v>
      </c>
      <c r="D33">
        <v>14.5</v>
      </c>
      <c r="E33">
        <v>3.7267000000000001</v>
      </c>
      <c r="F33">
        <v>11.296799999999999</v>
      </c>
      <c r="G33">
        <v>1079.07</v>
      </c>
      <c r="I33">
        <v>14.5</v>
      </c>
      <c r="J33">
        <v>3.7262</v>
      </c>
      <c r="K33">
        <v>-11.294</v>
      </c>
      <c r="L33">
        <v>1078.92</v>
      </c>
      <c r="N33">
        <v>14.5</v>
      </c>
      <c r="O33">
        <v>3.71496</v>
      </c>
      <c r="P33">
        <v>-11.370100000000001</v>
      </c>
      <c r="Q33">
        <v>1075.67</v>
      </c>
    </row>
    <row r="34" spans="1:17" x14ac:dyDescent="0.25">
      <c r="A34">
        <v>11.959203931917701</v>
      </c>
      <c r="B34">
        <v>1125.82524271844</v>
      </c>
      <c r="D34">
        <v>15</v>
      </c>
      <c r="E34">
        <v>3.7152400000000001</v>
      </c>
      <c r="F34">
        <v>11.787699999999999</v>
      </c>
      <c r="G34">
        <v>1075.75</v>
      </c>
      <c r="I34">
        <v>15</v>
      </c>
      <c r="J34">
        <v>3.7143999999999999</v>
      </c>
      <c r="K34">
        <v>-11.785600000000001</v>
      </c>
      <c r="L34">
        <v>1075.51</v>
      </c>
      <c r="N34">
        <v>15</v>
      </c>
      <c r="O34">
        <v>3.7031700000000001</v>
      </c>
      <c r="P34">
        <v>-11.863300000000001</v>
      </c>
      <c r="Q34">
        <v>1072.25</v>
      </c>
    </row>
    <row r="35" spans="1:17" x14ac:dyDescent="0.25">
      <c r="A35">
        <v>12.6824927971333</v>
      </c>
      <c r="B35">
        <v>1121.1650485436801</v>
      </c>
      <c r="D35">
        <v>15.5</v>
      </c>
      <c r="E35">
        <v>3.7038099999999998</v>
      </c>
      <c r="F35">
        <v>12.278600000000001</v>
      </c>
      <c r="G35">
        <v>1072.44</v>
      </c>
      <c r="I35">
        <v>15.5</v>
      </c>
      <c r="J35">
        <v>3.7026500000000002</v>
      </c>
      <c r="K35">
        <v>-12.277200000000001</v>
      </c>
      <c r="L35">
        <v>1072.0999999999999</v>
      </c>
      <c r="N35">
        <v>15.5</v>
      </c>
      <c r="O35">
        <v>3.6914600000000002</v>
      </c>
      <c r="P35">
        <v>-12.3565</v>
      </c>
      <c r="Q35">
        <v>1068.8600000000001</v>
      </c>
    </row>
    <row r="36" spans="1:17" x14ac:dyDescent="0.25">
      <c r="A36">
        <v>13.380868217805</v>
      </c>
      <c r="B36">
        <v>1115.3398058252401</v>
      </c>
      <c r="D36">
        <v>16</v>
      </c>
      <c r="E36">
        <v>3.6924399999999999</v>
      </c>
      <c r="F36">
        <v>12.769500000000001</v>
      </c>
      <c r="G36">
        <v>1069.1500000000001</v>
      </c>
      <c r="I36">
        <v>16</v>
      </c>
      <c r="J36">
        <v>3.69095</v>
      </c>
      <c r="K36">
        <v>-12.768800000000001</v>
      </c>
      <c r="L36">
        <v>1068.71</v>
      </c>
      <c r="N36">
        <v>16</v>
      </c>
      <c r="O36">
        <v>3.6798199999999999</v>
      </c>
      <c r="P36">
        <v>-12.849500000000001</v>
      </c>
      <c r="Q36">
        <v>1065.49</v>
      </c>
    </row>
    <row r="37" spans="1:17" x14ac:dyDescent="0.25">
      <c r="A37">
        <v>14.1790426845507</v>
      </c>
      <c r="B37">
        <v>1107.1844660194099</v>
      </c>
      <c r="D37">
        <v>16.5</v>
      </c>
      <c r="E37">
        <v>3.68113</v>
      </c>
      <c r="F37">
        <v>13.2605</v>
      </c>
      <c r="G37">
        <v>1065.8700000000001</v>
      </c>
      <c r="I37">
        <v>16.5</v>
      </c>
      <c r="J37">
        <v>3.6793300000000002</v>
      </c>
      <c r="K37">
        <v>-13.260300000000001</v>
      </c>
      <c r="L37">
        <v>1065.3499999999999</v>
      </c>
      <c r="N37">
        <v>16.5</v>
      </c>
      <c r="O37">
        <v>3.6682600000000001</v>
      </c>
      <c r="P37">
        <v>-13.342499999999999</v>
      </c>
      <c r="Q37">
        <v>1062.1500000000001</v>
      </c>
    </row>
    <row r="38" spans="1:17" x14ac:dyDescent="0.25">
      <c r="A38">
        <v>15.052102752826601</v>
      </c>
      <c r="B38">
        <v>1095.5339805825199</v>
      </c>
      <c r="D38">
        <v>17</v>
      </c>
      <c r="E38">
        <v>3.6699000000000002</v>
      </c>
      <c r="F38">
        <v>13.7516</v>
      </c>
      <c r="G38">
        <v>1062.6200000000001</v>
      </c>
      <c r="I38">
        <v>17</v>
      </c>
      <c r="J38">
        <v>3.6678199999999999</v>
      </c>
      <c r="K38">
        <v>-13.751799999999999</v>
      </c>
      <c r="L38">
        <v>1062.02</v>
      </c>
      <c r="N38">
        <v>17</v>
      </c>
      <c r="O38">
        <v>3.6568100000000001</v>
      </c>
      <c r="P38">
        <v>-13.8355</v>
      </c>
      <c r="Q38">
        <v>1058.83</v>
      </c>
    </row>
    <row r="39" spans="1:17" x14ac:dyDescent="0.25">
      <c r="A39">
        <v>16.249303924654299</v>
      </c>
      <c r="B39">
        <v>1086.2135922330001</v>
      </c>
      <c r="D39">
        <v>17.5</v>
      </c>
      <c r="E39">
        <v>3.65876</v>
      </c>
      <c r="F39">
        <v>14.242699999999999</v>
      </c>
      <c r="G39">
        <v>1059.3900000000001</v>
      </c>
      <c r="I39">
        <v>17.5</v>
      </c>
      <c r="J39">
        <v>3.6564199999999998</v>
      </c>
      <c r="K39">
        <v>-14.2433</v>
      </c>
      <c r="L39">
        <v>1058.72</v>
      </c>
      <c r="N39">
        <v>17.5</v>
      </c>
      <c r="O39">
        <v>3.6454499999999999</v>
      </c>
      <c r="P39">
        <v>-14.3284</v>
      </c>
      <c r="Q39">
        <v>1055.54</v>
      </c>
    </row>
    <row r="40" spans="1:17" x14ac:dyDescent="0.25">
      <c r="A40">
        <v>17.022589158172501</v>
      </c>
      <c r="B40">
        <v>1075.7281553398</v>
      </c>
      <c r="D40">
        <v>18</v>
      </c>
      <c r="E40">
        <v>3.6476099999999998</v>
      </c>
      <c r="F40">
        <v>14.7341</v>
      </c>
      <c r="G40">
        <v>1056.1600000000001</v>
      </c>
      <c r="I40">
        <v>18</v>
      </c>
      <c r="J40">
        <v>3.6450499999999999</v>
      </c>
      <c r="K40">
        <v>-14.734999999999999</v>
      </c>
      <c r="L40">
        <v>1055.43</v>
      </c>
      <c r="N40">
        <v>18</v>
      </c>
      <c r="O40">
        <v>3.6341399999999999</v>
      </c>
      <c r="P40">
        <v>-14.8216</v>
      </c>
      <c r="Q40">
        <v>1052.26</v>
      </c>
    </row>
    <row r="41" spans="1:17" x14ac:dyDescent="0.25">
      <c r="A41">
        <v>17.820739413601899</v>
      </c>
      <c r="B41">
        <v>1068.7378640776601</v>
      </c>
      <c r="D41">
        <v>18.5</v>
      </c>
      <c r="E41">
        <v>3.6362800000000002</v>
      </c>
      <c r="F41">
        <v>15.2265</v>
      </c>
      <c r="G41">
        <v>1052.8800000000001</v>
      </c>
      <c r="I41">
        <v>18.5</v>
      </c>
      <c r="J41">
        <v>3.6335799999999998</v>
      </c>
      <c r="K41">
        <v>-15.227600000000001</v>
      </c>
      <c r="L41">
        <v>1052.1200000000001</v>
      </c>
      <c r="N41">
        <v>18.5</v>
      </c>
      <c r="O41">
        <v>3.6227</v>
      </c>
      <c r="P41">
        <v>-15.3156</v>
      </c>
      <c r="Q41">
        <v>1048.95</v>
      </c>
    </row>
    <row r="42" spans="1:17" x14ac:dyDescent="0.25">
      <c r="A42">
        <v>18.793550105319198</v>
      </c>
      <c r="B42">
        <v>1057.0873786407701</v>
      </c>
      <c r="D42">
        <v>19</v>
      </c>
      <c r="E42">
        <v>3.6238700000000001</v>
      </c>
      <c r="F42">
        <v>15.7234</v>
      </c>
      <c r="G42">
        <v>1049.29</v>
      </c>
      <c r="I42">
        <v>19</v>
      </c>
      <c r="J42">
        <v>3.6212300000000002</v>
      </c>
      <c r="K42">
        <v>-15.7239</v>
      </c>
      <c r="L42">
        <v>1048.53</v>
      </c>
      <c r="N42">
        <v>19</v>
      </c>
      <c r="O42">
        <v>3.61016</v>
      </c>
      <c r="P42">
        <v>-15.814399999999999</v>
      </c>
      <c r="Q42">
        <v>1045.32</v>
      </c>
    </row>
    <row r="43" spans="1:17" x14ac:dyDescent="0.25">
      <c r="A43">
        <v>19.666537539646001</v>
      </c>
      <c r="B43">
        <v>1048.9320388349499</v>
      </c>
      <c r="D43">
        <v>19.5</v>
      </c>
      <c r="E43">
        <v>3.6089799999999999</v>
      </c>
      <c r="F43">
        <v>16.230599999999999</v>
      </c>
      <c r="G43">
        <v>1044.98</v>
      </c>
      <c r="I43">
        <v>19.5</v>
      </c>
      <c r="J43">
        <v>3.60636</v>
      </c>
      <c r="K43">
        <v>-16.231100000000001</v>
      </c>
      <c r="L43">
        <v>1044.22</v>
      </c>
      <c r="N43">
        <v>19.5</v>
      </c>
      <c r="O43">
        <v>3.5933899999999999</v>
      </c>
      <c r="P43">
        <v>-16.3308</v>
      </c>
      <c r="Q43">
        <v>1040.46</v>
      </c>
    </row>
    <row r="44" spans="1:17" x14ac:dyDescent="0.25">
      <c r="A44">
        <v>20.539573396605501</v>
      </c>
      <c r="B44">
        <v>1038.44660194174</v>
      </c>
      <c r="D44">
        <v>20</v>
      </c>
      <c r="E44">
        <v>3.5898099999999999</v>
      </c>
      <c r="F44">
        <v>16.753399999999999</v>
      </c>
      <c r="G44">
        <v>1039.43</v>
      </c>
      <c r="I44">
        <v>20</v>
      </c>
      <c r="J44">
        <v>3.5872299999999999</v>
      </c>
      <c r="K44">
        <v>-16.753900000000002</v>
      </c>
      <c r="L44">
        <v>1038.68</v>
      </c>
      <c r="N44">
        <v>20</v>
      </c>
      <c r="O44">
        <v>3.57368</v>
      </c>
      <c r="P44">
        <v>-16.856200000000001</v>
      </c>
      <c r="Q44">
        <v>1034.76</v>
      </c>
    </row>
    <row r="45" spans="1:17" x14ac:dyDescent="0.25">
      <c r="A45">
        <v>21.1382466164685</v>
      </c>
      <c r="B45">
        <v>1030.2912621359201</v>
      </c>
      <c r="D45">
        <v>20.5</v>
      </c>
      <c r="E45">
        <v>3.56887</v>
      </c>
      <c r="F45">
        <v>17.280200000000001</v>
      </c>
      <c r="G45">
        <v>1033.3700000000001</v>
      </c>
      <c r="I45">
        <v>20.5</v>
      </c>
      <c r="J45">
        <v>3.5664600000000002</v>
      </c>
      <c r="K45">
        <v>-17.2806</v>
      </c>
      <c r="L45">
        <v>1032.67</v>
      </c>
      <c r="N45">
        <v>20.5</v>
      </c>
      <c r="O45">
        <v>3.5527299999999999</v>
      </c>
      <c r="P45">
        <v>-17.384799999999998</v>
      </c>
      <c r="Q45">
        <v>1028.69</v>
      </c>
    </row>
    <row r="46" spans="1:17" x14ac:dyDescent="0.25">
      <c r="A46">
        <v>22.011306684744401</v>
      </c>
      <c r="B46">
        <v>1018.64077669902</v>
      </c>
      <c r="D46">
        <v>21</v>
      </c>
      <c r="E46">
        <v>3.5471599999999999</v>
      </c>
      <c r="F46">
        <v>17.8081</v>
      </c>
      <c r="G46">
        <v>1027.08</v>
      </c>
      <c r="I46">
        <v>21</v>
      </c>
      <c r="J46">
        <v>3.5448</v>
      </c>
      <c r="K46">
        <v>-17.808499999999999</v>
      </c>
      <c r="L46">
        <v>1026.4000000000001</v>
      </c>
      <c r="N46">
        <v>21</v>
      </c>
      <c r="O46">
        <v>3.5309900000000001</v>
      </c>
      <c r="P46">
        <v>-17.914200000000001</v>
      </c>
      <c r="Q46">
        <v>1022.4</v>
      </c>
    </row>
    <row r="47" spans="1:17" x14ac:dyDescent="0.25">
      <c r="A47">
        <v>22.510205069849601</v>
      </c>
      <c r="B47">
        <v>1011.65048543689</v>
      </c>
      <c r="D47">
        <v>21.5</v>
      </c>
      <c r="E47">
        <v>3.5251999999999999</v>
      </c>
      <c r="F47">
        <v>18.336099999999998</v>
      </c>
      <c r="G47">
        <v>1020.72</v>
      </c>
      <c r="I47">
        <v>21.5</v>
      </c>
      <c r="J47">
        <v>3.5228799999999998</v>
      </c>
      <c r="K47">
        <v>-18.3368</v>
      </c>
      <c r="L47">
        <v>1020.0500000000001</v>
      </c>
      <c r="N47">
        <v>21.5</v>
      </c>
      <c r="O47">
        <v>3.5090300000000001</v>
      </c>
      <c r="P47">
        <v>-18.4438</v>
      </c>
      <c r="Q47">
        <v>1016.0400000000001</v>
      </c>
    </row>
    <row r="48" spans="1:17" x14ac:dyDescent="0.25">
      <c r="A48">
        <v>23.358279059632402</v>
      </c>
      <c r="B48">
        <v>1002.3300970873699</v>
      </c>
      <c r="D48">
        <v>22</v>
      </c>
      <c r="E48">
        <v>3.50326</v>
      </c>
      <c r="F48">
        <v>18.8644</v>
      </c>
      <c r="G48">
        <v>1014.37</v>
      </c>
      <c r="I48">
        <v>22</v>
      </c>
      <c r="J48">
        <v>3.5009899999999998</v>
      </c>
      <c r="K48">
        <v>-18.865100000000002</v>
      </c>
      <c r="L48">
        <v>1013.71</v>
      </c>
      <c r="N48">
        <v>22</v>
      </c>
      <c r="O48">
        <v>3.48712</v>
      </c>
      <c r="P48">
        <v>-18.973500000000001</v>
      </c>
      <c r="Q48">
        <v>1009.69</v>
      </c>
    </row>
    <row r="49" spans="2:17" x14ac:dyDescent="0.25">
      <c r="B49">
        <f>MAX(B4:B48)</f>
        <v>1154.95145631067</v>
      </c>
      <c r="D49">
        <v>22.5</v>
      </c>
      <c r="E49">
        <v>3.4813900000000002</v>
      </c>
      <c r="F49">
        <v>19.392700000000001</v>
      </c>
      <c r="G49">
        <v>1008.0400000000001</v>
      </c>
      <c r="I49">
        <v>22.5</v>
      </c>
      <c r="J49">
        <v>3.4792200000000002</v>
      </c>
      <c r="K49">
        <v>-19.3935</v>
      </c>
      <c r="L49">
        <v>1007.41</v>
      </c>
      <c r="N49">
        <v>22.5</v>
      </c>
      <c r="O49">
        <v>3.4653800000000001</v>
      </c>
      <c r="P49">
        <v>-19.503399999999999</v>
      </c>
      <c r="Q49">
        <v>1003.4</v>
      </c>
    </row>
    <row r="50" spans="2:17" x14ac:dyDescent="0.25">
      <c r="D50">
        <v>23</v>
      </c>
      <c r="E50">
        <v>3.4597199999999999</v>
      </c>
      <c r="F50">
        <v>19.921099999999999</v>
      </c>
      <c r="G50">
        <v>1001.76</v>
      </c>
      <c r="I50">
        <v>23</v>
      </c>
      <c r="J50">
        <v>3.4575800000000001</v>
      </c>
      <c r="K50">
        <v>-19.9221</v>
      </c>
      <c r="L50">
        <v>1001.14</v>
      </c>
      <c r="N50">
        <v>23</v>
      </c>
      <c r="O50">
        <v>3.4438499999999999</v>
      </c>
      <c r="P50">
        <v>-20.033200000000001</v>
      </c>
      <c r="Q50">
        <v>997.16600000000005</v>
      </c>
    </row>
    <row r="51" spans="2:17" x14ac:dyDescent="0.25">
      <c r="D51">
        <v>23.5</v>
      </c>
      <c r="E51">
        <v>3.4382999999999999</v>
      </c>
      <c r="F51">
        <v>20.4496</v>
      </c>
      <c r="G51">
        <v>995.55899999999997</v>
      </c>
      <c r="I51">
        <v>23.5</v>
      </c>
      <c r="J51">
        <v>3.4361799999999998</v>
      </c>
      <c r="K51">
        <v>-20.450900000000001</v>
      </c>
      <c r="L51">
        <v>994.94600000000003</v>
      </c>
      <c r="N51">
        <v>23.5</v>
      </c>
      <c r="O51">
        <v>3.4225400000000001</v>
      </c>
      <c r="P51">
        <v>-20.563199999999998</v>
      </c>
      <c r="Q51">
        <v>990.99700000000007</v>
      </c>
    </row>
    <row r="52" spans="2:17" x14ac:dyDescent="0.25">
      <c r="D52">
        <v>24</v>
      </c>
      <c r="E52">
        <v>3.4171100000000001</v>
      </c>
      <c r="F52">
        <v>20.978100000000001</v>
      </c>
      <c r="G52">
        <v>989.42399999999998</v>
      </c>
      <c r="I52">
        <v>24</v>
      </c>
      <c r="J52">
        <v>3.415</v>
      </c>
      <c r="K52">
        <v>-20.979700000000001</v>
      </c>
      <c r="L52">
        <v>988.81299999999999</v>
      </c>
      <c r="N52">
        <v>24</v>
      </c>
      <c r="O52">
        <v>3.4014199999999999</v>
      </c>
      <c r="P52">
        <v>-21.093499999999999</v>
      </c>
      <c r="Q52">
        <v>984.88</v>
      </c>
    </row>
    <row r="53" spans="2:17" x14ac:dyDescent="0.25">
      <c r="D53">
        <v>24.5</v>
      </c>
      <c r="E53">
        <v>3.39615</v>
      </c>
      <c r="F53">
        <v>21.506699999999999</v>
      </c>
      <c r="G53">
        <v>983.35599999999999</v>
      </c>
      <c r="I53">
        <v>24.5</v>
      </c>
      <c r="J53">
        <v>3.39405</v>
      </c>
      <c r="K53">
        <v>-21.508500000000002</v>
      </c>
      <c r="L53">
        <v>982.74800000000005</v>
      </c>
      <c r="N53">
        <v>24.5</v>
      </c>
      <c r="O53">
        <v>3.3805299999999998</v>
      </c>
      <c r="P53">
        <v>-21.6235</v>
      </c>
      <c r="Q53">
        <v>978.83299999999997</v>
      </c>
    </row>
    <row r="54" spans="2:17" x14ac:dyDescent="0.25">
      <c r="D54">
        <v>25</v>
      </c>
      <c r="E54">
        <v>3.3754200000000001</v>
      </c>
      <c r="F54">
        <v>22.0351</v>
      </c>
      <c r="G54">
        <v>977.35400000000004</v>
      </c>
      <c r="I54">
        <v>25</v>
      </c>
      <c r="J54">
        <v>3.3733399999999998</v>
      </c>
      <c r="K54">
        <v>-22.037099999999999</v>
      </c>
      <c r="L54">
        <v>976.75099999999998</v>
      </c>
      <c r="N54">
        <v>25</v>
      </c>
      <c r="O54">
        <v>3.35989</v>
      </c>
      <c r="P54">
        <v>-22.153400000000001</v>
      </c>
      <c r="Q54">
        <v>972.85699999999997</v>
      </c>
    </row>
    <row r="55" spans="2:17" x14ac:dyDescent="0.25">
      <c r="G55">
        <f>MAX(G4:G54)</f>
        <v>1126.6200000000001</v>
      </c>
      <c r="L55">
        <f t="shared" ref="L55" si="0">MAX(L4:L54)</f>
        <v>1128.32</v>
      </c>
      <c r="Q55">
        <f t="shared" ref="Q55" si="1">MAX(Q4:Q54)</f>
        <v>1123.08</v>
      </c>
    </row>
    <row r="105" spans="13:13" x14ac:dyDescent="0.25">
      <c r="M105">
        <f t="shared" ref="M105" si="2">MAX(M4:M104)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0C48-7DDC-435F-A793-07F15B9157B0}">
  <sheetPr codeName="Sheet1"/>
  <dimension ref="A1:Q55"/>
  <sheetViews>
    <sheetView topLeftCell="A25" workbookViewId="0">
      <selection activeCell="M30" sqref="M30"/>
    </sheetView>
  </sheetViews>
  <sheetFormatPr defaultRowHeight="15" x14ac:dyDescent="0.25"/>
  <cols>
    <col min="20" max="20" width="12.7109375" bestFit="1" customWidth="1"/>
    <col min="25" max="25" width="11.7109375" bestFit="1" customWidth="1"/>
    <col min="30" max="30" width="11.7109375" bestFit="1" customWidth="1"/>
    <col min="35" max="35" width="12.7109375" bestFit="1" customWidth="1"/>
  </cols>
  <sheetData>
    <row r="1" spans="1:17" x14ac:dyDescent="0.25">
      <c r="A1">
        <v>-1E-3</v>
      </c>
      <c r="B1">
        <v>-1</v>
      </c>
      <c r="D1" t="s">
        <v>21</v>
      </c>
      <c r="I1" t="s">
        <v>23</v>
      </c>
      <c r="N1" t="s">
        <v>22</v>
      </c>
    </row>
    <row r="3" spans="1:17" x14ac:dyDescent="0.25">
      <c r="A3" t="s">
        <v>0</v>
      </c>
      <c r="B3" t="s">
        <v>20</v>
      </c>
      <c r="D3" t="s">
        <v>1</v>
      </c>
      <c r="E3" t="s">
        <v>2</v>
      </c>
      <c r="F3" t="s">
        <v>3</v>
      </c>
      <c r="G3" t="s">
        <v>4</v>
      </c>
      <c r="I3" t="s">
        <v>1</v>
      </c>
      <c r="J3" t="s">
        <v>2</v>
      </c>
      <c r="K3" t="s">
        <v>3</v>
      </c>
      <c r="L3" t="s">
        <v>4</v>
      </c>
      <c r="N3" t="s">
        <v>1</v>
      </c>
      <c r="O3" t="s">
        <v>2</v>
      </c>
      <c r="P3" t="s">
        <v>3</v>
      </c>
      <c r="Q3" t="s">
        <v>4</v>
      </c>
    </row>
    <row r="4" spans="1:17" x14ac:dyDescent="0.25">
      <c r="A4">
        <v>4.9512141975159601E-2</v>
      </c>
      <c r="B4">
        <v>20.194174757281001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 s="7">
        <v>1.6922099999999998E-5</v>
      </c>
      <c r="L4">
        <v>2.2223999999999997E-6</v>
      </c>
      <c r="N4">
        <v>0</v>
      </c>
      <c r="O4">
        <v>0</v>
      </c>
      <c r="P4" s="7">
        <v>1.91509E-5</v>
      </c>
      <c r="Q4">
        <v>2.03965E-6</v>
      </c>
    </row>
    <row r="5" spans="1:17" x14ac:dyDescent="0.25">
      <c r="A5">
        <v>0.11071834975667701</v>
      </c>
      <c r="B5">
        <v>74.951456310679504</v>
      </c>
      <c r="D5">
        <v>0.5</v>
      </c>
      <c r="E5">
        <v>0.499838</v>
      </c>
      <c r="F5">
        <v>5.2685299999999997E-2</v>
      </c>
      <c r="G5">
        <v>134.85599999999999</v>
      </c>
      <c r="I5">
        <v>0.5</v>
      </c>
      <c r="J5">
        <v>0.49983300000000003</v>
      </c>
      <c r="K5">
        <v>-5.2562699999999997E-2</v>
      </c>
      <c r="L5">
        <v>134.85499999999999</v>
      </c>
      <c r="N5">
        <v>0.5</v>
      </c>
      <c r="O5">
        <v>0.49980599999999997</v>
      </c>
      <c r="P5">
        <v>-5.2618499999999999E-2</v>
      </c>
      <c r="Q5">
        <v>134.84800000000001</v>
      </c>
    </row>
    <row r="6" spans="1:17" x14ac:dyDescent="0.25">
      <c r="A6">
        <v>0.184514442050213</v>
      </c>
      <c r="B6">
        <v>123.883495145631</v>
      </c>
      <c r="D6">
        <v>1</v>
      </c>
      <c r="E6">
        <v>0.99910399999999999</v>
      </c>
      <c r="F6">
        <v>0.11311499999999999</v>
      </c>
      <c r="G6">
        <v>269.55799999999999</v>
      </c>
      <c r="I6">
        <v>1</v>
      </c>
      <c r="J6">
        <v>0.999085</v>
      </c>
      <c r="K6">
        <v>-0.112957</v>
      </c>
      <c r="L6">
        <v>269.553</v>
      </c>
      <c r="N6">
        <v>1</v>
      </c>
      <c r="O6">
        <v>0.99897199999999997</v>
      </c>
      <c r="P6">
        <v>-0.11308600000000001</v>
      </c>
      <c r="Q6">
        <v>269.52300000000002</v>
      </c>
    </row>
    <row r="7" spans="1:17" x14ac:dyDescent="0.25">
      <c r="A7">
        <v>0.220565092124059</v>
      </c>
      <c r="B7">
        <v>189.126213592233</v>
      </c>
      <c r="D7">
        <v>1.5</v>
      </c>
      <c r="E7">
        <v>1.49735</v>
      </c>
      <c r="F7">
        <v>0.183196</v>
      </c>
      <c r="G7">
        <v>403.98500000000001</v>
      </c>
      <c r="I7">
        <v>1.5</v>
      </c>
      <c r="J7">
        <v>1.4973099999999999</v>
      </c>
      <c r="K7">
        <v>-0.18299099999999999</v>
      </c>
      <c r="L7">
        <v>403.97399999999999</v>
      </c>
      <c r="N7">
        <v>1.5</v>
      </c>
      <c r="O7">
        <v>1.49705</v>
      </c>
      <c r="P7">
        <v>-0.18321499999999999</v>
      </c>
      <c r="Q7">
        <v>403.90500000000003</v>
      </c>
    </row>
    <row r="8" spans="1:17" x14ac:dyDescent="0.25">
      <c r="A8">
        <v>0.30687843498051098</v>
      </c>
      <c r="B8">
        <v>235.728155339805</v>
      </c>
      <c r="D8">
        <v>2</v>
      </c>
      <c r="E8">
        <v>1.9938899999999999</v>
      </c>
      <c r="F8">
        <v>0.26532699999999998</v>
      </c>
      <c r="G8">
        <v>537.95299999999997</v>
      </c>
      <c r="I8">
        <v>2</v>
      </c>
      <c r="J8">
        <v>1.9938199999999999</v>
      </c>
      <c r="K8">
        <v>-0.26506200000000002</v>
      </c>
      <c r="L8">
        <v>537.93399999999997</v>
      </c>
      <c r="N8">
        <v>2</v>
      </c>
      <c r="O8">
        <v>1.99336</v>
      </c>
      <c r="P8">
        <v>-0.26540900000000001</v>
      </c>
      <c r="Q8">
        <v>537.80799999999999</v>
      </c>
    </row>
    <row r="9" spans="1:17" x14ac:dyDescent="0.25">
      <c r="A9">
        <v>0.40503111154153498</v>
      </c>
      <c r="B9">
        <v>312.621359223301</v>
      </c>
      <c r="D9">
        <v>2.5</v>
      </c>
      <c r="E9">
        <v>2.4876200000000002</v>
      </c>
      <c r="F9">
        <v>0.36268299999999998</v>
      </c>
      <c r="G9">
        <v>671.16</v>
      </c>
      <c r="I9">
        <v>2.5</v>
      </c>
      <c r="J9">
        <v>2.4875500000000001</v>
      </c>
      <c r="K9">
        <v>-0.362344</v>
      </c>
      <c r="L9">
        <v>671.14</v>
      </c>
      <c r="N9">
        <v>2.5</v>
      </c>
      <c r="O9">
        <v>2.4868100000000002</v>
      </c>
      <c r="P9">
        <v>-0.36285400000000001</v>
      </c>
      <c r="Q9">
        <v>670.94100000000003</v>
      </c>
    </row>
    <row r="10" spans="1:17" x14ac:dyDescent="0.25">
      <c r="A10">
        <v>0.52836355712659999</v>
      </c>
      <c r="B10">
        <v>377.86407766990197</v>
      </c>
      <c r="D10">
        <v>3</v>
      </c>
      <c r="E10">
        <v>2.9767399999999999</v>
      </c>
      <c r="F10">
        <v>0.47946899999999998</v>
      </c>
      <c r="G10">
        <v>803.12400000000002</v>
      </c>
      <c r="I10">
        <v>3</v>
      </c>
      <c r="J10">
        <v>2.9767299999999999</v>
      </c>
      <c r="K10">
        <v>-0.47905300000000001</v>
      </c>
      <c r="L10">
        <v>803.12300000000005</v>
      </c>
      <c r="N10">
        <v>3</v>
      </c>
      <c r="O10">
        <v>2.97566</v>
      </c>
      <c r="P10">
        <v>-0.47978500000000002</v>
      </c>
      <c r="Q10">
        <v>802.83400000000006</v>
      </c>
    </row>
    <row r="11" spans="1:17" x14ac:dyDescent="0.25">
      <c r="A11">
        <v>0.65184127060988395</v>
      </c>
      <c r="B11">
        <v>436.11650485436797</v>
      </c>
      <c r="D11">
        <v>3.5</v>
      </c>
      <c r="E11">
        <v>3.44876</v>
      </c>
      <c r="F11">
        <v>0.63329199999999997</v>
      </c>
      <c r="G11">
        <v>930.47500000000002</v>
      </c>
      <c r="I11">
        <v>3.5</v>
      </c>
      <c r="J11">
        <v>3.4585300000000001</v>
      </c>
      <c r="K11">
        <v>-0.62072000000000005</v>
      </c>
      <c r="L11">
        <v>933.11199999999997</v>
      </c>
      <c r="N11">
        <v>3.5</v>
      </c>
      <c r="O11">
        <v>3.4570500000000002</v>
      </c>
      <c r="P11">
        <v>-0.62175499999999995</v>
      </c>
      <c r="Q11">
        <v>932.71199999999999</v>
      </c>
    </row>
    <row r="12" spans="1:17" x14ac:dyDescent="0.25">
      <c r="A12">
        <v>0.79991768152434395</v>
      </c>
      <c r="B12">
        <v>510.67961165048501</v>
      </c>
      <c r="D12">
        <v>4</v>
      </c>
      <c r="E12">
        <v>3.84815</v>
      </c>
      <c r="F12">
        <v>0.92170600000000003</v>
      </c>
      <c r="G12">
        <v>1038.23</v>
      </c>
      <c r="I12">
        <v>4</v>
      </c>
      <c r="J12">
        <v>3.91622</v>
      </c>
      <c r="K12">
        <v>-0.81384800000000002</v>
      </c>
      <c r="L12">
        <v>1056.5999999999999</v>
      </c>
      <c r="N12">
        <v>4</v>
      </c>
      <c r="O12">
        <v>3.9093599999999999</v>
      </c>
      <c r="P12">
        <v>-0.82325400000000004</v>
      </c>
      <c r="Q12">
        <v>1054.74</v>
      </c>
    </row>
    <row r="13" spans="1:17" x14ac:dyDescent="0.25">
      <c r="A13">
        <v>0.92320170447667105</v>
      </c>
      <c r="B13">
        <v>578.252427184466</v>
      </c>
      <c r="D13">
        <v>4.5</v>
      </c>
      <c r="E13">
        <v>3.91</v>
      </c>
      <c r="F13">
        <v>1.3895500000000001</v>
      </c>
      <c r="G13">
        <v>1054.92</v>
      </c>
      <c r="I13">
        <v>4.125</v>
      </c>
      <c r="J13">
        <v>4.0208700000000004</v>
      </c>
      <c r="K13">
        <v>-0.87465899999999996</v>
      </c>
      <c r="L13">
        <v>1084.83</v>
      </c>
      <c r="N13">
        <v>4.125</v>
      </c>
      <c r="O13">
        <v>3.9937299999999998</v>
      </c>
      <c r="P13">
        <v>-0.90904700000000005</v>
      </c>
      <c r="Q13">
        <v>1077.52</v>
      </c>
    </row>
    <row r="14" spans="1:17" x14ac:dyDescent="0.25">
      <c r="A14">
        <v>1.09640946178243</v>
      </c>
      <c r="B14">
        <v>643.495145631068</v>
      </c>
      <c r="D14">
        <v>5</v>
      </c>
      <c r="E14">
        <v>3.9341200000000001</v>
      </c>
      <c r="F14">
        <v>1.85589</v>
      </c>
      <c r="G14">
        <v>1061.42</v>
      </c>
      <c r="I14">
        <v>4.3125</v>
      </c>
      <c r="J14">
        <v>4.10839</v>
      </c>
      <c r="K14">
        <v>-1.03627</v>
      </c>
      <c r="L14">
        <v>1108.44</v>
      </c>
      <c r="N14">
        <v>4.3125</v>
      </c>
      <c r="O14">
        <v>4.0593399999999997</v>
      </c>
      <c r="P14">
        <v>-1.0733600000000001</v>
      </c>
      <c r="Q14">
        <v>1095.21</v>
      </c>
    </row>
    <row r="15" spans="1:17" x14ac:dyDescent="0.25">
      <c r="A15">
        <v>1.2694235285572399</v>
      </c>
      <c r="B15">
        <v>718.05825242718402</v>
      </c>
      <c r="D15">
        <v>5.5</v>
      </c>
      <c r="E15">
        <v>3.9453499999999999</v>
      </c>
      <c r="F15">
        <v>2.3230900000000001</v>
      </c>
      <c r="G15">
        <v>1064.46</v>
      </c>
      <c r="I15">
        <v>4.5</v>
      </c>
      <c r="J15">
        <v>4.1313599999999999</v>
      </c>
      <c r="K15">
        <v>-1.21201</v>
      </c>
      <c r="L15">
        <v>1114.6400000000001</v>
      </c>
      <c r="N15">
        <v>4.59375</v>
      </c>
      <c r="O15">
        <v>4.0981800000000002</v>
      </c>
      <c r="P15">
        <v>-1.33527</v>
      </c>
      <c r="Q15">
        <v>1105.69</v>
      </c>
    </row>
    <row r="16" spans="1:17" x14ac:dyDescent="0.25">
      <c r="A16">
        <v>1.5669321841028401</v>
      </c>
      <c r="B16">
        <v>801.94174757281496</v>
      </c>
      <c r="D16">
        <v>6</v>
      </c>
      <c r="E16">
        <v>3.9509400000000001</v>
      </c>
      <c r="F16">
        <v>2.7905799999999998</v>
      </c>
      <c r="G16">
        <v>1065.96</v>
      </c>
      <c r="I16">
        <v>4.6875</v>
      </c>
      <c r="J16">
        <v>4.1410900000000002</v>
      </c>
      <c r="K16">
        <v>-1.38903</v>
      </c>
      <c r="L16">
        <v>1117.27</v>
      </c>
      <c r="N16">
        <v>5.0156200000000002</v>
      </c>
      <c r="O16">
        <v>4.1201699999999999</v>
      </c>
      <c r="P16">
        <v>-1.7322200000000001</v>
      </c>
      <c r="Q16">
        <v>1111.6200000000001</v>
      </c>
    </row>
    <row r="17" spans="1:17" x14ac:dyDescent="0.25">
      <c r="A17">
        <v>1.71558966661017</v>
      </c>
      <c r="B17">
        <v>848.54368932038801</v>
      </c>
      <c r="D17">
        <v>6.5</v>
      </c>
      <c r="E17">
        <v>3.9519799999999998</v>
      </c>
      <c r="F17">
        <v>3.2594500000000002</v>
      </c>
      <c r="G17">
        <v>1066.24</v>
      </c>
      <c r="I17">
        <v>4.96875</v>
      </c>
      <c r="J17">
        <v>4.1480399999999999</v>
      </c>
      <c r="K17">
        <v>-1.6540699999999999</v>
      </c>
      <c r="L17">
        <v>1119.1400000000001</v>
      </c>
      <c r="N17">
        <v>5.4375</v>
      </c>
      <c r="O17">
        <v>4.1274800000000003</v>
      </c>
      <c r="P17">
        <v>-2.1301299999999999</v>
      </c>
      <c r="Q17">
        <v>1113.6000000000001</v>
      </c>
    </row>
    <row r="18" spans="1:17" x14ac:dyDescent="0.25">
      <c r="A18">
        <v>1.9638525046606701</v>
      </c>
      <c r="B18">
        <v>902.13592233009695</v>
      </c>
      <c r="D18">
        <v>7</v>
      </c>
      <c r="E18">
        <v>3.9500999999999999</v>
      </c>
      <c r="F18">
        <v>3.72892</v>
      </c>
      <c r="G18">
        <v>1065.74</v>
      </c>
      <c r="I18">
        <v>5.3906200000000002</v>
      </c>
      <c r="J18">
        <v>4.1522199999999998</v>
      </c>
      <c r="K18">
        <v>-2.0505</v>
      </c>
      <c r="L18">
        <v>1120.27</v>
      </c>
      <c r="N18">
        <v>5.4440900000000001</v>
      </c>
      <c r="O18">
        <v>4.1275599999999999</v>
      </c>
      <c r="P18">
        <v>-2.1301899999999998</v>
      </c>
      <c r="Q18">
        <v>1113.6200000000001</v>
      </c>
    </row>
    <row r="19" spans="1:17" x14ac:dyDescent="0.25">
      <c r="A19">
        <v>2.3117206982543599</v>
      </c>
      <c r="B19">
        <v>962.71844660194097</v>
      </c>
      <c r="D19">
        <v>7.5</v>
      </c>
      <c r="E19">
        <v>3.9464000000000001</v>
      </c>
      <c r="F19">
        <v>4.1987199999999998</v>
      </c>
      <c r="G19">
        <v>1064.74</v>
      </c>
      <c r="I19">
        <v>5.8125</v>
      </c>
      <c r="J19">
        <v>4.1526699999999996</v>
      </c>
      <c r="K19">
        <v>-2.4465499999999998</v>
      </c>
      <c r="L19">
        <v>1120.3900000000001</v>
      </c>
      <c r="N19">
        <v>5.4506800000000002</v>
      </c>
      <c r="O19">
        <v>4.1276400000000004</v>
      </c>
      <c r="P19">
        <v>-2.1302500000000002</v>
      </c>
      <c r="Q19">
        <v>1113.6400000000001</v>
      </c>
    </row>
    <row r="20" spans="1:17" x14ac:dyDescent="0.25">
      <c r="A20">
        <v>2.8344430186669198</v>
      </c>
      <c r="B20">
        <v>1009.32038834951</v>
      </c>
      <c r="D20">
        <v>8</v>
      </c>
      <c r="E20">
        <v>3.9417200000000001</v>
      </c>
      <c r="F20">
        <v>4.6683599999999998</v>
      </c>
      <c r="G20">
        <v>1063.48</v>
      </c>
      <c r="I20">
        <v>6.2343799999999998</v>
      </c>
      <c r="J20">
        <v>4.1509099999999997</v>
      </c>
      <c r="K20">
        <v>-2.8424999999999998</v>
      </c>
      <c r="L20">
        <v>1119.92</v>
      </c>
      <c r="N20">
        <v>5.4605699999999997</v>
      </c>
      <c r="O20">
        <v>4.1277600000000003</v>
      </c>
      <c r="P20">
        <v>-2.13035</v>
      </c>
      <c r="Q20">
        <v>1113.67</v>
      </c>
    </row>
    <row r="21" spans="1:17" x14ac:dyDescent="0.25">
      <c r="A21">
        <v>3.4571822870009399</v>
      </c>
      <c r="B21">
        <v>1043.1067961164999</v>
      </c>
      <c r="D21">
        <v>8.5</v>
      </c>
      <c r="E21">
        <v>3.9363899999999998</v>
      </c>
      <c r="F21">
        <v>5.13781</v>
      </c>
      <c r="G21">
        <v>1062.04</v>
      </c>
      <c r="I21">
        <v>6.65625</v>
      </c>
      <c r="J21">
        <v>4.1470200000000004</v>
      </c>
      <c r="K21">
        <v>-3.2391000000000001</v>
      </c>
      <c r="L21">
        <v>1118.8700000000001</v>
      </c>
      <c r="N21">
        <v>5.4753999999999996</v>
      </c>
      <c r="O21">
        <v>4.1276700000000002</v>
      </c>
      <c r="P21">
        <v>-2.1309100000000001</v>
      </c>
      <c r="Q21">
        <v>1113.6400000000001</v>
      </c>
    </row>
    <row r="22" spans="1:17" x14ac:dyDescent="0.25">
      <c r="A22">
        <v>4.2297653923443796</v>
      </c>
      <c r="B22">
        <v>1066.4077669902899</v>
      </c>
      <c r="D22">
        <v>9</v>
      </c>
      <c r="E22">
        <v>3.93025</v>
      </c>
      <c r="F22">
        <v>5.6074599999999997</v>
      </c>
      <c r="G22">
        <v>1060.3800000000001</v>
      </c>
      <c r="I22">
        <v>7.0781200000000002</v>
      </c>
      <c r="J22">
        <v>4.1413799999999998</v>
      </c>
      <c r="K22">
        <v>-3.6364399999999999</v>
      </c>
      <c r="L22">
        <v>1117.3399999999999</v>
      </c>
      <c r="N22">
        <v>5.47818</v>
      </c>
      <c r="O22">
        <v>4.1276900000000003</v>
      </c>
      <c r="P22">
        <v>-2.1309300000000002</v>
      </c>
      <c r="Q22">
        <v>1113.6500000000001</v>
      </c>
    </row>
    <row r="23" spans="1:17" x14ac:dyDescent="0.25">
      <c r="A23">
        <v>5.2768564026826104</v>
      </c>
      <c r="B23">
        <v>1080.3883495145601</v>
      </c>
      <c r="D23">
        <v>9.5</v>
      </c>
      <c r="E23">
        <v>3.9234100000000001</v>
      </c>
      <c r="F23">
        <v>6.0773999999999999</v>
      </c>
      <c r="G23">
        <v>1058.54</v>
      </c>
      <c r="I23">
        <v>7.5781200000000002</v>
      </c>
      <c r="J23">
        <v>4.1331699999999998</v>
      </c>
      <c r="K23">
        <v>-4.1077599999999999</v>
      </c>
      <c r="L23">
        <v>1115.1300000000001</v>
      </c>
      <c r="N23">
        <v>5.4809599999999996</v>
      </c>
      <c r="O23">
        <v>4.1277100000000004</v>
      </c>
      <c r="P23">
        <v>-2.13096</v>
      </c>
      <c r="Q23">
        <v>1113.6600000000001</v>
      </c>
    </row>
    <row r="24" spans="1:17" x14ac:dyDescent="0.25">
      <c r="A24">
        <v>6.1247609132508503</v>
      </c>
      <c r="B24">
        <v>1079.22330097087</v>
      </c>
      <c r="D24">
        <v>10</v>
      </c>
      <c r="E24">
        <v>3.91622</v>
      </c>
      <c r="F24">
        <v>6.5473699999999999</v>
      </c>
      <c r="G24">
        <v>1056.5999999999999</v>
      </c>
      <c r="I24">
        <v>8.0781200000000002</v>
      </c>
      <c r="J24">
        <v>4.1239600000000003</v>
      </c>
      <c r="K24">
        <v>-4.5792000000000002</v>
      </c>
      <c r="L24">
        <v>1112.6400000000001</v>
      </c>
      <c r="N24">
        <v>5.4851400000000003</v>
      </c>
      <c r="O24">
        <v>4.1277400000000002</v>
      </c>
      <c r="P24">
        <v>-2.1309900000000002</v>
      </c>
      <c r="Q24">
        <v>1113.6600000000001</v>
      </c>
    </row>
    <row r="25" spans="1:17" x14ac:dyDescent="0.25">
      <c r="A25">
        <v>7.1472048035251596</v>
      </c>
      <c r="B25">
        <v>1079.22330097087</v>
      </c>
      <c r="D25">
        <v>10.5</v>
      </c>
      <c r="E25">
        <v>3.9087399999999999</v>
      </c>
      <c r="F25">
        <v>7.0174300000000001</v>
      </c>
      <c r="G25">
        <v>1054.58</v>
      </c>
      <c r="I25">
        <v>8.5781200000000002</v>
      </c>
      <c r="J25">
        <v>4.1140499999999998</v>
      </c>
      <c r="K25">
        <v>-5.0507499999999999</v>
      </c>
      <c r="L25">
        <v>1109.97</v>
      </c>
      <c r="N25">
        <v>5.4861800000000001</v>
      </c>
      <c r="O25">
        <v>4.1277499999999998</v>
      </c>
      <c r="P25">
        <v>-2.1309999999999998</v>
      </c>
      <c r="Q25">
        <v>1113.67</v>
      </c>
    </row>
    <row r="26" spans="1:17" x14ac:dyDescent="0.25">
      <c r="A26">
        <v>8.0201680265356003</v>
      </c>
      <c r="B26">
        <v>1072.2330097087299</v>
      </c>
      <c r="D26">
        <v>11</v>
      </c>
      <c r="E26">
        <v>3.9009</v>
      </c>
      <c r="F26">
        <v>7.48766</v>
      </c>
      <c r="G26">
        <v>1052.46</v>
      </c>
      <c r="I26">
        <v>9.0781200000000002</v>
      </c>
      <c r="J26">
        <v>4.1036000000000001</v>
      </c>
      <c r="K26">
        <v>-5.5223800000000001</v>
      </c>
      <c r="L26">
        <v>1107.1500000000001</v>
      </c>
      <c r="N26">
        <v>5.4872199999999998</v>
      </c>
      <c r="O26">
        <v>4.1277499999999998</v>
      </c>
      <c r="P26">
        <v>-2.1310099999999998</v>
      </c>
      <c r="Q26">
        <v>1113.67</v>
      </c>
    </row>
    <row r="27" spans="1:17" x14ac:dyDescent="0.25">
      <c r="A27">
        <v>9.2421131636927001</v>
      </c>
      <c r="B27">
        <v>1072.2330097087299</v>
      </c>
      <c r="D27">
        <v>11.5</v>
      </c>
      <c r="E27">
        <v>3.89276</v>
      </c>
      <c r="F27">
        <v>7.9581</v>
      </c>
      <c r="G27">
        <v>1050.27</v>
      </c>
      <c r="I27">
        <v>9.5781200000000002</v>
      </c>
      <c r="J27">
        <v>4.0928199999999997</v>
      </c>
      <c r="K27">
        <v>-5.9941000000000004</v>
      </c>
      <c r="L27">
        <v>1104.24</v>
      </c>
      <c r="N27">
        <v>5.4882600000000004</v>
      </c>
      <c r="O27">
        <v>4.1277600000000003</v>
      </c>
      <c r="P27">
        <v>-2.1310199999999999</v>
      </c>
      <c r="Q27">
        <v>1113.67</v>
      </c>
    </row>
    <row r="28" spans="1:17" x14ac:dyDescent="0.25">
      <c r="A28">
        <v>10.937970607461899</v>
      </c>
      <c r="B28">
        <v>1067.57281553398</v>
      </c>
      <c r="D28">
        <v>12</v>
      </c>
      <c r="E28">
        <v>3.8842699999999999</v>
      </c>
      <c r="F28">
        <v>8.4288600000000002</v>
      </c>
      <c r="G28">
        <v>1047.98</v>
      </c>
      <c r="I28">
        <v>10.078099999999999</v>
      </c>
      <c r="J28">
        <v>4.0816800000000004</v>
      </c>
      <c r="K28">
        <v>-6.4661499999999998</v>
      </c>
      <c r="L28">
        <v>1101.24</v>
      </c>
      <c r="N28">
        <v>5.4892599999999998</v>
      </c>
      <c r="O28">
        <v>4.1277600000000003</v>
      </c>
      <c r="P28">
        <v>-2.13104</v>
      </c>
      <c r="Q28">
        <v>1113.67</v>
      </c>
    </row>
    <row r="29" spans="1:17" x14ac:dyDescent="0.25">
      <c r="A29">
        <v>12.284700869186199</v>
      </c>
      <c r="B29">
        <v>1062.9126213592201</v>
      </c>
      <c r="D29">
        <v>12.5</v>
      </c>
      <c r="E29">
        <v>3.8753799999999998</v>
      </c>
      <c r="F29">
        <v>8.9002400000000002</v>
      </c>
      <c r="G29">
        <v>1045.58</v>
      </c>
      <c r="I29">
        <v>10.578099999999999</v>
      </c>
      <c r="J29">
        <v>4.0698299999999996</v>
      </c>
      <c r="K29">
        <v>-6.9391699999999998</v>
      </c>
      <c r="L29">
        <v>1098.04</v>
      </c>
      <c r="N29">
        <v>5.4892599999999998</v>
      </c>
      <c r="O29">
        <v>4.1277600000000003</v>
      </c>
      <c r="P29">
        <v>-2.13104</v>
      </c>
      <c r="Q29">
        <v>1113.67</v>
      </c>
    </row>
    <row r="30" spans="1:17" x14ac:dyDescent="0.25">
      <c r="A30">
        <v>13.881001380044999</v>
      </c>
      <c r="B30">
        <v>1048.9320388349499</v>
      </c>
      <c r="D30">
        <v>13</v>
      </c>
      <c r="E30">
        <v>3.8661099999999999</v>
      </c>
      <c r="F30">
        <v>9.3721499999999995</v>
      </c>
      <c r="G30">
        <v>1043.08</v>
      </c>
      <c r="I30">
        <v>11.078099999999999</v>
      </c>
      <c r="J30">
        <v>4.0574700000000004</v>
      </c>
      <c r="K30">
        <v>-7.4126300000000001</v>
      </c>
      <c r="L30">
        <v>1094.71</v>
      </c>
      <c r="Q30">
        <f>MAX(Q4:Q29)</f>
        <v>1113.67</v>
      </c>
    </row>
    <row r="31" spans="1:17" x14ac:dyDescent="0.25">
      <c r="A31">
        <v>15.128126286226101</v>
      </c>
      <c r="B31">
        <v>1037.2815533980499</v>
      </c>
      <c r="D31">
        <v>13.5</v>
      </c>
      <c r="E31">
        <v>3.8565700000000001</v>
      </c>
      <c r="F31">
        <v>9.8442000000000007</v>
      </c>
      <c r="G31">
        <v>1040.5</v>
      </c>
      <c r="I31">
        <v>11.578099999999999</v>
      </c>
      <c r="J31">
        <v>4.0448599999999999</v>
      </c>
      <c r="K31">
        <v>-7.88619</v>
      </c>
      <c r="L31">
        <v>1091.3</v>
      </c>
    </row>
    <row r="32" spans="1:17" x14ac:dyDescent="0.25">
      <c r="A32">
        <v>16.400140425634898</v>
      </c>
      <c r="B32">
        <v>1027.9611650485399</v>
      </c>
      <c r="D32">
        <v>14</v>
      </c>
      <c r="E32">
        <v>3.8468800000000001</v>
      </c>
      <c r="F32">
        <v>10.3162</v>
      </c>
      <c r="G32">
        <v>1037.8900000000001</v>
      </c>
      <c r="I32">
        <v>12.078099999999999</v>
      </c>
      <c r="J32">
        <v>4.0320999999999998</v>
      </c>
      <c r="K32">
        <v>-8.3597999999999999</v>
      </c>
      <c r="L32">
        <v>1087.8600000000001</v>
      </c>
    </row>
    <row r="33" spans="1:12" x14ac:dyDescent="0.25">
      <c r="A33">
        <v>17.647168486550601</v>
      </c>
      <c r="B33">
        <v>1020.9708737864</v>
      </c>
      <c r="D33">
        <v>14.5</v>
      </c>
      <c r="E33">
        <v>3.8371</v>
      </c>
      <c r="F33">
        <v>10.7882</v>
      </c>
      <c r="G33">
        <v>1035.25</v>
      </c>
      <c r="I33">
        <v>12.578099999999999</v>
      </c>
      <c r="J33">
        <v>4.0191999999999997</v>
      </c>
      <c r="K33">
        <v>-8.8334600000000005</v>
      </c>
      <c r="L33">
        <v>1084.3800000000001</v>
      </c>
    </row>
    <row r="34" spans="1:12" x14ac:dyDescent="0.25">
      <c r="A34">
        <v>18.993898748274901</v>
      </c>
      <c r="B34">
        <v>1016.31067961165</v>
      </c>
      <c r="D34">
        <v>15</v>
      </c>
      <c r="E34">
        <v>3.8272599999999999</v>
      </c>
      <c r="F34">
        <v>11.260199999999999</v>
      </c>
      <c r="G34">
        <v>1032.5999999999999</v>
      </c>
      <c r="I34">
        <v>13.078099999999999</v>
      </c>
      <c r="J34">
        <v>4.0062499999999996</v>
      </c>
      <c r="K34">
        <v>-9.3072400000000002</v>
      </c>
      <c r="L34">
        <v>1080.8900000000001</v>
      </c>
    </row>
    <row r="35" spans="1:12" x14ac:dyDescent="0.25">
      <c r="A35">
        <v>20.3158366220371</v>
      </c>
      <c r="B35">
        <v>1004.66019417475</v>
      </c>
      <c r="D35">
        <v>15.5</v>
      </c>
      <c r="E35">
        <v>3.81732</v>
      </c>
      <c r="F35">
        <v>11.7323</v>
      </c>
      <c r="G35">
        <v>1029.9100000000001</v>
      </c>
      <c r="I35">
        <v>13.578099999999999</v>
      </c>
      <c r="J35">
        <v>3.9932300000000001</v>
      </c>
      <c r="K35">
        <v>-9.7811500000000002</v>
      </c>
      <c r="L35">
        <v>1077.3700000000001</v>
      </c>
    </row>
    <row r="36" spans="1:12" x14ac:dyDescent="0.25">
      <c r="A36">
        <v>21.238772002033699</v>
      </c>
      <c r="B36">
        <v>993.009708737864</v>
      </c>
      <c r="D36">
        <v>16</v>
      </c>
      <c r="E36">
        <v>3.80728</v>
      </c>
      <c r="F36">
        <v>12.204499999999999</v>
      </c>
      <c r="G36">
        <v>1027.2</v>
      </c>
      <c r="I36">
        <v>14.078099999999999</v>
      </c>
      <c r="J36">
        <v>3.98021</v>
      </c>
      <c r="K36">
        <v>-10.255000000000001</v>
      </c>
      <c r="L36">
        <v>1073.8600000000001</v>
      </c>
    </row>
    <row r="37" spans="1:12" x14ac:dyDescent="0.25">
      <c r="A37">
        <v>22.5107377188097</v>
      </c>
      <c r="B37">
        <v>986.01941747572801</v>
      </c>
      <c r="D37">
        <v>16.5</v>
      </c>
      <c r="E37">
        <v>3.7972000000000001</v>
      </c>
      <c r="F37">
        <v>12.6768</v>
      </c>
      <c r="G37">
        <v>1024.49</v>
      </c>
      <c r="I37">
        <v>14.578099999999999</v>
      </c>
      <c r="J37">
        <v>3.9672700000000001</v>
      </c>
      <c r="K37">
        <v>-10.7287</v>
      </c>
      <c r="L37">
        <v>1070.3800000000001</v>
      </c>
    </row>
    <row r="38" spans="1:12" x14ac:dyDescent="0.25">
      <c r="A38">
        <v>23.558409800740801</v>
      </c>
      <c r="B38">
        <v>972.03883495145601</v>
      </c>
      <c r="D38">
        <v>17</v>
      </c>
      <c r="E38">
        <v>3.78714</v>
      </c>
      <c r="F38">
        <v>13.149100000000001</v>
      </c>
      <c r="G38">
        <v>1021.77</v>
      </c>
      <c r="I38">
        <v>15.078099999999999</v>
      </c>
      <c r="J38">
        <v>3.9544000000000001</v>
      </c>
      <c r="K38">
        <v>-11.202299999999999</v>
      </c>
      <c r="L38">
        <v>1066.9000000000001</v>
      </c>
    </row>
    <row r="39" spans="1:12" x14ac:dyDescent="0.25">
      <c r="A39">
        <v>24.556158148318499</v>
      </c>
      <c r="B39">
        <v>960.38834951456295</v>
      </c>
      <c r="D39">
        <v>17.5</v>
      </c>
      <c r="E39">
        <v>3.7770700000000001</v>
      </c>
      <c r="F39">
        <v>13.6214</v>
      </c>
      <c r="G39">
        <v>1019.0500000000001</v>
      </c>
      <c r="I39">
        <v>15.578099999999999</v>
      </c>
      <c r="J39">
        <v>3.94163</v>
      </c>
      <c r="K39">
        <v>-11.675800000000001</v>
      </c>
      <c r="L39">
        <v>1063.45</v>
      </c>
    </row>
    <row r="40" spans="1:12" x14ac:dyDescent="0.25">
      <c r="D40">
        <v>18</v>
      </c>
      <c r="E40">
        <v>3.76701</v>
      </c>
      <c r="F40">
        <v>14.0936</v>
      </c>
      <c r="G40">
        <v>1016.34</v>
      </c>
      <c r="I40">
        <v>16.078099999999999</v>
      </c>
      <c r="J40">
        <v>3.9289700000000001</v>
      </c>
      <c r="K40">
        <v>-12.1493</v>
      </c>
      <c r="L40">
        <v>1060.04</v>
      </c>
    </row>
    <row r="41" spans="1:12" x14ac:dyDescent="0.25">
      <c r="D41">
        <v>18.5</v>
      </c>
      <c r="E41">
        <v>3.75698</v>
      </c>
      <c r="F41">
        <v>14.5656</v>
      </c>
      <c r="G41">
        <v>1013.63</v>
      </c>
      <c r="I41">
        <v>16.578099999999999</v>
      </c>
      <c r="J41">
        <v>3.9163800000000002</v>
      </c>
      <c r="K41">
        <v>-12.6229</v>
      </c>
      <c r="L41">
        <v>1056.6400000000001</v>
      </c>
    </row>
    <row r="42" spans="1:12" x14ac:dyDescent="0.25">
      <c r="D42">
        <v>19</v>
      </c>
      <c r="E42">
        <v>3.74701</v>
      </c>
      <c r="F42">
        <v>15.037599999999999</v>
      </c>
      <c r="G42">
        <v>1010.94</v>
      </c>
      <c r="I42">
        <v>17.078099999999999</v>
      </c>
      <c r="J42">
        <v>3.90388</v>
      </c>
      <c r="K42">
        <v>-13.0966</v>
      </c>
      <c r="L42">
        <v>1053.27</v>
      </c>
    </row>
    <row r="43" spans="1:12" x14ac:dyDescent="0.25">
      <c r="D43">
        <v>19.5</v>
      </c>
      <c r="E43">
        <v>3.73712</v>
      </c>
      <c r="F43">
        <v>15.509499999999999</v>
      </c>
      <c r="G43">
        <v>1008.28</v>
      </c>
      <c r="I43">
        <v>17.578099999999999</v>
      </c>
      <c r="J43">
        <v>3.8914599999999999</v>
      </c>
      <c r="K43">
        <v>-13.5702</v>
      </c>
      <c r="L43">
        <v>1049.92</v>
      </c>
    </row>
    <row r="44" spans="1:12" x14ac:dyDescent="0.25">
      <c r="D44">
        <v>20</v>
      </c>
      <c r="E44">
        <v>3.7272699999999999</v>
      </c>
      <c r="F44">
        <v>15.9816</v>
      </c>
      <c r="G44">
        <v>1005.62</v>
      </c>
      <c r="I44">
        <v>18.078099999999999</v>
      </c>
      <c r="J44">
        <v>3.87914</v>
      </c>
      <c r="K44">
        <v>-14.043900000000001</v>
      </c>
      <c r="L44">
        <v>1046.5899999999999</v>
      </c>
    </row>
    <row r="45" spans="1:12" x14ac:dyDescent="0.25">
      <c r="D45">
        <v>20.5</v>
      </c>
      <c r="E45">
        <v>3.7174800000000001</v>
      </c>
      <c r="F45">
        <v>16.453600000000002</v>
      </c>
      <c r="G45">
        <v>1002.98</v>
      </c>
      <c r="I45">
        <v>18.578099999999999</v>
      </c>
      <c r="J45">
        <v>3.8669199999999999</v>
      </c>
      <c r="K45">
        <v>-14.5174</v>
      </c>
      <c r="L45">
        <v>1043.3</v>
      </c>
    </row>
    <row r="46" spans="1:12" x14ac:dyDescent="0.25">
      <c r="D46">
        <v>21</v>
      </c>
      <c r="E46">
        <v>3.70777</v>
      </c>
      <c r="F46">
        <v>16.9255</v>
      </c>
      <c r="G46">
        <v>1000.36</v>
      </c>
      <c r="I46">
        <v>19.078099999999999</v>
      </c>
      <c r="J46">
        <v>3.8548100000000001</v>
      </c>
      <c r="K46">
        <v>-14.9909</v>
      </c>
      <c r="L46">
        <v>1040.03</v>
      </c>
    </row>
    <row r="47" spans="1:12" x14ac:dyDescent="0.25">
      <c r="D47">
        <v>21.5</v>
      </c>
      <c r="E47">
        <v>3.6981199999999999</v>
      </c>
      <c r="F47">
        <v>17.397400000000001</v>
      </c>
      <c r="G47">
        <v>997.75300000000004</v>
      </c>
      <c r="I47">
        <v>19.578099999999999</v>
      </c>
      <c r="J47">
        <v>3.8428100000000001</v>
      </c>
      <c r="K47">
        <v>-15.464399999999999</v>
      </c>
      <c r="L47">
        <v>1036.79</v>
      </c>
    </row>
    <row r="48" spans="1:12" x14ac:dyDescent="0.25">
      <c r="D48">
        <v>22</v>
      </c>
      <c r="E48">
        <v>3.6885300000000001</v>
      </c>
      <c r="F48">
        <v>17.869299999999999</v>
      </c>
      <c r="G48">
        <v>995.16600000000005</v>
      </c>
      <c r="I48">
        <v>20.078099999999999</v>
      </c>
      <c r="J48">
        <v>3.8308200000000001</v>
      </c>
      <c r="K48">
        <v>-15.9382</v>
      </c>
      <c r="L48">
        <v>1033.56</v>
      </c>
    </row>
    <row r="49" spans="4:12" x14ac:dyDescent="0.25">
      <c r="D49">
        <v>22.5</v>
      </c>
      <c r="E49">
        <v>3.6789800000000001</v>
      </c>
      <c r="F49">
        <v>18.3413</v>
      </c>
      <c r="G49">
        <v>992.58900000000006</v>
      </c>
      <c r="I49">
        <v>20.578099999999999</v>
      </c>
      <c r="J49">
        <v>3.8185899999999999</v>
      </c>
      <c r="K49">
        <v>-16.413599999999999</v>
      </c>
      <c r="L49">
        <v>1030.25</v>
      </c>
    </row>
    <row r="50" spans="4:12" x14ac:dyDescent="0.25">
      <c r="D50">
        <v>23</v>
      </c>
      <c r="E50">
        <v>3.6693500000000001</v>
      </c>
      <c r="F50">
        <v>18.8139</v>
      </c>
      <c r="G50">
        <v>989.98900000000003</v>
      </c>
      <c r="I50">
        <v>21.078099999999999</v>
      </c>
      <c r="J50">
        <v>3.8054299999999999</v>
      </c>
      <c r="K50">
        <v>-16.892800000000001</v>
      </c>
      <c r="L50">
        <v>1026.7</v>
      </c>
    </row>
    <row r="51" spans="4:12" x14ac:dyDescent="0.25">
      <c r="D51">
        <v>23.5</v>
      </c>
      <c r="E51">
        <v>3.65944</v>
      </c>
      <c r="F51">
        <v>19.287800000000001</v>
      </c>
      <c r="G51">
        <v>987.31799999999998</v>
      </c>
      <c r="I51">
        <v>21.578099999999999</v>
      </c>
      <c r="J51">
        <v>3.7895500000000002</v>
      </c>
      <c r="K51">
        <v>-17.383700000000001</v>
      </c>
      <c r="L51">
        <v>1022.4200000000001</v>
      </c>
    </row>
    <row r="52" spans="4:12" x14ac:dyDescent="0.25">
      <c r="D52">
        <v>24</v>
      </c>
      <c r="E52">
        <v>3.64852</v>
      </c>
      <c r="F52">
        <v>19.766100000000002</v>
      </c>
      <c r="G52">
        <v>984.37</v>
      </c>
      <c r="I52">
        <v>22.078099999999999</v>
      </c>
      <c r="J52">
        <v>3.7700300000000002</v>
      </c>
      <c r="K52">
        <v>-17.8874</v>
      </c>
      <c r="L52">
        <v>1017.15</v>
      </c>
    </row>
    <row r="53" spans="4:12" x14ac:dyDescent="0.25">
      <c r="D53">
        <v>24.5</v>
      </c>
      <c r="E53">
        <v>3.6359300000000001</v>
      </c>
      <c r="F53">
        <v>20.251899999999999</v>
      </c>
      <c r="G53">
        <v>980.97300000000007</v>
      </c>
      <c r="I53">
        <v>22.578099999999999</v>
      </c>
      <c r="J53">
        <v>3.7491599999999998</v>
      </c>
      <c r="K53">
        <v>-18.394200000000001</v>
      </c>
      <c r="L53">
        <v>1011.52</v>
      </c>
    </row>
    <row r="54" spans="4:12" x14ac:dyDescent="0.25">
      <c r="D54">
        <v>25</v>
      </c>
      <c r="E54">
        <v>3.62012</v>
      </c>
      <c r="F54">
        <v>20.750699999999998</v>
      </c>
      <c r="G54">
        <v>976.71</v>
      </c>
      <c r="I54">
        <v>23.078099999999999</v>
      </c>
      <c r="J54">
        <v>3.72763</v>
      </c>
      <c r="K54">
        <v>-18.901900000000001</v>
      </c>
      <c r="L54">
        <v>1005.71</v>
      </c>
    </row>
    <row r="55" spans="4:12" x14ac:dyDescent="0.25">
      <c r="G55">
        <f>MAX(G4:G54)</f>
        <v>1066.24</v>
      </c>
      <c r="L55">
        <f t="shared" ref="L55" si="0">MAX(L4:L54)</f>
        <v>1120.3900000000001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680E-7218-43C5-883F-CEC91102CAE3}">
  <sheetPr codeName="Sheet3"/>
  <dimension ref="A1:Q55"/>
  <sheetViews>
    <sheetView topLeftCell="A13" workbookViewId="0">
      <selection activeCell="N44" sqref="N44"/>
    </sheetView>
  </sheetViews>
  <sheetFormatPr defaultRowHeight="15" x14ac:dyDescent="0.25"/>
  <cols>
    <col min="7" max="7" width="11.7109375" bestFit="1" customWidth="1"/>
    <col min="12" max="12" width="11.7109375" bestFit="1" customWidth="1"/>
    <col min="17" max="17" width="13.140625" bestFit="1" customWidth="1"/>
    <col min="22" max="22" width="11.7109375" bestFit="1" customWidth="1"/>
  </cols>
  <sheetData>
    <row r="1" spans="1:17" x14ac:dyDescent="0.25">
      <c r="A1">
        <v>-1E-3</v>
      </c>
      <c r="B1">
        <v>-1</v>
      </c>
      <c r="D1" t="s">
        <v>21</v>
      </c>
      <c r="I1" t="s">
        <v>23</v>
      </c>
      <c r="N1" t="s">
        <v>22</v>
      </c>
    </row>
    <row r="3" spans="1:17" x14ac:dyDescent="0.25">
      <c r="A3" t="s">
        <v>0</v>
      </c>
      <c r="B3" t="s">
        <v>20</v>
      </c>
      <c r="D3" t="s">
        <v>1</v>
      </c>
      <c r="E3" t="s">
        <v>2</v>
      </c>
      <c r="F3" t="s">
        <v>7</v>
      </c>
      <c r="G3" t="s">
        <v>8</v>
      </c>
      <c r="I3" t="s">
        <v>1</v>
      </c>
      <c r="J3" t="s">
        <v>2</v>
      </c>
      <c r="K3" t="s">
        <v>7</v>
      </c>
      <c r="L3" t="s">
        <v>8</v>
      </c>
      <c r="N3" t="s">
        <v>1</v>
      </c>
      <c r="O3" t="s">
        <v>2</v>
      </c>
      <c r="P3" t="s">
        <v>7</v>
      </c>
      <c r="Q3" t="s">
        <v>8</v>
      </c>
    </row>
    <row r="4" spans="1:17" x14ac:dyDescent="0.25">
      <c r="A4">
        <v>4.97058325061141E-2</v>
      </c>
      <c r="B4">
        <v>10.8737864077666</v>
      </c>
      <c r="D4">
        <v>0</v>
      </c>
      <c r="E4">
        <v>0</v>
      </c>
      <c r="F4">
        <v>2.039E-4</v>
      </c>
      <c r="G4">
        <v>1.6818300000000001E-6</v>
      </c>
      <c r="I4">
        <v>0</v>
      </c>
      <c r="J4">
        <v>0</v>
      </c>
      <c r="K4" s="7">
        <v>2.9202699999999999</v>
      </c>
      <c r="L4">
        <v>1.28939E-6</v>
      </c>
      <c r="N4">
        <v>0</v>
      </c>
      <c r="O4">
        <v>0</v>
      </c>
      <c r="P4" s="7">
        <v>2.5005799999999998</v>
      </c>
      <c r="Q4">
        <v>1.42981E-7</v>
      </c>
    </row>
    <row r="5" spans="1:17" x14ac:dyDescent="0.25">
      <c r="A5">
        <v>0.18383652519187499</v>
      </c>
      <c r="B5">
        <v>156.50485436893101</v>
      </c>
      <c r="D5">
        <v>0.5</v>
      </c>
      <c r="E5">
        <v>0.49997000000000003</v>
      </c>
      <c r="F5">
        <v>5.4323900000000001E-2</v>
      </c>
      <c r="G5">
        <v>177.25200000000001</v>
      </c>
      <c r="I5">
        <v>0.5</v>
      </c>
      <c r="J5">
        <v>0.49995800000000001</v>
      </c>
      <c r="K5">
        <v>-5.4095400000000002E-2</v>
      </c>
      <c r="L5">
        <v>177.24799999999999</v>
      </c>
      <c r="N5">
        <v>0.5</v>
      </c>
      <c r="O5">
        <v>0.499892</v>
      </c>
      <c r="P5">
        <v>-5.4191499999999997E-2</v>
      </c>
      <c r="Q5">
        <v>177.22399999999999</v>
      </c>
    </row>
    <row r="6" spans="1:17" x14ac:dyDescent="0.25">
      <c r="A6">
        <v>0.31818511972496</v>
      </c>
      <c r="B6">
        <v>291.65048543689301</v>
      </c>
      <c r="D6">
        <v>1</v>
      </c>
      <c r="E6">
        <v>0.99975899999999995</v>
      </c>
      <c r="F6">
        <v>0.114109</v>
      </c>
      <c r="G6">
        <v>354.44</v>
      </c>
      <c r="I6">
        <v>1</v>
      </c>
      <c r="J6">
        <v>0.99970800000000004</v>
      </c>
      <c r="K6">
        <v>-0.113887</v>
      </c>
      <c r="L6">
        <v>354.42099999999999</v>
      </c>
      <c r="N6">
        <v>1</v>
      </c>
      <c r="O6">
        <v>0.99943300000000002</v>
      </c>
      <c r="P6">
        <v>-0.11408799999999999</v>
      </c>
      <c r="Q6">
        <v>354.32400000000001</v>
      </c>
    </row>
    <row r="7" spans="1:17" x14ac:dyDescent="0.25">
      <c r="A7">
        <v>0.44040384475703898</v>
      </c>
      <c r="B7">
        <v>410.48543689320297</v>
      </c>
      <c r="D7">
        <v>1.5</v>
      </c>
      <c r="E7">
        <v>1.4991699999999999</v>
      </c>
      <c r="F7">
        <v>0.180475</v>
      </c>
      <c r="G7">
        <v>531.49199999999996</v>
      </c>
      <c r="I7">
        <v>1.5</v>
      </c>
      <c r="J7">
        <v>1.49905</v>
      </c>
      <c r="K7">
        <v>-0.18026</v>
      </c>
      <c r="L7">
        <v>531.45000000000005</v>
      </c>
      <c r="N7">
        <v>1.5</v>
      </c>
      <c r="O7">
        <v>1.49841</v>
      </c>
      <c r="P7">
        <v>-0.180585</v>
      </c>
      <c r="Q7">
        <v>531.22400000000005</v>
      </c>
    </row>
    <row r="8" spans="1:17" x14ac:dyDescent="0.25">
      <c r="A8">
        <v>0.55044427765537496</v>
      </c>
      <c r="B8">
        <v>515.33980582524202</v>
      </c>
      <c r="D8">
        <v>2</v>
      </c>
      <c r="E8">
        <v>1.99793</v>
      </c>
      <c r="F8">
        <v>0.25453500000000001</v>
      </c>
      <c r="G8">
        <v>708.31500000000005</v>
      </c>
      <c r="I8">
        <v>2</v>
      </c>
      <c r="J8">
        <v>1.9977100000000001</v>
      </c>
      <c r="K8">
        <v>-0.25433099999999997</v>
      </c>
      <c r="L8">
        <v>708.23699999999997</v>
      </c>
      <c r="N8">
        <v>2</v>
      </c>
      <c r="O8">
        <v>1.99654</v>
      </c>
      <c r="P8">
        <v>-0.254799</v>
      </c>
      <c r="Q8">
        <v>707.82500000000005</v>
      </c>
    </row>
    <row r="9" spans="1:17" x14ac:dyDescent="0.25">
      <c r="A9">
        <v>0.63607970365348798</v>
      </c>
      <c r="B9">
        <v>594.56310679611602</v>
      </c>
      <c r="D9">
        <v>2.5</v>
      </c>
      <c r="E9">
        <v>2.49566</v>
      </c>
      <c r="F9">
        <v>0.33765099999999998</v>
      </c>
      <c r="G9">
        <v>884.77499999999998</v>
      </c>
      <c r="I9">
        <v>2.5</v>
      </c>
      <c r="J9">
        <v>2.4953099999999999</v>
      </c>
      <c r="K9">
        <v>-0.33745999999999998</v>
      </c>
      <c r="L9">
        <v>884.65</v>
      </c>
      <c r="N9">
        <v>2.5</v>
      </c>
      <c r="O9">
        <v>2.4934400000000001</v>
      </c>
      <c r="P9">
        <v>-0.33809699999999998</v>
      </c>
      <c r="Q9">
        <v>883.98800000000006</v>
      </c>
    </row>
    <row r="10" spans="1:17" x14ac:dyDescent="0.25">
      <c r="A10">
        <v>0.74626540445003897</v>
      </c>
      <c r="B10">
        <v>692.42718446601896</v>
      </c>
      <c r="D10">
        <v>3</v>
      </c>
      <c r="E10">
        <v>2.99186</v>
      </c>
      <c r="F10">
        <v>0.43149500000000002</v>
      </c>
      <c r="G10">
        <v>1060.69</v>
      </c>
      <c r="I10">
        <v>3</v>
      </c>
      <c r="J10">
        <v>2.9913400000000001</v>
      </c>
      <c r="K10">
        <v>-0.43132100000000001</v>
      </c>
      <c r="L10">
        <v>1060.51</v>
      </c>
      <c r="N10">
        <v>3</v>
      </c>
      <c r="O10">
        <v>2.9885799999999998</v>
      </c>
      <c r="P10">
        <v>-0.43215799999999999</v>
      </c>
      <c r="Q10">
        <v>1059.53</v>
      </c>
    </row>
    <row r="11" spans="1:17" x14ac:dyDescent="0.25">
      <c r="A11">
        <v>0.86848412948212095</v>
      </c>
      <c r="B11">
        <v>811.26213592233</v>
      </c>
      <c r="D11">
        <v>3.5</v>
      </c>
      <c r="E11">
        <v>3.4815200000000002</v>
      </c>
      <c r="F11">
        <v>0.54751499999999997</v>
      </c>
      <c r="G11">
        <v>1234.29</v>
      </c>
      <c r="I11">
        <v>3.5</v>
      </c>
      <c r="J11">
        <v>3.4813800000000001</v>
      </c>
      <c r="K11">
        <v>-0.54735999999999996</v>
      </c>
      <c r="L11">
        <v>1234.24</v>
      </c>
      <c r="N11">
        <v>3.5</v>
      </c>
      <c r="O11">
        <v>3.47506</v>
      </c>
      <c r="P11">
        <v>-0.55198100000000005</v>
      </c>
      <c r="Q11">
        <v>1232</v>
      </c>
    </row>
    <row r="12" spans="1:17" x14ac:dyDescent="0.25">
      <c r="A12">
        <v>0.97866983027867005</v>
      </c>
      <c r="B12">
        <v>909.12621359223294</v>
      </c>
      <c r="D12">
        <v>4</v>
      </c>
      <c r="E12">
        <v>3.8390900000000001</v>
      </c>
      <c r="F12">
        <v>1.07759</v>
      </c>
      <c r="G12">
        <v>1361.05</v>
      </c>
      <c r="I12">
        <v>4</v>
      </c>
      <c r="J12">
        <v>3.8366400000000001</v>
      </c>
      <c r="K12">
        <v>-1.05402</v>
      </c>
      <c r="L12">
        <v>1360.18</v>
      </c>
      <c r="N12">
        <v>4</v>
      </c>
      <c r="O12">
        <v>3.7998799999999999</v>
      </c>
      <c r="P12">
        <v>-1.1273</v>
      </c>
      <c r="Q12">
        <v>1347.15</v>
      </c>
    </row>
    <row r="13" spans="1:17" x14ac:dyDescent="0.25">
      <c r="A13">
        <v>1.1016148948018201</v>
      </c>
      <c r="B13">
        <v>993.009708737864</v>
      </c>
      <c r="D13">
        <v>4.5</v>
      </c>
      <c r="E13">
        <v>3.8724599999999998</v>
      </c>
      <c r="F13">
        <v>1.5683</v>
      </c>
      <c r="G13">
        <v>1372.88</v>
      </c>
      <c r="I13">
        <v>4.5</v>
      </c>
      <c r="J13">
        <v>3.8716400000000002</v>
      </c>
      <c r="K13">
        <v>-1.5458400000000001</v>
      </c>
      <c r="L13">
        <v>1372.59</v>
      </c>
      <c r="N13">
        <v>4.5</v>
      </c>
      <c r="O13">
        <v>3.8429000000000002</v>
      </c>
      <c r="P13">
        <v>-1.6205700000000001</v>
      </c>
      <c r="Q13">
        <v>1362.41</v>
      </c>
    </row>
    <row r="14" spans="1:17" x14ac:dyDescent="0.25">
      <c r="A14">
        <v>1.2371256325206299</v>
      </c>
      <c r="B14">
        <v>1072.2330097087299</v>
      </c>
      <c r="D14">
        <v>5</v>
      </c>
      <c r="E14">
        <v>3.89188</v>
      </c>
      <c r="F14">
        <v>2.0610900000000001</v>
      </c>
      <c r="G14">
        <v>1379.77</v>
      </c>
      <c r="I14">
        <v>5</v>
      </c>
      <c r="J14">
        <v>3.89209</v>
      </c>
      <c r="K14">
        <v>-2.0385200000000001</v>
      </c>
      <c r="L14">
        <v>1379.84</v>
      </c>
      <c r="N14">
        <v>5</v>
      </c>
      <c r="O14">
        <v>3.8660199999999998</v>
      </c>
      <c r="P14">
        <v>-2.11572</v>
      </c>
      <c r="Q14">
        <v>1370.6000000000001</v>
      </c>
    </row>
    <row r="15" spans="1:17" x14ac:dyDescent="0.25">
      <c r="A15">
        <v>1.42217272353097</v>
      </c>
      <c r="B15">
        <v>1167.7669902912601</v>
      </c>
      <c r="D15">
        <v>5.5</v>
      </c>
      <c r="E15">
        <v>3.9037299999999999</v>
      </c>
      <c r="F15">
        <v>2.5548500000000001</v>
      </c>
      <c r="G15">
        <v>1383.97</v>
      </c>
      <c r="I15">
        <v>5.5</v>
      </c>
      <c r="J15">
        <v>3.9041999999999999</v>
      </c>
      <c r="K15">
        <v>-2.5326300000000002</v>
      </c>
      <c r="L15">
        <v>1384.14</v>
      </c>
      <c r="N15">
        <v>5.5</v>
      </c>
      <c r="O15">
        <v>3.88104</v>
      </c>
      <c r="P15">
        <v>-2.61131</v>
      </c>
      <c r="Q15">
        <v>1375.93</v>
      </c>
    </row>
    <row r="16" spans="1:17" x14ac:dyDescent="0.25">
      <c r="A16">
        <v>1.85582161102099</v>
      </c>
      <c r="B16">
        <v>1300.5825242718399</v>
      </c>
      <c r="D16">
        <v>6</v>
      </c>
      <c r="E16">
        <v>3.9120499999999998</v>
      </c>
      <c r="F16">
        <v>3.0477599999999998</v>
      </c>
      <c r="G16">
        <v>1386.92</v>
      </c>
      <c r="I16">
        <v>6</v>
      </c>
      <c r="J16">
        <v>3.9123800000000002</v>
      </c>
      <c r="K16">
        <v>-3.0264199999999999</v>
      </c>
      <c r="L16">
        <v>1387.04</v>
      </c>
      <c r="N16">
        <v>6</v>
      </c>
      <c r="O16">
        <v>3.8910800000000001</v>
      </c>
      <c r="P16">
        <v>-3.1075200000000001</v>
      </c>
      <c r="Q16">
        <v>1379.49</v>
      </c>
    </row>
    <row r="17" spans="1:17" x14ac:dyDescent="0.25">
      <c r="A17">
        <v>2.1789700506016501</v>
      </c>
      <c r="B17">
        <v>1350.67961165048</v>
      </c>
      <c r="D17">
        <v>6.5</v>
      </c>
      <c r="E17">
        <v>3.9180600000000001</v>
      </c>
      <c r="F17">
        <v>3.54054</v>
      </c>
      <c r="G17">
        <v>1389.05</v>
      </c>
      <c r="I17">
        <v>6.5</v>
      </c>
      <c r="J17">
        <v>3.9181699999999999</v>
      </c>
      <c r="K17">
        <v>-3.5203099999999998</v>
      </c>
      <c r="L17">
        <v>1389.09</v>
      </c>
      <c r="N17">
        <v>6.5</v>
      </c>
      <c r="O17">
        <v>3.8978600000000001</v>
      </c>
      <c r="P17">
        <v>-3.6041400000000001</v>
      </c>
      <c r="Q17">
        <v>1381.89</v>
      </c>
    </row>
    <row r="18" spans="1:17" x14ac:dyDescent="0.25">
      <c r="A18">
        <v>2.8265501295305402</v>
      </c>
      <c r="B18">
        <v>1389.12621359223</v>
      </c>
      <c r="D18">
        <v>7</v>
      </c>
      <c r="E18">
        <v>3.9222199999999998</v>
      </c>
      <c r="F18">
        <v>4.0339400000000003</v>
      </c>
      <c r="G18">
        <v>1390.52</v>
      </c>
      <c r="I18">
        <v>7</v>
      </c>
      <c r="J18">
        <v>3.9220299999999999</v>
      </c>
      <c r="K18">
        <v>-4.0144700000000002</v>
      </c>
      <c r="L18">
        <v>1390.46</v>
      </c>
      <c r="N18">
        <v>7</v>
      </c>
      <c r="O18">
        <v>3.90211</v>
      </c>
      <c r="P18">
        <v>-4.1014099999999996</v>
      </c>
      <c r="Q18">
        <v>1383.39</v>
      </c>
    </row>
    <row r="19" spans="1:17" x14ac:dyDescent="0.25">
      <c r="A19">
        <v>3.3749606566108898</v>
      </c>
      <c r="B19">
        <v>1399.6116504854299</v>
      </c>
      <c r="D19">
        <v>7.5</v>
      </c>
      <c r="E19">
        <v>3.92387</v>
      </c>
      <c r="F19">
        <v>4.5293599999999996</v>
      </c>
      <c r="G19">
        <v>1391.1100000000001</v>
      </c>
      <c r="I19">
        <v>7.5</v>
      </c>
      <c r="J19">
        <v>3.9236800000000001</v>
      </c>
      <c r="K19">
        <v>-4.5102799999999998</v>
      </c>
      <c r="L19">
        <v>1391.04</v>
      </c>
      <c r="N19">
        <v>7.5</v>
      </c>
      <c r="O19">
        <v>3.9041800000000002</v>
      </c>
      <c r="P19">
        <v>-4.5996699999999997</v>
      </c>
      <c r="Q19">
        <v>1384.13</v>
      </c>
    </row>
    <row r="20" spans="1:17" x14ac:dyDescent="0.25">
      <c r="A20">
        <v>4.1228724305740396</v>
      </c>
      <c r="B20">
        <v>1410.09708737864</v>
      </c>
      <c r="D20">
        <v>8</v>
      </c>
      <c r="E20">
        <v>3.9236800000000001</v>
      </c>
      <c r="F20">
        <v>5.0256699999999999</v>
      </c>
      <c r="G20">
        <v>1391.04</v>
      </c>
      <c r="I20">
        <v>8</v>
      </c>
      <c r="J20">
        <v>3.9235099999999998</v>
      </c>
      <c r="K20">
        <v>-5.0070399999999999</v>
      </c>
      <c r="L20">
        <v>1390.98</v>
      </c>
      <c r="N20">
        <v>8</v>
      </c>
      <c r="O20">
        <v>3.90455</v>
      </c>
      <c r="P20">
        <v>-5.0985199999999997</v>
      </c>
      <c r="Q20">
        <v>1384.26</v>
      </c>
    </row>
    <row r="21" spans="1:17" x14ac:dyDescent="0.25">
      <c r="A21">
        <v>4.7712272716267501</v>
      </c>
      <c r="B21">
        <v>1411.2621359223299</v>
      </c>
      <c r="D21">
        <v>8.5</v>
      </c>
      <c r="E21">
        <v>3.9224399999999999</v>
      </c>
      <c r="F21">
        <v>5.5220799999999999</v>
      </c>
      <c r="G21">
        <v>1390.6000000000001</v>
      </c>
      <c r="I21">
        <v>8.5</v>
      </c>
      <c r="J21">
        <v>3.9222100000000002</v>
      </c>
      <c r="K21">
        <v>-5.5039899999999999</v>
      </c>
      <c r="L21">
        <v>1390.52</v>
      </c>
      <c r="N21">
        <v>8.5</v>
      </c>
      <c r="O21">
        <v>3.9037799999999998</v>
      </c>
      <c r="P21">
        <v>-5.5975099999999998</v>
      </c>
      <c r="Q21">
        <v>1383.99</v>
      </c>
    </row>
    <row r="22" spans="1:17" x14ac:dyDescent="0.25">
      <c r="A22">
        <v>5.5192843134881198</v>
      </c>
      <c r="B22">
        <v>1414.7572815533899</v>
      </c>
      <c r="D22">
        <v>9</v>
      </c>
      <c r="E22">
        <v>3.92035</v>
      </c>
      <c r="F22">
        <v>6.0187799999999996</v>
      </c>
      <c r="G22">
        <v>1389.8600000000001</v>
      </c>
      <c r="I22">
        <v>9</v>
      </c>
      <c r="J22">
        <v>3.92001</v>
      </c>
      <c r="K22">
        <v>-6.0012100000000004</v>
      </c>
      <c r="L22">
        <v>1389.74</v>
      </c>
      <c r="N22">
        <v>9</v>
      </c>
      <c r="O22">
        <v>3.90218</v>
      </c>
      <c r="P22">
        <v>-6.0966199999999997</v>
      </c>
      <c r="Q22">
        <v>1383.42</v>
      </c>
    </row>
    <row r="23" spans="1:17" x14ac:dyDescent="0.25">
      <c r="A23">
        <v>6.2923516451589396</v>
      </c>
      <c r="B23">
        <v>1414.7572815533899</v>
      </c>
      <c r="D23">
        <v>9.5</v>
      </c>
      <c r="E23">
        <v>3.9175599999999999</v>
      </c>
      <c r="F23">
        <v>6.5155599999999998</v>
      </c>
      <c r="G23">
        <v>1388.8700000000001</v>
      </c>
      <c r="I23">
        <v>9.5</v>
      </c>
      <c r="J23">
        <v>3.9171</v>
      </c>
      <c r="K23">
        <v>-6.4986800000000002</v>
      </c>
      <c r="L23">
        <v>1388.71</v>
      </c>
      <c r="N23">
        <v>9.5</v>
      </c>
      <c r="O23">
        <v>3.8997000000000002</v>
      </c>
      <c r="P23">
        <v>-6.5959300000000001</v>
      </c>
      <c r="Q23">
        <v>1382.54</v>
      </c>
    </row>
    <row r="24" spans="1:17" x14ac:dyDescent="0.25">
      <c r="A24">
        <v>7.1152942885504604</v>
      </c>
      <c r="B24">
        <v>1414.7572815533899</v>
      </c>
      <c r="D24">
        <v>10</v>
      </c>
      <c r="E24">
        <v>3.9142800000000002</v>
      </c>
      <c r="F24">
        <v>7.0123800000000003</v>
      </c>
      <c r="G24">
        <v>1387.71</v>
      </c>
      <c r="I24">
        <v>10</v>
      </c>
      <c r="J24">
        <v>3.91357</v>
      </c>
      <c r="K24">
        <v>-6.9962499999999999</v>
      </c>
      <c r="L24">
        <v>1387.46</v>
      </c>
      <c r="N24">
        <v>10</v>
      </c>
      <c r="O24">
        <v>3.8965900000000002</v>
      </c>
      <c r="P24">
        <v>-7.0953600000000003</v>
      </c>
      <c r="Q24">
        <v>1381.44</v>
      </c>
    </row>
    <row r="25" spans="1:17" x14ac:dyDescent="0.25">
      <c r="A25">
        <v>7.9881122436626804</v>
      </c>
      <c r="B25">
        <v>1414.7572815533899</v>
      </c>
      <c r="D25">
        <v>10.5</v>
      </c>
      <c r="E25">
        <v>3.9105799999999999</v>
      </c>
      <c r="F25">
        <v>7.5091900000000003</v>
      </c>
      <c r="G25">
        <v>1386.4</v>
      </c>
      <c r="I25">
        <v>10.5</v>
      </c>
      <c r="J25">
        <v>3.90964</v>
      </c>
      <c r="K25">
        <v>-7.4936800000000003</v>
      </c>
      <c r="L25">
        <v>1386.06</v>
      </c>
      <c r="N25">
        <v>10.5</v>
      </c>
      <c r="O25">
        <v>3.89296</v>
      </c>
      <c r="P25">
        <v>-7.5949799999999996</v>
      </c>
      <c r="Q25">
        <v>1380.15</v>
      </c>
    </row>
    <row r="26" spans="1:17" x14ac:dyDescent="0.25">
      <c r="A26">
        <v>8.7612279979662393</v>
      </c>
      <c r="B26">
        <v>1412.42718446601</v>
      </c>
      <c r="D26">
        <v>11</v>
      </c>
      <c r="E26">
        <v>3.9066299999999998</v>
      </c>
      <c r="F26">
        <v>8.00596</v>
      </c>
      <c r="G26">
        <v>1385</v>
      </c>
      <c r="I26">
        <v>11</v>
      </c>
      <c r="J26">
        <v>3.9054199999999999</v>
      </c>
      <c r="K26">
        <v>-7.9909999999999997</v>
      </c>
      <c r="L26">
        <v>1384.57</v>
      </c>
      <c r="N26">
        <v>11</v>
      </c>
      <c r="O26">
        <v>3.88897</v>
      </c>
      <c r="P26">
        <v>-8.0945400000000003</v>
      </c>
      <c r="Q26">
        <v>1378.74</v>
      </c>
    </row>
    <row r="27" spans="1:17" x14ac:dyDescent="0.25">
      <c r="A27">
        <v>9.5592329854974203</v>
      </c>
      <c r="B27">
        <v>1412.42718446601</v>
      </c>
      <c r="D27">
        <v>11.5</v>
      </c>
      <c r="E27">
        <v>3.9024399999999999</v>
      </c>
      <c r="F27">
        <v>8.5026499999999992</v>
      </c>
      <c r="G27">
        <v>1383.51</v>
      </c>
      <c r="I27">
        <v>11.5</v>
      </c>
      <c r="J27">
        <v>3.90096</v>
      </c>
      <c r="K27">
        <v>-8.4883600000000001</v>
      </c>
      <c r="L27">
        <v>1382.99</v>
      </c>
      <c r="N27">
        <v>11.5</v>
      </c>
      <c r="O27">
        <v>3.8846500000000002</v>
      </c>
      <c r="P27">
        <v>-8.5939999999999994</v>
      </c>
      <c r="Q27">
        <v>1377.2</v>
      </c>
    </row>
    <row r="28" spans="1:17" x14ac:dyDescent="0.25">
      <c r="A28">
        <v>10.407064862116499</v>
      </c>
      <c r="B28">
        <v>1414.7572815533899</v>
      </c>
      <c r="D28">
        <v>12</v>
      </c>
      <c r="E28">
        <v>3.8979900000000001</v>
      </c>
      <c r="F28">
        <v>8.9995100000000008</v>
      </c>
      <c r="G28">
        <v>1381.94</v>
      </c>
      <c r="I28">
        <v>12</v>
      </c>
      <c r="J28">
        <v>3.89629</v>
      </c>
      <c r="K28">
        <v>-8.9857600000000009</v>
      </c>
      <c r="L28">
        <v>1381.33</v>
      </c>
      <c r="N28">
        <v>12</v>
      </c>
      <c r="O28">
        <v>3.88008</v>
      </c>
      <c r="P28">
        <v>-9.0934399999999993</v>
      </c>
      <c r="Q28">
        <v>1375.59</v>
      </c>
    </row>
    <row r="29" spans="1:17" x14ac:dyDescent="0.25">
      <c r="A29">
        <v>11.0055686027649</v>
      </c>
      <c r="B29">
        <v>1414.7572815533899</v>
      </c>
      <c r="D29">
        <v>12.5</v>
      </c>
      <c r="E29">
        <v>3.89331</v>
      </c>
      <c r="F29">
        <v>9.49648</v>
      </c>
      <c r="G29">
        <v>1380.27</v>
      </c>
      <c r="I29">
        <v>12.5</v>
      </c>
      <c r="J29">
        <v>3.8913899999999999</v>
      </c>
      <c r="K29">
        <v>-9.4832199999999993</v>
      </c>
      <c r="L29">
        <v>1379.6000000000001</v>
      </c>
      <c r="N29">
        <v>12.5</v>
      </c>
      <c r="O29">
        <v>3.8752900000000001</v>
      </c>
      <c r="P29">
        <v>-9.5928799999999992</v>
      </c>
      <c r="Q29">
        <v>1373.89</v>
      </c>
    </row>
    <row r="30" spans="1:17" x14ac:dyDescent="0.25">
      <c r="A30">
        <v>11.953296370723599</v>
      </c>
      <c r="B30">
        <v>1410.09708737864</v>
      </c>
      <c r="D30">
        <v>13</v>
      </c>
      <c r="E30">
        <v>3.8884400000000001</v>
      </c>
      <c r="F30">
        <v>9.9935500000000008</v>
      </c>
      <c r="G30">
        <v>1378.55</v>
      </c>
      <c r="I30">
        <v>13</v>
      </c>
      <c r="J30">
        <v>3.8862899999999998</v>
      </c>
      <c r="K30">
        <v>-9.9808000000000003</v>
      </c>
      <c r="L30">
        <v>1377.79</v>
      </c>
      <c r="N30">
        <v>13</v>
      </c>
      <c r="O30">
        <v>3.87033</v>
      </c>
      <c r="P30">
        <v>-10.0924</v>
      </c>
      <c r="Q30">
        <v>1372.13</v>
      </c>
    </row>
    <row r="31" spans="1:17" x14ac:dyDescent="0.25">
      <c r="A31">
        <v>12.851245672227099</v>
      </c>
      <c r="B31">
        <v>1400.77669902912</v>
      </c>
      <c r="D31">
        <v>13.5</v>
      </c>
      <c r="E31">
        <v>3.8834399999999998</v>
      </c>
      <c r="F31">
        <v>10.490600000000001</v>
      </c>
      <c r="G31">
        <v>1376.78</v>
      </c>
      <c r="I31">
        <v>13.5</v>
      </c>
      <c r="J31">
        <v>3.8810600000000002</v>
      </c>
      <c r="K31">
        <v>-10.478300000000001</v>
      </c>
      <c r="L31">
        <v>1375.93</v>
      </c>
      <c r="N31">
        <v>13.5</v>
      </c>
      <c r="O31">
        <v>3.8652199999999999</v>
      </c>
      <c r="P31">
        <v>-10.592000000000001</v>
      </c>
      <c r="Q31">
        <v>1370.32</v>
      </c>
    </row>
    <row r="32" spans="1:17" x14ac:dyDescent="0.25">
      <c r="A32">
        <v>13.57448611481</v>
      </c>
      <c r="B32">
        <v>1398.44660194174</v>
      </c>
      <c r="D32">
        <v>14</v>
      </c>
      <c r="E32">
        <v>3.87832</v>
      </c>
      <c r="F32">
        <v>10.9876</v>
      </c>
      <c r="G32">
        <v>1374.96</v>
      </c>
      <c r="I32">
        <v>14</v>
      </c>
      <c r="J32">
        <v>3.87575</v>
      </c>
      <c r="K32">
        <v>-10.9758</v>
      </c>
      <c r="L32">
        <v>1374.05</v>
      </c>
      <c r="N32">
        <v>14</v>
      </c>
      <c r="O32">
        <v>3.8600099999999999</v>
      </c>
      <c r="P32">
        <v>-11.0916</v>
      </c>
      <c r="Q32">
        <v>1368.47</v>
      </c>
    </row>
    <row r="33" spans="1:17" x14ac:dyDescent="0.25">
      <c r="A33">
        <v>14.2727889015325</v>
      </c>
      <c r="B33">
        <v>1396.1165048543601</v>
      </c>
      <c r="D33">
        <v>14.5</v>
      </c>
      <c r="E33">
        <v>3.8730799999999999</v>
      </c>
      <c r="F33">
        <v>11.4846</v>
      </c>
      <c r="G33">
        <v>1373.1000000000001</v>
      </c>
      <c r="I33">
        <v>14.5</v>
      </c>
      <c r="J33">
        <v>3.87032</v>
      </c>
      <c r="K33">
        <v>-11.4733</v>
      </c>
      <c r="L33">
        <v>1372.1200000000001</v>
      </c>
      <c r="N33">
        <v>14.5</v>
      </c>
      <c r="O33">
        <v>3.8544700000000001</v>
      </c>
      <c r="P33">
        <v>-11.592000000000001</v>
      </c>
      <c r="Q33">
        <v>1366.51</v>
      </c>
    </row>
    <row r="34" spans="1:17" x14ac:dyDescent="0.25">
      <c r="A34">
        <v>15.0460015011016</v>
      </c>
      <c r="B34">
        <v>1389.12621359223</v>
      </c>
      <c r="D34">
        <v>15</v>
      </c>
      <c r="E34">
        <v>3.8673000000000002</v>
      </c>
      <c r="F34">
        <v>11.983499999999999</v>
      </c>
      <c r="G34">
        <v>1371.05</v>
      </c>
      <c r="I34">
        <v>15</v>
      </c>
      <c r="J34">
        <v>3.8644500000000002</v>
      </c>
      <c r="K34">
        <v>-11.972300000000001</v>
      </c>
      <c r="L34">
        <v>1370.04</v>
      </c>
      <c r="N34">
        <v>15</v>
      </c>
      <c r="O34">
        <v>3.8469899999999999</v>
      </c>
      <c r="P34">
        <v>-12.099600000000001</v>
      </c>
      <c r="Q34">
        <v>1363.8500000000001</v>
      </c>
    </row>
    <row r="35" spans="1:17" x14ac:dyDescent="0.25">
      <c r="A35">
        <v>15.8442001791637</v>
      </c>
      <c r="B35">
        <v>1379.8058252427099</v>
      </c>
      <c r="D35">
        <v>15.5</v>
      </c>
      <c r="E35">
        <v>3.85778</v>
      </c>
      <c r="F35">
        <v>12.4962</v>
      </c>
      <c r="G35">
        <v>1367.68</v>
      </c>
      <c r="I35">
        <v>15.5</v>
      </c>
      <c r="J35">
        <v>3.8546399999999998</v>
      </c>
      <c r="K35">
        <v>-12.486499999999999</v>
      </c>
      <c r="L35">
        <v>1366.57</v>
      </c>
      <c r="N35">
        <v>15.5</v>
      </c>
      <c r="O35">
        <v>3.8309199999999999</v>
      </c>
      <c r="P35">
        <v>-12.636900000000001</v>
      </c>
      <c r="Q35">
        <v>1358.16</v>
      </c>
    </row>
    <row r="36" spans="1:17" x14ac:dyDescent="0.25">
      <c r="A36">
        <v>16.841851681475902</v>
      </c>
      <c r="B36">
        <v>1372.8155339805801</v>
      </c>
      <c r="D36">
        <v>16</v>
      </c>
      <c r="E36">
        <v>3.83968</v>
      </c>
      <c r="F36">
        <v>13.036099999999999</v>
      </c>
      <c r="G36">
        <v>1361.26</v>
      </c>
      <c r="I36">
        <v>16</v>
      </c>
      <c r="J36">
        <v>3.8365999999999998</v>
      </c>
      <c r="K36">
        <v>-13.026400000000001</v>
      </c>
      <c r="L36">
        <v>1360.17</v>
      </c>
      <c r="N36">
        <v>16</v>
      </c>
      <c r="O36">
        <v>3.8115899999999998</v>
      </c>
      <c r="P36">
        <v>-13.1799</v>
      </c>
      <c r="Q36">
        <v>1351.3</v>
      </c>
    </row>
    <row r="37" spans="1:17" x14ac:dyDescent="0.25">
      <c r="A37">
        <v>17.839551606420802</v>
      </c>
      <c r="B37">
        <v>1363.49514563106</v>
      </c>
      <c r="D37">
        <v>16.5</v>
      </c>
      <c r="E37">
        <v>3.8191799999999998</v>
      </c>
      <c r="F37">
        <v>13.579800000000001</v>
      </c>
      <c r="G37">
        <v>1353.99</v>
      </c>
      <c r="I37">
        <v>16.5</v>
      </c>
      <c r="J37">
        <v>3.8160500000000002</v>
      </c>
      <c r="K37">
        <v>-13.5703</v>
      </c>
      <c r="L37">
        <v>1352.89</v>
      </c>
      <c r="N37">
        <v>16.5</v>
      </c>
      <c r="O37">
        <v>3.7904200000000001</v>
      </c>
      <c r="P37">
        <v>-13.725</v>
      </c>
      <c r="Q37">
        <v>1343.8</v>
      </c>
    </row>
    <row r="38" spans="1:17" x14ac:dyDescent="0.25">
      <c r="A38">
        <v>18.862237609858798</v>
      </c>
      <c r="B38">
        <v>1351.84466019417</v>
      </c>
      <c r="D38">
        <v>17</v>
      </c>
      <c r="E38">
        <v>3.7977099999999999</v>
      </c>
      <c r="F38">
        <v>14.123200000000001</v>
      </c>
      <c r="G38">
        <v>1346.38</v>
      </c>
      <c r="I38">
        <v>17</v>
      </c>
      <c r="J38">
        <v>3.7945199999999999</v>
      </c>
      <c r="K38">
        <v>-14.114000000000001</v>
      </c>
      <c r="L38">
        <v>1345.25</v>
      </c>
      <c r="N38">
        <v>17</v>
      </c>
      <c r="O38">
        <v>3.7686299999999999</v>
      </c>
      <c r="P38">
        <v>-14.270799999999999</v>
      </c>
      <c r="Q38">
        <v>1336.07</v>
      </c>
    </row>
    <row r="39" spans="1:17" x14ac:dyDescent="0.25">
      <c r="A39">
        <v>19.785221412488099</v>
      </c>
      <c r="B39">
        <v>1337.8640776699001</v>
      </c>
      <c r="D39">
        <v>17.5</v>
      </c>
      <c r="E39">
        <v>3.7759</v>
      </c>
      <c r="F39">
        <v>14.6652</v>
      </c>
      <c r="G39">
        <v>1338.65</v>
      </c>
      <c r="I39">
        <v>17.5</v>
      </c>
      <c r="J39">
        <v>3.7726999999999999</v>
      </c>
      <c r="K39">
        <v>-14.656700000000001</v>
      </c>
      <c r="L39">
        <v>1337.51</v>
      </c>
      <c r="N39">
        <v>17.5</v>
      </c>
      <c r="O39">
        <v>3.7465700000000002</v>
      </c>
      <c r="P39">
        <v>-14.816800000000001</v>
      </c>
      <c r="Q39">
        <v>1328.25</v>
      </c>
    </row>
    <row r="40" spans="1:17" x14ac:dyDescent="0.25">
      <c r="A40">
        <v>20.7579836815727</v>
      </c>
      <c r="B40">
        <v>1328.5436893203801</v>
      </c>
      <c r="D40">
        <v>18</v>
      </c>
      <c r="E40">
        <v>3.7541699999999998</v>
      </c>
      <c r="F40">
        <v>15.207000000000001</v>
      </c>
      <c r="G40">
        <v>1330.95</v>
      </c>
      <c r="I40">
        <v>18</v>
      </c>
      <c r="J40">
        <v>3.7508900000000001</v>
      </c>
      <c r="K40">
        <v>-15.1991</v>
      </c>
      <c r="L40">
        <v>1329.78</v>
      </c>
      <c r="N40">
        <v>18</v>
      </c>
      <c r="O40">
        <v>3.7244600000000001</v>
      </c>
      <c r="P40">
        <v>-15.3629</v>
      </c>
      <c r="Q40">
        <v>1320.41</v>
      </c>
    </row>
    <row r="41" spans="1:17" x14ac:dyDescent="0.25">
      <c r="A41">
        <v>21.630995327215899</v>
      </c>
      <c r="B41">
        <v>1319.22330097087</v>
      </c>
      <c r="D41">
        <v>18.5</v>
      </c>
      <c r="E41">
        <v>3.7325499999999998</v>
      </c>
      <c r="F41">
        <v>15.7483</v>
      </c>
      <c r="G41">
        <v>1323.28</v>
      </c>
      <c r="I41">
        <v>18.5</v>
      </c>
      <c r="J41">
        <v>3.7291699999999999</v>
      </c>
      <c r="K41">
        <v>-15.741099999999999</v>
      </c>
      <c r="L41">
        <v>1322.08</v>
      </c>
      <c r="N41">
        <v>18.5</v>
      </c>
      <c r="O41">
        <v>3.7024300000000001</v>
      </c>
      <c r="P41">
        <v>-15.909000000000001</v>
      </c>
      <c r="Q41">
        <v>1312.6000000000001</v>
      </c>
    </row>
    <row r="42" spans="1:17" x14ac:dyDescent="0.25">
      <c r="A42">
        <v>22.3793671161901</v>
      </c>
      <c r="B42">
        <v>1307.57281553398</v>
      </c>
      <c r="D42">
        <v>19</v>
      </c>
      <c r="E42">
        <v>3.7110699999999999</v>
      </c>
      <c r="F42">
        <v>16.289200000000001</v>
      </c>
      <c r="G42">
        <v>1315.67</v>
      </c>
      <c r="I42">
        <v>19</v>
      </c>
      <c r="J42">
        <v>3.7076199999999999</v>
      </c>
      <c r="K42">
        <v>-16.282800000000002</v>
      </c>
      <c r="L42">
        <v>1314.44</v>
      </c>
      <c r="N42">
        <v>19</v>
      </c>
      <c r="O42">
        <v>3.6805500000000002</v>
      </c>
      <c r="P42">
        <v>-16.455200000000001</v>
      </c>
      <c r="Q42">
        <v>1304.8500000000001</v>
      </c>
    </row>
    <row r="43" spans="1:17" x14ac:dyDescent="0.25">
      <c r="A43">
        <v>23.277558530857299</v>
      </c>
      <c r="B43">
        <v>1286.60194174757</v>
      </c>
      <c r="D43">
        <v>19.5</v>
      </c>
      <c r="E43">
        <v>3.6898</v>
      </c>
      <c r="F43">
        <v>16.830100000000002</v>
      </c>
      <c r="G43">
        <v>1308.1300000000001</v>
      </c>
      <c r="I43">
        <v>19.5</v>
      </c>
      <c r="J43">
        <v>3.6862599999999999</v>
      </c>
      <c r="K43">
        <v>-16.8246</v>
      </c>
      <c r="L43">
        <v>1306.8700000000001</v>
      </c>
      <c r="N43">
        <v>19.5</v>
      </c>
      <c r="O43">
        <v>3.6588599999999998</v>
      </c>
      <c r="P43">
        <v>-17.0015</v>
      </c>
      <c r="Q43">
        <v>1297.1600000000001</v>
      </c>
    </row>
    <row r="44" spans="1:17" x14ac:dyDescent="0.25">
      <c r="D44">
        <v>20</v>
      </c>
      <c r="E44">
        <v>3.6687699999999999</v>
      </c>
      <c r="F44">
        <v>17.370999999999999</v>
      </c>
      <c r="G44">
        <v>1300.67</v>
      </c>
      <c r="I44">
        <v>20</v>
      </c>
      <c r="J44">
        <v>3.6651400000000001</v>
      </c>
      <c r="K44">
        <v>-17.366499999999998</v>
      </c>
      <c r="L44">
        <v>1299.3800000000001</v>
      </c>
      <c r="N44">
        <v>20</v>
      </c>
      <c r="O44">
        <v>3.6373700000000002</v>
      </c>
      <c r="P44">
        <v>-17.548100000000002</v>
      </c>
      <c r="Q44">
        <v>1289.54</v>
      </c>
    </row>
    <row r="45" spans="1:17" x14ac:dyDescent="0.25">
      <c r="D45">
        <v>20.5</v>
      </c>
      <c r="E45">
        <v>3.6479400000000002</v>
      </c>
      <c r="F45">
        <v>17.912299999999998</v>
      </c>
      <c r="G45">
        <v>1293.29</v>
      </c>
      <c r="I45">
        <v>20.5</v>
      </c>
      <c r="J45">
        <v>3.6442399999999999</v>
      </c>
      <c r="K45">
        <v>-17.9085</v>
      </c>
      <c r="L45">
        <v>1291.98</v>
      </c>
      <c r="N45">
        <v>20.5</v>
      </c>
      <c r="O45">
        <v>3.6160399999999999</v>
      </c>
      <c r="P45">
        <v>-18.094899999999999</v>
      </c>
      <c r="Q45">
        <v>1281.98</v>
      </c>
    </row>
    <row r="46" spans="1:17" x14ac:dyDescent="0.25">
      <c r="D46">
        <v>21</v>
      </c>
      <c r="E46">
        <v>3.6273499999999999</v>
      </c>
      <c r="F46">
        <v>18.453600000000002</v>
      </c>
      <c r="G46">
        <v>1285.99</v>
      </c>
      <c r="I46">
        <v>21</v>
      </c>
      <c r="J46">
        <v>3.6235599999999999</v>
      </c>
      <c r="K46">
        <v>-18.450700000000001</v>
      </c>
      <c r="L46">
        <v>1284.6400000000001</v>
      </c>
      <c r="N46">
        <v>21</v>
      </c>
      <c r="O46">
        <v>3.5949300000000002</v>
      </c>
      <c r="P46">
        <v>-18.6419</v>
      </c>
      <c r="Q46">
        <v>1274.49</v>
      </c>
    </row>
    <row r="47" spans="1:17" x14ac:dyDescent="0.25">
      <c r="D47">
        <v>21.5</v>
      </c>
      <c r="E47">
        <v>3.6069900000000001</v>
      </c>
      <c r="F47">
        <v>18.995000000000001</v>
      </c>
      <c r="G47">
        <v>1278.77</v>
      </c>
      <c r="I47">
        <v>21.5</v>
      </c>
      <c r="J47">
        <v>3.6031200000000001</v>
      </c>
      <c r="K47">
        <v>-18.992899999999999</v>
      </c>
      <c r="L47">
        <v>1277.3900000000001</v>
      </c>
      <c r="N47">
        <v>21.5</v>
      </c>
      <c r="O47">
        <v>3.57402</v>
      </c>
      <c r="P47">
        <v>-19.1891</v>
      </c>
      <c r="Q47">
        <v>1267.08</v>
      </c>
    </row>
    <row r="48" spans="1:17" x14ac:dyDescent="0.25">
      <c r="D48">
        <v>22</v>
      </c>
      <c r="E48">
        <v>3.58684</v>
      </c>
      <c r="F48">
        <v>19.5364</v>
      </c>
      <c r="G48">
        <v>1271.6200000000001</v>
      </c>
      <c r="I48">
        <v>22</v>
      </c>
      <c r="J48">
        <v>3.5828700000000002</v>
      </c>
      <c r="K48">
        <v>-19.5351</v>
      </c>
      <c r="L48">
        <v>1270.22</v>
      </c>
      <c r="N48">
        <v>22</v>
      </c>
      <c r="O48">
        <v>3.5532900000000001</v>
      </c>
      <c r="P48">
        <v>-19.736699999999999</v>
      </c>
      <c r="Q48">
        <v>1259.73</v>
      </c>
    </row>
    <row r="49" spans="4:17" x14ac:dyDescent="0.25">
      <c r="D49">
        <v>22.5</v>
      </c>
      <c r="E49">
        <v>3.5669300000000002</v>
      </c>
      <c r="F49">
        <v>20.0776</v>
      </c>
      <c r="G49">
        <v>1264.57</v>
      </c>
      <c r="I49">
        <v>22.5</v>
      </c>
      <c r="J49">
        <v>3.5628500000000001</v>
      </c>
      <c r="K49">
        <v>-20.077200000000001</v>
      </c>
      <c r="L49">
        <v>1263.1200000000001</v>
      </c>
      <c r="N49">
        <v>22.5</v>
      </c>
      <c r="O49">
        <v>3.5327600000000001</v>
      </c>
      <c r="P49">
        <v>-20.284400000000002</v>
      </c>
      <c r="Q49">
        <v>1252.45</v>
      </c>
    </row>
    <row r="50" spans="4:17" x14ac:dyDescent="0.25">
      <c r="D50">
        <v>23</v>
      </c>
      <c r="E50">
        <v>3.5472399999999999</v>
      </c>
      <c r="F50">
        <v>20.618500000000001</v>
      </c>
      <c r="G50">
        <v>1257.58</v>
      </c>
      <c r="I50">
        <v>23</v>
      </c>
      <c r="J50">
        <v>3.54305</v>
      </c>
      <c r="K50">
        <v>-20.6189</v>
      </c>
      <c r="L50">
        <v>1256.1000000000001</v>
      </c>
      <c r="N50">
        <v>23</v>
      </c>
      <c r="O50">
        <v>3.5124300000000002</v>
      </c>
      <c r="P50">
        <v>-20.8323</v>
      </c>
      <c r="Q50">
        <v>1245.24</v>
      </c>
    </row>
    <row r="51" spans="4:17" x14ac:dyDescent="0.25">
      <c r="D51">
        <v>23.5</v>
      </c>
      <c r="E51">
        <v>3.5277599999999998</v>
      </c>
      <c r="F51">
        <v>21.159099999999999</v>
      </c>
      <c r="G51">
        <v>1250.68</v>
      </c>
      <c r="I51">
        <v>23.5</v>
      </c>
      <c r="J51">
        <v>3.5234800000000002</v>
      </c>
      <c r="K51">
        <v>-21.160499999999999</v>
      </c>
      <c r="L51">
        <v>1249.1600000000001</v>
      </c>
      <c r="N51">
        <v>23.5</v>
      </c>
      <c r="O51">
        <v>3.4923099999999998</v>
      </c>
      <c r="P51">
        <v>-21.380500000000001</v>
      </c>
      <c r="Q51">
        <v>1238.1100000000001</v>
      </c>
    </row>
    <row r="52" spans="4:17" x14ac:dyDescent="0.25">
      <c r="D52">
        <v>24</v>
      </c>
      <c r="E52">
        <v>3.5085199999999999</v>
      </c>
      <c r="F52">
        <v>21.6995</v>
      </c>
      <c r="G52">
        <v>1243.8600000000001</v>
      </c>
      <c r="I52">
        <v>24</v>
      </c>
      <c r="J52">
        <v>3.50414</v>
      </c>
      <c r="K52">
        <v>-21.702000000000002</v>
      </c>
      <c r="L52">
        <v>1242.31</v>
      </c>
      <c r="N52">
        <v>24</v>
      </c>
      <c r="O52">
        <v>3.4723600000000001</v>
      </c>
      <c r="P52">
        <v>-21.928899999999999</v>
      </c>
      <c r="Q52">
        <v>1231.04</v>
      </c>
    </row>
    <row r="53" spans="4:17" x14ac:dyDescent="0.25">
      <c r="D53">
        <v>24.5</v>
      </c>
      <c r="E53">
        <v>3.4895</v>
      </c>
      <c r="F53">
        <v>22.239799999999999</v>
      </c>
      <c r="G53">
        <v>1237.1100000000001</v>
      </c>
      <c r="I53">
        <v>24.5</v>
      </c>
      <c r="J53">
        <v>3.48502</v>
      </c>
      <c r="K53">
        <v>-22.243400000000001</v>
      </c>
      <c r="L53">
        <v>1235.53</v>
      </c>
      <c r="N53">
        <v>24.5</v>
      </c>
      <c r="O53">
        <v>3.4525999999999999</v>
      </c>
      <c r="P53">
        <v>-22.477599999999999</v>
      </c>
      <c r="Q53">
        <v>1224.03</v>
      </c>
    </row>
    <row r="54" spans="4:17" x14ac:dyDescent="0.25">
      <c r="D54">
        <v>25</v>
      </c>
      <c r="E54">
        <v>3.4706999999999999</v>
      </c>
      <c r="F54">
        <v>22.779900000000001</v>
      </c>
      <c r="G54">
        <v>1230.45</v>
      </c>
      <c r="I54">
        <v>25</v>
      </c>
      <c r="J54">
        <v>3.46611</v>
      </c>
      <c r="K54">
        <v>-22.784700000000001</v>
      </c>
      <c r="L54">
        <v>1228.82</v>
      </c>
      <c r="N54">
        <v>25</v>
      </c>
      <c r="O54">
        <v>3.43302</v>
      </c>
      <c r="P54">
        <v>-23.026499999999999</v>
      </c>
      <c r="Q54">
        <v>1217.0899999999999</v>
      </c>
    </row>
    <row r="55" spans="4:17" x14ac:dyDescent="0.25">
      <c r="G55">
        <f>MAX(G4:G54)</f>
        <v>1391.1100000000001</v>
      </c>
      <c r="L55">
        <f t="shared" ref="L55" si="0">MAX(L4:L54)</f>
        <v>1391.04</v>
      </c>
      <c r="Q55">
        <f t="shared" ref="Q55" si="1">MAX(Q4:Q54)</f>
        <v>1384.26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1C85-2CCC-4770-8186-970F8BA6BD35}">
  <sheetPr codeName="Sheet4"/>
  <dimension ref="A1:J7"/>
  <sheetViews>
    <sheetView tabSelected="1" workbookViewId="0">
      <selection activeCell="H23" sqref="H23"/>
    </sheetView>
  </sheetViews>
  <sheetFormatPr defaultRowHeight="15" x14ac:dyDescent="0.25"/>
  <cols>
    <col min="2" max="2" width="10.28515625" bestFit="1" customWidth="1"/>
    <col min="3" max="3" width="7.140625" bestFit="1" customWidth="1"/>
    <col min="4" max="6" width="10.140625" bestFit="1" customWidth="1"/>
    <col min="7" max="10" width="12" bestFit="1" customWidth="1"/>
  </cols>
  <sheetData>
    <row r="1" spans="1:10" ht="18.75" customHeight="1" x14ac:dyDescent="0.35">
      <c r="B1" s="13"/>
      <c r="C1" s="8" t="s">
        <v>14</v>
      </c>
      <c r="D1" s="10" t="s">
        <v>15</v>
      </c>
      <c r="E1" s="11"/>
      <c r="F1" s="12"/>
      <c r="G1" s="10" t="s">
        <v>16</v>
      </c>
      <c r="H1" s="11"/>
      <c r="I1" s="12"/>
    </row>
    <row r="2" spans="1:10" ht="15.75" x14ac:dyDescent="0.25">
      <c r="B2" s="14"/>
      <c r="C2" s="9"/>
      <c r="D2" s="1" t="s">
        <v>17</v>
      </c>
      <c r="E2" s="1" t="s">
        <v>18</v>
      </c>
      <c r="F2" s="1" t="s">
        <v>19</v>
      </c>
      <c r="G2" s="1" t="s">
        <v>17</v>
      </c>
      <c r="H2" s="1" t="s">
        <v>18</v>
      </c>
      <c r="I2" s="1" t="s">
        <v>19</v>
      </c>
    </row>
    <row r="3" spans="1:10" x14ac:dyDescent="0.25">
      <c r="A3">
        <v>39</v>
      </c>
      <c r="B3" s="2" t="s">
        <v>9</v>
      </c>
      <c r="C3" s="2">
        <v>1158.2</v>
      </c>
      <c r="D3" s="2">
        <f>'HSS-I1-C'!Q55</f>
        <v>1123.08</v>
      </c>
      <c r="E3" s="5">
        <f>'HSS-I1-C'!L55</f>
        <v>1128.32</v>
      </c>
      <c r="F3" s="2">
        <f>'HSS-I1-C'!G55</f>
        <v>1126.6200000000001</v>
      </c>
      <c r="G3" s="5">
        <f>D3/C3</f>
        <v>0.96967708513210149</v>
      </c>
      <c r="H3" s="5">
        <f>E3/C3</f>
        <v>0.97420134691763072</v>
      </c>
      <c r="I3" s="5">
        <f>F3/C3</f>
        <v>0.97273355206354695</v>
      </c>
      <c r="J3">
        <f>C3/D3</f>
        <v>1.0312711472023366</v>
      </c>
    </row>
    <row r="4" spans="1:10" x14ac:dyDescent="0.25">
      <c r="A4">
        <v>40</v>
      </c>
      <c r="B4" s="2" t="s">
        <v>10</v>
      </c>
      <c r="C4" s="2">
        <v>1079.2</v>
      </c>
      <c r="D4" s="2">
        <f>'HSS-I1-C-R'!Q30</f>
        <v>1113.67</v>
      </c>
      <c r="E4" s="5">
        <f>'HSS-I1-C-R'!L55</f>
        <v>1120.3900000000001</v>
      </c>
      <c r="F4" s="2">
        <f>'HSS-I1-C-R'!G55</f>
        <v>1066.24</v>
      </c>
      <c r="G4" s="5">
        <f t="shared" ref="G4:G5" si="0">D4/C4</f>
        <v>1.0319403261675315</v>
      </c>
      <c r="H4" s="5">
        <f t="shared" ref="H4:H5" si="1">E4/C4</f>
        <v>1.0381671608598964</v>
      </c>
      <c r="I4" s="5">
        <f t="shared" ref="I4:I5" si="2">F4/C4</f>
        <v>0.987991104521868</v>
      </c>
      <c r="J4">
        <f t="shared" ref="J4:J5" si="3">C4/D4</f>
        <v>0.96904828180699842</v>
      </c>
    </row>
    <row r="5" spans="1:10" x14ac:dyDescent="0.25">
      <c r="A5">
        <v>41</v>
      </c>
      <c r="B5" s="2" t="s">
        <v>11</v>
      </c>
      <c r="C5" s="2">
        <v>1418.1</v>
      </c>
      <c r="D5" s="2">
        <f>'HSS-I2-C'!Q55</f>
        <v>1384.26</v>
      </c>
      <c r="E5" s="5">
        <f>'HSS-I2-C'!L55</f>
        <v>1391.04</v>
      </c>
      <c r="F5" s="2">
        <f>'HSS-I2-C'!G55</f>
        <v>1391.1100000000001</v>
      </c>
      <c r="G5" s="5">
        <f t="shared" si="0"/>
        <v>0.97613708483181727</v>
      </c>
      <c r="H5" s="5">
        <f t="shared" si="1"/>
        <v>0.98091812989210925</v>
      </c>
      <c r="I5" s="5">
        <f t="shared" si="2"/>
        <v>0.98096749171426567</v>
      </c>
      <c r="J5">
        <f t="shared" si="3"/>
        <v>1.0244462745437994</v>
      </c>
    </row>
    <row r="6" spans="1:10" x14ac:dyDescent="0.25">
      <c r="A6">
        <v>42</v>
      </c>
      <c r="B6" s="2" t="s">
        <v>12</v>
      </c>
      <c r="C6" s="2"/>
      <c r="D6" s="2"/>
      <c r="E6" s="3"/>
      <c r="F6" s="2"/>
      <c r="G6" s="5">
        <f>AVERAGE(G3:G5)</f>
        <v>0.99258483204381676</v>
      </c>
      <c r="H6" s="5">
        <f t="shared" ref="H6:I6" si="4">AVERAGE(H3:H5)</f>
        <v>0.99776221255654551</v>
      </c>
      <c r="I6" s="5">
        <f t="shared" si="4"/>
        <v>0.98056404943322695</v>
      </c>
      <c r="J6">
        <f>AVERAGE(J3:J5)</f>
        <v>1.0082552345177114</v>
      </c>
    </row>
    <row r="7" spans="1:10" x14ac:dyDescent="0.25">
      <c r="A7">
        <v>43</v>
      </c>
      <c r="B7" s="2" t="s">
        <v>13</v>
      </c>
      <c r="C7" s="2"/>
      <c r="D7" s="2"/>
      <c r="E7" s="4"/>
      <c r="F7" s="2"/>
      <c r="G7" s="4">
        <f>_xlfn.STDEV.P(G3:G5)/G6</f>
        <v>2.816205020502589E-2</v>
      </c>
      <c r="H7" s="4">
        <f t="shared" ref="H7:I7" si="5">_xlfn.STDEV.P(H3:H5)/H6</f>
        <v>2.876627377615109E-2</v>
      </c>
      <c r="I7" s="4">
        <f t="shared" si="5"/>
        <v>6.3589920539535594E-3</v>
      </c>
      <c r="J7" s="6">
        <f>_xlfn.STDEV.P(J3:J5)/J6</f>
        <v>2.7635026964497829E-2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HSS-I1-C</vt:lpstr>
      <vt:lpstr>HSS-I1-C-R</vt:lpstr>
      <vt:lpstr>HSS-I2-C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2026-02-16T09:12:12Z</dcterms:created>
  <dcterms:modified xsi:type="dcterms:W3CDTF">2026-07-24T04:18:45Z</dcterms:modified>
</cp:coreProperties>
</file>