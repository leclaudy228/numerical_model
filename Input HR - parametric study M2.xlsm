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57B421B6-7A5D-41EB-B405-C84B745B41AC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1" l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<sst xmlns="http://schemas.openxmlformats.org/spreadsheetml/2006/main" count="373" uniqueCount="192">
  <si>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</si>
  <si>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</si>
  <si>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</si>
  <si>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</si>
  <si>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</si>
  <si>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</si>
  <si>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</si>
  <si>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</si>
  <si>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</si>
  <si>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</si>
  <si>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</si>
  <si>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</si>
  <si>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</si>
  <si>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</si>
  <si>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</si>
  <si>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</si>
  <si>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</si>
  <si>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</si>
  <si>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</si>
  <si>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</si>
  <si>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</si>
  <si>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</si>
  <si>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</si>
  <si>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</si>
  <si>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</si>
  <si>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</si>
  <si>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</si>
  <si>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</si>
  <si>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</si>
  <si>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</si>
  <si>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</si>
  <si>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</si>
  <si>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</si>
  <si>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</si>
  <si>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</si>
  <si>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</si>
  <si>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</si>
  <si>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</si>
  <si>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</si>
  <si>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</si>
  <si>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</si>
  <si>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</si>
  <si>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</si>
  <si>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</si>
  <si>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</si>
  <si>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</si>
  <si>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</si>
  <si>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</si>
  <si>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</si>
  <si>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</si>
  <si>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</si>
  <si>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</si>
  <si>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</si>
  <si>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</si>
  <si>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</si>
  <si>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</si>
  <si>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</si>
  <si>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</si>
  <si>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</si>
  <si>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</si>
  <si>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</si>
  <si>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</si>
  <si>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</si>
  <si>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</si>
  <si>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</si>
  <si>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</si>
  <si>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</si>
  <si>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</si>
  <si>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</si>
  <si>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</si>
  <si>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</si>
  <si>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</si>
  <si>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</si>
  <si>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</si>
  <si>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</si>
  <si>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</si>
  <si>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</si>
  <si>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</si>
  <si>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</si>
  <si>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</si>
  <si>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</si>
  <si>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</si>
  <si>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</si>
  <si>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</si>
  <si>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</si>
  <si>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</si>
  <si>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</si>
  <si>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</si>
  <si>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</si>
  <si>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</si>
  <si>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</si>
  <si>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</si>
  <si>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</si>
  <si>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</si>
  <si>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</si>
  <si>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</si>
  <si>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</si>
  <si>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</si>
  <si>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</si>
  <si>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</si>
  <si>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</si>
  <si>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</si>
  <si>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</si>
  <si>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</si>
  <si>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</si>
  <si>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</si>
  <si>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</si>
  <si>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</si>
  <si>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</si>
  <si>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</si>
  <si>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</si>
  <si>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</si>
  <si>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</si>
  <si>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</si>
  <si>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</si>
  <si>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</si>
  <si>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</si>
  <si>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</si>
  <si>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</si>
  <si>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</si>
  <si>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</si>
  <si>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</si>
  <si>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</si>
  <si>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</si>
  <si>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</si>
  <si>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</si>
  <si>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</si>
  <si>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</si>
  <si>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</si>
  <si>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</si>
  <si>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</si>
  <si>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</si>
  <si>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</si>
  <si>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</si>
  <si>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</si>
  <si>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</si>
  <si>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</si>
  <si>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</si>
  <si>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</si>
  <si>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</si>
  <si>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</si>
  <si>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</si>
  <si>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</si>
  <si>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</si>
  <si>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</si>
  <si>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</si>
  <si>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</si>
  <si>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</si>
  <si>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</si>
  <si>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</si>
  <si>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</si>
  <si>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</si>
  <si>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</si>
  <si>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</si>
  <si>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</si>
  <si>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</si>
  <si>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</si>
  <si>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</si>
  <si>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</si>
  <si>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</si>
  <si>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</si>
  <si>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</si>
  <si>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</si>
  <si>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</si>
  <si>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</si>
  <si>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</si>
  <si>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</si>
  <si>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</si>
  <si>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</si>
  <si>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</si>
  <si>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</si>
  <si>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</si>
  <si>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</si>
  <si>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</si>
  <si>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</si>
  <si>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</si>
  <si>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</si>
  <si>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</si>
  <si>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</si>
  <si>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</si>
  <si>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</si>
  <si>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</si>
  <si>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</si>
  <si>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</si>
  <si>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Ultimate strength (Eurocode)</t>
  </si>
  <si>
    <t>khi</t>
  </si>
  <si>
    <t>Wg (Lcr/1000)</t>
  </si>
  <si>
    <t>ecc</t>
  </si>
  <si>
    <t>S_2</t>
  </si>
  <si>
    <t>w0(b/200) sem</t>
  </si>
  <si>
    <t>wo ame</t>
  </si>
  <si>
    <t>Parametric_study_HR_460_L_G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</si>
</sst>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3" sqref="B3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191</v>
      </c>
      <c r="C3" s="8"/>
      <c r="E3" s="5" t="s">
        <v>77</v>
      </c>
    </row>
    <row r="4" spans="1:16" x14ac:dyDescent="0.25">
      <c r="A4" s="9" t="s">
        <v>34</v>
      </c>
      <c r="B4" s="5" t="s">
        <v>188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400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3" activePane="bottomLeft" state="frozen"/>
      <selection pane="bottomLeft" activeCell="AN2" sqref="AN2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184</v>
      </c>
      <c r="AI1" s="110"/>
      <c r="AJ1" s="111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186</v>
      </c>
      <c r="AL2" s="56" t="s">
        <v>189</v>
      </c>
      <c r="AM2" s="56" t="s">
        <v>187</v>
      </c>
      <c r="AN2" s="56" t="s">
        <v>185</v>
      </c>
      <c r="AO2" s="56" t="s">
        <v>190</v>
      </c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3">
        <v>97</v>
      </c>
      <c r="B4" s="94" t="s">
        <v>88</v>
      </c>
      <c r="C4" s="95">
        <v>180</v>
      </c>
      <c r="D4" s="95">
        <v>180</v>
      </c>
      <c r="E4" s="95">
        <v>400</v>
      </c>
      <c r="F4" s="95">
        <v>13.5</v>
      </c>
      <c r="G4" s="95">
        <v>13.5</v>
      </c>
      <c r="H4" s="95">
        <v>28.35</v>
      </c>
      <c r="I4" s="95">
        <v>21</v>
      </c>
      <c r="J4" s="95">
        <v>21</v>
      </c>
      <c r="K4" s="95">
        <v>2831.1614393408622</v>
      </c>
      <c r="L4" s="95">
        <v>0</v>
      </c>
      <c r="M4" s="95">
        <v>1</v>
      </c>
      <c r="N4" s="95">
        <v>2</v>
      </c>
      <c r="O4" s="95">
        <v>3</v>
      </c>
      <c r="P4" s="95">
        <v>200</v>
      </c>
      <c r="Q4" s="95">
        <v>0</v>
      </c>
      <c r="R4" s="95">
        <v>0</v>
      </c>
      <c r="S4" s="95">
        <v>0</v>
      </c>
      <c r="T4" s="95">
        <v>3</v>
      </c>
      <c r="U4" s="95" t="s">
        <v>48</v>
      </c>
      <c r="V4" s="95">
        <v>1</v>
      </c>
      <c r="W4" s="95">
        <v>1</v>
      </c>
      <c r="X4" s="95">
        <v>0</v>
      </c>
      <c r="Y4" s="95">
        <f>W4</f>
        <v>1</v>
      </c>
      <c r="Z4" s="95">
        <f>IF(X4=90,0,(1-Y4)/(TAN(X4/180*PI())+1))</f>
        <v>0</v>
      </c>
      <c r="AA4" s="95">
        <f>IF(X4=90,1-W4,Z4*TAN(X4/180*PI()))</f>
        <v>0</v>
      </c>
      <c r="AB4" s="96">
        <f>AH4/3.5</f>
        <v>1924.9215898503546</v>
      </c>
      <c r="AC4" s="96">
        <f t="shared" ref="AC4:AC9" si="0">Z4*AI4/3.5</f>
        <v>0</v>
      </c>
      <c r="AD4" s="96">
        <f t="shared" ref="AD4:AD9" si="1">AA4*AJ4/3.5</f>
        <v>0</v>
      </c>
      <c r="AE4" s="95">
        <v>20</v>
      </c>
      <c r="AF4" s="95">
        <v>460</v>
      </c>
      <c r="AG4" s="95">
        <v>210000</v>
      </c>
      <c r="AH4" s="96">
        <v>6737.2255644762408</v>
      </c>
      <c r="AI4" s="96">
        <v>0</v>
      </c>
      <c r="AJ4" s="97">
        <v>0</v>
      </c>
      <c r="AK4" s="98">
        <f t="shared" ref="AK4:AK36" si="2">K4/1000</f>
        <v>2.8311614393408622</v>
      </c>
      <c r="AL4" s="98">
        <f>(C4-H4-2*I4)/200</f>
        <v>0.54825000000000002</v>
      </c>
      <c r="AM4" s="99"/>
      <c r="AN4" s="98">
        <v>0.94891930969610949</v>
      </c>
      <c r="AO4" s="60">
        <f>(E4-2*F4-2*I4)/200</f>
        <v>1.655</v>
      </c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98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28.35</v>
      </c>
      <c r="I5" s="19">
        <v>21</v>
      </c>
      <c r="J5" s="19">
        <v>21</v>
      </c>
      <c r="K5" s="19">
        <v>4718.6023989014375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3">W5</f>
        <v>1</v>
      </c>
      <c r="Z5" s="19">
        <f t="shared" ref="Z5:Z68" si="4">IF(X5=90,0,(1-Y5)/(TAN(X5/180*PI())+1))</f>
        <v>0</v>
      </c>
      <c r="AA5" s="19">
        <f t="shared" ref="AA5:AA68" si="5">IF(X5=90,1-W5,Z5*TAN(X5/180*PI()))</f>
        <v>0</v>
      </c>
      <c r="AB5" s="29">
        <f t="shared" ref="AB5:AB68" si="6">AH5/3.5</f>
        <v>1709.195197907942</v>
      </c>
      <c r="AC5" s="29">
        <f t="shared" si="0"/>
        <v>0</v>
      </c>
      <c r="AD5" s="29">
        <f t="shared" si="1"/>
        <v>0</v>
      </c>
      <c r="AE5" s="28">
        <v>20</v>
      </c>
      <c r="AF5" s="46">
        <v>460</v>
      </c>
      <c r="AG5" s="28">
        <v>210000</v>
      </c>
      <c r="AH5" s="29">
        <v>5982.1831926777968</v>
      </c>
      <c r="AI5" s="29">
        <v>0</v>
      </c>
      <c r="AJ5" s="30">
        <v>0</v>
      </c>
      <c r="AK5" s="57">
        <f t="shared" si="2"/>
        <v>4.7186023989014378</v>
      </c>
      <c r="AL5" s="57">
        <f t="shared" ref="AL5:AL68" si="7">(C5-H5-2*I5)/200</f>
        <v>0.54825000000000002</v>
      </c>
      <c r="AM5" s="60"/>
      <c r="AN5" s="57">
        <v>0.84257371099505252</v>
      </c>
      <c r="AO5" s="57">
        <f t="shared" ref="AO5:AO68" si="8">(E5-2*F5-2*I5)/200</f>
        <v>1.655</v>
      </c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99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28.35</v>
      </c>
      <c r="I6" s="19">
        <v>21</v>
      </c>
      <c r="J6" s="19">
        <v>21</v>
      </c>
      <c r="K6" s="19">
        <v>7077.9035983521562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3"/>
        <v>1</v>
      </c>
      <c r="Z6" s="19">
        <f t="shared" si="4"/>
        <v>0</v>
      </c>
      <c r="AA6" s="19">
        <f t="shared" si="5"/>
        <v>0</v>
      </c>
      <c r="AB6" s="29">
        <f t="shared" si="6"/>
        <v>1405.4443697934062</v>
      </c>
      <c r="AC6" s="29">
        <f t="shared" si="0"/>
        <v>0</v>
      </c>
      <c r="AD6" s="29">
        <f t="shared" si="1"/>
        <v>0</v>
      </c>
      <c r="AE6" s="28">
        <v>20</v>
      </c>
      <c r="AF6" s="46">
        <v>460</v>
      </c>
      <c r="AG6" s="28">
        <v>210000</v>
      </c>
      <c r="AH6" s="29">
        <v>4919.0552942769218</v>
      </c>
      <c r="AI6" s="29">
        <v>0</v>
      </c>
      <c r="AJ6" s="30">
        <v>0</v>
      </c>
      <c r="AK6" s="57">
        <f t="shared" si="2"/>
        <v>7.0779035983521563</v>
      </c>
      <c r="AL6" s="57">
        <f t="shared" si="7"/>
        <v>0.54825000000000002</v>
      </c>
      <c r="AM6" s="60"/>
      <c r="AN6" s="57">
        <v>0.69283513065294389</v>
      </c>
      <c r="AO6" s="57">
        <f t="shared" si="8"/>
        <v>1.655</v>
      </c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100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28.35</v>
      </c>
      <c r="I7" s="19">
        <v>21</v>
      </c>
      <c r="J7" s="19">
        <v>21</v>
      </c>
      <c r="K7" s="19">
        <v>9437.204797802875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3"/>
        <v>1</v>
      </c>
      <c r="Z7" s="19">
        <f t="shared" si="4"/>
        <v>0</v>
      </c>
      <c r="AA7" s="19">
        <f t="shared" si="5"/>
        <v>0</v>
      </c>
      <c r="AB7" s="29">
        <f t="shared" si="6"/>
        <v>1093.5326002943168</v>
      </c>
      <c r="AC7" s="29">
        <f t="shared" si="0"/>
        <v>0</v>
      </c>
      <c r="AD7" s="29">
        <f t="shared" si="1"/>
        <v>0</v>
      </c>
      <c r="AE7" s="28">
        <v>20</v>
      </c>
      <c r="AF7" s="46">
        <v>460</v>
      </c>
      <c r="AG7" s="28">
        <v>210000</v>
      </c>
      <c r="AH7" s="29">
        <v>3827.3641010301089</v>
      </c>
      <c r="AI7" s="29">
        <v>0</v>
      </c>
      <c r="AJ7" s="30">
        <v>0</v>
      </c>
      <c r="AK7" s="57">
        <f t="shared" si="2"/>
        <v>9.4372047978028757</v>
      </c>
      <c r="AL7" s="57">
        <f t="shared" si="7"/>
        <v>0.54825000000000002</v>
      </c>
      <c r="AM7" s="60"/>
      <c r="AN7" s="57">
        <v>0.53907349040754682</v>
      </c>
      <c r="AO7" s="57">
        <f t="shared" si="8"/>
        <v>1.655</v>
      </c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101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28.35</v>
      </c>
      <c r="I8" s="19">
        <v>21</v>
      </c>
      <c r="J8" s="19">
        <v>21</v>
      </c>
      <c r="K8" s="19">
        <v>12551.482381077825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3"/>
        <v>1</v>
      </c>
      <c r="Z8" s="19">
        <f t="shared" si="4"/>
        <v>0</v>
      </c>
      <c r="AA8" s="19">
        <f t="shared" si="5"/>
        <v>0</v>
      </c>
      <c r="AB8" s="29">
        <f t="shared" si="6"/>
        <v>761.89466456501066</v>
      </c>
      <c r="AC8" s="29">
        <f t="shared" si="0"/>
        <v>0</v>
      </c>
      <c r="AD8" s="29">
        <f t="shared" si="1"/>
        <v>0</v>
      </c>
      <c r="AE8" s="28">
        <v>20</v>
      </c>
      <c r="AF8" s="46">
        <v>460</v>
      </c>
      <c r="AG8" s="28">
        <v>210000</v>
      </c>
      <c r="AH8" s="29">
        <v>2666.6313259775375</v>
      </c>
      <c r="AI8" s="29">
        <v>0</v>
      </c>
      <c r="AJ8" s="30">
        <v>0</v>
      </c>
      <c r="AK8" s="57">
        <f t="shared" si="2"/>
        <v>12.551482381077825</v>
      </c>
      <c r="AL8" s="57">
        <f t="shared" si="7"/>
        <v>0.54825000000000002</v>
      </c>
      <c r="AM8" s="60"/>
      <c r="AN8" s="57">
        <v>0.37558753716112864</v>
      </c>
      <c r="AO8" s="57">
        <f t="shared" si="8"/>
        <v>1.655</v>
      </c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102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28.35</v>
      </c>
      <c r="I9" s="19">
        <v>21</v>
      </c>
      <c r="J9" s="19">
        <v>21</v>
      </c>
      <c r="K9" s="19">
        <v>15760.1320123308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3"/>
        <v>1</v>
      </c>
      <c r="Z9" s="19">
        <f t="shared" si="4"/>
        <v>0</v>
      </c>
      <c r="AA9" s="19">
        <f t="shared" si="5"/>
        <v>0</v>
      </c>
      <c r="AB9" s="29">
        <f t="shared" si="6"/>
        <v>536.87287811604699</v>
      </c>
      <c r="AC9" s="29">
        <f t="shared" si="0"/>
        <v>0</v>
      </c>
      <c r="AD9" s="29">
        <f t="shared" si="1"/>
        <v>0</v>
      </c>
      <c r="AE9" s="28">
        <v>20</v>
      </c>
      <c r="AF9" s="46">
        <v>460</v>
      </c>
      <c r="AG9" s="28">
        <v>210000</v>
      </c>
      <c r="AH9" s="29">
        <v>1879.0550734061646</v>
      </c>
      <c r="AI9" s="29">
        <v>0</v>
      </c>
      <c r="AJ9" s="30">
        <v>0</v>
      </c>
      <c r="AK9" s="57">
        <f t="shared" si="2"/>
        <v>15.7601320123308</v>
      </c>
      <c r="AL9" s="57">
        <f t="shared" si="7"/>
        <v>0.54825000000000002</v>
      </c>
      <c r="AM9" s="60"/>
      <c r="AN9" s="57">
        <v>0.26465963267420572</v>
      </c>
      <c r="AO9" s="57">
        <f t="shared" si="8"/>
        <v>1.655</v>
      </c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103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28.35</v>
      </c>
      <c r="I10" s="19">
        <v>21</v>
      </c>
      <c r="J10" s="19">
        <v>21</v>
      </c>
      <c r="K10" s="19">
        <v>18874.40959560575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3"/>
        <v>1</v>
      </c>
      <c r="Z10" s="19">
        <f t="shared" si="4"/>
        <v>0</v>
      </c>
      <c r="AA10" s="19">
        <f t="shared" si="5"/>
        <v>0</v>
      </c>
      <c r="AB10" s="29">
        <f t="shared" si="6"/>
        <v>396.94775135364733</v>
      </c>
      <c r="AC10" s="29">
        <v>0</v>
      </c>
      <c r="AD10" s="29">
        <v>0</v>
      </c>
      <c r="AE10" s="28">
        <v>20</v>
      </c>
      <c r="AF10" s="46">
        <v>460</v>
      </c>
      <c r="AG10" s="28">
        <v>210000</v>
      </c>
      <c r="AH10" s="29">
        <v>1389.3171297377658</v>
      </c>
      <c r="AI10" s="29">
        <v>0</v>
      </c>
      <c r="AJ10" s="30">
        <v>0</v>
      </c>
      <c r="AK10" s="57">
        <f t="shared" si="2"/>
        <v>18.874409595605751</v>
      </c>
      <c r="AL10" s="57">
        <f t="shared" si="7"/>
        <v>0.54825000000000002</v>
      </c>
      <c r="AM10" s="60"/>
      <c r="AN10" s="57">
        <v>0.19568141797880131</v>
      </c>
      <c r="AO10" s="57">
        <f t="shared" si="8"/>
        <v>1.655</v>
      </c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104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28.35</v>
      </c>
      <c r="I11" s="19">
        <v>21</v>
      </c>
      <c r="J11" s="19">
        <v>21</v>
      </c>
      <c r="K11" s="19">
        <v>23593.011994507186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3"/>
        <v>1</v>
      </c>
      <c r="Z11" s="19">
        <f t="shared" si="4"/>
        <v>0</v>
      </c>
      <c r="AA11" s="19">
        <f t="shared" si="5"/>
        <v>0</v>
      </c>
      <c r="AB11" s="29">
        <f t="shared" si="6"/>
        <v>267.99474453411062</v>
      </c>
      <c r="AC11" s="29">
        <v>0</v>
      </c>
      <c r="AD11" s="29">
        <v>0</v>
      </c>
      <c r="AE11" s="28">
        <v>20</v>
      </c>
      <c r="AF11" s="46">
        <v>460</v>
      </c>
      <c r="AG11" s="28">
        <v>210000</v>
      </c>
      <c r="AH11" s="29">
        <v>937.98160586938718</v>
      </c>
      <c r="AI11" s="29">
        <v>0</v>
      </c>
      <c r="AJ11" s="30">
        <v>0</v>
      </c>
      <c r="AK11" s="57">
        <f t="shared" si="2"/>
        <v>23.593011994507187</v>
      </c>
      <c r="AL11" s="57">
        <f t="shared" si="7"/>
        <v>0.54825000000000002</v>
      </c>
      <c r="AM11" s="60"/>
      <c r="AN11" s="57">
        <v>0.13211207631852862</v>
      </c>
      <c r="AO11" s="57">
        <f t="shared" si="8"/>
        <v>1.655</v>
      </c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105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18.7</v>
      </c>
      <c r="I12" s="19">
        <v>21</v>
      </c>
      <c r="J12" s="19">
        <v>21</v>
      </c>
      <c r="K12" s="19">
        <v>2998.7033308089462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3"/>
        <v>1</v>
      </c>
      <c r="Z12" s="19">
        <f t="shared" si="4"/>
        <v>0</v>
      </c>
      <c r="AA12" s="19">
        <f t="shared" si="5"/>
        <v>0</v>
      </c>
      <c r="AB12" s="29">
        <f t="shared" si="6"/>
        <v>1476.3711915569097</v>
      </c>
      <c r="AC12" s="29">
        <v>0</v>
      </c>
      <c r="AD12" s="29">
        <v>0</v>
      </c>
      <c r="AE12" s="28">
        <v>20</v>
      </c>
      <c r="AF12" s="46">
        <v>460</v>
      </c>
      <c r="AG12" s="28">
        <v>210000</v>
      </c>
      <c r="AH12" s="29">
        <v>5167.2991704491842</v>
      </c>
      <c r="AI12" s="29">
        <v>0</v>
      </c>
      <c r="AJ12" s="30">
        <v>0</v>
      </c>
      <c r="AK12" s="57">
        <f t="shared" si="2"/>
        <v>2.9987033308089464</v>
      </c>
      <c r="AL12" s="57">
        <f t="shared" si="7"/>
        <v>0.59650000000000003</v>
      </c>
      <c r="AM12" s="60"/>
      <c r="AN12" s="57">
        <v>0.94914779479631584</v>
      </c>
      <c r="AO12" s="57">
        <f t="shared" si="8"/>
        <v>1.655</v>
      </c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106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18.7</v>
      </c>
      <c r="I13" s="19">
        <v>21</v>
      </c>
      <c r="J13" s="19">
        <v>21</v>
      </c>
      <c r="K13" s="19">
        <v>4997.8388846815769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3"/>
        <v>1</v>
      </c>
      <c r="Z13" s="19">
        <f t="shared" si="4"/>
        <v>0</v>
      </c>
      <c r="AA13" s="19">
        <f t="shared" si="5"/>
        <v>0</v>
      </c>
      <c r="AB13" s="29">
        <f t="shared" si="6"/>
        <v>1311.247498695468</v>
      </c>
      <c r="AC13" s="29">
        <v>0</v>
      </c>
      <c r="AD13" s="29">
        <v>0</v>
      </c>
      <c r="AE13" s="28">
        <v>20</v>
      </c>
      <c r="AF13" s="46">
        <v>460</v>
      </c>
      <c r="AG13" s="28">
        <v>210000</v>
      </c>
      <c r="AH13" s="29">
        <v>4589.3662454341384</v>
      </c>
      <c r="AI13" s="29">
        <v>0</v>
      </c>
      <c r="AJ13" s="30">
        <v>0</v>
      </c>
      <c r="AK13" s="57">
        <f t="shared" si="2"/>
        <v>4.9978388846815767</v>
      </c>
      <c r="AL13" s="57">
        <f t="shared" si="7"/>
        <v>0.59650000000000003</v>
      </c>
      <c r="AM13" s="60"/>
      <c r="AN13" s="57">
        <v>0.84299103026152089</v>
      </c>
      <c r="AO13" s="57">
        <f t="shared" si="8"/>
        <v>1.655</v>
      </c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107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18.7</v>
      </c>
      <c r="I14" s="19">
        <v>21</v>
      </c>
      <c r="J14" s="19">
        <v>21</v>
      </c>
      <c r="K14" s="19">
        <v>7496.7583270223658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3"/>
        <v>1</v>
      </c>
      <c r="Z14" s="19">
        <f t="shared" si="4"/>
        <v>0</v>
      </c>
      <c r="AA14" s="19">
        <f t="shared" si="5"/>
        <v>0</v>
      </c>
      <c r="AB14" s="29">
        <f t="shared" si="6"/>
        <v>1078.7748635415362</v>
      </c>
      <c r="AC14" s="29">
        <v>0</v>
      </c>
      <c r="AD14" s="29">
        <v>0</v>
      </c>
      <c r="AE14" s="28">
        <v>20</v>
      </c>
      <c r="AF14" s="46">
        <v>460</v>
      </c>
      <c r="AG14" s="28">
        <v>210000</v>
      </c>
      <c r="AH14" s="29">
        <v>3775.7120223953771</v>
      </c>
      <c r="AI14" s="29">
        <v>0</v>
      </c>
      <c r="AJ14" s="30">
        <v>0</v>
      </c>
      <c r="AK14" s="57">
        <f t="shared" si="2"/>
        <v>7.4967583270223654</v>
      </c>
      <c r="AL14" s="57">
        <f t="shared" si="7"/>
        <v>0.59650000000000003</v>
      </c>
      <c r="AM14" s="60"/>
      <c r="AN14" s="57">
        <v>0.69353614366612815</v>
      </c>
      <c r="AO14" s="57">
        <f t="shared" si="8"/>
        <v>1.655</v>
      </c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108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18.7</v>
      </c>
      <c r="I15" s="19">
        <v>21</v>
      </c>
      <c r="J15" s="19">
        <v>21</v>
      </c>
      <c r="K15" s="19">
        <v>9995.6777693631539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3"/>
        <v>1</v>
      </c>
      <c r="Z15" s="19">
        <f t="shared" si="4"/>
        <v>0</v>
      </c>
      <c r="AA15" s="19">
        <f t="shared" si="5"/>
        <v>0</v>
      </c>
      <c r="AB15" s="29">
        <f t="shared" si="6"/>
        <v>839.85911294416053</v>
      </c>
      <c r="AC15" s="29">
        <v>0</v>
      </c>
      <c r="AD15" s="29">
        <v>0</v>
      </c>
      <c r="AE15" s="28">
        <v>20</v>
      </c>
      <c r="AF15" s="46">
        <v>460</v>
      </c>
      <c r="AG15" s="28">
        <v>210000</v>
      </c>
      <c r="AH15" s="29">
        <v>2939.506895304562</v>
      </c>
      <c r="AI15" s="29">
        <v>0</v>
      </c>
      <c r="AJ15" s="30">
        <v>0</v>
      </c>
      <c r="AK15" s="57">
        <f t="shared" si="2"/>
        <v>9.9956777693631533</v>
      </c>
      <c r="AL15" s="57">
        <f t="shared" si="7"/>
        <v>0.59650000000000003</v>
      </c>
      <c r="AM15" s="60"/>
      <c r="AN15" s="57">
        <v>0.53993902722384046</v>
      </c>
      <c r="AO15" s="57">
        <f t="shared" si="8"/>
        <v>1.655</v>
      </c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109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18.7</v>
      </c>
      <c r="I16" s="19">
        <v>21</v>
      </c>
      <c r="J16" s="19">
        <v>21</v>
      </c>
      <c r="K16" s="19">
        <v>13294.251433252995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3"/>
        <v>1</v>
      </c>
      <c r="Z16" s="19">
        <f t="shared" si="4"/>
        <v>0</v>
      </c>
      <c r="AA16" s="19">
        <f t="shared" si="5"/>
        <v>0</v>
      </c>
      <c r="AB16" s="29">
        <f t="shared" si="6"/>
        <v>585.46787055901166</v>
      </c>
      <c r="AC16" s="29">
        <v>0</v>
      </c>
      <c r="AD16" s="29">
        <v>0</v>
      </c>
      <c r="AE16" s="28">
        <v>20</v>
      </c>
      <c r="AF16" s="46">
        <v>460</v>
      </c>
      <c r="AG16" s="28">
        <v>210000</v>
      </c>
      <c r="AH16" s="29">
        <v>2049.137546956541</v>
      </c>
      <c r="AI16" s="29">
        <v>0</v>
      </c>
      <c r="AJ16" s="30">
        <v>0</v>
      </c>
      <c r="AK16" s="57">
        <f t="shared" si="2"/>
        <v>13.294251433252995</v>
      </c>
      <c r="AL16" s="57">
        <f t="shared" si="7"/>
        <v>0.59650000000000003</v>
      </c>
      <c r="AM16" s="60"/>
      <c r="AN16" s="57">
        <v>0.37639283497476755</v>
      </c>
      <c r="AO16" s="57">
        <f t="shared" si="8"/>
        <v>1.655</v>
      </c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110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18.7</v>
      </c>
      <c r="I17" s="19">
        <v>21</v>
      </c>
      <c r="J17" s="19">
        <v>21</v>
      </c>
      <c r="K17" s="19">
        <v>16692.781874836466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3"/>
        <v>1</v>
      </c>
      <c r="Z17" s="19">
        <f t="shared" si="4"/>
        <v>0</v>
      </c>
      <c r="AA17" s="19">
        <f t="shared" si="5"/>
        <v>0</v>
      </c>
      <c r="AB17" s="29">
        <f t="shared" si="6"/>
        <v>412.66802723953441</v>
      </c>
      <c r="AC17" s="29">
        <v>0</v>
      </c>
      <c r="AD17" s="29">
        <v>0</v>
      </c>
      <c r="AE17" s="28">
        <v>20</v>
      </c>
      <c r="AF17" s="46">
        <v>460</v>
      </c>
      <c r="AG17" s="28">
        <v>210000</v>
      </c>
      <c r="AH17" s="29">
        <v>1444.3380953383705</v>
      </c>
      <c r="AI17" s="29">
        <v>0</v>
      </c>
      <c r="AJ17" s="30">
        <v>0</v>
      </c>
      <c r="AK17" s="57">
        <f t="shared" si="2"/>
        <v>16.692781874836466</v>
      </c>
      <c r="AL17" s="57">
        <f t="shared" si="7"/>
        <v>0.59650000000000003</v>
      </c>
      <c r="AM17" s="60"/>
      <c r="AN17" s="57">
        <v>0.26530113177316889</v>
      </c>
      <c r="AO17" s="57">
        <f t="shared" si="8"/>
        <v>1.655</v>
      </c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111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18.7</v>
      </c>
      <c r="I18" s="19">
        <v>21</v>
      </c>
      <c r="J18" s="19">
        <v>21</v>
      </c>
      <c r="K18" s="19">
        <v>19991.355538726308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3"/>
        <v>1</v>
      </c>
      <c r="Z18" s="19">
        <f t="shared" si="4"/>
        <v>0</v>
      </c>
      <c r="AA18" s="19">
        <f t="shared" si="5"/>
        <v>0</v>
      </c>
      <c r="AB18" s="29">
        <f t="shared" si="6"/>
        <v>305.15779079929541</v>
      </c>
      <c r="AC18" s="29">
        <v>0</v>
      </c>
      <c r="AD18" s="29">
        <v>0</v>
      </c>
      <c r="AE18" s="28">
        <v>20</v>
      </c>
      <c r="AF18" s="46">
        <v>460</v>
      </c>
      <c r="AG18" s="28">
        <v>210000</v>
      </c>
      <c r="AH18" s="29">
        <v>1068.0522677975339</v>
      </c>
      <c r="AI18" s="29">
        <v>0</v>
      </c>
      <c r="AJ18" s="30">
        <v>0</v>
      </c>
      <c r="AK18" s="57">
        <f t="shared" si="2"/>
        <v>19.991355538726307</v>
      </c>
      <c r="AL18" s="57">
        <f t="shared" si="7"/>
        <v>0.59650000000000003</v>
      </c>
      <c r="AM18" s="60"/>
      <c r="AN18" s="57">
        <v>0.19618361957918354</v>
      </c>
      <c r="AO18" s="57">
        <f t="shared" si="8"/>
        <v>1.655</v>
      </c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112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18.7</v>
      </c>
      <c r="I19" s="19">
        <v>21</v>
      </c>
      <c r="J19" s="19">
        <v>21</v>
      </c>
      <c r="K19" s="19">
        <v>24989.194423407884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3"/>
        <v>1</v>
      </c>
      <c r="Z19" s="19">
        <f t="shared" si="4"/>
        <v>0</v>
      </c>
      <c r="AA19" s="19">
        <f t="shared" si="5"/>
        <v>0</v>
      </c>
      <c r="AB19" s="29">
        <f t="shared" si="6"/>
        <v>206.04752284765391</v>
      </c>
      <c r="AC19" s="29">
        <v>0</v>
      </c>
      <c r="AD19" s="29">
        <v>0</v>
      </c>
      <c r="AE19" s="28">
        <v>20</v>
      </c>
      <c r="AF19" s="46">
        <v>460</v>
      </c>
      <c r="AG19" s="28">
        <v>210000</v>
      </c>
      <c r="AH19" s="29">
        <v>721.16632996678868</v>
      </c>
      <c r="AI19" s="29">
        <v>0</v>
      </c>
      <c r="AJ19" s="30">
        <v>0</v>
      </c>
      <c r="AK19" s="57">
        <f t="shared" si="2"/>
        <v>24.989194423407884</v>
      </c>
      <c r="AL19" s="57">
        <f t="shared" si="7"/>
        <v>0.59650000000000003</v>
      </c>
      <c r="AM19" s="60"/>
      <c r="AN19" s="57">
        <v>0.13246638315114778</v>
      </c>
      <c r="AO19" s="57">
        <f t="shared" si="8"/>
        <v>1.655</v>
      </c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113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14.7</v>
      </c>
      <c r="I20" s="19">
        <v>21</v>
      </c>
      <c r="J20" s="19">
        <v>21</v>
      </c>
      <c r="K20" s="19">
        <v>3100.1864044795607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3"/>
        <v>1</v>
      </c>
      <c r="Z20" s="19">
        <f t="shared" si="4"/>
        <v>0</v>
      </c>
      <c r="AA20" s="19">
        <f t="shared" si="5"/>
        <v>0</v>
      </c>
      <c r="AB20" s="29">
        <f t="shared" si="6"/>
        <v>1290.2514445498789</v>
      </c>
      <c r="AC20" s="29">
        <v>0</v>
      </c>
      <c r="AD20" s="29">
        <v>0</v>
      </c>
      <c r="AE20" s="28">
        <v>20</v>
      </c>
      <c r="AF20" s="46">
        <v>460</v>
      </c>
      <c r="AG20" s="28">
        <v>210000</v>
      </c>
      <c r="AH20" s="29">
        <v>4515.8800559245765</v>
      </c>
      <c r="AI20" s="29">
        <v>0</v>
      </c>
      <c r="AJ20" s="30">
        <v>0</v>
      </c>
      <c r="AK20" s="57">
        <f t="shared" si="2"/>
        <v>3.1001864044795608</v>
      </c>
      <c r="AL20" s="57">
        <f t="shared" si="7"/>
        <v>0.61650000000000005</v>
      </c>
      <c r="AM20" s="60"/>
      <c r="AN20" s="57">
        <v>0.94914779479631584</v>
      </c>
      <c r="AO20" s="57">
        <f t="shared" si="8"/>
        <v>1.655</v>
      </c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114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14.7</v>
      </c>
      <c r="I21" s="19">
        <v>21</v>
      </c>
      <c r="J21" s="19">
        <v>21</v>
      </c>
      <c r="K21" s="19">
        <v>5166.9773407992679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3"/>
        <v>1</v>
      </c>
      <c r="Z21" s="19">
        <f t="shared" si="4"/>
        <v>0</v>
      </c>
      <c r="AA21" s="19">
        <f t="shared" si="5"/>
        <v>0</v>
      </c>
      <c r="AB21" s="29">
        <f t="shared" si="6"/>
        <v>1145.944183298586</v>
      </c>
      <c r="AC21" s="29">
        <v>0</v>
      </c>
      <c r="AD21" s="29">
        <v>0</v>
      </c>
      <c r="AE21" s="28">
        <v>20</v>
      </c>
      <c r="AF21" s="46">
        <v>460</v>
      </c>
      <c r="AG21" s="28">
        <v>210000</v>
      </c>
      <c r="AH21" s="29">
        <v>4010.8046415450513</v>
      </c>
      <c r="AI21" s="29">
        <v>0</v>
      </c>
      <c r="AJ21" s="30">
        <v>0</v>
      </c>
      <c r="AK21" s="57">
        <f t="shared" si="2"/>
        <v>5.1669773407992681</v>
      </c>
      <c r="AL21" s="57">
        <f t="shared" si="7"/>
        <v>0.61650000000000005</v>
      </c>
      <c r="AM21" s="60"/>
      <c r="AN21" s="57">
        <v>0.84299103026152089</v>
      </c>
      <c r="AO21" s="57">
        <f t="shared" si="8"/>
        <v>1.655</v>
      </c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115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14.7</v>
      </c>
      <c r="I22" s="19">
        <v>21</v>
      </c>
      <c r="J22" s="19">
        <v>21</v>
      </c>
      <c r="K22" s="19">
        <v>7750.4660111989015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3"/>
        <v>1</v>
      </c>
      <c r="Z22" s="19">
        <f t="shared" si="4"/>
        <v>0</v>
      </c>
      <c r="AA22" s="19">
        <f t="shared" si="5"/>
        <v>0</v>
      </c>
      <c r="AB22" s="29">
        <f t="shared" si="6"/>
        <v>942.77837036412586</v>
      </c>
      <c r="AC22" s="29">
        <v>0</v>
      </c>
      <c r="AD22" s="29">
        <v>0</v>
      </c>
      <c r="AE22" s="28">
        <v>20</v>
      </c>
      <c r="AF22" s="46">
        <v>460</v>
      </c>
      <c r="AG22" s="28">
        <v>210000</v>
      </c>
      <c r="AH22" s="29">
        <v>3299.7242962744403</v>
      </c>
      <c r="AI22" s="29">
        <v>0</v>
      </c>
      <c r="AJ22" s="30">
        <v>0</v>
      </c>
      <c r="AK22" s="57">
        <f t="shared" si="2"/>
        <v>7.7504660111989017</v>
      </c>
      <c r="AL22" s="57">
        <f t="shared" si="7"/>
        <v>0.61650000000000005</v>
      </c>
      <c r="AM22" s="60"/>
      <c r="AN22" s="57">
        <v>0.69353614366612826</v>
      </c>
      <c r="AO22" s="57">
        <f t="shared" si="8"/>
        <v>1.655</v>
      </c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116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14.7</v>
      </c>
      <c r="I23" s="19">
        <v>21</v>
      </c>
      <c r="J23" s="19">
        <v>21</v>
      </c>
      <c r="K23" s="19">
        <v>10333.954681598536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3"/>
        <v>1</v>
      </c>
      <c r="Z23" s="19">
        <f t="shared" si="4"/>
        <v>0</v>
      </c>
      <c r="AA23" s="19">
        <f t="shared" si="5"/>
        <v>0</v>
      </c>
      <c r="AB23" s="29">
        <f t="shared" si="6"/>
        <v>733.98169775437032</v>
      </c>
      <c r="AC23" s="29">
        <v>0</v>
      </c>
      <c r="AD23" s="29">
        <v>0</v>
      </c>
      <c r="AE23" s="28">
        <v>20</v>
      </c>
      <c r="AF23" s="46">
        <v>460</v>
      </c>
      <c r="AG23" s="28">
        <v>210000</v>
      </c>
      <c r="AH23" s="29">
        <v>2568.935942140296</v>
      </c>
      <c r="AI23" s="29">
        <v>0</v>
      </c>
      <c r="AJ23" s="30">
        <v>0</v>
      </c>
      <c r="AK23" s="57">
        <f t="shared" si="2"/>
        <v>10.333954681598536</v>
      </c>
      <c r="AL23" s="57">
        <f t="shared" si="7"/>
        <v>0.61650000000000005</v>
      </c>
      <c r="AM23" s="60"/>
      <c r="AN23" s="57">
        <v>0.53993902722384046</v>
      </c>
      <c r="AO23" s="57">
        <f t="shared" si="8"/>
        <v>1.655</v>
      </c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117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14.7</v>
      </c>
      <c r="I24" s="19">
        <v>21</v>
      </c>
      <c r="J24" s="19">
        <v>21</v>
      </c>
      <c r="K24" s="19">
        <v>13744.159726526053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3"/>
        <v>1</v>
      </c>
      <c r="Z24" s="19">
        <f t="shared" si="4"/>
        <v>0</v>
      </c>
      <c r="AA24" s="19">
        <f t="shared" si="5"/>
        <v>0</v>
      </c>
      <c r="AB24" s="29">
        <f t="shared" si="6"/>
        <v>511.6604618447596</v>
      </c>
      <c r="AC24" s="29">
        <v>0</v>
      </c>
      <c r="AD24" s="29">
        <v>0</v>
      </c>
      <c r="AE24" s="28">
        <v>20</v>
      </c>
      <c r="AF24" s="46">
        <v>460</v>
      </c>
      <c r="AG24" s="28">
        <v>210000</v>
      </c>
      <c r="AH24" s="29">
        <v>1790.8116164566586</v>
      </c>
      <c r="AI24" s="29">
        <v>0</v>
      </c>
      <c r="AJ24" s="30">
        <v>0</v>
      </c>
      <c r="AK24" s="57">
        <f t="shared" si="2"/>
        <v>13.744159726526053</v>
      </c>
      <c r="AL24" s="57">
        <f t="shared" si="7"/>
        <v>0.61650000000000005</v>
      </c>
      <c r="AM24" s="60"/>
      <c r="AN24" s="57">
        <v>0.37639283497476755</v>
      </c>
      <c r="AO24" s="57">
        <f t="shared" si="8"/>
        <v>1.655</v>
      </c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118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14.7</v>
      </c>
      <c r="I25" s="19">
        <v>21</v>
      </c>
      <c r="J25" s="19">
        <v>21</v>
      </c>
      <c r="K25" s="19">
        <v>17257.704318269552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3"/>
        <v>1</v>
      </c>
      <c r="Z25" s="19">
        <f t="shared" si="4"/>
        <v>0</v>
      </c>
      <c r="AA25" s="19">
        <f t="shared" si="5"/>
        <v>0</v>
      </c>
      <c r="AB25" s="29">
        <f t="shared" si="6"/>
        <v>360.64474930851702</v>
      </c>
      <c r="AC25" s="29">
        <v>0</v>
      </c>
      <c r="AD25" s="29">
        <v>0</v>
      </c>
      <c r="AE25" s="28">
        <v>20</v>
      </c>
      <c r="AF25" s="46">
        <v>460</v>
      </c>
      <c r="AG25" s="28">
        <v>210000</v>
      </c>
      <c r="AH25" s="29">
        <v>1262.2566225798096</v>
      </c>
      <c r="AI25" s="29">
        <v>0</v>
      </c>
      <c r="AJ25" s="30">
        <v>0</v>
      </c>
      <c r="AK25" s="57">
        <f t="shared" si="2"/>
        <v>17.257704318269553</v>
      </c>
      <c r="AL25" s="57">
        <f t="shared" si="7"/>
        <v>0.61650000000000005</v>
      </c>
      <c r="AM25" s="60"/>
      <c r="AN25" s="57">
        <v>0.265301131773169</v>
      </c>
      <c r="AO25" s="57">
        <f t="shared" si="8"/>
        <v>1.655</v>
      </c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119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14.7</v>
      </c>
      <c r="I26" s="19">
        <v>21</v>
      </c>
      <c r="J26" s="19">
        <v>21</v>
      </c>
      <c r="K26" s="19">
        <v>20667.909363197072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3"/>
        <v>1</v>
      </c>
      <c r="Z26" s="19">
        <f t="shared" si="4"/>
        <v>0</v>
      </c>
      <c r="AA26" s="19">
        <f t="shared" si="5"/>
        <v>0</v>
      </c>
      <c r="AB26" s="29">
        <f t="shared" si="6"/>
        <v>266.68786457369958</v>
      </c>
      <c r="AC26" s="29">
        <v>0</v>
      </c>
      <c r="AD26" s="29">
        <v>0</v>
      </c>
      <c r="AE26" s="28">
        <v>20</v>
      </c>
      <c r="AF26" s="46">
        <v>460</v>
      </c>
      <c r="AG26" s="28">
        <v>210000</v>
      </c>
      <c r="AH26" s="29">
        <v>933.4075260079486</v>
      </c>
      <c r="AI26" s="29">
        <v>0</v>
      </c>
      <c r="AJ26" s="30">
        <v>0</v>
      </c>
      <c r="AK26" s="57">
        <f t="shared" si="2"/>
        <v>20.667909363197072</v>
      </c>
      <c r="AL26" s="57">
        <f t="shared" si="7"/>
        <v>0.61650000000000005</v>
      </c>
      <c r="AM26" s="60"/>
      <c r="AN26" s="57">
        <v>0.19618361957918354</v>
      </c>
      <c r="AO26" s="57">
        <f t="shared" si="8"/>
        <v>1.655</v>
      </c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120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14.7</v>
      </c>
      <c r="I27" s="19">
        <v>21</v>
      </c>
      <c r="J27" s="19">
        <v>21</v>
      </c>
      <c r="K27" s="19">
        <v>25834.886703996341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3"/>
        <v>1</v>
      </c>
      <c r="Z27" s="19">
        <f t="shared" si="4"/>
        <v>0</v>
      </c>
      <c r="AA27" s="19">
        <f t="shared" si="5"/>
        <v>0</v>
      </c>
      <c r="AB27" s="29">
        <f t="shared" si="6"/>
        <v>180.0720005378551</v>
      </c>
      <c r="AC27" s="29">
        <v>0</v>
      </c>
      <c r="AD27" s="29">
        <v>0</v>
      </c>
      <c r="AE27" s="28">
        <v>20</v>
      </c>
      <c r="AF27" s="46">
        <v>460</v>
      </c>
      <c r="AG27" s="28">
        <v>210000</v>
      </c>
      <c r="AH27" s="29">
        <v>630.25200188249289</v>
      </c>
      <c r="AI27" s="29">
        <v>0</v>
      </c>
      <c r="AJ27" s="30">
        <v>0</v>
      </c>
      <c r="AK27" s="57">
        <f t="shared" si="2"/>
        <v>25.834886703996339</v>
      </c>
      <c r="AL27" s="57">
        <f t="shared" si="7"/>
        <v>0.61650000000000005</v>
      </c>
      <c r="AM27" s="60"/>
      <c r="AN27" s="57">
        <v>0.13246638315114778</v>
      </c>
      <c r="AO27" s="57">
        <f t="shared" si="8"/>
        <v>1.655</v>
      </c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121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9.8000000000000007</v>
      </c>
      <c r="I28" s="19">
        <v>21</v>
      </c>
      <c r="J28" s="19">
        <v>21</v>
      </c>
      <c r="K28" s="19">
        <v>3265.720358103054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3"/>
        <v>1</v>
      </c>
      <c r="Z28" s="19">
        <f t="shared" si="4"/>
        <v>0</v>
      </c>
      <c r="AA28" s="19">
        <f t="shared" si="5"/>
        <v>0</v>
      </c>
      <c r="AB28" s="29">
        <f t="shared" si="6"/>
        <v>1062.2547544662661</v>
      </c>
      <c r="AC28" s="29">
        <v>0</v>
      </c>
      <c r="AD28" s="29">
        <v>0</v>
      </c>
      <c r="AE28" s="28">
        <v>20</v>
      </c>
      <c r="AF28" s="46">
        <v>460</v>
      </c>
      <c r="AG28" s="28">
        <v>210000</v>
      </c>
      <c r="AH28" s="29">
        <v>3717.8916406319318</v>
      </c>
      <c r="AI28" s="29">
        <v>0</v>
      </c>
      <c r="AJ28" s="30">
        <v>0</v>
      </c>
      <c r="AK28" s="57">
        <f t="shared" si="2"/>
        <v>3.2657203581030538</v>
      </c>
      <c r="AL28" s="57">
        <f t="shared" si="7"/>
        <v>0.6409999999999999</v>
      </c>
      <c r="AM28" s="60"/>
      <c r="AN28" s="57">
        <v>0.94914779479631584</v>
      </c>
      <c r="AO28" s="57">
        <f t="shared" si="8"/>
        <v>1.655</v>
      </c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122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9.8000000000000007</v>
      </c>
      <c r="I29" s="19">
        <v>21</v>
      </c>
      <c r="J29" s="19">
        <v>21</v>
      </c>
      <c r="K29" s="19">
        <v>5442.8672635050898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3"/>
        <v>1</v>
      </c>
      <c r="Z29" s="19">
        <f t="shared" si="4"/>
        <v>0</v>
      </c>
      <c r="AA29" s="19">
        <f t="shared" si="5"/>
        <v>0</v>
      </c>
      <c r="AB29" s="29">
        <f t="shared" si="6"/>
        <v>943.44762193740553</v>
      </c>
      <c r="AC29" s="29">
        <v>0</v>
      </c>
      <c r="AD29" s="29">
        <v>0</v>
      </c>
      <c r="AE29" s="28">
        <v>20</v>
      </c>
      <c r="AF29" s="46">
        <v>460</v>
      </c>
      <c r="AG29" s="28">
        <v>210000</v>
      </c>
      <c r="AH29" s="29">
        <v>3302.0666767809194</v>
      </c>
      <c r="AI29" s="29">
        <v>0</v>
      </c>
      <c r="AJ29" s="30">
        <v>0</v>
      </c>
      <c r="AK29" s="57">
        <f t="shared" si="2"/>
        <v>5.4428672635050894</v>
      </c>
      <c r="AL29" s="57">
        <f t="shared" si="7"/>
        <v>0.6409999999999999</v>
      </c>
      <c r="AM29" s="60"/>
      <c r="AN29" s="57">
        <v>0.842991030261521</v>
      </c>
      <c r="AO29" s="57">
        <f t="shared" si="8"/>
        <v>1.655</v>
      </c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123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9.8000000000000007</v>
      </c>
      <c r="I30" s="19">
        <v>21</v>
      </c>
      <c r="J30" s="19">
        <v>21</v>
      </c>
      <c r="K30" s="19">
        <v>8164.3008952576347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3"/>
        <v>1</v>
      </c>
      <c r="Z30" s="19">
        <f t="shared" si="4"/>
        <v>0</v>
      </c>
      <c r="AA30" s="19">
        <f t="shared" si="5"/>
        <v>0</v>
      </c>
      <c r="AB30" s="29">
        <f t="shared" si="6"/>
        <v>776.18266622179794</v>
      </c>
      <c r="AC30" s="29">
        <v>0</v>
      </c>
      <c r="AD30" s="29">
        <v>0</v>
      </c>
      <c r="AE30" s="28">
        <v>20</v>
      </c>
      <c r="AF30" s="46">
        <v>460</v>
      </c>
      <c r="AG30" s="28">
        <v>210000</v>
      </c>
      <c r="AH30" s="29">
        <v>2716.6393317762927</v>
      </c>
      <c r="AI30" s="29">
        <v>0</v>
      </c>
      <c r="AJ30" s="30">
        <v>0</v>
      </c>
      <c r="AK30" s="57">
        <f t="shared" si="2"/>
        <v>8.1643008952576341</v>
      </c>
      <c r="AL30" s="57">
        <f t="shared" si="7"/>
        <v>0.6409999999999999</v>
      </c>
      <c r="AM30" s="60"/>
      <c r="AN30" s="57">
        <v>0.69353614366612837</v>
      </c>
      <c r="AO30" s="57">
        <f t="shared" si="8"/>
        <v>1.655</v>
      </c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124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9.8000000000000007</v>
      </c>
      <c r="I31" s="19">
        <v>21</v>
      </c>
      <c r="J31" s="19">
        <v>21</v>
      </c>
      <c r="K31" s="19">
        <v>10885.73452701018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3"/>
        <v>1</v>
      </c>
      <c r="Z31" s="19">
        <f t="shared" si="4"/>
        <v>0</v>
      </c>
      <c r="AA31" s="19">
        <f t="shared" si="5"/>
        <v>0</v>
      </c>
      <c r="AB31" s="29">
        <f t="shared" si="6"/>
        <v>604.2818641468773</v>
      </c>
      <c r="AC31" s="29">
        <v>0</v>
      </c>
      <c r="AD31" s="29">
        <v>0</v>
      </c>
      <c r="AE31" s="28">
        <v>20</v>
      </c>
      <c r="AF31" s="46">
        <v>460</v>
      </c>
      <c r="AG31" s="28">
        <v>210000</v>
      </c>
      <c r="AH31" s="29">
        <v>2114.9865245140704</v>
      </c>
      <c r="AI31" s="29">
        <v>0</v>
      </c>
      <c r="AJ31" s="30">
        <v>0</v>
      </c>
      <c r="AK31" s="57">
        <f t="shared" si="2"/>
        <v>10.885734527010179</v>
      </c>
      <c r="AL31" s="57">
        <f t="shared" si="7"/>
        <v>0.6409999999999999</v>
      </c>
      <c r="AM31" s="60"/>
      <c r="AN31" s="57">
        <v>0.53993902722384057</v>
      </c>
      <c r="AO31" s="57">
        <f t="shared" si="8"/>
        <v>1.655</v>
      </c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125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9.8000000000000007</v>
      </c>
      <c r="I32" s="19">
        <v>21</v>
      </c>
      <c r="J32" s="19">
        <v>21</v>
      </c>
      <c r="K32" s="19">
        <v>14478.026920923539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3"/>
        <v>1</v>
      </c>
      <c r="Z32" s="19">
        <f t="shared" si="4"/>
        <v>0</v>
      </c>
      <c r="AA32" s="19">
        <f t="shared" si="5"/>
        <v>0</v>
      </c>
      <c r="AB32" s="29">
        <f t="shared" si="6"/>
        <v>421.24638616980081</v>
      </c>
      <c r="AC32" s="29">
        <v>0</v>
      </c>
      <c r="AD32" s="29">
        <v>0</v>
      </c>
      <c r="AE32" s="28">
        <v>20</v>
      </c>
      <c r="AF32" s="46">
        <v>460</v>
      </c>
      <c r="AG32" s="28">
        <v>210000</v>
      </c>
      <c r="AH32" s="29">
        <v>1474.3623515943029</v>
      </c>
      <c r="AI32" s="29">
        <v>0</v>
      </c>
      <c r="AJ32" s="30">
        <v>0</v>
      </c>
      <c r="AK32" s="57">
        <f t="shared" si="2"/>
        <v>14.47802692092354</v>
      </c>
      <c r="AL32" s="57">
        <f t="shared" si="7"/>
        <v>0.6409999999999999</v>
      </c>
      <c r="AM32" s="60"/>
      <c r="AN32" s="57">
        <v>0.37639283497476772</v>
      </c>
      <c r="AO32" s="57">
        <f t="shared" si="8"/>
        <v>1.655</v>
      </c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126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9.8000000000000007</v>
      </c>
      <c r="I33" s="19">
        <v>21</v>
      </c>
      <c r="J33" s="19">
        <v>21</v>
      </c>
      <c r="K33" s="19">
        <v>18179.176660106998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3"/>
        <v>1</v>
      </c>
      <c r="Z33" s="19">
        <f t="shared" si="4"/>
        <v>0</v>
      </c>
      <c r="AA33" s="19">
        <f t="shared" si="5"/>
        <v>0</v>
      </c>
      <c r="AB33" s="29">
        <f t="shared" si="6"/>
        <v>296.91623384302056</v>
      </c>
      <c r="AC33" s="29">
        <v>0</v>
      </c>
      <c r="AD33" s="29">
        <v>0</v>
      </c>
      <c r="AE33" s="28">
        <v>20</v>
      </c>
      <c r="AF33" s="46">
        <v>460</v>
      </c>
      <c r="AG33" s="28">
        <v>210000</v>
      </c>
      <c r="AH33" s="29">
        <v>1039.206818450572</v>
      </c>
      <c r="AI33" s="29">
        <v>0</v>
      </c>
      <c r="AJ33" s="30">
        <v>0</v>
      </c>
      <c r="AK33" s="57">
        <f t="shared" si="2"/>
        <v>18.179176660106997</v>
      </c>
      <c r="AL33" s="57">
        <f t="shared" si="7"/>
        <v>0.6409999999999999</v>
      </c>
      <c r="AM33" s="60"/>
      <c r="AN33" s="57">
        <v>0.26530113177316905</v>
      </c>
      <c r="AO33" s="57">
        <f t="shared" si="8"/>
        <v>1.655</v>
      </c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127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9.8000000000000007</v>
      </c>
      <c r="I34" s="19">
        <v>21</v>
      </c>
      <c r="J34" s="19">
        <v>21</v>
      </c>
      <c r="K34" s="19">
        <v>21771.469054020359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3"/>
        <v>1</v>
      </c>
      <c r="Z34" s="19">
        <f t="shared" si="4"/>
        <v>0</v>
      </c>
      <c r="AA34" s="19">
        <f t="shared" si="5"/>
        <v>0</v>
      </c>
      <c r="AB34" s="29">
        <f t="shared" si="6"/>
        <v>219.56220494734481</v>
      </c>
      <c r="AC34" s="29">
        <v>0</v>
      </c>
      <c r="AD34" s="29">
        <v>0</v>
      </c>
      <c r="AE34" s="28">
        <v>20</v>
      </c>
      <c r="AF34" s="46">
        <v>460</v>
      </c>
      <c r="AG34" s="28">
        <v>210000</v>
      </c>
      <c r="AH34" s="29">
        <v>768.46771731570686</v>
      </c>
      <c r="AI34" s="29">
        <v>0</v>
      </c>
      <c r="AJ34" s="30">
        <v>0</v>
      </c>
      <c r="AK34" s="57">
        <f t="shared" si="2"/>
        <v>21.771469054020358</v>
      </c>
      <c r="AL34" s="57">
        <f t="shared" si="7"/>
        <v>0.6409999999999999</v>
      </c>
      <c r="AM34" s="60"/>
      <c r="AN34" s="57">
        <v>0.19618361957918362</v>
      </c>
      <c r="AO34" s="57">
        <f t="shared" si="8"/>
        <v>1.655</v>
      </c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128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9.8000000000000007</v>
      </c>
      <c r="I35" s="19">
        <v>21</v>
      </c>
      <c r="J35" s="19">
        <v>21</v>
      </c>
      <c r="K35" s="19">
        <v>27214.336317525449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3"/>
        <v>1</v>
      </c>
      <c r="Z35" s="19">
        <f t="shared" si="4"/>
        <v>0</v>
      </c>
      <c r="AA35" s="19">
        <f t="shared" si="5"/>
        <v>0</v>
      </c>
      <c r="AB35" s="29">
        <f t="shared" si="6"/>
        <v>148.25198570835161</v>
      </c>
      <c r="AC35" s="29">
        <v>0</v>
      </c>
      <c r="AD35" s="29">
        <v>0</v>
      </c>
      <c r="AE35" s="28">
        <v>20</v>
      </c>
      <c r="AF35" s="46">
        <v>460</v>
      </c>
      <c r="AG35" s="28">
        <v>210000</v>
      </c>
      <c r="AH35" s="29">
        <v>518.88194997923063</v>
      </c>
      <c r="AI35" s="29">
        <v>0</v>
      </c>
      <c r="AJ35" s="30">
        <v>0</v>
      </c>
      <c r="AK35" s="57">
        <f t="shared" si="2"/>
        <v>27.214336317525451</v>
      </c>
      <c r="AL35" s="57">
        <f t="shared" si="7"/>
        <v>0.6409999999999999</v>
      </c>
      <c r="AM35" s="60"/>
      <c r="AN35" s="57">
        <v>0.13246638315114781</v>
      </c>
      <c r="AO35" s="57">
        <f t="shared" si="8"/>
        <v>1.655</v>
      </c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129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6.8</v>
      </c>
      <c r="I36" s="19">
        <v>21</v>
      </c>
      <c r="J36" s="19">
        <v>21</v>
      </c>
      <c r="K36" s="19">
        <v>3401.0483023502402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3"/>
        <v>1</v>
      </c>
      <c r="Z36" s="19">
        <f t="shared" si="4"/>
        <v>0</v>
      </c>
      <c r="AA36" s="19">
        <f t="shared" si="5"/>
        <v>0</v>
      </c>
      <c r="AB36" s="29">
        <f t="shared" si="6"/>
        <v>922.66494421099321</v>
      </c>
      <c r="AC36" s="29">
        <f t="shared" ref="AC36:AC99" si="9">Z36*AI36/3.5</f>
        <v>0</v>
      </c>
      <c r="AD36" s="29">
        <f t="shared" ref="AD36:AD99" si="10">AA36*AJ36/3.5</f>
        <v>0</v>
      </c>
      <c r="AE36" s="28">
        <v>20</v>
      </c>
      <c r="AF36" s="46">
        <v>460</v>
      </c>
      <c r="AG36" s="28">
        <v>210000</v>
      </c>
      <c r="AH36" s="29">
        <v>3229.3273047384764</v>
      </c>
      <c r="AI36" s="29">
        <v>0</v>
      </c>
      <c r="AJ36" s="30">
        <v>0</v>
      </c>
      <c r="AK36" s="57">
        <f t="shared" si="2"/>
        <v>3.4010483023502402</v>
      </c>
      <c r="AL36" s="57">
        <f t="shared" si="7"/>
        <v>0.65599999999999992</v>
      </c>
      <c r="AM36" s="60"/>
      <c r="AN36" s="57">
        <v>0.94914779479631584</v>
      </c>
      <c r="AO36" s="57">
        <f t="shared" si="8"/>
        <v>1.655</v>
      </c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130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6.8</v>
      </c>
      <c r="I37" s="19">
        <v>21</v>
      </c>
      <c r="J37" s="19">
        <v>21</v>
      </c>
      <c r="K37" s="19">
        <v>5668.4138372504003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3"/>
        <v>1</v>
      </c>
      <c r="Z37" s="19">
        <f t="shared" si="4"/>
        <v>0</v>
      </c>
      <c r="AA37" s="19">
        <f t="shared" si="5"/>
        <v>0</v>
      </c>
      <c r="AB37" s="29">
        <f t="shared" si="6"/>
        <v>819.47013538974409</v>
      </c>
      <c r="AC37" s="29">
        <f t="shared" si="9"/>
        <v>0</v>
      </c>
      <c r="AD37" s="29">
        <f t="shared" si="10"/>
        <v>0</v>
      </c>
      <c r="AE37" s="28">
        <v>20</v>
      </c>
      <c r="AF37" s="46">
        <v>460</v>
      </c>
      <c r="AG37" s="28">
        <v>210000</v>
      </c>
      <c r="AH37" s="29">
        <v>2868.1454738641041</v>
      </c>
      <c r="AI37" s="29">
        <v>0</v>
      </c>
      <c r="AJ37" s="30">
        <v>0</v>
      </c>
      <c r="AK37" s="57">
        <f t="shared" ref="AK37:AK99" si="11">K37/1000</f>
        <v>5.6684138372504007</v>
      </c>
      <c r="AL37" s="57">
        <f t="shared" si="7"/>
        <v>0.65599999999999992</v>
      </c>
      <c r="AM37" s="60"/>
      <c r="AN37" s="57">
        <v>0.842991030261521</v>
      </c>
      <c r="AO37" s="57">
        <f t="shared" si="8"/>
        <v>1.655</v>
      </c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131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6.8</v>
      </c>
      <c r="I38" s="19">
        <v>21</v>
      </c>
      <c r="J38" s="19">
        <v>21</v>
      </c>
      <c r="K38" s="19">
        <v>8502.6207558756014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3"/>
        <v>1</v>
      </c>
      <c r="Z38" s="19">
        <f t="shared" si="4"/>
        <v>0</v>
      </c>
      <c r="AA38" s="19">
        <f t="shared" si="5"/>
        <v>0</v>
      </c>
      <c r="AB38" s="29">
        <f t="shared" si="6"/>
        <v>674.18529633873982</v>
      </c>
      <c r="AC38" s="29">
        <f t="shared" si="9"/>
        <v>0</v>
      </c>
      <c r="AD38" s="29">
        <f t="shared" si="10"/>
        <v>0</v>
      </c>
      <c r="AE38" s="28">
        <v>20</v>
      </c>
      <c r="AF38" s="46">
        <v>460</v>
      </c>
      <c r="AG38" s="28">
        <v>210000</v>
      </c>
      <c r="AH38" s="29">
        <v>2359.6485371855892</v>
      </c>
      <c r="AI38" s="29">
        <v>0</v>
      </c>
      <c r="AJ38" s="30">
        <v>0</v>
      </c>
      <c r="AK38" s="57">
        <f t="shared" si="11"/>
        <v>8.5026207558756006</v>
      </c>
      <c r="AL38" s="57">
        <f t="shared" si="7"/>
        <v>0.65599999999999992</v>
      </c>
      <c r="AM38" s="60"/>
      <c r="AN38" s="57">
        <v>0.69353614366612826</v>
      </c>
      <c r="AO38" s="57">
        <f t="shared" si="8"/>
        <v>1.655</v>
      </c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132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6.8</v>
      </c>
      <c r="I39" s="19">
        <v>21</v>
      </c>
      <c r="J39" s="19">
        <v>21</v>
      </c>
      <c r="K39" s="19">
        <v>11336.827674500801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3"/>
        <v>1</v>
      </c>
      <c r="Z39" s="19">
        <f t="shared" si="4"/>
        <v>0</v>
      </c>
      <c r="AA39" s="19">
        <f t="shared" si="5"/>
        <v>0</v>
      </c>
      <c r="AB39" s="29">
        <f t="shared" si="6"/>
        <v>524.87380275453438</v>
      </c>
      <c r="AC39" s="29">
        <f t="shared" si="9"/>
        <v>0</v>
      </c>
      <c r="AD39" s="29">
        <f t="shared" si="10"/>
        <v>0</v>
      </c>
      <c r="AE39" s="28">
        <v>20</v>
      </c>
      <c r="AF39" s="46">
        <v>460</v>
      </c>
      <c r="AG39" s="28">
        <v>210000</v>
      </c>
      <c r="AH39" s="29">
        <v>1837.0583096408704</v>
      </c>
      <c r="AI39" s="29">
        <v>0</v>
      </c>
      <c r="AJ39" s="30">
        <v>0</v>
      </c>
      <c r="AK39" s="57">
        <f t="shared" si="11"/>
        <v>11.336827674500801</v>
      </c>
      <c r="AL39" s="57">
        <f t="shared" si="7"/>
        <v>0.65599999999999992</v>
      </c>
      <c r="AM39" s="60"/>
      <c r="AN39" s="57">
        <v>0.53993902722384057</v>
      </c>
      <c r="AO39" s="57">
        <f t="shared" si="8"/>
        <v>1.655</v>
      </c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133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6.8</v>
      </c>
      <c r="I40" s="19">
        <v>21</v>
      </c>
      <c r="J40" s="19">
        <v>21</v>
      </c>
      <c r="K40" s="19">
        <v>15077.980807086065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3"/>
        <v>1</v>
      </c>
      <c r="Z40" s="19">
        <f t="shared" si="4"/>
        <v>0</v>
      </c>
      <c r="AA40" s="19">
        <f t="shared" si="5"/>
        <v>0</v>
      </c>
      <c r="AB40" s="29">
        <f t="shared" si="6"/>
        <v>365.89082963411175</v>
      </c>
      <c r="AC40" s="29">
        <f t="shared" si="9"/>
        <v>0</v>
      </c>
      <c r="AD40" s="29">
        <f t="shared" si="10"/>
        <v>0</v>
      </c>
      <c r="AE40" s="28">
        <v>20</v>
      </c>
      <c r="AF40" s="46">
        <v>460</v>
      </c>
      <c r="AG40" s="28">
        <v>210000</v>
      </c>
      <c r="AH40" s="29">
        <v>1280.6179037193911</v>
      </c>
      <c r="AI40" s="29">
        <v>0</v>
      </c>
      <c r="AJ40" s="30">
        <v>0</v>
      </c>
      <c r="AK40" s="57">
        <f t="shared" si="11"/>
        <v>15.077980807086066</v>
      </c>
      <c r="AL40" s="57">
        <f t="shared" si="7"/>
        <v>0.65599999999999992</v>
      </c>
      <c r="AM40" s="60"/>
      <c r="AN40" s="57">
        <v>0.37639283497476772</v>
      </c>
      <c r="AO40" s="57">
        <f t="shared" si="8"/>
        <v>1.655</v>
      </c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134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6.8</v>
      </c>
      <c r="I41" s="19">
        <v>21</v>
      </c>
      <c r="J41" s="19">
        <v>21</v>
      </c>
      <c r="K41" s="19">
        <v>18932.502216416335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3"/>
        <v>1</v>
      </c>
      <c r="Z41" s="19">
        <f t="shared" si="4"/>
        <v>0</v>
      </c>
      <c r="AA41" s="19">
        <f t="shared" si="5"/>
        <v>0</v>
      </c>
      <c r="AB41" s="29">
        <f t="shared" si="6"/>
        <v>257.89877539475748</v>
      </c>
      <c r="AC41" s="29">
        <f t="shared" si="9"/>
        <v>0</v>
      </c>
      <c r="AD41" s="29">
        <f t="shared" si="10"/>
        <v>0</v>
      </c>
      <c r="AE41" s="28">
        <v>20</v>
      </c>
      <c r="AF41" s="46">
        <v>460</v>
      </c>
      <c r="AG41" s="28">
        <v>210000</v>
      </c>
      <c r="AH41" s="29">
        <v>902.64571388165109</v>
      </c>
      <c r="AI41" s="29">
        <v>0</v>
      </c>
      <c r="AJ41" s="30">
        <v>0</v>
      </c>
      <c r="AK41" s="57">
        <f t="shared" si="11"/>
        <v>18.932502216416335</v>
      </c>
      <c r="AL41" s="57">
        <f t="shared" si="7"/>
        <v>0.65599999999999992</v>
      </c>
      <c r="AM41" s="60"/>
      <c r="AN41" s="57">
        <v>0.26530113177316905</v>
      </c>
      <c r="AO41" s="57">
        <f t="shared" si="8"/>
        <v>1.655</v>
      </c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135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6.8</v>
      </c>
      <c r="I42" s="19">
        <v>21</v>
      </c>
      <c r="J42" s="19">
        <v>21</v>
      </c>
      <c r="K42" s="19">
        <v>22673.655349001601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3"/>
        <v>1</v>
      </c>
      <c r="Z42" s="19">
        <f t="shared" si="4"/>
        <v>0</v>
      </c>
      <c r="AA42" s="19">
        <f t="shared" si="5"/>
        <v>0</v>
      </c>
      <c r="AB42" s="29">
        <f t="shared" si="6"/>
        <v>190.70976027814797</v>
      </c>
      <c r="AC42" s="29">
        <f t="shared" si="9"/>
        <v>0</v>
      </c>
      <c r="AD42" s="29">
        <f t="shared" si="10"/>
        <v>0</v>
      </c>
      <c r="AE42" s="28">
        <v>20</v>
      </c>
      <c r="AF42" s="46">
        <v>460</v>
      </c>
      <c r="AG42" s="28">
        <v>210000</v>
      </c>
      <c r="AH42" s="29">
        <v>667.48416097351787</v>
      </c>
      <c r="AI42" s="29">
        <v>0</v>
      </c>
      <c r="AJ42" s="30">
        <v>0</v>
      </c>
      <c r="AK42" s="57">
        <f t="shared" si="11"/>
        <v>22.673655349001603</v>
      </c>
      <c r="AL42" s="57">
        <f t="shared" si="7"/>
        <v>0.65599999999999992</v>
      </c>
      <c r="AM42" s="60"/>
      <c r="AN42" s="57">
        <v>0.19618361957918362</v>
      </c>
      <c r="AO42" s="57">
        <f t="shared" si="8"/>
        <v>1.655</v>
      </c>
      <c r="AP42" s="57"/>
      <c r="AU42" s="15"/>
      <c r="AV42" s="15"/>
      <c r="AW42" s="16"/>
    </row>
    <row r="43" spans="1:58" ht="21" x14ac:dyDescent="0.35">
      <c r="A43" s="28">
        <v>136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6.8</v>
      </c>
      <c r="I43" s="19">
        <v>21</v>
      </c>
      <c r="J43" s="19">
        <v>21</v>
      </c>
      <c r="K43" s="19">
        <v>28342.069186252003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3"/>
        <v>1</v>
      </c>
      <c r="Z43" s="19">
        <f t="shared" si="4"/>
        <v>0</v>
      </c>
      <c r="AA43" s="19">
        <f t="shared" si="5"/>
        <v>0</v>
      </c>
      <c r="AB43" s="29">
        <f t="shared" si="6"/>
        <v>128.77034397600252</v>
      </c>
      <c r="AC43" s="29">
        <f t="shared" si="9"/>
        <v>0</v>
      </c>
      <c r="AD43" s="29">
        <f t="shared" si="10"/>
        <v>0</v>
      </c>
      <c r="AE43" s="28">
        <v>20</v>
      </c>
      <c r="AF43" s="46">
        <v>460</v>
      </c>
      <c r="AG43" s="28">
        <v>210000</v>
      </c>
      <c r="AH43" s="29">
        <v>450.69620391600881</v>
      </c>
      <c r="AI43" s="29">
        <v>0</v>
      </c>
      <c r="AJ43" s="30">
        <v>0</v>
      </c>
      <c r="AK43" s="57">
        <f t="shared" si="11"/>
        <v>28.342069186252004</v>
      </c>
      <c r="AL43" s="57">
        <f t="shared" si="7"/>
        <v>0.65599999999999992</v>
      </c>
      <c r="AM43" s="60"/>
      <c r="AN43" s="57">
        <v>0.13246638315114781</v>
      </c>
      <c r="AO43" s="57">
        <f t="shared" si="8"/>
        <v>1.655</v>
      </c>
      <c r="AP43" s="57"/>
      <c r="AU43" s="15"/>
      <c r="AV43" s="15"/>
      <c r="AW43" s="16"/>
    </row>
    <row r="44" spans="1:58" ht="21" x14ac:dyDescent="0.35">
      <c r="A44" s="28">
        <v>137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4.9000000000000004</v>
      </c>
      <c r="I44" s="19">
        <v>21</v>
      </c>
      <c r="J44" s="19">
        <v>21</v>
      </c>
      <c r="K44" s="19">
        <v>3506.3771372783826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3"/>
        <v>1</v>
      </c>
      <c r="Z44" s="19">
        <f t="shared" si="4"/>
        <v>0</v>
      </c>
      <c r="AA44" s="19">
        <f t="shared" si="5"/>
        <v>0</v>
      </c>
      <c r="AB44" s="29">
        <f t="shared" si="6"/>
        <v>834.25806438265374</v>
      </c>
      <c r="AC44" s="29">
        <f t="shared" si="9"/>
        <v>0</v>
      </c>
      <c r="AD44" s="29">
        <f t="shared" si="10"/>
        <v>0</v>
      </c>
      <c r="AE44" s="28">
        <v>20</v>
      </c>
      <c r="AF44" s="46">
        <v>460</v>
      </c>
      <c r="AG44" s="28">
        <v>210000</v>
      </c>
      <c r="AH44" s="29">
        <v>2919.9032253392879</v>
      </c>
      <c r="AI44" s="29">
        <v>0</v>
      </c>
      <c r="AJ44" s="30">
        <v>0</v>
      </c>
      <c r="AK44" s="57">
        <f t="shared" si="11"/>
        <v>3.5063771372783825</v>
      </c>
      <c r="AL44" s="57">
        <f t="shared" si="7"/>
        <v>0.66549999999999998</v>
      </c>
      <c r="AM44" s="60"/>
      <c r="AN44" s="57">
        <v>0.94914779479631584</v>
      </c>
      <c r="AO44" s="57">
        <f t="shared" si="8"/>
        <v>1.655</v>
      </c>
      <c r="AP44" s="57"/>
      <c r="AU44" s="15"/>
      <c r="AV44" s="15"/>
      <c r="AW44" s="16"/>
    </row>
    <row r="45" spans="1:58" ht="21" x14ac:dyDescent="0.35">
      <c r="A45" s="28">
        <v>138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4.9000000000000004</v>
      </c>
      <c r="I45" s="19">
        <v>21</v>
      </c>
      <c r="J45" s="19">
        <v>21</v>
      </c>
      <c r="K45" s="19">
        <v>5843.9618954639709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3"/>
        <v>1</v>
      </c>
      <c r="Z45" s="19">
        <f t="shared" si="4"/>
        <v>0</v>
      </c>
      <c r="AA45" s="19">
        <f t="shared" si="5"/>
        <v>0</v>
      </c>
      <c r="AB45" s="29">
        <f t="shared" si="6"/>
        <v>740.95106057622513</v>
      </c>
      <c r="AC45" s="29">
        <f t="shared" si="9"/>
        <v>0</v>
      </c>
      <c r="AD45" s="29">
        <f t="shared" si="10"/>
        <v>0</v>
      </c>
      <c r="AE45" s="28">
        <v>20</v>
      </c>
      <c r="AF45" s="46">
        <v>460</v>
      </c>
      <c r="AG45" s="28">
        <v>210000</v>
      </c>
      <c r="AH45" s="29">
        <v>2593.3287120167879</v>
      </c>
      <c r="AI45" s="29">
        <v>0</v>
      </c>
      <c r="AJ45" s="30">
        <v>0</v>
      </c>
      <c r="AK45" s="57">
        <f t="shared" si="11"/>
        <v>5.8439618954639707</v>
      </c>
      <c r="AL45" s="57">
        <f t="shared" si="7"/>
        <v>0.66549999999999998</v>
      </c>
      <c r="AM45" s="60"/>
      <c r="AN45" s="57">
        <v>0.842991030261521</v>
      </c>
      <c r="AO45" s="57">
        <f t="shared" si="8"/>
        <v>1.655</v>
      </c>
      <c r="AP45" s="57"/>
      <c r="AU45" s="15"/>
      <c r="AV45" s="15"/>
      <c r="AW45" s="16"/>
    </row>
    <row r="46" spans="1:58" ht="21" x14ac:dyDescent="0.35">
      <c r="A46" s="28">
        <v>139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4.9000000000000004</v>
      </c>
      <c r="I46" s="19">
        <v>21</v>
      </c>
      <c r="J46" s="19">
        <v>21</v>
      </c>
      <c r="K46" s="19">
        <v>8765.9428431959568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3"/>
        <v>1</v>
      </c>
      <c r="Z46" s="19">
        <f t="shared" si="4"/>
        <v>0</v>
      </c>
      <c r="AA46" s="19">
        <f t="shared" si="5"/>
        <v>0</v>
      </c>
      <c r="AB46" s="29">
        <f t="shared" si="6"/>
        <v>609.58696207946991</v>
      </c>
      <c r="AC46" s="29">
        <f t="shared" si="9"/>
        <v>0</v>
      </c>
      <c r="AD46" s="29">
        <f t="shared" si="10"/>
        <v>0</v>
      </c>
      <c r="AE46" s="28">
        <v>20</v>
      </c>
      <c r="AF46" s="46">
        <v>460</v>
      </c>
      <c r="AG46" s="28">
        <v>210000</v>
      </c>
      <c r="AH46" s="29">
        <v>2133.5543672781446</v>
      </c>
      <c r="AI46" s="29">
        <v>0</v>
      </c>
      <c r="AJ46" s="30">
        <v>0</v>
      </c>
      <c r="AK46" s="57">
        <f t="shared" si="11"/>
        <v>8.7659428431959565</v>
      </c>
      <c r="AL46" s="57">
        <f t="shared" si="7"/>
        <v>0.66549999999999998</v>
      </c>
      <c r="AM46" s="60"/>
      <c r="AN46" s="57">
        <v>0.69353614366612837</v>
      </c>
      <c r="AO46" s="57">
        <f t="shared" si="8"/>
        <v>1.655</v>
      </c>
      <c r="AP46" s="57"/>
      <c r="AU46" s="15"/>
      <c r="AV46" s="15"/>
      <c r="AW46" s="16"/>
    </row>
    <row r="47" spans="1:58" ht="21" x14ac:dyDescent="0.35">
      <c r="A47" s="28">
        <v>140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4.9000000000000004</v>
      </c>
      <c r="I47" s="19">
        <v>21</v>
      </c>
      <c r="J47" s="19">
        <v>21</v>
      </c>
      <c r="K47" s="19">
        <v>11687.923790927942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3"/>
        <v>1</v>
      </c>
      <c r="Z47" s="19">
        <f t="shared" si="4"/>
        <v>0</v>
      </c>
      <c r="AA47" s="19">
        <f t="shared" si="5"/>
        <v>0</v>
      </c>
      <c r="AB47" s="29">
        <f t="shared" si="6"/>
        <v>474.58203053938405</v>
      </c>
      <c r="AC47" s="29">
        <f t="shared" si="9"/>
        <v>0</v>
      </c>
      <c r="AD47" s="29">
        <f t="shared" si="10"/>
        <v>0</v>
      </c>
      <c r="AE47" s="28">
        <v>20</v>
      </c>
      <c r="AF47" s="46">
        <v>460</v>
      </c>
      <c r="AG47" s="28">
        <v>210000</v>
      </c>
      <c r="AH47" s="29">
        <v>1661.0371068878442</v>
      </c>
      <c r="AI47" s="29">
        <v>0</v>
      </c>
      <c r="AJ47" s="30">
        <v>0</v>
      </c>
      <c r="AK47" s="57">
        <f t="shared" si="11"/>
        <v>11.687923790927941</v>
      </c>
      <c r="AL47" s="57">
        <f t="shared" si="7"/>
        <v>0.66549999999999998</v>
      </c>
      <c r="AM47" s="60"/>
      <c r="AN47" s="57">
        <v>0.53993902722384057</v>
      </c>
      <c r="AO47" s="57">
        <f t="shared" si="8"/>
        <v>1.655</v>
      </c>
      <c r="AP47" s="57"/>
      <c r="AU47" s="15"/>
      <c r="AV47" s="15"/>
      <c r="AW47" s="16"/>
    </row>
    <row r="48" spans="1:58" ht="21" x14ac:dyDescent="0.35">
      <c r="A48" s="28">
        <v>141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4.9000000000000004</v>
      </c>
      <c r="I48" s="19">
        <v>21</v>
      </c>
      <c r="J48" s="19">
        <v>21</v>
      </c>
      <c r="K48" s="61">
        <v>15544.938641934164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3"/>
        <v>1</v>
      </c>
      <c r="Z48" s="19">
        <f t="shared" si="4"/>
        <v>0</v>
      </c>
      <c r="AA48" s="19">
        <f t="shared" si="5"/>
        <v>0</v>
      </c>
      <c r="AB48" s="29">
        <f t="shared" si="6"/>
        <v>330.83231049484186</v>
      </c>
      <c r="AC48" s="29">
        <f t="shared" si="9"/>
        <v>0</v>
      </c>
      <c r="AD48" s="29">
        <f t="shared" si="10"/>
        <v>0</v>
      </c>
      <c r="AE48" s="28">
        <v>20</v>
      </c>
      <c r="AF48" s="46">
        <v>460</v>
      </c>
      <c r="AG48" s="28">
        <v>210000</v>
      </c>
      <c r="AH48" s="29">
        <v>1157.9130867319466</v>
      </c>
      <c r="AI48" s="29">
        <v>0</v>
      </c>
      <c r="AJ48" s="30">
        <v>0</v>
      </c>
      <c r="AK48" s="57">
        <f t="shared" si="11"/>
        <v>15.544938641934165</v>
      </c>
      <c r="AL48" s="57">
        <f t="shared" si="7"/>
        <v>0.66549999999999998</v>
      </c>
      <c r="AM48" s="60"/>
      <c r="AN48" s="57">
        <v>0.37639283497476766</v>
      </c>
      <c r="AO48" s="57">
        <f t="shared" si="8"/>
        <v>1.655</v>
      </c>
      <c r="AP48" s="57"/>
      <c r="AU48" s="15"/>
      <c r="AV48" s="15"/>
      <c r="AW48" s="16"/>
    </row>
    <row r="49" spans="1:56" ht="21" x14ac:dyDescent="0.35">
      <c r="A49" s="28">
        <v>142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4.9000000000000004</v>
      </c>
      <c r="I49" s="19">
        <v>21</v>
      </c>
      <c r="J49" s="19">
        <v>21</v>
      </c>
      <c r="K49" s="19">
        <v>19518.832730849663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3"/>
        <v>1</v>
      </c>
      <c r="Z49" s="19">
        <f t="shared" si="4"/>
        <v>0</v>
      </c>
      <c r="AA49" s="19">
        <f t="shared" si="5"/>
        <v>0</v>
      </c>
      <c r="AB49" s="29">
        <f t="shared" si="6"/>
        <v>233.18771837752411</v>
      </c>
      <c r="AC49" s="29">
        <f t="shared" si="9"/>
        <v>0</v>
      </c>
      <c r="AD49" s="29">
        <f t="shared" si="10"/>
        <v>0</v>
      </c>
      <c r="AE49" s="28">
        <v>20</v>
      </c>
      <c r="AF49" s="46">
        <v>460</v>
      </c>
      <c r="AG49" s="28">
        <v>210000</v>
      </c>
      <c r="AH49" s="29">
        <v>816.15701432133437</v>
      </c>
      <c r="AI49" s="29">
        <v>0</v>
      </c>
      <c r="AJ49" s="30">
        <v>0</v>
      </c>
      <c r="AK49" s="57">
        <f t="shared" si="11"/>
        <v>19.518832730849663</v>
      </c>
      <c r="AL49" s="57">
        <f t="shared" si="7"/>
        <v>0.66549999999999998</v>
      </c>
      <c r="AM49" s="60"/>
      <c r="AN49" s="57">
        <v>0.26530113177316905</v>
      </c>
      <c r="AO49" s="57">
        <f t="shared" si="8"/>
        <v>1.655</v>
      </c>
      <c r="AP49" s="57"/>
      <c r="AU49" s="15"/>
      <c r="AV49" s="15"/>
      <c r="AW49" s="16"/>
    </row>
    <row r="50" spans="1:56" ht="21" x14ac:dyDescent="0.35">
      <c r="A50" s="81">
        <v>143</v>
      </c>
      <c r="B50" s="67" t="s">
        <v>134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4.9000000000000004</v>
      </c>
      <c r="I50" s="82">
        <v>21</v>
      </c>
      <c r="J50" s="82">
        <v>21</v>
      </c>
      <c r="K50" s="82">
        <v>23375.847581855884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3"/>
        <v>1</v>
      </c>
      <c r="Z50" s="82">
        <f t="shared" si="4"/>
        <v>0</v>
      </c>
      <c r="AA50" s="82">
        <f t="shared" si="5"/>
        <v>0</v>
      </c>
      <c r="AB50" s="84">
        <f t="shared" si="6"/>
        <v>172.43654532098998</v>
      </c>
      <c r="AC50" s="84">
        <f t="shared" si="9"/>
        <v>0</v>
      </c>
      <c r="AD50" s="84">
        <f t="shared" si="10"/>
        <v>0</v>
      </c>
      <c r="AE50" s="81">
        <v>20</v>
      </c>
      <c r="AF50" s="46">
        <v>460</v>
      </c>
      <c r="AG50" s="81">
        <v>210000</v>
      </c>
      <c r="AH50" s="84">
        <v>603.5279086234649</v>
      </c>
      <c r="AI50" s="84">
        <v>0</v>
      </c>
      <c r="AJ50" s="85">
        <v>0</v>
      </c>
      <c r="AK50" s="57">
        <f t="shared" si="11"/>
        <v>23.375847581855883</v>
      </c>
      <c r="AL50" s="57">
        <f t="shared" si="7"/>
        <v>0.66549999999999998</v>
      </c>
      <c r="AM50" s="60"/>
      <c r="AN50" s="57">
        <v>0.19618361957918362</v>
      </c>
      <c r="AO50" s="57">
        <f t="shared" si="8"/>
        <v>1.655</v>
      </c>
      <c r="AP50" s="57"/>
      <c r="AU50" s="15"/>
      <c r="AV50" s="15"/>
      <c r="AW50" s="16"/>
    </row>
    <row r="51" spans="1:56" s="89" customFormat="1" ht="21.75" thickBot="1" x14ac:dyDescent="0.4">
      <c r="A51" s="31">
        <v>144</v>
      </c>
      <c r="B51" s="67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4.9000000000000004</v>
      </c>
      <c r="I51" s="32">
        <v>21</v>
      </c>
      <c r="J51" s="32">
        <v>21</v>
      </c>
      <c r="K51" s="32">
        <v>29219.809477319857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3"/>
        <v>1</v>
      </c>
      <c r="Z51" s="32">
        <f t="shared" si="4"/>
        <v>0</v>
      </c>
      <c r="AA51" s="32">
        <f t="shared" si="5"/>
        <v>0</v>
      </c>
      <c r="AB51" s="33">
        <f t="shared" si="6"/>
        <v>116.43197087884809</v>
      </c>
      <c r="AC51" s="33">
        <f t="shared" si="9"/>
        <v>0</v>
      </c>
      <c r="AD51" s="33">
        <f t="shared" si="10"/>
        <v>0</v>
      </c>
      <c r="AE51" s="31">
        <v>20</v>
      </c>
      <c r="AF51" s="46">
        <v>460</v>
      </c>
      <c r="AG51" s="31">
        <v>210000</v>
      </c>
      <c r="AH51" s="33">
        <v>407.5118980759683</v>
      </c>
      <c r="AI51" s="33">
        <v>0</v>
      </c>
      <c r="AJ51" s="51">
        <v>0</v>
      </c>
      <c r="AK51" s="57">
        <f t="shared" si="11"/>
        <v>29.219809477319856</v>
      </c>
      <c r="AL51" s="57">
        <f t="shared" si="7"/>
        <v>0.66549999999999998</v>
      </c>
      <c r="AM51" s="60"/>
      <c r="AN51" s="57">
        <v>0.13246638315114781</v>
      </c>
      <c r="AO51" s="88">
        <f t="shared" si="8"/>
        <v>1.655</v>
      </c>
      <c r="AP51" s="88"/>
      <c r="AU51" s="90"/>
      <c r="AV51" s="90"/>
      <c r="AW51" s="91"/>
      <c r="BD51" s="92"/>
    </row>
    <row r="52" spans="1:56" ht="21" x14ac:dyDescent="0.35">
      <c r="A52" s="46">
        <v>145</v>
      </c>
      <c r="B52" s="67" t="s">
        <v>136</v>
      </c>
      <c r="C52" s="46">
        <v>300</v>
      </c>
      <c r="D52" s="47">
        <v>300</v>
      </c>
      <c r="E52" s="46">
        <v>300</v>
      </c>
      <c r="F52" s="46">
        <v>27.74</v>
      </c>
      <c r="G52" s="47">
        <v>27.74</v>
      </c>
      <c r="H52" s="46">
        <v>16.059999999999999</v>
      </c>
      <c r="I52" s="47">
        <v>21</v>
      </c>
      <c r="J52" s="47">
        <v>21</v>
      </c>
      <c r="K52" s="47">
        <v>2546.9373092279129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3"/>
        <v>1</v>
      </c>
      <c r="Z52" s="47">
        <f t="shared" si="4"/>
        <v>0</v>
      </c>
      <c r="AA52" s="47">
        <f t="shared" si="5"/>
        <v>0</v>
      </c>
      <c r="AB52" s="49">
        <f t="shared" si="6"/>
        <v>2566.1311513591522</v>
      </c>
      <c r="AC52" s="49">
        <f t="shared" si="9"/>
        <v>0</v>
      </c>
      <c r="AD52" s="49">
        <f t="shared" si="10"/>
        <v>0</v>
      </c>
      <c r="AE52" s="46">
        <v>20</v>
      </c>
      <c r="AF52" s="46">
        <v>460</v>
      </c>
      <c r="AG52" s="46">
        <v>210000</v>
      </c>
      <c r="AH52" s="49">
        <v>8981.4590297570321</v>
      </c>
      <c r="AI52" s="49">
        <v>0</v>
      </c>
      <c r="AJ52" s="87">
        <v>0</v>
      </c>
      <c r="AK52" s="57">
        <f t="shared" si="11"/>
        <v>2.5469373092279128</v>
      </c>
      <c r="AL52" s="57">
        <f t="shared" si="7"/>
        <v>1.2097</v>
      </c>
      <c r="AM52" s="60"/>
      <c r="AN52" s="57">
        <v>0.94914779479631584</v>
      </c>
      <c r="AO52" s="57">
        <f t="shared" si="8"/>
        <v>1.0125999999999999</v>
      </c>
      <c r="AP52" s="57"/>
      <c r="AU52" s="15"/>
      <c r="AV52" s="15"/>
      <c r="AW52" s="16"/>
    </row>
    <row r="53" spans="1:56" ht="21" x14ac:dyDescent="0.35">
      <c r="A53" s="28">
        <v>146</v>
      </c>
      <c r="B53" s="67" t="s">
        <v>137</v>
      </c>
      <c r="C53" s="28">
        <v>300</v>
      </c>
      <c r="D53" s="19">
        <v>300</v>
      </c>
      <c r="E53" s="28">
        <v>300</v>
      </c>
      <c r="F53" s="28">
        <v>27.74</v>
      </c>
      <c r="G53" s="47">
        <v>27.74</v>
      </c>
      <c r="H53" s="28">
        <v>16.059999999999999</v>
      </c>
      <c r="I53" s="19">
        <v>21</v>
      </c>
      <c r="J53" s="19">
        <v>21</v>
      </c>
      <c r="K53" s="61">
        <v>4244.8955153798543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3"/>
        <v>1</v>
      </c>
      <c r="Z53" s="19">
        <f t="shared" si="4"/>
        <v>0</v>
      </c>
      <c r="AA53" s="19">
        <f t="shared" si="5"/>
        <v>0</v>
      </c>
      <c r="AB53" s="29">
        <f t="shared" si="6"/>
        <v>2279.1240257105128</v>
      </c>
      <c r="AC53" s="29">
        <f t="shared" si="9"/>
        <v>0</v>
      </c>
      <c r="AD53" s="29">
        <f t="shared" si="10"/>
        <v>0</v>
      </c>
      <c r="AE53" s="28">
        <v>20</v>
      </c>
      <c r="AF53" s="46">
        <v>460</v>
      </c>
      <c r="AG53" s="28">
        <v>210000</v>
      </c>
      <c r="AH53" s="29">
        <v>7976.9340899867948</v>
      </c>
      <c r="AI53" s="29">
        <v>0</v>
      </c>
      <c r="AJ53" s="30">
        <v>0</v>
      </c>
      <c r="AK53" s="57">
        <f t="shared" si="11"/>
        <v>4.244895515379854</v>
      </c>
      <c r="AL53" s="57">
        <f t="shared" si="7"/>
        <v>1.2097</v>
      </c>
      <c r="AM53" s="60"/>
      <c r="AN53" s="57">
        <v>0.84299103026152111</v>
      </c>
      <c r="AO53" s="57">
        <f t="shared" si="8"/>
        <v>1.0125999999999999</v>
      </c>
      <c r="AP53" s="57"/>
      <c r="AU53" s="15"/>
      <c r="AV53" s="15"/>
      <c r="AW53" s="16"/>
    </row>
    <row r="54" spans="1:56" ht="21" x14ac:dyDescent="0.35">
      <c r="A54" s="28">
        <v>147</v>
      </c>
      <c r="B54" s="67" t="s">
        <v>138</v>
      </c>
      <c r="C54" s="28">
        <v>300</v>
      </c>
      <c r="D54" s="19">
        <v>300</v>
      </c>
      <c r="E54" s="28">
        <v>300</v>
      </c>
      <c r="F54" s="28">
        <v>27.74</v>
      </c>
      <c r="G54" s="47">
        <v>27.74</v>
      </c>
      <c r="H54" s="28">
        <v>16.059999999999999</v>
      </c>
      <c r="I54" s="19">
        <v>21</v>
      </c>
      <c r="J54" s="19">
        <v>21</v>
      </c>
      <c r="K54" s="61">
        <v>6367.3432730697823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3"/>
        <v>1</v>
      </c>
      <c r="Z54" s="19">
        <f t="shared" si="4"/>
        <v>0</v>
      </c>
      <c r="AA54" s="19">
        <f t="shared" si="5"/>
        <v>0</v>
      </c>
      <c r="AB54" s="29">
        <f t="shared" si="6"/>
        <v>1875.0554050826904</v>
      </c>
      <c r="AC54" s="29">
        <f t="shared" si="9"/>
        <v>0</v>
      </c>
      <c r="AD54" s="29">
        <f t="shared" si="10"/>
        <v>0</v>
      </c>
      <c r="AE54" s="28">
        <v>20</v>
      </c>
      <c r="AF54" s="46">
        <v>460</v>
      </c>
      <c r="AG54" s="28">
        <v>210000</v>
      </c>
      <c r="AH54" s="29">
        <v>6562.6939177894164</v>
      </c>
      <c r="AI54" s="29">
        <v>0</v>
      </c>
      <c r="AJ54" s="30">
        <v>0</v>
      </c>
      <c r="AK54" s="57">
        <f t="shared" si="11"/>
        <v>6.3673432730697819</v>
      </c>
      <c r="AL54" s="57">
        <f t="shared" si="7"/>
        <v>1.2097</v>
      </c>
      <c r="AM54" s="60"/>
      <c r="AN54" s="57">
        <v>0.69353614366612837</v>
      </c>
      <c r="AO54" s="57">
        <f t="shared" si="8"/>
        <v>1.0125999999999999</v>
      </c>
      <c r="AP54" s="57"/>
      <c r="AU54" s="15"/>
      <c r="AV54" s="15"/>
      <c r="AW54" s="16"/>
    </row>
    <row r="55" spans="1:56" ht="21" x14ac:dyDescent="0.35">
      <c r="A55" s="28">
        <v>148</v>
      </c>
      <c r="B55" s="67" t="s">
        <v>139</v>
      </c>
      <c r="C55" s="28">
        <v>300</v>
      </c>
      <c r="D55" s="19">
        <v>300</v>
      </c>
      <c r="E55" s="28">
        <v>300</v>
      </c>
      <c r="F55" s="28">
        <v>27.74</v>
      </c>
      <c r="G55" s="47">
        <v>27.74</v>
      </c>
      <c r="H55" s="28">
        <v>16.059999999999999</v>
      </c>
      <c r="I55" s="19">
        <v>21</v>
      </c>
      <c r="J55" s="19">
        <v>21</v>
      </c>
      <c r="K55" s="19">
        <v>8489.7910307597085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3"/>
        <v>1</v>
      </c>
      <c r="Z55" s="19">
        <f t="shared" si="4"/>
        <v>0</v>
      </c>
      <c r="AA55" s="19">
        <f t="shared" si="5"/>
        <v>0</v>
      </c>
      <c r="AB55" s="29">
        <f t="shared" si="6"/>
        <v>1459.7877856219332</v>
      </c>
      <c r="AC55" s="29">
        <f t="shared" si="9"/>
        <v>0</v>
      </c>
      <c r="AD55" s="29">
        <f t="shared" si="10"/>
        <v>0</v>
      </c>
      <c r="AE55" s="28">
        <v>20</v>
      </c>
      <c r="AF55" s="46">
        <v>460</v>
      </c>
      <c r="AG55" s="28">
        <v>210000</v>
      </c>
      <c r="AH55" s="29">
        <v>5109.2572496767662</v>
      </c>
      <c r="AI55" s="29">
        <v>0</v>
      </c>
      <c r="AJ55" s="30">
        <v>0</v>
      </c>
      <c r="AK55" s="57">
        <f t="shared" si="11"/>
        <v>8.489791030759708</v>
      </c>
      <c r="AL55" s="57">
        <f t="shared" si="7"/>
        <v>1.2097</v>
      </c>
      <c r="AM55" s="60"/>
      <c r="AN55" s="57">
        <v>0.53993902722384068</v>
      </c>
      <c r="AO55" s="57">
        <f t="shared" si="8"/>
        <v>1.0125999999999999</v>
      </c>
      <c r="AP55" s="57"/>
      <c r="AU55" s="15"/>
      <c r="AV55" s="15"/>
      <c r="AW55" s="16"/>
    </row>
    <row r="56" spans="1:56" ht="21" x14ac:dyDescent="0.35">
      <c r="A56" s="28">
        <v>149</v>
      </c>
      <c r="B56" s="67" t="s">
        <v>140</v>
      </c>
      <c r="C56" s="28">
        <v>300</v>
      </c>
      <c r="D56" s="19">
        <v>300</v>
      </c>
      <c r="E56" s="28">
        <v>300</v>
      </c>
      <c r="F56" s="28">
        <v>27.74</v>
      </c>
      <c r="G56" s="47">
        <v>27.74</v>
      </c>
      <c r="H56" s="28">
        <v>16.059999999999999</v>
      </c>
      <c r="I56" s="19">
        <v>21</v>
      </c>
      <c r="J56" s="19">
        <v>21</v>
      </c>
      <c r="K56" s="61">
        <v>11291.422070910414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3"/>
        <v>1</v>
      </c>
      <c r="Z56" s="19">
        <f t="shared" si="4"/>
        <v>0</v>
      </c>
      <c r="AA56" s="19">
        <f t="shared" si="5"/>
        <v>0</v>
      </c>
      <c r="AB56" s="29">
        <f t="shared" si="6"/>
        <v>1017.6216857611831</v>
      </c>
      <c r="AC56" s="29">
        <f t="shared" si="9"/>
        <v>0</v>
      </c>
      <c r="AD56" s="29">
        <f t="shared" si="10"/>
        <v>0</v>
      </c>
      <c r="AE56" s="28">
        <v>20</v>
      </c>
      <c r="AF56" s="46">
        <v>460</v>
      </c>
      <c r="AG56" s="28">
        <v>210000</v>
      </c>
      <c r="AH56" s="29">
        <v>3561.6759001641408</v>
      </c>
      <c r="AI56" s="29">
        <v>0</v>
      </c>
      <c r="AJ56" s="30">
        <v>0</v>
      </c>
      <c r="AK56" s="57">
        <f t="shared" si="11"/>
        <v>11.291422070910414</v>
      </c>
      <c r="AL56" s="57">
        <f t="shared" si="7"/>
        <v>1.2097</v>
      </c>
      <c r="AM56" s="60"/>
      <c r="AN56" s="57">
        <v>0.37639283497476783</v>
      </c>
      <c r="AO56" s="57">
        <f t="shared" si="8"/>
        <v>1.0125999999999999</v>
      </c>
      <c r="AP56" s="57"/>
      <c r="AU56" s="15"/>
      <c r="AV56" s="15"/>
      <c r="AW56" s="16"/>
    </row>
    <row r="57" spans="1:56" ht="21" x14ac:dyDescent="0.35">
      <c r="A57" s="28">
        <v>150</v>
      </c>
      <c r="B57" s="67" t="s">
        <v>141</v>
      </c>
      <c r="C57" s="28">
        <v>300</v>
      </c>
      <c r="D57" s="19">
        <v>300</v>
      </c>
      <c r="E57" s="28">
        <v>300</v>
      </c>
      <c r="F57" s="28">
        <v>27.74</v>
      </c>
      <c r="G57" s="47">
        <v>27.74</v>
      </c>
      <c r="H57" s="28">
        <v>16.059999999999999</v>
      </c>
      <c r="I57" s="19">
        <v>21</v>
      </c>
      <c r="J57" s="19">
        <v>21</v>
      </c>
      <c r="K57" s="61">
        <v>14177.951021368714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3"/>
        <v>1</v>
      </c>
      <c r="Z57" s="19">
        <f t="shared" si="4"/>
        <v>0</v>
      </c>
      <c r="AA57" s="19">
        <f t="shared" si="5"/>
        <v>0</v>
      </c>
      <c r="AB57" s="29">
        <f t="shared" si="6"/>
        <v>717.27238104163268</v>
      </c>
      <c r="AC57" s="29">
        <f t="shared" si="9"/>
        <v>0</v>
      </c>
      <c r="AD57" s="29">
        <f t="shared" si="10"/>
        <v>0</v>
      </c>
      <c r="AE57" s="28">
        <v>20</v>
      </c>
      <c r="AF57" s="46">
        <v>460</v>
      </c>
      <c r="AG57" s="28">
        <v>210000</v>
      </c>
      <c r="AH57" s="29">
        <v>2510.4533336457143</v>
      </c>
      <c r="AI57" s="29">
        <v>0</v>
      </c>
      <c r="AJ57" s="30">
        <v>0</v>
      </c>
      <c r="AK57" s="57">
        <f t="shared" si="11"/>
        <v>14.177951021368713</v>
      </c>
      <c r="AL57" s="57">
        <f t="shared" si="7"/>
        <v>1.2097</v>
      </c>
      <c r="AM57" s="60"/>
      <c r="AN57" s="57">
        <v>0.26530113177316905</v>
      </c>
      <c r="AO57" s="57">
        <f t="shared" si="8"/>
        <v>1.0125999999999999</v>
      </c>
      <c r="AP57" s="57"/>
      <c r="AU57" s="15"/>
      <c r="AV57" s="15"/>
      <c r="AW57" s="16"/>
    </row>
    <row r="58" spans="1:56" ht="21" x14ac:dyDescent="0.35">
      <c r="A58" s="28">
        <v>151</v>
      </c>
      <c r="B58" s="67" t="s">
        <v>142</v>
      </c>
      <c r="C58" s="28">
        <v>300</v>
      </c>
      <c r="D58" s="19">
        <v>300</v>
      </c>
      <c r="E58" s="28">
        <v>300</v>
      </c>
      <c r="F58" s="28">
        <v>27.74</v>
      </c>
      <c r="G58" s="47">
        <v>27.74</v>
      </c>
      <c r="H58" s="28">
        <v>16.059999999999999</v>
      </c>
      <c r="I58" s="19">
        <v>21</v>
      </c>
      <c r="J58" s="19">
        <v>21</v>
      </c>
      <c r="K58" s="19">
        <v>16979.582061519417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3"/>
        <v>1</v>
      </c>
      <c r="Z58" s="19">
        <f t="shared" si="4"/>
        <v>0</v>
      </c>
      <c r="AA58" s="19">
        <f t="shared" si="5"/>
        <v>0</v>
      </c>
      <c r="AB58" s="29">
        <f t="shared" si="6"/>
        <v>530.40517014167608</v>
      </c>
      <c r="AC58" s="29">
        <f t="shared" si="9"/>
        <v>0</v>
      </c>
      <c r="AD58" s="29">
        <f t="shared" si="10"/>
        <v>0</v>
      </c>
      <c r="AE58" s="28">
        <v>20</v>
      </c>
      <c r="AF58" s="46">
        <v>460</v>
      </c>
      <c r="AG58" s="28">
        <v>210000</v>
      </c>
      <c r="AH58" s="29">
        <v>1856.4180954958663</v>
      </c>
      <c r="AI58" s="29">
        <v>0</v>
      </c>
      <c r="AJ58" s="30">
        <v>0</v>
      </c>
      <c r="AK58" s="57">
        <f t="shared" si="11"/>
        <v>16.979582061519416</v>
      </c>
      <c r="AL58" s="57">
        <f t="shared" si="7"/>
        <v>1.2097</v>
      </c>
      <c r="AM58" s="60"/>
      <c r="AN58" s="57">
        <v>0.1961836195791837</v>
      </c>
      <c r="AO58" s="57">
        <f t="shared" si="8"/>
        <v>1.0125999999999999</v>
      </c>
      <c r="AP58" s="57"/>
      <c r="AU58" s="15"/>
      <c r="AV58" s="15"/>
      <c r="AW58" s="16"/>
    </row>
    <row r="59" spans="1:56" ht="21" x14ac:dyDescent="0.35">
      <c r="A59" s="28">
        <v>152</v>
      </c>
      <c r="B59" s="67" t="s">
        <v>143</v>
      </c>
      <c r="C59" s="28">
        <v>300</v>
      </c>
      <c r="D59" s="19">
        <v>300</v>
      </c>
      <c r="E59" s="28">
        <v>300</v>
      </c>
      <c r="F59" s="28">
        <v>27.74</v>
      </c>
      <c r="G59" s="47">
        <v>27.74</v>
      </c>
      <c r="H59" s="28">
        <v>16.059999999999999</v>
      </c>
      <c r="I59" s="19">
        <v>21</v>
      </c>
      <c r="J59" s="19">
        <v>21</v>
      </c>
      <c r="K59" s="19">
        <v>21224.477576899273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3"/>
        <v>1</v>
      </c>
      <c r="Z59" s="19">
        <f t="shared" si="4"/>
        <v>0</v>
      </c>
      <c r="AA59" s="19">
        <f t="shared" si="5"/>
        <v>0</v>
      </c>
      <c r="AB59" s="29">
        <f t="shared" si="6"/>
        <v>358.1382311328918</v>
      </c>
      <c r="AC59" s="29">
        <f t="shared" si="9"/>
        <v>0</v>
      </c>
      <c r="AD59" s="29">
        <f t="shared" si="10"/>
        <v>0</v>
      </c>
      <c r="AE59" s="28">
        <v>20</v>
      </c>
      <c r="AF59" s="46">
        <v>460</v>
      </c>
      <c r="AG59" s="28">
        <v>210000</v>
      </c>
      <c r="AH59" s="29">
        <v>1253.4838089651214</v>
      </c>
      <c r="AI59" s="29">
        <v>0</v>
      </c>
      <c r="AJ59" s="30">
        <v>0</v>
      </c>
      <c r="AK59" s="57">
        <f t="shared" si="11"/>
        <v>21.224477576899272</v>
      </c>
      <c r="AL59" s="57">
        <f t="shared" si="7"/>
        <v>1.2097</v>
      </c>
      <c r="AM59" s="60"/>
      <c r="AN59" s="57">
        <v>0.13246638315114781</v>
      </c>
      <c r="AO59" s="57">
        <f t="shared" si="8"/>
        <v>1.0125999999999999</v>
      </c>
      <c r="AP59" s="57"/>
      <c r="AU59" s="15"/>
      <c r="AV59" s="15"/>
      <c r="AW59" s="16"/>
    </row>
    <row r="60" spans="1:56" ht="21" x14ac:dyDescent="0.35">
      <c r="A60" s="28">
        <v>153</v>
      </c>
      <c r="B60" s="67" t="s">
        <v>144</v>
      </c>
      <c r="C60" s="28">
        <v>300</v>
      </c>
      <c r="D60" s="19">
        <v>300</v>
      </c>
      <c r="E60" s="28">
        <v>300</v>
      </c>
      <c r="F60" s="28">
        <v>19</v>
      </c>
      <c r="G60" s="47">
        <v>19</v>
      </c>
      <c r="H60" s="28">
        <v>11</v>
      </c>
      <c r="I60" s="19">
        <v>21</v>
      </c>
      <c r="J60" s="19">
        <v>21</v>
      </c>
      <c r="K60" s="19">
        <v>2620.5736649801097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3"/>
        <v>1</v>
      </c>
      <c r="Z60" s="19">
        <f t="shared" si="4"/>
        <v>0</v>
      </c>
      <c r="AA60" s="19">
        <f t="shared" si="5"/>
        <v>0</v>
      </c>
      <c r="AB60" s="29">
        <f t="shared" si="6"/>
        <v>1781.6100715512148</v>
      </c>
      <c r="AC60" s="29">
        <f t="shared" si="9"/>
        <v>0</v>
      </c>
      <c r="AD60" s="29">
        <f t="shared" si="10"/>
        <v>0</v>
      </c>
      <c r="AE60" s="28">
        <v>20</v>
      </c>
      <c r="AF60" s="46">
        <v>460</v>
      </c>
      <c r="AG60" s="28">
        <v>210000</v>
      </c>
      <c r="AH60" s="29">
        <v>6235.6352504292518</v>
      </c>
      <c r="AI60" s="29">
        <v>0</v>
      </c>
      <c r="AJ60" s="30">
        <v>0</v>
      </c>
      <c r="AK60" s="57">
        <f t="shared" si="11"/>
        <v>2.6205736649801099</v>
      </c>
      <c r="AL60" s="57">
        <f t="shared" si="7"/>
        <v>1.2350000000000001</v>
      </c>
      <c r="AM60" s="60"/>
      <c r="AN60" s="57">
        <v>0.94914779479631584</v>
      </c>
      <c r="AO60" s="57">
        <f t="shared" si="8"/>
        <v>1.1000000000000001</v>
      </c>
      <c r="AP60" s="57"/>
      <c r="AU60" s="15"/>
      <c r="AV60" s="15"/>
      <c r="AW60" s="16"/>
    </row>
    <row r="61" spans="1:56" ht="21" x14ac:dyDescent="0.35">
      <c r="A61" s="28">
        <v>154</v>
      </c>
      <c r="B61" s="67" t="s">
        <v>145</v>
      </c>
      <c r="C61" s="28">
        <v>300</v>
      </c>
      <c r="D61" s="19">
        <v>300</v>
      </c>
      <c r="E61" s="28">
        <v>300</v>
      </c>
      <c r="F61" s="28">
        <v>19</v>
      </c>
      <c r="G61" s="47">
        <v>19</v>
      </c>
      <c r="H61" s="28">
        <v>11</v>
      </c>
      <c r="I61" s="19">
        <v>21</v>
      </c>
      <c r="J61" s="19">
        <v>21</v>
      </c>
      <c r="K61" s="19">
        <v>4367.6227749668496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3"/>
        <v>1</v>
      </c>
      <c r="Z61" s="19">
        <f t="shared" si="4"/>
        <v>0</v>
      </c>
      <c r="AA61" s="19">
        <f t="shared" si="5"/>
        <v>0</v>
      </c>
      <c r="AB61" s="29">
        <f t="shared" si="6"/>
        <v>1582.3471518084914</v>
      </c>
      <c r="AC61" s="29">
        <f t="shared" si="9"/>
        <v>0</v>
      </c>
      <c r="AD61" s="29">
        <f t="shared" si="10"/>
        <v>0</v>
      </c>
      <c r="AE61" s="28">
        <v>20</v>
      </c>
      <c r="AF61" s="46">
        <v>460</v>
      </c>
      <c r="AG61" s="28">
        <v>210000</v>
      </c>
      <c r="AH61" s="29">
        <v>5538.2150313297197</v>
      </c>
      <c r="AI61" s="29">
        <v>0</v>
      </c>
      <c r="AJ61" s="30">
        <v>0</v>
      </c>
      <c r="AK61" s="57">
        <f t="shared" si="11"/>
        <v>4.3676227749668497</v>
      </c>
      <c r="AL61" s="57">
        <f t="shared" si="7"/>
        <v>1.2350000000000001</v>
      </c>
      <c r="AM61" s="60"/>
      <c r="AN61" s="57">
        <v>0.84299103026152089</v>
      </c>
      <c r="AO61" s="57">
        <f t="shared" si="8"/>
        <v>1.1000000000000001</v>
      </c>
      <c r="AP61" s="57"/>
      <c r="AU61" s="15"/>
      <c r="AV61" s="15"/>
      <c r="AW61" s="16"/>
    </row>
    <row r="62" spans="1:56" ht="21" x14ac:dyDescent="0.35">
      <c r="A62" s="28">
        <v>155</v>
      </c>
      <c r="B62" s="67" t="s">
        <v>146</v>
      </c>
      <c r="C62" s="28">
        <v>300</v>
      </c>
      <c r="D62" s="19">
        <v>300</v>
      </c>
      <c r="E62" s="28">
        <v>300</v>
      </c>
      <c r="F62" s="28">
        <v>19</v>
      </c>
      <c r="G62" s="47">
        <v>19</v>
      </c>
      <c r="H62" s="28">
        <v>11</v>
      </c>
      <c r="I62" s="19">
        <v>21</v>
      </c>
      <c r="J62" s="19">
        <v>21</v>
      </c>
      <c r="K62" s="19">
        <v>6551.434162450274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3"/>
        <v>1</v>
      </c>
      <c r="Z62" s="19">
        <f t="shared" si="4"/>
        <v>0</v>
      </c>
      <c r="AA62" s="19">
        <f t="shared" si="5"/>
        <v>0</v>
      </c>
      <c r="AB62" s="29">
        <f t="shared" si="6"/>
        <v>1301.8109353617817</v>
      </c>
      <c r="AC62" s="29">
        <f t="shared" si="9"/>
        <v>0</v>
      </c>
      <c r="AD62" s="29">
        <f t="shared" si="10"/>
        <v>0</v>
      </c>
      <c r="AE62" s="28">
        <v>20</v>
      </c>
      <c r="AF62" s="46">
        <v>460</v>
      </c>
      <c r="AG62" s="28">
        <v>210000</v>
      </c>
      <c r="AH62" s="29">
        <v>4556.3382737662359</v>
      </c>
      <c r="AI62" s="29">
        <v>0</v>
      </c>
      <c r="AJ62" s="30">
        <v>0</v>
      </c>
      <c r="AK62" s="57">
        <f t="shared" si="11"/>
        <v>6.5514341624502741</v>
      </c>
      <c r="AL62" s="57">
        <f t="shared" si="7"/>
        <v>1.2350000000000001</v>
      </c>
      <c r="AM62" s="60"/>
      <c r="AN62" s="57">
        <v>0.69353614366612826</v>
      </c>
      <c r="AO62" s="57">
        <f t="shared" si="8"/>
        <v>1.1000000000000001</v>
      </c>
      <c r="AP62" s="57"/>
      <c r="AU62" s="15"/>
      <c r="AV62" s="15"/>
      <c r="AW62" s="16"/>
    </row>
    <row r="63" spans="1:56" ht="21" x14ac:dyDescent="0.35">
      <c r="A63" s="28">
        <v>156</v>
      </c>
      <c r="B63" s="67" t="s">
        <v>147</v>
      </c>
      <c r="C63" s="28">
        <v>300</v>
      </c>
      <c r="D63" s="19">
        <v>300</v>
      </c>
      <c r="E63" s="28">
        <v>300</v>
      </c>
      <c r="F63" s="28">
        <v>19</v>
      </c>
      <c r="G63" s="47">
        <v>19</v>
      </c>
      <c r="H63" s="28">
        <v>11</v>
      </c>
      <c r="I63" s="19">
        <v>21</v>
      </c>
      <c r="J63" s="19">
        <v>21</v>
      </c>
      <c r="K63" s="19">
        <v>8735.2455499336993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3"/>
        <v>1</v>
      </c>
      <c r="Z63" s="19">
        <f t="shared" si="4"/>
        <v>0</v>
      </c>
      <c r="AA63" s="19">
        <f t="shared" si="5"/>
        <v>0</v>
      </c>
      <c r="AB63" s="29">
        <f t="shared" si="6"/>
        <v>1013.499493123717</v>
      </c>
      <c r="AC63" s="29">
        <f t="shared" si="9"/>
        <v>0</v>
      </c>
      <c r="AD63" s="29">
        <f t="shared" si="10"/>
        <v>0</v>
      </c>
      <c r="AE63" s="28">
        <v>20</v>
      </c>
      <c r="AF63" s="46">
        <v>460</v>
      </c>
      <c r="AG63" s="28">
        <v>210000</v>
      </c>
      <c r="AH63" s="29">
        <v>3547.2482259330095</v>
      </c>
      <c r="AI63" s="29">
        <v>0</v>
      </c>
      <c r="AJ63" s="30">
        <v>0</v>
      </c>
      <c r="AK63" s="57">
        <f t="shared" si="11"/>
        <v>8.7352455499336994</v>
      </c>
      <c r="AL63" s="57">
        <f t="shared" si="7"/>
        <v>1.2350000000000001</v>
      </c>
      <c r="AM63" s="60"/>
      <c r="AN63" s="57">
        <v>0.53993902722384046</v>
      </c>
      <c r="AO63" s="57">
        <f t="shared" si="8"/>
        <v>1.1000000000000001</v>
      </c>
      <c r="AP63" s="57"/>
      <c r="AU63" s="15"/>
      <c r="AV63" s="15"/>
      <c r="AW63" s="16"/>
    </row>
    <row r="64" spans="1:56" ht="21" x14ac:dyDescent="0.35">
      <c r="A64" s="28">
        <v>157</v>
      </c>
      <c r="B64" s="67" t="s">
        <v>148</v>
      </c>
      <c r="C64" s="28">
        <v>300</v>
      </c>
      <c r="D64" s="19">
        <v>300</v>
      </c>
      <c r="E64" s="28">
        <v>300</v>
      </c>
      <c r="F64" s="28">
        <v>19</v>
      </c>
      <c r="G64" s="47">
        <v>19</v>
      </c>
      <c r="H64" s="28">
        <v>11</v>
      </c>
      <c r="I64" s="19">
        <v>21</v>
      </c>
      <c r="J64" s="19">
        <v>21</v>
      </c>
      <c r="K64" s="61">
        <v>11617.87658141182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3"/>
        <v>1</v>
      </c>
      <c r="Z64" s="19">
        <f t="shared" si="4"/>
        <v>0</v>
      </c>
      <c r="AA64" s="19">
        <f t="shared" si="5"/>
        <v>0</v>
      </c>
      <c r="AB64" s="29">
        <f t="shared" si="6"/>
        <v>706.51301022583732</v>
      </c>
      <c r="AC64" s="29">
        <f t="shared" si="9"/>
        <v>0</v>
      </c>
      <c r="AD64" s="29">
        <f t="shared" si="10"/>
        <v>0</v>
      </c>
      <c r="AE64" s="28">
        <v>20</v>
      </c>
      <c r="AF64" s="46">
        <v>460</v>
      </c>
      <c r="AG64" s="28">
        <v>210000</v>
      </c>
      <c r="AH64" s="29">
        <v>2472.7955357904307</v>
      </c>
      <c r="AI64" s="29">
        <v>0</v>
      </c>
      <c r="AJ64" s="30">
        <v>0</v>
      </c>
      <c r="AK64" s="57">
        <f t="shared" si="11"/>
        <v>11.617876581411819</v>
      </c>
      <c r="AL64" s="57">
        <f t="shared" si="7"/>
        <v>1.2350000000000001</v>
      </c>
      <c r="AM64" s="60"/>
      <c r="AN64" s="57">
        <v>0.37639283497476766</v>
      </c>
      <c r="AO64" s="57">
        <f t="shared" si="8"/>
        <v>1.1000000000000001</v>
      </c>
      <c r="AP64" s="57"/>
      <c r="AU64" s="15"/>
      <c r="AV64" s="15"/>
      <c r="AW64" s="16"/>
    </row>
    <row r="65" spans="1:49" ht="21" x14ac:dyDescent="0.35">
      <c r="A65" s="28">
        <v>158</v>
      </c>
      <c r="B65" s="67" t="s">
        <v>149</v>
      </c>
      <c r="C65" s="28">
        <v>300</v>
      </c>
      <c r="D65" s="19">
        <v>300</v>
      </c>
      <c r="E65" s="28">
        <v>300</v>
      </c>
      <c r="F65" s="28">
        <v>19</v>
      </c>
      <c r="G65" s="47">
        <v>19</v>
      </c>
      <c r="H65" s="28">
        <v>11</v>
      </c>
      <c r="I65" s="19">
        <v>21</v>
      </c>
      <c r="J65" s="19">
        <v>21</v>
      </c>
      <c r="K65" s="19">
        <v>14587.860068389276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3"/>
        <v>1</v>
      </c>
      <c r="Z65" s="19">
        <f t="shared" si="4"/>
        <v>0</v>
      </c>
      <c r="AA65" s="19">
        <f t="shared" si="5"/>
        <v>0</v>
      </c>
      <c r="AB65" s="29">
        <f t="shared" si="6"/>
        <v>497.98690040937828</v>
      </c>
      <c r="AC65" s="29">
        <f t="shared" si="9"/>
        <v>0</v>
      </c>
      <c r="AD65" s="29">
        <f t="shared" si="10"/>
        <v>0</v>
      </c>
      <c r="AE65" s="28">
        <v>20</v>
      </c>
      <c r="AF65" s="46">
        <v>460</v>
      </c>
      <c r="AG65" s="28">
        <v>210000</v>
      </c>
      <c r="AH65" s="29">
        <v>1742.9541514328239</v>
      </c>
      <c r="AI65" s="29">
        <v>0</v>
      </c>
      <c r="AJ65" s="30">
        <v>0</v>
      </c>
      <c r="AK65" s="57">
        <f t="shared" si="11"/>
        <v>14.587860068389276</v>
      </c>
      <c r="AL65" s="57">
        <f t="shared" si="7"/>
        <v>1.2350000000000001</v>
      </c>
      <c r="AM65" s="60"/>
      <c r="AN65" s="57">
        <v>0.265301131773169</v>
      </c>
      <c r="AO65" s="57">
        <f t="shared" si="8"/>
        <v>1.1000000000000001</v>
      </c>
      <c r="AP65" s="57"/>
      <c r="AU65" s="15"/>
      <c r="AV65" s="15"/>
      <c r="AW65" s="16"/>
    </row>
    <row r="66" spans="1:49" ht="21" x14ac:dyDescent="0.35">
      <c r="A66" s="28">
        <v>159</v>
      </c>
      <c r="B66" s="67" t="s">
        <v>150</v>
      </c>
      <c r="C66" s="28">
        <v>300</v>
      </c>
      <c r="D66" s="19">
        <v>300</v>
      </c>
      <c r="E66" s="28">
        <v>300</v>
      </c>
      <c r="F66" s="28">
        <v>19</v>
      </c>
      <c r="G66" s="47">
        <v>19</v>
      </c>
      <c r="H66" s="28">
        <v>11</v>
      </c>
      <c r="I66" s="19">
        <v>21</v>
      </c>
      <c r="J66" s="19">
        <v>21</v>
      </c>
      <c r="K66" s="19">
        <v>17470.491099867399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3"/>
        <v>1</v>
      </c>
      <c r="Z66" s="19">
        <f t="shared" si="4"/>
        <v>0</v>
      </c>
      <c r="AA66" s="19">
        <f t="shared" si="5"/>
        <v>0</v>
      </c>
      <c r="AB66" s="29">
        <f t="shared" si="6"/>
        <v>368.2489854919296</v>
      </c>
      <c r="AC66" s="29">
        <f t="shared" si="9"/>
        <v>0</v>
      </c>
      <c r="AD66" s="29">
        <f t="shared" si="10"/>
        <v>0</v>
      </c>
      <c r="AE66" s="28">
        <v>20</v>
      </c>
      <c r="AF66" s="46">
        <v>460</v>
      </c>
      <c r="AG66" s="28">
        <v>210000</v>
      </c>
      <c r="AH66" s="29">
        <v>1288.8714492217537</v>
      </c>
      <c r="AI66" s="29">
        <v>0</v>
      </c>
      <c r="AJ66" s="30">
        <v>0</v>
      </c>
      <c r="AK66" s="57">
        <f t="shared" si="11"/>
        <v>17.470491099867399</v>
      </c>
      <c r="AL66" s="57">
        <f t="shared" si="7"/>
        <v>1.2350000000000001</v>
      </c>
      <c r="AM66" s="60"/>
      <c r="AN66" s="57">
        <v>0.19618361957918354</v>
      </c>
      <c r="AO66" s="57">
        <f t="shared" si="8"/>
        <v>1.1000000000000001</v>
      </c>
      <c r="AP66" s="57"/>
      <c r="AU66" s="15"/>
      <c r="AV66" s="15"/>
      <c r="AW66" s="16"/>
    </row>
    <row r="67" spans="1:49" ht="21" x14ac:dyDescent="0.35">
      <c r="A67" s="28">
        <v>160</v>
      </c>
      <c r="B67" s="67" t="s">
        <v>151</v>
      </c>
      <c r="C67" s="28">
        <v>300</v>
      </c>
      <c r="D67" s="19">
        <v>300</v>
      </c>
      <c r="E67" s="28">
        <v>300</v>
      </c>
      <c r="F67" s="28">
        <v>19</v>
      </c>
      <c r="G67" s="47">
        <v>19</v>
      </c>
      <c r="H67" s="28">
        <v>11</v>
      </c>
      <c r="I67" s="19">
        <v>21</v>
      </c>
      <c r="J67" s="19">
        <v>21</v>
      </c>
      <c r="K67" s="61">
        <v>21838.113874834246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3"/>
        <v>1</v>
      </c>
      <c r="Z67" s="19">
        <f t="shared" si="4"/>
        <v>0</v>
      </c>
      <c r="AA67" s="19">
        <f t="shared" si="5"/>
        <v>0</v>
      </c>
      <c r="AB67" s="29">
        <f t="shared" si="6"/>
        <v>248.64772763307391</v>
      </c>
      <c r="AC67" s="29">
        <f t="shared" si="9"/>
        <v>0</v>
      </c>
      <c r="AD67" s="29">
        <f t="shared" si="10"/>
        <v>0</v>
      </c>
      <c r="AE67" s="28">
        <v>20</v>
      </c>
      <c r="AF67" s="46">
        <v>460</v>
      </c>
      <c r="AG67" s="28">
        <v>210000</v>
      </c>
      <c r="AH67" s="29">
        <v>870.26704671575874</v>
      </c>
      <c r="AI67" s="29">
        <v>0</v>
      </c>
      <c r="AJ67" s="30">
        <v>0</v>
      </c>
      <c r="AK67" s="57">
        <f t="shared" si="11"/>
        <v>21.838113874834246</v>
      </c>
      <c r="AL67" s="57">
        <f t="shared" si="7"/>
        <v>1.2350000000000001</v>
      </c>
      <c r="AM67" s="60"/>
      <c r="AN67" s="57">
        <v>0.13246638315114781</v>
      </c>
      <c r="AO67" s="57">
        <f t="shared" si="8"/>
        <v>1.1000000000000001</v>
      </c>
      <c r="AP67" s="57"/>
      <c r="AU67" s="15"/>
      <c r="AV67" s="15"/>
      <c r="AW67" s="16"/>
    </row>
    <row r="68" spans="1:49" ht="21" x14ac:dyDescent="0.35">
      <c r="A68" s="28">
        <v>161</v>
      </c>
      <c r="B68" s="67" t="s">
        <v>152</v>
      </c>
      <c r="C68" s="28">
        <v>300</v>
      </c>
      <c r="D68" s="19">
        <v>300</v>
      </c>
      <c r="E68" s="28">
        <v>300</v>
      </c>
      <c r="F68" s="28">
        <v>15.959999999999999</v>
      </c>
      <c r="G68" s="47">
        <v>15.959999999999999</v>
      </c>
      <c r="H68" s="28">
        <v>9.24</v>
      </c>
      <c r="I68" s="19">
        <v>21</v>
      </c>
      <c r="J68" s="19">
        <v>21</v>
      </c>
      <c r="K68" s="61">
        <v>2646.5240847703594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3"/>
        <v>1</v>
      </c>
      <c r="Z68" s="19">
        <f t="shared" si="4"/>
        <v>0</v>
      </c>
      <c r="AA68" s="19">
        <f t="shared" si="5"/>
        <v>0</v>
      </c>
      <c r="AB68" s="29">
        <f t="shared" si="6"/>
        <v>1503.560542201584</v>
      </c>
      <c r="AC68" s="29">
        <f t="shared" si="9"/>
        <v>0</v>
      </c>
      <c r="AD68" s="29">
        <f t="shared" si="10"/>
        <v>0</v>
      </c>
      <c r="AE68" s="28">
        <v>20</v>
      </c>
      <c r="AF68" s="46">
        <v>460</v>
      </c>
      <c r="AG68" s="28">
        <v>210000</v>
      </c>
      <c r="AH68" s="29">
        <v>5262.4618977055443</v>
      </c>
      <c r="AI68" s="29">
        <v>0</v>
      </c>
      <c r="AJ68" s="30">
        <v>0</v>
      </c>
      <c r="AK68" s="57">
        <f t="shared" si="11"/>
        <v>2.6465240847703595</v>
      </c>
      <c r="AL68" s="57">
        <f t="shared" si="7"/>
        <v>1.2438</v>
      </c>
      <c r="AM68" s="60"/>
      <c r="AN68" s="57">
        <v>0.94914779479631572</v>
      </c>
      <c r="AO68" s="57">
        <f t="shared" si="8"/>
        <v>1.1303999999999998</v>
      </c>
      <c r="AP68" s="57"/>
    </row>
    <row r="69" spans="1:49" ht="21" x14ac:dyDescent="0.35">
      <c r="A69" s="28">
        <v>162</v>
      </c>
      <c r="B69" s="67" t="s">
        <v>153</v>
      </c>
      <c r="C69" s="28">
        <v>300</v>
      </c>
      <c r="D69" s="19">
        <v>300</v>
      </c>
      <c r="E69" s="28">
        <v>300</v>
      </c>
      <c r="F69" s="28">
        <v>15.959999999999999</v>
      </c>
      <c r="G69" s="47">
        <v>15.959999999999999</v>
      </c>
      <c r="H69" s="28">
        <v>9.24</v>
      </c>
      <c r="I69" s="19">
        <v>21</v>
      </c>
      <c r="J69" s="19">
        <v>21</v>
      </c>
      <c r="K69" s="61">
        <v>4410.8734746172659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1335.3958756266022</v>
      </c>
      <c r="AC69" s="29">
        <f t="shared" si="9"/>
        <v>0</v>
      </c>
      <c r="AD69" s="29">
        <f t="shared" si="10"/>
        <v>0</v>
      </c>
      <c r="AE69" s="28">
        <v>20</v>
      </c>
      <c r="AF69" s="46">
        <v>460</v>
      </c>
      <c r="AG69" s="28">
        <v>210000</v>
      </c>
      <c r="AH69" s="29">
        <v>4673.8855646931079</v>
      </c>
      <c r="AI69" s="29">
        <v>0</v>
      </c>
      <c r="AJ69" s="30">
        <v>0</v>
      </c>
      <c r="AK69" s="57">
        <f t="shared" si="11"/>
        <v>4.410873474617266</v>
      </c>
      <c r="AL69" s="57">
        <f t="shared" ref="AL69:AL99" si="16">(C69-H69-2*I69)/200</f>
        <v>1.2438</v>
      </c>
      <c r="AM69" s="60"/>
      <c r="AN69" s="57">
        <v>0.842991030261521</v>
      </c>
      <c r="AO69" s="57">
        <f t="shared" ref="AO69:AO99" si="17">(E69-2*F69-2*I69)/200</f>
        <v>1.1303999999999998</v>
      </c>
      <c r="AP69" s="57"/>
    </row>
    <row r="70" spans="1:49" ht="21" x14ac:dyDescent="0.35">
      <c r="A70" s="28">
        <v>163</v>
      </c>
      <c r="B70" s="67" t="s">
        <v>154</v>
      </c>
      <c r="C70" s="28">
        <v>300</v>
      </c>
      <c r="D70" s="19">
        <v>300</v>
      </c>
      <c r="E70" s="28">
        <v>300</v>
      </c>
      <c r="F70" s="28">
        <v>15.959999999999999</v>
      </c>
      <c r="G70" s="47">
        <v>15.959999999999999</v>
      </c>
      <c r="H70" s="28">
        <v>9.24</v>
      </c>
      <c r="I70" s="19">
        <v>21</v>
      </c>
      <c r="J70" s="19">
        <v>21</v>
      </c>
      <c r="K70" s="61">
        <v>6616.3102119258992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1098.6419458845348</v>
      </c>
      <c r="AC70" s="29">
        <f t="shared" si="9"/>
        <v>0</v>
      </c>
      <c r="AD70" s="29">
        <f t="shared" si="10"/>
        <v>0</v>
      </c>
      <c r="AE70" s="28">
        <v>20</v>
      </c>
      <c r="AF70" s="46">
        <v>460</v>
      </c>
      <c r="AG70" s="28">
        <v>210000</v>
      </c>
      <c r="AH70" s="29">
        <v>3845.2468105958719</v>
      </c>
      <c r="AI70" s="29">
        <v>0</v>
      </c>
      <c r="AJ70" s="30">
        <v>0</v>
      </c>
      <c r="AK70" s="57">
        <f t="shared" si="11"/>
        <v>6.6163102119258994</v>
      </c>
      <c r="AL70" s="57">
        <f t="shared" si="16"/>
        <v>1.2438</v>
      </c>
      <c r="AM70" s="60"/>
      <c r="AN70" s="57">
        <v>0.69353614366612815</v>
      </c>
      <c r="AO70" s="57">
        <f t="shared" si="17"/>
        <v>1.1303999999999998</v>
      </c>
      <c r="AP70" s="57"/>
    </row>
    <row r="71" spans="1:49" ht="21" x14ac:dyDescent="0.35">
      <c r="A71" s="28">
        <v>164</v>
      </c>
      <c r="B71" s="67" t="s">
        <v>155</v>
      </c>
      <c r="C71" s="28">
        <v>300</v>
      </c>
      <c r="D71" s="19">
        <v>300</v>
      </c>
      <c r="E71" s="28">
        <v>300</v>
      </c>
      <c r="F71" s="28">
        <v>15.959999999999999</v>
      </c>
      <c r="G71" s="47">
        <v>15.959999999999999</v>
      </c>
      <c r="H71" s="28">
        <v>9.24</v>
      </c>
      <c r="I71" s="19">
        <v>21</v>
      </c>
      <c r="J71" s="19">
        <v>21</v>
      </c>
      <c r="K71" s="61">
        <v>8821.7469492345317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855.32624210825838</v>
      </c>
      <c r="AC71" s="29">
        <f t="shared" si="9"/>
        <v>0</v>
      </c>
      <c r="AD71" s="29">
        <f t="shared" si="10"/>
        <v>0</v>
      </c>
      <c r="AE71" s="28">
        <v>20</v>
      </c>
      <c r="AF71" s="46">
        <v>460</v>
      </c>
      <c r="AG71" s="28">
        <v>210000</v>
      </c>
      <c r="AH71" s="29">
        <v>2993.6418473789045</v>
      </c>
      <c r="AI71" s="29">
        <v>0</v>
      </c>
      <c r="AJ71" s="30">
        <v>0</v>
      </c>
      <c r="AK71" s="57">
        <f t="shared" si="11"/>
        <v>8.821746949234532</v>
      </c>
      <c r="AL71" s="57">
        <f t="shared" si="16"/>
        <v>1.2438</v>
      </c>
      <c r="AM71" s="60"/>
      <c r="AN71" s="57">
        <v>0.53993902722384024</v>
      </c>
      <c r="AO71" s="57">
        <f t="shared" si="17"/>
        <v>1.1303999999999998</v>
      </c>
      <c r="AP71" s="57"/>
    </row>
    <row r="72" spans="1:49" ht="21" x14ac:dyDescent="0.35">
      <c r="A72" s="28">
        <v>165</v>
      </c>
      <c r="B72" s="67" t="s">
        <v>156</v>
      </c>
      <c r="C72" s="28">
        <v>300</v>
      </c>
      <c r="D72" s="19">
        <v>300</v>
      </c>
      <c r="E72" s="28">
        <v>300</v>
      </c>
      <c r="F72" s="28">
        <v>15.959999999999999</v>
      </c>
      <c r="G72" s="47">
        <v>15.959999999999999</v>
      </c>
      <c r="H72" s="28">
        <v>9.24</v>
      </c>
      <c r="I72" s="19">
        <v>21</v>
      </c>
      <c r="J72" s="19">
        <v>21</v>
      </c>
      <c r="K72" s="19">
        <v>11732.923442481928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596.25004465916663</v>
      </c>
      <c r="AC72" s="29">
        <f t="shared" si="9"/>
        <v>0</v>
      </c>
      <c r="AD72" s="29">
        <f t="shared" si="10"/>
        <v>0</v>
      </c>
      <c r="AE72" s="28">
        <v>20</v>
      </c>
      <c r="AF72" s="46">
        <v>460</v>
      </c>
      <c r="AG72" s="28">
        <v>210000</v>
      </c>
      <c r="AH72" s="29">
        <v>2086.8751563070832</v>
      </c>
      <c r="AI72" s="29">
        <v>0</v>
      </c>
      <c r="AJ72" s="30">
        <v>0</v>
      </c>
      <c r="AK72" s="57">
        <f t="shared" si="11"/>
        <v>11.732923442481928</v>
      </c>
      <c r="AL72" s="57">
        <f t="shared" si="16"/>
        <v>1.2438</v>
      </c>
      <c r="AM72" s="60"/>
      <c r="AN72" s="57">
        <v>0.3763928349747675</v>
      </c>
      <c r="AO72" s="57">
        <f t="shared" si="17"/>
        <v>1.1303999999999998</v>
      </c>
      <c r="AP72" s="57"/>
    </row>
    <row r="73" spans="1:49" ht="21" x14ac:dyDescent="0.35">
      <c r="A73" s="28">
        <v>166</v>
      </c>
      <c r="B73" s="67" t="s">
        <v>157</v>
      </c>
      <c r="C73" s="28">
        <v>300</v>
      </c>
      <c r="D73" s="19">
        <v>300</v>
      </c>
      <c r="E73" s="28">
        <v>300</v>
      </c>
      <c r="F73" s="28">
        <v>15.959999999999999</v>
      </c>
      <c r="G73" s="47">
        <v>15.959999999999999</v>
      </c>
      <c r="H73" s="28">
        <v>9.24</v>
      </c>
      <c r="I73" s="19">
        <v>21</v>
      </c>
      <c r="J73" s="19">
        <v>21</v>
      </c>
      <c r="K73" s="61">
        <v>14732.317405221667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420.26786104598352</v>
      </c>
      <c r="AC73" s="29">
        <f t="shared" si="9"/>
        <v>0</v>
      </c>
      <c r="AD73" s="29">
        <f t="shared" si="10"/>
        <v>0</v>
      </c>
      <c r="AE73" s="28">
        <v>20</v>
      </c>
      <c r="AF73" s="46">
        <v>460</v>
      </c>
      <c r="AG73" s="28">
        <v>210000</v>
      </c>
      <c r="AH73" s="29">
        <v>1470.9375136609424</v>
      </c>
      <c r="AI73" s="29">
        <v>0</v>
      </c>
      <c r="AJ73" s="30">
        <v>0</v>
      </c>
      <c r="AK73" s="57">
        <f t="shared" si="11"/>
        <v>14.732317405221668</v>
      </c>
      <c r="AL73" s="57">
        <f t="shared" si="16"/>
        <v>1.2438</v>
      </c>
      <c r="AM73" s="60"/>
      <c r="AN73" s="57">
        <v>0.26530113177316889</v>
      </c>
      <c r="AO73" s="57">
        <f t="shared" si="17"/>
        <v>1.1303999999999998</v>
      </c>
      <c r="AP73" s="57"/>
    </row>
    <row r="74" spans="1:49" ht="21" x14ac:dyDescent="0.35">
      <c r="A74" s="28">
        <v>167</v>
      </c>
      <c r="B74" s="67" t="s">
        <v>158</v>
      </c>
      <c r="C74" s="28">
        <v>300</v>
      </c>
      <c r="D74" s="19">
        <v>300</v>
      </c>
      <c r="E74" s="28">
        <v>300</v>
      </c>
      <c r="F74" s="28">
        <v>15.959999999999999</v>
      </c>
      <c r="G74" s="47">
        <v>15.959999999999999</v>
      </c>
      <c r="H74" s="28">
        <v>9.24</v>
      </c>
      <c r="I74" s="19">
        <v>21</v>
      </c>
      <c r="J74" s="19">
        <v>21</v>
      </c>
      <c r="K74" s="19">
        <v>17643.493898469063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310.77767976993192</v>
      </c>
      <c r="AC74" s="29">
        <f t="shared" si="9"/>
        <v>0</v>
      </c>
      <c r="AD74" s="29">
        <f t="shared" si="10"/>
        <v>0</v>
      </c>
      <c r="AE74" s="28">
        <v>20</v>
      </c>
      <c r="AF74" s="46">
        <v>460</v>
      </c>
      <c r="AG74" s="28">
        <v>210000</v>
      </c>
      <c r="AH74" s="29">
        <v>1087.7218791947616</v>
      </c>
      <c r="AI74" s="29">
        <v>0</v>
      </c>
      <c r="AJ74" s="30">
        <v>0</v>
      </c>
      <c r="AK74" s="57">
        <f t="shared" si="11"/>
        <v>17.643493898469064</v>
      </c>
      <c r="AL74" s="57">
        <f t="shared" si="16"/>
        <v>1.2438</v>
      </c>
      <c r="AM74" s="60"/>
      <c r="AN74" s="57">
        <v>0.19618361957918345</v>
      </c>
      <c r="AO74" s="57">
        <f t="shared" si="17"/>
        <v>1.1303999999999998</v>
      </c>
      <c r="AP74" s="57"/>
    </row>
    <row r="75" spans="1:49" ht="21" x14ac:dyDescent="0.35">
      <c r="A75" s="28">
        <v>168</v>
      </c>
      <c r="B75" s="67" t="s">
        <v>159</v>
      </c>
      <c r="C75" s="28">
        <v>300</v>
      </c>
      <c r="D75" s="19">
        <v>300</v>
      </c>
      <c r="E75" s="28">
        <v>300</v>
      </c>
      <c r="F75" s="28">
        <v>15.959999999999999</v>
      </c>
      <c r="G75" s="47">
        <v>15.959999999999999</v>
      </c>
      <c r="H75" s="28">
        <v>9.24</v>
      </c>
      <c r="I75" s="19">
        <v>21</v>
      </c>
      <c r="J75" s="19">
        <v>21</v>
      </c>
      <c r="K75" s="61">
        <v>22054.36737308633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209.84216364003035</v>
      </c>
      <c r="AC75" s="29">
        <f t="shared" si="9"/>
        <v>0</v>
      </c>
      <c r="AD75" s="29">
        <f t="shared" si="10"/>
        <v>0</v>
      </c>
      <c r="AE75" s="28">
        <v>20</v>
      </c>
      <c r="AF75" s="46">
        <v>460</v>
      </c>
      <c r="AG75" s="28">
        <v>210000</v>
      </c>
      <c r="AH75" s="29">
        <v>734.44757274010624</v>
      </c>
      <c r="AI75" s="29">
        <v>0</v>
      </c>
      <c r="AJ75" s="30">
        <v>0</v>
      </c>
      <c r="AK75" s="57">
        <f t="shared" si="11"/>
        <v>22.054367373086329</v>
      </c>
      <c r="AL75" s="57">
        <f t="shared" si="16"/>
        <v>1.2438</v>
      </c>
      <c r="AM75" s="60"/>
      <c r="AN75" s="57">
        <v>0.1324663831511477</v>
      </c>
      <c r="AO75" s="57">
        <f t="shared" si="17"/>
        <v>1.1303999999999998</v>
      </c>
      <c r="AP75" s="57"/>
    </row>
    <row r="76" spans="1:49" ht="21" x14ac:dyDescent="0.35">
      <c r="A76" s="28">
        <v>169</v>
      </c>
      <c r="B76" s="67" t="s">
        <v>160</v>
      </c>
      <c r="C76" s="28">
        <v>300</v>
      </c>
      <c r="D76" s="19">
        <v>300</v>
      </c>
      <c r="E76" s="28">
        <v>300</v>
      </c>
      <c r="F76" s="28">
        <v>12.16</v>
      </c>
      <c r="G76" s="47">
        <v>12.16</v>
      </c>
      <c r="H76" s="28">
        <v>7.04</v>
      </c>
      <c r="I76" s="19">
        <v>21</v>
      </c>
      <c r="J76" s="19">
        <v>21</v>
      </c>
      <c r="K76" s="19">
        <v>2679.1967751365369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1159.4141516749719</v>
      </c>
      <c r="AC76" s="29">
        <f t="shared" si="9"/>
        <v>0</v>
      </c>
      <c r="AD76" s="29">
        <f t="shared" si="10"/>
        <v>0</v>
      </c>
      <c r="AE76" s="28">
        <v>20</v>
      </c>
      <c r="AF76" s="46">
        <v>460</v>
      </c>
      <c r="AG76" s="28">
        <v>210000</v>
      </c>
      <c r="AH76" s="29">
        <v>4057.9495308624018</v>
      </c>
      <c r="AI76" s="29">
        <v>0</v>
      </c>
      <c r="AJ76" s="30">
        <v>0</v>
      </c>
      <c r="AK76" s="57">
        <f t="shared" si="11"/>
        <v>2.6791967751365369</v>
      </c>
      <c r="AL76" s="57">
        <f t="shared" si="16"/>
        <v>1.2547999999999999</v>
      </c>
      <c r="AM76" s="60"/>
      <c r="AN76" s="57">
        <v>0.95505387575869061</v>
      </c>
      <c r="AO76" s="57">
        <f t="shared" si="17"/>
        <v>1.1684000000000001</v>
      </c>
      <c r="AP76" s="57"/>
    </row>
    <row r="77" spans="1:49" ht="21" x14ac:dyDescent="0.35">
      <c r="A77" s="28">
        <v>170</v>
      </c>
      <c r="B77" s="67" t="s">
        <v>161</v>
      </c>
      <c r="C77" s="28">
        <v>300</v>
      </c>
      <c r="D77" s="19">
        <v>300</v>
      </c>
      <c r="E77" s="28">
        <v>300</v>
      </c>
      <c r="F77" s="28">
        <v>12.16</v>
      </c>
      <c r="G77" s="47">
        <v>12.16</v>
      </c>
      <c r="H77" s="28">
        <v>7.04</v>
      </c>
      <c r="I77" s="19">
        <v>21</v>
      </c>
      <c r="J77" s="19">
        <v>21</v>
      </c>
      <c r="K77" s="19">
        <v>4465.3279585608943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1036.4042756363872</v>
      </c>
      <c r="AC77" s="29">
        <f t="shared" si="9"/>
        <v>0</v>
      </c>
      <c r="AD77" s="29">
        <f t="shared" si="10"/>
        <v>0</v>
      </c>
      <c r="AE77" s="28">
        <v>20</v>
      </c>
      <c r="AF77" s="46">
        <v>460</v>
      </c>
      <c r="AG77" s="28">
        <v>210000</v>
      </c>
      <c r="AH77" s="29">
        <v>3627.4149647273553</v>
      </c>
      <c r="AI77" s="29">
        <v>0</v>
      </c>
      <c r="AJ77" s="30">
        <v>0</v>
      </c>
      <c r="AK77" s="57">
        <f t="shared" si="11"/>
        <v>4.465327958560894</v>
      </c>
      <c r="AL77" s="57">
        <f t="shared" si="16"/>
        <v>1.2547999999999999</v>
      </c>
      <c r="AM77" s="60"/>
      <c r="AN77" s="57">
        <v>0.85372592603725161</v>
      </c>
      <c r="AO77" s="57">
        <f t="shared" si="17"/>
        <v>1.1684000000000001</v>
      </c>
      <c r="AP77" s="57"/>
    </row>
    <row r="78" spans="1:49" ht="21" x14ac:dyDescent="0.35">
      <c r="A78" s="28">
        <v>171</v>
      </c>
      <c r="B78" s="67" t="s">
        <v>162</v>
      </c>
      <c r="C78" s="28">
        <v>300</v>
      </c>
      <c r="D78" s="19">
        <v>300</v>
      </c>
      <c r="E78" s="28">
        <v>300</v>
      </c>
      <c r="F78" s="28">
        <v>12.16</v>
      </c>
      <c r="G78" s="47">
        <v>12.16</v>
      </c>
      <c r="H78" s="28">
        <v>7.04</v>
      </c>
      <c r="I78" s="19">
        <v>21</v>
      </c>
      <c r="J78" s="19">
        <v>21</v>
      </c>
      <c r="K78" s="19">
        <v>6697.9919378413415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863.90086255525944</v>
      </c>
      <c r="AC78" s="29">
        <f t="shared" si="9"/>
        <v>0</v>
      </c>
      <c r="AD78" s="29">
        <f t="shared" si="10"/>
        <v>0</v>
      </c>
      <c r="AE78" s="28">
        <v>20</v>
      </c>
      <c r="AF78" s="46">
        <v>460</v>
      </c>
      <c r="AG78" s="28">
        <v>210000</v>
      </c>
      <c r="AH78" s="29">
        <v>3023.6530189434079</v>
      </c>
      <c r="AI78" s="29">
        <v>0</v>
      </c>
      <c r="AJ78" s="30">
        <v>0</v>
      </c>
      <c r="AK78" s="57">
        <f t="shared" si="11"/>
        <v>6.6979919378413415</v>
      </c>
      <c r="AL78" s="57">
        <f t="shared" si="16"/>
        <v>1.2547999999999999</v>
      </c>
      <c r="AM78" s="60"/>
      <c r="AN78" s="57">
        <v>0.7116282528229616</v>
      </c>
      <c r="AO78" s="57">
        <f t="shared" si="17"/>
        <v>1.1684000000000001</v>
      </c>
      <c r="AP78" s="57"/>
    </row>
    <row r="79" spans="1:49" ht="21" x14ac:dyDescent="0.35">
      <c r="A79" s="28">
        <v>172</v>
      </c>
      <c r="B79" s="67" t="s">
        <v>163</v>
      </c>
      <c r="C79" s="28">
        <v>300</v>
      </c>
      <c r="D79" s="19">
        <v>300</v>
      </c>
      <c r="E79" s="28">
        <v>300</v>
      </c>
      <c r="F79" s="28">
        <v>12.16</v>
      </c>
      <c r="G79" s="47">
        <v>12.16</v>
      </c>
      <c r="H79" s="28">
        <v>7.04</v>
      </c>
      <c r="I79" s="19">
        <v>21</v>
      </c>
      <c r="J79" s="19">
        <v>21</v>
      </c>
      <c r="K79" s="19">
        <v>8930.6559171217887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683.04912260578669</v>
      </c>
      <c r="AC79" s="29">
        <f t="shared" si="9"/>
        <v>0</v>
      </c>
      <c r="AD79" s="29">
        <f t="shared" si="10"/>
        <v>0</v>
      </c>
      <c r="AE79" s="28">
        <v>20</v>
      </c>
      <c r="AF79" s="46">
        <v>460</v>
      </c>
      <c r="AG79" s="28">
        <v>210000</v>
      </c>
      <c r="AH79" s="29">
        <v>2390.6719291202535</v>
      </c>
      <c r="AI79" s="29">
        <v>0</v>
      </c>
      <c r="AJ79" s="30">
        <v>0</v>
      </c>
      <c r="AK79" s="57">
        <f t="shared" si="11"/>
        <v>8.9306559171217881</v>
      </c>
      <c r="AL79" s="57">
        <f t="shared" si="16"/>
        <v>1.2547999999999999</v>
      </c>
      <c r="AM79" s="60"/>
      <c r="AN79" s="57">
        <v>0.56265374278535452</v>
      </c>
      <c r="AO79" s="57">
        <f t="shared" si="17"/>
        <v>1.1684000000000001</v>
      </c>
      <c r="AP79" s="57"/>
    </row>
    <row r="80" spans="1:49" ht="21" x14ac:dyDescent="0.35">
      <c r="A80" s="28">
        <v>173</v>
      </c>
      <c r="B80" s="67" t="s">
        <v>164</v>
      </c>
      <c r="C80" s="28">
        <v>300</v>
      </c>
      <c r="D80" s="19">
        <v>300</v>
      </c>
      <c r="E80" s="28">
        <v>300</v>
      </c>
      <c r="F80" s="28">
        <v>12.16</v>
      </c>
      <c r="G80" s="47">
        <v>12.16</v>
      </c>
      <c r="H80" s="28">
        <v>7.04</v>
      </c>
      <c r="I80" s="19">
        <v>21</v>
      </c>
      <c r="J80" s="19">
        <v>21</v>
      </c>
      <c r="K80" s="19">
        <v>11877.772369771981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483.11666583790117</v>
      </c>
      <c r="AC80" s="29">
        <f t="shared" si="9"/>
        <v>0</v>
      </c>
      <c r="AD80" s="29">
        <f t="shared" si="10"/>
        <v>0</v>
      </c>
      <c r="AE80" s="28">
        <v>20</v>
      </c>
      <c r="AF80" s="46">
        <v>460</v>
      </c>
      <c r="AG80" s="28">
        <v>210000</v>
      </c>
      <c r="AH80" s="29">
        <v>1690.9083304326541</v>
      </c>
      <c r="AI80" s="29">
        <v>0</v>
      </c>
      <c r="AJ80" s="30">
        <v>0</v>
      </c>
      <c r="AK80" s="57">
        <f t="shared" si="11"/>
        <v>11.87777236977198</v>
      </c>
      <c r="AL80" s="57">
        <f t="shared" si="16"/>
        <v>1.2547999999999999</v>
      </c>
      <c r="AM80" s="60"/>
      <c r="AN80" s="57">
        <v>0.39796171496227561</v>
      </c>
      <c r="AO80" s="57">
        <f t="shared" si="17"/>
        <v>1.1684000000000001</v>
      </c>
      <c r="AP80" s="57"/>
    </row>
    <row r="81" spans="1:42" ht="21" x14ac:dyDescent="0.35">
      <c r="A81" s="28">
        <v>174</v>
      </c>
      <c r="B81" s="67" t="s">
        <v>165</v>
      </c>
      <c r="C81" s="28">
        <v>300</v>
      </c>
      <c r="D81" s="19">
        <v>300</v>
      </c>
      <c r="E81" s="28">
        <v>300</v>
      </c>
      <c r="F81" s="28">
        <v>12.16</v>
      </c>
      <c r="G81" s="47">
        <v>12.16</v>
      </c>
      <c r="H81" s="28">
        <v>7.04</v>
      </c>
      <c r="I81" s="19">
        <v>21</v>
      </c>
      <c r="J81" s="19">
        <v>21</v>
      </c>
      <c r="K81" s="19">
        <v>14914.195381593387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343.15291947849886</v>
      </c>
      <c r="AC81" s="29">
        <f t="shared" si="9"/>
        <v>0</v>
      </c>
      <c r="AD81" s="29">
        <f t="shared" si="10"/>
        <v>0</v>
      </c>
      <c r="AE81" s="28">
        <v>20</v>
      </c>
      <c r="AF81" s="46">
        <v>460</v>
      </c>
      <c r="AG81" s="28">
        <v>210000</v>
      </c>
      <c r="AH81" s="29">
        <v>1201.035218174746</v>
      </c>
      <c r="AI81" s="29">
        <v>0</v>
      </c>
      <c r="AJ81" s="30">
        <v>0</v>
      </c>
      <c r="AK81" s="57">
        <f t="shared" si="11"/>
        <v>14.914195381593387</v>
      </c>
      <c r="AL81" s="57">
        <f t="shared" si="16"/>
        <v>1.2547999999999999</v>
      </c>
      <c r="AM81" s="60"/>
      <c r="AN81" s="57">
        <v>0.28266821243503792</v>
      </c>
      <c r="AO81" s="57">
        <f t="shared" si="17"/>
        <v>1.1684000000000001</v>
      </c>
      <c r="AP81" s="57"/>
    </row>
    <row r="82" spans="1:42" ht="21" x14ac:dyDescent="0.35">
      <c r="A82" s="28">
        <v>175</v>
      </c>
      <c r="B82" s="67" t="s">
        <v>166</v>
      </c>
      <c r="C82" s="28">
        <v>300</v>
      </c>
      <c r="D82" s="19">
        <v>300</v>
      </c>
      <c r="E82" s="28">
        <v>300</v>
      </c>
      <c r="F82" s="28">
        <v>12.16</v>
      </c>
      <c r="G82" s="47">
        <v>12.16</v>
      </c>
      <c r="H82" s="28">
        <v>7.04</v>
      </c>
      <c r="I82" s="19">
        <v>21</v>
      </c>
      <c r="J82" s="19">
        <v>21</v>
      </c>
      <c r="K82" s="19">
        <v>17861.311834243577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254.75183394979697</v>
      </c>
      <c r="AC82" s="29">
        <f t="shared" si="9"/>
        <v>0</v>
      </c>
      <c r="AD82" s="29">
        <f t="shared" si="10"/>
        <v>0</v>
      </c>
      <c r="AE82" s="28">
        <v>20</v>
      </c>
      <c r="AF82" s="46">
        <v>460</v>
      </c>
      <c r="AG82" s="28">
        <v>210000</v>
      </c>
      <c r="AH82" s="29">
        <v>891.63141882428943</v>
      </c>
      <c r="AI82" s="29">
        <v>0</v>
      </c>
      <c r="AJ82" s="30">
        <v>0</v>
      </c>
      <c r="AK82" s="57">
        <f t="shared" si="11"/>
        <v>17.861311834243576</v>
      </c>
      <c r="AL82" s="57">
        <f t="shared" si="16"/>
        <v>1.2547999999999999</v>
      </c>
      <c r="AM82" s="60"/>
      <c r="AN82" s="57">
        <v>0.20984884997211486</v>
      </c>
      <c r="AO82" s="57">
        <f t="shared" si="17"/>
        <v>1.1684000000000001</v>
      </c>
      <c r="AP82" s="57"/>
    </row>
    <row r="83" spans="1:42" ht="21" x14ac:dyDescent="0.35">
      <c r="A83" s="28">
        <v>176</v>
      </c>
      <c r="B83" s="67" t="s">
        <v>167</v>
      </c>
      <c r="C83" s="28">
        <v>300</v>
      </c>
      <c r="D83" s="19">
        <v>300</v>
      </c>
      <c r="E83" s="28">
        <v>300</v>
      </c>
      <c r="F83" s="28">
        <v>12.16</v>
      </c>
      <c r="G83" s="47">
        <v>12.16</v>
      </c>
      <c r="H83" s="28">
        <v>7.04</v>
      </c>
      <c r="I83" s="19">
        <v>21</v>
      </c>
      <c r="J83" s="19">
        <v>21</v>
      </c>
      <c r="K83" s="19">
        <v>22326.639792804472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172.55910843359939</v>
      </c>
      <c r="AC83" s="29">
        <f t="shared" si="9"/>
        <v>0</v>
      </c>
      <c r="AD83" s="29">
        <f t="shared" si="10"/>
        <v>0</v>
      </c>
      <c r="AE83" s="28">
        <v>20</v>
      </c>
      <c r="AF83" s="46">
        <v>460</v>
      </c>
      <c r="AG83" s="28">
        <v>210000</v>
      </c>
      <c r="AH83" s="29">
        <v>603.95687951759783</v>
      </c>
      <c r="AI83" s="29">
        <v>0</v>
      </c>
      <c r="AJ83" s="30">
        <v>0</v>
      </c>
      <c r="AK83" s="57">
        <f t="shared" si="11"/>
        <v>22.326639792804471</v>
      </c>
      <c r="AL83" s="57">
        <f t="shared" si="16"/>
        <v>1.2547999999999999</v>
      </c>
      <c r="AM83" s="60"/>
      <c r="AN83" s="57">
        <v>0.14214355161086037</v>
      </c>
      <c r="AO83" s="57">
        <f t="shared" si="17"/>
        <v>1.1684000000000001</v>
      </c>
      <c r="AP83" s="57"/>
    </row>
    <row r="84" spans="1:42" ht="21" x14ac:dyDescent="0.35">
      <c r="A84" s="28">
        <v>177</v>
      </c>
      <c r="B84" s="67" t="s">
        <v>168</v>
      </c>
      <c r="C84" s="28">
        <v>300</v>
      </c>
      <c r="D84" s="19">
        <v>300</v>
      </c>
      <c r="E84" s="28">
        <v>300</v>
      </c>
      <c r="F84" s="28">
        <v>8.74</v>
      </c>
      <c r="G84" s="47">
        <v>8.74</v>
      </c>
      <c r="H84" s="28">
        <v>5.0600000000000005</v>
      </c>
      <c r="I84" s="19">
        <v>21</v>
      </c>
      <c r="J84" s="19">
        <v>21</v>
      </c>
      <c r="K84" s="19">
        <v>2708.8188548432568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851.66092211274349</v>
      </c>
      <c r="AC84" s="29">
        <f t="shared" si="9"/>
        <v>0</v>
      </c>
      <c r="AD84" s="29">
        <f t="shared" si="10"/>
        <v>0</v>
      </c>
      <c r="AE84" s="28">
        <v>20</v>
      </c>
      <c r="AF84" s="46">
        <v>460</v>
      </c>
      <c r="AG84" s="28">
        <v>210000</v>
      </c>
      <c r="AH84" s="29">
        <v>2980.8132273946021</v>
      </c>
      <c r="AI84" s="29">
        <v>0</v>
      </c>
      <c r="AJ84" s="30">
        <v>0</v>
      </c>
      <c r="AK84" s="57">
        <f t="shared" si="11"/>
        <v>2.7088188548432566</v>
      </c>
      <c r="AL84" s="57">
        <f t="shared" si="16"/>
        <v>1.2646999999999999</v>
      </c>
      <c r="AM84" s="60"/>
      <c r="AN84" s="57">
        <v>0.97100157936986498</v>
      </c>
      <c r="AO84" s="57">
        <f t="shared" si="17"/>
        <v>1.2025999999999999</v>
      </c>
      <c r="AP84" s="57"/>
    </row>
    <row r="85" spans="1:42" ht="21" x14ac:dyDescent="0.35">
      <c r="A85" s="28">
        <v>178</v>
      </c>
      <c r="B85" s="67" t="s">
        <v>169</v>
      </c>
      <c r="C85" s="28">
        <v>300</v>
      </c>
      <c r="D85" s="19">
        <v>300</v>
      </c>
      <c r="E85" s="28">
        <v>300</v>
      </c>
      <c r="F85" s="28">
        <v>8.74</v>
      </c>
      <c r="G85" s="47">
        <v>8.74</v>
      </c>
      <c r="H85" s="28">
        <v>5.0600000000000005</v>
      </c>
      <c r="I85" s="19">
        <v>21</v>
      </c>
      <c r="J85" s="19">
        <v>21</v>
      </c>
      <c r="K85" s="19">
        <v>4514.6980914054284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773.77066418253912</v>
      </c>
      <c r="AC85" s="29">
        <f t="shared" si="9"/>
        <v>0</v>
      </c>
      <c r="AD85" s="29">
        <f t="shared" si="10"/>
        <v>0</v>
      </c>
      <c r="AE85" s="28">
        <v>20</v>
      </c>
      <c r="AF85" s="46">
        <v>460</v>
      </c>
      <c r="AG85" s="28">
        <v>210000</v>
      </c>
      <c r="AH85" s="29">
        <v>2708.197324638887</v>
      </c>
      <c r="AI85" s="29">
        <v>0</v>
      </c>
      <c r="AJ85" s="30">
        <v>0</v>
      </c>
      <c r="AK85" s="57">
        <f t="shared" si="11"/>
        <v>4.5146980914054282</v>
      </c>
      <c r="AL85" s="57">
        <f t="shared" si="16"/>
        <v>1.2646999999999999</v>
      </c>
      <c r="AM85" s="60"/>
      <c r="AN85" s="57">
        <v>0.88219679626424485</v>
      </c>
      <c r="AO85" s="57">
        <f t="shared" si="17"/>
        <v>1.2025999999999999</v>
      </c>
      <c r="AP85" s="57"/>
    </row>
    <row r="86" spans="1:42" ht="21" x14ac:dyDescent="0.35">
      <c r="A86" s="28">
        <v>179</v>
      </c>
      <c r="B86" s="67" t="s">
        <v>170</v>
      </c>
      <c r="C86" s="28">
        <v>300</v>
      </c>
      <c r="D86" s="19">
        <v>300</v>
      </c>
      <c r="E86" s="28">
        <v>300</v>
      </c>
      <c r="F86" s="28">
        <v>8.74</v>
      </c>
      <c r="G86" s="47">
        <v>8.74</v>
      </c>
      <c r="H86" s="28">
        <v>5.0600000000000005</v>
      </c>
      <c r="I86" s="19">
        <v>21</v>
      </c>
      <c r="J86" s="19">
        <v>21</v>
      </c>
      <c r="K86" s="19">
        <v>6772.0471371081421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666.46962248195791</v>
      </c>
      <c r="AC86" s="29">
        <f t="shared" si="9"/>
        <v>0</v>
      </c>
      <c r="AD86" s="29">
        <f t="shared" si="10"/>
        <v>0</v>
      </c>
      <c r="AE86" s="28">
        <v>20</v>
      </c>
      <c r="AF86" s="46">
        <v>460</v>
      </c>
      <c r="AG86" s="28">
        <v>210000</v>
      </c>
      <c r="AH86" s="29">
        <v>2332.6436786868526</v>
      </c>
      <c r="AI86" s="29">
        <v>0</v>
      </c>
      <c r="AJ86" s="30">
        <v>0</v>
      </c>
      <c r="AK86" s="57">
        <f t="shared" si="11"/>
        <v>6.7720471371081423</v>
      </c>
      <c r="AL86" s="57">
        <f t="shared" si="16"/>
        <v>1.2646999999999999</v>
      </c>
      <c r="AM86" s="60"/>
      <c r="AN86" s="57">
        <v>0.75985998562271651</v>
      </c>
      <c r="AO86" s="57">
        <f t="shared" si="17"/>
        <v>1.2025999999999999</v>
      </c>
      <c r="AP86" s="57"/>
    </row>
    <row r="87" spans="1:42" ht="21" x14ac:dyDescent="0.35">
      <c r="A87" s="28">
        <v>180</v>
      </c>
      <c r="B87" s="67" t="s">
        <v>171</v>
      </c>
      <c r="C87" s="28">
        <v>300</v>
      </c>
      <c r="D87" s="19">
        <v>300</v>
      </c>
      <c r="E87" s="28">
        <v>300</v>
      </c>
      <c r="F87" s="28">
        <v>8.74</v>
      </c>
      <c r="G87" s="47">
        <v>8.74</v>
      </c>
      <c r="H87" s="28">
        <v>5.0600000000000005</v>
      </c>
      <c r="I87" s="19">
        <v>21</v>
      </c>
      <c r="J87" s="19">
        <v>21</v>
      </c>
      <c r="K87" s="19">
        <v>9029.3961828108568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549.57590488951098</v>
      </c>
      <c r="AC87" s="29">
        <f t="shared" si="9"/>
        <v>0</v>
      </c>
      <c r="AD87" s="29">
        <f t="shared" si="10"/>
        <v>0</v>
      </c>
      <c r="AE87" s="28">
        <v>20</v>
      </c>
      <c r="AF87" s="46">
        <v>460</v>
      </c>
      <c r="AG87" s="28">
        <v>210000</v>
      </c>
      <c r="AH87" s="29">
        <v>1923.5156671132886</v>
      </c>
      <c r="AI87" s="29">
        <v>0</v>
      </c>
      <c r="AJ87" s="30">
        <v>0</v>
      </c>
      <c r="AK87" s="57">
        <f t="shared" si="11"/>
        <v>9.0293961828108564</v>
      </c>
      <c r="AL87" s="57">
        <f t="shared" si="16"/>
        <v>1.2646999999999999</v>
      </c>
      <c r="AM87" s="60"/>
      <c r="AN87" s="57">
        <v>0.62658630656379266</v>
      </c>
      <c r="AO87" s="57">
        <f t="shared" si="17"/>
        <v>1.2025999999999999</v>
      </c>
      <c r="AP87" s="57"/>
    </row>
    <row r="88" spans="1:42" ht="21" x14ac:dyDescent="0.35">
      <c r="A88" s="28">
        <v>181</v>
      </c>
      <c r="B88" s="67" t="s">
        <v>172</v>
      </c>
      <c r="C88" s="28">
        <v>300</v>
      </c>
      <c r="D88" s="19">
        <v>300</v>
      </c>
      <c r="E88" s="28">
        <v>300</v>
      </c>
      <c r="F88" s="28">
        <v>8.74</v>
      </c>
      <c r="G88" s="47">
        <v>8.74</v>
      </c>
      <c r="H88" s="28">
        <v>5.0600000000000005</v>
      </c>
      <c r="I88" s="19">
        <v>21</v>
      </c>
      <c r="J88" s="19">
        <v>21</v>
      </c>
      <c r="K88" s="19">
        <v>12009.096923138441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406.65370371041621</v>
      </c>
      <c r="AC88" s="29">
        <f t="shared" si="9"/>
        <v>0</v>
      </c>
      <c r="AD88" s="29">
        <f t="shared" si="10"/>
        <v>0</v>
      </c>
      <c r="AE88" s="28">
        <v>20</v>
      </c>
      <c r="AF88" s="46">
        <v>460</v>
      </c>
      <c r="AG88" s="28">
        <v>210000</v>
      </c>
      <c r="AH88" s="29">
        <v>1423.2879629864567</v>
      </c>
      <c r="AI88" s="29">
        <v>0</v>
      </c>
      <c r="AJ88" s="30">
        <v>0</v>
      </c>
      <c r="AK88" s="57">
        <f t="shared" si="11"/>
        <v>12.00909692313844</v>
      </c>
      <c r="AL88" s="57">
        <f t="shared" si="16"/>
        <v>1.2646999999999999</v>
      </c>
      <c r="AM88" s="60"/>
      <c r="AN88" s="57">
        <v>0.46363685160036866</v>
      </c>
      <c r="AO88" s="57">
        <f t="shared" si="17"/>
        <v>1.2025999999999999</v>
      </c>
      <c r="AP88" s="57"/>
    </row>
    <row r="89" spans="1:42" ht="21" x14ac:dyDescent="0.35">
      <c r="A89" s="28">
        <v>182</v>
      </c>
      <c r="B89" s="67" t="s">
        <v>173</v>
      </c>
      <c r="C89" s="28">
        <v>300</v>
      </c>
      <c r="D89" s="19">
        <v>300</v>
      </c>
      <c r="E89" s="28">
        <v>300</v>
      </c>
      <c r="F89" s="28">
        <v>8.74</v>
      </c>
      <c r="G89" s="47">
        <v>8.74</v>
      </c>
      <c r="H89" s="28">
        <v>5.0600000000000005</v>
      </c>
      <c r="I89" s="19">
        <v>21</v>
      </c>
      <c r="J89" s="19">
        <v>21</v>
      </c>
      <c r="K89" s="19">
        <v>15079.09162529413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296.47699801606979</v>
      </c>
      <c r="AC89" s="29">
        <f t="shared" si="9"/>
        <v>0</v>
      </c>
      <c r="AD89" s="29">
        <f t="shared" si="10"/>
        <v>0</v>
      </c>
      <c r="AE89" s="28">
        <v>20</v>
      </c>
      <c r="AF89" s="46">
        <v>460</v>
      </c>
      <c r="AG89" s="28">
        <v>210000</v>
      </c>
      <c r="AH89" s="29">
        <v>1037.6694930562442</v>
      </c>
      <c r="AI89" s="29">
        <v>0</v>
      </c>
      <c r="AJ89" s="30">
        <v>0</v>
      </c>
      <c r="AK89" s="57">
        <f t="shared" si="11"/>
        <v>15.079091625294129</v>
      </c>
      <c r="AL89" s="57">
        <f t="shared" si="16"/>
        <v>1.2646999999999999</v>
      </c>
      <c r="AM89" s="60"/>
      <c r="AN89" s="57">
        <v>0.33802141890728943</v>
      </c>
      <c r="AO89" s="57">
        <f t="shared" si="17"/>
        <v>1.2025999999999999</v>
      </c>
      <c r="AP89" s="57"/>
    </row>
    <row r="90" spans="1:42" ht="21" x14ac:dyDescent="0.35">
      <c r="A90" s="28">
        <v>183</v>
      </c>
      <c r="B90" s="67" t="s">
        <v>174</v>
      </c>
      <c r="C90" s="28">
        <v>300</v>
      </c>
      <c r="D90" s="19">
        <v>300</v>
      </c>
      <c r="E90" s="28">
        <v>300</v>
      </c>
      <c r="F90" s="28">
        <v>8.74</v>
      </c>
      <c r="G90" s="47">
        <v>8.74</v>
      </c>
      <c r="H90" s="28">
        <v>5.0600000000000005</v>
      </c>
      <c r="I90" s="19">
        <v>21</v>
      </c>
      <c r="J90" s="19">
        <v>21</v>
      </c>
      <c r="K90" s="19">
        <v>18058.792365621714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223.11890336940181</v>
      </c>
      <c r="AC90" s="29">
        <f t="shared" si="9"/>
        <v>0</v>
      </c>
      <c r="AD90" s="29">
        <f t="shared" si="10"/>
        <v>0</v>
      </c>
      <c r="AE90" s="28">
        <v>20</v>
      </c>
      <c r="AF90" s="46">
        <v>460</v>
      </c>
      <c r="AG90" s="28">
        <v>210000</v>
      </c>
      <c r="AH90" s="29">
        <v>780.91616179290634</v>
      </c>
      <c r="AI90" s="29">
        <v>0</v>
      </c>
      <c r="AJ90" s="30">
        <v>0</v>
      </c>
      <c r="AK90" s="57">
        <f t="shared" si="11"/>
        <v>18.058792365621713</v>
      </c>
      <c r="AL90" s="57">
        <f t="shared" si="16"/>
        <v>1.2646999999999999</v>
      </c>
      <c r="AM90" s="60"/>
      <c r="AN90" s="57">
        <v>0.25438387735521967</v>
      </c>
      <c r="AO90" s="57">
        <f t="shared" si="17"/>
        <v>1.2025999999999999</v>
      </c>
      <c r="AP90" s="57"/>
    </row>
    <row r="91" spans="1:42" ht="21" x14ac:dyDescent="0.35">
      <c r="A91" s="28">
        <v>184</v>
      </c>
      <c r="B91" s="67" t="s">
        <v>175</v>
      </c>
      <c r="C91" s="28">
        <v>300</v>
      </c>
      <c r="D91" s="19">
        <v>300</v>
      </c>
      <c r="E91" s="28">
        <v>300</v>
      </c>
      <c r="F91" s="28">
        <v>8.74</v>
      </c>
      <c r="G91" s="47">
        <v>8.74</v>
      </c>
      <c r="H91" s="28">
        <v>5.0600000000000005</v>
      </c>
      <c r="I91" s="19">
        <v>21</v>
      </c>
      <c r="J91" s="19">
        <v>21</v>
      </c>
      <c r="K91" s="19">
        <v>22573.490457027143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152.7935100699126</v>
      </c>
      <c r="AC91" s="29">
        <f t="shared" si="9"/>
        <v>0</v>
      </c>
      <c r="AD91" s="29">
        <f t="shared" si="10"/>
        <v>0</v>
      </c>
      <c r="AE91" s="28">
        <v>20</v>
      </c>
      <c r="AF91" s="46">
        <v>460</v>
      </c>
      <c r="AG91" s="28">
        <v>210000</v>
      </c>
      <c r="AH91" s="29">
        <v>534.7772852446941</v>
      </c>
      <c r="AI91" s="29">
        <v>0</v>
      </c>
      <c r="AJ91" s="30">
        <v>0</v>
      </c>
      <c r="AK91" s="57">
        <f t="shared" si="11"/>
        <v>22.573490457027141</v>
      </c>
      <c r="AL91" s="57">
        <f t="shared" si="16"/>
        <v>1.2646999999999999</v>
      </c>
      <c r="AM91" s="60"/>
      <c r="AN91" s="57">
        <v>0.17420400037529271</v>
      </c>
      <c r="AO91" s="57">
        <f t="shared" si="17"/>
        <v>1.2025999999999999</v>
      </c>
      <c r="AP91" s="57"/>
    </row>
    <row r="92" spans="1:42" ht="21" x14ac:dyDescent="0.35">
      <c r="A92" s="28">
        <v>185</v>
      </c>
      <c r="B92" s="67" t="s">
        <v>176</v>
      </c>
      <c r="C92" s="28">
        <v>300</v>
      </c>
      <c r="D92" s="19">
        <v>300</v>
      </c>
      <c r="E92" s="28">
        <v>300</v>
      </c>
      <c r="F92" s="28">
        <v>6.4600000000000009</v>
      </c>
      <c r="G92" s="47">
        <v>6.4600000000000009</v>
      </c>
      <c r="H92" s="28">
        <v>3.74</v>
      </c>
      <c r="I92" s="19">
        <v>21</v>
      </c>
      <c r="J92" s="19">
        <v>21</v>
      </c>
      <c r="K92" s="19">
        <v>2728.6779714565437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641.35674979077805</v>
      </c>
      <c r="AC92" s="29">
        <f t="shared" si="9"/>
        <v>0</v>
      </c>
      <c r="AD92" s="29">
        <f t="shared" si="10"/>
        <v>0</v>
      </c>
      <c r="AE92" s="28">
        <v>20</v>
      </c>
      <c r="AF92" s="46">
        <v>460</v>
      </c>
      <c r="AG92" s="28">
        <v>210000</v>
      </c>
      <c r="AH92" s="29">
        <v>2244.7486242677232</v>
      </c>
      <c r="AI92" s="29">
        <v>0</v>
      </c>
      <c r="AJ92" s="30">
        <v>0</v>
      </c>
      <c r="AK92" s="57">
        <f t="shared" si="11"/>
        <v>2.7286779714565439</v>
      </c>
      <c r="AL92" s="57">
        <f t="shared" si="16"/>
        <v>1.2712999999999999</v>
      </c>
      <c r="AM92" s="60"/>
      <c r="AN92" s="57">
        <v>0.98589991723614834</v>
      </c>
      <c r="AO92" s="57">
        <f t="shared" si="17"/>
        <v>1.2253999999999998</v>
      </c>
      <c r="AP92" s="57"/>
    </row>
    <row r="93" spans="1:42" ht="21" x14ac:dyDescent="0.35">
      <c r="A93" s="28">
        <v>186</v>
      </c>
      <c r="B93" s="67" t="s">
        <v>177</v>
      </c>
      <c r="C93" s="28">
        <v>300</v>
      </c>
      <c r="D93" s="19">
        <v>300</v>
      </c>
      <c r="E93" s="28">
        <v>300</v>
      </c>
      <c r="F93" s="28">
        <v>6.4600000000000009</v>
      </c>
      <c r="G93" s="47">
        <v>6.4600000000000009</v>
      </c>
      <c r="H93" s="28">
        <v>3.74</v>
      </c>
      <c r="I93" s="19">
        <v>21</v>
      </c>
      <c r="J93" s="19">
        <v>21</v>
      </c>
      <c r="K93" s="19">
        <v>4547.7966190942398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590.75426714464629</v>
      </c>
      <c r="AC93" s="29">
        <f t="shared" si="9"/>
        <v>0</v>
      </c>
      <c r="AD93" s="29">
        <f t="shared" si="10"/>
        <v>0</v>
      </c>
      <c r="AE93" s="28">
        <v>20</v>
      </c>
      <c r="AF93" s="46">
        <v>460</v>
      </c>
      <c r="AG93" s="28">
        <v>210000</v>
      </c>
      <c r="AH93" s="29">
        <v>2067.639935006262</v>
      </c>
      <c r="AI93" s="29">
        <v>0</v>
      </c>
      <c r="AJ93" s="30">
        <v>0</v>
      </c>
      <c r="AK93" s="57">
        <f t="shared" si="11"/>
        <v>4.5477966190942398</v>
      </c>
      <c r="AL93" s="57">
        <f t="shared" si="16"/>
        <v>1.2712999999999999</v>
      </c>
      <c r="AM93" s="60"/>
      <c r="AN93" s="57">
        <v>0.90811328215506482</v>
      </c>
      <c r="AO93" s="57">
        <f t="shared" si="17"/>
        <v>1.2253999999999998</v>
      </c>
      <c r="AP93" s="57"/>
    </row>
    <row r="94" spans="1:42" ht="21" x14ac:dyDescent="0.35">
      <c r="A94" s="28">
        <v>187</v>
      </c>
      <c r="B94" s="67" t="s">
        <v>178</v>
      </c>
      <c r="C94" s="28">
        <v>300</v>
      </c>
      <c r="D94" s="19">
        <v>300</v>
      </c>
      <c r="E94" s="28">
        <v>300</v>
      </c>
      <c r="F94" s="28">
        <v>6.4600000000000009</v>
      </c>
      <c r="G94" s="47">
        <v>6.4600000000000009</v>
      </c>
      <c r="H94" s="28">
        <v>3.74</v>
      </c>
      <c r="I94" s="19">
        <v>21</v>
      </c>
      <c r="J94" s="19">
        <v>21</v>
      </c>
      <c r="K94" s="19">
        <v>6821.6949286413592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522.67686187195011</v>
      </c>
      <c r="AC94" s="29">
        <f t="shared" si="9"/>
        <v>0</v>
      </c>
      <c r="AD94" s="29">
        <f t="shared" si="10"/>
        <v>0</v>
      </c>
      <c r="AE94" s="28">
        <v>20</v>
      </c>
      <c r="AF94" s="46">
        <v>460</v>
      </c>
      <c r="AG94" s="28">
        <v>210000</v>
      </c>
      <c r="AH94" s="29">
        <v>1829.3690165518256</v>
      </c>
      <c r="AI94" s="29">
        <v>0</v>
      </c>
      <c r="AJ94" s="30">
        <v>0</v>
      </c>
      <c r="AK94" s="57">
        <f t="shared" si="11"/>
        <v>6.8216949286413593</v>
      </c>
      <c r="AL94" s="57">
        <f t="shared" si="16"/>
        <v>1.2712999999999999</v>
      </c>
      <c r="AM94" s="60"/>
      <c r="AN94" s="57">
        <v>0.8034640237728965</v>
      </c>
      <c r="AO94" s="57">
        <f t="shared" si="17"/>
        <v>1.2253999999999998</v>
      </c>
      <c r="AP94" s="57"/>
    </row>
    <row r="95" spans="1:42" ht="21" x14ac:dyDescent="0.35">
      <c r="A95" s="28">
        <v>188</v>
      </c>
      <c r="B95" s="67" t="s">
        <v>179</v>
      </c>
      <c r="C95" s="28">
        <v>300</v>
      </c>
      <c r="D95" s="19">
        <v>300</v>
      </c>
      <c r="E95" s="28">
        <v>300</v>
      </c>
      <c r="F95" s="28">
        <v>6.4600000000000009</v>
      </c>
      <c r="G95" s="47">
        <v>6.4600000000000009</v>
      </c>
      <c r="H95" s="28">
        <v>3.74</v>
      </c>
      <c r="I95" s="19">
        <v>21</v>
      </c>
      <c r="J95" s="19">
        <v>21</v>
      </c>
      <c r="K95" s="19">
        <v>9095.5932381884795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447.50320909885107</v>
      </c>
      <c r="AC95" s="29">
        <f t="shared" si="9"/>
        <v>0</v>
      </c>
      <c r="AD95" s="29">
        <f t="shared" si="10"/>
        <v>0</v>
      </c>
      <c r="AE95" s="28">
        <v>20</v>
      </c>
      <c r="AF95" s="46">
        <v>460</v>
      </c>
      <c r="AG95" s="28">
        <v>210000</v>
      </c>
      <c r="AH95" s="29">
        <v>1566.2612318459787</v>
      </c>
      <c r="AI95" s="29">
        <v>0</v>
      </c>
      <c r="AJ95" s="30">
        <v>0</v>
      </c>
      <c r="AK95" s="57">
        <f t="shared" si="11"/>
        <v>9.0955932381884796</v>
      </c>
      <c r="AL95" s="57">
        <f t="shared" si="16"/>
        <v>1.2712999999999999</v>
      </c>
      <c r="AM95" s="60"/>
      <c r="AN95" s="57">
        <v>0.68790634378977555</v>
      </c>
      <c r="AO95" s="57">
        <f t="shared" si="17"/>
        <v>1.2253999999999998</v>
      </c>
      <c r="AP95" s="57"/>
    </row>
    <row r="96" spans="1:42" ht="21" x14ac:dyDescent="0.35">
      <c r="A96" s="28">
        <v>189</v>
      </c>
      <c r="B96" s="67" t="s">
        <v>180</v>
      </c>
      <c r="C96" s="28">
        <v>300</v>
      </c>
      <c r="D96" s="19">
        <v>300</v>
      </c>
      <c r="E96" s="28">
        <v>300</v>
      </c>
      <c r="F96" s="28">
        <v>6.4600000000000009</v>
      </c>
      <c r="G96" s="47">
        <v>6.4600000000000009</v>
      </c>
      <c r="H96" s="28">
        <v>3.74</v>
      </c>
      <c r="I96" s="19">
        <v>21</v>
      </c>
      <c r="J96" s="19">
        <v>21</v>
      </c>
      <c r="K96" s="19">
        <v>12097.139006790678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347.69171879657733</v>
      </c>
      <c r="AC96" s="29">
        <f t="shared" si="9"/>
        <v>0</v>
      </c>
      <c r="AD96" s="29">
        <f t="shared" si="10"/>
        <v>0</v>
      </c>
      <c r="AE96" s="28">
        <v>20</v>
      </c>
      <c r="AF96" s="46">
        <v>460</v>
      </c>
      <c r="AG96" s="28">
        <v>210000</v>
      </c>
      <c r="AH96" s="29">
        <v>1216.9210157880207</v>
      </c>
      <c r="AI96" s="29">
        <v>0</v>
      </c>
      <c r="AJ96" s="30">
        <v>0</v>
      </c>
      <c r="AK96" s="57">
        <f t="shared" si="11"/>
        <v>12.097139006790679</v>
      </c>
      <c r="AL96" s="57">
        <f t="shared" si="16"/>
        <v>1.2712999999999999</v>
      </c>
      <c r="AM96" s="60"/>
      <c r="AN96" s="57">
        <v>0.53447513711684436</v>
      </c>
      <c r="AO96" s="57">
        <f t="shared" si="17"/>
        <v>1.2253999999999998</v>
      </c>
      <c r="AP96" s="57"/>
    </row>
    <row r="97" spans="1:42" ht="21" x14ac:dyDescent="0.35">
      <c r="A97" s="28">
        <v>190</v>
      </c>
      <c r="B97" s="67" t="s">
        <v>181</v>
      </c>
      <c r="C97" s="28">
        <v>300</v>
      </c>
      <c r="D97" s="19">
        <v>300</v>
      </c>
      <c r="E97" s="28">
        <v>300</v>
      </c>
      <c r="F97" s="28">
        <v>6.4600000000000009</v>
      </c>
      <c r="G97" s="47">
        <v>6.4600000000000009</v>
      </c>
      <c r="H97" s="28">
        <v>3.74</v>
      </c>
      <c r="I97" s="19">
        <v>21</v>
      </c>
      <c r="J97" s="19">
        <v>21</v>
      </c>
      <c r="K97" s="19">
        <v>15189.640707774759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262.04790881361328</v>
      </c>
      <c r="AC97" s="29">
        <f t="shared" si="9"/>
        <v>0</v>
      </c>
      <c r="AD97" s="29">
        <f t="shared" si="10"/>
        <v>0</v>
      </c>
      <c r="AE97" s="28">
        <v>20</v>
      </c>
      <c r="AF97" s="46">
        <v>460</v>
      </c>
      <c r="AG97" s="28">
        <v>210000</v>
      </c>
      <c r="AH97" s="29">
        <v>917.16768084764647</v>
      </c>
      <c r="AI97" s="29">
        <v>0</v>
      </c>
      <c r="AJ97" s="30">
        <v>0</v>
      </c>
      <c r="AK97" s="57">
        <f t="shared" si="11"/>
        <v>15.189640707774759</v>
      </c>
      <c r="AL97" s="57">
        <f t="shared" si="16"/>
        <v>1.2712999999999999</v>
      </c>
      <c r="AM97" s="60"/>
      <c r="AN97" s="57">
        <v>0.40282262827283938</v>
      </c>
      <c r="AO97" s="57">
        <f t="shared" si="17"/>
        <v>1.2253999999999998</v>
      </c>
      <c r="AP97" s="57"/>
    </row>
    <row r="98" spans="1:42" ht="21" x14ac:dyDescent="0.35">
      <c r="A98" s="28">
        <v>191</v>
      </c>
      <c r="B98" s="67" t="s">
        <v>182</v>
      </c>
      <c r="C98" s="28">
        <v>300</v>
      </c>
      <c r="D98" s="19">
        <v>300</v>
      </c>
      <c r="E98" s="28">
        <v>300</v>
      </c>
      <c r="F98" s="28">
        <v>6.4600000000000009</v>
      </c>
      <c r="G98" s="47">
        <v>6.4600000000000009</v>
      </c>
      <c r="H98" s="28">
        <v>3.74</v>
      </c>
      <c r="I98" s="19">
        <v>21</v>
      </c>
      <c r="J98" s="19">
        <v>21</v>
      </c>
      <c r="K98" s="19">
        <v>18191.186476376959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200.87180015089152</v>
      </c>
      <c r="AC98" s="29">
        <f t="shared" si="9"/>
        <v>0</v>
      </c>
      <c r="AD98" s="29">
        <f t="shared" si="10"/>
        <v>0</v>
      </c>
      <c r="AE98" s="28">
        <v>20</v>
      </c>
      <c r="AF98" s="46">
        <v>460</v>
      </c>
      <c r="AG98" s="28">
        <v>210000</v>
      </c>
      <c r="AH98" s="29">
        <v>703.05130052812035</v>
      </c>
      <c r="AI98" s="29">
        <v>0</v>
      </c>
      <c r="AJ98" s="30">
        <v>0</v>
      </c>
      <c r="AK98" s="57">
        <f t="shared" si="11"/>
        <v>18.191186476376959</v>
      </c>
      <c r="AL98" s="57">
        <f t="shared" si="16"/>
        <v>1.2712999999999999</v>
      </c>
      <c r="AM98" s="60"/>
      <c r="AN98" s="57">
        <v>0.30878211106134623</v>
      </c>
      <c r="AO98" s="57">
        <f t="shared" si="17"/>
        <v>1.2253999999999998</v>
      </c>
      <c r="AP98" s="57"/>
    </row>
    <row r="99" spans="1:42" ht="21" x14ac:dyDescent="0.35">
      <c r="A99" s="28">
        <v>192</v>
      </c>
      <c r="B99" s="67" t="s">
        <v>183</v>
      </c>
      <c r="C99" s="81">
        <v>300</v>
      </c>
      <c r="D99" s="82">
        <v>300</v>
      </c>
      <c r="E99" s="81">
        <v>300</v>
      </c>
      <c r="F99" s="81">
        <v>6.4600000000000009</v>
      </c>
      <c r="G99" s="82">
        <v>6.4600000000000009</v>
      </c>
      <c r="H99" s="81">
        <v>3.74</v>
      </c>
      <c r="I99" s="82">
        <v>21</v>
      </c>
      <c r="J99" s="82">
        <v>21</v>
      </c>
      <c r="K99" s="82">
        <v>22738.983095471198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4">
        <f t="shared" si="15"/>
        <v>139.61630867163311</v>
      </c>
      <c r="AC99" s="84">
        <f t="shared" si="9"/>
        <v>0</v>
      </c>
      <c r="AD99" s="84">
        <f t="shared" si="10"/>
        <v>0</v>
      </c>
      <c r="AE99" s="81">
        <v>20</v>
      </c>
      <c r="AF99" s="71">
        <v>460</v>
      </c>
      <c r="AG99" s="81">
        <v>210000</v>
      </c>
      <c r="AH99" s="84">
        <v>488.65708035071589</v>
      </c>
      <c r="AI99" s="84">
        <v>0</v>
      </c>
      <c r="AJ99" s="85">
        <v>0</v>
      </c>
      <c r="AK99" s="57">
        <f t="shared" si="11"/>
        <v>22.738983095471198</v>
      </c>
      <c r="AL99" s="57">
        <f t="shared" si="16"/>
        <v>1.2712999999999999</v>
      </c>
      <c r="AM99" s="60"/>
      <c r="AN99" s="57">
        <v>0.21461956580184546</v>
      </c>
      <c r="AO99" s="57">
        <f t="shared" si="17"/>
        <v>1.2253999999999998</v>
      </c>
      <c r="AP99" s="57"/>
    </row>
    <row r="100" spans="1:42" ht="21" x14ac:dyDescent="0.35">
      <c r="A100" s="93"/>
      <c r="B100" s="100"/>
      <c r="C100" s="28"/>
      <c r="D100" s="19"/>
      <c r="E100" s="101"/>
      <c r="F100" s="101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1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0"/>
      <c r="C101" s="28"/>
      <c r="D101" s="19"/>
      <c r="E101" s="101"/>
      <c r="F101" s="101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1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0"/>
      <c r="C102" s="28"/>
      <c r="D102" s="19"/>
      <c r="E102" s="101"/>
      <c r="F102" s="101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1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0"/>
      <c r="C103" s="28"/>
      <c r="D103" s="19"/>
      <c r="E103" s="101"/>
      <c r="F103" s="101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1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0"/>
      <c r="C104" s="28"/>
      <c r="D104" s="19"/>
      <c r="E104" s="101"/>
      <c r="F104" s="101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1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0"/>
      <c r="C105" s="28"/>
      <c r="D105" s="19"/>
      <c r="E105" s="101"/>
      <c r="F105" s="101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1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0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2026-10-06T00:34:09Z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