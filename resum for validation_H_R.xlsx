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"/>
    </mc:Choice>
  </mc:AlternateContent>
  <xr:revisionPtr revIDLastSave="0" documentId="13_ncr:1_{0E9023FE-C7FE-4111-AABA-4260C6636184}" xr6:coauthVersionLast="47" xr6:coauthVersionMax="47" xr10:uidLastSave="{00000000-0000-0000-0000-000000000000}"/>
  <bookViews>
    <workbookView xWindow="-120" yWindow="-120" windowWidth="29040" windowHeight="15720" activeTab="4" xr2:uid="{1993263F-6B97-418A-8C8C-604E7429BC66}"/>
  </bookViews>
  <sheets>
    <sheet name="Sheet1" sheetId="1" r:id="rId1"/>
    <sheet name="Sheet1 (2)" sheetId="2" r:id="rId2"/>
    <sheet name="Sheet1 (3)" sheetId="3" r:id="rId3"/>
    <sheet name="Sheet2" sheetId="4" r:id="rId4"/>
    <sheet name="Sheet3" sheetId="5" r:id="rId5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4" l="1"/>
  <c r="H18" i="4"/>
  <c r="H19" i="4"/>
  <c r="H20" i="4"/>
  <c r="H21" i="4"/>
  <c r="H23" i="4"/>
  <c r="H24" i="4"/>
  <c r="J23" i="4"/>
  <c r="I17" i="4"/>
  <c r="I18" i="4"/>
  <c r="I19" i="4"/>
  <c r="I20" i="4"/>
  <c r="I21" i="4"/>
  <c r="I22" i="4"/>
  <c r="I23" i="4"/>
  <c r="K4" i="2"/>
  <c r="L4" i="2"/>
  <c r="K5" i="2"/>
  <c r="L5" i="2"/>
  <c r="K6" i="2"/>
  <c r="L6" i="2"/>
  <c r="K7" i="2"/>
  <c r="L7" i="2"/>
  <c r="K8" i="2"/>
  <c r="L8" i="2"/>
  <c r="L9" i="2"/>
  <c r="K10" i="2"/>
  <c r="L10" i="2"/>
  <c r="M10" i="2"/>
  <c r="K11" i="2"/>
  <c r="K13" i="3"/>
  <c r="K14" i="3"/>
  <c r="K15" i="3"/>
  <c r="K16" i="3"/>
  <c r="K17" i="3"/>
  <c r="K19" i="3"/>
  <c r="K20" i="3"/>
  <c r="M19" i="3"/>
  <c r="L13" i="3"/>
  <c r="L14" i="3"/>
  <c r="L15" i="3"/>
  <c r="L16" i="3"/>
  <c r="L17" i="3"/>
  <c r="L18" i="3"/>
  <c r="L19" i="3"/>
  <c r="K4" i="3"/>
  <c r="K5" i="3"/>
  <c r="K6" i="3"/>
  <c r="K7" i="3"/>
  <c r="K8" i="3"/>
  <c r="K9" i="3"/>
  <c r="K10" i="3"/>
  <c r="K11" i="3"/>
  <c r="M10" i="3"/>
  <c r="L4" i="3"/>
  <c r="L5" i="3"/>
  <c r="L6" i="3"/>
  <c r="L7" i="3"/>
  <c r="L8" i="3"/>
  <c r="L9" i="3"/>
  <c r="L10" i="3"/>
  <c r="L15" i="1"/>
  <c r="L13" i="1"/>
  <c r="L14" i="1"/>
  <c r="L16" i="1"/>
  <c r="L17" i="1"/>
  <c r="L18" i="1"/>
  <c r="L19" i="1"/>
  <c r="M19" i="1"/>
  <c r="L4" i="1"/>
  <c r="L5" i="1"/>
  <c r="L6" i="1"/>
  <c r="L7" i="1"/>
  <c r="L8" i="1"/>
  <c r="L9" i="1"/>
  <c r="L10" i="1"/>
  <c r="M10" i="1"/>
  <c r="K4" i="1"/>
  <c r="K5" i="1"/>
  <c r="K6" i="1"/>
  <c r="K7" i="1"/>
  <c r="K8" i="1"/>
  <c r="K9" i="1"/>
  <c r="K10" i="1"/>
  <c r="K11" i="1"/>
  <c r="K13" i="1"/>
  <c r="K14" i="1"/>
  <c r="K15" i="1"/>
  <c r="K16" i="1"/>
  <c r="K17" i="1"/>
  <c r="K19" i="1"/>
  <c r="K20" i="1"/>
</calcChain>
</file>

<file path=xl/sharedStrings.xml><?xml version="1.0" encoding="utf-8"?>
<sst xmlns="http://schemas.openxmlformats.org/spreadsheetml/2006/main" count="153" uniqueCount="40">
  <si>
    <t>Reference</t>
  </si>
  <si>
    <t>Steel grade</t>
  </si>
  <si>
    <t>Specimen label</t>
  </si>
  <si>
    <t>Buckling axis</t>
  </si>
  <si>
    <r>
      <t>N</t>
    </r>
    <r>
      <rPr>
        <vertAlign val="subscript"/>
        <sz val="11"/>
        <color theme="1"/>
        <rFont val="Times New Roman"/>
        <family val="1"/>
      </rPr>
      <t>u,FE</t>
    </r>
    <r>
      <rPr>
        <sz val="11"/>
        <color theme="1"/>
        <rFont val="Times New Roman"/>
        <family val="1"/>
      </rPr>
      <t>/N</t>
    </r>
    <r>
      <rPr>
        <vertAlign val="subscript"/>
        <sz val="11"/>
        <color theme="1"/>
        <rFont val="Times New Roman"/>
        <family val="1"/>
      </rPr>
      <t>u,test</t>
    </r>
  </si>
  <si>
    <t>Mean</t>
  </si>
  <si>
    <t>COV</t>
  </si>
  <si>
    <t>ID</t>
  </si>
  <si>
    <t>S355</t>
  </si>
  <si>
    <t>H355_1_BU_1</t>
  </si>
  <si>
    <t>H355_1_BU_2</t>
  </si>
  <si>
    <t>H355_1_BU_3</t>
  </si>
  <si>
    <t>H355_1_BU_4</t>
  </si>
  <si>
    <t>H355_1_BU_5</t>
  </si>
  <si>
    <t>H355_1_BU_6</t>
  </si>
  <si>
    <t>H355_2_BU_1</t>
  </si>
  <si>
    <t>H355_2_BU_2</t>
  </si>
  <si>
    <t>H355_2_BU_3</t>
  </si>
  <si>
    <t>H355_2_BU_4</t>
  </si>
  <si>
    <t>H355_2_BU_5</t>
  </si>
  <si>
    <t>H355_2_BU_6</t>
  </si>
  <si>
    <r>
      <t>N</t>
    </r>
    <r>
      <rPr>
        <vertAlign val="subscript"/>
        <sz val="11"/>
        <color theme="1"/>
        <rFont val="Times New Roman"/>
        <family val="1"/>
      </rPr>
      <t>u,test</t>
    </r>
  </si>
  <si>
    <t>Nicolas Boissonade et al.</t>
  </si>
  <si>
    <r>
      <t>N</t>
    </r>
    <r>
      <rPr>
        <vertAlign val="subscript"/>
        <sz val="11"/>
        <color theme="1"/>
        <rFont val="Times New Roman"/>
        <family val="1"/>
      </rPr>
      <t>u,FE</t>
    </r>
    <r>
      <rPr>
        <sz val="11"/>
        <color theme="1"/>
        <rFont val="Times New Roman"/>
        <family val="1"/>
      </rPr>
      <t xml:space="preserve"> </t>
    </r>
  </si>
  <si>
    <r>
      <t>N</t>
    </r>
    <r>
      <rPr>
        <vertAlign val="subscript"/>
        <sz val="11"/>
        <color theme="1"/>
        <rFont val="Times New Roman"/>
        <family val="1"/>
      </rPr>
      <t>u,FE</t>
    </r>
    <r>
      <rPr>
        <sz val="11"/>
        <color theme="1"/>
        <rFont val="Times New Roman"/>
        <family val="1"/>
      </rPr>
      <t xml:space="preserve"> (1)</t>
    </r>
  </si>
  <si>
    <t>Diff. [%]</t>
  </si>
  <si>
    <t>Diff. [%] (1)</t>
  </si>
  <si>
    <t>(1) Nicolas Boissonade et al. FEM results</t>
  </si>
  <si>
    <t>Nu,test</t>
  </si>
  <si>
    <t xml:space="preserve">Nu,FE </t>
  </si>
  <si>
    <t>Nu,FE (1)</t>
  </si>
  <si>
    <t>Nu,FE/Nu,test</t>
  </si>
  <si>
    <t>3D FB</t>
  </si>
  <si>
    <r>
      <t>N</t>
    </r>
    <r>
      <rPr>
        <vertAlign val="subscript"/>
        <sz val="12"/>
        <color theme="1"/>
        <rFont val="Times New Roman"/>
        <family val="1"/>
      </rPr>
      <t>u,test</t>
    </r>
  </si>
  <si>
    <r>
      <t>N</t>
    </r>
    <r>
      <rPr>
        <vertAlign val="subscript"/>
        <sz val="12"/>
        <color theme="1"/>
        <rFont val="Times New Roman"/>
        <family val="1"/>
      </rPr>
      <t>u,FE</t>
    </r>
    <r>
      <rPr>
        <sz val="12"/>
        <color theme="1"/>
        <rFont val="Times New Roman"/>
        <family val="1"/>
      </rPr>
      <t xml:space="preserve"> </t>
    </r>
  </si>
  <si>
    <r>
      <t>N</t>
    </r>
    <r>
      <rPr>
        <vertAlign val="subscript"/>
        <sz val="12"/>
        <color theme="1"/>
        <rFont val="Times New Roman"/>
        <family val="1"/>
      </rPr>
      <t>u,FE</t>
    </r>
    <r>
      <rPr>
        <sz val="12"/>
        <color theme="1"/>
        <rFont val="Times New Roman"/>
        <family val="1"/>
      </rPr>
      <t xml:space="preserve"> (1)</t>
    </r>
  </si>
  <si>
    <r>
      <t>N</t>
    </r>
    <r>
      <rPr>
        <vertAlign val="subscript"/>
        <sz val="12"/>
        <color theme="1"/>
        <rFont val="Times New Roman"/>
        <family val="1"/>
      </rPr>
      <t>u,FE</t>
    </r>
    <r>
      <rPr>
        <sz val="12"/>
        <color theme="1"/>
        <rFont val="Times New Roman"/>
        <family val="1"/>
      </rPr>
      <t>/N</t>
    </r>
    <r>
      <rPr>
        <vertAlign val="subscript"/>
        <sz val="12"/>
        <color theme="1"/>
        <rFont val="Times New Roman"/>
        <family val="1"/>
      </rPr>
      <t>u,test</t>
    </r>
  </si>
  <si>
    <r>
      <t>N</t>
    </r>
    <r>
      <rPr>
        <vertAlign val="subscript"/>
        <sz val="8"/>
        <color theme="1"/>
        <rFont val="Times New Roman"/>
        <family val="1"/>
      </rPr>
      <t>u,test</t>
    </r>
  </si>
  <si>
    <r>
      <t>N</t>
    </r>
    <r>
      <rPr>
        <vertAlign val="subscript"/>
        <sz val="8"/>
        <color theme="1"/>
        <rFont val="Times New Roman"/>
        <family val="1"/>
      </rPr>
      <t xml:space="preserve">u,FE </t>
    </r>
  </si>
  <si>
    <r>
      <t>N</t>
    </r>
    <r>
      <rPr>
        <vertAlign val="subscript"/>
        <sz val="8"/>
        <color theme="1"/>
        <rFont val="Times New Roman"/>
        <family val="1"/>
      </rPr>
      <t>u,FE</t>
    </r>
    <r>
      <rPr>
        <sz val="8"/>
        <color theme="1"/>
        <rFont val="Times New Roman"/>
        <family val="1"/>
      </rPr>
      <t>/N</t>
    </r>
    <r>
      <rPr>
        <vertAlign val="subscript"/>
        <sz val="8"/>
        <color theme="1"/>
        <rFont val="Times New Roman"/>
        <family val="1"/>
      </rPr>
      <t>u,test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</si>
</sst>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8"/>
      <color theme="1"/>
      <name val="Times New Roman"/>
      <family val="1"/>
    </font>
    <font>
      <vertAlign val="subscript"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1" xfId="0" applyFont="1" applyBorder="1"/>
    <xf numFmtId="2" fontId="2" fillId="0" borderId="1" xfId="0" applyNumberFormat="1" applyFont="1" applyBorder="1"/>
    <xf numFmtId="164" fontId="2" fillId="0" borderId="1" xfId="1" applyNumberFormat="1" applyFont="1" applyBorder="1"/>
    <xf numFmtId="2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/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4" fillId="0" borderId="0" xfId="0" applyFont="1"/>
    <xf numFmtId="1" fontId="4" fillId="0" borderId="0" xfId="0" applyNumberFormat="1" applyFont="1"/>
    <xf numFmtId="2" fontId="4" fillId="0" borderId="0" xfId="0" applyNumberFormat="1" applyFont="1"/>
    <xf numFmtId="10" fontId="4" fillId="0" borderId="0" xfId="0" applyNumberFormat="1" applyFont="1"/>
    <xf numFmtId="0" fontId="5" fillId="0" borderId="0" xfId="0" applyFont="1"/>
    <xf numFmtId="2" fontId="5" fillId="0" borderId="0" xfId="0" applyNumberFormat="1" applyFont="1"/>
    <xf numFmtId="165" fontId="5" fillId="0" borderId="0" xfId="0" applyNumberFormat="1" applyFont="1"/>
    <xf numFmtId="0" fontId="5" fillId="0" borderId="0" xfId="0" applyFont="1" applyAlignment="1">
      <alignment vertical="center"/>
    </xf>
    <xf numFmtId="164" fontId="5" fillId="0" borderId="0" xfId="1" applyNumberFormat="1" applyFont="1" applyBorder="1"/>
    <xf numFmtId="1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/>
    <xf numFmtId="2" fontId="7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D4F3-3D44-4105-8C6D-75F05DA578AE}">
  <sheetPr codeName="Sheet1"/>
  <dimension ref="A2:N21"/>
  <sheetViews>
    <sheetView zoomScale="160" zoomScaleNormal="160" workbookViewId="0">
      <pane xSplit="1" topLeftCell="B1" activePane="topRight" state="frozen"/>
      <selection pane="topRight" activeCell="K11" sqref="K11"/>
    </sheetView>
  </sheetViews>
  <sheetFormatPr defaultColWidth="9.140625" defaultRowHeight="15" x14ac:dyDescent="0.25"/>
  <cols>
    <col min="1" max="2" width="9.140625" style="1"/>
    <col min="3" max="3" width="22.5703125" style="1" bestFit="1" customWidth="1"/>
    <col min="4" max="4" width="10.42578125" style="1" bestFit="1" customWidth="1"/>
    <col min="5" max="5" width="10.42578125" style="1" customWidth="1"/>
    <col min="6" max="6" width="13.7109375" style="1" bestFit="1" customWidth="1"/>
    <col min="7" max="7" width="12.140625" style="1" bestFit="1" customWidth="1"/>
    <col min="8" max="12" width="9.140625" style="1"/>
    <col min="13" max="13" width="11.85546875" style="1" bestFit="1" customWidth="1"/>
    <col min="14" max="16384" width="9.140625" style="1"/>
  </cols>
  <sheetData>
    <row r="2" spans="1:14" ht="17.100000000000001" customHeight="1" x14ac:dyDescent="0.25">
      <c r="B2" s="26"/>
      <c r="C2" s="26" t="s">
        <v>0</v>
      </c>
      <c r="D2" s="26" t="s">
        <v>1</v>
      </c>
      <c r="E2" s="31" t="s">
        <v>7</v>
      </c>
      <c r="F2" s="26" t="s">
        <v>2</v>
      </c>
      <c r="G2" s="26" t="s">
        <v>3</v>
      </c>
      <c r="H2" s="26" t="s">
        <v>21</v>
      </c>
      <c r="I2" s="26" t="s">
        <v>23</v>
      </c>
      <c r="J2" s="26" t="s">
        <v>24</v>
      </c>
      <c r="K2" s="26" t="s">
        <v>4</v>
      </c>
      <c r="L2" s="26" t="s">
        <v>25</v>
      </c>
      <c r="M2" s="26" t="s">
        <v>26</v>
      </c>
    </row>
    <row r="3" spans="1:14" x14ac:dyDescent="0.25">
      <c r="A3" s="1" t="s">
        <v>7</v>
      </c>
      <c r="B3" s="26"/>
      <c r="C3" s="26"/>
      <c r="D3" s="26"/>
      <c r="E3" s="32"/>
      <c r="F3" s="26"/>
      <c r="G3" s="26"/>
      <c r="H3" s="26"/>
      <c r="I3" s="26"/>
      <c r="J3" s="26"/>
      <c r="K3" s="26"/>
      <c r="L3" s="26"/>
      <c r="M3" s="26"/>
    </row>
    <row r="4" spans="1:14" x14ac:dyDescent="0.25">
      <c r="A4" s="1">
        <v>46</v>
      </c>
      <c r="B4" s="2">
        <v>1</v>
      </c>
      <c r="C4" s="27" t="s">
        <v>22</v>
      </c>
      <c r="D4" s="27" t="s">
        <v>8</v>
      </c>
      <c r="E4" s="2">
        <v>1</v>
      </c>
      <c r="F4" s="2" t="s">
        <v>9</v>
      </c>
      <c r="G4" s="2"/>
      <c r="H4" s="3">
        <v>1369</v>
      </c>
      <c r="I4" s="3">
        <v>1362.4</v>
      </c>
      <c r="J4" s="3">
        <v>1345.7576666666666</v>
      </c>
      <c r="K4" s="3">
        <f t="shared" ref="K4:K9" si="0">I4/H4</f>
        <v>0.99517896274653039</v>
      </c>
      <c r="L4" s="7">
        <f>(H4/I4-1)*100</f>
        <v>0.48443922489722624</v>
      </c>
      <c r="M4" s="7">
        <v>1.7270816216787832</v>
      </c>
    </row>
    <row r="5" spans="1:14" x14ac:dyDescent="0.25">
      <c r="A5" s="1">
        <v>47</v>
      </c>
      <c r="B5" s="2">
        <v>2</v>
      </c>
      <c r="C5" s="27"/>
      <c r="D5" s="27"/>
      <c r="E5" s="2">
        <v>2</v>
      </c>
      <c r="F5" s="2" t="s">
        <v>10</v>
      </c>
      <c r="G5" s="2"/>
      <c r="H5" s="3">
        <v>1636</v>
      </c>
      <c r="I5" s="3">
        <v>1616.01</v>
      </c>
      <c r="J5" s="3">
        <v>1605.4602666666667</v>
      </c>
      <c r="K5" s="3">
        <f t="shared" si="0"/>
        <v>0.98778117359413198</v>
      </c>
      <c r="L5" s="7">
        <f t="shared" ref="L5:L18" si="1">(H5/I5-1)*100</f>
        <v>1.2369972958088171</v>
      </c>
      <c r="M5" s="7">
        <v>1.9022416167758127</v>
      </c>
    </row>
    <row r="6" spans="1:14" x14ac:dyDescent="0.25">
      <c r="A6" s="1">
        <v>48</v>
      </c>
      <c r="B6" s="2">
        <v>3</v>
      </c>
      <c r="C6" s="27"/>
      <c r="D6" s="27"/>
      <c r="E6" s="2">
        <v>3</v>
      </c>
      <c r="F6" s="2" t="s">
        <v>11</v>
      </c>
      <c r="G6" s="2"/>
      <c r="H6" s="3">
        <v>1430</v>
      </c>
      <c r="I6" s="3">
        <v>1351.67</v>
      </c>
      <c r="J6" s="3">
        <v>1273.7614000000001</v>
      </c>
      <c r="K6" s="3">
        <f t="shared" si="0"/>
        <v>0.94522377622377629</v>
      </c>
      <c r="L6" s="7">
        <f t="shared" si="1"/>
        <v>5.7950535263784797</v>
      </c>
      <c r="M6" s="7">
        <v>12.265923586630901</v>
      </c>
      <c r="N6" s="5"/>
    </row>
    <row r="7" spans="1:14" x14ac:dyDescent="0.25">
      <c r="A7" s="1">
        <v>49</v>
      </c>
      <c r="B7" s="2">
        <v>4</v>
      </c>
      <c r="C7" s="27"/>
      <c r="D7" s="27"/>
      <c r="E7" s="2">
        <v>4</v>
      </c>
      <c r="F7" s="2" t="s">
        <v>12</v>
      </c>
      <c r="G7" s="2"/>
      <c r="H7" s="3">
        <v>1650</v>
      </c>
      <c r="I7" s="3">
        <v>1642.45</v>
      </c>
      <c r="J7" s="3">
        <v>1512.3824</v>
      </c>
      <c r="K7" s="3">
        <f t="shared" si="0"/>
        <v>0.99542424242424243</v>
      </c>
      <c r="L7" s="7">
        <f t="shared" si="1"/>
        <v>0.45967913787330339</v>
      </c>
      <c r="M7" s="7">
        <v>9.0993917940330515</v>
      </c>
    </row>
    <row r="8" spans="1:14" x14ac:dyDescent="0.25">
      <c r="A8" s="1">
        <v>50</v>
      </c>
      <c r="B8" s="2">
        <v>5</v>
      </c>
      <c r="C8" s="27"/>
      <c r="D8" s="27"/>
      <c r="E8" s="2">
        <v>5</v>
      </c>
      <c r="F8" s="2" t="s">
        <v>13</v>
      </c>
      <c r="G8" s="2"/>
      <c r="H8" s="3">
        <v>1073</v>
      </c>
      <c r="I8" s="3">
        <v>1088.55</v>
      </c>
      <c r="J8" s="3">
        <v>1068.5088000000001</v>
      </c>
      <c r="K8" s="3">
        <f t="shared" si="0"/>
        <v>1.0144920782851816</v>
      </c>
      <c r="L8" s="7">
        <f>ABS((H8/I8-1)*100)</f>
        <v>1.4285058104818282</v>
      </c>
      <c r="M8" s="7">
        <v>0.42032410027881273</v>
      </c>
    </row>
    <row r="9" spans="1:14" x14ac:dyDescent="0.25">
      <c r="A9" s="1">
        <v>51</v>
      </c>
      <c r="B9" s="2">
        <v>6</v>
      </c>
      <c r="C9" s="27"/>
      <c r="D9" s="27"/>
      <c r="E9" s="2">
        <v>6</v>
      </c>
      <c r="F9" s="2" t="s">
        <v>14</v>
      </c>
      <c r="G9" s="2"/>
      <c r="H9" s="3">
        <v>1393</v>
      </c>
      <c r="I9" s="3">
        <v>1376.96</v>
      </c>
      <c r="J9" s="3">
        <v>1379.9032</v>
      </c>
      <c r="K9" s="3">
        <f t="shared" si="0"/>
        <v>0.98848528356066045</v>
      </c>
      <c r="L9" s="7">
        <f t="shared" si="1"/>
        <v>1.1648849639786185</v>
      </c>
      <c r="M9" s="7">
        <v>0.94911005351681066</v>
      </c>
    </row>
    <row r="10" spans="1:14" x14ac:dyDescent="0.25">
      <c r="B10" s="2"/>
      <c r="C10" s="27"/>
      <c r="D10" s="27"/>
      <c r="E10" s="6"/>
      <c r="F10" s="2" t="s">
        <v>5</v>
      </c>
      <c r="G10" s="2"/>
      <c r="H10" s="3"/>
      <c r="I10" s="3"/>
      <c r="J10" s="3"/>
      <c r="K10" s="3">
        <f>AVERAGE(K4:K9)</f>
        <v>0.98776425280575386</v>
      </c>
      <c r="L10" s="3">
        <f>AVERAGE(L4:L9)</f>
        <v>1.7615933265697121</v>
      </c>
      <c r="M10" s="3">
        <f>AVERAGE(M4:M9)</f>
        <v>4.3940121288190284</v>
      </c>
    </row>
    <row r="11" spans="1:14" x14ac:dyDescent="0.25">
      <c r="B11" s="2"/>
      <c r="C11" s="27"/>
      <c r="D11" s="27"/>
      <c r="E11" s="6"/>
      <c r="F11" s="2" t="s">
        <v>6</v>
      </c>
      <c r="G11" s="2"/>
      <c r="H11" s="3"/>
      <c r="I11" s="3"/>
      <c r="J11" s="3"/>
      <c r="K11" s="4">
        <f>_xlfn.STDEV.P(K4:K9)/K10</f>
        <v>2.1228945037975476E-2</v>
      </c>
      <c r="L11" s="7"/>
      <c r="M11" s="2"/>
    </row>
    <row r="12" spans="1:14" x14ac:dyDescent="0.25">
      <c r="B12" s="2"/>
      <c r="C12" s="27"/>
      <c r="D12" s="27"/>
      <c r="E12" s="6"/>
      <c r="F12" s="2"/>
      <c r="G12" s="2"/>
      <c r="H12" s="3"/>
      <c r="I12" s="3"/>
      <c r="J12" s="3"/>
      <c r="K12" s="3"/>
      <c r="L12" s="7"/>
      <c r="M12" s="2"/>
    </row>
    <row r="13" spans="1:14" x14ac:dyDescent="0.25">
      <c r="A13" s="1">
        <v>52</v>
      </c>
      <c r="B13" s="2">
        <v>7</v>
      </c>
      <c r="C13" s="27"/>
      <c r="D13" s="27"/>
      <c r="E13" s="2">
        <v>7</v>
      </c>
      <c r="F13" s="2" t="s">
        <v>15</v>
      </c>
      <c r="G13" s="2"/>
      <c r="H13" s="3">
        <v>1180</v>
      </c>
      <c r="I13" s="3">
        <v>1135.27</v>
      </c>
      <c r="J13" s="3">
        <v>1138.7763</v>
      </c>
      <c r="K13" s="3">
        <f>I13/H13</f>
        <v>0.96209322033898304</v>
      </c>
      <c r="L13" s="7">
        <f t="shared" si="1"/>
        <v>3.9400318866877448</v>
      </c>
      <c r="M13" s="7">
        <v>3.6199998191040583</v>
      </c>
    </row>
    <row r="14" spans="1:14" x14ac:dyDescent="0.25">
      <c r="A14" s="1">
        <v>53</v>
      </c>
      <c r="B14" s="2">
        <v>8</v>
      </c>
      <c r="C14" s="27"/>
      <c r="D14" s="27"/>
      <c r="E14" s="2">
        <v>8</v>
      </c>
      <c r="F14" s="2" t="s">
        <v>16</v>
      </c>
      <c r="G14" s="2"/>
      <c r="H14" s="3">
        <v>1443</v>
      </c>
      <c r="I14" s="3">
        <v>1404.2</v>
      </c>
      <c r="J14" s="3">
        <v>1374.9011</v>
      </c>
      <c r="K14" s="3">
        <f>I14/H14</f>
        <v>0.97311157311157315</v>
      </c>
      <c r="L14" s="7">
        <f t="shared" si="1"/>
        <v>2.763139153966665</v>
      </c>
      <c r="M14" s="7">
        <v>4.9530035287629115</v>
      </c>
    </row>
    <row r="15" spans="1:14" x14ac:dyDescent="0.25">
      <c r="A15" s="1">
        <v>54</v>
      </c>
      <c r="B15" s="2">
        <v>9</v>
      </c>
      <c r="C15" s="27"/>
      <c r="D15" s="27"/>
      <c r="E15" s="2">
        <v>9</v>
      </c>
      <c r="F15" s="2" t="s">
        <v>17</v>
      </c>
      <c r="G15" s="2"/>
      <c r="H15" s="3">
        <v>1078</v>
      </c>
      <c r="I15" s="3">
        <v>1103.48</v>
      </c>
      <c r="J15" s="3">
        <v>1019.1925</v>
      </c>
      <c r="K15" s="3">
        <f>I15/H15</f>
        <v>1.0236363636363637</v>
      </c>
      <c r="L15" s="7">
        <f>ABS((H15/I15-1)*100)</f>
        <v>2.3090586145648295</v>
      </c>
      <c r="M15" s="7">
        <v>5.7700091003416887</v>
      </c>
    </row>
    <row r="16" spans="1:14" x14ac:dyDescent="0.25">
      <c r="A16" s="1">
        <v>55</v>
      </c>
      <c r="B16" s="2">
        <v>10</v>
      </c>
      <c r="C16" s="27"/>
      <c r="D16" s="27"/>
      <c r="E16" s="2">
        <v>10</v>
      </c>
      <c r="F16" s="2" t="s">
        <v>18</v>
      </c>
      <c r="G16" s="2"/>
      <c r="H16" s="3">
        <v>1281</v>
      </c>
      <c r="I16" s="3">
        <v>1237.2</v>
      </c>
      <c r="J16" s="3">
        <v>1186.2917</v>
      </c>
      <c r="K16" s="3">
        <f>I16/H16</f>
        <v>0.96580796252927403</v>
      </c>
      <c r="L16" s="7">
        <f t="shared" si="1"/>
        <v>3.5402521823472366</v>
      </c>
      <c r="M16" s="7">
        <v>7.9835591870026645</v>
      </c>
    </row>
    <row r="17" spans="1:13" x14ac:dyDescent="0.25">
      <c r="A17" s="1">
        <v>56</v>
      </c>
      <c r="B17" s="2">
        <v>11</v>
      </c>
      <c r="C17" s="27"/>
      <c r="D17" s="27"/>
      <c r="E17" s="2">
        <v>11</v>
      </c>
      <c r="F17" s="2" t="s">
        <v>19</v>
      </c>
      <c r="G17" s="2"/>
      <c r="H17" s="3">
        <v>896</v>
      </c>
      <c r="I17" s="3">
        <v>858.98400000000004</v>
      </c>
      <c r="J17" s="3">
        <v>857.29360999999994</v>
      </c>
      <c r="K17" s="3">
        <f>I17/H17</f>
        <v>0.95868750000000003</v>
      </c>
      <c r="L17" s="7">
        <f t="shared" si="1"/>
        <v>4.3092770063237529</v>
      </c>
      <c r="M17" s="7">
        <v>4.5149514178695505</v>
      </c>
    </row>
    <row r="18" spans="1:13" x14ac:dyDescent="0.25">
      <c r="A18" s="1">
        <v>57</v>
      </c>
      <c r="B18" s="2">
        <v>12</v>
      </c>
      <c r="C18" s="27"/>
      <c r="D18" s="27"/>
      <c r="E18" s="2">
        <v>12</v>
      </c>
      <c r="F18" s="2" t="s">
        <v>20</v>
      </c>
      <c r="G18" s="2"/>
      <c r="H18" s="3">
        <v>1161</v>
      </c>
      <c r="I18" s="3">
        <v>1158.71</v>
      </c>
      <c r="J18" s="3">
        <v>1066.4421</v>
      </c>
      <c r="K18" s="3">
        <v>1.0051519509670828</v>
      </c>
      <c r="L18" s="7">
        <f t="shared" si="1"/>
        <v>0.19763357526905168</v>
      </c>
      <c r="M18" s="7">
        <v>8.8666698360839291</v>
      </c>
    </row>
    <row r="19" spans="1:13" x14ac:dyDescent="0.25">
      <c r="B19" s="2"/>
      <c r="C19" s="27"/>
      <c r="D19" s="27"/>
      <c r="E19" s="6"/>
      <c r="F19" s="2" t="s">
        <v>5</v>
      </c>
      <c r="G19" s="2"/>
      <c r="H19" s="3"/>
      <c r="I19" s="3"/>
      <c r="J19" s="3"/>
      <c r="K19" s="3">
        <f>AVERAGE(K13:K18)</f>
        <v>0.98141476176387943</v>
      </c>
      <c r="L19" s="3">
        <f>AVERAGE(L13:L18)</f>
        <v>2.8432320698598801</v>
      </c>
      <c r="M19" s="3">
        <f>AVERAGE(M13:M18)</f>
        <v>5.9513654815274677</v>
      </c>
    </row>
    <row r="20" spans="1:13" x14ac:dyDescent="0.25">
      <c r="B20" s="2"/>
      <c r="C20" s="27"/>
      <c r="D20" s="27"/>
      <c r="E20" s="6"/>
      <c r="F20" s="2" t="s">
        <v>6</v>
      </c>
      <c r="G20" s="2"/>
      <c r="H20" s="4"/>
      <c r="I20" s="4"/>
      <c r="J20" s="4"/>
      <c r="K20" s="4">
        <f>_xlfn.STDEV.P(K13:K18)/K19</f>
        <v>2.4779536203101103E-2</v>
      </c>
      <c r="L20" s="2"/>
      <c r="M20" s="2"/>
    </row>
    <row r="21" spans="1:13" x14ac:dyDescent="0.25">
      <c r="B21" s="2"/>
      <c r="C21" s="28" t="s">
        <v>27</v>
      </c>
      <c r="D21" s="29"/>
      <c r="E21" s="29"/>
      <c r="F21" s="29"/>
      <c r="G21" s="29"/>
      <c r="H21" s="29"/>
      <c r="I21" s="29"/>
      <c r="J21" s="29"/>
      <c r="K21" s="29"/>
      <c r="L21" s="29"/>
      <c r="M21" s="30"/>
    </row>
  </sheetData>
  <mergeCells count="15">
    <mergeCell ref="L2:L3"/>
    <mergeCell ref="M2:M3"/>
    <mergeCell ref="C4:C20"/>
    <mergeCell ref="D4:D20"/>
    <mergeCell ref="C21:M21"/>
    <mergeCell ref="E2:E3"/>
    <mergeCell ref="H2:H3"/>
    <mergeCell ref="I2:I3"/>
    <mergeCell ref="K2:K3"/>
    <mergeCell ref="J2:J3"/>
    <mergeCell ref="B2:B3"/>
    <mergeCell ref="C2:C3"/>
    <mergeCell ref="D2:D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748A-9D48-4548-BD4B-AF639B8DDDF4}">
  <sheetPr codeName="Sheet2"/>
  <dimension ref="A2:N21"/>
  <sheetViews>
    <sheetView zoomScale="160" zoomScaleNormal="160" workbookViewId="0">
      <pane xSplit="1" topLeftCell="B1" activePane="topRight" state="frozen"/>
      <selection pane="topRight" activeCell="C2" sqref="C2:M11"/>
    </sheetView>
  </sheetViews>
  <sheetFormatPr defaultColWidth="9.140625" defaultRowHeight="15" x14ac:dyDescent="0.25"/>
  <cols>
    <col min="1" max="2" width="9.140625" style="1"/>
    <col min="3" max="3" width="22.5703125" style="1" bestFit="1" customWidth="1"/>
    <col min="4" max="4" width="10.42578125" style="1" bestFit="1" customWidth="1"/>
    <col min="5" max="5" width="10.42578125" style="1" customWidth="1"/>
    <col min="6" max="6" width="13.7109375" style="1" bestFit="1" customWidth="1"/>
    <col min="7" max="7" width="12.140625" style="1" bestFit="1" customWidth="1"/>
    <col min="8" max="12" width="9.140625" style="1"/>
    <col min="13" max="13" width="11.85546875" style="1" bestFit="1" customWidth="1"/>
    <col min="14" max="16384" width="9.140625" style="1"/>
  </cols>
  <sheetData>
    <row r="2" spans="1:14" ht="17.100000000000001" customHeight="1" x14ac:dyDescent="0.25">
      <c r="B2" s="26"/>
      <c r="C2" s="26" t="s">
        <v>0</v>
      </c>
      <c r="D2" s="26" t="s">
        <v>1</v>
      </c>
      <c r="E2" s="31" t="s">
        <v>7</v>
      </c>
      <c r="F2" s="26" t="s">
        <v>2</v>
      </c>
      <c r="G2" s="26" t="s">
        <v>3</v>
      </c>
      <c r="H2" s="26" t="s">
        <v>21</v>
      </c>
      <c r="I2" s="26" t="s">
        <v>23</v>
      </c>
      <c r="J2" s="26" t="s">
        <v>24</v>
      </c>
      <c r="K2" s="26" t="s">
        <v>4</v>
      </c>
      <c r="L2" s="26" t="s">
        <v>25</v>
      </c>
      <c r="M2" s="26" t="s">
        <v>26</v>
      </c>
    </row>
    <row r="3" spans="1:14" x14ac:dyDescent="0.25">
      <c r="A3" s="1" t="s">
        <v>7</v>
      </c>
      <c r="B3" s="26"/>
      <c r="C3" s="26"/>
      <c r="D3" s="26"/>
      <c r="E3" s="32"/>
      <c r="F3" s="26"/>
      <c r="G3" s="26"/>
      <c r="H3" s="26"/>
      <c r="I3" s="26"/>
      <c r="J3" s="26"/>
      <c r="K3" s="26"/>
      <c r="L3" s="26"/>
      <c r="M3" s="26"/>
    </row>
    <row r="4" spans="1:14" x14ac:dyDescent="0.25">
      <c r="A4" s="1">
        <v>46</v>
      </c>
      <c r="B4" s="2">
        <v>1</v>
      </c>
      <c r="C4" s="33" t="s">
        <v>22</v>
      </c>
      <c r="D4" s="33" t="s">
        <v>8</v>
      </c>
      <c r="E4" s="2">
        <v>7</v>
      </c>
      <c r="F4" s="2" t="s">
        <v>15</v>
      </c>
      <c r="G4" s="2"/>
      <c r="H4" s="3">
        <v>1180</v>
      </c>
      <c r="I4" s="3">
        <v>1135.27</v>
      </c>
      <c r="J4" s="3">
        <v>1138.7763</v>
      </c>
      <c r="K4" s="3">
        <f>I4/H4</f>
        <v>0.96209322033898304</v>
      </c>
      <c r="L4" s="7">
        <f t="shared" ref="L4:L9" si="0">(H4/I4-1)*100</f>
        <v>3.9400318866877448</v>
      </c>
      <c r="M4" s="7">
        <v>3.6199998191040583</v>
      </c>
    </row>
    <row r="5" spans="1:14" x14ac:dyDescent="0.25">
      <c r="A5" s="1">
        <v>47</v>
      </c>
      <c r="B5" s="2">
        <v>2</v>
      </c>
      <c r="C5" s="34"/>
      <c r="D5" s="34"/>
      <c r="E5" s="2">
        <v>8</v>
      </c>
      <c r="F5" s="2" t="s">
        <v>16</v>
      </c>
      <c r="G5" s="2"/>
      <c r="H5" s="3">
        <v>1443</v>
      </c>
      <c r="I5" s="3">
        <v>1404.2</v>
      </c>
      <c r="J5" s="3">
        <v>1374.9011</v>
      </c>
      <c r="K5" s="3">
        <f>I5/H5</f>
        <v>0.97311157311157315</v>
      </c>
      <c r="L5" s="7">
        <f t="shared" si="0"/>
        <v>2.763139153966665</v>
      </c>
      <c r="M5" s="7">
        <v>4.9530035287629115</v>
      </c>
    </row>
    <row r="6" spans="1:14" x14ac:dyDescent="0.25">
      <c r="A6" s="1">
        <v>48</v>
      </c>
      <c r="B6" s="2">
        <v>3</v>
      </c>
      <c r="C6" s="34"/>
      <c r="D6" s="34"/>
      <c r="E6" s="2">
        <v>9</v>
      </c>
      <c r="F6" s="2" t="s">
        <v>17</v>
      </c>
      <c r="G6" s="2"/>
      <c r="H6" s="3">
        <v>1078</v>
      </c>
      <c r="I6" s="3">
        <v>1103.48</v>
      </c>
      <c r="J6" s="3">
        <v>1019.1925</v>
      </c>
      <c r="K6" s="3">
        <f>I6/H6</f>
        <v>1.0236363636363637</v>
      </c>
      <c r="L6" s="7">
        <f>ABS((H6/I6-1)*100)</f>
        <v>2.3090586145648295</v>
      </c>
      <c r="M6" s="7">
        <v>5.7700091003416887</v>
      </c>
      <c r="N6" s="5"/>
    </row>
    <row r="7" spans="1:14" x14ac:dyDescent="0.25">
      <c r="A7" s="1">
        <v>49</v>
      </c>
      <c r="B7" s="2">
        <v>4</v>
      </c>
      <c r="C7" s="34"/>
      <c r="D7" s="34"/>
      <c r="E7" s="2">
        <v>10</v>
      </c>
      <c r="F7" s="2" t="s">
        <v>18</v>
      </c>
      <c r="G7" s="2"/>
      <c r="H7" s="3">
        <v>1281</v>
      </c>
      <c r="I7" s="3">
        <v>1237.2</v>
      </c>
      <c r="J7" s="3">
        <v>1186.2917</v>
      </c>
      <c r="K7" s="3">
        <f>I7/H7</f>
        <v>0.96580796252927403</v>
      </c>
      <c r="L7" s="7">
        <f t="shared" si="0"/>
        <v>3.5402521823472366</v>
      </c>
      <c r="M7" s="7">
        <v>7.9835591870026645</v>
      </c>
    </row>
    <row r="8" spans="1:14" x14ac:dyDescent="0.25">
      <c r="A8" s="1">
        <v>50</v>
      </c>
      <c r="B8" s="2">
        <v>5</v>
      </c>
      <c r="C8" s="34"/>
      <c r="D8" s="34"/>
      <c r="E8" s="2">
        <v>11</v>
      </c>
      <c r="F8" s="2" t="s">
        <v>19</v>
      </c>
      <c r="G8" s="2"/>
      <c r="H8" s="3">
        <v>896</v>
      </c>
      <c r="I8" s="3">
        <v>858.98400000000004</v>
      </c>
      <c r="J8" s="3">
        <v>857.29360999999994</v>
      </c>
      <c r="K8" s="3">
        <f>I8/H8</f>
        <v>0.95868750000000003</v>
      </c>
      <c r="L8" s="7">
        <f t="shared" si="0"/>
        <v>4.3092770063237529</v>
      </c>
      <c r="M8" s="7">
        <v>4.5149514178695505</v>
      </c>
    </row>
    <row r="9" spans="1:14" x14ac:dyDescent="0.25">
      <c r="A9" s="1">
        <v>51</v>
      </c>
      <c r="B9" s="2">
        <v>6</v>
      </c>
      <c r="C9" s="34"/>
      <c r="D9" s="34"/>
      <c r="E9" s="2">
        <v>12</v>
      </c>
      <c r="F9" s="2" t="s">
        <v>20</v>
      </c>
      <c r="G9" s="2"/>
      <c r="H9" s="3">
        <v>1161</v>
      </c>
      <c r="I9" s="3">
        <v>1158.71</v>
      </c>
      <c r="J9" s="3">
        <v>1066.4421</v>
      </c>
      <c r="K9" s="3">
        <v>1.0051519509670828</v>
      </c>
      <c r="L9" s="7">
        <f t="shared" si="0"/>
        <v>0.19763357526905168</v>
      </c>
      <c r="M9" s="7">
        <v>8.8666698360839291</v>
      </c>
    </row>
    <row r="10" spans="1:14" x14ac:dyDescent="0.25">
      <c r="B10" s="2"/>
      <c r="C10" s="34"/>
      <c r="D10" s="34"/>
      <c r="E10" s="6"/>
      <c r="F10" s="2" t="s">
        <v>5</v>
      </c>
      <c r="G10" s="2"/>
      <c r="H10" s="3"/>
      <c r="I10" s="3"/>
      <c r="J10" s="3"/>
      <c r="K10" s="3">
        <f>AVERAGE(K4:K9)</f>
        <v>0.98141476176387943</v>
      </c>
      <c r="L10" s="3">
        <f>AVERAGE(L4:L9)</f>
        <v>2.8432320698598801</v>
      </c>
      <c r="M10" s="3">
        <f>AVERAGE(M4:M9)</f>
        <v>5.9513654815274677</v>
      </c>
    </row>
    <row r="11" spans="1:14" x14ac:dyDescent="0.25">
      <c r="B11" s="2"/>
      <c r="C11" s="35"/>
      <c r="D11" s="35"/>
      <c r="E11" s="6"/>
      <c r="F11" s="2" t="s">
        <v>6</v>
      </c>
      <c r="G11" s="2"/>
      <c r="H11" s="4"/>
      <c r="I11" s="4"/>
      <c r="J11" s="4"/>
      <c r="K11" s="4">
        <f>_xlfn.STDEV.P(K4:K9)/K10</f>
        <v>2.4779536203101103E-2</v>
      </c>
      <c r="L11" s="2"/>
      <c r="M11" s="2"/>
    </row>
    <row r="12" spans="1:14" x14ac:dyDescent="0.25">
      <c r="B12" s="2"/>
      <c r="C12" s="11"/>
      <c r="D12" s="11"/>
      <c r="E12" s="9"/>
      <c r="F12" s="9"/>
      <c r="G12" s="9"/>
      <c r="H12" s="9"/>
      <c r="I12" s="9"/>
      <c r="J12" s="9"/>
      <c r="K12" s="9"/>
      <c r="L12" s="9"/>
      <c r="M12" s="10"/>
    </row>
    <row r="13" spans="1:14" x14ac:dyDescent="0.25">
      <c r="B13" s="2"/>
      <c r="C13" s="11"/>
      <c r="D13" s="11"/>
    </row>
    <row r="14" spans="1:14" x14ac:dyDescent="0.25">
      <c r="B14" s="2"/>
      <c r="C14" s="11"/>
      <c r="D14" s="11"/>
    </row>
    <row r="15" spans="1:14" x14ac:dyDescent="0.25">
      <c r="B15" s="2"/>
      <c r="C15" s="11"/>
      <c r="D15" s="11"/>
    </row>
    <row r="16" spans="1:14" x14ac:dyDescent="0.25">
      <c r="B16" s="2"/>
      <c r="C16" s="11"/>
      <c r="D16" s="11"/>
    </row>
    <row r="17" spans="2:4" x14ac:dyDescent="0.25">
      <c r="B17" s="2"/>
      <c r="C17" s="11"/>
      <c r="D17" s="11"/>
    </row>
    <row r="18" spans="2:4" x14ac:dyDescent="0.25">
      <c r="B18" s="2"/>
      <c r="C18" s="11"/>
      <c r="D18" s="11"/>
    </row>
    <row r="19" spans="2:4" x14ac:dyDescent="0.25">
      <c r="B19" s="2"/>
      <c r="C19" s="11"/>
      <c r="D19" s="11"/>
    </row>
    <row r="20" spans="2:4" x14ac:dyDescent="0.25">
      <c r="B20" s="2"/>
      <c r="C20" s="11"/>
      <c r="D20" s="11"/>
    </row>
    <row r="21" spans="2:4" x14ac:dyDescent="0.25">
      <c r="B21" s="2"/>
      <c r="C21" s="8" t="s">
        <v>27</v>
      </c>
      <c r="D21" s="9"/>
    </row>
  </sheetData>
  <mergeCells count="14">
    <mergeCell ref="B2:B3"/>
    <mergeCell ref="C2:C3"/>
    <mergeCell ref="D2:D3"/>
    <mergeCell ref="E2:E3"/>
    <mergeCell ref="F2:F3"/>
    <mergeCell ref="K2:K3"/>
    <mergeCell ref="L2:L3"/>
    <mergeCell ref="M2:M3"/>
    <mergeCell ref="G2:G3"/>
    <mergeCell ref="C4:C11"/>
    <mergeCell ref="D4:D11"/>
    <mergeCell ref="H2:H3"/>
    <mergeCell ref="I2:I3"/>
    <mergeCell ref="J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038D-B67A-417F-A646-CD4957046EBD}">
  <sheetPr codeName="Sheet3"/>
  <dimension ref="A2:N21"/>
  <sheetViews>
    <sheetView zoomScale="160" zoomScaleNormal="160" workbookViewId="0">
      <pane xSplit="1" topLeftCell="B1" activePane="topRight" state="frozen"/>
      <selection pane="topRight" activeCell="C21" sqref="C21:M21"/>
    </sheetView>
  </sheetViews>
  <sheetFormatPr defaultColWidth="9.140625" defaultRowHeight="15" x14ac:dyDescent="0.25"/>
  <cols>
    <col min="1" max="2" width="9.140625" style="1"/>
    <col min="3" max="3" width="22.5703125" style="1" bestFit="1" customWidth="1"/>
    <col min="4" max="4" width="10.42578125" style="1" bestFit="1" customWidth="1"/>
    <col min="5" max="5" width="10.42578125" style="1" customWidth="1"/>
    <col min="6" max="6" width="13.7109375" style="1" bestFit="1" customWidth="1"/>
    <col min="7" max="7" width="12.140625" style="1" bestFit="1" customWidth="1"/>
    <col min="8" max="12" width="9.140625" style="1"/>
    <col min="13" max="13" width="11.85546875" style="1" bestFit="1" customWidth="1"/>
    <col min="14" max="16384" width="9.140625" style="1"/>
  </cols>
  <sheetData>
    <row r="2" spans="1:14" ht="17.100000000000001" customHeight="1" x14ac:dyDescent="0.25">
      <c r="B2" s="26"/>
      <c r="C2" s="26" t="s">
        <v>0</v>
      </c>
      <c r="D2" s="26" t="s">
        <v>1</v>
      </c>
      <c r="E2" s="31" t="s">
        <v>7</v>
      </c>
      <c r="F2" s="26" t="s">
        <v>2</v>
      </c>
      <c r="G2" s="26" t="s">
        <v>3</v>
      </c>
      <c r="H2" s="26" t="s">
        <v>21</v>
      </c>
      <c r="I2" s="26" t="s">
        <v>23</v>
      </c>
      <c r="J2" s="26" t="s">
        <v>24</v>
      </c>
      <c r="K2" s="26" t="s">
        <v>4</v>
      </c>
      <c r="L2" s="26" t="s">
        <v>25</v>
      </c>
      <c r="M2" s="26" t="s">
        <v>26</v>
      </c>
    </row>
    <row r="3" spans="1:14" x14ac:dyDescent="0.25">
      <c r="A3" s="1" t="s">
        <v>7</v>
      </c>
      <c r="B3" s="26"/>
      <c r="C3" s="26"/>
      <c r="D3" s="26"/>
      <c r="E3" s="32"/>
      <c r="F3" s="26"/>
      <c r="G3" s="26"/>
      <c r="H3" s="26"/>
      <c r="I3" s="26"/>
      <c r="J3" s="26"/>
      <c r="K3" s="26"/>
      <c r="L3" s="26"/>
      <c r="M3" s="26"/>
    </row>
    <row r="4" spans="1:14" x14ac:dyDescent="0.25">
      <c r="A4" s="1">
        <v>46</v>
      </c>
      <c r="B4" s="2">
        <v>1</v>
      </c>
      <c r="C4" s="27" t="s">
        <v>22</v>
      </c>
      <c r="D4" s="27" t="s">
        <v>8</v>
      </c>
      <c r="E4" s="2">
        <v>1</v>
      </c>
      <c r="F4" s="2" t="s">
        <v>9</v>
      </c>
      <c r="G4" s="2"/>
      <c r="H4" s="3">
        <v>1369</v>
      </c>
      <c r="I4" s="3">
        <v>1362.4</v>
      </c>
      <c r="J4" s="3">
        <v>1345.7576666666666</v>
      </c>
      <c r="K4" s="3">
        <f t="shared" ref="K4:K9" si="0">I4/H4</f>
        <v>0.99517896274653039</v>
      </c>
      <c r="L4" s="7">
        <f>(H4/I4-1)*100</f>
        <v>0.48443922489722624</v>
      </c>
      <c r="M4" s="7">
        <v>1.7270816216787832</v>
      </c>
    </row>
    <row r="5" spans="1:14" x14ac:dyDescent="0.25">
      <c r="A5" s="1">
        <v>47</v>
      </c>
      <c r="B5" s="2">
        <v>2</v>
      </c>
      <c r="C5" s="27"/>
      <c r="D5" s="27"/>
      <c r="E5" s="2">
        <v>2</v>
      </c>
      <c r="F5" s="2" t="s">
        <v>10</v>
      </c>
      <c r="G5" s="2"/>
      <c r="H5" s="3">
        <v>1636</v>
      </c>
      <c r="I5" s="3">
        <v>1616.01</v>
      </c>
      <c r="J5" s="3">
        <v>1605.4602666666667</v>
      </c>
      <c r="K5" s="3">
        <f t="shared" si="0"/>
        <v>0.98778117359413198</v>
      </c>
      <c r="L5" s="7">
        <f t="shared" ref="L5:L18" si="1">(H5/I5-1)*100</f>
        <v>1.2369972958088171</v>
      </c>
      <c r="M5" s="7">
        <v>1.9022416167758127</v>
      </c>
    </row>
    <row r="6" spans="1:14" x14ac:dyDescent="0.25">
      <c r="A6" s="1">
        <v>48</v>
      </c>
      <c r="B6" s="2">
        <v>3</v>
      </c>
      <c r="C6" s="27"/>
      <c r="D6" s="27"/>
      <c r="E6" s="2">
        <v>3</v>
      </c>
      <c r="F6" s="2" t="s">
        <v>11</v>
      </c>
      <c r="G6" s="2"/>
      <c r="H6" s="3">
        <v>1430</v>
      </c>
      <c r="I6" s="3">
        <v>1351.67</v>
      </c>
      <c r="J6" s="3">
        <v>1273.7614000000001</v>
      </c>
      <c r="K6" s="3">
        <f t="shared" si="0"/>
        <v>0.94522377622377629</v>
      </c>
      <c r="L6" s="7">
        <f t="shared" si="1"/>
        <v>5.7950535263784797</v>
      </c>
      <c r="M6" s="7">
        <v>12.265923586630901</v>
      </c>
      <c r="N6" s="5"/>
    </row>
    <row r="7" spans="1:14" x14ac:dyDescent="0.25">
      <c r="A7" s="1">
        <v>49</v>
      </c>
      <c r="B7" s="2">
        <v>4</v>
      </c>
      <c r="C7" s="27"/>
      <c r="D7" s="27"/>
      <c r="E7" s="2">
        <v>4</v>
      </c>
      <c r="F7" s="2" t="s">
        <v>12</v>
      </c>
      <c r="G7" s="2"/>
      <c r="H7" s="3">
        <v>1650</v>
      </c>
      <c r="I7" s="3">
        <v>1642.45</v>
      </c>
      <c r="J7" s="3">
        <v>1512.3824</v>
      </c>
      <c r="K7" s="3">
        <f t="shared" si="0"/>
        <v>0.99542424242424243</v>
      </c>
      <c r="L7" s="7">
        <f t="shared" si="1"/>
        <v>0.45967913787330339</v>
      </c>
      <c r="M7" s="7">
        <v>9.0993917940330515</v>
      </c>
    </row>
    <row r="8" spans="1:14" x14ac:dyDescent="0.25">
      <c r="A8" s="1">
        <v>50</v>
      </c>
      <c r="B8" s="2">
        <v>5</v>
      </c>
      <c r="C8" s="27"/>
      <c r="D8" s="27"/>
      <c r="E8" s="2">
        <v>5</v>
      </c>
      <c r="F8" s="2" t="s">
        <v>13</v>
      </c>
      <c r="G8" s="2"/>
      <c r="H8" s="3">
        <v>1073</v>
      </c>
      <c r="I8" s="3">
        <v>1088.55</v>
      </c>
      <c r="J8" s="3">
        <v>1068.5088000000001</v>
      </c>
      <c r="K8" s="3">
        <f t="shared" si="0"/>
        <v>1.0144920782851816</v>
      </c>
      <c r="L8" s="7">
        <f>ABS((H8/I8-1)*100)</f>
        <v>1.4285058104818282</v>
      </c>
      <c r="M8" s="7">
        <v>0.42032410027881273</v>
      </c>
    </row>
    <row r="9" spans="1:14" x14ac:dyDescent="0.25">
      <c r="A9" s="1">
        <v>51</v>
      </c>
      <c r="B9" s="2">
        <v>6</v>
      </c>
      <c r="C9" s="27"/>
      <c r="D9" s="27"/>
      <c r="E9" s="2">
        <v>6</v>
      </c>
      <c r="F9" s="2" t="s">
        <v>14</v>
      </c>
      <c r="G9" s="2"/>
      <c r="H9" s="3">
        <v>1393</v>
      </c>
      <c r="I9" s="3">
        <v>1376.96</v>
      </c>
      <c r="J9" s="3">
        <v>1379.9032</v>
      </c>
      <c r="K9" s="3">
        <f t="shared" si="0"/>
        <v>0.98848528356066045</v>
      </c>
      <c r="L9" s="7">
        <f t="shared" si="1"/>
        <v>1.1648849639786185</v>
      </c>
      <c r="M9" s="7">
        <v>0.94911005351681066</v>
      </c>
    </row>
    <row r="10" spans="1:14" x14ac:dyDescent="0.25">
      <c r="B10" s="2"/>
      <c r="C10" s="27"/>
      <c r="D10" s="27"/>
      <c r="E10" s="6"/>
      <c r="F10" s="2" t="s">
        <v>5</v>
      </c>
      <c r="G10" s="2"/>
      <c r="H10" s="3"/>
      <c r="I10" s="3"/>
      <c r="J10" s="3"/>
      <c r="K10" s="3">
        <f>AVERAGE(K4:K9)</f>
        <v>0.98776425280575386</v>
      </c>
      <c r="L10" s="3">
        <f>AVERAGE(L4:L9)</f>
        <v>1.7615933265697121</v>
      </c>
      <c r="M10" s="3">
        <f>AVERAGE(M4:M9)</f>
        <v>4.3940121288190284</v>
      </c>
    </row>
    <row r="11" spans="1:14" x14ac:dyDescent="0.25">
      <c r="B11" s="2"/>
      <c r="C11" s="27"/>
      <c r="D11" s="27"/>
      <c r="E11" s="6"/>
      <c r="F11" s="2" t="s">
        <v>6</v>
      </c>
      <c r="G11" s="2"/>
      <c r="H11" s="3"/>
      <c r="I11" s="3"/>
      <c r="J11" s="3"/>
      <c r="K11" s="4">
        <f>_xlfn.STDEV.P(K4:K9)/K10</f>
        <v>2.1228945037975476E-2</v>
      </c>
      <c r="L11" s="7"/>
      <c r="M11" s="2"/>
    </row>
    <row r="12" spans="1:14" x14ac:dyDescent="0.25">
      <c r="B12" s="2"/>
      <c r="C12" s="27"/>
      <c r="D12" s="27"/>
      <c r="E12" s="6"/>
      <c r="F12" s="2"/>
      <c r="G12" s="2"/>
      <c r="H12" s="3"/>
      <c r="I12" s="3"/>
      <c r="J12" s="3"/>
      <c r="K12" s="3"/>
      <c r="L12" s="7"/>
      <c r="M12" s="2"/>
    </row>
    <row r="13" spans="1:14" x14ac:dyDescent="0.25">
      <c r="A13" s="1">
        <v>52</v>
      </c>
      <c r="B13" s="2">
        <v>7</v>
      </c>
      <c r="C13" s="27"/>
      <c r="D13" s="27"/>
      <c r="E13" s="2">
        <v>7</v>
      </c>
      <c r="F13" s="2" t="s">
        <v>15</v>
      </c>
      <c r="G13" s="2"/>
      <c r="H13" s="3">
        <v>1180</v>
      </c>
      <c r="I13" s="3">
        <v>1135.27</v>
      </c>
      <c r="J13" s="3">
        <v>1138.7763</v>
      </c>
      <c r="K13" s="3">
        <f>I13/H13</f>
        <v>0.96209322033898304</v>
      </c>
      <c r="L13" s="7">
        <f t="shared" si="1"/>
        <v>3.9400318866877448</v>
      </c>
      <c r="M13" s="7">
        <v>3.6199998191040583</v>
      </c>
    </row>
    <row r="14" spans="1:14" x14ac:dyDescent="0.25">
      <c r="A14" s="1">
        <v>53</v>
      </c>
      <c r="B14" s="2">
        <v>8</v>
      </c>
      <c r="C14" s="27"/>
      <c r="D14" s="27"/>
      <c r="E14" s="2">
        <v>8</v>
      </c>
      <c r="F14" s="2" t="s">
        <v>16</v>
      </c>
      <c r="G14" s="2"/>
      <c r="H14" s="3">
        <v>1443</v>
      </c>
      <c r="I14" s="3">
        <v>1404.2</v>
      </c>
      <c r="J14" s="3">
        <v>1374.9011</v>
      </c>
      <c r="K14" s="3">
        <f>I14/H14</f>
        <v>0.97311157311157315</v>
      </c>
      <c r="L14" s="7">
        <f t="shared" si="1"/>
        <v>2.763139153966665</v>
      </c>
      <c r="M14" s="7">
        <v>4.9530035287629115</v>
      </c>
    </row>
    <row r="15" spans="1:14" x14ac:dyDescent="0.25">
      <c r="A15" s="1">
        <v>54</v>
      </c>
      <c r="B15" s="2">
        <v>9</v>
      </c>
      <c r="C15" s="27"/>
      <c r="D15" s="27"/>
      <c r="E15" s="2">
        <v>9</v>
      </c>
      <c r="F15" s="2" t="s">
        <v>17</v>
      </c>
      <c r="G15" s="2"/>
      <c r="H15" s="3">
        <v>1078</v>
      </c>
      <c r="I15" s="3">
        <v>1103.48</v>
      </c>
      <c r="J15" s="3">
        <v>1019.1925</v>
      </c>
      <c r="K15" s="3">
        <f>I15/H15</f>
        <v>1.0236363636363637</v>
      </c>
      <c r="L15" s="7">
        <f>ABS((H15/I15-1)*100)</f>
        <v>2.3090586145648295</v>
      </c>
      <c r="M15" s="7">
        <v>5.7700091003416887</v>
      </c>
    </row>
    <row r="16" spans="1:14" x14ac:dyDescent="0.25">
      <c r="A16" s="1">
        <v>55</v>
      </c>
      <c r="B16" s="2">
        <v>10</v>
      </c>
      <c r="C16" s="27"/>
      <c r="D16" s="27"/>
      <c r="E16" s="2">
        <v>10</v>
      </c>
      <c r="F16" s="2" t="s">
        <v>18</v>
      </c>
      <c r="G16" s="2"/>
      <c r="H16" s="3">
        <v>1281</v>
      </c>
      <c r="I16" s="3">
        <v>1237.2</v>
      </c>
      <c r="J16" s="3">
        <v>1186.2917</v>
      </c>
      <c r="K16" s="3">
        <f>I16/H16</f>
        <v>0.96580796252927403</v>
      </c>
      <c r="L16" s="7">
        <f t="shared" si="1"/>
        <v>3.5402521823472366</v>
      </c>
      <c r="M16" s="7">
        <v>7.9835591870026645</v>
      </c>
    </row>
    <row r="17" spans="1:13" x14ac:dyDescent="0.25">
      <c r="A17" s="1">
        <v>56</v>
      </c>
      <c r="B17" s="2">
        <v>11</v>
      </c>
      <c r="C17" s="27"/>
      <c r="D17" s="27"/>
      <c r="E17" s="2">
        <v>11</v>
      </c>
      <c r="F17" s="2" t="s">
        <v>19</v>
      </c>
      <c r="G17" s="2"/>
      <c r="H17" s="3">
        <v>896</v>
      </c>
      <c r="I17" s="3">
        <v>858.98400000000004</v>
      </c>
      <c r="J17" s="3">
        <v>857.29360999999994</v>
      </c>
      <c r="K17" s="3">
        <f>I17/H17</f>
        <v>0.95868750000000003</v>
      </c>
      <c r="L17" s="7">
        <f t="shared" si="1"/>
        <v>4.3092770063237529</v>
      </c>
      <c r="M17" s="7">
        <v>4.5149514178695505</v>
      </c>
    </row>
    <row r="18" spans="1:13" x14ac:dyDescent="0.25">
      <c r="A18" s="1">
        <v>57</v>
      </c>
      <c r="B18" s="2">
        <v>12</v>
      </c>
      <c r="C18" s="27"/>
      <c r="D18" s="27"/>
      <c r="E18" s="2">
        <v>12</v>
      </c>
      <c r="F18" s="2" t="s">
        <v>20</v>
      </c>
      <c r="G18" s="2"/>
      <c r="H18" s="3">
        <v>1161</v>
      </c>
      <c r="I18" s="3">
        <v>1158.71</v>
      </c>
      <c r="J18" s="3">
        <v>1066.4421</v>
      </c>
      <c r="K18" s="3">
        <v>1.0051519509670828</v>
      </c>
      <c r="L18" s="7">
        <f t="shared" si="1"/>
        <v>0.19763357526905168</v>
      </c>
      <c r="M18" s="7">
        <v>8.8666698360839291</v>
      </c>
    </row>
    <row r="19" spans="1:13" x14ac:dyDescent="0.25">
      <c r="B19" s="2"/>
      <c r="C19" s="27"/>
      <c r="D19" s="27"/>
      <c r="E19" s="6"/>
      <c r="F19" s="2" t="s">
        <v>5</v>
      </c>
      <c r="G19" s="2"/>
      <c r="H19" s="3"/>
      <c r="I19" s="3"/>
      <c r="J19" s="3"/>
      <c r="K19" s="3">
        <f>AVERAGE(K13:K18)</f>
        <v>0.98141476176387943</v>
      </c>
      <c r="L19" s="3">
        <f>AVERAGE(L13:L18)</f>
        <v>2.8432320698598801</v>
      </c>
      <c r="M19" s="3">
        <f>AVERAGE(M13:M18)</f>
        <v>5.9513654815274677</v>
      </c>
    </row>
    <row r="20" spans="1:13" x14ac:dyDescent="0.25">
      <c r="B20" s="2"/>
      <c r="C20" s="27"/>
      <c r="D20" s="27"/>
      <c r="E20" s="6"/>
      <c r="F20" s="2" t="s">
        <v>6</v>
      </c>
      <c r="G20" s="2"/>
      <c r="H20" s="4"/>
      <c r="I20" s="4"/>
      <c r="J20" s="4"/>
      <c r="K20" s="4">
        <f>_xlfn.STDEV.P(K13:K18)/K19</f>
        <v>2.4779536203101103E-2</v>
      </c>
      <c r="L20" s="2"/>
      <c r="M20" s="2"/>
    </row>
    <row r="21" spans="1:13" x14ac:dyDescent="0.25">
      <c r="B21" s="2"/>
      <c r="C21" s="28" t="s">
        <v>27</v>
      </c>
      <c r="D21" s="29"/>
      <c r="E21" s="29"/>
      <c r="F21" s="29"/>
      <c r="G21" s="29"/>
      <c r="H21" s="29"/>
      <c r="I21" s="29"/>
      <c r="J21" s="29"/>
      <c r="K21" s="29"/>
      <c r="L21" s="29"/>
      <c r="M21" s="30"/>
    </row>
  </sheetData>
  <mergeCells count="15">
    <mergeCell ref="B2:B3"/>
    <mergeCell ref="C2:C3"/>
    <mergeCell ref="D2:D3"/>
    <mergeCell ref="E2:E3"/>
    <mergeCell ref="F2:F3"/>
    <mergeCell ref="C4:C20"/>
    <mergeCell ref="D4:D20"/>
    <mergeCell ref="C21:M21"/>
    <mergeCell ref="H2:H3"/>
    <mergeCell ref="I2:I3"/>
    <mergeCell ref="J2:J3"/>
    <mergeCell ref="K2:K3"/>
    <mergeCell ref="L2:L3"/>
    <mergeCell ref="M2:M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2748-0EF8-45E9-B7D4-C016EA2D960E}">
  <sheetPr codeName="Sheet4"/>
  <dimension ref="A2:X25"/>
  <sheetViews>
    <sheetView workbookViewId="0">
      <selection activeCell="A2" sqref="A2:J24"/>
    </sheetView>
  </sheetViews>
  <sheetFormatPr defaultRowHeight="15" x14ac:dyDescent="0.25"/>
  <cols>
    <col min="1" max="1" width="14" customWidth="1"/>
    <col min="3" max="3" width="15.42578125" bestFit="1" customWidth="1"/>
    <col min="4" max="4" width="13.140625" bestFit="1" customWidth="1"/>
    <col min="5" max="6" width="8.42578125" bestFit="1" customWidth="1"/>
    <col min="7" max="7" width="9.42578125" bestFit="1" customWidth="1"/>
    <col min="8" max="8" width="14" bestFit="1" customWidth="1"/>
    <col min="9" max="9" width="8.5703125" bestFit="1" customWidth="1"/>
    <col min="10" max="10" width="11.7109375" bestFit="1" customWidth="1"/>
    <col min="14" max="14" width="17.28515625" customWidth="1"/>
    <col min="16" max="16" width="14.5703125" bestFit="1" customWidth="1"/>
    <col min="17" max="17" width="12.5703125" bestFit="1" customWidth="1"/>
  </cols>
  <sheetData>
    <row r="2" spans="1:24" ht="15.75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28</v>
      </c>
      <c r="F2" s="12" t="s">
        <v>29</v>
      </c>
      <c r="G2" s="12" t="s">
        <v>30</v>
      </c>
      <c r="H2" s="12" t="s">
        <v>31</v>
      </c>
      <c r="I2" s="12" t="s">
        <v>25</v>
      </c>
      <c r="J2" s="12" t="s">
        <v>26</v>
      </c>
    </row>
    <row r="3" spans="1:24" ht="15.75" x14ac:dyDescent="0.25">
      <c r="A3" s="24" t="s">
        <v>22</v>
      </c>
      <c r="B3" s="24" t="s">
        <v>8</v>
      </c>
      <c r="C3" s="12" t="s">
        <v>9</v>
      </c>
      <c r="D3" s="24" t="s">
        <v>32</v>
      </c>
      <c r="E3" s="12">
        <v>1369</v>
      </c>
      <c r="F3" s="13">
        <v>1362.4</v>
      </c>
      <c r="G3" s="13">
        <v>1345.76</v>
      </c>
      <c r="H3" s="14">
        <v>1</v>
      </c>
      <c r="I3" s="12">
        <v>0.5</v>
      </c>
      <c r="J3" s="12">
        <v>1.7</v>
      </c>
    </row>
    <row r="4" spans="1:24" ht="42" customHeight="1" x14ac:dyDescent="0.25">
      <c r="A4" s="24"/>
      <c r="B4" s="24"/>
      <c r="C4" s="12" t="s">
        <v>10</v>
      </c>
      <c r="D4" s="24"/>
      <c r="E4" s="12">
        <v>1636</v>
      </c>
      <c r="F4" s="13">
        <v>1616.01</v>
      </c>
      <c r="G4" s="13">
        <v>1605.46</v>
      </c>
      <c r="H4" s="14">
        <v>0.99</v>
      </c>
      <c r="I4" s="12">
        <v>1.2</v>
      </c>
      <c r="J4" s="12">
        <v>1.9</v>
      </c>
    </row>
    <row r="5" spans="1:24" ht="15.75" x14ac:dyDescent="0.25">
      <c r="A5" s="24"/>
      <c r="B5" s="24"/>
      <c r="C5" s="12" t="s">
        <v>11</v>
      </c>
      <c r="D5" s="24"/>
      <c r="E5" s="12">
        <v>1430</v>
      </c>
      <c r="F5" s="13">
        <v>1351.67</v>
      </c>
      <c r="G5" s="13">
        <v>1273.76</v>
      </c>
      <c r="H5" s="14">
        <v>0.95</v>
      </c>
      <c r="I5" s="12">
        <v>5.8</v>
      </c>
      <c r="J5" s="12">
        <v>12.3</v>
      </c>
    </row>
    <row r="6" spans="1:24" ht="15.75" x14ac:dyDescent="0.25">
      <c r="A6" s="24"/>
      <c r="B6" s="24"/>
      <c r="C6" s="12" t="s">
        <v>12</v>
      </c>
      <c r="D6" s="24"/>
      <c r="E6" s="12">
        <v>1650</v>
      </c>
      <c r="F6" s="13">
        <v>1642.45</v>
      </c>
      <c r="G6" s="13">
        <v>1512.38</v>
      </c>
      <c r="H6" s="14">
        <v>1</v>
      </c>
      <c r="I6" s="12">
        <v>0.5</v>
      </c>
      <c r="J6" s="12">
        <v>9.1</v>
      </c>
    </row>
    <row r="7" spans="1:24" ht="15.75" x14ac:dyDescent="0.25">
      <c r="A7" s="24"/>
      <c r="B7" s="24"/>
      <c r="C7" s="12" t="s">
        <v>13</v>
      </c>
      <c r="D7" s="24"/>
      <c r="E7" s="12">
        <v>1073</v>
      </c>
      <c r="F7" s="13">
        <v>1088.55</v>
      </c>
      <c r="G7" s="13">
        <v>1068.51</v>
      </c>
      <c r="H7" s="14">
        <v>1.01</v>
      </c>
      <c r="I7" s="12">
        <v>1.4</v>
      </c>
      <c r="J7" s="12">
        <v>0.4</v>
      </c>
    </row>
    <row r="8" spans="1:24" ht="15.75" x14ac:dyDescent="0.25">
      <c r="A8" s="24"/>
      <c r="B8" s="24"/>
      <c r="C8" s="12" t="s">
        <v>14</v>
      </c>
      <c r="D8" s="24"/>
      <c r="E8" s="12">
        <v>1393</v>
      </c>
      <c r="F8" s="13">
        <v>1376.96</v>
      </c>
      <c r="G8" s="13">
        <v>1379.9</v>
      </c>
      <c r="H8" s="14">
        <v>0.99</v>
      </c>
      <c r="I8" s="12">
        <v>1.2</v>
      </c>
      <c r="J8" s="12">
        <v>0.9</v>
      </c>
    </row>
    <row r="9" spans="1:24" ht="15.75" x14ac:dyDescent="0.25">
      <c r="A9" s="12"/>
      <c r="B9" s="12"/>
      <c r="C9" s="12" t="s">
        <v>5</v>
      </c>
      <c r="D9" s="12"/>
      <c r="E9" s="12"/>
      <c r="F9" s="12"/>
      <c r="G9" s="12"/>
      <c r="H9" s="14">
        <v>0.99</v>
      </c>
      <c r="I9" s="12">
        <v>1.76</v>
      </c>
      <c r="J9" s="12">
        <v>4.3899999999999997</v>
      </c>
    </row>
    <row r="10" spans="1:24" ht="15.75" x14ac:dyDescent="0.25">
      <c r="A10" s="12"/>
      <c r="B10" s="12"/>
      <c r="C10" s="12" t="s">
        <v>6</v>
      </c>
      <c r="D10" s="12"/>
      <c r="E10" s="12"/>
      <c r="F10" s="12"/>
      <c r="G10" s="12"/>
      <c r="H10" s="15">
        <v>2.1000000000000001E-2</v>
      </c>
      <c r="I10" s="12"/>
      <c r="J10" s="12"/>
    </row>
    <row r="11" spans="1:24" ht="15.75" x14ac:dyDescent="0.25">
      <c r="A11" s="23" t="s">
        <v>27</v>
      </c>
      <c r="B11" s="23"/>
      <c r="C11" s="23"/>
      <c r="D11" s="23"/>
      <c r="E11" s="23"/>
      <c r="F11" s="23"/>
      <c r="G11" s="23"/>
      <c r="H11" s="23"/>
      <c r="I11" s="23"/>
      <c r="J11" s="23"/>
    </row>
    <row r="12" spans="1:24" ht="15.7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X12" s="1"/>
    </row>
    <row r="13" spans="1:24" ht="15.7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24" ht="15.7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24" x14ac:dyDescent="0.25">
      <c r="A15" s="22" t="s">
        <v>0</v>
      </c>
      <c r="B15" s="22" t="s">
        <v>1</v>
      </c>
      <c r="C15" s="22" t="s">
        <v>2</v>
      </c>
      <c r="D15" s="22" t="s">
        <v>3</v>
      </c>
      <c r="E15" s="22" t="s">
        <v>33</v>
      </c>
      <c r="F15" s="22" t="s">
        <v>34</v>
      </c>
      <c r="G15" s="22" t="s">
        <v>35</v>
      </c>
      <c r="H15" s="22" t="s">
        <v>36</v>
      </c>
      <c r="I15" s="22" t="s">
        <v>25</v>
      </c>
      <c r="J15" s="22" t="s">
        <v>26</v>
      </c>
    </row>
    <row r="16" spans="1:24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spans="1:10" ht="15.75" x14ac:dyDescent="0.25">
      <c r="A17" s="25" t="s">
        <v>22</v>
      </c>
      <c r="B17" s="25" t="s">
        <v>8</v>
      </c>
      <c r="C17" s="16" t="s">
        <v>15</v>
      </c>
      <c r="D17" s="24" t="s">
        <v>32</v>
      </c>
      <c r="E17" s="21">
        <v>1180</v>
      </c>
      <c r="F17" s="21">
        <v>1135.27</v>
      </c>
      <c r="G17" s="21">
        <v>1138.7763</v>
      </c>
      <c r="H17" s="17">
        <f>F17/E17</f>
        <v>0.96209322033898304</v>
      </c>
      <c r="I17" s="18">
        <f t="shared" ref="I17:I22" si="0">(E17/F17-1)*100</f>
        <v>3.9400318866877448</v>
      </c>
      <c r="J17" s="18">
        <v>3.6199998191040583</v>
      </c>
    </row>
    <row r="18" spans="1:10" ht="15.75" x14ac:dyDescent="0.25">
      <c r="A18" s="25"/>
      <c r="B18" s="25"/>
      <c r="C18" s="16" t="s">
        <v>16</v>
      </c>
      <c r="D18" s="24"/>
      <c r="E18" s="21">
        <v>1443</v>
      </c>
      <c r="F18" s="21">
        <v>1404.2</v>
      </c>
      <c r="G18" s="21">
        <v>1374.9011</v>
      </c>
      <c r="H18" s="17">
        <f>F18/E18</f>
        <v>0.97311157311157315</v>
      </c>
      <c r="I18" s="18">
        <f t="shared" si="0"/>
        <v>2.763139153966665</v>
      </c>
      <c r="J18" s="18">
        <v>4.9530035287629115</v>
      </c>
    </row>
    <row r="19" spans="1:10" ht="15.75" x14ac:dyDescent="0.25">
      <c r="A19" s="25"/>
      <c r="B19" s="25"/>
      <c r="C19" s="16" t="s">
        <v>17</v>
      </c>
      <c r="D19" s="24"/>
      <c r="E19" s="21">
        <v>1078</v>
      </c>
      <c r="F19" s="21">
        <v>1103.48</v>
      </c>
      <c r="G19" s="21">
        <v>1019.1925</v>
      </c>
      <c r="H19" s="17">
        <f>F19/E19</f>
        <v>1.0236363636363637</v>
      </c>
      <c r="I19" s="18">
        <f>ABS((E19/F19-1)*100)</f>
        <v>2.3090586145648295</v>
      </c>
      <c r="J19" s="18">
        <v>5.7700091003416887</v>
      </c>
    </row>
    <row r="20" spans="1:10" ht="15.75" x14ac:dyDescent="0.25">
      <c r="A20" s="25"/>
      <c r="B20" s="25"/>
      <c r="C20" s="16" t="s">
        <v>18</v>
      </c>
      <c r="D20" s="24"/>
      <c r="E20" s="21">
        <v>1281</v>
      </c>
      <c r="F20" s="21">
        <v>1237.2</v>
      </c>
      <c r="G20" s="21">
        <v>1186.2917</v>
      </c>
      <c r="H20" s="17">
        <f>F20/E20</f>
        <v>0.96580796252927403</v>
      </c>
      <c r="I20" s="18">
        <f t="shared" si="0"/>
        <v>3.5402521823472366</v>
      </c>
      <c r="J20" s="18">
        <v>7.9835591870026645</v>
      </c>
    </row>
    <row r="21" spans="1:10" ht="15.75" x14ac:dyDescent="0.25">
      <c r="A21" s="25"/>
      <c r="B21" s="25"/>
      <c r="C21" s="16" t="s">
        <v>19</v>
      </c>
      <c r="D21" s="24"/>
      <c r="E21" s="21">
        <v>896</v>
      </c>
      <c r="F21" s="21">
        <v>858.98400000000004</v>
      </c>
      <c r="G21" s="21">
        <v>857.29360999999994</v>
      </c>
      <c r="H21" s="17">
        <f>F21/E21</f>
        <v>0.95868750000000003</v>
      </c>
      <c r="I21" s="18">
        <f t="shared" si="0"/>
        <v>4.3092770063237529</v>
      </c>
      <c r="J21" s="18">
        <v>4.5149514178695505</v>
      </c>
    </row>
    <row r="22" spans="1:10" ht="15.75" x14ac:dyDescent="0.25">
      <c r="A22" s="25"/>
      <c r="B22" s="25"/>
      <c r="C22" s="16" t="s">
        <v>20</v>
      </c>
      <c r="D22" s="24"/>
      <c r="E22" s="21">
        <v>1161</v>
      </c>
      <c r="F22" s="21">
        <v>1158.71</v>
      </c>
      <c r="G22" s="21">
        <v>1066.4421</v>
      </c>
      <c r="H22" s="17">
        <v>1.0051519509670828</v>
      </c>
      <c r="I22" s="18">
        <f t="shared" si="0"/>
        <v>0.19763357526905168</v>
      </c>
      <c r="J22" s="18">
        <v>8.8666698360839291</v>
      </c>
    </row>
    <row r="23" spans="1:10" ht="15.75" x14ac:dyDescent="0.25">
      <c r="A23" s="19"/>
      <c r="B23" s="19"/>
      <c r="C23" s="16" t="s">
        <v>5</v>
      </c>
      <c r="D23" s="16"/>
      <c r="E23" s="17"/>
      <c r="F23" s="17"/>
      <c r="G23" s="17"/>
      <c r="H23" s="17">
        <f>AVERAGE(H17:H22)</f>
        <v>0.98141476176387943</v>
      </c>
      <c r="I23" s="17">
        <f>AVERAGE(I17:I22)</f>
        <v>2.8432320698598801</v>
      </c>
      <c r="J23" s="17">
        <f>AVERAGE(J17:J22)</f>
        <v>5.9513654815274677</v>
      </c>
    </row>
    <row r="24" spans="1:10" ht="15.75" x14ac:dyDescent="0.25">
      <c r="A24" s="19"/>
      <c r="B24" s="19"/>
      <c r="C24" s="16" t="s">
        <v>6</v>
      </c>
      <c r="D24" s="16"/>
      <c r="E24" s="20"/>
      <c r="F24" s="20"/>
      <c r="G24" s="20"/>
      <c r="H24" s="20">
        <f>_xlfn.STDEV.P(H17:H22)/H23</f>
        <v>2.4779536203101103E-2</v>
      </c>
      <c r="I24" s="16"/>
      <c r="J24" s="16"/>
    </row>
    <row r="25" spans="1:10" ht="15.75" x14ac:dyDescent="0.25">
      <c r="A25" s="23" t="s">
        <v>27</v>
      </c>
      <c r="B25" s="23"/>
      <c r="C25" s="23"/>
      <c r="D25" s="23"/>
      <c r="E25" s="23"/>
      <c r="F25" s="23"/>
      <c r="G25" s="23"/>
      <c r="H25" s="23"/>
      <c r="I25" s="23"/>
      <c r="J25" s="23"/>
    </row>
  </sheetData>
  <mergeCells count="18">
    <mergeCell ref="D3:D8"/>
    <mergeCell ref="A3:A8"/>
    <mergeCell ref="B3:B8"/>
    <mergeCell ref="A11:J11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A25:J25"/>
    <mergeCell ref="D17:D22"/>
    <mergeCell ref="A17:A22"/>
    <mergeCell ref="B17:B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F278-5769-4D10-BBFD-D1E34DE8161D}">
  <sheetPr codeName="Sheet5"/>
  <dimension ref="A1:F23"/>
  <sheetViews>
    <sheetView tabSelected="1" zoomScale="130" zoomScaleNormal="130" workbookViewId="0">
      <selection activeCell="J7" sqref="J7"/>
    </sheetView>
  </sheetViews>
  <sheetFormatPr defaultRowHeight="15" x14ac:dyDescent="0.25"/>
  <cols>
    <col min="1" max="1" width="20.140625" customWidth="1"/>
    <col min="2" max="2" width="11.85546875" customWidth="1"/>
    <col min="3" max="3" width="19.42578125" customWidth="1"/>
    <col min="4" max="4" width="10.7109375" customWidth="1"/>
    <col min="5" max="5" width="10.5703125" customWidth="1"/>
    <col min="6" max="6" width="13.28515625" bestFit="1" customWidth="1"/>
  </cols>
  <sheetData>
    <row r="1" spans="1:6" x14ac:dyDescent="0.25">
      <c r="A1" s="37" t="s">
        <v>0</v>
      </c>
      <c r="B1" s="37" t="s">
        <v>1</v>
      </c>
      <c r="C1" s="37" t="s">
        <v>2</v>
      </c>
      <c r="D1" s="37" t="s">
        <v>37</v>
      </c>
      <c r="E1" s="37" t="s">
        <v>38</v>
      </c>
      <c r="F1" s="37" t="s">
        <v>39</v>
      </c>
    </row>
    <row r="2" spans="1:6" x14ac:dyDescent="0.25">
      <c r="A2" s="38" t="s">
        <v>22</v>
      </c>
      <c r="B2" s="37" t="s">
        <v>8</v>
      </c>
      <c r="C2" s="37" t="s">
        <v>9</v>
      </c>
      <c r="D2" s="37">
        <v>1369</v>
      </c>
      <c r="E2" s="37">
        <v>1362.4</v>
      </c>
      <c r="F2" s="37">
        <v>1</v>
      </c>
    </row>
    <row r="3" spans="1:6" x14ac:dyDescent="0.25">
      <c r="A3" s="38"/>
      <c r="B3" s="37"/>
      <c r="C3" s="37" t="s">
        <v>10</v>
      </c>
      <c r="D3" s="37">
        <v>1636</v>
      </c>
      <c r="E3" s="37">
        <v>1616.01</v>
      </c>
      <c r="F3" s="37">
        <v>0.99</v>
      </c>
    </row>
    <row r="4" spans="1:6" x14ac:dyDescent="0.25">
      <c r="A4" s="38"/>
      <c r="B4" s="37"/>
      <c r="C4" s="37" t="s">
        <v>11</v>
      </c>
      <c r="D4" s="37">
        <v>1430</v>
      </c>
      <c r="E4" s="37">
        <v>1351.67</v>
      </c>
      <c r="F4" s="37">
        <v>0.95</v>
      </c>
    </row>
    <row r="5" spans="1:6" x14ac:dyDescent="0.25">
      <c r="A5" s="38"/>
      <c r="B5" s="37"/>
      <c r="C5" s="37" t="s">
        <v>12</v>
      </c>
      <c r="D5" s="37">
        <v>1650</v>
      </c>
      <c r="E5" s="37">
        <v>1642.45</v>
      </c>
      <c r="F5" s="37">
        <v>1</v>
      </c>
    </row>
    <row r="6" spans="1:6" x14ac:dyDescent="0.25">
      <c r="A6" s="38"/>
      <c r="B6" s="37"/>
      <c r="C6" s="37" t="s">
        <v>13</v>
      </c>
      <c r="D6" s="37">
        <v>1073</v>
      </c>
      <c r="E6" s="37">
        <v>1088.55</v>
      </c>
      <c r="F6" s="37">
        <v>1.01</v>
      </c>
    </row>
    <row r="7" spans="1:6" x14ac:dyDescent="0.25">
      <c r="A7" s="38"/>
      <c r="B7" s="37"/>
      <c r="C7" s="37" t="s">
        <v>14</v>
      </c>
      <c r="D7" s="37">
        <v>1393</v>
      </c>
      <c r="E7" s="37">
        <v>1376.96</v>
      </c>
      <c r="F7" s="37">
        <v>0.99</v>
      </c>
    </row>
    <row r="8" spans="1:6" x14ac:dyDescent="0.25">
      <c r="A8" s="38"/>
      <c r="B8" s="37"/>
      <c r="C8" s="37" t="s">
        <v>5</v>
      </c>
      <c r="D8" s="37"/>
      <c r="E8" s="37"/>
      <c r="F8" s="37">
        <v>0.99</v>
      </c>
    </row>
    <row r="9" spans="1:6" x14ac:dyDescent="0.25">
      <c r="A9" s="38"/>
      <c r="B9" s="37"/>
      <c r="C9" s="37" t="s">
        <v>6</v>
      </c>
      <c r="D9" s="37"/>
      <c r="E9" s="37"/>
      <c r="F9" s="39">
        <v>2.1000000000000001E-2</v>
      </c>
    </row>
    <row r="10" spans="1:6" x14ac:dyDescent="0.25">
      <c r="A10" s="38"/>
      <c r="B10" s="37"/>
      <c r="C10" s="37" t="s">
        <v>15</v>
      </c>
      <c r="D10" s="37">
        <v>1180</v>
      </c>
      <c r="E10" s="37">
        <v>1135.27</v>
      </c>
      <c r="F10" s="40">
        <v>0.96209322033898304</v>
      </c>
    </row>
    <row r="11" spans="1:6" x14ac:dyDescent="0.25">
      <c r="A11" s="38"/>
      <c r="B11" s="37"/>
      <c r="C11" s="37" t="s">
        <v>16</v>
      </c>
      <c r="D11" s="37">
        <v>1443</v>
      </c>
      <c r="E11" s="37">
        <v>1404.2</v>
      </c>
      <c r="F11" s="40">
        <v>0.97311157311157315</v>
      </c>
    </row>
    <row r="12" spans="1:6" x14ac:dyDescent="0.25">
      <c r="A12" s="38"/>
      <c r="B12" s="37"/>
      <c r="C12" s="37" t="s">
        <v>17</v>
      </c>
      <c r="D12" s="37">
        <v>1078</v>
      </c>
      <c r="E12" s="37">
        <v>1103.48</v>
      </c>
      <c r="F12" s="40">
        <v>1.0236363636363637</v>
      </c>
    </row>
    <row r="13" spans="1:6" x14ac:dyDescent="0.25">
      <c r="A13" s="38"/>
      <c r="B13" s="37"/>
      <c r="C13" s="37" t="s">
        <v>18</v>
      </c>
      <c r="D13" s="37">
        <v>1281</v>
      </c>
      <c r="E13" s="37">
        <v>1237.2</v>
      </c>
      <c r="F13" s="40">
        <v>0.96580796252927403</v>
      </c>
    </row>
    <row r="14" spans="1:6" x14ac:dyDescent="0.25">
      <c r="A14" s="38"/>
      <c r="B14" s="37"/>
      <c r="C14" s="37" t="s">
        <v>19</v>
      </c>
      <c r="D14" s="37">
        <v>896</v>
      </c>
      <c r="E14" s="37">
        <v>858.98400000000004</v>
      </c>
      <c r="F14" s="40">
        <v>0.95868750000000003</v>
      </c>
    </row>
    <row r="15" spans="1:6" x14ac:dyDescent="0.25">
      <c r="A15" s="38"/>
      <c r="B15" s="37"/>
      <c r="C15" s="37" t="s">
        <v>20</v>
      </c>
      <c r="D15" s="37">
        <v>1161</v>
      </c>
      <c r="E15" s="37">
        <v>1158.71</v>
      </c>
      <c r="F15" s="40">
        <v>1.0051519509670828</v>
      </c>
    </row>
    <row r="16" spans="1:6" x14ac:dyDescent="0.25">
      <c r="A16" s="38"/>
      <c r="B16" s="37"/>
      <c r="C16" s="37" t="s">
        <v>5</v>
      </c>
      <c r="D16" s="37"/>
      <c r="E16" s="37"/>
      <c r="F16" s="40">
        <v>0.98141476176387943</v>
      </c>
    </row>
    <row r="17" spans="1:6" x14ac:dyDescent="0.25">
      <c r="A17" s="38"/>
      <c r="B17" s="37"/>
      <c r="C17" s="37" t="s">
        <v>6</v>
      </c>
      <c r="D17" s="37"/>
      <c r="E17" s="37"/>
      <c r="F17" s="39">
        <v>2.4779536203101103E-2</v>
      </c>
    </row>
    <row r="18" spans="1:6" x14ac:dyDescent="0.25">
      <c r="A18" s="36"/>
    </row>
    <row r="19" spans="1:6" x14ac:dyDescent="0.25">
      <c r="A19" s="36"/>
    </row>
    <row r="20" spans="1:6" x14ac:dyDescent="0.25">
      <c r="A20" s="36"/>
    </row>
    <row r="21" spans="1:6" x14ac:dyDescent="0.25">
      <c r="A21" s="36"/>
    </row>
    <row r="22" spans="1:6" x14ac:dyDescent="0.25">
      <c r="A22" s="36"/>
    </row>
    <row r="23" spans="1:6" x14ac:dyDescent="0.25">
      <c r="A23" s="36"/>
    </row>
  </sheetData>
  <mergeCells count="1">
    <mergeCell ref="A2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2026-02-25T07:28:51Z</dcterms:created>
  <dcterms:modified xsi:type="dcterms:W3CDTF">2026-07-31T02:08:06Z</dcterms:modified>
</cp:coreProperties>
</file>